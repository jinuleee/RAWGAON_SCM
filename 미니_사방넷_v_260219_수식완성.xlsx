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awgaoncorp1-my.sharepoint.com/personal/francis_lee_rawgaon_com/Documents/바탕 화면/새 폴더/"/>
    </mc:Choice>
  </mc:AlternateContent>
  <xr:revisionPtr revIDLastSave="0" documentId="11_877854C842E2DE661151F59E0337A24F4F59EFF8" xr6:coauthVersionLast="47" xr6:coauthVersionMax="47" xr10:uidLastSave="{00000000-0000-0000-0000-000000000000}"/>
  <bookViews>
    <workbookView minimized="1" xWindow="1170" yWindow="1170" windowWidth="21600" windowHeight="11295" activeTab="5" xr2:uid="{00000000-000D-0000-FFFF-FFFF00000000}"/>
  </bookViews>
  <sheets>
    <sheet name="대시보드" sheetId="1" r:id="rId1"/>
    <sheet name="제품마스터" sheetId="2" r:id="rId2"/>
    <sheet name="채널매핑" sheetId="3" r:id="rId3"/>
    <sheet name="원본데이터_SK" sheetId="4" r:id="rId4"/>
    <sheet name="정규화데이터" sheetId="5" r:id="rId5"/>
    <sheet name="재고현황" sheetId="6" r:id="rId6"/>
    <sheet name="손익분석" sheetId="7" r:id="rId7"/>
    <sheet name="물류비용" sheetId="8" r:id="rId8"/>
    <sheet name="원본데이터_쿠팡" sheetId="9" r:id="rId9"/>
    <sheet name="원본데이터_네이버" sheetId="10" r:id="rId10"/>
    <sheet name="원본데이터_카카오" sheetId="11" r:id="rId11"/>
    <sheet name="원본데이터_리씽크" sheetId="12" r:id="rId12"/>
    <sheet name="시스템 가이드" sheetId="13" r:id="rId13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13" l="1" a="1"/>
  <c r="B45" i="13" s="1"/>
  <c r="B34" i="13" a="1"/>
  <c r="B34" i="13" s="1"/>
  <c r="B33" i="13" a="1"/>
  <c r="B33" i="13"/>
  <c r="B32" i="13" a="1"/>
  <c r="B32" i="13"/>
  <c r="B31" i="13" a="1"/>
  <c r="B31" i="13" s="1"/>
  <c r="A1545" i="7"/>
  <c r="A1544" i="7"/>
  <c r="A1543" i="7"/>
  <c r="G1542" i="7"/>
  <c r="A1542" i="7"/>
  <c r="A1541" i="7"/>
  <c r="A1540" i="7"/>
  <c r="A1539" i="7"/>
  <c r="A1538" i="7"/>
  <c r="A1537" i="7"/>
  <c r="A1536" i="7"/>
  <c r="A1535" i="7"/>
  <c r="A1534" i="7"/>
  <c r="A1533" i="7"/>
  <c r="A1532" i="7"/>
  <c r="G1531" i="7"/>
  <c r="A1531" i="7"/>
  <c r="A1530" i="7"/>
  <c r="A1529" i="7"/>
  <c r="A1528" i="7"/>
  <c r="A1527" i="7"/>
  <c r="A1526" i="7"/>
  <c r="A1525" i="7"/>
  <c r="A1524" i="7"/>
  <c r="A1523" i="7"/>
  <c r="A1522" i="7"/>
  <c r="A1521" i="7"/>
  <c r="A1520" i="7"/>
  <c r="A1519" i="7"/>
  <c r="A1518" i="7"/>
  <c r="A1517" i="7"/>
  <c r="A1516" i="7"/>
  <c r="A1515" i="7"/>
  <c r="A1514" i="7"/>
  <c r="A1513" i="7"/>
  <c r="A1512" i="7"/>
  <c r="A1511" i="7"/>
  <c r="A1510" i="7"/>
  <c r="A1509" i="7"/>
  <c r="A1508" i="7"/>
  <c r="A1507" i="7"/>
  <c r="A1506" i="7"/>
  <c r="A1505" i="7"/>
  <c r="A1504" i="7"/>
  <c r="A1503" i="7"/>
  <c r="A1502" i="7"/>
  <c r="A1501" i="7"/>
  <c r="A1500" i="7"/>
  <c r="A1499" i="7"/>
  <c r="A1498" i="7"/>
  <c r="A1497" i="7"/>
  <c r="A1496" i="7"/>
  <c r="A1495" i="7"/>
  <c r="A1494" i="7"/>
  <c r="A1493" i="7"/>
  <c r="A1492" i="7"/>
  <c r="A1491" i="7"/>
  <c r="A1490" i="7"/>
  <c r="A1489" i="7"/>
  <c r="A1488" i="7"/>
  <c r="A1487" i="7"/>
  <c r="A1486" i="7"/>
  <c r="A1485" i="7"/>
  <c r="A1484" i="7"/>
  <c r="A1483" i="7"/>
  <c r="A1482" i="7"/>
  <c r="A1481" i="7"/>
  <c r="A1480" i="7"/>
  <c r="A1479" i="7"/>
  <c r="A1478" i="7"/>
  <c r="A1477" i="7"/>
  <c r="A1476" i="7"/>
  <c r="A1475" i="7"/>
  <c r="A1474" i="7"/>
  <c r="A1473" i="7"/>
  <c r="A1472" i="7"/>
  <c r="A1471" i="7"/>
  <c r="A1470" i="7"/>
  <c r="A1469" i="7"/>
  <c r="A1468" i="7"/>
  <c r="A1467" i="7"/>
  <c r="A1466" i="7"/>
  <c r="A1465" i="7"/>
  <c r="A1464" i="7"/>
  <c r="A1463" i="7"/>
  <c r="A1462" i="7"/>
  <c r="A1461" i="7"/>
  <c r="J1460" i="7"/>
  <c r="A1460" i="7"/>
  <c r="A1459" i="7"/>
  <c r="A1458" i="7"/>
  <c r="A1457" i="7"/>
  <c r="A1456" i="7"/>
  <c r="A1455" i="7"/>
  <c r="A1454" i="7"/>
  <c r="A1453" i="7"/>
  <c r="A1452" i="7"/>
  <c r="A1451" i="7"/>
  <c r="A1450" i="7"/>
  <c r="A1449" i="7"/>
  <c r="A1448" i="7"/>
  <c r="A1447" i="7"/>
  <c r="A1446" i="7"/>
  <c r="A1445" i="7"/>
  <c r="A1444" i="7"/>
  <c r="A1443" i="7"/>
  <c r="A1442" i="7"/>
  <c r="A1441" i="7"/>
  <c r="A1440" i="7"/>
  <c r="A1439" i="7"/>
  <c r="A1438" i="7"/>
  <c r="A1437" i="7"/>
  <c r="A1436" i="7"/>
  <c r="A1435" i="7"/>
  <c r="A1434" i="7"/>
  <c r="A1433" i="7"/>
  <c r="A1432" i="7"/>
  <c r="A1431" i="7"/>
  <c r="A1430" i="7"/>
  <c r="A1429" i="7"/>
  <c r="A1428" i="7"/>
  <c r="A1427" i="7"/>
  <c r="A1426" i="7"/>
  <c r="A1425" i="7"/>
  <c r="A1424" i="7"/>
  <c r="A1423" i="7"/>
  <c r="A1422" i="7"/>
  <c r="A1421" i="7"/>
  <c r="A1420" i="7"/>
  <c r="A1419" i="7"/>
  <c r="A1418" i="7"/>
  <c r="A1417" i="7"/>
  <c r="A1416" i="7"/>
  <c r="A1415" i="7"/>
  <c r="A1414" i="7"/>
  <c r="A1413" i="7"/>
  <c r="A1412" i="7"/>
  <c r="A1411" i="7"/>
  <c r="A1410" i="7"/>
  <c r="A1409" i="7"/>
  <c r="A1408" i="7"/>
  <c r="A1407" i="7"/>
  <c r="A1406" i="7"/>
  <c r="A1405" i="7"/>
  <c r="A1404" i="7"/>
  <c r="A1403" i="7"/>
  <c r="A1402" i="7"/>
  <c r="A1401" i="7"/>
  <c r="A1400" i="7"/>
  <c r="A1399" i="7"/>
  <c r="A1398" i="7"/>
  <c r="A1397" i="7"/>
  <c r="A1396" i="7"/>
  <c r="A1395" i="7"/>
  <c r="A1394" i="7"/>
  <c r="A1393" i="7"/>
  <c r="A1392" i="7"/>
  <c r="A1391" i="7"/>
  <c r="A1390" i="7"/>
  <c r="A1389" i="7"/>
  <c r="A1388" i="7"/>
  <c r="A1387" i="7"/>
  <c r="E1386" i="7"/>
  <c r="A1386" i="7"/>
  <c r="A1385" i="7"/>
  <c r="A1384" i="7"/>
  <c r="A1383" i="7"/>
  <c r="A1382" i="7"/>
  <c r="A1381" i="7"/>
  <c r="A1380" i="7"/>
  <c r="A1379" i="7"/>
  <c r="A1378" i="7"/>
  <c r="A1377" i="7"/>
  <c r="A1376" i="7"/>
  <c r="A1375" i="7"/>
  <c r="A1374" i="7"/>
  <c r="A1373" i="7"/>
  <c r="A1372" i="7"/>
  <c r="A1371" i="7"/>
  <c r="A1370" i="7"/>
  <c r="A1369" i="7"/>
  <c r="A1368" i="7"/>
  <c r="A1367" i="7"/>
  <c r="A1366" i="7"/>
  <c r="A1365" i="7"/>
  <c r="A1364" i="7"/>
  <c r="A1363" i="7"/>
  <c r="A1362" i="7"/>
  <c r="A1361" i="7"/>
  <c r="A1360" i="7"/>
  <c r="A1359" i="7"/>
  <c r="A1358" i="7"/>
  <c r="A1357" i="7"/>
  <c r="A1356" i="7"/>
  <c r="A1355" i="7"/>
  <c r="A1354" i="7"/>
  <c r="A1353" i="7"/>
  <c r="A1352" i="7"/>
  <c r="A1351" i="7"/>
  <c r="A1350" i="7"/>
  <c r="A1349" i="7"/>
  <c r="A1348" i="7"/>
  <c r="A1347" i="7"/>
  <c r="A1346" i="7"/>
  <c r="A1345" i="7"/>
  <c r="A1344" i="7"/>
  <c r="A1343" i="7"/>
  <c r="A1342" i="7"/>
  <c r="A1341" i="7"/>
  <c r="A1340" i="7"/>
  <c r="A1339" i="7"/>
  <c r="A1338" i="7"/>
  <c r="A1337" i="7"/>
  <c r="A1336" i="7"/>
  <c r="A1335" i="7"/>
  <c r="A1334" i="7"/>
  <c r="A1333" i="7"/>
  <c r="A1332" i="7"/>
  <c r="A1331" i="7"/>
  <c r="A1330" i="7"/>
  <c r="A1329" i="7"/>
  <c r="A1328" i="7"/>
  <c r="A1327" i="7"/>
  <c r="A1326" i="7"/>
  <c r="A1325" i="7"/>
  <c r="A1324" i="7"/>
  <c r="A1323" i="7"/>
  <c r="A1322" i="7"/>
  <c r="A1321" i="7"/>
  <c r="A1320" i="7"/>
  <c r="A1319" i="7"/>
  <c r="A1318" i="7"/>
  <c r="A1317" i="7"/>
  <c r="A1316" i="7"/>
  <c r="A1315" i="7"/>
  <c r="A1314" i="7"/>
  <c r="A1313" i="7"/>
  <c r="A1312" i="7"/>
  <c r="A1311" i="7"/>
  <c r="A1310" i="7"/>
  <c r="A1309" i="7"/>
  <c r="A1308" i="7"/>
  <c r="A1307" i="7"/>
  <c r="A1306" i="7"/>
  <c r="A1305" i="7"/>
  <c r="A1304" i="7"/>
  <c r="A1303" i="7"/>
  <c r="A1302" i="7"/>
  <c r="A1301" i="7"/>
  <c r="A1300" i="7"/>
  <c r="A1299" i="7"/>
  <c r="A1298" i="7"/>
  <c r="A1297" i="7"/>
  <c r="A1296" i="7"/>
  <c r="A1295" i="7"/>
  <c r="A1294" i="7"/>
  <c r="A1293" i="7"/>
  <c r="A1292" i="7"/>
  <c r="A1291" i="7"/>
  <c r="A1290" i="7"/>
  <c r="A1289" i="7"/>
  <c r="A1288" i="7"/>
  <c r="A1287" i="7"/>
  <c r="A1286" i="7"/>
  <c r="A1285" i="7"/>
  <c r="A1284" i="7"/>
  <c r="A1283" i="7"/>
  <c r="H1282" i="7"/>
  <c r="A1282" i="7"/>
  <c r="A1281" i="7"/>
  <c r="A1280" i="7"/>
  <c r="A1279" i="7"/>
  <c r="A1278" i="7"/>
  <c r="A1277" i="7"/>
  <c r="A1276" i="7"/>
  <c r="A1275" i="7"/>
  <c r="A1274" i="7"/>
  <c r="A1273" i="7"/>
  <c r="A1272" i="7"/>
  <c r="A1271" i="7"/>
  <c r="A1270" i="7"/>
  <c r="A1269" i="7"/>
  <c r="A1268" i="7"/>
  <c r="A1267" i="7"/>
  <c r="A1266" i="7"/>
  <c r="A1265" i="7"/>
  <c r="A1264" i="7"/>
  <c r="A1263" i="7"/>
  <c r="A1262" i="7"/>
  <c r="A1261" i="7"/>
  <c r="A1260" i="7"/>
  <c r="A1259" i="7"/>
  <c r="A1258" i="7"/>
  <c r="A1257" i="7"/>
  <c r="A1256" i="7"/>
  <c r="A1255" i="7"/>
  <c r="A1254" i="7"/>
  <c r="A1253" i="7"/>
  <c r="A1252" i="7"/>
  <c r="A1251" i="7"/>
  <c r="A1250" i="7"/>
  <c r="A1249" i="7"/>
  <c r="A1248" i="7"/>
  <c r="A1247" i="7"/>
  <c r="A1246" i="7"/>
  <c r="A1245" i="7"/>
  <c r="A1244" i="7"/>
  <c r="A1243" i="7"/>
  <c r="A1242" i="7"/>
  <c r="A1241" i="7"/>
  <c r="A1240" i="7"/>
  <c r="A1239" i="7"/>
  <c r="A1238" i="7"/>
  <c r="A1237" i="7"/>
  <c r="A1236" i="7"/>
  <c r="A1235" i="7"/>
  <c r="A1234" i="7"/>
  <c r="A1233" i="7"/>
  <c r="A1232" i="7"/>
  <c r="A1231" i="7"/>
  <c r="A1230" i="7"/>
  <c r="A1229" i="7"/>
  <c r="A1228" i="7"/>
  <c r="A1227" i="7"/>
  <c r="A1226" i="7"/>
  <c r="A1225" i="7"/>
  <c r="A1224" i="7"/>
  <c r="A1223" i="7"/>
  <c r="A1222" i="7"/>
  <c r="A1221" i="7"/>
  <c r="A1220" i="7"/>
  <c r="A1219" i="7"/>
  <c r="A1218" i="7"/>
  <c r="A1217" i="7"/>
  <c r="A1216" i="7"/>
  <c r="A1215" i="7"/>
  <c r="A1214" i="7"/>
  <c r="A1213" i="7"/>
  <c r="A1212" i="7"/>
  <c r="A1211" i="7"/>
  <c r="A1210" i="7"/>
  <c r="A1209" i="7"/>
  <c r="A1208" i="7"/>
  <c r="A1207" i="7"/>
  <c r="A1206" i="7"/>
  <c r="A1205" i="7"/>
  <c r="A1204" i="7"/>
  <c r="A1203" i="7"/>
  <c r="A1202" i="7"/>
  <c r="A1201" i="7"/>
  <c r="A1200" i="7"/>
  <c r="A1199" i="7"/>
  <c r="A1198" i="7"/>
  <c r="A1197" i="7"/>
  <c r="A1196" i="7"/>
  <c r="A1195" i="7"/>
  <c r="A1194" i="7"/>
  <c r="A1193" i="7"/>
  <c r="A1192" i="7"/>
  <c r="A1191" i="7"/>
  <c r="A1190" i="7"/>
  <c r="A1189" i="7"/>
  <c r="A1188" i="7"/>
  <c r="A1187" i="7"/>
  <c r="A1186" i="7"/>
  <c r="A1185" i="7"/>
  <c r="A1184" i="7"/>
  <c r="A1183" i="7"/>
  <c r="A1182" i="7"/>
  <c r="A1181" i="7"/>
  <c r="A1180" i="7"/>
  <c r="A1179" i="7"/>
  <c r="A1178" i="7"/>
  <c r="A1177" i="7"/>
  <c r="A1176" i="7"/>
  <c r="A1175" i="7"/>
  <c r="A1174" i="7"/>
  <c r="A1173" i="7"/>
  <c r="A1172" i="7"/>
  <c r="A1171" i="7"/>
  <c r="A1170" i="7"/>
  <c r="A1169" i="7"/>
  <c r="A1168" i="7"/>
  <c r="A1167" i="7"/>
  <c r="A1166" i="7"/>
  <c r="A1165" i="7"/>
  <c r="A1164" i="7"/>
  <c r="A1163" i="7"/>
  <c r="A1162" i="7"/>
  <c r="A1161" i="7"/>
  <c r="A1160" i="7"/>
  <c r="A1159" i="7"/>
  <c r="A1158" i="7"/>
  <c r="A1157" i="7"/>
  <c r="A1156" i="7"/>
  <c r="A1155" i="7"/>
  <c r="A1154" i="7"/>
  <c r="A1153" i="7"/>
  <c r="A1152" i="7"/>
  <c r="A1151" i="7"/>
  <c r="A1150" i="7"/>
  <c r="A1149" i="7"/>
  <c r="A1148" i="7"/>
  <c r="A1147" i="7"/>
  <c r="A1146" i="7"/>
  <c r="A1145" i="7"/>
  <c r="A1144" i="7"/>
  <c r="A1143" i="7"/>
  <c r="A1142" i="7"/>
  <c r="A1141" i="7"/>
  <c r="A1140" i="7"/>
  <c r="A1139" i="7"/>
  <c r="A1138" i="7"/>
  <c r="A1137" i="7"/>
  <c r="A1136" i="7"/>
  <c r="A1135" i="7"/>
  <c r="A1134" i="7"/>
  <c r="A1133" i="7"/>
  <c r="A1132" i="7"/>
  <c r="A1131" i="7"/>
  <c r="A1130" i="7"/>
  <c r="A1129" i="7"/>
  <c r="A1128" i="7"/>
  <c r="A1127" i="7"/>
  <c r="A1126" i="7"/>
  <c r="A1125" i="7"/>
  <c r="A1124" i="7"/>
  <c r="A1123" i="7"/>
  <c r="A1122" i="7"/>
  <c r="A1121" i="7"/>
  <c r="A1120" i="7"/>
  <c r="A1119" i="7"/>
  <c r="A1118" i="7"/>
  <c r="A1117" i="7"/>
  <c r="A1116" i="7"/>
  <c r="A1115" i="7"/>
  <c r="A1114" i="7"/>
  <c r="A1113" i="7"/>
  <c r="A1112" i="7"/>
  <c r="A1111" i="7"/>
  <c r="A1110" i="7"/>
  <c r="A1109" i="7"/>
  <c r="A1108" i="7"/>
  <c r="A1107" i="7"/>
  <c r="A1106" i="7"/>
  <c r="A1105" i="7"/>
  <c r="A1104" i="7"/>
  <c r="A1103" i="7"/>
  <c r="A1102" i="7"/>
  <c r="A1101" i="7"/>
  <c r="A1100" i="7"/>
  <c r="A1099" i="7"/>
  <c r="A1098" i="7"/>
  <c r="A1097" i="7"/>
  <c r="A1096" i="7"/>
  <c r="A1095" i="7"/>
  <c r="A1094" i="7"/>
  <c r="A1093" i="7"/>
  <c r="A1092" i="7"/>
  <c r="A1091" i="7"/>
  <c r="A1090" i="7"/>
  <c r="A1089" i="7"/>
  <c r="A1088" i="7"/>
  <c r="A1087" i="7"/>
  <c r="A1086" i="7"/>
  <c r="A1085" i="7"/>
  <c r="A1084" i="7"/>
  <c r="A1083" i="7"/>
  <c r="A1082" i="7"/>
  <c r="A1081" i="7"/>
  <c r="A1080" i="7"/>
  <c r="A1079" i="7"/>
  <c r="A1078" i="7"/>
  <c r="A1077" i="7"/>
  <c r="A1076" i="7"/>
  <c r="A1075" i="7"/>
  <c r="A1074" i="7"/>
  <c r="A1073" i="7"/>
  <c r="A1072" i="7"/>
  <c r="A1071" i="7"/>
  <c r="A1070" i="7"/>
  <c r="A1069" i="7"/>
  <c r="A1068" i="7"/>
  <c r="A1067" i="7"/>
  <c r="A1066" i="7"/>
  <c r="A1065" i="7"/>
  <c r="A1064" i="7"/>
  <c r="A1063" i="7"/>
  <c r="A1062" i="7"/>
  <c r="A1061" i="7"/>
  <c r="A1060" i="7"/>
  <c r="A1059" i="7"/>
  <c r="A1058" i="7"/>
  <c r="A1057" i="7"/>
  <c r="A1056" i="7"/>
  <c r="A1055" i="7"/>
  <c r="A1054" i="7"/>
  <c r="A1053" i="7"/>
  <c r="A1052" i="7"/>
  <c r="A1051" i="7"/>
  <c r="A1050" i="7"/>
  <c r="A1049" i="7"/>
  <c r="A1048" i="7"/>
  <c r="A1047" i="7"/>
  <c r="A1046" i="7"/>
  <c r="A1045" i="7"/>
  <c r="A1044" i="7"/>
  <c r="A1043" i="7"/>
  <c r="A1042" i="7"/>
  <c r="A1041" i="7"/>
  <c r="A1040" i="7"/>
  <c r="A1039" i="7"/>
  <c r="A1038" i="7"/>
  <c r="A1037" i="7"/>
  <c r="A1036" i="7"/>
  <c r="A1035" i="7"/>
  <c r="A1034" i="7"/>
  <c r="A1033" i="7"/>
  <c r="A1032" i="7"/>
  <c r="A1031" i="7"/>
  <c r="A1030" i="7"/>
  <c r="A1029" i="7"/>
  <c r="A1028" i="7"/>
  <c r="A1027" i="7"/>
  <c r="A1026" i="7"/>
  <c r="A1025" i="7"/>
  <c r="A1024" i="7"/>
  <c r="A1023" i="7"/>
  <c r="A1022" i="7"/>
  <c r="A1021" i="7"/>
  <c r="A1020" i="7"/>
  <c r="A1019" i="7"/>
  <c r="A1018" i="7"/>
  <c r="A1017" i="7"/>
  <c r="A1016" i="7"/>
  <c r="A1015" i="7"/>
  <c r="A1014" i="7"/>
  <c r="A1013" i="7"/>
  <c r="A1012" i="7"/>
  <c r="A1011" i="7"/>
  <c r="A1010" i="7"/>
  <c r="A1009" i="7"/>
  <c r="A1008" i="7"/>
  <c r="A1007" i="7"/>
  <c r="A1006" i="7"/>
  <c r="A1005" i="7"/>
  <c r="A1004" i="7"/>
  <c r="A1003" i="7"/>
  <c r="A1002" i="7"/>
  <c r="A1001" i="7"/>
  <c r="A1000" i="7"/>
  <c r="A999" i="7"/>
  <c r="A998" i="7"/>
  <c r="A997" i="7"/>
  <c r="A996" i="7"/>
  <c r="J995" i="7"/>
  <c r="A995" i="7"/>
  <c r="A994" i="7"/>
  <c r="A993" i="7"/>
  <c r="A992" i="7"/>
  <c r="A991" i="7"/>
  <c r="A990" i="7"/>
  <c r="A989" i="7"/>
  <c r="A988" i="7"/>
  <c r="A987" i="7"/>
  <c r="A986" i="7"/>
  <c r="A985" i="7"/>
  <c r="A984" i="7"/>
  <c r="A983" i="7"/>
  <c r="A982" i="7"/>
  <c r="A981" i="7"/>
  <c r="A980" i="7"/>
  <c r="A979" i="7"/>
  <c r="A978" i="7"/>
  <c r="A977" i="7"/>
  <c r="A976" i="7"/>
  <c r="A975" i="7"/>
  <c r="A974" i="7"/>
  <c r="A973" i="7"/>
  <c r="A972" i="7"/>
  <c r="A971" i="7"/>
  <c r="A970" i="7"/>
  <c r="A969" i="7"/>
  <c r="A968" i="7"/>
  <c r="A967" i="7"/>
  <c r="A966" i="7"/>
  <c r="A965" i="7"/>
  <c r="A964" i="7"/>
  <c r="A963" i="7"/>
  <c r="A962" i="7"/>
  <c r="A961" i="7"/>
  <c r="A960" i="7"/>
  <c r="A959" i="7"/>
  <c r="A958" i="7"/>
  <c r="A957" i="7"/>
  <c r="A956" i="7"/>
  <c r="A955" i="7"/>
  <c r="A954" i="7"/>
  <c r="A953" i="7"/>
  <c r="A952" i="7"/>
  <c r="A951" i="7"/>
  <c r="A950" i="7"/>
  <c r="A949" i="7"/>
  <c r="A948" i="7"/>
  <c r="A947" i="7"/>
  <c r="A946" i="7"/>
  <c r="A945" i="7"/>
  <c r="A944" i="7"/>
  <c r="A943" i="7"/>
  <c r="A942" i="7"/>
  <c r="A941" i="7"/>
  <c r="A940" i="7"/>
  <c r="A939" i="7"/>
  <c r="A938" i="7"/>
  <c r="A937" i="7"/>
  <c r="A936" i="7"/>
  <c r="A935" i="7"/>
  <c r="A934" i="7"/>
  <c r="A933" i="7"/>
  <c r="A932" i="7"/>
  <c r="A931" i="7"/>
  <c r="A930" i="7"/>
  <c r="A929" i="7"/>
  <c r="A928" i="7"/>
  <c r="A927" i="7"/>
  <c r="A926" i="7"/>
  <c r="A925" i="7"/>
  <c r="A924" i="7"/>
  <c r="A923" i="7"/>
  <c r="A922" i="7"/>
  <c r="A921" i="7"/>
  <c r="A920" i="7"/>
  <c r="A919" i="7"/>
  <c r="A918" i="7"/>
  <c r="A917" i="7"/>
  <c r="A916" i="7"/>
  <c r="A915" i="7"/>
  <c r="A914" i="7"/>
  <c r="A913" i="7"/>
  <c r="A912" i="7"/>
  <c r="A911" i="7"/>
  <c r="A910" i="7"/>
  <c r="A909" i="7"/>
  <c r="A908" i="7"/>
  <c r="A907" i="7"/>
  <c r="A906" i="7"/>
  <c r="A905" i="7"/>
  <c r="A904" i="7"/>
  <c r="A903" i="7"/>
  <c r="A902" i="7"/>
  <c r="A901" i="7"/>
  <c r="A900" i="7"/>
  <c r="A899" i="7"/>
  <c r="A898" i="7"/>
  <c r="A897" i="7"/>
  <c r="A896" i="7"/>
  <c r="A895" i="7"/>
  <c r="A894" i="7"/>
  <c r="A893" i="7"/>
  <c r="A892" i="7"/>
  <c r="A891" i="7"/>
  <c r="A890" i="7"/>
  <c r="A889" i="7"/>
  <c r="A888" i="7"/>
  <c r="A887" i="7"/>
  <c r="A886" i="7"/>
  <c r="A885" i="7"/>
  <c r="A884" i="7"/>
  <c r="A883" i="7"/>
  <c r="A882" i="7"/>
  <c r="A881" i="7"/>
  <c r="A880" i="7"/>
  <c r="A879" i="7"/>
  <c r="A878" i="7"/>
  <c r="A877" i="7"/>
  <c r="A876" i="7"/>
  <c r="A875" i="7"/>
  <c r="A874" i="7"/>
  <c r="A873" i="7"/>
  <c r="A872" i="7"/>
  <c r="A871" i="7"/>
  <c r="A870" i="7"/>
  <c r="A869" i="7"/>
  <c r="A868" i="7"/>
  <c r="A867" i="7"/>
  <c r="A866" i="7"/>
  <c r="A865" i="7"/>
  <c r="A864" i="7"/>
  <c r="A863" i="7"/>
  <c r="A862" i="7"/>
  <c r="A861" i="7"/>
  <c r="A860" i="7"/>
  <c r="A859" i="7"/>
  <c r="A858" i="7"/>
  <c r="A857" i="7"/>
  <c r="A856" i="7"/>
  <c r="A855" i="7"/>
  <c r="A854" i="7"/>
  <c r="A853" i="7"/>
  <c r="A852" i="7"/>
  <c r="A851" i="7"/>
  <c r="A850" i="7"/>
  <c r="A849" i="7"/>
  <c r="A848" i="7"/>
  <c r="A847" i="7"/>
  <c r="A846" i="7"/>
  <c r="A845" i="7"/>
  <c r="A844" i="7"/>
  <c r="A843" i="7"/>
  <c r="A842" i="7"/>
  <c r="A841" i="7"/>
  <c r="A840" i="7"/>
  <c r="A839" i="7"/>
  <c r="A838" i="7"/>
  <c r="A837" i="7"/>
  <c r="A836" i="7"/>
  <c r="A835" i="7"/>
  <c r="A834" i="7"/>
  <c r="A833" i="7"/>
  <c r="A832" i="7"/>
  <c r="A831" i="7"/>
  <c r="A830" i="7"/>
  <c r="A829" i="7"/>
  <c r="A828" i="7"/>
  <c r="A827" i="7"/>
  <c r="A826" i="7"/>
  <c r="A825" i="7"/>
  <c r="A824" i="7"/>
  <c r="A823" i="7"/>
  <c r="A822" i="7"/>
  <c r="A821" i="7"/>
  <c r="A820" i="7"/>
  <c r="A819" i="7"/>
  <c r="A818" i="7"/>
  <c r="A817" i="7"/>
  <c r="A816" i="7"/>
  <c r="A815" i="7"/>
  <c r="A814" i="7"/>
  <c r="A813" i="7"/>
  <c r="A812" i="7"/>
  <c r="A811" i="7"/>
  <c r="A810" i="7"/>
  <c r="A809" i="7"/>
  <c r="A808" i="7"/>
  <c r="A807" i="7"/>
  <c r="A806" i="7"/>
  <c r="A805" i="7"/>
  <c r="A804" i="7"/>
  <c r="A803" i="7"/>
  <c r="A802" i="7"/>
  <c r="A801" i="7"/>
  <c r="A800" i="7"/>
  <c r="A799" i="7"/>
  <c r="A798" i="7"/>
  <c r="A797" i="7"/>
  <c r="A796" i="7"/>
  <c r="A795" i="7"/>
  <c r="A794" i="7"/>
  <c r="A793" i="7"/>
  <c r="A792" i="7"/>
  <c r="A791" i="7"/>
  <c r="A790" i="7"/>
  <c r="A789" i="7"/>
  <c r="A788" i="7"/>
  <c r="A787" i="7"/>
  <c r="A786" i="7"/>
  <c r="A785" i="7"/>
  <c r="A784" i="7"/>
  <c r="A783" i="7"/>
  <c r="A782" i="7"/>
  <c r="A781" i="7"/>
  <c r="A780" i="7"/>
  <c r="A779" i="7"/>
  <c r="A778" i="7"/>
  <c r="A777" i="7"/>
  <c r="A776" i="7"/>
  <c r="A775" i="7"/>
  <c r="A774" i="7"/>
  <c r="A773" i="7"/>
  <c r="A772" i="7"/>
  <c r="A771" i="7"/>
  <c r="A770" i="7"/>
  <c r="A769" i="7"/>
  <c r="A768" i="7"/>
  <c r="A767" i="7"/>
  <c r="A766" i="7"/>
  <c r="A765" i="7"/>
  <c r="A764" i="7"/>
  <c r="A763" i="7"/>
  <c r="A762" i="7"/>
  <c r="A761" i="7"/>
  <c r="A760" i="7"/>
  <c r="A759" i="7"/>
  <c r="A758" i="7"/>
  <c r="A757" i="7"/>
  <c r="A756" i="7"/>
  <c r="A755" i="7"/>
  <c r="A754" i="7"/>
  <c r="A753" i="7"/>
  <c r="A752" i="7"/>
  <c r="A751" i="7"/>
  <c r="A750" i="7"/>
  <c r="A749" i="7"/>
  <c r="A748" i="7"/>
  <c r="A747" i="7"/>
  <c r="A746" i="7"/>
  <c r="A745" i="7"/>
  <c r="A744" i="7"/>
  <c r="A743" i="7"/>
  <c r="A742" i="7"/>
  <c r="A741" i="7"/>
  <c r="A740" i="7"/>
  <c r="A739" i="7"/>
  <c r="A738" i="7"/>
  <c r="A737" i="7"/>
  <c r="A736" i="7"/>
  <c r="A735" i="7"/>
  <c r="A734" i="7"/>
  <c r="A733" i="7"/>
  <c r="A732" i="7"/>
  <c r="A731" i="7"/>
  <c r="A730" i="7"/>
  <c r="A729" i="7"/>
  <c r="A728" i="7"/>
  <c r="A727" i="7"/>
  <c r="A726" i="7"/>
  <c r="A725" i="7"/>
  <c r="A724" i="7"/>
  <c r="A723" i="7"/>
  <c r="A722" i="7"/>
  <c r="A721" i="7"/>
  <c r="A720" i="7"/>
  <c r="A719" i="7"/>
  <c r="A718" i="7"/>
  <c r="A717" i="7"/>
  <c r="A716" i="7"/>
  <c r="A715" i="7"/>
  <c r="A714" i="7"/>
  <c r="A713" i="7"/>
  <c r="A712" i="7"/>
  <c r="A711" i="7"/>
  <c r="A710" i="7"/>
  <c r="A709" i="7"/>
  <c r="A708" i="7"/>
  <c r="A707" i="7"/>
  <c r="A706" i="7"/>
  <c r="A705" i="7"/>
  <c r="A704" i="7"/>
  <c r="A703" i="7"/>
  <c r="A702" i="7"/>
  <c r="A701" i="7"/>
  <c r="A700" i="7"/>
  <c r="A699" i="7"/>
  <c r="A698" i="7"/>
  <c r="A697" i="7"/>
  <c r="A696" i="7"/>
  <c r="A695" i="7"/>
  <c r="A694" i="7"/>
  <c r="A693" i="7"/>
  <c r="A692" i="7"/>
  <c r="A691" i="7"/>
  <c r="A690" i="7"/>
  <c r="A689" i="7"/>
  <c r="A688" i="7"/>
  <c r="A687" i="7"/>
  <c r="A686" i="7"/>
  <c r="A685" i="7"/>
  <c r="A684" i="7"/>
  <c r="A683" i="7"/>
  <c r="A682" i="7"/>
  <c r="A681" i="7"/>
  <c r="A680" i="7"/>
  <c r="A679" i="7"/>
  <c r="A678" i="7"/>
  <c r="A677" i="7"/>
  <c r="A676" i="7"/>
  <c r="A675" i="7"/>
  <c r="A674" i="7"/>
  <c r="A673" i="7"/>
  <c r="A672" i="7"/>
  <c r="A671" i="7"/>
  <c r="A670" i="7"/>
  <c r="A669" i="7"/>
  <c r="A668" i="7"/>
  <c r="A667" i="7"/>
  <c r="A666" i="7"/>
  <c r="A665" i="7"/>
  <c r="A664" i="7"/>
  <c r="A663" i="7"/>
  <c r="A662" i="7"/>
  <c r="A661" i="7"/>
  <c r="A660" i="7"/>
  <c r="A659" i="7"/>
  <c r="A658" i="7"/>
  <c r="A657" i="7"/>
  <c r="A656" i="7"/>
  <c r="A655" i="7"/>
  <c r="A654" i="7"/>
  <c r="A653" i="7"/>
  <c r="A652" i="7"/>
  <c r="A651" i="7"/>
  <c r="A650" i="7"/>
  <c r="A649" i="7"/>
  <c r="A648" i="7"/>
  <c r="A647" i="7"/>
  <c r="A646" i="7"/>
  <c r="A645" i="7"/>
  <c r="A644" i="7"/>
  <c r="A643" i="7"/>
  <c r="A642" i="7"/>
  <c r="A641" i="7"/>
  <c r="A640" i="7"/>
  <c r="A639" i="7"/>
  <c r="A638" i="7"/>
  <c r="A637" i="7"/>
  <c r="A636" i="7"/>
  <c r="A635" i="7"/>
  <c r="A634" i="7"/>
  <c r="A633" i="7"/>
  <c r="A632" i="7"/>
  <c r="A631" i="7"/>
  <c r="A630" i="7"/>
  <c r="A629" i="7"/>
  <c r="A628" i="7"/>
  <c r="A627" i="7"/>
  <c r="A626" i="7"/>
  <c r="A625" i="7"/>
  <c r="A624" i="7"/>
  <c r="A623" i="7"/>
  <c r="A622" i="7"/>
  <c r="A621" i="7"/>
  <c r="A620" i="7"/>
  <c r="A619" i="7"/>
  <c r="A618" i="7"/>
  <c r="A617" i="7"/>
  <c r="A616" i="7"/>
  <c r="A615" i="7"/>
  <c r="A614" i="7"/>
  <c r="A613" i="7"/>
  <c r="A612" i="7"/>
  <c r="A611" i="7"/>
  <c r="A610" i="7"/>
  <c r="A609" i="7"/>
  <c r="A608" i="7"/>
  <c r="A607" i="7"/>
  <c r="A606" i="7"/>
  <c r="A605" i="7"/>
  <c r="A604" i="7"/>
  <c r="A603" i="7"/>
  <c r="A602" i="7"/>
  <c r="A601" i="7"/>
  <c r="A600" i="7"/>
  <c r="A599" i="7"/>
  <c r="A598" i="7"/>
  <c r="A597" i="7"/>
  <c r="A596" i="7"/>
  <c r="A595" i="7"/>
  <c r="A594" i="7"/>
  <c r="A593" i="7"/>
  <c r="A592" i="7"/>
  <c r="A591" i="7"/>
  <c r="A590" i="7"/>
  <c r="A589" i="7"/>
  <c r="A588" i="7"/>
  <c r="A587" i="7"/>
  <c r="A586" i="7"/>
  <c r="A585" i="7"/>
  <c r="A584" i="7"/>
  <c r="A583" i="7"/>
  <c r="A582" i="7"/>
  <c r="A581" i="7"/>
  <c r="A580" i="7"/>
  <c r="A579" i="7"/>
  <c r="A578" i="7"/>
  <c r="A577" i="7"/>
  <c r="A576" i="7"/>
  <c r="A575" i="7"/>
  <c r="A574" i="7"/>
  <c r="A573" i="7"/>
  <c r="A572" i="7"/>
  <c r="A571" i="7"/>
  <c r="A570" i="7"/>
  <c r="A569" i="7"/>
  <c r="A568" i="7"/>
  <c r="A567" i="7"/>
  <c r="A566" i="7"/>
  <c r="A565" i="7"/>
  <c r="A564" i="7"/>
  <c r="A563" i="7"/>
  <c r="A562" i="7"/>
  <c r="A561" i="7"/>
  <c r="A560" i="7"/>
  <c r="A559" i="7"/>
  <c r="A558" i="7"/>
  <c r="A557" i="7"/>
  <c r="A556" i="7"/>
  <c r="A555" i="7"/>
  <c r="A554" i="7"/>
  <c r="A553" i="7"/>
  <c r="A552" i="7"/>
  <c r="A551" i="7"/>
  <c r="A550" i="7"/>
  <c r="A549" i="7"/>
  <c r="A548" i="7"/>
  <c r="A547" i="7"/>
  <c r="A546" i="7"/>
  <c r="A545" i="7"/>
  <c r="A544" i="7"/>
  <c r="A543" i="7"/>
  <c r="A542" i="7"/>
  <c r="A541" i="7"/>
  <c r="A540" i="7"/>
  <c r="A539" i="7"/>
  <c r="A538" i="7"/>
  <c r="A537" i="7"/>
  <c r="A536" i="7"/>
  <c r="A535" i="7"/>
  <c r="A534" i="7"/>
  <c r="A533" i="7"/>
  <c r="A532" i="7"/>
  <c r="A531" i="7"/>
  <c r="A530" i="7"/>
  <c r="A529" i="7"/>
  <c r="A528" i="7"/>
  <c r="A527" i="7"/>
  <c r="A526" i="7"/>
  <c r="A525" i="7"/>
  <c r="A524" i="7"/>
  <c r="A523" i="7"/>
  <c r="A522" i="7"/>
  <c r="A521" i="7"/>
  <c r="A520" i="7"/>
  <c r="A519" i="7"/>
  <c r="A518" i="7"/>
  <c r="A517" i="7"/>
  <c r="A516" i="7"/>
  <c r="A515" i="7"/>
  <c r="A514" i="7"/>
  <c r="A513" i="7"/>
  <c r="A512" i="7"/>
  <c r="A511" i="7"/>
  <c r="A510" i="7"/>
  <c r="A509" i="7"/>
  <c r="A508" i="7"/>
  <c r="A507" i="7"/>
  <c r="A506" i="7"/>
  <c r="A505" i="7"/>
  <c r="A504" i="7"/>
  <c r="A503" i="7"/>
  <c r="A502" i="7"/>
  <c r="A501" i="7"/>
  <c r="A500" i="7"/>
  <c r="A499" i="7"/>
  <c r="A498" i="7"/>
  <c r="A497" i="7"/>
  <c r="A496" i="7"/>
  <c r="A495" i="7"/>
  <c r="A494" i="7"/>
  <c r="A493" i="7"/>
  <c r="A492" i="7"/>
  <c r="A491" i="7"/>
  <c r="A490" i="7"/>
  <c r="A489" i="7"/>
  <c r="A488" i="7"/>
  <c r="A487" i="7"/>
  <c r="A486" i="7"/>
  <c r="A485" i="7"/>
  <c r="A484" i="7"/>
  <c r="A483" i="7"/>
  <c r="A482" i="7"/>
  <c r="A481" i="7"/>
  <c r="A480" i="7"/>
  <c r="A479" i="7"/>
  <c r="A478" i="7"/>
  <c r="A477" i="7"/>
  <c r="A476" i="7"/>
  <c r="A475" i="7"/>
  <c r="A474" i="7"/>
  <c r="A473" i="7"/>
  <c r="A472" i="7"/>
  <c r="A471" i="7"/>
  <c r="A470" i="7"/>
  <c r="A469" i="7"/>
  <c r="A468" i="7"/>
  <c r="A467" i="7"/>
  <c r="A466" i="7"/>
  <c r="A465" i="7"/>
  <c r="A464" i="7"/>
  <c r="A463" i="7"/>
  <c r="A462" i="7"/>
  <c r="A461" i="7"/>
  <c r="A460" i="7"/>
  <c r="A459" i="7"/>
  <c r="A458" i="7"/>
  <c r="A457" i="7"/>
  <c r="A456" i="7"/>
  <c r="A455" i="7"/>
  <c r="A454" i="7"/>
  <c r="A453" i="7"/>
  <c r="A452" i="7"/>
  <c r="A451" i="7"/>
  <c r="A450" i="7"/>
  <c r="A449" i="7"/>
  <c r="A448" i="7"/>
  <c r="A447" i="7"/>
  <c r="A446" i="7"/>
  <c r="A445" i="7"/>
  <c r="A444" i="7"/>
  <c r="A443" i="7"/>
  <c r="A442" i="7"/>
  <c r="A441" i="7"/>
  <c r="A440" i="7"/>
  <c r="A439" i="7"/>
  <c r="A438" i="7"/>
  <c r="A437" i="7"/>
  <c r="A436" i="7"/>
  <c r="A435" i="7"/>
  <c r="A434" i="7"/>
  <c r="A433" i="7"/>
  <c r="A432" i="7"/>
  <c r="A431" i="7"/>
  <c r="A430" i="7"/>
  <c r="A429" i="7"/>
  <c r="A428" i="7"/>
  <c r="A427" i="7"/>
  <c r="A426" i="7"/>
  <c r="A425" i="7"/>
  <c r="A424" i="7"/>
  <c r="A423" i="7"/>
  <c r="A422" i="7"/>
  <c r="A421" i="7"/>
  <c r="A420" i="7"/>
  <c r="A419" i="7"/>
  <c r="A418" i="7"/>
  <c r="A417" i="7"/>
  <c r="A416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F2" i="6"/>
  <c r="C2" i="6"/>
  <c r="B2" i="6"/>
  <c r="A2" i="6"/>
  <c r="J1545" i="5"/>
  <c r="J1545" i="7" s="1"/>
  <c r="I1545" i="5"/>
  <c r="I1545" i="7" s="1"/>
  <c r="H1545" i="5"/>
  <c r="H1545" i="7" s="1"/>
  <c r="G1545" i="5"/>
  <c r="G1545" i="7" s="1"/>
  <c r="F1545" i="5"/>
  <c r="E1545" i="5"/>
  <c r="D1545" i="5"/>
  <c r="D1545" i="7" s="1"/>
  <c r="C1545" i="5"/>
  <c r="C1545" i="7" s="1"/>
  <c r="B1545" i="5"/>
  <c r="B1545" i="7" s="1"/>
  <c r="L1544" i="5"/>
  <c r="L1544" i="7" s="1"/>
  <c r="K1544" i="5"/>
  <c r="K1544" i="7" s="1"/>
  <c r="J1544" i="5"/>
  <c r="J1544" i="7" s="1"/>
  <c r="I1544" i="5"/>
  <c r="I1544" i="7" s="1"/>
  <c r="H1544" i="5"/>
  <c r="H1544" i="7" s="1"/>
  <c r="G1544" i="5"/>
  <c r="G1544" i="7" s="1"/>
  <c r="F1544" i="5"/>
  <c r="F1544" i="7" s="1"/>
  <c r="E1544" i="5"/>
  <c r="E1544" i="7" s="1"/>
  <c r="D1544" i="5"/>
  <c r="D1544" i="7" s="1"/>
  <c r="C1544" i="5"/>
  <c r="C1544" i="7" s="1"/>
  <c r="B1544" i="5"/>
  <c r="B1544" i="7" s="1"/>
  <c r="K1543" i="5"/>
  <c r="K1543" i="7" s="1"/>
  <c r="J1543" i="5"/>
  <c r="J1543" i="7" s="1"/>
  <c r="I1543" i="5"/>
  <c r="I1543" i="7" s="1"/>
  <c r="H1543" i="5"/>
  <c r="H1543" i="7" s="1"/>
  <c r="G1543" i="5"/>
  <c r="G1543" i="7" s="1"/>
  <c r="F1543" i="5"/>
  <c r="E1543" i="5"/>
  <c r="E1543" i="7" s="1"/>
  <c r="D1543" i="5"/>
  <c r="D1543" i="7" s="1"/>
  <c r="C1543" i="5"/>
  <c r="C1543" i="7" s="1"/>
  <c r="B1543" i="5"/>
  <c r="B1543" i="7" s="1"/>
  <c r="J1542" i="5"/>
  <c r="J1542" i="7" s="1"/>
  <c r="I1542" i="5"/>
  <c r="I1542" i="7" s="1"/>
  <c r="H1542" i="5"/>
  <c r="H1542" i="7" s="1"/>
  <c r="G1542" i="5"/>
  <c r="F1542" i="5"/>
  <c r="E1542" i="5"/>
  <c r="D1542" i="5"/>
  <c r="D1542" i="7" s="1"/>
  <c r="C1542" i="5"/>
  <c r="C1542" i="7" s="1"/>
  <c r="B1542" i="5"/>
  <c r="B1542" i="7" s="1"/>
  <c r="J1541" i="5"/>
  <c r="J1541" i="7" s="1"/>
  <c r="I1541" i="5"/>
  <c r="I1541" i="7" s="1"/>
  <c r="H1541" i="5"/>
  <c r="H1541" i="7" s="1"/>
  <c r="G1541" i="5"/>
  <c r="G1541" i="7" s="1"/>
  <c r="F1541" i="5"/>
  <c r="E1541" i="5"/>
  <c r="D1541" i="5"/>
  <c r="D1541" i="7" s="1"/>
  <c r="C1541" i="5"/>
  <c r="C1541" i="7" s="1"/>
  <c r="B1541" i="5"/>
  <c r="B1541" i="7" s="1"/>
  <c r="L1540" i="5"/>
  <c r="L1540" i="7" s="1"/>
  <c r="K1540" i="5"/>
  <c r="K1540" i="7" s="1"/>
  <c r="J1540" i="5"/>
  <c r="J1540" i="7" s="1"/>
  <c r="I1540" i="5"/>
  <c r="I1540" i="7" s="1"/>
  <c r="H1540" i="5"/>
  <c r="H1540" i="7" s="1"/>
  <c r="G1540" i="5"/>
  <c r="G1540" i="7" s="1"/>
  <c r="F1540" i="5"/>
  <c r="F1540" i="7" s="1"/>
  <c r="E1540" i="5"/>
  <c r="E1540" i="7" s="1"/>
  <c r="D1540" i="5"/>
  <c r="D1540" i="7" s="1"/>
  <c r="C1540" i="5"/>
  <c r="C1540" i="7" s="1"/>
  <c r="B1540" i="5"/>
  <c r="B1540" i="7" s="1"/>
  <c r="L1539" i="5"/>
  <c r="L1539" i="7" s="1"/>
  <c r="K1539" i="5"/>
  <c r="K1539" i="7" s="1"/>
  <c r="J1539" i="5"/>
  <c r="J1539" i="7" s="1"/>
  <c r="I1539" i="5"/>
  <c r="I1539" i="7" s="1"/>
  <c r="H1539" i="5"/>
  <c r="H1539" i="7" s="1"/>
  <c r="G1539" i="5"/>
  <c r="G1539" i="7" s="1"/>
  <c r="F1539" i="5"/>
  <c r="F1539" i="7" s="1"/>
  <c r="E1539" i="5"/>
  <c r="E1539" i="7" s="1"/>
  <c r="D1539" i="5"/>
  <c r="D1539" i="7" s="1"/>
  <c r="C1539" i="5"/>
  <c r="C1539" i="7" s="1"/>
  <c r="B1539" i="5"/>
  <c r="B1539" i="7" s="1"/>
  <c r="J1538" i="5"/>
  <c r="J1538" i="7" s="1"/>
  <c r="I1538" i="5"/>
  <c r="I1538" i="7" s="1"/>
  <c r="H1538" i="5"/>
  <c r="H1538" i="7" s="1"/>
  <c r="G1538" i="5"/>
  <c r="G1538" i="7" s="1"/>
  <c r="F1538" i="5"/>
  <c r="E1538" i="5"/>
  <c r="E1538" i="7" s="1"/>
  <c r="D1538" i="5"/>
  <c r="D1538" i="7" s="1"/>
  <c r="C1538" i="5"/>
  <c r="C1538" i="7" s="1"/>
  <c r="B1538" i="5"/>
  <c r="B1538" i="7" s="1"/>
  <c r="J1537" i="5"/>
  <c r="J1537" i="7" s="1"/>
  <c r="I1537" i="5"/>
  <c r="I1537" i="7" s="1"/>
  <c r="H1537" i="5"/>
  <c r="H1537" i="7" s="1"/>
  <c r="G1537" i="5"/>
  <c r="G1537" i="7" s="1"/>
  <c r="F1537" i="5"/>
  <c r="E1537" i="5"/>
  <c r="D1537" i="5"/>
  <c r="D1537" i="7" s="1"/>
  <c r="C1537" i="5"/>
  <c r="C1537" i="7" s="1"/>
  <c r="B1537" i="5"/>
  <c r="B1537" i="7" s="1"/>
  <c r="L1536" i="5"/>
  <c r="L1536" i="7" s="1"/>
  <c r="K1536" i="5"/>
  <c r="K1536" i="7" s="1"/>
  <c r="J1536" i="5"/>
  <c r="J1536" i="7" s="1"/>
  <c r="I1536" i="5"/>
  <c r="I1536" i="7" s="1"/>
  <c r="H1536" i="5"/>
  <c r="H1536" i="7" s="1"/>
  <c r="G1536" i="5"/>
  <c r="G1536" i="7" s="1"/>
  <c r="F1536" i="5"/>
  <c r="F1536" i="7" s="1"/>
  <c r="E1536" i="5"/>
  <c r="E1536" i="7" s="1"/>
  <c r="D1536" i="5"/>
  <c r="D1536" i="7" s="1"/>
  <c r="C1536" i="5"/>
  <c r="C1536" i="7" s="1"/>
  <c r="B1536" i="5"/>
  <c r="B1536" i="7" s="1"/>
  <c r="L1535" i="5"/>
  <c r="L1535" i="7" s="1"/>
  <c r="K1535" i="5"/>
  <c r="K1535" i="7" s="1"/>
  <c r="J1535" i="5"/>
  <c r="J1535" i="7" s="1"/>
  <c r="I1535" i="5"/>
  <c r="I1535" i="7" s="1"/>
  <c r="H1535" i="5"/>
  <c r="H1535" i="7" s="1"/>
  <c r="G1535" i="5"/>
  <c r="G1535" i="7" s="1"/>
  <c r="F1535" i="5"/>
  <c r="F1535" i="7" s="1"/>
  <c r="E1535" i="5"/>
  <c r="E1535" i="7" s="1"/>
  <c r="D1535" i="5"/>
  <c r="D1535" i="7" s="1"/>
  <c r="C1535" i="5"/>
  <c r="C1535" i="7" s="1"/>
  <c r="B1535" i="5"/>
  <c r="B1535" i="7" s="1"/>
  <c r="L1534" i="5"/>
  <c r="L1534" i="7" s="1"/>
  <c r="J1534" i="5"/>
  <c r="J1534" i="7" s="1"/>
  <c r="I1534" i="5"/>
  <c r="I1534" i="7" s="1"/>
  <c r="H1534" i="5"/>
  <c r="H1534" i="7" s="1"/>
  <c r="G1534" i="5"/>
  <c r="G1534" i="7" s="1"/>
  <c r="F1534" i="5"/>
  <c r="F1534" i="7" s="1"/>
  <c r="E1534" i="5"/>
  <c r="E1534" i="7" s="1"/>
  <c r="D1534" i="5"/>
  <c r="D1534" i="7" s="1"/>
  <c r="C1534" i="5"/>
  <c r="C1534" i="7" s="1"/>
  <c r="B1534" i="5"/>
  <c r="B1534" i="7" s="1"/>
  <c r="J1533" i="5"/>
  <c r="J1533" i="7" s="1"/>
  <c r="I1533" i="5"/>
  <c r="I1533" i="7" s="1"/>
  <c r="H1533" i="5"/>
  <c r="H1533" i="7" s="1"/>
  <c r="G1533" i="5"/>
  <c r="G1533" i="7" s="1"/>
  <c r="F1533" i="5"/>
  <c r="E1533" i="5"/>
  <c r="D1533" i="5"/>
  <c r="D1533" i="7" s="1"/>
  <c r="C1533" i="5"/>
  <c r="C1533" i="7" s="1"/>
  <c r="B1533" i="5"/>
  <c r="B1533" i="7" s="1"/>
  <c r="J1532" i="5"/>
  <c r="J1532" i="7" s="1"/>
  <c r="I1532" i="5"/>
  <c r="I1532" i="7" s="1"/>
  <c r="H1532" i="5"/>
  <c r="H1532" i="7" s="1"/>
  <c r="G1532" i="5"/>
  <c r="G1532" i="7" s="1"/>
  <c r="F1532" i="5"/>
  <c r="E1532" i="5"/>
  <c r="D1532" i="5"/>
  <c r="D1532" i="7" s="1"/>
  <c r="C1532" i="5"/>
  <c r="C1532" i="7" s="1"/>
  <c r="B1532" i="5"/>
  <c r="B1532" i="7" s="1"/>
  <c r="L1531" i="5"/>
  <c r="L1531" i="7" s="1"/>
  <c r="K1531" i="5"/>
  <c r="K1531" i="7" s="1"/>
  <c r="J1531" i="5"/>
  <c r="J1531" i="7" s="1"/>
  <c r="I1531" i="5"/>
  <c r="I1531" i="7" s="1"/>
  <c r="H1531" i="5"/>
  <c r="H1531" i="7" s="1"/>
  <c r="G1531" i="5"/>
  <c r="F1531" i="5"/>
  <c r="F1531" i="7" s="1"/>
  <c r="E1531" i="5"/>
  <c r="E1531" i="7" s="1"/>
  <c r="D1531" i="5"/>
  <c r="D1531" i="7" s="1"/>
  <c r="C1531" i="5"/>
  <c r="C1531" i="7" s="1"/>
  <c r="B1531" i="5"/>
  <c r="B1531" i="7" s="1"/>
  <c r="L1530" i="5"/>
  <c r="L1530" i="7" s="1"/>
  <c r="K1530" i="5"/>
  <c r="K1530" i="7" s="1"/>
  <c r="J1530" i="5"/>
  <c r="J1530" i="7" s="1"/>
  <c r="I1530" i="5"/>
  <c r="I1530" i="7" s="1"/>
  <c r="H1530" i="5"/>
  <c r="H1530" i="7" s="1"/>
  <c r="G1530" i="5"/>
  <c r="G1530" i="7" s="1"/>
  <c r="F1530" i="5"/>
  <c r="F1530" i="7" s="1"/>
  <c r="E1530" i="5"/>
  <c r="E1530" i="7" s="1"/>
  <c r="D1530" i="5"/>
  <c r="D1530" i="7" s="1"/>
  <c r="C1530" i="5"/>
  <c r="C1530" i="7" s="1"/>
  <c r="B1530" i="5"/>
  <c r="B1530" i="7" s="1"/>
  <c r="L1529" i="5"/>
  <c r="L1529" i="7" s="1"/>
  <c r="K1529" i="5"/>
  <c r="K1529" i="7" s="1"/>
  <c r="J1529" i="5"/>
  <c r="J1529" i="7" s="1"/>
  <c r="I1529" i="5"/>
  <c r="I1529" i="7" s="1"/>
  <c r="H1529" i="5"/>
  <c r="H1529" i="7" s="1"/>
  <c r="G1529" i="5"/>
  <c r="G1529" i="7" s="1"/>
  <c r="F1529" i="5"/>
  <c r="F1529" i="7" s="1"/>
  <c r="E1529" i="5"/>
  <c r="E1529" i="7" s="1"/>
  <c r="D1529" i="5"/>
  <c r="D1529" i="7" s="1"/>
  <c r="C1529" i="5"/>
  <c r="C1529" i="7" s="1"/>
  <c r="B1529" i="5"/>
  <c r="B1529" i="7" s="1"/>
  <c r="J1528" i="5"/>
  <c r="J1528" i="7" s="1"/>
  <c r="I1528" i="5"/>
  <c r="I1528" i="7" s="1"/>
  <c r="H1528" i="5"/>
  <c r="H1528" i="7" s="1"/>
  <c r="G1528" i="5"/>
  <c r="G1528" i="7" s="1"/>
  <c r="F1528" i="5"/>
  <c r="E1528" i="5"/>
  <c r="D1528" i="5"/>
  <c r="D1528" i="7" s="1"/>
  <c r="C1528" i="5"/>
  <c r="C1528" i="7" s="1"/>
  <c r="B1528" i="5"/>
  <c r="B1528" i="7" s="1"/>
  <c r="L1527" i="5"/>
  <c r="L1527" i="7" s="1"/>
  <c r="J1527" i="5"/>
  <c r="J1527" i="7" s="1"/>
  <c r="I1527" i="5"/>
  <c r="I1527" i="7" s="1"/>
  <c r="H1527" i="5"/>
  <c r="H1527" i="7" s="1"/>
  <c r="G1527" i="5"/>
  <c r="G1527" i="7" s="1"/>
  <c r="F1527" i="5"/>
  <c r="F1527" i="7" s="1"/>
  <c r="E1527" i="5"/>
  <c r="D1527" i="5"/>
  <c r="D1527" i="7" s="1"/>
  <c r="C1527" i="5"/>
  <c r="C1527" i="7" s="1"/>
  <c r="B1527" i="5"/>
  <c r="B1527" i="7" s="1"/>
  <c r="L1526" i="5"/>
  <c r="L1526" i="7" s="1"/>
  <c r="K1526" i="5"/>
  <c r="K1526" i="7" s="1"/>
  <c r="J1526" i="5"/>
  <c r="J1526" i="7" s="1"/>
  <c r="I1526" i="5"/>
  <c r="I1526" i="7" s="1"/>
  <c r="H1526" i="5"/>
  <c r="H1526" i="7" s="1"/>
  <c r="G1526" i="5"/>
  <c r="G1526" i="7" s="1"/>
  <c r="F1526" i="5"/>
  <c r="F1526" i="7" s="1"/>
  <c r="E1526" i="5"/>
  <c r="E1526" i="7" s="1"/>
  <c r="D1526" i="5"/>
  <c r="D1526" i="7" s="1"/>
  <c r="C1526" i="5"/>
  <c r="C1526" i="7" s="1"/>
  <c r="B1526" i="5"/>
  <c r="B1526" i="7" s="1"/>
  <c r="L1525" i="5"/>
  <c r="L1525" i="7" s="1"/>
  <c r="K1525" i="5"/>
  <c r="K1525" i="7" s="1"/>
  <c r="J1525" i="5"/>
  <c r="J1525" i="7" s="1"/>
  <c r="I1525" i="5"/>
  <c r="I1525" i="7" s="1"/>
  <c r="H1525" i="5"/>
  <c r="H1525" i="7" s="1"/>
  <c r="G1525" i="5"/>
  <c r="G1525" i="7" s="1"/>
  <c r="F1525" i="5"/>
  <c r="F1525" i="7" s="1"/>
  <c r="E1525" i="5"/>
  <c r="E1525" i="7" s="1"/>
  <c r="D1525" i="5"/>
  <c r="D1525" i="7" s="1"/>
  <c r="C1525" i="5"/>
  <c r="C1525" i="7" s="1"/>
  <c r="B1525" i="5"/>
  <c r="B1525" i="7" s="1"/>
  <c r="J1524" i="5"/>
  <c r="J1524" i="7" s="1"/>
  <c r="I1524" i="5"/>
  <c r="I1524" i="7" s="1"/>
  <c r="H1524" i="5"/>
  <c r="H1524" i="7" s="1"/>
  <c r="G1524" i="5"/>
  <c r="G1524" i="7" s="1"/>
  <c r="F1524" i="5"/>
  <c r="E1524" i="5"/>
  <c r="D1524" i="5"/>
  <c r="D1524" i="7" s="1"/>
  <c r="C1524" i="5"/>
  <c r="C1524" i="7" s="1"/>
  <c r="B1524" i="5"/>
  <c r="B1524" i="7" s="1"/>
  <c r="J1523" i="5"/>
  <c r="J1523" i="7" s="1"/>
  <c r="I1523" i="5"/>
  <c r="I1523" i="7" s="1"/>
  <c r="H1523" i="5"/>
  <c r="H1523" i="7" s="1"/>
  <c r="G1523" i="5"/>
  <c r="G1523" i="7" s="1"/>
  <c r="F1523" i="5"/>
  <c r="E1523" i="5"/>
  <c r="D1523" i="5"/>
  <c r="D1523" i="7" s="1"/>
  <c r="C1523" i="5"/>
  <c r="C1523" i="7" s="1"/>
  <c r="B1523" i="5"/>
  <c r="B1523" i="7" s="1"/>
  <c r="L1522" i="5"/>
  <c r="L1522" i="7" s="1"/>
  <c r="K1522" i="5"/>
  <c r="K1522" i="7" s="1"/>
  <c r="J1522" i="5"/>
  <c r="J1522" i="7" s="1"/>
  <c r="I1522" i="5"/>
  <c r="I1522" i="7" s="1"/>
  <c r="H1522" i="5"/>
  <c r="H1522" i="7" s="1"/>
  <c r="G1522" i="5"/>
  <c r="G1522" i="7" s="1"/>
  <c r="F1522" i="5"/>
  <c r="F1522" i="7" s="1"/>
  <c r="E1522" i="5"/>
  <c r="E1522" i="7" s="1"/>
  <c r="D1522" i="5"/>
  <c r="D1522" i="7" s="1"/>
  <c r="C1522" i="5"/>
  <c r="C1522" i="7" s="1"/>
  <c r="B1522" i="5"/>
  <c r="B1522" i="7" s="1"/>
  <c r="L1521" i="5"/>
  <c r="L1521" i="7" s="1"/>
  <c r="K1521" i="5"/>
  <c r="K1521" i="7" s="1"/>
  <c r="J1521" i="5"/>
  <c r="J1521" i="7" s="1"/>
  <c r="I1521" i="5"/>
  <c r="I1521" i="7" s="1"/>
  <c r="H1521" i="5"/>
  <c r="H1521" i="7" s="1"/>
  <c r="G1521" i="5"/>
  <c r="G1521" i="7" s="1"/>
  <c r="F1521" i="5"/>
  <c r="F1521" i="7" s="1"/>
  <c r="E1521" i="5"/>
  <c r="E1521" i="7" s="1"/>
  <c r="D1521" i="5"/>
  <c r="D1521" i="7" s="1"/>
  <c r="C1521" i="5"/>
  <c r="C1521" i="7" s="1"/>
  <c r="B1521" i="5"/>
  <c r="B1521" i="7" s="1"/>
  <c r="J1520" i="5"/>
  <c r="J1520" i="7" s="1"/>
  <c r="I1520" i="5"/>
  <c r="I1520" i="7" s="1"/>
  <c r="H1520" i="5"/>
  <c r="H1520" i="7" s="1"/>
  <c r="G1520" i="5"/>
  <c r="G1520" i="7" s="1"/>
  <c r="F1520" i="5"/>
  <c r="F1520" i="7" s="1"/>
  <c r="E1520" i="5"/>
  <c r="D1520" i="5"/>
  <c r="D1520" i="7" s="1"/>
  <c r="C1520" i="5"/>
  <c r="C1520" i="7" s="1"/>
  <c r="B1520" i="5"/>
  <c r="B1520" i="7" s="1"/>
  <c r="J1519" i="5"/>
  <c r="J1519" i="7" s="1"/>
  <c r="I1519" i="5"/>
  <c r="I1519" i="7" s="1"/>
  <c r="H1519" i="5"/>
  <c r="H1519" i="7" s="1"/>
  <c r="G1519" i="5"/>
  <c r="G1519" i="7" s="1"/>
  <c r="F1519" i="5"/>
  <c r="E1519" i="5"/>
  <c r="D1519" i="5"/>
  <c r="D1519" i="7" s="1"/>
  <c r="C1519" i="5"/>
  <c r="C1519" i="7" s="1"/>
  <c r="B1519" i="5"/>
  <c r="B1519" i="7" s="1"/>
  <c r="J1518" i="5"/>
  <c r="J1518" i="7" s="1"/>
  <c r="I1518" i="5"/>
  <c r="I1518" i="7" s="1"/>
  <c r="H1518" i="5"/>
  <c r="H1518" i="7" s="1"/>
  <c r="G1518" i="5"/>
  <c r="G1518" i="7" s="1"/>
  <c r="F1518" i="5"/>
  <c r="E1518" i="5"/>
  <c r="D1518" i="5"/>
  <c r="D1518" i="7" s="1"/>
  <c r="C1518" i="5"/>
  <c r="C1518" i="7" s="1"/>
  <c r="B1518" i="5"/>
  <c r="B1518" i="7" s="1"/>
  <c r="L1517" i="5"/>
  <c r="L1517" i="7" s="1"/>
  <c r="K1517" i="5"/>
  <c r="K1517" i="7" s="1"/>
  <c r="J1517" i="5"/>
  <c r="J1517" i="7" s="1"/>
  <c r="I1517" i="5"/>
  <c r="I1517" i="7" s="1"/>
  <c r="H1517" i="5"/>
  <c r="H1517" i="7" s="1"/>
  <c r="G1517" i="5"/>
  <c r="G1517" i="7" s="1"/>
  <c r="F1517" i="5"/>
  <c r="F1517" i="7" s="1"/>
  <c r="E1517" i="5"/>
  <c r="E1517" i="7" s="1"/>
  <c r="D1517" i="5"/>
  <c r="D1517" i="7" s="1"/>
  <c r="C1517" i="5"/>
  <c r="C1517" i="7" s="1"/>
  <c r="B1517" i="5"/>
  <c r="B1517" i="7" s="1"/>
  <c r="L1516" i="5"/>
  <c r="L1516" i="7" s="1"/>
  <c r="K1516" i="5"/>
  <c r="K1516" i="7" s="1"/>
  <c r="J1516" i="5"/>
  <c r="J1516" i="7" s="1"/>
  <c r="I1516" i="5"/>
  <c r="I1516" i="7" s="1"/>
  <c r="H1516" i="5"/>
  <c r="H1516" i="7" s="1"/>
  <c r="G1516" i="5"/>
  <c r="G1516" i="7" s="1"/>
  <c r="F1516" i="5"/>
  <c r="F1516" i="7" s="1"/>
  <c r="E1516" i="5"/>
  <c r="E1516" i="7" s="1"/>
  <c r="D1516" i="5"/>
  <c r="D1516" i="7" s="1"/>
  <c r="C1516" i="5"/>
  <c r="C1516" i="7" s="1"/>
  <c r="B1516" i="5"/>
  <c r="B1516" i="7" s="1"/>
  <c r="L1515" i="5"/>
  <c r="L1515" i="7" s="1"/>
  <c r="K1515" i="5"/>
  <c r="K1515" i="7" s="1"/>
  <c r="J1515" i="5"/>
  <c r="J1515" i="7" s="1"/>
  <c r="I1515" i="5"/>
  <c r="I1515" i="7" s="1"/>
  <c r="H1515" i="5"/>
  <c r="H1515" i="7" s="1"/>
  <c r="G1515" i="5"/>
  <c r="G1515" i="7" s="1"/>
  <c r="F1515" i="5"/>
  <c r="F1515" i="7" s="1"/>
  <c r="E1515" i="5"/>
  <c r="E1515" i="7" s="1"/>
  <c r="D1515" i="5"/>
  <c r="D1515" i="7" s="1"/>
  <c r="C1515" i="5"/>
  <c r="C1515" i="7" s="1"/>
  <c r="B1515" i="5"/>
  <c r="B1515" i="7" s="1"/>
  <c r="J1514" i="5"/>
  <c r="J1514" i="7" s="1"/>
  <c r="I1514" i="5"/>
  <c r="I1514" i="7" s="1"/>
  <c r="H1514" i="5"/>
  <c r="H1514" i="7" s="1"/>
  <c r="G1514" i="5"/>
  <c r="G1514" i="7" s="1"/>
  <c r="F1514" i="5"/>
  <c r="E1514" i="5"/>
  <c r="D1514" i="5"/>
  <c r="D1514" i="7" s="1"/>
  <c r="C1514" i="5"/>
  <c r="C1514" i="7" s="1"/>
  <c r="B1514" i="5"/>
  <c r="B1514" i="7" s="1"/>
  <c r="J1513" i="5"/>
  <c r="J1513" i="7" s="1"/>
  <c r="I1513" i="5"/>
  <c r="I1513" i="7" s="1"/>
  <c r="H1513" i="5"/>
  <c r="H1513" i="7" s="1"/>
  <c r="G1513" i="5"/>
  <c r="G1513" i="7" s="1"/>
  <c r="F1513" i="5"/>
  <c r="E1513" i="5"/>
  <c r="D1513" i="5"/>
  <c r="D1513" i="7" s="1"/>
  <c r="C1513" i="5"/>
  <c r="C1513" i="7" s="1"/>
  <c r="B1513" i="5"/>
  <c r="B1513" i="7" s="1"/>
  <c r="L1512" i="5"/>
  <c r="L1512" i="7" s="1"/>
  <c r="K1512" i="5"/>
  <c r="K1512" i="7" s="1"/>
  <c r="J1512" i="5"/>
  <c r="J1512" i="7" s="1"/>
  <c r="I1512" i="5"/>
  <c r="I1512" i="7" s="1"/>
  <c r="H1512" i="5"/>
  <c r="H1512" i="7" s="1"/>
  <c r="G1512" i="5"/>
  <c r="G1512" i="7" s="1"/>
  <c r="F1512" i="5"/>
  <c r="F1512" i="7" s="1"/>
  <c r="E1512" i="5"/>
  <c r="E1512" i="7" s="1"/>
  <c r="D1512" i="5"/>
  <c r="D1512" i="7" s="1"/>
  <c r="C1512" i="5"/>
  <c r="C1512" i="7" s="1"/>
  <c r="B1512" i="5"/>
  <c r="B1512" i="7" s="1"/>
  <c r="L1511" i="5"/>
  <c r="L1511" i="7" s="1"/>
  <c r="K1511" i="5"/>
  <c r="K1511" i="7" s="1"/>
  <c r="J1511" i="5"/>
  <c r="J1511" i="7" s="1"/>
  <c r="I1511" i="5"/>
  <c r="I1511" i="7" s="1"/>
  <c r="H1511" i="5"/>
  <c r="H1511" i="7" s="1"/>
  <c r="G1511" i="5"/>
  <c r="G1511" i="7" s="1"/>
  <c r="F1511" i="5"/>
  <c r="F1511" i="7" s="1"/>
  <c r="E1511" i="5"/>
  <c r="E1511" i="7" s="1"/>
  <c r="D1511" i="5"/>
  <c r="D1511" i="7" s="1"/>
  <c r="C1511" i="5"/>
  <c r="C1511" i="7" s="1"/>
  <c r="B1511" i="5"/>
  <c r="B1511" i="7" s="1"/>
  <c r="J1510" i="5"/>
  <c r="J1510" i="7" s="1"/>
  <c r="I1510" i="5"/>
  <c r="I1510" i="7" s="1"/>
  <c r="H1510" i="5"/>
  <c r="H1510" i="7" s="1"/>
  <c r="G1510" i="5"/>
  <c r="G1510" i="7" s="1"/>
  <c r="F1510" i="5"/>
  <c r="E1510" i="5"/>
  <c r="E1510" i="7" s="1"/>
  <c r="D1510" i="5"/>
  <c r="D1510" i="7" s="1"/>
  <c r="C1510" i="5"/>
  <c r="C1510" i="7" s="1"/>
  <c r="B1510" i="5"/>
  <c r="B1510" i="7" s="1"/>
  <c r="J1509" i="5"/>
  <c r="J1509" i="7" s="1"/>
  <c r="I1509" i="5"/>
  <c r="I1509" i="7" s="1"/>
  <c r="H1509" i="5"/>
  <c r="H1509" i="7" s="1"/>
  <c r="G1509" i="5"/>
  <c r="G1509" i="7" s="1"/>
  <c r="F1509" i="5"/>
  <c r="E1509" i="5"/>
  <c r="D1509" i="5"/>
  <c r="D1509" i="7" s="1"/>
  <c r="C1509" i="5"/>
  <c r="C1509" i="7" s="1"/>
  <c r="B1509" i="5"/>
  <c r="B1509" i="7" s="1"/>
  <c r="L1508" i="5"/>
  <c r="L1508" i="7" s="1"/>
  <c r="K1508" i="5"/>
  <c r="K1508" i="7" s="1"/>
  <c r="J1508" i="5"/>
  <c r="J1508" i="7" s="1"/>
  <c r="I1508" i="5"/>
  <c r="I1508" i="7" s="1"/>
  <c r="H1508" i="5"/>
  <c r="H1508" i="7" s="1"/>
  <c r="G1508" i="5"/>
  <c r="G1508" i="7" s="1"/>
  <c r="F1508" i="5"/>
  <c r="F1508" i="7" s="1"/>
  <c r="E1508" i="5"/>
  <c r="E1508" i="7" s="1"/>
  <c r="D1508" i="5"/>
  <c r="D1508" i="7" s="1"/>
  <c r="C1508" i="5"/>
  <c r="C1508" i="7" s="1"/>
  <c r="B1508" i="5"/>
  <c r="B1508" i="7" s="1"/>
  <c r="L1507" i="5"/>
  <c r="L1507" i="7" s="1"/>
  <c r="K1507" i="5"/>
  <c r="K1507" i="7" s="1"/>
  <c r="J1507" i="5"/>
  <c r="J1507" i="7" s="1"/>
  <c r="I1507" i="5"/>
  <c r="I1507" i="7" s="1"/>
  <c r="H1507" i="5"/>
  <c r="H1507" i="7" s="1"/>
  <c r="G1507" i="5"/>
  <c r="G1507" i="7" s="1"/>
  <c r="F1507" i="5"/>
  <c r="F1507" i="7" s="1"/>
  <c r="E1507" i="5"/>
  <c r="E1507" i="7" s="1"/>
  <c r="D1507" i="5"/>
  <c r="D1507" i="7" s="1"/>
  <c r="C1507" i="5"/>
  <c r="C1507" i="7" s="1"/>
  <c r="B1507" i="5"/>
  <c r="B1507" i="7" s="1"/>
  <c r="J1506" i="5"/>
  <c r="J1506" i="7" s="1"/>
  <c r="I1506" i="5"/>
  <c r="I1506" i="7" s="1"/>
  <c r="H1506" i="5"/>
  <c r="H1506" i="7" s="1"/>
  <c r="G1506" i="5"/>
  <c r="G1506" i="7" s="1"/>
  <c r="F1506" i="5"/>
  <c r="F1506" i="7" s="1"/>
  <c r="E1506" i="5"/>
  <c r="E1506" i="7" s="1"/>
  <c r="D1506" i="5"/>
  <c r="D1506" i="7" s="1"/>
  <c r="C1506" i="5"/>
  <c r="C1506" i="7" s="1"/>
  <c r="B1506" i="5"/>
  <c r="B1506" i="7" s="1"/>
  <c r="J1505" i="5"/>
  <c r="J1505" i="7" s="1"/>
  <c r="I1505" i="5"/>
  <c r="I1505" i="7" s="1"/>
  <c r="H1505" i="5"/>
  <c r="H1505" i="7" s="1"/>
  <c r="G1505" i="5"/>
  <c r="G1505" i="7" s="1"/>
  <c r="F1505" i="5"/>
  <c r="E1505" i="5"/>
  <c r="D1505" i="5"/>
  <c r="D1505" i="7" s="1"/>
  <c r="C1505" i="5"/>
  <c r="C1505" i="7" s="1"/>
  <c r="B1505" i="5"/>
  <c r="B1505" i="7" s="1"/>
  <c r="J1504" i="5"/>
  <c r="J1504" i="7" s="1"/>
  <c r="I1504" i="5"/>
  <c r="I1504" i="7" s="1"/>
  <c r="H1504" i="5"/>
  <c r="H1504" i="7" s="1"/>
  <c r="G1504" i="5"/>
  <c r="G1504" i="7" s="1"/>
  <c r="F1504" i="5"/>
  <c r="E1504" i="5"/>
  <c r="D1504" i="5"/>
  <c r="D1504" i="7" s="1"/>
  <c r="C1504" i="5"/>
  <c r="C1504" i="7" s="1"/>
  <c r="B1504" i="5"/>
  <c r="B1504" i="7" s="1"/>
  <c r="L1503" i="5"/>
  <c r="L1503" i="7" s="1"/>
  <c r="K1503" i="5"/>
  <c r="K1503" i="7" s="1"/>
  <c r="J1503" i="5"/>
  <c r="J1503" i="7" s="1"/>
  <c r="I1503" i="5"/>
  <c r="I1503" i="7" s="1"/>
  <c r="H1503" i="5"/>
  <c r="H1503" i="7" s="1"/>
  <c r="G1503" i="5"/>
  <c r="G1503" i="7" s="1"/>
  <c r="F1503" i="5"/>
  <c r="F1503" i="7" s="1"/>
  <c r="E1503" i="5"/>
  <c r="E1503" i="7" s="1"/>
  <c r="D1503" i="5"/>
  <c r="D1503" i="7" s="1"/>
  <c r="C1503" i="5"/>
  <c r="C1503" i="7" s="1"/>
  <c r="B1503" i="5"/>
  <c r="B1503" i="7" s="1"/>
  <c r="L1502" i="5"/>
  <c r="L1502" i="7" s="1"/>
  <c r="K1502" i="5"/>
  <c r="K1502" i="7" s="1"/>
  <c r="J1502" i="5"/>
  <c r="J1502" i="7" s="1"/>
  <c r="I1502" i="5"/>
  <c r="I1502" i="7" s="1"/>
  <c r="H1502" i="5"/>
  <c r="H1502" i="7" s="1"/>
  <c r="G1502" i="5"/>
  <c r="G1502" i="7" s="1"/>
  <c r="F1502" i="5"/>
  <c r="F1502" i="7" s="1"/>
  <c r="E1502" i="5"/>
  <c r="E1502" i="7" s="1"/>
  <c r="D1502" i="5"/>
  <c r="D1502" i="7" s="1"/>
  <c r="C1502" i="5"/>
  <c r="C1502" i="7" s="1"/>
  <c r="B1502" i="5"/>
  <c r="B1502" i="7" s="1"/>
  <c r="J1501" i="5"/>
  <c r="J1501" i="7" s="1"/>
  <c r="I1501" i="5"/>
  <c r="I1501" i="7" s="1"/>
  <c r="H1501" i="5"/>
  <c r="H1501" i="7" s="1"/>
  <c r="G1501" i="5"/>
  <c r="G1501" i="7" s="1"/>
  <c r="F1501" i="5"/>
  <c r="E1501" i="5"/>
  <c r="E1501" i="7" s="1"/>
  <c r="D1501" i="5"/>
  <c r="D1501" i="7" s="1"/>
  <c r="C1501" i="5"/>
  <c r="C1501" i="7" s="1"/>
  <c r="B1501" i="5"/>
  <c r="B1501" i="7" s="1"/>
  <c r="J1500" i="5"/>
  <c r="J1500" i="7" s="1"/>
  <c r="I1500" i="5"/>
  <c r="I1500" i="7" s="1"/>
  <c r="H1500" i="5"/>
  <c r="H1500" i="7" s="1"/>
  <c r="G1500" i="5"/>
  <c r="G1500" i="7" s="1"/>
  <c r="F1500" i="5"/>
  <c r="E1500" i="5"/>
  <c r="D1500" i="5"/>
  <c r="D1500" i="7" s="1"/>
  <c r="C1500" i="5"/>
  <c r="C1500" i="7" s="1"/>
  <c r="B1500" i="5"/>
  <c r="B1500" i="7" s="1"/>
  <c r="J1499" i="5"/>
  <c r="J1499" i="7" s="1"/>
  <c r="I1499" i="5"/>
  <c r="I1499" i="7" s="1"/>
  <c r="H1499" i="5"/>
  <c r="H1499" i="7" s="1"/>
  <c r="G1499" i="5"/>
  <c r="G1499" i="7" s="1"/>
  <c r="F1499" i="5"/>
  <c r="F1499" i="7" s="1"/>
  <c r="E1499" i="5"/>
  <c r="D1499" i="5"/>
  <c r="D1499" i="7" s="1"/>
  <c r="C1499" i="5"/>
  <c r="C1499" i="7" s="1"/>
  <c r="B1499" i="5"/>
  <c r="B1499" i="7" s="1"/>
  <c r="L1498" i="5"/>
  <c r="L1498" i="7" s="1"/>
  <c r="K1498" i="5"/>
  <c r="K1498" i="7" s="1"/>
  <c r="J1498" i="5"/>
  <c r="J1498" i="7" s="1"/>
  <c r="I1498" i="5"/>
  <c r="I1498" i="7" s="1"/>
  <c r="H1498" i="5"/>
  <c r="H1498" i="7" s="1"/>
  <c r="G1498" i="5"/>
  <c r="G1498" i="7" s="1"/>
  <c r="F1498" i="5"/>
  <c r="F1498" i="7" s="1"/>
  <c r="E1498" i="5"/>
  <c r="E1498" i="7" s="1"/>
  <c r="D1498" i="5"/>
  <c r="D1498" i="7" s="1"/>
  <c r="C1498" i="5"/>
  <c r="C1498" i="7" s="1"/>
  <c r="B1498" i="5"/>
  <c r="B1498" i="7" s="1"/>
  <c r="L1497" i="5"/>
  <c r="L1497" i="7" s="1"/>
  <c r="K1497" i="5"/>
  <c r="K1497" i="7" s="1"/>
  <c r="J1497" i="5"/>
  <c r="J1497" i="7" s="1"/>
  <c r="I1497" i="5"/>
  <c r="I1497" i="7" s="1"/>
  <c r="H1497" i="5"/>
  <c r="H1497" i="7" s="1"/>
  <c r="G1497" i="5"/>
  <c r="G1497" i="7" s="1"/>
  <c r="F1497" i="5"/>
  <c r="F1497" i="7" s="1"/>
  <c r="E1497" i="5"/>
  <c r="E1497" i="7" s="1"/>
  <c r="D1497" i="5"/>
  <c r="D1497" i="7" s="1"/>
  <c r="C1497" i="5"/>
  <c r="C1497" i="7" s="1"/>
  <c r="B1497" i="5"/>
  <c r="B1497" i="7" s="1"/>
  <c r="K1496" i="5"/>
  <c r="K1496" i="7" s="1"/>
  <c r="J1496" i="5"/>
  <c r="J1496" i="7" s="1"/>
  <c r="I1496" i="5"/>
  <c r="I1496" i="7" s="1"/>
  <c r="H1496" i="5"/>
  <c r="H1496" i="7" s="1"/>
  <c r="G1496" i="5"/>
  <c r="G1496" i="7" s="1"/>
  <c r="F1496" i="5"/>
  <c r="E1496" i="5"/>
  <c r="E1496" i="7" s="1"/>
  <c r="D1496" i="5"/>
  <c r="D1496" i="7" s="1"/>
  <c r="C1496" i="5"/>
  <c r="C1496" i="7" s="1"/>
  <c r="B1496" i="5"/>
  <c r="B1496" i="7" s="1"/>
  <c r="J1495" i="5"/>
  <c r="J1495" i="7" s="1"/>
  <c r="I1495" i="5"/>
  <c r="I1495" i="7" s="1"/>
  <c r="H1495" i="5"/>
  <c r="H1495" i="7" s="1"/>
  <c r="G1495" i="5"/>
  <c r="G1495" i="7" s="1"/>
  <c r="F1495" i="5"/>
  <c r="E1495" i="5"/>
  <c r="D1495" i="5"/>
  <c r="D1495" i="7" s="1"/>
  <c r="C1495" i="5"/>
  <c r="C1495" i="7" s="1"/>
  <c r="B1495" i="5"/>
  <c r="B1495" i="7" s="1"/>
  <c r="L1494" i="5"/>
  <c r="L1494" i="7" s="1"/>
  <c r="J1494" i="5"/>
  <c r="J1494" i="7" s="1"/>
  <c r="I1494" i="5"/>
  <c r="I1494" i="7" s="1"/>
  <c r="H1494" i="5"/>
  <c r="H1494" i="7" s="1"/>
  <c r="G1494" i="5"/>
  <c r="G1494" i="7" s="1"/>
  <c r="F1494" i="5"/>
  <c r="F1494" i="7" s="1"/>
  <c r="E1494" i="5"/>
  <c r="D1494" i="5"/>
  <c r="D1494" i="7" s="1"/>
  <c r="C1494" i="5"/>
  <c r="C1494" i="7" s="1"/>
  <c r="B1494" i="5"/>
  <c r="B1494" i="7" s="1"/>
  <c r="L1493" i="5"/>
  <c r="L1493" i="7" s="1"/>
  <c r="K1493" i="5"/>
  <c r="K1493" i="7" s="1"/>
  <c r="J1493" i="5"/>
  <c r="J1493" i="7" s="1"/>
  <c r="I1493" i="5"/>
  <c r="I1493" i="7" s="1"/>
  <c r="H1493" i="5"/>
  <c r="H1493" i="7" s="1"/>
  <c r="G1493" i="5"/>
  <c r="G1493" i="7" s="1"/>
  <c r="F1493" i="5"/>
  <c r="F1493" i="7" s="1"/>
  <c r="E1493" i="5"/>
  <c r="E1493" i="7" s="1"/>
  <c r="D1493" i="5"/>
  <c r="D1493" i="7" s="1"/>
  <c r="C1493" i="5"/>
  <c r="C1493" i="7" s="1"/>
  <c r="B1493" i="5"/>
  <c r="B1493" i="7" s="1"/>
  <c r="L1492" i="5"/>
  <c r="L1492" i="7" s="1"/>
  <c r="K1492" i="5"/>
  <c r="K1492" i="7" s="1"/>
  <c r="J1492" i="5"/>
  <c r="J1492" i="7" s="1"/>
  <c r="I1492" i="5"/>
  <c r="I1492" i="7" s="1"/>
  <c r="H1492" i="5"/>
  <c r="H1492" i="7" s="1"/>
  <c r="G1492" i="5"/>
  <c r="G1492" i="7" s="1"/>
  <c r="F1492" i="5"/>
  <c r="F1492" i="7" s="1"/>
  <c r="E1492" i="5"/>
  <c r="E1492" i="7" s="1"/>
  <c r="D1492" i="5"/>
  <c r="D1492" i="7" s="1"/>
  <c r="C1492" i="5"/>
  <c r="C1492" i="7" s="1"/>
  <c r="B1492" i="5"/>
  <c r="B1492" i="7" s="1"/>
  <c r="J1491" i="5"/>
  <c r="J1491" i="7" s="1"/>
  <c r="I1491" i="5"/>
  <c r="I1491" i="7" s="1"/>
  <c r="H1491" i="5"/>
  <c r="H1491" i="7" s="1"/>
  <c r="G1491" i="5"/>
  <c r="G1491" i="7" s="1"/>
  <c r="F1491" i="5"/>
  <c r="E1491" i="5"/>
  <c r="D1491" i="5"/>
  <c r="D1491" i="7" s="1"/>
  <c r="C1491" i="5"/>
  <c r="C1491" i="7" s="1"/>
  <c r="B1491" i="5"/>
  <c r="B1491" i="7" s="1"/>
  <c r="J1490" i="5"/>
  <c r="J1490" i="7" s="1"/>
  <c r="I1490" i="5"/>
  <c r="I1490" i="7" s="1"/>
  <c r="H1490" i="5"/>
  <c r="H1490" i="7" s="1"/>
  <c r="G1490" i="5"/>
  <c r="G1490" i="7" s="1"/>
  <c r="F1490" i="5"/>
  <c r="E1490" i="5"/>
  <c r="D1490" i="5"/>
  <c r="D1490" i="7" s="1"/>
  <c r="C1490" i="5"/>
  <c r="C1490" i="7" s="1"/>
  <c r="B1490" i="5"/>
  <c r="B1490" i="7" s="1"/>
  <c r="L1489" i="5"/>
  <c r="L1489" i="7" s="1"/>
  <c r="K1489" i="5"/>
  <c r="K1489" i="7" s="1"/>
  <c r="J1489" i="5"/>
  <c r="J1489" i="7" s="1"/>
  <c r="I1489" i="5"/>
  <c r="I1489" i="7" s="1"/>
  <c r="H1489" i="5"/>
  <c r="H1489" i="7" s="1"/>
  <c r="G1489" i="5"/>
  <c r="G1489" i="7" s="1"/>
  <c r="F1489" i="5"/>
  <c r="F1489" i="7" s="1"/>
  <c r="E1489" i="5"/>
  <c r="E1489" i="7" s="1"/>
  <c r="D1489" i="5"/>
  <c r="D1489" i="7" s="1"/>
  <c r="C1489" i="5"/>
  <c r="C1489" i="7" s="1"/>
  <c r="B1489" i="5"/>
  <c r="B1489" i="7" s="1"/>
  <c r="L1488" i="5"/>
  <c r="L1488" i="7" s="1"/>
  <c r="K1488" i="5"/>
  <c r="K1488" i="7" s="1"/>
  <c r="J1488" i="5"/>
  <c r="J1488" i="7" s="1"/>
  <c r="I1488" i="5"/>
  <c r="I1488" i="7" s="1"/>
  <c r="H1488" i="5"/>
  <c r="H1488" i="7" s="1"/>
  <c r="G1488" i="5"/>
  <c r="G1488" i="7" s="1"/>
  <c r="F1488" i="5"/>
  <c r="F1488" i="7" s="1"/>
  <c r="E1488" i="5"/>
  <c r="E1488" i="7" s="1"/>
  <c r="D1488" i="5"/>
  <c r="D1488" i="7" s="1"/>
  <c r="C1488" i="5"/>
  <c r="C1488" i="7" s="1"/>
  <c r="B1488" i="5"/>
  <c r="B1488" i="7" s="1"/>
  <c r="J1487" i="5"/>
  <c r="J1487" i="7" s="1"/>
  <c r="I1487" i="5"/>
  <c r="I1487" i="7" s="1"/>
  <c r="H1487" i="5"/>
  <c r="H1487" i="7" s="1"/>
  <c r="G1487" i="5"/>
  <c r="G1487" i="7" s="1"/>
  <c r="F1487" i="5"/>
  <c r="F1487" i="7" s="1"/>
  <c r="E1487" i="5"/>
  <c r="E1487" i="7" s="1"/>
  <c r="D1487" i="5"/>
  <c r="D1487" i="7" s="1"/>
  <c r="C1487" i="5"/>
  <c r="C1487" i="7" s="1"/>
  <c r="B1487" i="5"/>
  <c r="B1487" i="7" s="1"/>
  <c r="J1486" i="5"/>
  <c r="J1486" i="7" s="1"/>
  <c r="I1486" i="5"/>
  <c r="I1486" i="7" s="1"/>
  <c r="H1486" i="5"/>
  <c r="H1486" i="7" s="1"/>
  <c r="G1486" i="5"/>
  <c r="G1486" i="7" s="1"/>
  <c r="F1486" i="5"/>
  <c r="E1486" i="5"/>
  <c r="D1486" i="5"/>
  <c r="D1486" i="7" s="1"/>
  <c r="C1486" i="5"/>
  <c r="C1486" i="7" s="1"/>
  <c r="B1486" i="5"/>
  <c r="B1486" i="7" s="1"/>
  <c r="J1485" i="5"/>
  <c r="J1485" i="7" s="1"/>
  <c r="I1485" i="5"/>
  <c r="I1485" i="7" s="1"/>
  <c r="H1485" i="5"/>
  <c r="H1485" i="7" s="1"/>
  <c r="G1485" i="5"/>
  <c r="G1485" i="7" s="1"/>
  <c r="F1485" i="5"/>
  <c r="F1485" i="7" s="1"/>
  <c r="E1485" i="5"/>
  <c r="D1485" i="5"/>
  <c r="D1485" i="7" s="1"/>
  <c r="C1485" i="5"/>
  <c r="C1485" i="7" s="1"/>
  <c r="B1485" i="5"/>
  <c r="B1485" i="7" s="1"/>
  <c r="L1484" i="5"/>
  <c r="L1484" i="7" s="1"/>
  <c r="K1484" i="5"/>
  <c r="K1484" i="7" s="1"/>
  <c r="J1484" i="5"/>
  <c r="J1484" i="7" s="1"/>
  <c r="I1484" i="5"/>
  <c r="I1484" i="7" s="1"/>
  <c r="H1484" i="5"/>
  <c r="H1484" i="7" s="1"/>
  <c r="G1484" i="5"/>
  <c r="G1484" i="7" s="1"/>
  <c r="F1484" i="5"/>
  <c r="F1484" i="7" s="1"/>
  <c r="E1484" i="5"/>
  <c r="E1484" i="7" s="1"/>
  <c r="D1484" i="5"/>
  <c r="D1484" i="7" s="1"/>
  <c r="C1484" i="5"/>
  <c r="C1484" i="7" s="1"/>
  <c r="B1484" i="5"/>
  <c r="B1484" i="7" s="1"/>
  <c r="K1483" i="5"/>
  <c r="K1483" i="7" s="1"/>
  <c r="J1483" i="5"/>
  <c r="J1483" i="7" s="1"/>
  <c r="I1483" i="5"/>
  <c r="I1483" i="7" s="1"/>
  <c r="H1483" i="5"/>
  <c r="H1483" i="7" s="1"/>
  <c r="G1483" i="5"/>
  <c r="G1483" i="7" s="1"/>
  <c r="F1483" i="5"/>
  <c r="F1483" i="7" s="1"/>
  <c r="E1483" i="5"/>
  <c r="E1483" i="7" s="1"/>
  <c r="D1483" i="5"/>
  <c r="D1483" i="7" s="1"/>
  <c r="C1483" i="5"/>
  <c r="C1483" i="7" s="1"/>
  <c r="B1483" i="5"/>
  <c r="B1483" i="7" s="1"/>
  <c r="J1482" i="5"/>
  <c r="J1482" i="7" s="1"/>
  <c r="I1482" i="5"/>
  <c r="I1482" i="7" s="1"/>
  <c r="H1482" i="5"/>
  <c r="H1482" i="7" s="1"/>
  <c r="G1482" i="5"/>
  <c r="G1482" i="7" s="1"/>
  <c r="F1482" i="5"/>
  <c r="E1482" i="5"/>
  <c r="D1482" i="5"/>
  <c r="D1482" i="7" s="1"/>
  <c r="C1482" i="5"/>
  <c r="C1482" i="7" s="1"/>
  <c r="B1482" i="5"/>
  <c r="B1482" i="7" s="1"/>
  <c r="J1481" i="5"/>
  <c r="J1481" i="7" s="1"/>
  <c r="I1481" i="5"/>
  <c r="I1481" i="7" s="1"/>
  <c r="H1481" i="5"/>
  <c r="H1481" i="7" s="1"/>
  <c r="G1481" i="5"/>
  <c r="G1481" i="7" s="1"/>
  <c r="F1481" i="5"/>
  <c r="E1481" i="5"/>
  <c r="D1481" i="5"/>
  <c r="D1481" i="7" s="1"/>
  <c r="C1481" i="5"/>
  <c r="C1481" i="7" s="1"/>
  <c r="B1481" i="5"/>
  <c r="B1481" i="7" s="1"/>
  <c r="L1480" i="5"/>
  <c r="L1480" i="7" s="1"/>
  <c r="J1480" i="5"/>
  <c r="J1480" i="7" s="1"/>
  <c r="I1480" i="5"/>
  <c r="I1480" i="7" s="1"/>
  <c r="H1480" i="5"/>
  <c r="H1480" i="7" s="1"/>
  <c r="G1480" i="5"/>
  <c r="G1480" i="7" s="1"/>
  <c r="F1480" i="5"/>
  <c r="F1480" i="7" s="1"/>
  <c r="E1480" i="5"/>
  <c r="E1480" i="7" s="1"/>
  <c r="D1480" i="5"/>
  <c r="D1480" i="7" s="1"/>
  <c r="C1480" i="5"/>
  <c r="C1480" i="7" s="1"/>
  <c r="B1480" i="5"/>
  <c r="B1480" i="7" s="1"/>
  <c r="L1479" i="5"/>
  <c r="L1479" i="7" s="1"/>
  <c r="K1479" i="5"/>
  <c r="K1479" i="7" s="1"/>
  <c r="J1479" i="5"/>
  <c r="J1479" i="7" s="1"/>
  <c r="I1479" i="5"/>
  <c r="I1479" i="7" s="1"/>
  <c r="H1479" i="5"/>
  <c r="H1479" i="7" s="1"/>
  <c r="G1479" i="5"/>
  <c r="G1479" i="7" s="1"/>
  <c r="F1479" i="5"/>
  <c r="F1479" i="7" s="1"/>
  <c r="E1479" i="5"/>
  <c r="E1479" i="7" s="1"/>
  <c r="D1479" i="5"/>
  <c r="D1479" i="7" s="1"/>
  <c r="C1479" i="5"/>
  <c r="C1479" i="7" s="1"/>
  <c r="B1479" i="5"/>
  <c r="B1479" i="7" s="1"/>
  <c r="L1478" i="5"/>
  <c r="L1478" i="7" s="1"/>
  <c r="J1478" i="5"/>
  <c r="J1478" i="7" s="1"/>
  <c r="I1478" i="5"/>
  <c r="I1478" i="7" s="1"/>
  <c r="H1478" i="5"/>
  <c r="H1478" i="7" s="1"/>
  <c r="G1478" i="5"/>
  <c r="G1478" i="7" s="1"/>
  <c r="F1478" i="5"/>
  <c r="F1478" i="7" s="1"/>
  <c r="E1478" i="5"/>
  <c r="D1478" i="5"/>
  <c r="D1478" i="7" s="1"/>
  <c r="C1478" i="5"/>
  <c r="C1478" i="7" s="1"/>
  <c r="B1478" i="5"/>
  <c r="B1478" i="7" s="1"/>
  <c r="J1477" i="5"/>
  <c r="J1477" i="7" s="1"/>
  <c r="I1477" i="5"/>
  <c r="I1477" i="7" s="1"/>
  <c r="H1477" i="5"/>
  <c r="H1477" i="7" s="1"/>
  <c r="G1477" i="5"/>
  <c r="G1477" i="7" s="1"/>
  <c r="F1477" i="5"/>
  <c r="E1477" i="5"/>
  <c r="D1477" i="5"/>
  <c r="D1477" i="7" s="1"/>
  <c r="C1477" i="5"/>
  <c r="C1477" i="7" s="1"/>
  <c r="B1477" i="5"/>
  <c r="B1477" i="7" s="1"/>
  <c r="J1476" i="5"/>
  <c r="J1476" i="7" s="1"/>
  <c r="I1476" i="5"/>
  <c r="I1476" i="7" s="1"/>
  <c r="H1476" i="5"/>
  <c r="H1476" i="7" s="1"/>
  <c r="G1476" i="5"/>
  <c r="G1476" i="7" s="1"/>
  <c r="F1476" i="5"/>
  <c r="E1476" i="5"/>
  <c r="D1476" i="5"/>
  <c r="D1476" i="7" s="1"/>
  <c r="C1476" i="5"/>
  <c r="C1476" i="7" s="1"/>
  <c r="B1476" i="5"/>
  <c r="B1476" i="7" s="1"/>
  <c r="L1475" i="5"/>
  <c r="L1475" i="7" s="1"/>
  <c r="K1475" i="5"/>
  <c r="K1475" i="7" s="1"/>
  <c r="J1475" i="5"/>
  <c r="J1475" i="7" s="1"/>
  <c r="I1475" i="5"/>
  <c r="I1475" i="7" s="1"/>
  <c r="H1475" i="5"/>
  <c r="H1475" i="7" s="1"/>
  <c r="G1475" i="5"/>
  <c r="G1475" i="7" s="1"/>
  <c r="F1475" i="5"/>
  <c r="F1475" i="7" s="1"/>
  <c r="E1475" i="5"/>
  <c r="E1475" i="7" s="1"/>
  <c r="D1475" i="5"/>
  <c r="D1475" i="7" s="1"/>
  <c r="C1475" i="5"/>
  <c r="C1475" i="7" s="1"/>
  <c r="B1475" i="5"/>
  <c r="B1475" i="7" s="1"/>
  <c r="L1474" i="5"/>
  <c r="L1474" i="7" s="1"/>
  <c r="K1474" i="5"/>
  <c r="K1474" i="7" s="1"/>
  <c r="J1474" i="5"/>
  <c r="J1474" i="7" s="1"/>
  <c r="I1474" i="5"/>
  <c r="I1474" i="7" s="1"/>
  <c r="H1474" i="5"/>
  <c r="H1474" i="7" s="1"/>
  <c r="G1474" i="5"/>
  <c r="G1474" i="7" s="1"/>
  <c r="F1474" i="5"/>
  <c r="F1474" i="7" s="1"/>
  <c r="E1474" i="5"/>
  <c r="E1474" i="7" s="1"/>
  <c r="D1474" i="5"/>
  <c r="D1474" i="7" s="1"/>
  <c r="C1474" i="5"/>
  <c r="C1474" i="7" s="1"/>
  <c r="B1474" i="5"/>
  <c r="B1474" i="7" s="1"/>
  <c r="L1473" i="5"/>
  <c r="L1473" i="7" s="1"/>
  <c r="K1473" i="5"/>
  <c r="K1473" i="7" s="1"/>
  <c r="J1473" i="5"/>
  <c r="J1473" i="7" s="1"/>
  <c r="I1473" i="5"/>
  <c r="I1473" i="7" s="1"/>
  <c r="H1473" i="5"/>
  <c r="H1473" i="7" s="1"/>
  <c r="G1473" i="5"/>
  <c r="G1473" i="7" s="1"/>
  <c r="F1473" i="5"/>
  <c r="F1473" i="7" s="1"/>
  <c r="E1473" i="5"/>
  <c r="E1473" i="7" s="1"/>
  <c r="D1473" i="5"/>
  <c r="D1473" i="7" s="1"/>
  <c r="C1473" i="5"/>
  <c r="C1473" i="7" s="1"/>
  <c r="B1473" i="5"/>
  <c r="B1473" i="7" s="1"/>
  <c r="J1472" i="5"/>
  <c r="J1472" i="7" s="1"/>
  <c r="I1472" i="5"/>
  <c r="I1472" i="7" s="1"/>
  <c r="H1472" i="5"/>
  <c r="H1472" i="7" s="1"/>
  <c r="G1472" i="5"/>
  <c r="G1472" i="7" s="1"/>
  <c r="F1472" i="5"/>
  <c r="F1472" i="7" s="1"/>
  <c r="E1472" i="5"/>
  <c r="D1472" i="5"/>
  <c r="D1472" i="7" s="1"/>
  <c r="C1472" i="5"/>
  <c r="C1472" i="7" s="1"/>
  <c r="B1472" i="5"/>
  <c r="B1472" i="7" s="1"/>
  <c r="L1471" i="5"/>
  <c r="L1471" i="7" s="1"/>
  <c r="J1471" i="5"/>
  <c r="J1471" i="7" s="1"/>
  <c r="I1471" i="5"/>
  <c r="I1471" i="7" s="1"/>
  <c r="H1471" i="5"/>
  <c r="H1471" i="7" s="1"/>
  <c r="G1471" i="5"/>
  <c r="G1471" i="7" s="1"/>
  <c r="F1471" i="5"/>
  <c r="F1471" i="7" s="1"/>
  <c r="E1471" i="5"/>
  <c r="D1471" i="5"/>
  <c r="D1471" i="7" s="1"/>
  <c r="C1471" i="5"/>
  <c r="C1471" i="7" s="1"/>
  <c r="B1471" i="5"/>
  <c r="B1471" i="7" s="1"/>
  <c r="L1470" i="5"/>
  <c r="L1470" i="7" s="1"/>
  <c r="K1470" i="5"/>
  <c r="K1470" i="7" s="1"/>
  <c r="J1470" i="5"/>
  <c r="J1470" i="7" s="1"/>
  <c r="I1470" i="5"/>
  <c r="I1470" i="7" s="1"/>
  <c r="H1470" i="5"/>
  <c r="H1470" i="7" s="1"/>
  <c r="G1470" i="5"/>
  <c r="G1470" i="7" s="1"/>
  <c r="F1470" i="5"/>
  <c r="F1470" i="7" s="1"/>
  <c r="E1470" i="5"/>
  <c r="E1470" i="7" s="1"/>
  <c r="D1470" i="5"/>
  <c r="D1470" i="7" s="1"/>
  <c r="C1470" i="5"/>
  <c r="C1470" i="7" s="1"/>
  <c r="B1470" i="5"/>
  <c r="B1470" i="7" s="1"/>
  <c r="K1469" i="5"/>
  <c r="K1469" i="7" s="1"/>
  <c r="J1469" i="5"/>
  <c r="J1469" i="7" s="1"/>
  <c r="I1469" i="5"/>
  <c r="I1469" i="7" s="1"/>
  <c r="H1469" i="5"/>
  <c r="H1469" i="7" s="1"/>
  <c r="G1469" i="5"/>
  <c r="G1469" i="7" s="1"/>
  <c r="F1469" i="5"/>
  <c r="F1469" i="7" s="1"/>
  <c r="E1469" i="5"/>
  <c r="E1469" i="7" s="1"/>
  <c r="D1469" i="5"/>
  <c r="D1469" i="7" s="1"/>
  <c r="C1469" i="5"/>
  <c r="C1469" i="7" s="1"/>
  <c r="B1469" i="5"/>
  <c r="B1469" i="7" s="1"/>
  <c r="J1468" i="5"/>
  <c r="J1468" i="7" s="1"/>
  <c r="I1468" i="5"/>
  <c r="I1468" i="7" s="1"/>
  <c r="H1468" i="5"/>
  <c r="H1468" i="7" s="1"/>
  <c r="G1468" i="5"/>
  <c r="G1468" i="7" s="1"/>
  <c r="F1468" i="5"/>
  <c r="E1468" i="5"/>
  <c r="E1468" i="7" s="1"/>
  <c r="D1468" i="5"/>
  <c r="D1468" i="7" s="1"/>
  <c r="C1468" i="5"/>
  <c r="C1468" i="7" s="1"/>
  <c r="B1468" i="5"/>
  <c r="B1468" i="7" s="1"/>
  <c r="J1467" i="5"/>
  <c r="J1467" i="7" s="1"/>
  <c r="I1467" i="5"/>
  <c r="I1467" i="7" s="1"/>
  <c r="H1467" i="5"/>
  <c r="H1467" i="7" s="1"/>
  <c r="G1467" i="5"/>
  <c r="G1467" i="7" s="1"/>
  <c r="F1467" i="5"/>
  <c r="E1467" i="5"/>
  <c r="D1467" i="5"/>
  <c r="D1467" i="7" s="1"/>
  <c r="C1467" i="5"/>
  <c r="C1467" i="7" s="1"/>
  <c r="B1467" i="5"/>
  <c r="B1467" i="7" s="1"/>
  <c r="L1466" i="5"/>
  <c r="L1466" i="7" s="1"/>
  <c r="K1466" i="5"/>
  <c r="K1466" i="7" s="1"/>
  <c r="J1466" i="5"/>
  <c r="J1466" i="7" s="1"/>
  <c r="I1466" i="5"/>
  <c r="I1466" i="7" s="1"/>
  <c r="H1466" i="5"/>
  <c r="H1466" i="7" s="1"/>
  <c r="G1466" i="5"/>
  <c r="G1466" i="7" s="1"/>
  <c r="F1466" i="5"/>
  <c r="F1466" i="7" s="1"/>
  <c r="E1466" i="5"/>
  <c r="E1466" i="7" s="1"/>
  <c r="D1466" i="5"/>
  <c r="D1466" i="7" s="1"/>
  <c r="C1466" i="5"/>
  <c r="C1466" i="7" s="1"/>
  <c r="B1466" i="5"/>
  <c r="B1466" i="7" s="1"/>
  <c r="L1465" i="5"/>
  <c r="L1465" i="7" s="1"/>
  <c r="K1465" i="5"/>
  <c r="K1465" i="7" s="1"/>
  <c r="J1465" i="5"/>
  <c r="J1465" i="7" s="1"/>
  <c r="I1465" i="5"/>
  <c r="I1465" i="7" s="1"/>
  <c r="H1465" i="5"/>
  <c r="H1465" i="7" s="1"/>
  <c r="G1465" i="5"/>
  <c r="G1465" i="7" s="1"/>
  <c r="F1465" i="5"/>
  <c r="F1465" i="7" s="1"/>
  <c r="E1465" i="5"/>
  <c r="E1465" i="7" s="1"/>
  <c r="D1465" i="5"/>
  <c r="D1465" i="7" s="1"/>
  <c r="C1465" i="5"/>
  <c r="C1465" i="7" s="1"/>
  <c r="B1465" i="5"/>
  <c r="B1465" i="7" s="1"/>
  <c r="J1464" i="5"/>
  <c r="J1464" i="7" s="1"/>
  <c r="I1464" i="5"/>
  <c r="I1464" i="7" s="1"/>
  <c r="H1464" i="5"/>
  <c r="H1464" i="7" s="1"/>
  <c r="G1464" i="5"/>
  <c r="G1464" i="7" s="1"/>
  <c r="F1464" i="5"/>
  <c r="F1464" i="7" s="1"/>
  <c r="E1464" i="5"/>
  <c r="E1464" i="7" s="1"/>
  <c r="D1464" i="5"/>
  <c r="D1464" i="7" s="1"/>
  <c r="C1464" i="5"/>
  <c r="C1464" i="7" s="1"/>
  <c r="B1464" i="5"/>
  <c r="B1464" i="7" s="1"/>
  <c r="J1463" i="5"/>
  <c r="J1463" i="7" s="1"/>
  <c r="I1463" i="5"/>
  <c r="I1463" i="7" s="1"/>
  <c r="H1463" i="5"/>
  <c r="H1463" i="7" s="1"/>
  <c r="G1463" i="5"/>
  <c r="G1463" i="7" s="1"/>
  <c r="F1463" i="5"/>
  <c r="E1463" i="5"/>
  <c r="D1463" i="5"/>
  <c r="D1463" i="7" s="1"/>
  <c r="C1463" i="5"/>
  <c r="C1463" i="7" s="1"/>
  <c r="B1463" i="5"/>
  <c r="B1463" i="7" s="1"/>
  <c r="L1462" i="5"/>
  <c r="L1462" i="7" s="1"/>
  <c r="J1462" i="5"/>
  <c r="J1462" i="7" s="1"/>
  <c r="I1462" i="5"/>
  <c r="I1462" i="7" s="1"/>
  <c r="H1462" i="5"/>
  <c r="H1462" i="7" s="1"/>
  <c r="G1462" i="5"/>
  <c r="G1462" i="7" s="1"/>
  <c r="F1462" i="5"/>
  <c r="F1462" i="7" s="1"/>
  <c r="E1462" i="5"/>
  <c r="D1462" i="5"/>
  <c r="D1462" i="7" s="1"/>
  <c r="C1462" i="5"/>
  <c r="C1462" i="7" s="1"/>
  <c r="B1462" i="5"/>
  <c r="B1462" i="7" s="1"/>
  <c r="L1461" i="5"/>
  <c r="L1461" i="7" s="1"/>
  <c r="K1461" i="5"/>
  <c r="K1461" i="7" s="1"/>
  <c r="J1461" i="5"/>
  <c r="J1461" i="7" s="1"/>
  <c r="I1461" i="5"/>
  <c r="I1461" i="7" s="1"/>
  <c r="H1461" i="5"/>
  <c r="H1461" i="7" s="1"/>
  <c r="G1461" i="5"/>
  <c r="G1461" i="7" s="1"/>
  <c r="F1461" i="5"/>
  <c r="F1461" i="7" s="1"/>
  <c r="E1461" i="5"/>
  <c r="E1461" i="7" s="1"/>
  <c r="D1461" i="5"/>
  <c r="D1461" i="7" s="1"/>
  <c r="C1461" i="5"/>
  <c r="C1461" i="7" s="1"/>
  <c r="B1461" i="5"/>
  <c r="B1461" i="7" s="1"/>
  <c r="L1460" i="5"/>
  <c r="L1460" i="7" s="1"/>
  <c r="K1460" i="5"/>
  <c r="K1460" i="7" s="1"/>
  <c r="J1460" i="5"/>
  <c r="I1460" i="5"/>
  <c r="I1460" i="7" s="1"/>
  <c r="H1460" i="5"/>
  <c r="H1460" i="7" s="1"/>
  <c r="G1460" i="5"/>
  <c r="G1460" i="7" s="1"/>
  <c r="F1460" i="5"/>
  <c r="F1460" i="7" s="1"/>
  <c r="E1460" i="5"/>
  <c r="E1460" i="7" s="1"/>
  <c r="D1460" i="5"/>
  <c r="D1460" i="7" s="1"/>
  <c r="C1460" i="5"/>
  <c r="C1460" i="7" s="1"/>
  <c r="B1460" i="5"/>
  <c r="B1460" i="7" s="1"/>
  <c r="K1459" i="5"/>
  <c r="K1459" i="7" s="1"/>
  <c r="J1459" i="5"/>
  <c r="J1459" i="7" s="1"/>
  <c r="I1459" i="5"/>
  <c r="I1459" i="7" s="1"/>
  <c r="H1459" i="5"/>
  <c r="H1459" i="7" s="1"/>
  <c r="G1459" i="5"/>
  <c r="G1459" i="7" s="1"/>
  <c r="F1459" i="5"/>
  <c r="E1459" i="5"/>
  <c r="E1459" i="7" s="1"/>
  <c r="D1459" i="5"/>
  <c r="D1459" i="7" s="1"/>
  <c r="C1459" i="5"/>
  <c r="C1459" i="7" s="1"/>
  <c r="B1459" i="5"/>
  <c r="B1459" i="7" s="1"/>
  <c r="L1458" i="5"/>
  <c r="L1458" i="7" s="1"/>
  <c r="J1458" i="5"/>
  <c r="J1458" i="7" s="1"/>
  <c r="I1458" i="5"/>
  <c r="I1458" i="7" s="1"/>
  <c r="H1458" i="5"/>
  <c r="H1458" i="7" s="1"/>
  <c r="G1458" i="5"/>
  <c r="G1458" i="7" s="1"/>
  <c r="F1458" i="5"/>
  <c r="F1458" i="7" s="1"/>
  <c r="E1458" i="5"/>
  <c r="D1458" i="5"/>
  <c r="D1458" i="7" s="1"/>
  <c r="C1458" i="5"/>
  <c r="C1458" i="7" s="1"/>
  <c r="B1458" i="5"/>
  <c r="B1458" i="7" s="1"/>
  <c r="K1457" i="5"/>
  <c r="K1457" i="7" s="1"/>
  <c r="J1457" i="5"/>
  <c r="J1457" i="7" s="1"/>
  <c r="I1457" i="5"/>
  <c r="I1457" i="7" s="1"/>
  <c r="H1457" i="5"/>
  <c r="H1457" i="7" s="1"/>
  <c r="G1457" i="5"/>
  <c r="G1457" i="7" s="1"/>
  <c r="F1457" i="5"/>
  <c r="F1457" i="7" s="1"/>
  <c r="E1457" i="5"/>
  <c r="E1457" i="7" s="1"/>
  <c r="D1457" i="5"/>
  <c r="D1457" i="7" s="1"/>
  <c r="C1457" i="5"/>
  <c r="C1457" i="7" s="1"/>
  <c r="B1457" i="5"/>
  <c r="B1457" i="7" s="1"/>
  <c r="L1456" i="5"/>
  <c r="L1456" i="7" s="1"/>
  <c r="K1456" i="5"/>
  <c r="K1456" i="7" s="1"/>
  <c r="J1456" i="5"/>
  <c r="J1456" i="7" s="1"/>
  <c r="I1456" i="5"/>
  <c r="I1456" i="7" s="1"/>
  <c r="H1456" i="5"/>
  <c r="H1456" i="7" s="1"/>
  <c r="G1456" i="5"/>
  <c r="G1456" i="7" s="1"/>
  <c r="F1456" i="5"/>
  <c r="F1456" i="7" s="1"/>
  <c r="E1456" i="5"/>
  <c r="E1456" i="7" s="1"/>
  <c r="D1456" i="5"/>
  <c r="D1456" i="7" s="1"/>
  <c r="C1456" i="5"/>
  <c r="C1456" i="7" s="1"/>
  <c r="B1456" i="5"/>
  <c r="B1456" i="7" s="1"/>
  <c r="L1455" i="5"/>
  <c r="L1455" i="7" s="1"/>
  <c r="K1455" i="5"/>
  <c r="K1455" i="7" s="1"/>
  <c r="J1455" i="5"/>
  <c r="J1455" i="7" s="1"/>
  <c r="I1455" i="5"/>
  <c r="I1455" i="7" s="1"/>
  <c r="H1455" i="5"/>
  <c r="H1455" i="7" s="1"/>
  <c r="G1455" i="5"/>
  <c r="G1455" i="7" s="1"/>
  <c r="F1455" i="5"/>
  <c r="F1455" i="7" s="1"/>
  <c r="E1455" i="5"/>
  <c r="E1455" i="7" s="1"/>
  <c r="D1455" i="5"/>
  <c r="D1455" i="7" s="1"/>
  <c r="C1455" i="5"/>
  <c r="C1455" i="7" s="1"/>
  <c r="B1455" i="5"/>
  <c r="B1455" i="7" s="1"/>
  <c r="J1454" i="5"/>
  <c r="J1454" i="7" s="1"/>
  <c r="I1454" i="5"/>
  <c r="I1454" i="7" s="1"/>
  <c r="H1454" i="5"/>
  <c r="H1454" i="7" s="1"/>
  <c r="G1454" i="5"/>
  <c r="G1454" i="7" s="1"/>
  <c r="F1454" i="5"/>
  <c r="E1454" i="5"/>
  <c r="D1454" i="5"/>
  <c r="D1454" i="7" s="1"/>
  <c r="C1454" i="5"/>
  <c r="C1454" i="7" s="1"/>
  <c r="B1454" i="5"/>
  <c r="B1454" i="7" s="1"/>
  <c r="K1453" i="5"/>
  <c r="K1453" i="7" s="1"/>
  <c r="J1453" i="5"/>
  <c r="J1453" i="7" s="1"/>
  <c r="I1453" i="5"/>
  <c r="I1453" i="7" s="1"/>
  <c r="H1453" i="5"/>
  <c r="H1453" i="7" s="1"/>
  <c r="G1453" i="5"/>
  <c r="G1453" i="7" s="1"/>
  <c r="F1453" i="5"/>
  <c r="E1453" i="5"/>
  <c r="E1453" i="7" s="1"/>
  <c r="D1453" i="5"/>
  <c r="D1453" i="7" s="1"/>
  <c r="C1453" i="5"/>
  <c r="C1453" i="7" s="1"/>
  <c r="B1453" i="5"/>
  <c r="B1453" i="7" s="1"/>
  <c r="L1452" i="5"/>
  <c r="L1452" i="7" s="1"/>
  <c r="K1452" i="5"/>
  <c r="K1452" i="7" s="1"/>
  <c r="J1452" i="5"/>
  <c r="J1452" i="7" s="1"/>
  <c r="I1452" i="5"/>
  <c r="I1452" i="7" s="1"/>
  <c r="H1452" i="5"/>
  <c r="H1452" i="7" s="1"/>
  <c r="G1452" i="5"/>
  <c r="G1452" i="7" s="1"/>
  <c r="F1452" i="5"/>
  <c r="F1452" i="7" s="1"/>
  <c r="E1452" i="5"/>
  <c r="E1452" i="7" s="1"/>
  <c r="D1452" i="5"/>
  <c r="D1452" i="7" s="1"/>
  <c r="C1452" i="5"/>
  <c r="C1452" i="7" s="1"/>
  <c r="B1452" i="5"/>
  <c r="B1452" i="7" s="1"/>
  <c r="L1451" i="5"/>
  <c r="L1451" i="7" s="1"/>
  <c r="K1451" i="5"/>
  <c r="K1451" i="7" s="1"/>
  <c r="J1451" i="5"/>
  <c r="J1451" i="7" s="1"/>
  <c r="I1451" i="5"/>
  <c r="I1451" i="7" s="1"/>
  <c r="H1451" i="5"/>
  <c r="H1451" i="7" s="1"/>
  <c r="G1451" i="5"/>
  <c r="G1451" i="7" s="1"/>
  <c r="F1451" i="5"/>
  <c r="F1451" i="7" s="1"/>
  <c r="E1451" i="5"/>
  <c r="E1451" i="7" s="1"/>
  <c r="D1451" i="5"/>
  <c r="D1451" i="7" s="1"/>
  <c r="C1451" i="5"/>
  <c r="C1451" i="7" s="1"/>
  <c r="B1451" i="5"/>
  <c r="B1451" i="7" s="1"/>
  <c r="J1450" i="5"/>
  <c r="J1450" i="7" s="1"/>
  <c r="I1450" i="5"/>
  <c r="I1450" i="7" s="1"/>
  <c r="H1450" i="5"/>
  <c r="H1450" i="7" s="1"/>
  <c r="G1450" i="5"/>
  <c r="G1450" i="7" s="1"/>
  <c r="F1450" i="5"/>
  <c r="E1450" i="5"/>
  <c r="E1450" i="7" s="1"/>
  <c r="D1450" i="5"/>
  <c r="D1450" i="7" s="1"/>
  <c r="C1450" i="5"/>
  <c r="C1450" i="7" s="1"/>
  <c r="B1450" i="5"/>
  <c r="B1450" i="7" s="1"/>
  <c r="J1449" i="5"/>
  <c r="J1449" i="7" s="1"/>
  <c r="I1449" i="5"/>
  <c r="I1449" i="7" s="1"/>
  <c r="H1449" i="5"/>
  <c r="H1449" i="7" s="1"/>
  <c r="G1449" i="5"/>
  <c r="G1449" i="7" s="1"/>
  <c r="F1449" i="5"/>
  <c r="E1449" i="5"/>
  <c r="D1449" i="5"/>
  <c r="D1449" i="7" s="1"/>
  <c r="C1449" i="5"/>
  <c r="C1449" i="7" s="1"/>
  <c r="B1449" i="5"/>
  <c r="B1449" i="7" s="1"/>
  <c r="L1448" i="5"/>
  <c r="L1448" i="7" s="1"/>
  <c r="J1448" i="5"/>
  <c r="J1448" i="7" s="1"/>
  <c r="I1448" i="5"/>
  <c r="I1448" i="7" s="1"/>
  <c r="H1448" i="5"/>
  <c r="H1448" i="7" s="1"/>
  <c r="G1448" i="5"/>
  <c r="G1448" i="7" s="1"/>
  <c r="F1448" i="5"/>
  <c r="F1448" i="7" s="1"/>
  <c r="E1448" i="5"/>
  <c r="D1448" i="5"/>
  <c r="D1448" i="7" s="1"/>
  <c r="C1448" i="5"/>
  <c r="C1448" i="7" s="1"/>
  <c r="B1448" i="5"/>
  <c r="B1448" i="7" s="1"/>
  <c r="L1447" i="5"/>
  <c r="L1447" i="7" s="1"/>
  <c r="K1447" i="5"/>
  <c r="K1447" i="7" s="1"/>
  <c r="J1447" i="5"/>
  <c r="J1447" i="7" s="1"/>
  <c r="M1447" i="7" s="1"/>
  <c r="I1447" i="5"/>
  <c r="I1447" i="7" s="1"/>
  <c r="H1447" i="5"/>
  <c r="H1447" i="7" s="1"/>
  <c r="G1447" i="5"/>
  <c r="G1447" i="7" s="1"/>
  <c r="F1447" i="5"/>
  <c r="F1447" i="7" s="1"/>
  <c r="E1447" i="5"/>
  <c r="E1447" i="7" s="1"/>
  <c r="D1447" i="5"/>
  <c r="D1447" i="7" s="1"/>
  <c r="C1447" i="5"/>
  <c r="C1447" i="7" s="1"/>
  <c r="B1447" i="5"/>
  <c r="B1447" i="7" s="1"/>
  <c r="K1446" i="5"/>
  <c r="K1446" i="7" s="1"/>
  <c r="J1446" i="5"/>
  <c r="J1446" i="7" s="1"/>
  <c r="I1446" i="5"/>
  <c r="I1446" i="7" s="1"/>
  <c r="H1446" i="5"/>
  <c r="H1446" i="7" s="1"/>
  <c r="G1446" i="5"/>
  <c r="G1446" i="7" s="1"/>
  <c r="F1446" i="5"/>
  <c r="F1446" i="7" s="1"/>
  <c r="E1446" i="5"/>
  <c r="E1446" i="7" s="1"/>
  <c r="D1446" i="5"/>
  <c r="D1446" i="7" s="1"/>
  <c r="C1446" i="5"/>
  <c r="C1446" i="7" s="1"/>
  <c r="B1446" i="5"/>
  <c r="B1446" i="7" s="1"/>
  <c r="L1445" i="5"/>
  <c r="L1445" i="7" s="1"/>
  <c r="J1445" i="5"/>
  <c r="J1445" i="7" s="1"/>
  <c r="I1445" i="5"/>
  <c r="I1445" i="7" s="1"/>
  <c r="H1445" i="5"/>
  <c r="H1445" i="7" s="1"/>
  <c r="G1445" i="5"/>
  <c r="G1445" i="7" s="1"/>
  <c r="F1445" i="5"/>
  <c r="F1445" i="7" s="1"/>
  <c r="E1445" i="5"/>
  <c r="E1445" i="7" s="1"/>
  <c r="D1445" i="5"/>
  <c r="D1445" i="7" s="1"/>
  <c r="C1445" i="5"/>
  <c r="C1445" i="7" s="1"/>
  <c r="B1445" i="5"/>
  <c r="B1445" i="7" s="1"/>
  <c r="L1444" i="5"/>
  <c r="L1444" i="7" s="1"/>
  <c r="J1444" i="5"/>
  <c r="J1444" i="7" s="1"/>
  <c r="I1444" i="5"/>
  <c r="I1444" i="7" s="1"/>
  <c r="H1444" i="5"/>
  <c r="H1444" i="7" s="1"/>
  <c r="G1444" i="5"/>
  <c r="G1444" i="7" s="1"/>
  <c r="F1444" i="5"/>
  <c r="F1444" i="7" s="1"/>
  <c r="E1444" i="5"/>
  <c r="D1444" i="5"/>
  <c r="D1444" i="7" s="1"/>
  <c r="C1444" i="5"/>
  <c r="C1444" i="7" s="1"/>
  <c r="B1444" i="5"/>
  <c r="B1444" i="7" s="1"/>
  <c r="K1443" i="5"/>
  <c r="K1443" i="7" s="1"/>
  <c r="J1443" i="5"/>
  <c r="J1443" i="7" s="1"/>
  <c r="I1443" i="5"/>
  <c r="I1443" i="7" s="1"/>
  <c r="H1443" i="5"/>
  <c r="H1443" i="7" s="1"/>
  <c r="G1443" i="5"/>
  <c r="G1443" i="7" s="1"/>
  <c r="F1443" i="5"/>
  <c r="F1443" i="7" s="1"/>
  <c r="E1443" i="5"/>
  <c r="E1443" i="7" s="1"/>
  <c r="D1443" i="5"/>
  <c r="D1443" i="7" s="1"/>
  <c r="C1443" i="5"/>
  <c r="C1443" i="7" s="1"/>
  <c r="B1443" i="5"/>
  <c r="B1443" i="7" s="1"/>
  <c r="K1442" i="5"/>
  <c r="K1442" i="7" s="1"/>
  <c r="J1442" i="5"/>
  <c r="J1442" i="7" s="1"/>
  <c r="I1442" i="5"/>
  <c r="I1442" i="7" s="1"/>
  <c r="H1442" i="5"/>
  <c r="H1442" i="7" s="1"/>
  <c r="G1442" i="5"/>
  <c r="G1442" i="7" s="1"/>
  <c r="F1442" i="5"/>
  <c r="E1442" i="5"/>
  <c r="E1442" i="7" s="1"/>
  <c r="D1442" i="5"/>
  <c r="D1442" i="7" s="1"/>
  <c r="C1442" i="5"/>
  <c r="C1442" i="7" s="1"/>
  <c r="B1442" i="5"/>
  <c r="B1442" i="7" s="1"/>
  <c r="J1441" i="5"/>
  <c r="J1441" i="7" s="1"/>
  <c r="I1441" i="5"/>
  <c r="I1441" i="7" s="1"/>
  <c r="H1441" i="5"/>
  <c r="H1441" i="7" s="1"/>
  <c r="G1441" i="5"/>
  <c r="G1441" i="7" s="1"/>
  <c r="F1441" i="5"/>
  <c r="F1441" i="7" s="1"/>
  <c r="E1441" i="5"/>
  <c r="E1441" i="7" s="1"/>
  <c r="D1441" i="5"/>
  <c r="D1441" i="7" s="1"/>
  <c r="C1441" i="5"/>
  <c r="C1441" i="7" s="1"/>
  <c r="B1441" i="5"/>
  <c r="B1441" i="7" s="1"/>
  <c r="K1440" i="5"/>
  <c r="K1440" i="7" s="1"/>
  <c r="J1440" i="5"/>
  <c r="J1440" i="7" s="1"/>
  <c r="I1440" i="5"/>
  <c r="I1440" i="7" s="1"/>
  <c r="H1440" i="5"/>
  <c r="H1440" i="7" s="1"/>
  <c r="G1440" i="5"/>
  <c r="G1440" i="7" s="1"/>
  <c r="F1440" i="5"/>
  <c r="E1440" i="5"/>
  <c r="E1440" i="7" s="1"/>
  <c r="D1440" i="5"/>
  <c r="D1440" i="7" s="1"/>
  <c r="C1440" i="5"/>
  <c r="C1440" i="7" s="1"/>
  <c r="B1440" i="5"/>
  <c r="B1440" i="7" s="1"/>
  <c r="J1439" i="5"/>
  <c r="J1439" i="7" s="1"/>
  <c r="I1439" i="5"/>
  <c r="I1439" i="7" s="1"/>
  <c r="H1439" i="5"/>
  <c r="H1439" i="7" s="1"/>
  <c r="G1439" i="5"/>
  <c r="G1439" i="7" s="1"/>
  <c r="F1439" i="5"/>
  <c r="E1439" i="5"/>
  <c r="E1439" i="7" s="1"/>
  <c r="D1439" i="5"/>
  <c r="D1439" i="7" s="1"/>
  <c r="C1439" i="5"/>
  <c r="C1439" i="7" s="1"/>
  <c r="B1439" i="5"/>
  <c r="B1439" i="7" s="1"/>
  <c r="L1438" i="5"/>
  <c r="L1438" i="7" s="1"/>
  <c r="K1438" i="5"/>
  <c r="K1438" i="7" s="1"/>
  <c r="J1438" i="5"/>
  <c r="J1438" i="7" s="1"/>
  <c r="I1438" i="5"/>
  <c r="I1438" i="7" s="1"/>
  <c r="H1438" i="5"/>
  <c r="H1438" i="7" s="1"/>
  <c r="G1438" i="5"/>
  <c r="G1438" i="7" s="1"/>
  <c r="F1438" i="5"/>
  <c r="F1438" i="7" s="1"/>
  <c r="E1438" i="5"/>
  <c r="E1438" i="7" s="1"/>
  <c r="D1438" i="5"/>
  <c r="D1438" i="7" s="1"/>
  <c r="C1438" i="5"/>
  <c r="C1438" i="7" s="1"/>
  <c r="B1438" i="5"/>
  <c r="B1438" i="7" s="1"/>
  <c r="L1437" i="5"/>
  <c r="L1437" i="7" s="1"/>
  <c r="J1437" i="5"/>
  <c r="J1437" i="7" s="1"/>
  <c r="I1437" i="5"/>
  <c r="I1437" i="7" s="1"/>
  <c r="H1437" i="5"/>
  <c r="H1437" i="7" s="1"/>
  <c r="G1437" i="5"/>
  <c r="G1437" i="7" s="1"/>
  <c r="F1437" i="5"/>
  <c r="F1437" i="7" s="1"/>
  <c r="E1437" i="5"/>
  <c r="E1437" i="7" s="1"/>
  <c r="D1437" i="5"/>
  <c r="D1437" i="7" s="1"/>
  <c r="C1437" i="5"/>
  <c r="C1437" i="7" s="1"/>
  <c r="B1437" i="5"/>
  <c r="B1437" i="7" s="1"/>
  <c r="L1436" i="5"/>
  <c r="L1436" i="7" s="1"/>
  <c r="K1436" i="5"/>
  <c r="K1436" i="7" s="1"/>
  <c r="J1436" i="5"/>
  <c r="J1436" i="7" s="1"/>
  <c r="I1436" i="5"/>
  <c r="I1436" i="7" s="1"/>
  <c r="H1436" i="5"/>
  <c r="H1436" i="7" s="1"/>
  <c r="G1436" i="5"/>
  <c r="G1436" i="7" s="1"/>
  <c r="F1436" i="5"/>
  <c r="F1436" i="7" s="1"/>
  <c r="E1436" i="5"/>
  <c r="E1436" i="7" s="1"/>
  <c r="D1436" i="5"/>
  <c r="D1436" i="7" s="1"/>
  <c r="C1436" i="5"/>
  <c r="C1436" i="7" s="1"/>
  <c r="B1436" i="5"/>
  <c r="B1436" i="7" s="1"/>
  <c r="J1435" i="5"/>
  <c r="J1435" i="7" s="1"/>
  <c r="I1435" i="5"/>
  <c r="I1435" i="7" s="1"/>
  <c r="H1435" i="5"/>
  <c r="H1435" i="7" s="1"/>
  <c r="G1435" i="5"/>
  <c r="G1435" i="7" s="1"/>
  <c r="F1435" i="5"/>
  <c r="E1435" i="5"/>
  <c r="D1435" i="5"/>
  <c r="D1435" i="7" s="1"/>
  <c r="C1435" i="5"/>
  <c r="C1435" i="7" s="1"/>
  <c r="B1435" i="5"/>
  <c r="B1435" i="7" s="1"/>
  <c r="J1434" i="5"/>
  <c r="J1434" i="7" s="1"/>
  <c r="I1434" i="5"/>
  <c r="I1434" i="7" s="1"/>
  <c r="H1434" i="5"/>
  <c r="H1434" i="7" s="1"/>
  <c r="G1434" i="5"/>
  <c r="G1434" i="7" s="1"/>
  <c r="F1434" i="5"/>
  <c r="F1434" i="7" s="1"/>
  <c r="E1434" i="5"/>
  <c r="D1434" i="5"/>
  <c r="D1434" i="7" s="1"/>
  <c r="C1434" i="5"/>
  <c r="C1434" i="7" s="1"/>
  <c r="B1434" i="5"/>
  <c r="B1434" i="7" s="1"/>
  <c r="L1433" i="5"/>
  <c r="L1433" i="7" s="1"/>
  <c r="K1433" i="5"/>
  <c r="K1433" i="7" s="1"/>
  <c r="J1433" i="5"/>
  <c r="J1433" i="7" s="1"/>
  <c r="I1433" i="5"/>
  <c r="I1433" i="7" s="1"/>
  <c r="H1433" i="5"/>
  <c r="H1433" i="7" s="1"/>
  <c r="G1433" i="5"/>
  <c r="G1433" i="7" s="1"/>
  <c r="F1433" i="5"/>
  <c r="F1433" i="7" s="1"/>
  <c r="E1433" i="5"/>
  <c r="E1433" i="7" s="1"/>
  <c r="D1433" i="5"/>
  <c r="D1433" i="7" s="1"/>
  <c r="C1433" i="5"/>
  <c r="C1433" i="7" s="1"/>
  <c r="B1433" i="5"/>
  <c r="B1433" i="7" s="1"/>
  <c r="L1432" i="5"/>
  <c r="L1432" i="7" s="1"/>
  <c r="K1432" i="5"/>
  <c r="K1432" i="7" s="1"/>
  <c r="J1432" i="5"/>
  <c r="J1432" i="7" s="1"/>
  <c r="I1432" i="5"/>
  <c r="I1432" i="7" s="1"/>
  <c r="H1432" i="5"/>
  <c r="H1432" i="7" s="1"/>
  <c r="G1432" i="5"/>
  <c r="G1432" i="7" s="1"/>
  <c r="F1432" i="5"/>
  <c r="F1432" i="7" s="1"/>
  <c r="E1432" i="5"/>
  <c r="E1432" i="7" s="1"/>
  <c r="D1432" i="5"/>
  <c r="D1432" i="7" s="1"/>
  <c r="C1432" i="5"/>
  <c r="C1432" i="7" s="1"/>
  <c r="B1432" i="5"/>
  <c r="B1432" i="7" s="1"/>
  <c r="K1431" i="5"/>
  <c r="K1431" i="7" s="1"/>
  <c r="J1431" i="5"/>
  <c r="J1431" i="7" s="1"/>
  <c r="I1431" i="5"/>
  <c r="I1431" i="7" s="1"/>
  <c r="H1431" i="5"/>
  <c r="H1431" i="7" s="1"/>
  <c r="G1431" i="5"/>
  <c r="G1431" i="7" s="1"/>
  <c r="F1431" i="5"/>
  <c r="F1431" i="7" s="1"/>
  <c r="E1431" i="5"/>
  <c r="E1431" i="7" s="1"/>
  <c r="D1431" i="5"/>
  <c r="D1431" i="7" s="1"/>
  <c r="C1431" i="5"/>
  <c r="C1431" i="7" s="1"/>
  <c r="B1431" i="5"/>
  <c r="B1431" i="7" s="1"/>
  <c r="J1430" i="5"/>
  <c r="J1430" i="7" s="1"/>
  <c r="I1430" i="5"/>
  <c r="I1430" i="7" s="1"/>
  <c r="H1430" i="5"/>
  <c r="H1430" i="7" s="1"/>
  <c r="G1430" i="5"/>
  <c r="G1430" i="7" s="1"/>
  <c r="F1430" i="5"/>
  <c r="F1430" i="7" s="1"/>
  <c r="E1430" i="5"/>
  <c r="D1430" i="5"/>
  <c r="D1430" i="7" s="1"/>
  <c r="C1430" i="5"/>
  <c r="C1430" i="7" s="1"/>
  <c r="B1430" i="5"/>
  <c r="B1430" i="7" s="1"/>
  <c r="J1429" i="5"/>
  <c r="J1429" i="7" s="1"/>
  <c r="I1429" i="5"/>
  <c r="I1429" i="7" s="1"/>
  <c r="H1429" i="5"/>
  <c r="H1429" i="7" s="1"/>
  <c r="G1429" i="5"/>
  <c r="G1429" i="7" s="1"/>
  <c r="F1429" i="5"/>
  <c r="F1429" i="7" s="1"/>
  <c r="E1429" i="5"/>
  <c r="E1429" i="7" s="1"/>
  <c r="D1429" i="5"/>
  <c r="D1429" i="7" s="1"/>
  <c r="C1429" i="5"/>
  <c r="C1429" i="7" s="1"/>
  <c r="B1429" i="5"/>
  <c r="B1429" i="7" s="1"/>
  <c r="L1428" i="5"/>
  <c r="L1428" i="7" s="1"/>
  <c r="K1428" i="5"/>
  <c r="K1428" i="7" s="1"/>
  <c r="J1428" i="5"/>
  <c r="J1428" i="7" s="1"/>
  <c r="I1428" i="5"/>
  <c r="I1428" i="7" s="1"/>
  <c r="H1428" i="5"/>
  <c r="H1428" i="7" s="1"/>
  <c r="G1428" i="5"/>
  <c r="G1428" i="7" s="1"/>
  <c r="F1428" i="5"/>
  <c r="F1428" i="7" s="1"/>
  <c r="E1428" i="5"/>
  <c r="E1428" i="7" s="1"/>
  <c r="D1428" i="5"/>
  <c r="D1428" i="7" s="1"/>
  <c r="C1428" i="5"/>
  <c r="C1428" i="7" s="1"/>
  <c r="B1428" i="5"/>
  <c r="B1428" i="7" s="1"/>
  <c r="L1427" i="5"/>
  <c r="L1427" i="7" s="1"/>
  <c r="K1427" i="5"/>
  <c r="K1427" i="7" s="1"/>
  <c r="J1427" i="5"/>
  <c r="J1427" i="7" s="1"/>
  <c r="I1427" i="5"/>
  <c r="I1427" i="7" s="1"/>
  <c r="H1427" i="5"/>
  <c r="H1427" i="7" s="1"/>
  <c r="G1427" i="5"/>
  <c r="G1427" i="7" s="1"/>
  <c r="F1427" i="5"/>
  <c r="F1427" i="7" s="1"/>
  <c r="E1427" i="5"/>
  <c r="E1427" i="7" s="1"/>
  <c r="D1427" i="5"/>
  <c r="D1427" i="7" s="1"/>
  <c r="C1427" i="5"/>
  <c r="C1427" i="7" s="1"/>
  <c r="B1427" i="5"/>
  <c r="B1427" i="7" s="1"/>
  <c r="J1426" i="5"/>
  <c r="J1426" i="7" s="1"/>
  <c r="I1426" i="5"/>
  <c r="I1426" i="7" s="1"/>
  <c r="H1426" i="5"/>
  <c r="H1426" i="7" s="1"/>
  <c r="G1426" i="5"/>
  <c r="G1426" i="7" s="1"/>
  <c r="F1426" i="5"/>
  <c r="E1426" i="5"/>
  <c r="D1426" i="5"/>
  <c r="D1426" i="7" s="1"/>
  <c r="C1426" i="5"/>
  <c r="C1426" i="7" s="1"/>
  <c r="B1426" i="5"/>
  <c r="B1426" i="7" s="1"/>
  <c r="J1425" i="5"/>
  <c r="J1425" i="7" s="1"/>
  <c r="I1425" i="5"/>
  <c r="I1425" i="7" s="1"/>
  <c r="H1425" i="5"/>
  <c r="H1425" i="7" s="1"/>
  <c r="G1425" i="5"/>
  <c r="G1425" i="7" s="1"/>
  <c r="F1425" i="5"/>
  <c r="E1425" i="5"/>
  <c r="E1425" i="7" s="1"/>
  <c r="D1425" i="5"/>
  <c r="D1425" i="7" s="1"/>
  <c r="C1425" i="5"/>
  <c r="C1425" i="7" s="1"/>
  <c r="B1425" i="5"/>
  <c r="B1425" i="7" s="1"/>
  <c r="L1424" i="5"/>
  <c r="L1424" i="7" s="1"/>
  <c r="K1424" i="5"/>
  <c r="K1424" i="7" s="1"/>
  <c r="J1424" i="5"/>
  <c r="J1424" i="7" s="1"/>
  <c r="I1424" i="5"/>
  <c r="I1424" i="7" s="1"/>
  <c r="H1424" i="5"/>
  <c r="H1424" i="7" s="1"/>
  <c r="G1424" i="5"/>
  <c r="G1424" i="7" s="1"/>
  <c r="F1424" i="5"/>
  <c r="F1424" i="7" s="1"/>
  <c r="E1424" i="5"/>
  <c r="E1424" i="7" s="1"/>
  <c r="D1424" i="5"/>
  <c r="D1424" i="7" s="1"/>
  <c r="C1424" i="5"/>
  <c r="C1424" i="7" s="1"/>
  <c r="B1424" i="5"/>
  <c r="B1424" i="7" s="1"/>
  <c r="L1423" i="5"/>
  <c r="L1423" i="7" s="1"/>
  <c r="K1423" i="5"/>
  <c r="K1423" i="7" s="1"/>
  <c r="J1423" i="5"/>
  <c r="J1423" i="7" s="1"/>
  <c r="I1423" i="5"/>
  <c r="I1423" i="7" s="1"/>
  <c r="H1423" i="5"/>
  <c r="H1423" i="7" s="1"/>
  <c r="G1423" i="5"/>
  <c r="G1423" i="7" s="1"/>
  <c r="F1423" i="5"/>
  <c r="F1423" i="7" s="1"/>
  <c r="E1423" i="5"/>
  <c r="E1423" i="7" s="1"/>
  <c r="D1423" i="5"/>
  <c r="D1423" i="7" s="1"/>
  <c r="C1423" i="5"/>
  <c r="C1423" i="7" s="1"/>
  <c r="B1423" i="5"/>
  <c r="B1423" i="7" s="1"/>
  <c r="K1422" i="5"/>
  <c r="K1422" i="7" s="1"/>
  <c r="J1422" i="5"/>
  <c r="J1422" i="7" s="1"/>
  <c r="I1422" i="5"/>
  <c r="I1422" i="7" s="1"/>
  <c r="H1422" i="5"/>
  <c r="H1422" i="7" s="1"/>
  <c r="G1422" i="5"/>
  <c r="G1422" i="7" s="1"/>
  <c r="F1422" i="5"/>
  <c r="E1422" i="5"/>
  <c r="E1422" i="7" s="1"/>
  <c r="D1422" i="5"/>
  <c r="D1422" i="7" s="1"/>
  <c r="C1422" i="5"/>
  <c r="C1422" i="7" s="1"/>
  <c r="B1422" i="5"/>
  <c r="B1422" i="7" s="1"/>
  <c r="J1421" i="5"/>
  <c r="J1421" i="7" s="1"/>
  <c r="I1421" i="5"/>
  <c r="I1421" i="7" s="1"/>
  <c r="H1421" i="5"/>
  <c r="H1421" i="7" s="1"/>
  <c r="G1421" i="5"/>
  <c r="G1421" i="7" s="1"/>
  <c r="F1421" i="5"/>
  <c r="E1421" i="5"/>
  <c r="D1421" i="5"/>
  <c r="D1421" i="7" s="1"/>
  <c r="C1421" i="5"/>
  <c r="C1421" i="7" s="1"/>
  <c r="B1421" i="5"/>
  <c r="B1421" i="7" s="1"/>
  <c r="L1420" i="5"/>
  <c r="L1420" i="7" s="1"/>
  <c r="J1420" i="5"/>
  <c r="J1420" i="7" s="1"/>
  <c r="I1420" i="5"/>
  <c r="I1420" i="7" s="1"/>
  <c r="H1420" i="5"/>
  <c r="H1420" i="7" s="1"/>
  <c r="G1420" i="5"/>
  <c r="G1420" i="7" s="1"/>
  <c r="F1420" i="5"/>
  <c r="F1420" i="7" s="1"/>
  <c r="E1420" i="5"/>
  <c r="D1420" i="5"/>
  <c r="D1420" i="7" s="1"/>
  <c r="C1420" i="5"/>
  <c r="C1420" i="7" s="1"/>
  <c r="B1420" i="5"/>
  <c r="B1420" i="7" s="1"/>
  <c r="L1419" i="5"/>
  <c r="L1419" i="7" s="1"/>
  <c r="K1419" i="5"/>
  <c r="K1419" i="7" s="1"/>
  <c r="J1419" i="5"/>
  <c r="J1419" i="7" s="1"/>
  <c r="I1419" i="5"/>
  <c r="I1419" i="7" s="1"/>
  <c r="H1419" i="5"/>
  <c r="H1419" i="7" s="1"/>
  <c r="G1419" i="5"/>
  <c r="G1419" i="7" s="1"/>
  <c r="F1419" i="5"/>
  <c r="F1419" i="7" s="1"/>
  <c r="E1419" i="5"/>
  <c r="E1419" i="7" s="1"/>
  <c r="D1419" i="5"/>
  <c r="D1419" i="7" s="1"/>
  <c r="C1419" i="5"/>
  <c r="C1419" i="7" s="1"/>
  <c r="B1419" i="5"/>
  <c r="B1419" i="7" s="1"/>
  <c r="K1418" i="5"/>
  <c r="K1418" i="7" s="1"/>
  <c r="J1418" i="5"/>
  <c r="J1418" i="7" s="1"/>
  <c r="I1418" i="5"/>
  <c r="I1418" i="7" s="1"/>
  <c r="H1418" i="5"/>
  <c r="H1418" i="7" s="1"/>
  <c r="G1418" i="5"/>
  <c r="G1418" i="7" s="1"/>
  <c r="F1418" i="5"/>
  <c r="F1418" i="7" s="1"/>
  <c r="E1418" i="5"/>
  <c r="E1418" i="7" s="1"/>
  <c r="D1418" i="5"/>
  <c r="D1418" i="7" s="1"/>
  <c r="C1418" i="5"/>
  <c r="C1418" i="7" s="1"/>
  <c r="B1418" i="5"/>
  <c r="B1418" i="7" s="1"/>
  <c r="J1417" i="5"/>
  <c r="J1417" i="7" s="1"/>
  <c r="I1417" i="5"/>
  <c r="I1417" i="7" s="1"/>
  <c r="H1417" i="5"/>
  <c r="H1417" i="7" s="1"/>
  <c r="G1417" i="5"/>
  <c r="G1417" i="7" s="1"/>
  <c r="F1417" i="5"/>
  <c r="F1417" i="7" s="1"/>
  <c r="E1417" i="5"/>
  <c r="E1417" i="7" s="1"/>
  <c r="D1417" i="5"/>
  <c r="D1417" i="7" s="1"/>
  <c r="C1417" i="5"/>
  <c r="C1417" i="7" s="1"/>
  <c r="B1417" i="5"/>
  <c r="B1417" i="7" s="1"/>
  <c r="L1416" i="5"/>
  <c r="L1416" i="7" s="1"/>
  <c r="J1416" i="5"/>
  <c r="J1416" i="7" s="1"/>
  <c r="I1416" i="5"/>
  <c r="I1416" i="7" s="1"/>
  <c r="H1416" i="5"/>
  <c r="H1416" i="7" s="1"/>
  <c r="G1416" i="5"/>
  <c r="G1416" i="7" s="1"/>
  <c r="F1416" i="5"/>
  <c r="F1416" i="7" s="1"/>
  <c r="E1416" i="5"/>
  <c r="D1416" i="5"/>
  <c r="D1416" i="7" s="1"/>
  <c r="C1416" i="5"/>
  <c r="C1416" i="7" s="1"/>
  <c r="B1416" i="5"/>
  <c r="B1416" i="7" s="1"/>
  <c r="J1415" i="5"/>
  <c r="J1415" i="7" s="1"/>
  <c r="I1415" i="5"/>
  <c r="I1415" i="7" s="1"/>
  <c r="H1415" i="5"/>
  <c r="H1415" i="7" s="1"/>
  <c r="G1415" i="5"/>
  <c r="G1415" i="7" s="1"/>
  <c r="F1415" i="5"/>
  <c r="F1415" i="7" s="1"/>
  <c r="E1415" i="5"/>
  <c r="E1415" i="7" s="1"/>
  <c r="D1415" i="5"/>
  <c r="D1415" i="7" s="1"/>
  <c r="C1415" i="5"/>
  <c r="C1415" i="7" s="1"/>
  <c r="B1415" i="5"/>
  <c r="B1415" i="7" s="1"/>
  <c r="K1414" i="5"/>
  <c r="K1414" i="7" s="1"/>
  <c r="J1414" i="5"/>
  <c r="J1414" i="7" s="1"/>
  <c r="I1414" i="5"/>
  <c r="I1414" i="7" s="1"/>
  <c r="H1414" i="5"/>
  <c r="H1414" i="7" s="1"/>
  <c r="G1414" i="5"/>
  <c r="G1414" i="7" s="1"/>
  <c r="F1414" i="5"/>
  <c r="E1414" i="5"/>
  <c r="E1414" i="7" s="1"/>
  <c r="D1414" i="5"/>
  <c r="D1414" i="7" s="1"/>
  <c r="C1414" i="5"/>
  <c r="C1414" i="7" s="1"/>
  <c r="B1414" i="5"/>
  <c r="B1414" i="7" s="1"/>
  <c r="J1413" i="5"/>
  <c r="J1413" i="7" s="1"/>
  <c r="I1413" i="5"/>
  <c r="I1413" i="7" s="1"/>
  <c r="H1413" i="5"/>
  <c r="H1413" i="7" s="1"/>
  <c r="G1413" i="5"/>
  <c r="G1413" i="7" s="1"/>
  <c r="F1413" i="5"/>
  <c r="F1413" i="7" s="1"/>
  <c r="E1413" i="5"/>
  <c r="E1413" i="7" s="1"/>
  <c r="D1413" i="5"/>
  <c r="D1413" i="7" s="1"/>
  <c r="C1413" i="5"/>
  <c r="C1413" i="7" s="1"/>
  <c r="B1413" i="5"/>
  <c r="B1413" i="7" s="1"/>
  <c r="K1412" i="5"/>
  <c r="K1412" i="7" s="1"/>
  <c r="J1412" i="5"/>
  <c r="J1412" i="7" s="1"/>
  <c r="I1412" i="5"/>
  <c r="I1412" i="7" s="1"/>
  <c r="H1412" i="5"/>
  <c r="H1412" i="7" s="1"/>
  <c r="G1412" i="5"/>
  <c r="G1412" i="7" s="1"/>
  <c r="F1412" i="5"/>
  <c r="E1412" i="5"/>
  <c r="E1412" i="7" s="1"/>
  <c r="D1412" i="5"/>
  <c r="D1412" i="7" s="1"/>
  <c r="C1412" i="5"/>
  <c r="C1412" i="7" s="1"/>
  <c r="B1412" i="5"/>
  <c r="B1412" i="7" s="1"/>
  <c r="J1411" i="5"/>
  <c r="J1411" i="7" s="1"/>
  <c r="I1411" i="5"/>
  <c r="I1411" i="7" s="1"/>
  <c r="H1411" i="5"/>
  <c r="H1411" i="7" s="1"/>
  <c r="G1411" i="5"/>
  <c r="G1411" i="7" s="1"/>
  <c r="F1411" i="5"/>
  <c r="E1411" i="5"/>
  <c r="E1411" i="7" s="1"/>
  <c r="D1411" i="5"/>
  <c r="D1411" i="7" s="1"/>
  <c r="C1411" i="5"/>
  <c r="C1411" i="7" s="1"/>
  <c r="B1411" i="5"/>
  <c r="B1411" i="7" s="1"/>
  <c r="L1410" i="5"/>
  <c r="L1410" i="7" s="1"/>
  <c r="J1410" i="5"/>
  <c r="J1410" i="7" s="1"/>
  <c r="I1410" i="5"/>
  <c r="I1410" i="7" s="1"/>
  <c r="H1410" i="5"/>
  <c r="H1410" i="7" s="1"/>
  <c r="G1410" i="5"/>
  <c r="G1410" i="7" s="1"/>
  <c r="F1410" i="5"/>
  <c r="F1410" i="7" s="1"/>
  <c r="E1410" i="5"/>
  <c r="E1410" i="7" s="1"/>
  <c r="D1410" i="5"/>
  <c r="D1410" i="7" s="1"/>
  <c r="C1410" i="5"/>
  <c r="C1410" i="7" s="1"/>
  <c r="B1410" i="5"/>
  <c r="B1410" i="7" s="1"/>
  <c r="L1409" i="5"/>
  <c r="L1409" i="7" s="1"/>
  <c r="J1409" i="5"/>
  <c r="J1409" i="7" s="1"/>
  <c r="I1409" i="5"/>
  <c r="I1409" i="7" s="1"/>
  <c r="H1409" i="5"/>
  <c r="H1409" i="7" s="1"/>
  <c r="G1409" i="5"/>
  <c r="G1409" i="7" s="1"/>
  <c r="F1409" i="5"/>
  <c r="F1409" i="7" s="1"/>
  <c r="E1409" i="5"/>
  <c r="E1409" i="7" s="1"/>
  <c r="D1409" i="5"/>
  <c r="D1409" i="7" s="1"/>
  <c r="C1409" i="5"/>
  <c r="C1409" i="7" s="1"/>
  <c r="B1409" i="5"/>
  <c r="B1409" i="7" s="1"/>
  <c r="L1408" i="5"/>
  <c r="L1408" i="7" s="1"/>
  <c r="K1408" i="5"/>
  <c r="K1408" i="7" s="1"/>
  <c r="J1408" i="5"/>
  <c r="J1408" i="7" s="1"/>
  <c r="I1408" i="5"/>
  <c r="I1408" i="7" s="1"/>
  <c r="H1408" i="5"/>
  <c r="H1408" i="7" s="1"/>
  <c r="G1408" i="5"/>
  <c r="G1408" i="7" s="1"/>
  <c r="F1408" i="5"/>
  <c r="F1408" i="7" s="1"/>
  <c r="E1408" i="5"/>
  <c r="E1408" i="7" s="1"/>
  <c r="D1408" i="5"/>
  <c r="D1408" i="7" s="1"/>
  <c r="C1408" i="5"/>
  <c r="C1408" i="7" s="1"/>
  <c r="B1408" i="5"/>
  <c r="B1408" i="7" s="1"/>
  <c r="J1407" i="5"/>
  <c r="J1407" i="7" s="1"/>
  <c r="I1407" i="5"/>
  <c r="I1407" i="7" s="1"/>
  <c r="H1407" i="5"/>
  <c r="H1407" i="7" s="1"/>
  <c r="G1407" i="5"/>
  <c r="G1407" i="7" s="1"/>
  <c r="F1407" i="5"/>
  <c r="E1407" i="5"/>
  <c r="D1407" i="5"/>
  <c r="D1407" i="7" s="1"/>
  <c r="C1407" i="5"/>
  <c r="C1407" i="7" s="1"/>
  <c r="B1407" i="5"/>
  <c r="B1407" i="7" s="1"/>
  <c r="J1406" i="5"/>
  <c r="J1406" i="7" s="1"/>
  <c r="I1406" i="5"/>
  <c r="I1406" i="7" s="1"/>
  <c r="H1406" i="5"/>
  <c r="H1406" i="7" s="1"/>
  <c r="G1406" i="5"/>
  <c r="G1406" i="7" s="1"/>
  <c r="F1406" i="5"/>
  <c r="E1406" i="5"/>
  <c r="D1406" i="5"/>
  <c r="D1406" i="7" s="1"/>
  <c r="C1406" i="5"/>
  <c r="C1406" i="7" s="1"/>
  <c r="B1406" i="5"/>
  <c r="B1406" i="7" s="1"/>
  <c r="L1405" i="5"/>
  <c r="L1405" i="7" s="1"/>
  <c r="K1405" i="5"/>
  <c r="K1405" i="7" s="1"/>
  <c r="J1405" i="5"/>
  <c r="J1405" i="7" s="1"/>
  <c r="I1405" i="5"/>
  <c r="I1405" i="7" s="1"/>
  <c r="H1405" i="5"/>
  <c r="H1405" i="7" s="1"/>
  <c r="G1405" i="5"/>
  <c r="G1405" i="7" s="1"/>
  <c r="F1405" i="5"/>
  <c r="F1405" i="7" s="1"/>
  <c r="E1405" i="5"/>
  <c r="E1405" i="7" s="1"/>
  <c r="D1405" i="5"/>
  <c r="D1405" i="7" s="1"/>
  <c r="C1405" i="5"/>
  <c r="C1405" i="7" s="1"/>
  <c r="B1405" i="5"/>
  <c r="B1405" i="7" s="1"/>
  <c r="L1404" i="5"/>
  <c r="L1404" i="7" s="1"/>
  <c r="K1404" i="5"/>
  <c r="K1404" i="7" s="1"/>
  <c r="J1404" i="5"/>
  <c r="J1404" i="7" s="1"/>
  <c r="I1404" i="5"/>
  <c r="I1404" i="7" s="1"/>
  <c r="H1404" i="5"/>
  <c r="H1404" i="7" s="1"/>
  <c r="G1404" i="5"/>
  <c r="G1404" i="7" s="1"/>
  <c r="F1404" i="5"/>
  <c r="F1404" i="7" s="1"/>
  <c r="E1404" i="5"/>
  <c r="E1404" i="7" s="1"/>
  <c r="D1404" i="5"/>
  <c r="D1404" i="7" s="1"/>
  <c r="C1404" i="5"/>
  <c r="C1404" i="7" s="1"/>
  <c r="B1404" i="5"/>
  <c r="B1404" i="7" s="1"/>
  <c r="L1403" i="5"/>
  <c r="L1403" i="7" s="1"/>
  <c r="J1403" i="5"/>
  <c r="J1403" i="7" s="1"/>
  <c r="I1403" i="5"/>
  <c r="I1403" i="7" s="1"/>
  <c r="H1403" i="5"/>
  <c r="H1403" i="7" s="1"/>
  <c r="G1403" i="5"/>
  <c r="G1403" i="7" s="1"/>
  <c r="F1403" i="5"/>
  <c r="F1403" i="7" s="1"/>
  <c r="E1403" i="5"/>
  <c r="E1403" i="7" s="1"/>
  <c r="D1403" i="5"/>
  <c r="D1403" i="7" s="1"/>
  <c r="C1403" i="5"/>
  <c r="C1403" i="7" s="1"/>
  <c r="B1403" i="5"/>
  <c r="B1403" i="7" s="1"/>
  <c r="L1402" i="5"/>
  <c r="L1402" i="7" s="1"/>
  <c r="J1402" i="5"/>
  <c r="J1402" i="7" s="1"/>
  <c r="I1402" i="5"/>
  <c r="I1402" i="7" s="1"/>
  <c r="H1402" i="5"/>
  <c r="H1402" i="7" s="1"/>
  <c r="G1402" i="5"/>
  <c r="G1402" i="7" s="1"/>
  <c r="F1402" i="5"/>
  <c r="F1402" i="7" s="1"/>
  <c r="E1402" i="5"/>
  <c r="D1402" i="5"/>
  <c r="D1402" i="7" s="1"/>
  <c r="C1402" i="5"/>
  <c r="C1402" i="7" s="1"/>
  <c r="B1402" i="5"/>
  <c r="B1402" i="7" s="1"/>
  <c r="L1401" i="5"/>
  <c r="L1401" i="7" s="1"/>
  <c r="J1401" i="5"/>
  <c r="J1401" i="7" s="1"/>
  <c r="I1401" i="5"/>
  <c r="I1401" i="7" s="1"/>
  <c r="H1401" i="5"/>
  <c r="H1401" i="7" s="1"/>
  <c r="G1401" i="5"/>
  <c r="G1401" i="7" s="1"/>
  <c r="F1401" i="5"/>
  <c r="F1401" i="7" s="1"/>
  <c r="E1401" i="5"/>
  <c r="E1401" i="7" s="1"/>
  <c r="D1401" i="5"/>
  <c r="D1401" i="7" s="1"/>
  <c r="C1401" i="5"/>
  <c r="C1401" i="7" s="1"/>
  <c r="B1401" i="5"/>
  <c r="B1401" i="7" s="1"/>
  <c r="L1400" i="5"/>
  <c r="L1400" i="7" s="1"/>
  <c r="K1400" i="5"/>
  <c r="K1400" i="7" s="1"/>
  <c r="J1400" i="5"/>
  <c r="J1400" i="7" s="1"/>
  <c r="I1400" i="5"/>
  <c r="I1400" i="7" s="1"/>
  <c r="H1400" i="5"/>
  <c r="H1400" i="7" s="1"/>
  <c r="G1400" i="5"/>
  <c r="G1400" i="7" s="1"/>
  <c r="F1400" i="5"/>
  <c r="F1400" i="7" s="1"/>
  <c r="E1400" i="5"/>
  <c r="E1400" i="7" s="1"/>
  <c r="D1400" i="5"/>
  <c r="D1400" i="7" s="1"/>
  <c r="C1400" i="5"/>
  <c r="C1400" i="7" s="1"/>
  <c r="B1400" i="5"/>
  <c r="B1400" i="7" s="1"/>
  <c r="J1399" i="5"/>
  <c r="J1399" i="7" s="1"/>
  <c r="I1399" i="5"/>
  <c r="I1399" i="7" s="1"/>
  <c r="H1399" i="5"/>
  <c r="H1399" i="7" s="1"/>
  <c r="G1399" i="5"/>
  <c r="G1399" i="7" s="1"/>
  <c r="F1399" i="5"/>
  <c r="F1399" i="7" s="1"/>
  <c r="E1399" i="5"/>
  <c r="E1399" i="7" s="1"/>
  <c r="D1399" i="5"/>
  <c r="D1399" i="7" s="1"/>
  <c r="C1399" i="5"/>
  <c r="C1399" i="7" s="1"/>
  <c r="B1399" i="5"/>
  <c r="B1399" i="7" s="1"/>
  <c r="J1398" i="5"/>
  <c r="J1398" i="7" s="1"/>
  <c r="I1398" i="5"/>
  <c r="I1398" i="7" s="1"/>
  <c r="H1398" i="5"/>
  <c r="H1398" i="7" s="1"/>
  <c r="G1398" i="5"/>
  <c r="G1398" i="7" s="1"/>
  <c r="F1398" i="5"/>
  <c r="E1398" i="5"/>
  <c r="E1398" i="7" s="1"/>
  <c r="D1398" i="5"/>
  <c r="D1398" i="7" s="1"/>
  <c r="C1398" i="5"/>
  <c r="C1398" i="7" s="1"/>
  <c r="B1398" i="5"/>
  <c r="B1398" i="7" s="1"/>
  <c r="J1397" i="5"/>
  <c r="J1397" i="7" s="1"/>
  <c r="I1397" i="5"/>
  <c r="I1397" i="7" s="1"/>
  <c r="H1397" i="5"/>
  <c r="H1397" i="7" s="1"/>
  <c r="G1397" i="5"/>
  <c r="G1397" i="7" s="1"/>
  <c r="F1397" i="5"/>
  <c r="E1397" i="5"/>
  <c r="E1397" i="7" s="1"/>
  <c r="D1397" i="5"/>
  <c r="D1397" i="7" s="1"/>
  <c r="C1397" i="5"/>
  <c r="C1397" i="7" s="1"/>
  <c r="B1397" i="5"/>
  <c r="B1397" i="7" s="1"/>
  <c r="L1396" i="5"/>
  <c r="L1396" i="7" s="1"/>
  <c r="K1396" i="5"/>
  <c r="K1396" i="7" s="1"/>
  <c r="J1396" i="5"/>
  <c r="J1396" i="7" s="1"/>
  <c r="I1396" i="5"/>
  <c r="I1396" i="7" s="1"/>
  <c r="H1396" i="5"/>
  <c r="H1396" i="7" s="1"/>
  <c r="G1396" i="5"/>
  <c r="G1396" i="7" s="1"/>
  <c r="F1396" i="5"/>
  <c r="F1396" i="7" s="1"/>
  <c r="E1396" i="5"/>
  <c r="E1396" i="7" s="1"/>
  <c r="D1396" i="5"/>
  <c r="D1396" i="7" s="1"/>
  <c r="C1396" i="5"/>
  <c r="C1396" i="7" s="1"/>
  <c r="B1396" i="5"/>
  <c r="B1396" i="7" s="1"/>
  <c r="L1395" i="5"/>
  <c r="L1395" i="7" s="1"/>
  <c r="J1395" i="5"/>
  <c r="J1395" i="7" s="1"/>
  <c r="I1395" i="5"/>
  <c r="I1395" i="7" s="1"/>
  <c r="H1395" i="5"/>
  <c r="H1395" i="7" s="1"/>
  <c r="G1395" i="5"/>
  <c r="G1395" i="7" s="1"/>
  <c r="F1395" i="5"/>
  <c r="F1395" i="7" s="1"/>
  <c r="E1395" i="5"/>
  <c r="E1395" i="7" s="1"/>
  <c r="D1395" i="5"/>
  <c r="D1395" i="7" s="1"/>
  <c r="C1395" i="5"/>
  <c r="C1395" i="7" s="1"/>
  <c r="B1395" i="5"/>
  <c r="B1395" i="7" s="1"/>
  <c r="K1394" i="5"/>
  <c r="K1394" i="7" s="1"/>
  <c r="J1394" i="5"/>
  <c r="J1394" i="7" s="1"/>
  <c r="I1394" i="5"/>
  <c r="I1394" i="7" s="1"/>
  <c r="H1394" i="5"/>
  <c r="H1394" i="7" s="1"/>
  <c r="G1394" i="5"/>
  <c r="G1394" i="7" s="1"/>
  <c r="F1394" i="5"/>
  <c r="F1394" i="7" s="1"/>
  <c r="E1394" i="5"/>
  <c r="E1394" i="7" s="1"/>
  <c r="D1394" i="5"/>
  <c r="D1394" i="7" s="1"/>
  <c r="C1394" i="5"/>
  <c r="C1394" i="7" s="1"/>
  <c r="B1394" i="5"/>
  <c r="B1394" i="7" s="1"/>
  <c r="J1393" i="5"/>
  <c r="J1393" i="7" s="1"/>
  <c r="I1393" i="5"/>
  <c r="I1393" i="7" s="1"/>
  <c r="H1393" i="5"/>
  <c r="H1393" i="7" s="1"/>
  <c r="G1393" i="5"/>
  <c r="G1393" i="7" s="1"/>
  <c r="F1393" i="5"/>
  <c r="E1393" i="5"/>
  <c r="D1393" i="5"/>
  <c r="D1393" i="7" s="1"/>
  <c r="C1393" i="5"/>
  <c r="C1393" i="7" s="1"/>
  <c r="B1393" i="5"/>
  <c r="B1393" i="7" s="1"/>
  <c r="L1392" i="5"/>
  <c r="L1392" i="7" s="1"/>
  <c r="J1392" i="5"/>
  <c r="J1392" i="7" s="1"/>
  <c r="I1392" i="5"/>
  <c r="I1392" i="7" s="1"/>
  <c r="H1392" i="5"/>
  <c r="H1392" i="7" s="1"/>
  <c r="G1392" i="5"/>
  <c r="G1392" i="7" s="1"/>
  <c r="F1392" i="5"/>
  <c r="F1392" i="7" s="1"/>
  <c r="E1392" i="5"/>
  <c r="D1392" i="5"/>
  <c r="D1392" i="7" s="1"/>
  <c r="C1392" i="5"/>
  <c r="C1392" i="7" s="1"/>
  <c r="B1392" i="5"/>
  <c r="B1392" i="7" s="1"/>
  <c r="L1391" i="5"/>
  <c r="L1391" i="7" s="1"/>
  <c r="K1391" i="5"/>
  <c r="K1391" i="7" s="1"/>
  <c r="J1391" i="5"/>
  <c r="J1391" i="7" s="1"/>
  <c r="I1391" i="5"/>
  <c r="I1391" i="7" s="1"/>
  <c r="H1391" i="5"/>
  <c r="H1391" i="7" s="1"/>
  <c r="G1391" i="5"/>
  <c r="G1391" i="7" s="1"/>
  <c r="F1391" i="5"/>
  <c r="F1391" i="7" s="1"/>
  <c r="E1391" i="5"/>
  <c r="E1391" i="7" s="1"/>
  <c r="D1391" i="5"/>
  <c r="D1391" i="7" s="1"/>
  <c r="C1391" i="5"/>
  <c r="C1391" i="7" s="1"/>
  <c r="B1391" i="5"/>
  <c r="B1391" i="7" s="1"/>
  <c r="K1390" i="5"/>
  <c r="K1390" i="7" s="1"/>
  <c r="J1390" i="5"/>
  <c r="J1390" i="7" s="1"/>
  <c r="I1390" i="5"/>
  <c r="I1390" i="7" s="1"/>
  <c r="H1390" i="5"/>
  <c r="H1390" i="7" s="1"/>
  <c r="G1390" i="5"/>
  <c r="G1390" i="7" s="1"/>
  <c r="F1390" i="5"/>
  <c r="F1390" i="7" s="1"/>
  <c r="E1390" i="5"/>
  <c r="E1390" i="7" s="1"/>
  <c r="D1390" i="5"/>
  <c r="D1390" i="7" s="1"/>
  <c r="C1390" i="5"/>
  <c r="C1390" i="7" s="1"/>
  <c r="B1390" i="5"/>
  <c r="B1390" i="7" s="1"/>
  <c r="J1389" i="5"/>
  <c r="J1389" i="7" s="1"/>
  <c r="I1389" i="5"/>
  <c r="I1389" i="7" s="1"/>
  <c r="H1389" i="5"/>
  <c r="H1389" i="7" s="1"/>
  <c r="G1389" i="5"/>
  <c r="G1389" i="7" s="1"/>
  <c r="F1389" i="5"/>
  <c r="F1389" i="7" s="1"/>
  <c r="E1389" i="5"/>
  <c r="E1389" i="7" s="1"/>
  <c r="D1389" i="5"/>
  <c r="D1389" i="7" s="1"/>
  <c r="C1389" i="5"/>
  <c r="C1389" i="7" s="1"/>
  <c r="B1389" i="5"/>
  <c r="B1389" i="7" s="1"/>
  <c r="L1388" i="5"/>
  <c r="L1388" i="7" s="1"/>
  <c r="J1388" i="5"/>
  <c r="J1388" i="7" s="1"/>
  <c r="I1388" i="5"/>
  <c r="I1388" i="7" s="1"/>
  <c r="H1388" i="5"/>
  <c r="H1388" i="7" s="1"/>
  <c r="G1388" i="5"/>
  <c r="G1388" i="7" s="1"/>
  <c r="F1388" i="5"/>
  <c r="F1388" i="7" s="1"/>
  <c r="E1388" i="5"/>
  <c r="D1388" i="5"/>
  <c r="D1388" i="7" s="1"/>
  <c r="C1388" i="5"/>
  <c r="C1388" i="7" s="1"/>
  <c r="B1388" i="5"/>
  <c r="B1388" i="7" s="1"/>
  <c r="J1387" i="5"/>
  <c r="J1387" i="7" s="1"/>
  <c r="I1387" i="5"/>
  <c r="I1387" i="7" s="1"/>
  <c r="H1387" i="5"/>
  <c r="H1387" i="7" s="1"/>
  <c r="G1387" i="5"/>
  <c r="G1387" i="7" s="1"/>
  <c r="F1387" i="5"/>
  <c r="F1387" i="7" s="1"/>
  <c r="E1387" i="5"/>
  <c r="E1387" i="7" s="1"/>
  <c r="D1387" i="5"/>
  <c r="D1387" i="7" s="1"/>
  <c r="C1387" i="5"/>
  <c r="C1387" i="7" s="1"/>
  <c r="B1387" i="5"/>
  <c r="B1387" i="7" s="1"/>
  <c r="K1386" i="5"/>
  <c r="K1386" i="7" s="1"/>
  <c r="J1386" i="5"/>
  <c r="J1386" i="7" s="1"/>
  <c r="I1386" i="5"/>
  <c r="I1386" i="7" s="1"/>
  <c r="H1386" i="5"/>
  <c r="H1386" i="7" s="1"/>
  <c r="G1386" i="5"/>
  <c r="G1386" i="7" s="1"/>
  <c r="F1386" i="5"/>
  <c r="F1386" i="7" s="1"/>
  <c r="E1386" i="5"/>
  <c r="D1386" i="5"/>
  <c r="D1386" i="7" s="1"/>
  <c r="C1386" i="5"/>
  <c r="C1386" i="7" s="1"/>
  <c r="B1386" i="5"/>
  <c r="B1386" i="7" s="1"/>
  <c r="J1385" i="5"/>
  <c r="J1385" i="7" s="1"/>
  <c r="I1385" i="5"/>
  <c r="I1385" i="7" s="1"/>
  <c r="H1385" i="5"/>
  <c r="H1385" i="7" s="1"/>
  <c r="G1385" i="5"/>
  <c r="G1385" i="7" s="1"/>
  <c r="F1385" i="5"/>
  <c r="F1385" i="7" s="1"/>
  <c r="E1385" i="5"/>
  <c r="E1385" i="7" s="1"/>
  <c r="D1385" i="5"/>
  <c r="D1385" i="7" s="1"/>
  <c r="C1385" i="5"/>
  <c r="C1385" i="7" s="1"/>
  <c r="B1385" i="5"/>
  <c r="B1385" i="7" s="1"/>
  <c r="K1384" i="5"/>
  <c r="K1384" i="7" s="1"/>
  <c r="J1384" i="5"/>
  <c r="J1384" i="7" s="1"/>
  <c r="I1384" i="5"/>
  <c r="I1384" i="7" s="1"/>
  <c r="H1384" i="5"/>
  <c r="H1384" i="7" s="1"/>
  <c r="G1384" i="5"/>
  <c r="G1384" i="7" s="1"/>
  <c r="F1384" i="5"/>
  <c r="E1384" i="5"/>
  <c r="E1384" i="7" s="1"/>
  <c r="D1384" i="5"/>
  <c r="D1384" i="7" s="1"/>
  <c r="C1384" i="5"/>
  <c r="C1384" i="7" s="1"/>
  <c r="B1384" i="5"/>
  <c r="B1384" i="7" s="1"/>
  <c r="K1383" i="5"/>
  <c r="K1383" i="7" s="1"/>
  <c r="J1383" i="5"/>
  <c r="J1383" i="7" s="1"/>
  <c r="I1383" i="5"/>
  <c r="I1383" i="7" s="1"/>
  <c r="H1383" i="5"/>
  <c r="H1383" i="7" s="1"/>
  <c r="G1383" i="5"/>
  <c r="G1383" i="7" s="1"/>
  <c r="F1383" i="5"/>
  <c r="E1383" i="5"/>
  <c r="E1383" i="7" s="1"/>
  <c r="D1383" i="5"/>
  <c r="D1383" i="7" s="1"/>
  <c r="C1383" i="5"/>
  <c r="C1383" i="7" s="1"/>
  <c r="B1383" i="5"/>
  <c r="B1383" i="7" s="1"/>
  <c r="L1382" i="5"/>
  <c r="L1382" i="7" s="1"/>
  <c r="K1382" i="5"/>
  <c r="K1382" i="7" s="1"/>
  <c r="J1382" i="5"/>
  <c r="J1382" i="7" s="1"/>
  <c r="I1382" i="5"/>
  <c r="I1382" i="7" s="1"/>
  <c r="H1382" i="5"/>
  <c r="H1382" i="7" s="1"/>
  <c r="G1382" i="5"/>
  <c r="G1382" i="7" s="1"/>
  <c r="F1382" i="5"/>
  <c r="F1382" i="7" s="1"/>
  <c r="E1382" i="5"/>
  <c r="E1382" i="7" s="1"/>
  <c r="D1382" i="5"/>
  <c r="D1382" i="7" s="1"/>
  <c r="C1382" i="5"/>
  <c r="C1382" i="7" s="1"/>
  <c r="B1382" i="5"/>
  <c r="B1382" i="7" s="1"/>
  <c r="L1381" i="5"/>
  <c r="L1381" i="7" s="1"/>
  <c r="J1381" i="5"/>
  <c r="J1381" i="7" s="1"/>
  <c r="I1381" i="5"/>
  <c r="I1381" i="7" s="1"/>
  <c r="H1381" i="5"/>
  <c r="H1381" i="7" s="1"/>
  <c r="G1381" i="5"/>
  <c r="G1381" i="7" s="1"/>
  <c r="F1381" i="5"/>
  <c r="F1381" i="7" s="1"/>
  <c r="E1381" i="5"/>
  <c r="E1381" i="7" s="1"/>
  <c r="D1381" i="5"/>
  <c r="D1381" i="7" s="1"/>
  <c r="C1381" i="5"/>
  <c r="C1381" i="7" s="1"/>
  <c r="B1381" i="5"/>
  <c r="B1381" i="7" s="1"/>
  <c r="L1380" i="5"/>
  <c r="L1380" i="7" s="1"/>
  <c r="J1380" i="5"/>
  <c r="J1380" i="7" s="1"/>
  <c r="I1380" i="5"/>
  <c r="I1380" i="7" s="1"/>
  <c r="H1380" i="5"/>
  <c r="H1380" i="7" s="1"/>
  <c r="G1380" i="5"/>
  <c r="G1380" i="7" s="1"/>
  <c r="F1380" i="5"/>
  <c r="F1380" i="7" s="1"/>
  <c r="E1380" i="5"/>
  <c r="E1380" i="7" s="1"/>
  <c r="D1380" i="5"/>
  <c r="D1380" i="7" s="1"/>
  <c r="C1380" i="5"/>
  <c r="C1380" i="7" s="1"/>
  <c r="B1380" i="5"/>
  <c r="B1380" i="7" s="1"/>
  <c r="J1379" i="5"/>
  <c r="J1379" i="7" s="1"/>
  <c r="I1379" i="5"/>
  <c r="I1379" i="7" s="1"/>
  <c r="H1379" i="5"/>
  <c r="H1379" i="7" s="1"/>
  <c r="G1379" i="5"/>
  <c r="G1379" i="7" s="1"/>
  <c r="F1379" i="5"/>
  <c r="E1379" i="5"/>
  <c r="D1379" i="5"/>
  <c r="D1379" i="7" s="1"/>
  <c r="C1379" i="5"/>
  <c r="C1379" i="7" s="1"/>
  <c r="B1379" i="5"/>
  <c r="B1379" i="7" s="1"/>
  <c r="J1378" i="5"/>
  <c r="J1378" i="7" s="1"/>
  <c r="I1378" i="5"/>
  <c r="I1378" i="7" s="1"/>
  <c r="H1378" i="5"/>
  <c r="H1378" i="7" s="1"/>
  <c r="G1378" i="5"/>
  <c r="G1378" i="7" s="1"/>
  <c r="F1378" i="5"/>
  <c r="F1378" i="7" s="1"/>
  <c r="E1378" i="5"/>
  <c r="D1378" i="5"/>
  <c r="D1378" i="7" s="1"/>
  <c r="C1378" i="5"/>
  <c r="C1378" i="7" s="1"/>
  <c r="B1378" i="5"/>
  <c r="B1378" i="7" s="1"/>
  <c r="L1377" i="5"/>
  <c r="L1377" i="7" s="1"/>
  <c r="K1377" i="5"/>
  <c r="K1377" i="7" s="1"/>
  <c r="J1377" i="5"/>
  <c r="J1377" i="7" s="1"/>
  <c r="I1377" i="5"/>
  <c r="I1377" i="7" s="1"/>
  <c r="H1377" i="5"/>
  <c r="H1377" i="7" s="1"/>
  <c r="G1377" i="5"/>
  <c r="G1377" i="7" s="1"/>
  <c r="F1377" i="5"/>
  <c r="F1377" i="7" s="1"/>
  <c r="E1377" i="5"/>
  <c r="E1377" i="7" s="1"/>
  <c r="D1377" i="5"/>
  <c r="D1377" i="7" s="1"/>
  <c r="C1377" i="5"/>
  <c r="C1377" i="7" s="1"/>
  <c r="B1377" i="5"/>
  <c r="B1377" i="7" s="1"/>
  <c r="L1376" i="5"/>
  <c r="L1376" i="7" s="1"/>
  <c r="K1376" i="5"/>
  <c r="K1376" i="7" s="1"/>
  <c r="J1376" i="5"/>
  <c r="J1376" i="7" s="1"/>
  <c r="I1376" i="5"/>
  <c r="I1376" i="7" s="1"/>
  <c r="H1376" i="5"/>
  <c r="H1376" i="7" s="1"/>
  <c r="G1376" i="5"/>
  <c r="G1376" i="7" s="1"/>
  <c r="F1376" i="5"/>
  <c r="F1376" i="7" s="1"/>
  <c r="E1376" i="5"/>
  <c r="E1376" i="7" s="1"/>
  <c r="D1376" i="5"/>
  <c r="D1376" i="7" s="1"/>
  <c r="C1376" i="5"/>
  <c r="C1376" i="7" s="1"/>
  <c r="B1376" i="5"/>
  <c r="B1376" i="7" s="1"/>
  <c r="L1375" i="5"/>
  <c r="L1375" i="7" s="1"/>
  <c r="K1375" i="5"/>
  <c r="K1375" i="7" s="1"/>
  <c r="J1375" i="5"/>
  <c r="J1375" i="7" s="1"/>
  <c r="I1375" i="5"/>
  <c r="I1375" i="7" s="1"/>
  <c r="H1375" i="5"/>
  <c r="H1375" i="7" s="1"/>
  <c r="G1375" i="5"/>
  <c r="G1375" i="7" s="1"/>
  <c r="F1375" i="5"/>
  <c r="F1375" i="7" s="1"/>
  <c r="E1375" i="5"/>
  <c r="E1375" i="7" s="1"/>
  <c r="D1375" i="5"/>
  <c r="D1375" i="7" s="1"/>
  <c r="C1375" i="5"/>
  <c r="C1375" i="7" s="1"/>
  <c r="B1375" i="5"/>
  <c r="B1375" i="7" s="1"/>
  <c r="L1374" i="5"/>
  <c r="L1374" i="7" s="1"/>
  <c r="J1374" i="5"/>
  <c r="J1374" i="7" s="1"/>
  <c r="I1374" i="5"/>
  <c r="I1374" i="7" s="1"/>
  <c r="H1374" i="5"/>
  <c r="H1374" i="7" s="1"/>
  <c r="G1374" i="5"/>
  <c r="G1374" i="7" s="1"/>
  <c r="F1374" i="5"/>
  <c r="F1374" i="7" s="1"/>
  <c r="E1374" i="5"/>
  <c r="D1374" i="5"/>
  <c r="D1374" i="7" s="1"/>
  <c r="C1374" i="5"/>
  <c r="C1374" i="7" s="1"/>
  <c r="B1374" i="5"/>
  <c r="B1374" i="7" s="1"/>
  <c r="J1373" i="5"/>
  <c r="J1373" i="7" s="1"/>
  <c r="I1373" i="5"/>
  <c r="I1373" i="7" s="1"/>
  <c r="H1373" i="5"/>
  <c r="H1373" i="7" s="1"/>
  <c r="G1373" i="5"/>
  <c r="G1373" i="7" s="1"/>
  <c r="F1373" i="5"/>
  <c r="F1373" i="7" s="1"/>
  <c r="E1373" i="5"/>
  <c r="E1373" i="7" s="1"/>
  <c r="D1373" i="5"/>
  <c r="D1373" i="7" s="1"/>
  <c r="C1373" i="5"/>
  <c r="C1373" i="7" s="1"/>
  <c r="B1373" i="5"/>
  <c r="B1373" i="7" s="1"/>
  <c r="L1372" i="5"/>
  <c r="L1372" i="7" s="1"/>
  <c r="K1372" i="5"/>
  <c r="K1372" i="7" s="1"/>
  <c r="J1372" i="5"/>
  <c r="J1372" i="7" s="1"/>
  <c r="I1372" i="5"/>
  <c r="I1372" i="7" s="1"/>
  <c r="H1372" i="5"/>
  <c r="H1372" i="7" s="1"/>
  <c r="G1372" i="5"/>
  <c r="G1372" i="7" s="1"/>
  <c r="F1372" i="5"/>
  <c r="F1372" i="7" s="1"/>
  <c r="E1372" i="5"/>
  <c r="E1372" i="7" s="1"/>
  <c r="D1372" i="5"/>
  <c r="D1372" i="7" s="1"/>
  <c r="C1372" i="5"/>
  <c r="C1372" i="7" s="1"/>
  <c r="B1372" i="5"/>
  <c r="B1372" i="7" s="1"/>
  <c r="L1371" i="5"/>
  <c r="L1371" i="7" s="1"/>
  <c r="K1371" i="5"/>
  <c r="K1371" i="7" s="1"/>
  <c r="J1371" i="5"/>
  <c r="J1371" i="7" s="1"/>
  <c r="I1371" i="5"/>
  <c r="I1371" i="7" s="1"/>
  <c r="H1371" i="5"/>
  <c r="H1371" i="7" s="1"/>
  <c r="G1371" i="5"/>
  <c r="G1371" i="7" s="1"/>
  <c r="F1371" i="5"/>
  <c r="F1371" i="7" s="1"/>
  <c r="E1371" i="5"/>
  <c r="E1371" i="7" s="1"/>
  <c r="D1371" i="5"/>
  <c r="D1371" i="7" s="1"/>
  <c r="C1371" i="5"/>
  <c r="C1371" i="7" s="1"/>
  <c r="B1371" i="5"/>
  <c r="B1371" i="7" s="1"/>
  <c r="K1370" i="5"/>
  <c r="K1370" i="7" s="1"/>
  <c r="J1370" i="5"/>
  <c r="J1370" i="7" s="1"/>
  <c r="I1370" i="5"/>
  <c r="I1370" i="7" s="1"/>
  <c r="H1370" i="5"/>
  <c r="H1370" i="7" s="1"/>
  <c r="G1370" i="5"/>
  <c r="G1370" i="7" s="1"/>
  <c r="F1370" i="5"/>
  <c r="E1370" i="5"/>
  <c r="E1370" i="7" s="1"/>
  <c r="D1370" i="5"/>
  <c r="D1370" i="7" s="1"/>
  <c r="C1370" i="5"/>
  <c r="C1370" i="7" s="1"/>
  <c r="B1370" i="5"/>
  <c r="B1370" i="7" s="1"/>
  <c r="J1369" i="5"/>
  <c r="J1369" i="7" s="1"/>
  <c r="I1369" i="5"/>
  <c r="I1369" i="7" s="1"/>
  <c r="H1369" i="5"/>
  <c r="H1369" i="7" s="1"/>
  <c r="G1369" i="5"/>
  <c r="G1369" i="7" s="1"/>
  <c r="F1369" i="5"/>
  <c r="E1369" i="5"/>
  <c r="E1369" i="7" s="1"/>
  <c r="D1369" i="5"/>
  <c r="D1369" i="7" s="1"/>
  <c r="C1369" i="5"/>
  <c r="C1369" i="7" s="1"/>
  <c r="B1369" i="5"/>
  <c r="B1369" i="7" s="1"/>
  <c r="L1368" i="5"/>
  <c r="L1368" i="7" s="1"/>
  <c r="J1368" i="5"/>
  <c r="J1368" i="7" s="1"/>
  <c r="I1368" i="5"/>
  <c r="I1368" i="7" s="1"/>
  <c r="H1368" i="5"/>
  <c r="H1368" i="7" s="1"/>
  <c r="G1368" i="5"/>
  <c r="G1368" i="7" s="1"/>
  <c r="F1368" i="5"/>
  <c r="F1368" i="7" s="1"/>
  <c r="E1368" i="5"/>
  <c r="E1368" i="7" s="1"/>
  <c r="D1368" i="5"/>
  <c r="D1368" i="7" s="1"/>
  <c r="C1368" i="5"/>
  <c r="C1368" i="7" s="1"/>
  <c r="B1368" i="5"/>
  <c r="B1368" i="7" s="1"/>
  <c r="L1367" i="5"/>
  <c r="L1367" i="7" s="1"/>
  <c r="K1367" i="5"/>
  <c r="K1367" i="7" s="1"/>
  <c r="J1367" i="5"/>
  <c r="J1367" i="7" s="1"/>
  <c r="I1367" i="5"/>
  <c r="I1367" i="7" s="1"/>
  <c r="H1367" i="5"/>
  <c r="H1367" i="7" s="1"/>
  <c r="G1367" i="5"/>
  <c r="G1367" i="7" s="1"/>
  <c r="F1367" i="5"/>
  <c r="F1367" i="7" s="1"/>
  <c r="E1367" i="5"/>
  <c r="E1367" i="7" s="1"/>
  <c r="D1367" i="5"/>
  <c r="D1367" i="7" s="1"/>
  <c r="C1367" i="5"/>
  <c r="C1367" i="7" s="1"/>
  <c r="B1367" i="5"/>
  <c r="B1367" i="7" s="1"/>
  <c r="L1366" i="5"/>
  <c r="L1366" i="7" s="1"/>
  <c r="J1366" i="5"/>
  <c r="J1366" i="7" s="1"/>
  <c r="I1366" i="5"/>
  <c r="I1366" i="7" s="1"/>
  <c r="H1366" i="5"/>
  <c r="H1366" i="7" s="1"/>
  <c r="G1366" i="5"/>
  <c r="G1366" i="7" s="1"/>
  <c r="F1366" i="5"/>
  <c r="F1366" i="7" s="1"/>
  <c r="E1366" i="5"/>
  <c r="E1366" i="7" s="1"/>
  <c r="D1366" i="5"/>
  <c r="D1366" i="7" s="1"/>
  <c r="C1366" i="5"/>
  <c r="C1366" i="7" s="1"/>
  <c r="B1366" i="5"/>
  <c r="B1366" i="7" s="1"/>
  <c r="J1365" i="5"/>
  <c r="J1365" i="7" s="1"/>
  <c r="I1365" i="5"/>
  <c r="I1365" i="7" s="1"/>
  <c r="H1365" i="5"/>
  <c r="H1365" i="7" s="1"/>
  <c r="G1365" i="5"/>
  <c r="G1365" i="7" s="1"/>
  <c r="F1365" i="5"/>
  <c r="E1365" i="5"/>
  <c r="D1365" i="5"/>
  <c r="D1365" i="7" s="1"/>
  <c r="C1365" i="5"/>
  <c r="C1365" i="7" s="1"/>
  <c r="B1365" i="5"/>
  <c r="B1365" i="7" s="1"/>
  <c r="L1364" i="5"/>
  <c r="L1364" i="7" s="1"/>
  <c r="J1364" i="5"/>
  <c r="J1364" i="7" s="1"/>
  <c r="I1364" i="5"/>
  <c r="I1364" i="7" s="1"/>
  <c r="H1364" i="5"/>
  <c r="H1364" i="7" s="1"/>
  <c r="G1364" i="5"/>
  <c r="G1364" i="7" s="1"/>
  <c r="F1364" i="5"/>
  <c r="F1364" i="7" s="1"/>
  <c r="E1364" i="5"/>
  <c r="D1364" i="5"/>
  <c r="D1364" i="7" s="1"/>
  <c r="C1364" i="5"/>
  <c r="C1364" i="7" s="1"/>
  <c r="B1364" i="5"/>
  <c r="B1364" i="7" s="1"/>
  <c r="L1363" i="5"/>
  <c r="L1363" i="7" s="1"/>
  <c r="K1363" i="5"/>
  <c r="K1363" i="7" s="1"/>
  <c r="J1363" i="5"/>
  <c r="J1363" i="7" s="1"/>
  <c r="I1363" i="5"/>
  <c r="I1363" i="7" s="1"/>
  <c r="H1363" i="5"/>
  <c r="H1363" i="7" s="1"/>
  <c r="G1363" i="5"/>
  <c r="G1363" i="7" s="1"/>
  <c r="F1363" i="5"/>
  <c r="F1363" i="7" s="1"/>
  <c r="E1363" i="5"/>
  <c r="E1363" i="7" s="1"/>
  <c r="D1363" i="5"/>
  <c r="D1363" i="7" s="1"/>
  <c r="C1363" i="5"/>
  <c r="C1363" i="7" s="1"/>
  <c r="B1363" i="5"/>
  <c r="B1363" i="7" s="1"/>
  <c r="L1362" i="5"/>
  <c r="L1362" i="7" s="1"/>
  <c r="K1362" i="5"/>
  <c r="K1362" i="7" s="1"/>
  <c r="J1362" i="5"/>
  <c r="J1362" i="7" s="1"/>
  <c r="I1362" i="5"/>
  <c r="I1362" i="7" s="1"/>
  <c r="H1362" i="5"/>
  <c r="H1362" i="7" s="1"/>
  <c r="G1362" i="5"/>
  <c r="G1362" i="7" s="1"/>
  <c r="F1362" i="5"/>
  <c r="F1362" i="7" s="1"/>
  <c r="E1362" i="5"/>
  <c r="E1362" i="7" s="1"/>
  <c r="D1362" i="5"/>
  <c r="D1362" i="7" s="1"/>
  <c r="C1362" i="5"/>
  <c r="C1362" i="7" s="1"/>
  <c r="B1362" i="5"/>
  <c r="B1362" i="7" s="1"/>
  <c r="J1361" i="5"/>
  <c r="J1361" i="7" s="1"/>
  <c r="I1361" i="5"/>
  <c r="I1361" i="7" s="1"/>
  <c r="H1361" i="5"/>
  <c r="H1361" i="7" s="1"/>
  <c r="G1361" i="5"/>
  <c r="G1361" i="7" s="1"/>
  <c r="F1361" i="5"/>
  <c r="F1361" i="7" s="1"/>
  <c r="E1361" i="5"/>
  <c r="E1361" i="7" s="1"/>
  <c r="D1361" i="5"/>
  <c r="D1361" i="7" s="1"/>
  <c r="C1361" i="5"/>
  <c r="C1361" i="7" s="1"/>
  <c r="B1361" i="5"/>
  <c r="B1361" i="7" s="1"/>
  <c r="L1360" i="5"/>
  <c r="L1360" i="7" s="1"/>
  <c r="J1360" i="5"/>
  <c r="J1360" i="7" s="1"/>
  <c r="I1360" i="5"/>
  <c r="I1360" i="7" s="1"/>
  <c r="H1360" i="5"/>
  <c r="H1360" i="7" s="1"/>
  <c r="G1360" i="5"/>
  <c r="G1360" i="7" s="1"/>
  <c r="F1360" i="5"/>
  <c r="F1360" i="7" s="1"/>
  <c r="E1360" i="5"/>
  <c r="D1360" i="5"/>
  <c r="D1360" i="7" s="1"/>
  <c r="C1360" i="5"/>
  <c r="C1360" i="7" s="1"/>
  <c r="B1360" i="5"/>
  <c r="B1360" i="7" s="1"/>
  <c r="L1359" i="5"/>
  <c r="L1359" i="7" s="1"/>
  <c r="K1359" i="5"/>
  <c r="K1359" i="7" s="1"/>
  <c r="J1359" i="5"/>
  <c r="J1359" i="7" s="1"/>
  <c r="I1359" i="5"/>
  <c r="I1359" i="7" s="1"/>
  <c r="H1359" i="5"/>
  <c r="H1359" i="7" s="1"/>
  <c r="G1359" i="5"/>
  <c r="G1359" i="7" s="1"/>
  <c r="F1359" i="5"/>
  <c r="F1359" i="7" s="1"/>
  <c r="E1359" i="5"/>
  <c r="E1359" i="7" s="1"/>
  <c r="D1359" i="5"/>
  <c r="D1359" i="7" s="1"/>
  <c r="C1359" i="5"/>
  <c r="C1359" i="7" s="1"/>
  <c r="B1359" i="5"/>
  <c r="B1359" i="7" s="1"/>
  <c r="L1358" i="5"/>
  <c r="L1358" i="7" s="1"/>
  <c r="K1358" i="5"/>
  <c r="K1358" i="7" s="1"/>
  <c r="J1358" i="5"/>
  <c r="J1358" i="7" s="1"/>
  <c r="I1358" i="5"/>
  <c r="I1358" i="7" s="1"/>
  <c r="H1358" i="5"/>
  <c r="H1358" i="7" s="1"/>
  <c r="G1358" i="5"/>
  <c r="G1358" i="7" s="1"/>
  <c r="F1358" i="5"/>
  <c r="F1358" i="7" s="1"/>
  <c r="E1358" i="5"/>
  <c r="E1358" i="7" s="1"/>
  <c r="D1358" i="5"/>
  <c r="D1358" i="7" s="1"/>
  <c r="C1358" i="5"/>
  <c r="C1358" i="7" s="1"/>
  <c r="B1358" i="5"/>
  <c r="B1358" i="7" s="1"/>
  <c r="J1357" i="5"/>
  <c r="J1357" i="7" s="1"/>
  <c r="I1357" i="5"/>
  <c r="I1357" i="7" s="1"/>
  <c r="H1357" i="5"/>
  <c r="H1357" i="7" s="1"/>
  <c r="G1357" i="5"/>
  <c r="G1357" i="7" s="1"/>
  <c r="F1357" i="5"/>
  <c r="F1357" i="7" s="1"/>
  <c r="E1357" i="5"/>
  <c r="E1357" i="7" s="1"/>
  <c r="D1357" i="5"/>
  <c r="D1357" i="7" s="1"/>
  <c r="C1357" i="5"/>
  <c r="C1357" i="7" s="1"/>
  <c r="B1357" i="5"/>
  <c r="B1357" i="7" s="1"/>
  <c r="J1356" i="5"/>
  <c r="J1356" i="7" s="1"/>
  <c r="I1356" i="5"/>
  <c r="I1356" i="7" s="1"/>
  <c r="H1356" i="5"/>
  <c r="H1356" i="7" s="1"/>
  <c r="G1356" i="5"/>
  <c r="G1356" i="7" s="1"/>
  <c r="F1356" i="5"/>
  <c r="E1356" i="5"/>
  <c r="E1356" i="7" s="1"/>
  <c r="D1356" i="5"/>
  <c r="D1356" i="7" s="1"/>
  <c r="C1356" i="5"/>
  <c r="C1356" i="7" s="1"/>
  <c r="B1356" i="5"/>
  <c r="B1356" i="7" s="1"/>
  <c r="K1355" i="5"/>
  <c r="K1355" i="7" s="1"/>
  <c r="J1355" i="5"/>
  <c r="J1355" i="7" s="1"/>
  <c r="I1355" i="5"/>
  <c r="I1355" i="7" s="1"/>
  <c r="H1355" i="5"/>
  <c r="H1355" i="7" s="1"/>
  <c r="G1355" i="5"/>
  <c r="G1355" i="7" s="1"/>
  <c r="F1355" i="5"/>
  <c r="E1355" i="5"/>
  <c r="E1355" i="7" s="1"/>
  <c r="D1355" i="5"/>
  <c r="D1355" i="7" s="1"/>
  <c r="C1355" i="5"/>
  <c r="C1355" i="7" s="1"/>
  <c r="B1355" i="5"/>
  <c r="B1355" i="7" s="1"/>
  <c r="L1354" i="5"/>
  <c r="L1354" i="7" s="1"/>
  <c r="J1354" i="5"/>
  <c r="J1354" i="7" s="1"/>
  <c r="I1354" i="5"/>
  <c r="I1354" i="7" s="1"/>
  <c r="H1354" i="5"/>
  <c r="H1354" i="7" s="1"/>
  <c r="G1354" i="5"/>
  <c r="G1354" i="7" s="1"/>
  <c r="F1354" i="5"/>
  <c r="F1354" i="7" s="1"/>
  <c r="E1354" i="5"/>
  <c r="E1354" i="7" s="1"/>
  <c r="D1354" i="5"/>
  <c r="D1354" i="7" s="1"/>
  <c r="C1354" i="5"/>
  <c r="C1354" i="7" s="1"/>
  <c r="B1354" i="5"/>
  <c r="B1354" i="7" s="1"/>
  <c r="L1353" i="5"/>
  <c r="L1353" i="7" s="1"/>
  <c r="J1353" i="5"/>
  <c r="J1353" i="7" s="1"/>
  <c r="I1353" i="5"/>
  <c r="I1353" i="7" s="1"/>
  <c r="H1353" i="5"/>
  <c r="H1353" i="7" s="1"/>
  <c r="G1353" i="5"/>
  <c r="G1353" i="7" s="1"/>
  <c r="F1353" i="5"/>
  <c r="F1353" i="7" s="1"/>
  <c r="E1353" i="5"/>
  <c r="E1353" i="7" s="1"/>
  <c r="D1353" i="5"/>
  <c r="D1353" i="7" s="1"/>
  <c r="C1353" i="5"/>
  <c r="C1353" i="7" s="1"/>
  <c r="B1353" i="5"/>
  <c r="B1353" i="7" s="1"/>
  <c r="J1352" i="5"/>
  <c r="J1352" i="7" s="1"/>
  <c r="I1352" i="5"/>
  <c r="I1352" i="7" s="1"/>
  <c r="H1352" i="5"/>
  <c r="H1352" i="7" s="1"/>
  <c r="G1352" i="5"/>
  <c r="G1352" i="7" s="1"/>
  <c r="F1352" i="5"/>
  <c r="F1352" i="7" s="1"/>
  <c r="E1352" i="5"/>
  <c r="E1352" i="7" s="1"/>
  <c r="D1352" i="5"/>
  <c r="D1352" i="7" s="1"/>
  <c r="C1352" i="5"/>
  <c r="C1352" i="7" s="1"/>
  <c r="B1352" i="5"/>
  <c r="B1352" i="7" s="1"/>
  <c r="J1351" i="5"/>
  <c r="J1351" i="7" s="1"/>
  <c r="I1351" i="5"/>
  <c r="I1351" i="7" s="1"/>
  <c r="H1351" i="5"/>
  <c r="H1351" i="7" s="1"/>
  <c r="G1351" i="5"/>
  <c r="G1351" i="7" s="1"/>
  <c r="F1351" i="5"/>
  <c r="E1351" i="5"/>
  <c r="D1351" i="5"/>
  <c r="D1351" i="7" s="1"/>
  <c r="C1351" i="5"/>
  <c r="C1351" i="7" s="1"/>
  <c r="B1351" i="5"/>
  <c r="B1351" i="7" s="1"/>
  <c r="L1350" i="5"/>
  <c r="L1350" i="7" s="1"/>
  <c r="J1350" i="5"/>
  <c r="J1350" i="7" s="1"/>
  <c r="I1350" i="5"/>
  <c r="I1350" i="7" s="1"/>
  <c r="H1350" i="5"/>
  <c r="H1350" i="7" s="1"/>
  <c r="G1350" i="5"/>
  <c r="G1350" i="7" s="1"/>
  <c r="F1350" i="5"/>
  <c r="F1350" i="7" s="1"/>
  <c r="E1350" i="5"/>
  <c r="D1350" i="5"/>
  <c r="D1350" i="7" s="1"/>
  <c r="C1350" i="5"/>
  <c r="C1350" i="7" s="1"/>
  <c r="B1350" i="5"/>
  <c r="B1350" i="7" s="1"/>
  <c r="L1349" i="5"/>
  <c r="L1349" i="7" s="1"/>
  <c r="K1349" i="5"/>
  <c r="K1349" i="7" s="1"/>
  <c r="J1349" i="5"/>
  <c r="J1349" i="7" s="1"/>
  <c r="I1349" i="5"/>
  <c r="I1349" i="7" s="1"/>
  <c r="H1349" i="5"/>
  <c r="H1349" i="7" s="1"/>
  <c r="G1349" i="5"/>
  <c r="G1349" i="7" s="1"/>
  <c r="F1349" i="5"/>
  <c r="F1349" i="7" s="1"/>
  <c r="E1349" i="5"/>
  <c r="E1349" i="7" s="1"/>
  <c r="D1349" i="5"/>
  <c r="D1349" i="7" s="1"/>
  <c r="C1349" i="5"/>
  <c r="C1349" i="7" s="1"/>
  <c r="B1349" i="5"/>
  <c r="B1349" i="7" s="1"/>
  <c r="K1348" i="5"/>
  <c r="K1348" i="7" s="1"/>
  <c r="J1348" i="5"/>
  <c r="J1348" i="7" s="1"/>
  <c r="I1348" i="5"/>
  <c r="I1348" i="7" s="1"/>
  <c r="H1348" i="5"/>
  <c r="H1348" i="7" s="1"/>
  <c r="G1348" i="5"/>
  <c r="G1348" i="7" s="1"/>
  <c r="F1348" i="5"/>
  <c r="F1348" i="7" s="1"/>
  <c r="E1348" i="5"/>
  <c r="E1348" i="7" s="1"/>
  <c r="D1348" i="5"/>
  <c r="D1348" i="7" s="1"/>
  <c r="C1348" i="5"/>
  <c r="C1348" i="7" s="1"/>
  <c r="B1348" i="5"/>
  <c r="B1348" i="7" s="1"/>
  <c r="L1347" i="5"/>
  <c r="L1347" i="7" s="1"/>
  <c r="J1347" i="5"/>
  <c r="J1347" i="7" s="1"/>
  <c r="I1347" i="5"/>
  <c r="I1347" i="7" s="1"/>
  <c r="H1347" i="5"/>
  <c r="H1347" i="7" s="1"/>
  <c r="G1347" i="5"/>
  <c r="G1347" i="7" s="1"/>
  <c r="F1347" i="5"/>
  <c r="F1347" i="7" s="1"/>
  <c r="E1347" i="5"/>
  <c r="E1347" i="7" s="1"/>
  <c r="D1347" i="5"/>
  <c r="D1347" i="7" s="1"/>
  <c r="C1347" i="5"/>
  <c r="C1347" i="7" s="1"/>
  <c r="B1347" i="5"/>
  <c r="B1347" i="7" s="1"/>
  <c r="J1346" i="5"/>
  <c r="J1346" i="7" s="1"/>
  <c r="I1346" i="5"/>
  <c r="I1346" i="7" s="1"/>
  <c r="H1346" i="5"/>
  <c r="H1346" i="7" s="1"/>
  <c r="G1346" i="5"/>
  <c r="G1346" i="7" s="1"/>
  <c r="F1346" i="5"/>
  <c r="F1346" i="7" s="1"/>
  <c r="E1346" i="5"/>
  <c r="D1346" i="5"/>
  <c r="D1346" i="7" s="1"/>
  <c r="C1346" i="5"/>
  <c r="C1346" i="7" s="1"/>
  <c r="B1346" i="5"/>
  <c r="B1346" i="7" s="1"/>
  <c r="J1345" i="5"/>
  <c r="J1345" i="7" s="1"/>
  <c r="I1345" i="5"/>
  <c r="I1345" i="7" s="1"/>
  <c r="H1345" i="5"/>
  <c r="H1345" i="7" s="1"/>
  <c r="G1345" i="5"/>
  <c r="G1345" i="7" s="1"/>
  <c r="F1345" i="5"/>
  <c r="F1345" i="7" s="1"/>
  <c r="E1345" i="5"/>
  <c r="E1345" i="7" s="1"/>
  <c r="D1345" i="5"/>
  <c r="D1345" i="7" s="1"/>
  <c r="C1345" i="5"/>
  <c r="C1345" i="7" s="1"/>
  <c r="B1345" i="5"/>
  <c r="B1345" i="7" s="1"/>
  <c r="K1344" i="5"/>
  <c r="K1344" i="7" s="1"/>
  <c r="J1344" i="5"/>
  <c r="J1344" i="7" s="1"/>
  <c r="I1344" i="5"/>
  <c r="I1344" i="7" s="1"/>
  <c r="H1344" i="5"/>
  <c r="H1344" i="7" s="1"/>
  <c r="G1344" i="5"/>
  <c r="G1344" i="7" s="1"/>
  <c r="F1344" i="5"/>
  <c r="F1344" i="7" s="1"/>
  <c r="E1344" i="5"/>
  <c r="E1344" i="7" s="1"/>
  <c r="D1344" i="5"/>
  <c r="D1344" i="7" s="1"/>
  <c r="C1344" i="5"/>
  <c r="C1344" i="7" s="1"/>
  <c r="B1344" i="5"/>
  <c r="B1344" i="7" s="1"/>
  <c r="K1343" i="5"/>
  <c r="K1343" i="7" s="1"/>
  <c r="J1343" i="5"/>
  <c r="J1343" i="7" s="1"/>
  <c r="I1343" i="5"/>
  <c r="I1343" i="7" s="1"/>
  <c r="H1343" i="5"/>
  <c r="H1343" i="7" s="1"/>
  <c r="G1343" i="5"/>
  <c r="G1343" i="7" s="1"/>
  <c r="F1343" i="5"/>
  <c r="F1343" i="7" s="1"/>
  <c r="E1343" i="5"/>
  <c r="E1343" i="7" s="1"/>
  <c r="D1343" i="5"/>
  <c r="D1343" i="7" s="1"/>
  <c r="C1343" i="5"/>
  <c r="C1343" i="7" s="1"/>
  <c r="B1343" i="5"/>
  <c r="B1343" i="7" s="1"/>
  <c r="K1342" i="5"/>
  <c r="K1342" i="7" s="1"/>
  <c r="J1342" i="5"/>
  <c r="J1342" i="7" s="1"/>
  <c r="I1342" i="5"/>
  <c r="I1342" i="7" s="1"/>
  <c r="H1342" i="5"/>
  <c r="H1342" i="7" s="1"/>
  <c r="G1342" i="5"/>
  <c r="G1342" i="7" s="1"/>
  <c r="F1342" i="5"/>
  <c r="E1342" i="5"/>
  <c r="E1342" i="7" s="1"/>
  <c r="D1342" i="5"/>
  <c r="D1342" i="7" s="1"/>
  <c r="C1342" i="5"/>
  <c r="C1342" i="7" s="1"/>
  <c r="B1342" i="5"/>
  <c r="B1342" i="7" s="1"/>
  <c r="J1341" i="5"/>
  <c r="J1341" i="7" s="1"/>
  <c r="I1341" i="5"/>
  <c r="I1341" i="7" s="1"/>
  <c r="H1341" i="5"/>
  <c r="H1341" i="7" s="1"/>
  <c r="G1341" i="5"/>
  <c r="G1341" i="7" s="1"/>
  <c r="F1341" i="5"/>
  <c r="E1341" i="5"/>
  <c r="E1341" i="7" s="1"/>
  <c r="D1341" i="5"/>
  <c r="D1341" i="7" s="1"/>
  <c r="C1341" i="5"/>
  <c r="C1341" i="7" s="1"/>
  <c r="B1341" i="5"/>
  <c r="B1341" i="7" s="1"/>
  <c r="L1340" i="5"/>
  <c r="L1340" i="7" s="1"/>
  <c r="J1340" i="5"/>
  <c r="J1340" i="7" s="1"/>
  <c r="I1340" i="5"/>
  <c r="I1340" i="7" s="1"/>
  <c r="H1340" i="5"/>
  <c r="H1340" i="7" s="1"/>
  <c r="G1340" i="5"/>
  <c r="G1340" i="7" s="1"/>
  <c r="F1340" i="5"/>
  <c r="F1340" i="7" s="1"/>
  <c r="E1340" i="5"/>
  <c r="E1340" i="7" s="1"/>
  <c r="D1340" i="5"/>
  <c r="D1340" i="7" s="1"/>
  <c r="C1340" i="5"/>
  <c r="C1340" i="7" s="1"/>
  <c r="B1340" i="5"/>
  <c r="B1340" i="7" s="1"/>
  <c r="L1339" i="5"/>
  <c r="L1339" i="7" s="1"/>
  <c r="K1339" i="5"/>
  <c r="K1339" i="7" s="1"/>
  <c r="J1339" i="5"/>
  <c r="J1339" i="7" s="1"/>
  <c r="I1339" i="5"/>
  <c r="I1339" i="7" s="1"/>
  <c r="H1339" i="5"/>
  <c r="H1339" i="7" s="1"/>
  <c r="G1339" i="5"/>
  <c r="G1339" i="7" s="1"/>
  <c r="F1339" i="5"/>
  <c r="F1339" i="7" s="1"/>
  <c r="E1339" i="5"/>
  <c r="E1339" i="7" s="1"/>
  <c r="D1339" i="5"/>
  <c r="D1339" i="7" s="1"/>
  <c r="C1339" i="5"/>
  <c r="C1339" i="7" s="1"/>
  <c r="B1339" i="5"/>
  <c r="B1339" i="7" s="1"/>
  <c r="L1338" i="5"/>
  <c r="L1338" i="7" s="1"/>
  <c r="K1338" i="5"/>
  <c r="K1338" i="7" s="1"/>
  <c r="J1338" i="5"/>
  <c r="J1338" i="7" s="1"/>
  <c r="I1338" i="5"/>
  <c r="I1338" i="7" s="1"/>
  <c r="H1338" i="5"/>
  <c r="H1338" i="7" s="1"/>
  <c r="G1338" i="5"/>
  <c r="G1338" i="7" s="1"/>
  <c r="F1338" i="5"/>
  <c r="F1338" i="7" s="1"/>
  <c r="E1338" i="5"/>
  <c r="E1338" i="7" s="1"/>
  <c r="D1338" i="5"/>
  <c r="D1338" i="7" s="1"/>
  <c r="C1338" i="5"/>
  <c r="C1338" i="7" s="1"/>
  <c r="B1338" i="5"/>
  <c r="B1338" i="7" s="1"/>
  <c r="J1337" i="5"/>
  <c r="J1337" i="7" s="1"/>
  <c r="I1337" i="5"/>
  <c r="I1337" i="7" s="1"/>
  <c r="H1337" i="5"/>
  <c r="H1337" i="7" s="1"/>
  <c r="G1337" i="5"/>
  <c r="G1337" i="7" s="1"/>
  <c r="F1337" i="5"/>
  <c r="E1337" i="5"/>
  <c r="D1337" i="5"/>
  <c r="D1337" i="7" s="1"/>
  <c r="C1337" i="5"/>
  <c r="C1337" i="7" s="1"/>
  <c r="B1337" i="5"/>
  <c r="B1337" i="7" s="1"/>
  <c r="J1336" i="5"/>
  <c r="J1336" i="7" s="1"/>
  <c r="I1336" i="5"/>
  <c r="I1336" i="7" s="1"/>
  <c r="H1336" i="5"/>
  <c r="H1336" i="7" s="1"/>
  <c r="G1336" i="5"/>
  <c r="G1336" i="7" s="1"/>
  <c r="F1336" i="5"/>
  <c r="F1336" i="7" s="1"/>
  <c r="E1336" i="5"/>
  <c r="D1336" i="5"/>
  <c r="D1336" i="7" s="1"/>
  <c r="C1336" i="5"/>
  <c r="C1336" i="7" s="1"/>
  <c r="B1336" i="5"/>
  <c r="B1336" i="7" s="1"/>
  <c r="L1335" i="5"/>
  <c r="L1335" i="7" s="1"/>
  <c r="K1335" i="5"/>
  <c r="K1335" i="7" s="1"/>
  <c r="J1335" i="5"/>
  <c r="J1335" i="7" s="1"/>
  <c r="I1335" i="5"/>
  <c r="I1335" i="7" s="1"/>
  <c r="H1335" i="5"/>
  <c r="H1335" i="7" s="1"/>
  <c r="G1335" i="5"/>
  <c r="G1335" i="7" s="1"/>
  <c r="F1335" i="5"/>
  <c r="F1335" i="7" s="1"/>
  <c r="E1335" i="5"/>
  <c r="E1335" i="7" s="1"/>
  <c r="D1335" i="5"/>
  <c r="D1335" i="7" s="1"/>
  <c r="C1335" i="5"/>
  <c r="C1335" i="7" s="1"/>
  <c r="B1335" i="5"/>
  <c r="B1335" i="7" s="1"/>
  <c r="K1334" i="5"/>
  <c r="K1334" i="7" s="1"/>
  <c r="J1334" i="5"/>
  <c r="J1334" i="7" s="1"/>
  <c r="I1334" i="5"/>
  <c r="I1334" i="7" s="1"/>
  <c r="H1334" i="5"/>
  <c r="H1334" i="7" s="1"/>
  <c r="G1334" i="5"/>
  <c r="G1334" i="7" s="1"/>
  <c r="F1334" i="5"/>
  <c r="F1334" i="7" s="1"/>
  <c r="E1334" i="5"/>
  <c r="E1334" i="7" s="1"/>
  <c r="D1334" i="5"/>
  <c r="D1334" i="7" s="1"/>
  <c r="C1334" i="5"/>
  <c r="C1334" i="7" s="1"/>
  <c r="B1334" i="5"/>
  <c r="B1334" i="7" s="1"/>
  <c r="K1333" i="5"/>
  <c r="K1333" i="7" s="1"/>
  <c r="J1333" i="5"/>
  <c r="J1333" i="7" s="1"/>
  <c r="I1333" i="5"/>
  <c r="I1333" i="7" s="1"/>
  <c r="H1333" i="5"/>
  <c r="H1333" i="7" s="1"/>
  <c r="G1333" i="5"/>
  <c r="G1333" i="7" s="1"/>
  <c r="F1333" i="5"/>
  <c r="F1333" i="7" s="1"/>
  <c r="E1333" i="5"/>
  <c r="E1333" i="7" s="1"/>
  <c r="D1333" i="5"/>
  <c r="D1333" i="7" s="1"/>
  <c r="C1333" i="5"/>
  <c r="C1333" i="7" s="1"/>
  <c r="B1333" i="5"/>
  <c r="B1333" i="7" s="1"/>
  <c r="J1332" i="5"/>
  <c r="J1332" i="7" s="1"/>
  <c r="I1332" i="5"/>
  <c r="I1332" i="7" s="1"/>
  <c r="H1332" i="5"/>
  <c r="H1332" i="7" s="1"/>
  <c r="G1332" i="5"/>
  <c r="G1332" i="7" s="1"/>
  <c r="F1332" i="5"/>
  <c r="F1332" i="7" s="1"/>
  <c r="E1332" i="5"/>
  <c r="D1332" i="5"/>
  <c r="D1332" i="7" s="1"/>
  <c r="C1332" i="5"/>
  <c r="C1332" i="7" s="1"/>
  <c r="B1332" i="5"/>
  <c r="B1332" i="7" s="1"/>
  <c r="K1331" i="5"/>
  <c r="K1331" i="7" s="1"/>
  <c r="J1331" i="5"/>
  <c r="J1331" i="7" s="1"/>
  <c r="I1331" i="5"/>
  <c r="I1331" i="7" s="1"/>
  <c r="H1331" i="5"/>
  <c r="H1331" i="7" s="1"/>
  <c r="G1331" i="5"/>
  <c r="G1331" i="7" s="1"/>
  <c r="F1331" i="5"/>
  <c r="F1331" i="7" s="1"/>
  <c r="E1331" i="5"/>
  <c r="E1331" i="7" s="1"/>
  <c r="D1331" i="5"/>
  <c r="D1331" i="7" s="1"/>
  <c r="C1331" i="5"/>
  <c r="C1331" i="7" s="1"/>
  <c r="B1331" i="5"/>
  <c r="B1331" i="7" s="1"/>
  <c r="L1330" i="5"/>
  <c r="L1330" i="7" s="1"/>
  <c r="K1330" i="5"/>
  <c r="K1330" i="7" s="1"/>
  <c r="J1330" i="5"/>
  <c r="J1330" i="7" s="1"/>
  <c r="I1330" i="5"/>
  <c r="I1330" i="7" s="1"/>
  <c r="H1330" i="5"/>
  <c r="H1330" i="7" s="1"/>
  <c r="G1330" i="5"/>
  <c r="G1330" i="7" s="1"/>
  <c r="F1330" i="5"/>
  <c r="F1330" i="7" s="1"/>
  <c r="E1330" i="5"/>
  <c r="E1330" i="7" s="1"/>
  <c r="D1330" i="5"/>
  <c r="D1330" i="7" s="1"/>
  <c r="C1330" i="5"/>
  <c r="C1330" i="7" s="1"/>
  <c r="B1330" i="5"/>
  <c r="B1330" i="7" s="1"/>
  <c r="L1329" i="5"/>
  <c r="L1329" i="7" s="1"/>
  <c r="J1329" i="5"/>
  <c r="J1329" i="7" s="1"/>
  <c r="I1329" i="5"/>
  <c r="I1329" i="7" s="1"/>
  <c r="H1329" i="5"/>
  <c r="H1329" i="7" s="1"/>
  <c r="G1329" i="5"/>
  <c r="G1329" i="7" s="1"/>
  <c r="F1329" i="5"/>
  <c r="F1329" i="7" s="1"/>
  <c r="E1329" i="5"/>
  <c r="E1329" i="7" s="1"/>
  <c r="D1329" i="5"/>
  <c r="D1329" i="7" s="1"/>
  <c r="C1329" i="5"/>
  <c r="C1329" i="7" s="1"/>
  <c r="B1329" i="5"/>
  <c r="B1329" i="7" s="1"/>
  <c r="J1328" i="5"/>
  <c r="J1328" i="7" s="1"/>
  <c r="I1328" i="5"/>
  <c r="I1328" i="7" s="1"/>
  <c r="H1328" i="5"/>
  <c r="H1328" i="7" s="1"/>
  <c r="G1328" i="5"/>
  <c r="G1328" i="7" s="1"/>
  <c r="F1328" i="5"/>
  <c r="E1328" i="5"/>
  <c r="E1328" i="7" s="1"/>
  <c r="D1328" i="5"/>
  <c r="D1328" i="7" s="1"/>
  <c r="C1328" i="5"/>
  <c r="C1328" i="7" s="1"/>
  <c r="B1328" i="5"/>
  <c r="B1328" i="7" s="1"/>
  <c r="K1327" i="5"/>
  <c r="K1327" i="7" s="1"/>
  <c r="J1327" i="5"/>
  <c r="J1327" i="7" s="1"/>
  <c r="I1327" i="5"/>
  <c r="I1327" i="7" s="1"/>
  <c r="H1327" i="5"/>
  <c r="H1327" i="7" s="1"/>
  <c r="G1327" i="5"/>
  <c r="G1327" i="7" s="1"/>
  <c r="F1327" i="5"/>
  <c r="E1327" i="5"/>
  <c r="E1327" i="7" s="1"/>
  <c r="D1327" i="5"/>
  <c r="D1327" i="7" s="1"/>
  <c r="C1327" i="5"/>
  <c r="C1327" i="7" s="1"/>
  <c r="B1327" i="5"/>
  <c r="B1327" i="7" s="1"/>
  <c r="L1326" i="5"/>
  <c r="L1326" i="7" s="1"/>
  <c r="K1326" i="5"/>
  <c r="K1326" i="7" s="1"/>
  <c r="J1326" i="5"/>
  <c r="J1326" i="7" s="1"/>
  <c r="I1326" i="5"/>
  <c r="I1326" i="7" s="1"/>
  <c r="H1326" i="5"/>
  <c r="H1326" i="7" s="1"/>
  <c r="G1326" i="5"/>
  <c r="G1326" i="7" s="1"/>
  <c r="F1326" i="5"/>
  <c r="F1326" i="7" s="1"/>
  <c r="E1326" i="5"/>
  <c r="E1326" i="7" s="1"/>
  <c r="D1326" i="5"/>
  <c r="D1326" i="7" s="1"/>
  <c r="C1326" i="5"/>
  <c r="C1326" i="7" s="1"/>
  <c r="B1326" i="5"/>
  <c r="B1326" i="7" s="1"/>
  <c r="L1325" i="5"/>
  <c r="L1325" i="7" s="1"/>
  <c r="J1325" i="5"/>
  <c r="J1325" i="7" s="1"/>
  <c r="I1325" i="5"/>
  <c r="I1325" i="7" s="1"/>
  <c r="H1325" i="5"/>
  <c r="H1325" i="7" s="1"/>
  <c r="G1325" i="5"/>
  <c r="G1325" i="7" s="1"/>
  <c r="F1325" i="5"/>
  <c r="F1325" i="7" s="1"/>
  <c r="E1325" i="5"/>
  <c r="E1325" i="7" s="1"/>
  <c r="D1325" i="5"/>
  <c r="D1325" i="7" s="1"/>
  <c r="C1325" i="5"/>
  <c r="C1325" i="7" s="1"/>
  <c r="B1325" i="5"/>
  <c r="B1325" i="7" s="1"/>
  <c r="J1324" i="5"/>
  <c r="J1324" i="7" s="1"/>
  <c r="I1324" i="5"/>
  <c r="I1324" i="7" s="1"/>
  <c r="H1324" i="5"/>
  <c r="H1324" i="7" s="1"/>
  <c r="G1324" i="5"/>
  <c r="G1324" i="7" s="1"/>
  <c r="F1324" i="5"/>
  <c r="F1324" i="7" s="1"/>
  <c r="E1324" i="5"/>
  <c r="E1324" i="7" s="1"/>
  <c r="D1324" i="5"/>
  <c r="D1324" i="7" s="1"/>
  <c r="C1324" i="5"/>
  <c r="C1324" i="7" s="1"/>
  <c r="B1324" i="5"/>
  <c r="B1324" i="7" s="1"/>
  <c r="J1323" i="5"/>
  <c r="J1323" i="7" s="1"/>
  <c r="I1323" i="5"/>
  <c r="I1323" i="7" s="1"/>
  <c r="H1323" i="5"/>
  <c r="H1323" i="7" s="1"/>
  <c r="G1323" i="5"/>
  <c r="G1323" i="7" s="1"/>
  <c r="F1323" i="5"/>
  <c r="E1323" i="5"/>
  <c r="D1323" i="5"/>
  <c r="D1323" i="7" s="1"/>
  <c r="C1323" i="5"/>
  <c r="C1323" i="7" s="1"/>
  <c r="B1323" i="5"/>
  <c r="B1323" i="7" s="1"/>
  <c r="J1322" i="5"/>
  <c r="J1322" i="7" s="1"/>
  <c r="I1322" i="5"/>
  <c r="I1322" i="7" s="1"/>
  <c r="H1322" i="5"/>
  <c r="H1322" i="7" s="1"/>
  <c r="G1322" i="5"/>
  <c r="G1322" i="7" s="1"/>
  <c r="F1322" i="5"/>
  <c r="F1322" i="7" s="1"/>
  <c r="E1322" i="5"/>
  <c r="D1322" i="5"/>
  <c r="D1322" i="7" s="1"/>
  <c r="C1322" i="5"/>
  <c r="C1322" i="7" s="1"/>
  <c r="B1322" i="5"/>
  <c r="B1322" i="7" s="1"/>
  <c r="L1321" i="5"/>
  <c r="L1321" i="7" s="1"/>
  <c r="K1321" i="5"/>
  <c r="K1321" i="7" s="1"/>
  <c r="J1321" i="5"/>
  <c r="J1321" i="7" s="1"/>
  <c r="I1321" i="5"/>
  <c r="I1321" i="7" s="1"/>
  <c r="H1321" i="5"/>
  <c r="H1321" i="7" s="1"/>
  <c r="G1321" i="5"/>
  <c r="G1321" i="7" s="1"/>
  <c r="F1321" i="5"/>
  <c r="F1321" i="7" s="1"/>
  <c r="E1321" i="5"/>
  <c r="E1321" i="7" s="1"/>
  <c r="D1321" i="5"/>
  <c r="D1321" i="7" s="1"/>
  <c r="C1321" i="5"/>
  <c r="C1321" i="7" s="1"/>
  <c r="B1321" i="5"/>
  <c r="B1321" i="7" s="1"/>
  <c r="K1320" i="5"/>
  <c r="K1320" i="7" s="1"/>
  <c r="J1320" i="5"/>
  <c r="J1320" i="7" s="1"/>
  <c r="I1320" i="5"/>
  <c r="I1320" i="7" s="1"/>
  <c r="H1320" i="5"/>
  <c r="H1320" i="7" s="1"/>
  <c r="G1320" i="5"/>
  <c r="G1320" i="7" s="1"/>
  <c r="F1320" i="5"/>
  <c r="F1320" i="7" s="1"/>
  <c r="E1320" i="5"/>
  <c r="E1320" i="7" s="1"/>
  <c r="D1320" i="5"/>
  <c r="D1320" i="7" s="1"/>
  <c r="C1320" i="5"/>
  <c r="C1320" i="7" s="1"/>
  <c r="B1320" i="5"/>
  <c r="B1320" i="7" s="1"/>
  <c r="L1319" i="5"/>
  <c r="L1319" i="7" s="1"/>
  <c r="J1319" i="5"/>
  <c r="J1319" i="7" s="1"/>
  <c r="I1319" i="5"/>
  <c r="I1319" i="7" s="1"/>
  <c r="H1319" i="5"/>
  <c r="H1319" i="7" s="1"/>
  <c r="G1319" i="5"/>
  <c r="G1319" i="7" s="1"/>
  <c r="F1319" i="5"/>
  <c r="F1319" i="7" s="1"/>
  <c r="E1319" i="5"/>
  <c r="E1319" i="7" s="1"/>
  <c r="D1319" i="5"/>
  <c r="D1319" i="7" s="1"/>
  <c r="C1319" i="5"/>
  <c r="C1319" i="7" s="1"/>
  <c r="B1319" i="5"/>
  <c r="B1319" i="7" s="1"/>
  <c r="L1318" i="5"/>
  <c r="L1318" i="7" s="1"/>
  <c r="J1318" i="5"/>
  <c r="J1318" i="7" s="1"/>
  <c r="I1318" i="5"/>
  <c r="I1318" i="7" s="1"/>
  <c r="H1318" i="5"/>
  <c r="H1318" i="7" s="1"/>
  <c r="G1318" i="5"/>
  <c r="G1318" i="7" s="1"/>
  <c r="F1318" i="5"/>
  <c r="F1318" i="7" s="1"/>
  <c r="E1318" i="5"/>
  <c r="D1318" i="5"/>
  <c r="D1318" i="7" s="1"/>
  <c r="C1318" i="5"/>
  <c r="C1318" i="7" s="1"/>
  <c r="B1318" i="5"/>
  <c r="B1318" i="7" s="1"/>
  <c r="L1317" i="5"/>
  <c r="L1317" i="7" s="1"/>
  <c r="J1317" i="5"/>
  <c r="J1317" i="7" s="1"/>
  <c r="I1317" i="5"/>
  <c r="I1317" i="7" s="1"/>
  <c r="H1317" i="5"/>
  <c r="H1317" i="7" s="1"/>
  <c r="G1317" i="5"/>
  <c r="G1317" i="7" s="1"/>
  <c r="F1317" i="5"/>
  <c r="F1317" i="7" s="1"/>
  <c r="E1317" i="5"/>
  <c r="E1317" i="7" s="1"/>
  <c r="D1317" i="5"/>
  <c r="D1317" i="7" s="1"/>
  <c r="C1317" i="5"/>
  <c r="C1317" i="7" s="1"/>
  <c r="B1317" i="5"/>
  <c r="B1317" i="7" s="1"/>
  <c r="K1316" i="5"/>
  <c r="K1316" i="7" s="1"/>
  <c r="J1316" i="5"/>
  <c r="J1316" i="7" s="1"/>
  <c r="I1316" i="5"/>
  <c r="I1316" i="7" s="1"/>
  <c r="H1316" i="5"/>
  <c r="H1316" i="7" s="1"/>
  <c r="G1316" i="5"/>
  <c r="G1316" i="7" s="1"/>
  <c r="F1316" i="5"/>
  <c r="F1316" i="7" s="1"/>
  <c r="E1316" i="5"/>
  <c r="E1316" i="7" s="1"/>
  <c r="D1316" i="5"/>
  <c r="D1316" i="7" s="1"/>
  <c r="C1316" i="5"/>
  <c r="C1316" i="7" s="1"/>
  <c r="B1316" i="5"/>
  <c r="B1316" i="7" s="1"/>
  <c r="J1315" i="5"/>
  <c r="J1315" i="7" s="1"/>
  <c r="I1315" i="5"/>
  <c r="I1315" i="7" s="1"/>
  <c r="H1315" i="5"/>
  <c r="H1315" i="7" s="1"/>
  <c r="G1315" i="5"/>
  <c r="G1315" i="7" s="1"/>
  <c r="F1315" i="5"/>
  <c r="F1315" i="7" s="1"/>
  <c r="E1315" i="5"/>
  <c r="E1315" i="7" s="1"/>
  <c r="D1315" i="5"/>
  <c r="D1315" i="7" s="1"/>
  <c r="C1315" i="5"/>
  <c r="C1315" i="7" s="1"/>
  <c r="B1315" i="5"/>
  <c r="B1315" i="7" s="1"/>
  <c r="K1314" i="5"/>
  <c r="K1314" i="7" s="1"/>
  <c r="J1314" i="5"/>
  <c r="J1314" i="7" s="1"/>
  <c r="I1314" i="5"/>
  <c r="I1314" i="7" s="1"/>
  <c r="H1314" i="5"/>
  <c r="H1314" i="7" s="1"/>
  <c r="G1314" i="5"/>
  <c r="G1314" i="7" s="1"/>
  <c r="F1314" i="5"/>
  <c r="E1314" i="5"/>
  <c r="E1314" i="7" s="1"/>
  <c r="D1314" i="5"/>
  <c r="D1314" i="7" s="1"/>
  <c r="C1314" i="5"/>
  <c r="C1314" i="7" s="1"/>
  <c r="B1314" i="5"/>
  <c r="B1314" i="7" s="1"/>
  <c r="J1313" i="5"/>
  <c r="J1313" i="7" s="1"/>
  <c r="I1313" i="5"/>
  <c r="I1313" i="7" s="1"/>
  <c r="H1313" i="5"/>
  <c r="H1313" i="7" s="1"/>
  <c r="G1313" i="5"/>
  <c r="G1313" i="7" s="1"/>
  <c r="F1313" i="5"/>
  <c r="E1313" i="5"/>
  <c r="E1313" i="7" s="1"/>
  <c r="D1313" i="5"/>
  <c r="D1313" i="7" s="1"/>
  <c r="C1313" i="5"/>
  <c r="C1313" i="7" s="1"/>
  <c r="B1313" i="5"/>
  <c r="B1313" i="7" s="1"/>
  <c r="L1312" i="5"/>
  <c r="L1312" i="7" s="1"/>
  <c r="J1312" i="5"/>
  <c r="J1312" i="7" s="1"/>
  <c r="I1312" i="5"/>
  <c r="I1312" i="7" s="1"/>
  <c r="H1312" i="5"/>
  <c r="H1312" i="7" s="1"/>
  <c r="G1312" i="5"/>
  <c r="G1312" i="7" s="1"/>
  <c r="F1312" i="5"/>
  <c r="F1312" i="7" s="1"/>
  <c r="E1312" i="5"/>
  <c r="E1312" i="7" s="1"/>
  <c r="D1312" i="5"/>
  <c r="D1312" i="7" s="1"/>
  <c r="C1312" i="5"/>
  <c r="C1312" i="7" s="1"/>
  <c r="B1312" i="5"/>
  <c r="B1312" i="7" s="1"/>
  <c r="L1311" i="5"/>
  <c r="L1311" i="7" s="1"/>
  <c r="J1311" i="5"/>
  <c r="J1311" i="7" s="1"/>
  <c r="I1311" i="5"/>
  <c r="I1311" i="7" s="1"/>
  <c r="H1311" i="5"/>
  <c r="H1311" i="7" s="1"/>
  <c r="G1311" i="5"/>
  <c r="G1311" i="7" s="1"/>
  <c r="F1311" i="5"/>
  <c r="F1311" i="7" s="1"/>
  <c r="E1311" i="5"/>
  <c r="E1311" i="7" s="1"/>
  <c r="D1311" i="5"/>
  <c r="D1311" i="7" s="1"/>
  <c r="C1311" i="5"/>
  <c r="C1311" i="7" s="1"/>
  <c r="B1311" i="5"/>
  <c r="B1311" i="7" s="1"/>
  <c r="L1310" i="5"/>
  <c r="L1310" i="7" s="1"/>
  <c r="J1310" i="5"/>
  <c r="J1310" i="7" s="1"/>
  <c r="I1310" i="5"/>
  <c r="I1310" i="7" s="1"/>
  <c r="H1310" i="5"/>
  <c r="H1310" i="7" s="1"/>
  <c r="G1310" i="5"/>
  <c r="G1310" i="7" s="1"/>
  <c r="F1310" i="5"/>
  <c r="F1310" i="7" s="1"/>
  <c r="E1310" i="5"/>
  <c r="E1310" i="7" s="1"/>
  <c r="D1310" i="5"/>
  <c r="D1310" i="7" s="1"/>
  <c r="C1310" i="5"/>
  <c r="C1310" i="7" s="1"/>
  <c r="B1310" i="5"/>
  <c r="B1310" i="7" s="1"/>
  <c r="J1309" i="5"/>
  <c r="J1309" i="7" s="1"/>
  <c r="I1309" i="5"/>
  <c r="I1309" i="7" s="1"/>
  <c r="H1309" i="5"/>
  <c r="H1309" i="7" s="1"/>
  <c r="G1309" i="5"/>
  <c r="G1309" i="7" s="1"/>
  <c r="F1309" i="5"/>
  <c r="E1309" i="5"/>
  <c r="D1309" i="5"/>
  <c r="D1309" i="7" s="1"/>
  <c r="C1309" i="5"/>
  <c r="C1309" i="7" s="1"/>
  <c r="B1309" i="5"/>
  <c r="B1309" i="7" s="1"/>
  <c r="J1308" i="5"/>
  <c r="J1308" i="7" s="1"/>
  <c r="I1308" i="5"/>
  <c r="I1308" i="7" s="1"/>
  <c r="H1308" i="5"/>
  <c r="H1308" i="7" s="1"/>
  <c r="G1308" i="5"/>
  <c r="G1308" i="7" s="1"/>
  <c r="F1308" i="5"/>
  <c r="F1308" i="7" s="1"/>
  <c r="E1308" i="5"/>
  <c r="D1308" i="5"/>
  <c r="D1308" i="7" s="1"/>
  <c r="C1308" i="5"/>
  <c r="C1308" i="7" s="1"/>
  <c r="B1308" i="5"/>
  <c r="B1308" i="7" s="1"/>
  <c r="L1307" i="5"/>
  <c r="L1307" i="7" s="1"/>
  <c r="K1307" i="5"/>
  <c r="K1307" i="7" s="1"/>
  <c r="J1307" i="5"/>
  <c r="J1307" i="7" s="1"/>
  <c r="I1307" i="5"/>
  <c r="I1307" i="7" s="1"/>
  <c r="H1307" i="5"/>
  <c r="H1307" i="7" s="1"/>
  <c r="G1307" i="5"/>
  <c r="G1307" i="7" s="1"/>
  <c r="F1307" i="5"/>
  <c r="F1307" i="7" s="1"/>
  <c r="E1307" i="5"/>
  <c r="E1307" i="7" s="1"/>
  <c r="D1307" i="5"/>
  <c r="D1307" i="7" s="1"/>
  <c r="C1307" i="5"/>
  <c r="C1307" i="7" s="1"/>
  <c r="B1307" i="5"/>
  <c r="B1307" i="7" s="1"/>
  <c r="L1306" i="5"/>
  <c r="L1306" i="7" s="1"/>
  <c r="K1306" i="5"/>
  <c r="K1306" i="7" s="1"/>
  <c r="J1306" i="5"/>
  <c r="J1306" i="7" s="1"/>
  <c r="I1306" i="5"/>
  <c r="I1306" i="7" s="1"/>
  <c r="H1306" i="5"/>
  <c r="H1306" i="7" s="1"/>
  <c r="G1306" i="5"/>
  <c r="G1306" i="7" s="1"/>
  <c r="F1306" i="5"/>
  <c r="F1306" i="7" s="1"/>
  <c r="E1306" i="5"/>
  <c r="E1306" i="7" s="1"/>
  <c r="D1306" i="5"/>
  <c r="D1306" i="7" s="1"/>
  <c r="C1306" i="5"/>
  <c r="C1306" i="7" s="1"/>
  <c r="B1306" i="5"/>
  <c r="B1306" i="7" s="1"/>
  <c r="J1305" i="5"/>
  <c r="J1305" i="7" s="1"/>
  <c r="I1305" i="5"/>
  <c r="I1305" i="7" s="1"/>
  <c r="H1305" i="5"/>
  <c r="H1305" i="7" s="1"/>
  <c r="G1305" i="5"/>
  <c r="G1305" i="7" s="1"/>
  <c r="F1305" i="5"/>
  <c r="F1305" i="7" s="1"/>
  <c r="E1305" i="5"/>
  <c r="E1305" i="7" s="1"/>
  <c r="D1305" i="5"/>
  <c r="D1305" i="7" s="1"/>
  <c r="C1305" i="5"/>
  <c r="C1305" i="7" s="1"/>
  <c r="B1305" i="5"/>
  <c r="B1305" i="7" s="1"/>
  <c r="J1304" i="5"/>
  <c r="J1304" i="7" s="1"/>
  <c r="I1304" i="5"/>
  <c r="I1304" i="7" s="1"/>
  <c r="H1304" i="5"/>
  <c r="H1304" i="7" s="1"/>
  <c r="G1304" i="5"/>
  <c r="G1304" i="7" s="1"/>
  <c r="F1304" i="5"/>
  <c r="F1304" i="7" s="1"/>
  <c r="E1304" i="5"/>
  <c r="D1304" i="5"/>
  <c r="D1304" i="7" s="1"/>
  <c r="C1304" i="5"/>
  <c r="C1304" i="7" s="1"/>
  <c r="B1304" i="5"/>
  <c r="B1304" i="7" s="1"/>
  <c r="J1303" i="5"/>
  <c r="J1303" i="7" s="1"/>
  <c r="I1303" i="5"/>
  <c r="I1303" i="7" s="1"/>
  <c r="H1303" i="5"/>
  <c r="H1303" i="7" s="1"/>
  <c r="G1303" i="5"/>
  <c r="G1303" i="7" s="1"/>
  <c r="F1303" i="5"/>
  <c r="F1303" i="7" s="1"/>
  <c r="E1303" i="5"/>
  <c r="E1303" i="7" s="1"/>
  <c r="D1303" i="5"/>
  <c r="D1303" i="7" s="1"/>
  <c r="C1303" i="5"/>
  <c r="C1303" i="7" s="1"/>
  <c r="B1303" i="5"/>
  <c r="B1303" i="7" s="1"/>
  <c r="L1302" i="5"/>
  <c r="L1302" i="7" s="1"/>
  <c r="K1302" i="5"/>
  <c r="K1302" i="7" s="1"/>
  <c r="J1302" i="5"/>
  <c r="J1302" i="7" s="1"/>
  <c r="I1302" i="5"/>
  <c r="I1302" i="7" s="1"/>
  <c r="H1302" i="5"/>
  <c r="H1302" i="7" s="1"/>
  <c r="G1302" i="5"/>
  <c r="G1302" i="7" s="1"/>
  <c r="F1302" i="5"/>
  <c r="F1302" i="7" s="1"/>
  <c r="E1302" i="5"/>
  <c r="E1302" i="7" s="1"/>
  <c r="D1302" i="5"/>
  <c r="D1302" i="7" s="1"/>
  <c r="C1302" i="5"/>
  <c r="C1302" i="7" s="1"/>
  <c r="B1302" i="5"/>
  <c r="B1302" i="7" s="1"/>
  <c r="K1301" i="5"/>
  <c r="K1301" i="7" s="1"/>
  <c r="J1301" i="5"/>
  <c r="J1301" i="7" s="1"/>
  <c r="I1301" i="5"/>
  <c r="I1301" i="7" s="1"/>
  <c r="H1301" i="5"/>
  <c r="H1301" i="7" s="1"/>
  <c r="G1301" i="5"/>
  <c r="G1301" i="7" s="1"/>
  <c r="F1301" i="5"/>
  <c r="F1301" i="7" s="1"/>
  <c r="E1301" i="5"/>
  <c r="E1301" i="7" s="1"/>
  <c r="D1301" i="5"/>
  <c r="D1301" i="7" s="1"/>
  <c r="C1301" i="5"/>
  <c r="C1301" i="7" s="1"/>
  <c r="B1301" i="5"/>
  <c r="B1301" i="7" s="1"/>
  <c r="J1300" i="5"/>
  <c r="J1300" i="7" s="1"/>
  <c r="I1300" i="5"/>
  <c r="I1300" i="7" s="1"/>
  <c r="H1300" i="5"/>
  <c r="H1300" i="7" s="1"/>
  <c r="G1300" i="5"/>
  <c r="G1300" i="7" s="1"/>
  <c r="F1300" i="5"/>
  <c r="E1300" i="5"/>
  <c r="E1300" i="7" s="1"/>
  <c r="D1300" i="5"/>
  <c r="D1300" i="7" s="1"/>
  <c r="C1300" i="5"/>
  <c r="C1300" i="7" s="1"/>
  <c r="B1300" i="5"/>
  <c r="B1300" i="7" s="1"/>
  <c r="J1299" i="5"/>
  <c r="J1299" i="7" s="1"/>
  <c r="I1299" i="5"/>
  <c r="I1299" i="7" s="1"/>
  <c r="H1299" i="5"/>
  <c r="H1299" i="7" s="1"/>
  <c r="G1299" i="5"/>
  <c r="G1299" i="7" s="1"/>
  <c r="F1299" i="5"/>
  <c r="E1299" i="5"/>
  <c r="E1299" i="7" s="1"/>
  <c r="D1299" i="5"/>
  <c r="D1299" i="7" s="1"/>
  <c r="C1299" i="5"/>
  <c r="C1299" i="7" s="1"/>
  <c r="B1299" i="5"/>
  <c r="B1299" i="7" s="1"/>
  <c r="L1298" i="5"/>
  <c r="L1298" i="7" s="1"/>
  <c r="J1298" i="5"/>
  <c r="J1298" i="7" s="1"/>
  <c r="I1298" i="5"/>
  <c r="I1298" i="7" s="1"/>
  <c r="H1298" i="5"/>
  <c r="H1298" i="7" s="1"/>
  <c r="G1298" i="5"/>
  <c r="G1298" i="7" s="1"/>
  <c r="F1298" i="5"/>
  <c r="F1298" i="7" s="1"/>
  <c r="E1298" i="5"/>
  <c r="E1298" i="7" s="1"/>
  <c r="D1298" i="5"/>
  <c r="D1298" i="7" s="1"/>
  <c r="C1298" i="5"/>
  <c r="C1298" i="7" s="1"/>
  <c r="B1298" i="5"/>
  <c r="B1298" i="7" s="1"/>
  <c r="L1297" i="5"/>
  <c r="L1297" i="7" s="1"/>
  <c r="K1297" i="5"/>
  <c r="K1297" i="7" s="1"/>
  <c r="J1297" i="5"/>
  <c r="J1297" i="7" s="1"/>
  <c r="I1297" i="5"/>
  <c r="I1297" i="7" s="1"/>
  <c r="H1297" i="5"/>
  <c r="H1297" i="7" s="1"/>
  <c r="G1297" i="5"/>
  <c r="G1297" i="7" s="1"/>
  <c r="F1297" i="5"/>
  <c r="F1297" i="7" s="1"/>
  <c r="E1297" i="5"/>
  <c r="E1297" i="7" s="1"/>
  <c r="D1297" i="5"/>
  <c r="D1297" i="7" s="1"/>
  <c r="C1297" i="5"/>
  <c r="C1297" i="7" s="1"/>
  <c r="B1297" i="5"/>
  <c r="B1297" i="7" s="1"/>
  <c r="K1296" i="5"/>
  <c r="K1296" i="7" s="1"/>
  <c r="J1296" i="5"/>
  <c r="J1296" i="7" s="1"/>
  <c r="I1296" i="5"/>
  <c r="I1296" i="7" s="1"/>
  <c r="H1296" i="5"/>
  <c r="H1296" i="7" s="1"/>
  <c r="G1296" i="5"/>
  <c r="G1296" i="7" s="1"/>
  <c r="F1296" i="5"/>
  <c r="F1296" i="7" s="1"/>
  <c r="E1296" i="5"/>
  <c r="E1296" i="7" s="1"/>
  <c r="D1296" i="5"/>
  <c r="D1296" i="7" s="1"/>
  <c r="C1296" i="5"/>
  <c r="C1296" i="7" s="1"/>
  <c r="B1296" i="5"/>
  <c r="B1296" i="7" s="1"/>
  <c r="J1295" i="5"/>
  <c r="J1295" i="7" s="1"/>
  <c r="I1295" i="5"/>
  <c r="I1295" i="7" s="1"/>
  <c r="H1295" i="5"/>
  <c r="H1295" i="7" s="1"/>
  <c r="G1295" i="5"/>
  <c r="G1295" i="7" s="1"/>
  <c r="F1295" i="5"/>
  <c r="E1295" i="5"/>
  <c r="D1295" i="5"/>
  <c r="D1295" i="7" s="1"/>
  <c r="C1295" i="5"/>
  <c r="C1295" i="7" s="1"/>
  <c r="B1295" i="5"/>
  <c r="B1295" i="7" s="1"/>
  <c r="L1294" i="5"/>
  <c r="L1294" i="7" s="1"/>
  <c r="J1294" i="5"/>
  <c r="J1294" i="7" s="1"/>
  <c r="I1294" i="5"/>
  <c r="I1294" i="7" s="1"/>
  <c r="H1294" i="5"/>
  <c r="H1294" i="7" s="1"/>
  <c r="G1294" i="5"/>
  <c r="G1294" i="7" s="1"/>
  <c r="F1294" i="5"/>
  <c r="F1294" i="7" s="1"/>
  <c r="E1294" i="5"/>
  <c r="D1294" i="5"/>
  <c r="D1294" i="7" s="1"/>
  <c r="C1294" i="5"/>
  <c r="C1294" i="7" s="1"/>
  <c r="B1294" i="5"/>
  <c r="B1294" i="7" s="1"/>
  <c r="L1293" i="5"/>
  <c r="L1293" i="7" s="1"/>
  <c r="K1293" i="5"/>
  <c r="K1293" i="7" s="1"/>
  <c r="J1293" i="5"/>
  <c r="J1293" i="7" s="1"/>
  <c r="I1293" i="5"/>
  <c r="I1293" i="7" s="1"/>
  <c r="H1293" i="5"/>
  <c r="H1293" i="7" s="1"/>
  <c r="G1293" i="5"/>
  <c r="G1293" i="7" s="1"/>
  <c r="F1293" i="5"/>
  <c r="F1293" i="7" s="1"/>
  <c r="E1293" i="5"/>
  <c r="E1293" i="7" s="1"/>
  <c r="D1293" i="5"/>
  <c r="D1293" i="7" s="1"/>
  <c r="C1293" i="5"/>
  <c r="C1293" i="7" s="1"/>
  <c r="B1293" i="5"/>
  <c r="B1293" i="7" s="1"/>
  <c r="K1292" i="5"/>
  <c r="K1292" i="7" s="1"/>
  <c r="J1292" i="5"/>
  <c r="J1292" i="7" s="1"/>
  <c r="I1292" i="5"/>
  <c r="I1292" i="7" s="1"/>
  <c r="H1292" i="5"/>
  <c r="H1292" i="7" s="1"/>
  <c r="G1292" i="5"/>
  <c r="G1292" i="7" s="1"/>
  <c r="F1292" i="5"/>
  <c r="F1292" i="7" s="1"/>
  <c r="E1292" i="5"/>
  <c r="E1292" i="7" s="1"/>
  <c r="D1292" i="5"/>
  <c r="D1292" i="7" s="1"/>
  <c r="C1292" i="5"/>
  <c r="C1292" i="7" s="1"/>
  <c r="B1292" i="5"/>
  <c r="B1292" i="7" s="1"/>
  <c r="J1291" i="5"/>
  <c r="J1291" i="7" s="1"/>
  <c r="I1291" i="5"/>
  <c r="I1291" i="7" s="1"/>
  <c r="H1291" i="5"/>
  <c r="H1291" i="7" s="1"/>
  <c r="G1291" i="5"/>
  <c r="G1291" i="7" s="1"/>
  <c r="F1291" i="5"/>
  <c r="F1291" i="7" s="1"/>
  <c r="E1291" i="5"/>
  <c r="E1291" i="7" s="1"/>
  <c r="D1291" i="5"/>
  <c r="D1291" i="7" s="1"/>
  <c r="C1291" i="5"/>
  <c r="C1291" i="7" s="1"/>
  <c r="B1291" i="5"/>
  <c r="B1291" i="7" s="1"/>
  <c r="L1290" i="5"/>
  <c r="L1290" i="7" s="1"/>
  <c r="J1290" i="5"/>
  <c r="J1290" i="7" s="1"/>
  <c r="I1290" i="5"/>
  <c r="I1290" i="7" s="1"/>
  <c r="H1290" i="5"/>
  <c r="H1290" i="7" s="1"/>
  <c r="G1290" i="5"/>
  <c r="G1290" i="7" s="1"/>
  <c r="F1290" i="5"/>
  <c r="F1290" i="7" s="1"/>
  <c r="E1290" i="5"/>
  <c r="D1290" i="5"/>
  <c r="D1290" i="7" s="1"/>
  <c r="C1290" i="5"/>
  <c r="C1290" i="7" s="1"/>
  <c r="B1290" i="5"/>
  <c r="B1290" i="7" s="1"/>
  <c r="K1289" i="5"/>
  <c r="K1289" i="7" s="1"/>
  <c r="J1289" i="5"/>
  <c r="J1289" i="7" s="1"/>
  <c r="I1289" i="5"/>
  <c r="I1289" i="7" s="1"/>
  <c r="H1289" i="5"/>
  <c r="H1289" i="7" s="1"/>
  <c r="G1289" i="5"/>
  <c r="G1289" i="7" s="1"/>
  <c r="F1289" i="5"/>
  <c r="F1289" i="7" s="1"/>
  <c r="E1289" i="5"/>
  <c r="E1289" i="7" s="1"/>
  <c r="D1289" i="5"/>
  <c r="D1289" i="7" s="1"/>
  <c r="C1289" i="5"/>
  <c r="C1289" i="7" s="1"/>
  <c r="B1289" i="5"/>
  <c r="B1289" i="7" s="1"/>
  <c r="K1288" i="5"/>
  <c r="K1288" i="7" s="1"/>
  <c r="J1288" i="5"/>
  <c r="J1288" i="7" s="1"/>
  <c r="I1288" i="5"/>
  <c r="I1288" i="7" s="1"/>
  <c r="H1288" i="5"/>
  <c r="H1288" i="7" s="1"/>
  <c r="G1288" i="5"/>
  <c r="G1288" i="7" s="1"/>
  <c r="F1288" i="5"/>
  <c r="F1288" i="7" s="1"/>
  <c r="E1288" i="5"/>
  <c r="E1288" i="7" s="1"/>
  <c r="D1288" i="5"/>
  <c r="D1288" i="7" s="1"/>
  <c r="C1288" i="5"/>
  <c r="C1288" i="7" s="1"/>
  <c r="B1288" i="5"/>
  <c r="B1288" i="7" s="1"/>
  <c r="J1287" i="5"/>
  <c r="J1287" i="7" s="1"/>
  <c r="I1287" i="5"/>
  <c r="I1287" i="7" s="1"/>
  <c r="H1287" i="5"/>
  <c r="H1287" i="7" s="1"/>
  <c r="G1287" i="5"/>
  <c r="G1287" i="7" s="1"/>
  <c r="F1287" i="5"/>
  <c r="F1287" i="7" s="1"/>
  <c r="E1287" i="5"/>
  <c r="E1287" i="7" s="1"/>
  <c r="D1287" i="5"/>
  <c r="D1287" i="7" s="1"/>
  <c r="C1287" i="5"/>
  <c r="C1287" i="7" s="1"/>
  <c r="B1287" i="5"/>
  <c r="B1287" i="7" s="1"/>
  <c r="K1286" i="5"/>
  <c r="K1286" i="7" s="1"/>
  <c r="J1286" i="5"/>
  <c r="J1286" i="7" s="1"/>
  <c r="I1286" i="5"/>
  <c r="I1286" i="7" s="1"/>
  <c r="H1286" i="5"/>
  <c r="H1286" i="7" s="1"/>
  <c r="G1286" i="5"/>
  <c r="G1286" i="7" s="1"/>
  <c r="F1286" i="5"/>
  <c r="E1286" i="5"/>
  <c r="E1286" i="7" s="1"/>
  <c r="D1286" i="5"/>
  <c r="D1286" i="7" s="1"/>
  <c r="C1286" i="5"/>
  <c r="C1286" i="7" s="1"/>
  <c r="B1286" i="5"/>
  <c r="B1286" i="7" s="1"/>
  <c r="K1285" i="5"/>
  <c r="K1285" i="7" s="1"/>
  <c r="J1285" i="5"/>
  <c r="J1285" i="7" s="1"/>
  <c r="I1285" i="5"/>
  <c r="I1285" i="7" s="1"/>
  <c r="H1285" i="5"/>
  <c r="H1285" i="7" s="1"/>
  <c r="G1285" i="5"/>
  <c r="G1285" i="7" s="1"/>
  <c r="F1285" i="5"/>
  <c r="E1285" i="5"/>
  <c r="E1285" i="7" s="1"/>
  <c r="D1285" i="5"/>
  <c r="D1285" i="7" s="1"/>
  <c r="C1285" i="5"/>
  <c r="C1285" i="7" s="1"/>
  <c r="B1285" i="5"/>
  <c r="B1285" i="7" s="1"/>
  <c r="L1284" i="5"/>
  <c r="L1284" i="7" s="1"/>
  <c r="K1284" i="5"/>
  <c r="K1284" i="7" s="1"/>
  <c r="J1284" i="5"/>
  <c r="J1284" i="7" s="1"/>
  <c r="I1284" i="5"/>
  <c r="I1284" i="7" s="1"/>
  <c r="H1284" i="5"/>
  <c r="H1284" i="7" s="1"/>
  <c r="G1284" i="5"/>
  <c r="G1284" i="7" s="1"/>
  <c r="F1284" i="5"/>
  <c r="F1284" i="7" s="1"/>
  <c r="E1284" i="5"/>
  <c r="E1284" i="7" s="1"/>
  <c r="D1284" i="5"/>
  <c r="D1284" i="7" s="1"/>
  <c r="C1284" i="5"/>
  <c r="C1284" i="7" s="1"/>
  <c r="B1284" i="5"/>
  <c r="B1284" i="7" s="1"/>
  <c r="L1283" i="5"/>
  <c r="L1283" i="7" s="1"/>
  <c r="J1283" i="5"/>
  <c r="J1283" i="7" s="1"/>
  <c r="I1283" i="5"/>
  <c r="I1283" i="7" s="1"/>
  <c r="H1283" i="5"/>
  <c r="H1283" i="7" s="1"/>
  <c r="G1283" i="5"/>
  <c r="G1283" i="7" s="1"/>
  <c r="F1283" i="5"/>
  <c r="F1283" i="7" s="1"/>
  <c r="E1283" i="5"/>
  <c r="E1283" i="7" s="1"/>
  <c r="D1283" i="5"/>
  <c r="D1283" i="7" s="1"/>
  <c r="C1283" i="5"/>
  <c r="C1283" i="7" s="1"/>
  <c r="B1283" i="5"/>
  <c r="B1283" i="7" s="1"/>
  <c r="L1282" i="5"/>
  <c r="L1282" i="7" s="1"/>
  <c r="J1282" i="5"/>
  <c r="J1282" i="7" s="1"/>
  <c r="I1282" i="5"/>
  <c r="I1282" i="7" s="1"/>
  <c r="H1282" i="5"/>
  <c r="G1282" i="5"/>
  <c r="G1282" i="7" s="1"/>
  <c r="F1282" i="5"/>
  <c r="F1282" i="7" s="1"/>
  <c r="E1282" i="5"/>
  <c r="E1282" i="7" s="1"/>
  <c r="D1282" i="5"/>
  <c r="D1282" i="7" s="1"/>
  <c r="C1282" i="5"/>
  <c r="C1282" i="7" s="1"/>
  <c r="B1282" i="5"/>
  <c r="B1282" i="7" s="1"/>
  <c r="J1281" i="5"/>
  <c r="J1281" i="7" s="1"/>
  <c r="I1281" i="5"/>
  <c r="I1281" i="7" s="1"/>
  <c r="H1281" i="5"/>
  <c r="H1281" i="7" s="1"/>
  <c r="G1281" i="5"/>
  <c r="G1281" i="7" s="1"/>
  <c r="F1281" i="5"/>
  <c r="E1281" i="5"/>
  <c r="D1281" i="5"/>
  <c r="D1281" i="7" s="1"/>
  <c r="C1281" i="5"/>
  <c r="C1281" i="7" s="1"/>
  <c r="B1281" i="5"/>
  <c r="B1281" i="7" s="1"/>
  <c r="J1280" i="5"/>
  <c r="J1280" i="7" s="1"/>
  <c r="I1280" i="5"/>
  <c r="I1280" i="7" s="1"/>
  <c r="H1280" i="5"/>
  <c r="H1280" i="7" s="1"/>
  <c r="G1280" i="5"/>
  <c r="G1280" i="7" s="1"/>
  <c r="F1280" i="5"/>
  <c r="F1280" i="7" s="1"/>
  <c r="E1280" i="5"/>
  <c r="D1280" i="5"/>
  <c r="D1280" i="7" s="1"/>
  <c r="C1280" i="5"/>
  <c r="C1280" i="7" s="1"/>
  <c r="B1280" i="5"/>
  <c r="B1280" i="7" s="1"/>
  <c r="L1279" i="5"/>
  <c r="L1279" i="7" s="1"/>
  <c r="K1279" i="5"/>
  <c r="K1279" i="7" s="1"/>
  <c r="J1279" i="5"/>
  <c r="J1279" i="7" s="1"/>
  <c r="I1279" i="5"/>
  <c r="I1279" i="7" s="1"/>
  <c r="H1279" i="5"/>
  <c r="H1279" i="7" s="1"/>
  <c r="G1279" i="5"/>
  <c r="G1279" i="7" s="1"/>
  <c r="F1279" i="5"/>
  <c r="F1279" i="7" s="1"/>
  <c r="E1279" i="5"/>
  <c r="E1279" i="7" s="1"/>
  <c r="D1279" i="5"/>
  <c r="D1279" i="7" s="1"/>
  <c r="C1279" i="5"/>
  <c r="C1279" i="7" s="1"/>
  <c r="B1279" i="5"/>
  <c r="B1279" i="7" s="1"/>
  <c r="K1278" i="5"/>
  <c r="K1278" i="7" s="1"/>
  <c r="J1278" i="5"/>
  <c r="J1278" i="7" s="1"/>
  <c r="I1278" i="5"/>
  <c r="I1278" i="7" s="1"/>
  <c r="H1278" i="5"/>
  <c r="H1278" i="7" s="1"/>
  <c r="G1278" i="5"/>
  <c r="G1278" i="7" s="1"/>
  <c r="F1278" i="5"/>
  <c r="F1278" i="7" s="1"/>
  <c r="E1278" i="5"/>
  <c r="E1278" i="7" s="1"/>
  <c r="D1278" i="5"/>
  <c r="D1278" i="7" s="1"/>
  <c r="C1278" i="5"/>
  <c r="C1278" i="7" s="1"/>
  <c r="B1278" i="5"/>
  <c r="B1278" i="7" s="1"/>
  <c r="L1277" i="5"/>
  <c r="L1277" i="7" s="1"/>
  <c r="K1277" i="5"/>
  <c r="K1277" i="7" s="1"/>
  <c r="J1277" i="5"/>
  <c r="J1277" i="7" s="1"/>
  <c r="I1277" i="5"/>
  <c r="I1277" i="7" s="1"/>
  <c r="H1277" i="5"/>
  <c r="H1277" i="7" s="1"/>
  <c r="G1277" i="5"/>
  <c r="G1277" i="7" s="1"/>
  <c r="F1277" i="5"/>
  <c r="F1277" i="7" s="1"/>
  <c r="E1277" i="5"/>
  <c r="E1277" i="7" s="1"/>
  <c r="D1277" i="5"/>
  <c r="D1277" i="7" s="1"/>
  <c r="C1277" i="5"/>
  <c r="C1277" i="7" s="1"/>
  <c r="B1277" i="5"/>
  <c r="B1277" i="7" s="1"/>
  <c r="J1276" i="5"/>
  <c r="J1276" i="7" s="1"/>
  <c r="I1276" i="5"/>
  <c r="I1276" i="7" s="1"/>
  <c r="H1276" i="5"/>
  <c r="H1276" i="7" s="1"/>
  <c r="G1276" i="5"/>
  <c r="G1276" i="7" s="1"/>
  <c r="F1276" i="5"/>
  <c r="F1276" i="7" s="1"/>
  <c r="E1276" i="5"/>
  <c r="D1276" i="5"/>
  <c r="D1276" i="7" s="1"/>
  <c r="C1276" i="5"/>
  <c r="C1276" i="7" s="1"/>
  <c r="B1276" i="5"/>
  <c r="B1276" i="7" s="1"/>
  <c r="J1275" i="5"/>
  <c r="J1275" i="7" s="1"/>
  <c r="I1275" i="5"/>
  <c r="I1275" i="7" s="1"/>
  <c r="H1275" i="5"/>
  <c r="H1275" i="7" s="1"/>
  <c r="G1275" i="5"/>
  <c r="G1275" i="7" s="1"/>
  <c r="F1275" i="5"/>
  <c r="F1275" i="7" s="1"/>
  <c r="E1275" i="5"/>
  <c r="E1275" i="7" s="1"/>
  <c r="D1275" i="5"/>
  <c r="D1275" i="7" s="1"/>
  <c r="C1275" i="5"/>
  <c r="C1275" i="7" s="1"/>
  <c r="B1275" i="5"/>
  <c r="B1275" i="7" s="1"/>
  <c r="L1274" i="5"/>
  <c r="L1274" i="7" s="1"/>
  <c r="K1274" i="5"/>
  <c r="K1274" i="7" s="1"/>
  <c r="J1274" i="5"/>
  <c r="J1274" i="7" s="1"/>
  <c r="I1274" i="5"/>
  <c r="I1274" i="7" s="1"/>
  <c r="H1274" i="5"/>
  <c r="H1274" i="7" s="1"/>
  <c r="G1274" i="5"/>
  <c r="G1274" i="7" s="1"/>
  <c r="F1274" i="5"/>
  <c r="F1274" i="7" s="1"/>
  <c r="E1274" i="5"/>
  <c r="E1274" i="7" s="1"/>
  <c r="D1274" i="5"/>
  <c r="D1274" i="7" s="1"/>
  <c r="C1274" i="5"/>
  <c r="C1274" i="7" s="1"/>
  <c r="B1274" i="5"/>
  <c r="B1274" i="7" s="1"/>
  <c r="L1273" i="5"/>
  <c r="L1273" i="7" s="1"/>
  <c r="K1273" i="5"/>
  <c r="K1273" i="7" s="1"/>
  <c r="J1273" i="5"/>
  <c r="J1273" i="7" s="1"/>
  <c r="I1273" i="5"/>
  <c r="I1273" i="7" s="1"/>
  <c r="H1273" i="5"/>
  <c r="H1273" i="7" s="1"/>
  <c r="G1273" i="5"/>
  <c r="G1273" i="7" s="1"/>
  <c r="F1273" i="5"/>
  <c r="F1273" i="7" s="1"/>
  <c r="E1273" i="5"/>
  <c r="E1273" i="7" s="1"/>
  <c r="D1273" i="5"/>
  <c r="D1273" i="7" s="1"/>
  <c r="C1273" i="5"/>
  <c r="C1273" i="7" s="1"/>
  <c r="B1273" i="5"/>
  <c r="B1273" i="7" s="1"/>
  <c r="J1272" i="5"/>
  <c r="J1272" i="7" s="1"/>
  <c r="I1272" i="5"/>
  <c r="I1272" i="7" s="1"/>
  <c r="H1272" i="5"/>
  <c r="H1272" i="7" s="1"/>
  <c r="G1272" i="5"/>
  <c r="G1272" i="7" s="1"/>
  <c r="F1272" i="5"/>
  <c r="E1272" i="5"/>
  <c r="E1272" i="7" s="1"/>
  <c r="D1272" i="5"/>
  <c r="D1272" i="7" s="1"/>
  <c r="C1272" i="5"/>
  <c r="C1272" i="7" s="1"/>
  <c r="B1272" i="5"/>
  <c r="B1272" i="7" s="1"/>
  <c r="J1271" i="5"/>
  <c r="J1271" i="7" s="1"/>
  <c r="I1271" i="5"/>
  <c r="I1271" i="7" s="1"/>
  <c r="H1271" i="5"/>
  <c r="H1271" i="7" s="1"/>
  <c r="G1271" i="5"/>
  <c r="G1271" i="7" s="1"/>
  <c r="F1271" i="5"/>
  <c r="E1271" i="5"/>
  <c r="E1271" i="7" s="1"/>
  <c r="D1271" i="5"/>
  <c r="D1271" i="7" s="1"/>
  <c r="C1271" i="5"/>
  <c r="C1271" i="7" s="1"/>
  <c r="B1271" i="5"/>
  <c r="B1271" i="7" s="1"/>
  <c r="L1270" i="5"/>
  <c r="L1270" i="7" s="1"/>
  <c r="J1270" i="5"/>
  <c r="J1270" i="7" s="1"/>
  <c r="I1270" i="5"/>
  <c r="I1270" i="7" s="1"/>
  <c r="H1270" i="5"/>
  <c r="H1270" i="7" s="1"/>
  <c r="G1270" i="5"/>
  <c r="G1270" i="7" s="1"/>
  <c r="F1270" i="5"/>
  <c r="F1270" i="7" s="1"/>
  <c r="E1270" i="5"/>
  <c r="E1270" i="7" s="1"/>
  <c r="D1270" i="5"/>
  <c r="D1270" i="7" s="1"/>
  <c r="C1270" i="5"/>
  <c r="C1270" i="7" s="1"/>
  <c r="B1270" i="5"/>
  <c r="B1270" i="7" s="1"/>
  <c r="L1269" i="5"/>
  <c r="L1269" i="7" s="1"/>
  <c r="K1269" i="5"/>
  <c r="K1269" i="7" s="1"/>
  <c r="J1269" i="5"/>
  <c r="J1269" i="7" s="1"/>
  <c r="I1269" i="5"/>
  <c r="I1269" i="7" s="1"/>
  <c r="H1269" i="5"/>
  <c r="H1269" i="7" s="1"/>
  <c r="G1269" i="5"/>
  <c r="G1269" i="7" s="1"/>
  <c r="F1269" i="5"/>
  <c r="F1269" i="7" s="1"/>
  <c r="E1269" i="5"/>
  <c r="E1269" i="7" s="1"/>
  <c r="D1269" i="5"/>
  <c r="D1269" i="7" s="1"/>
  <c r="C1269" i="5"/>
  <c r="C1269" i="7" s="1"/>
  <c r="B1269" i="5"/>
  <c r="B1269" i="7" s="1"/>
  <c r="J1268" i="5"/>
  <c r="J1268" i="7" s="1"/>
  <c r="I1268" i="5"/>
  <c r="I1268" i="7" s="1"/>
  <c r="H1268" i="5"/>
  <c r="H1268" i="7" s="1"/>
  <c r="G1268" i="5"/>
  <c r="G1268" i="7" s="1"/>
  <c r="F1268" i="5"/>
  <c r="F1268" i="7" s="1"/>
  <c r="E1268" i="5"/>
  <c r="E1268" i="7" s="1"/>
  <c r="D1268" i="5"/>
  <c r="D1268" i="7" s="1"/>
  <c r="C1268" i="5"/>
  <c r="C1268" i="7" s="1"/>
  <c r="B1268" i="5"/>
  <c r="B1268" i="7" s="1"/>
  <c r="J1267" i="5"/>
  <c r="J1267" i="7" s="1"/>
  <c r="I1267" i="5"/>
  <c r="I1267" i="7" s="1"/>
  <c r="H1267" i="5"/>
  <c r="H1267" i="7" s="1"/>
  <c r="G1267" i="5"/>
  <c r="G1267" i="7" s="1"/>
  <c r="F1267" i="5"/>
  <c r="E1267" i="5"/>
  <c r="D1267" i="5"/>
  <c r="D1267" i="7" s="1"/>
  <c r="C1267" i="5"/>
  <c r="C1267" i="7" s="1"/>
  <c r="B1267" i="5"/>
  <c r="B1267" i="7" s="1"/>
  <c r="L1266" i="5"/>
  <c r="L1266" i="7" s="1"/>
  <c r="J1266" i="5"/>
  <c r="J1266" i="7" s="1"/>
  <c r="I1266" i="5"/>
  <c r="I1266" i="7" s="1"/>
  <c r="H1266" i="5"/>
  <c r="H1266" i="7" s="1"/>
  <c r="G1266" i="5"/>
  <c r="G1266" i="7" s="1"/>
  <c r="F1266" i="5"/>
  <c r="F1266" i="7" s="1"/>
  <c r="E1266" i="5"/>
  <c r="D1266" i="5"/>
  <c r="D1266" i="7" s="1"/>
  <c r="C1266" i="5"/>
  <c r="C1266" i="7" s="1"/>
  <c r="B1266" i="5"/>
  <c r="B1266" i="7" s="1"/>
  <c r="L1265" i="5"/>
  <c r="L1265" i="7" s="1"/>
  <c r="K1265" i="5"/>
  <c r="K1265" i="7" s="1"/>
  <c r="J1265" i="5"/>
  <c r="J1265" i="7" s="1"/>
  <c r="I1265" i="5"/>
  <c r="I1265" i="7" s="1"/>
  <c r="H1265" i="5"/>
  <c r="H1265" i="7" s="1"/>
  <c r="G1265" i="5"/>
  <c r="G1265" i="7" s="1"/>
  <c r="F1265" i="5"/>
  <c r="F1265" i="7" s="1"/>
  <c r="E1265" i="5"/>
  <c r="E1265" i="7" s="1"/>
  <c r="D1265" i="5"/>
  <c r="D1265" i="7" s="1"/>
  <c r="C1265" i="5"/>
  <c r="C1265" i="7" s="1"/>
  <c r="B1265" i="5"/>
  <c r="B1265" i="7" s="1"/>
  <c r="L1264" i="5"/>
  <c r="L1264" i="7" s="1"/>
  <c r="K1264" i="5"/>
  <c r="K1264" i="7" s="1"/>
  <c r="J1264" i="5"/>
  <c r="J1264" i="7" s="1"/>
  <c r="I1264" i="5"/>
  <c r="I1264" i="7" s="1"/>
  <c r="H1264" i="5"/>
  <c r="H1264" i="7" s="1"/>
  <c r="G1264" i="5"/>
  <c r="G1264" i="7" s="1"/>
  <c r="F1264" i="5"/>
  <c r="F1264" i="7" s="1"/>
  <c r="E1264" i="5"/>
  <c r="E1264" i="7" s="1"/>
  <c r="D1264" i="5"/>
  <c r="D1264" i="7" s="1"/>
  <c r="C1264" i="5"/>
  <c r="C1264" i="7" s="1"/>
  <c r="B1264" i="5"/>
  <c r="B1264" i="7" s="1"/>
  <c r="J1263" i="5"/>
  <c r="J1263" i="7" s="1"/>
  <c r="I1263" i="5"/>
  <c r="I1263" i="7" s="1"/>
  <c r="H1263" i="5"/>
  <c r="H1263" i="7" s="1"/>
  <c r="G1263" i="5"/>
  <c r="G1263" i="7" s="1"/>
  <c r="F1263" i="5"/>
  <c r="F1263" i="7" s="1"/>
  <c r="E1263" i="5"/>
  <c r="E1263" i="7" s="1"/>
  <c r="D1263" i="5"/>
  <c r="D1263" i="7" s="1"/>
  <c r="C1263" i="5"/>
  <c r="C1263" i="7" s="1"/>
  <c r="B1263" i="5"/>
  <c r="B1263" i="7" s="1"/>
  <c r="L1262" i="5"/>
  <c r="L1262" i="7" s="1"/>
  <c r="J1262" i="5"/>
  <c r="J1262" i="7" s="1"/>
  <c r="I1262" i="5"/>
  <c r="I1262" i="7" s="1"/>
  <c r="H1262" i="5"/>
  <c r="H1262" i="7" s="1"/>
  <c r="G1262" i="5"/>
  <c r="G1262" i="7" s="1"/>
  <c r="F1262" i="5"/>
  <c r="F1262" i="7" s="1"/>
  <c r="E1262" i="5"/>
  <c r="D1262" i="5"/>
  <c r="D1262" i="7" s="1"/>
  <c r="C1262" i="5"/>
  <c r="C1262" i="7" s="1"/>
  <c r="B1262" i="5"/>
  <c r="B1262" i="7" s="1"/>
  <c r="L1261" i="5"/>
  <c r="L1261" i="7" s="1"/>
  <c r="K1261" i="5"/>
  <c r="K1261" i="7" s="1"/>
  <c r="J1261" i="5"/>
  <c r="J1261" i="7" s="1"/>
  <c r="I1261" i="5"/>
  <c r="I1261" i="7" s="1"/>
  <c r="H1261" i="5"/>
  <c r="H1261" i="7" s="1"/>
  <c r="G1261" i="5"/>
  <c r="G1261" i="7" s="1"/>
  <c r="F1261" i="5"/>
  <c r="F1261" i="7" s="1"/>
  <c r="E1261" i="5"/>
  <c r="E1261" i="7" s="1"/>
  <c r="D1261" i="5"/>
  <c r="D1261" i="7" s="1"/>
  <c r="C1261" i="5"/>
  <c r="C1261" i="7" s="1"/>
  <c r="B1261" i="5"/>
  <c r="B1261" i="7" s="1"/>
  <c r="K1260" i="5"/>
  <c r="K1260" i="7" s="1"/>
  <c r="J1260" i="5"/>
  <c r="J1260" i="7" s="1"/>
  <c r="I1260" i="5"/>
  <c r="I1260" i="7" s="1"/>
  <c r="H1260" i="5"/>
  <c r="H1260" i="7" s="1"/>
  <c r="G1260" i="5"/>
  <c r="G1260" i="7" s="1"/>
  <c r="F1260" i="5"/>
  <c r="F1260" i="7" s="1"/>
  <c r="E1260" i="5"/>
  <c r="E1260" i="7" s="1"/>
  <c r="D1260" i="5"/>
  <c r="D1260" i="7" s="1"/>
  <c r="C1260" i="5"/>
  <c r="C1260" i="7" s="1"/>
  <c r="B1260" i="5"/>
  <c r="B1260" i="7" s="1"/>
  <c r="J1259" i="5"/>
  <c r="J1259" i="7" s="1"/>
  <c r="I1259" i="5"/>
  <c r="I1259" i="7" s="1"/>
  <c r="H1259" i="5"/>
  <c r="H1259" i="7" s="1"/>
  <c r="G1259" i="5"/>
  <c r="G1259" i="7" s="1"/>
  <c r="F1259" i="5"/>
  <c r="F1259" i="7" s="1"/>
  <c r="E1259" i="5"/>
  <c r="E1259" i="7" s="1"/>
  <c r="D1259" i="5"/>
  <c r="D1259" i="7" s="1"/>
  <c r="C1259" i="5"/>
  <c r="C1259" i="7" s="1"/>
  <c r="B1259" i="5"/>
  <c r="B1259" i="7" s="1"/>
  <c r="J1258" i="5"/>
  <c r="J1258" i="7" s="1"/>
  <c r="I1258" i="5"/>
  <c r="I1258" i="7" s="1"/>
  <c r="H1258" i="5"/>
  <c r="H1258" i="7" s="1"/>
  <c r="G1258" i="5"/>
  <c r="G1258" i="7" s="1"/>
  <c r="F1258" i="5"/>
  <c r="E1258" i="5"/>
  <c r="E1258" i="7" s="1"/>
  <c r="D1258" i="5"/>
  <c r="D1258" i="7" s="1"/>
  <c r="C1258" i="5"/>
  <c r="C1258" i="7" s="1"/>
  <c r="B1258" i="5"/>
  <c r="B1258" i="7" s="1"/>
  <c r="K1257" i="5"/>
  <c r="K1257" i="7" s="1"/>
  <c r="J1257" i="5"/>
  <c r="J1257" i="7" s="1"/>
  <c r="I1257" i="5"/>
  <c r="I1257" i="7" s="1"/>
  <c r="H1257" i="5"/>
  <c r="H1257" i="7" s="1"/>
  <c r="G1257" i="5"/>
  <c r="G1257" i="7" s="1"/>
  <c r="F1257" i="5"/>
  <c r="E1257" i="5"/>
  <c r="E1257" i="7" s="1"/>
  <c r="D1257" i="5"/>
  <c r="D1257" i="7" s="1"/>
  <c r="C1257" i="5"/>
  <c r="C1257" i="7" s="1"/>
  <c r="B1257" i="5"/>
  <c r="B1257" i="7" s="1"/>
  <c r="L1256" i="5"/>
  <c r="L1256" i="7" s="1"/>
  <c r="J1256" i="5"/>
  <c r="J1256" i="7" s="1"/>
  <c r="I1256" i="5"/>
  <c r="I1256" i="7" s="1"/>
  <c r="H1256" i="5"/>
  <c r="H1256" i="7" s="1"/>
  <c r="G1256" i="5"/>
  <c r="G1256" i="7" s="1"/>
  <c r="F1256" i="5"/>
  <c r="F1256" i="7" s="1"/>
  <c r="E1256" i="5"/>
  <c r="E1256" i="7" s="1"/>
  <c r="D1256" i="5"/>
  <c r="D1256" i="7" s="1"/>
  <c r="C1256" i="5"/>
  <c r="C1256" i="7" s="1"/>
  <c r="B1256" i="5"/>
  <c r="B1256" i="7" s="1"/>
  <c r="L1255" i="5"/>
  <c r="L1255" i="7" s="1"/>
  <c r="J1255" i="5"/>
  <c r="J1255" i="7" s="1"/>
  <c r="I1255" i="5"/>
  <c r="I1255" i="7" s="1"/>
  <c r="H1255" i="5"/>
  <c r="H1255" i="7" s="1"/>
  <c r="G1255" i="5"/>
  <c r="G1255" i="7" s="1"/>
  <c r="F1255" i="5"/>
  <c r="F1255" i="7" s="1"/>
  <c r="E1255" i="5"/>
  <c r="E1255" i="7" s="1"/>
  <c r="D1255" i="5"/>
  <c r="D1255" i="7" s="1"/>
  <c r="C1255" i="5"/>
  <c r="C1255" i="7" s="1"/>
  <c r="B1255" i="5"/>
  <c r="B1255" i="7" s="1"/>
  <c r="J1254" i="5"/>
  <c r="J1254" i="7" s="1"/>
  <c r="I1254" i="5"/>
  <c r="I1254" i="7" s="1"/>
  <c r="H1254" i="5"/>
  <c r="H1254" i="7" s="1"/>
  <c r="G1254" i="5"/>
  <c r="G1254" i="7" s="1"/>
  <c r="F1254" i="5"/>
  <c r="F1254" i="7" s="1"/>
  <c r="E1254" i="5"/>
  <c r="E1254" i="7" s="1"/>
  <c r="D1254" i="5"/>
  <c r="D1254" i="7" s="1"/>
  <c r="C1254" i="5"/>
  <c r="C1254" i="7" s="1"/>
  <c r="B1254" i="5"/>
  <c r="B1254" i="7" s="1"/>
  <c r="J1253" i="5"/>
  <c r="J1253" i="7" s="1"/>
  <c r="I1253" i="5"/>
  <c r="I1253" i="7" s="1"/>
  <c r="H1253" i="5"/>
  <c r="H1253" i="7" s="1"/>
  <c r="G1253" i="5"/>
  <c r="G1253" i="7" s="1"/>
  <c r="F1253" i="5"/>
  <c r="E1253" i="5"/>
  <c r="D1253" i="5"/>
  <c r="D1253" i="7" s="1"/>
  <c r="C1253" i="5"/>
  <c r="C1253" i="7" s="1"/>
  <c r="B1253" i="5"/>
  <c r="B1253" i="7" s="1"/>
  <c r="L1252" i="5"/>
  <c r="L1252" i="7" s="1"/>
  <c r="J1252" i="5"/>
  <c r="J1252" i="7" s="1"/>
  <c r="I1252" i="5"/>
  <c r="I1252" i="7" s="1"/>
  <c r="H1252" i="5"/>
  <c r="H1252" i="7" s="1"/>
  <c r="G1252" i="5"/>
  <c r="G1252" i="7" s="1"/>
  <c r="F1252" i="5"/>
  <c r="F1252" i="7" s="1"/>
  <c r="E1252" i="5"/>
  <c r="D1252" i="5"/>
  <c r="D1252" i="7" s="1"/>
  <c r="C1252" i="5"/>
  <c r="C1252" i="7" s="1"/>
  <c r="B1252" i="5"/>
  <c r="B1252" i="7" s="1"/>
  <c r="L1251" i="5"/>
  <c r="L1251" i="7" s="1"/>
  <c r="K1251" i="5"/>
  <c r="K1251" i="7" s="1"/>
  <c r="J1251" i="5"/>
  <c r="J1251" i="7" s="1"/>
  <c r="I1251" i="5"/>
  <c r="I1251" i="7" s="1"/>
  <c r="H1251" i="5"/>
  <c r="H1251" i="7" s="1"/>
  <c r="G1251" i="5"/>
  <c r="G1251" i="7" s="1"/>
  <c r="F1251" i="5"/>
  <c r="F1251" i="7" s="1"/>
  <c r="E1251" i="5"/>
  <c r="E1251" i="7" s="1"/>
  <c r="D1251" i="5"/>
  <c r="D1251" i="7" s="1"/>
  <c r="C1251" i="5"/>
  <c r="C1251" i="7" s="1"/>
  <c r="B1251" i="5"/>
  <c r="B1251" i="7" s="1"/>
  <c r="K1250" i="5"/>
  <c r="K1250" i="7" s="1"/>
  <c r="J1250" i="5"/>
  <c r="J1250" i="7" s="1"/>
  <c r="I1250" i="5"/>
  <c r="I1250" i="7" s="1"/>
  <c r="H1250" i="5"/>
  <c r="H1250" i="7" s="1"/>
  <c r="G1250" i="5"/>
  <c r="G1250" i="7" s="1"/>
  <c r="F1250" i="5"/>
  <c r="F1250" i="7" s="1"/>
  <c r="E1250" i="5"/>
  <c r="E1250" i="7" s="1"/>
  <c r="D1250" i="5"/>
  <c r="D1250" i="7" s="1"/>
  <c r="C1250" i="5"/>
  <c r="C1250" i="7" s="1"/>
  <c r="B1250" i="5"/>
  <c r="B1250" i="7" s="1"/>
  <c r="L1249" i="5"/>
  <c r="L1249" i="7" s="1"/>
  <c r="J1249" i="5"/>
  <c r="J1249" i="7" s="1"/>
  <c r="I1249" i="5"/>
  <c r="I1249" i="7" s="1"/>
  <c r="H1249" i="5"/>
  <c r="H1249" i="7" s="1"/>
  <c r="G1249" i="5"/>
  <c r="G1249" i="7" s="1"/>
  <c r="F1249" i="5"/>
  <c r="F1249" i="7" s="1"/>
  <c r="E1249" i="5"/>
  <c r="E1249" i="7" s="1"/>
  <c r="D1249" i="5"/>
  <c r="D1249" i="7" s="1"/>
  <c r="C1249" i="5"/>
  <c r="C1249" i="7" s="1"/>
  <c r="B1249" i="5"/>
  <c r="B1249" i="7" s="1"/>
  <c r="J1248" i="5"/>
  <c r="J1248" i="7" s="1"/>
  <c r="I1248" i="5"/>
  <c r="I1248" i="7" s="1"/>
  <c r="H1248" i="5"/>
  <c r="H1248" i="7" s="1"/>
  <c r="G1248" i="5"/>
  <c r="G1248" i="7" s="1"/>
  <c r="F1248" i="5"/>
  <c r="F1248" i="7" s="1"/>
  <c r="E1248" i="5"/>
  <c r="D1248" i="5"/>
  <c r="D1248" i="7" s="1"/>
  <c r="C1248" i="5"/>
  <c r="C1248" i="7" s="1"/>
  <c r="B1248" i="5"/>
  <c r="B1248" i="7" s="1"/>
  <c r="J1247" i="5"/>
  <c r="J1247" i="7" s="1"/>
  <c r="I1247" i="5"/>
  <c r="I1247" i="7" s="1"/>
  <c r="H1247" i="5"/>
  <c r="H1247" i="7" s="1"/>
  <c r="G1247" i="5"/>
  <c r="G1247" i="7" s="1"/>
  <c r="F1247" i="5"/>
  <c r="F1247" i="7" s="1"/>
  <c r="E1247" i="5"/>
  <c r="E1247" i="7" s="1"/>
  <c r="D1247" i="5"/>
  <c r="D1247" i="7" s="1"/>
  <c r="C1247" i="5"/>
  <c r="C1247" i="7" s="1"/>
  <c r="B1247" i="5"/>
  <c r="B1247" i="7" s="1"/>
  <c r="K1246" i="5"/>
  <c r="K1246" i="7" s="1"/>
  <c r="J1246" i="5"/>
  <c r="J1246" i="7" s="1"/>
  <c r="I1246" i="5"/>
  <c r="I1246" i="7" s="1"/>
  <c r="H1246" i="5"/>
  <c r="H1246" i="7" s="1"/>
  <c r="G1246" i="5"/>
  <c r="G1246" i="7" s="1"/>
  <c r="F1246" i="5"/>
  <c r="F1246" i="7" s="1"/>
  <c r="E1246" i="5"/>
  <c r="E1246" i="7" s="1"/>
  <c r="D1246" i="5"/>
  <c r="D1246" i="7" s="1"/>
  <c r="C1246" i="5"/>
  <c r="C1246" i="7" s="1"/>
  <c r="B1246" i="5"/>
  <c r="B1246" i="7" s="1"/>
  <c r="K1245" i="5"/>
  <c r="K1245" i="7" s="1"/>
  <c r="J1245" i="5"/>
  <c r="J1245" i="7" s="1"/>
  <c r="I1245" i="5"/>
  <c r="I1245" i="7" s="1"/>
  <c r="H1245" i="5"/>
  <c r="H1245" i="7" s="1"/>
  <c r="G1245" i="5"/>
  <c r="G1245" i="7" s="1"/>
  <c r="F1245" i="5"/>
  <c r="F1245" i="7" s="1"/>
  <c r="E1245" i="5"/>
  <c r="E1245" i="7" s="1"/>
  <c r="D1245" i="5"/>
  <c r="D1245" i="7" s="1"/>
  <c r="C1245" i="5"/>
  <c r="C1245" i="7" s="1"/>
  <c r="B1245" i="5"/>
  <c r="B1245" i="7" s="1"/>
  <c r="J1244" i="5"/>
  <c r="J1244" i="7" s="1"/>
  <c r="I1244" i="5"/>
  <c r="I1244" i="7" s="1"/>
  <c r="H1244" i="5"/>
  <c r="H1244" i="7" s="1"/>
  <c r="G1244" i="5"/>
  <c r="G1244" i="7" s="1"/>
  <c r="F1244" i="5"/>
  <c r="E1244" i="5"/>
  <c r="E1244" i="7" s="1"/>
  <c r="D1244" i="5"/>
  <c r="D1244" i="7" s="1"/>
  <c r="C1244" i="5"/>
  <c r="C1244" i="7" s="1"/>
  <c r="B1244" i="5"/>
  <c r="B1244" i="7" s="1"/>
  <c r="J1243" i="5"/>
  <c r="J1243" i="7" s="1"/>
  <c r="I1243" i="5"/>
  <c r="I1243" i="7" s="1"/>
  <c r="H1243" i="5"/>
  <c r="H1243" i="7" s="1"/>
  <c r="G1243" i="5"/>
  <c r="G1243" i="7" s="1"/>
  <c r="F1243" i="5"/>
  <c r="E1243" i="5"/>
  <c r="E1243" i="7" s="1"/>
  <c r="D1243" i="5"/>
  <c r="D1243" i="7" s="1"/>
  <c r="C1243" i="5"/>
  <c r="C1243" i="7" s="1"/>
  <c r="B1243" i="5"/>
  <c r="B1243" i="7" s="1"/>
  <c r="L1242" i="5"/>
  <c r="L1242" i="7" s="1"/>
  <c r="J1242" i="5"/>
  <c r="J1242" i="7" s="1"/>
  <c r="I1242" i="5"/>
  <c r="I1242" i="7" s="1"/>
  <c r="H1242" i="5"/>
  <c r="H1242" i="7" s="1"/>
  <c r="G1242" i="5"/>
  <c r="G1242" i="7" s="1"/>
  <c r="F1242" i="5"/>
  <c r="F1242" i="7" s="1"/>
  <c r="E1242" i="5"/>
  <c r="E1242" i="7" s="1"/>
  <c r="D1242" i="5"/>
  <c r="D1242" i="7" s="1"/>
  <c r="C1242" i="5"/>
  <c r="C1242" i="7" s="1"/>
  <c r="B1242" i="5"/>
  <c r="B1242" i="7" s="1"/>
  <c r="L1241" i="5"/>
  <c r="L1241" i="7" s="1"/>
  <c r="K1241" i="5"/>
  <c r="K1241" i="7" s="1"/>
  <c r="J1241" i="5"/>
  <c r="J1241" i="7" s="1"/>
  <c r="I1241" i="5"/>
  <c r="I1241" i="7" s="1"/>
  <c r="H1241" i="5"/>
  <c r="H1241" i="7" s="1"/>
  <c r="G1241" i="5"/>
  <c r="G1241" i="7" s="1"/>
  <c r="F1241" i="5"/>
  <c r="F1241" i="7" s="1"/>
  <c r="E1241" i="5"/>
  <c r="E1241" i="7" s="1"/>
  <c r="D1241" i="5"/>
  <c r="D1241" i="7" s="1"/>
  <c r="C1241" i="5"/>
  <c r="C1241" i="7" s="1"/>
  <c r="B1241" i="5"/>
  <c r="B1241" i="7" s="1"/>
  <c r="L1240" i="5"/>
  <c r="L1240" i="7" s="1"/>
  <c r="K1240" i="5"/>
  <c r="K1240" i="7" s="1"/>
  <c r="J1240" i="5"/>
  <c r="J1240" i="7" s="1"/>
  <c r="I1240" i="5"/>
  <c r="I1240" i="7" s="1"/>
  <c r="H1240" i="5"/>
  <c r="H1240" i="7" s="1"/>
  <c r="G1240" i="5"/>
  <c r="G1240" i="7" s="1"/>
  <c r="F1240" i="5"/>
  <c r="F1240" i="7" s="1"/>
  <c r="E1240" i="5"/>
  <c r="E1240" i="7" s="1"/>
  <c r="D1240" i="5"/>
  <c r="D1240" i="7" s="1"/>
  <c r="C1240" i="5"/>
  <c r="C1240" i="7" s="1"/>
  <c r="B1240" i="5"/>
  <c r="B1240" i="7" s="1"/>
  <c r="J1239" i="5"/>
  <c r="J1239" i="7" s="1"/>
  <c r="I1239" i="5"/>
  <c r="I1239" i="7" s="1"/>
  <c r="H1239" i="5"/>
  <c r="H1239" i="7" s="1"/>
  <c r="G1239" i="5"/>
  <c r="G1239" i="7" s="1"/>
  <c r="F1239" i="5"/>
  <c r="E1239" i="5"/>
  <c r="D1239" i="5"/>
  <c r="D1239" i="7" s="1"/>
  <c r="C1239" i="5"/>
  <c r="C1239" i="7" s="1"/>
  <c r="B1239" i="5"/>
  <c r="B1239" i="7" s="1"/>
  <c r="J1238" i="5"/>
  <c r="J1238" i="7" s="1"/>
  <c r="I1238" i="5"/>
  <c r="I1238" i="7" s="1"/>
  <c r="H1238" i="5"/>
  <c r="H1238" i="7" s="1"/>
  <c r="G1238" i="5"/>
  <c r="G1238" i="7" s="1"/>
  <c r="F1238" i="5"/>
  <c r="F1238" i="7" s="1"/>
  <c r="E1238" i="5"/>
  <c r="D1238" i="5"/>
  <c r="D1238" i="7" s="1"/>
  <c r="C1238" i="5"/>
  <c r="C1238" i="7" s="1"/>
  <c r="B1238" i="5"/>
  <c r="B1238" i="7" s="1"/>
  <c r="L1237" i="5"/>
  <c r="L1237" i="7" s="1"/>
  <c r="K1237" i="5"/>
  <c r="K1237" i="7" s="1"/>
  <c r="J1237" i="5"/>
  <c r="J1237" i="7" s="1"/>
  <c r="I1237" i="5"/>
  <c r="I1237" i="7" s="1"/>
  <c r="H1237" i="5"/>
  <c r="H1237" i="7" s="1"/>
  <c r="G1237" i="5"/>
  <c r="G1237" i="7" s="1"/>
  <c r="F1237" i="5"/>
  <c r="F1237" i="7" s="1"/>
  <c r="E1237" i="5"/>
  <c r="E1237" i="7" s="1"/>
  <c r="D1237" i="5"/>
  <c r="D1237" i="7" s="1"/>
  <c r="C1237" i="5"/>
  <c r="C1237" i="7" s="1"/>
  <c r="B1237" i="5"/>
  <c r="B1237" i="7" s="1"/>
  <c r="K1236" i="5"/>
  <c r="K1236" i="7" s="1"/>
  <c r="J1236" i="5"/>
  <c r="J1236" i="7" s="1"/>
  <c r="I1236" i="5"/>
  <c r="I1236" i="7" s="1"/>
  <c r="H1236" i="5"/>
  <c r="H1236" i="7" s="1"/>
  <c r="G1236" i="5"/>
  <c r="G1236" i="7" s="1"/>
  <c r="F1236" i="5"/>
  <c r="F1236" i="7" s="1"/>
  <c r="E1236" i="5"/>
  <c r="E1236" i="7" s="1"/>
  <c r="D1236" i="5"/>
  <c r="D1236" i="7" s="1"/>
  <c r="C1236" i="5"/>
  <c r="C1236" i="7" s="1"/>
  <c r="B1236" i="5"/>
  <c r="B1236" i="7" s="1"/>
  <c r="K1235" i="5"/>
  <c r="K1235" i="7" s="1"/>
  <c r="J1235" i="5"/>
  <c r="J1235" i="7" s="1"/>
  <c r="I1235" i="5"/>
  <c r="I1235" i="7" s="1"/>
  <c r="H1235" i="5"/>
  <c r="H1235" i="7" s="1"/>
  <c r="G1235" i="5"/>
  <c r="G1235" i="7" s="1"/>
  <c r="F1235" i="5"/>
  <c r="F1235" i="7" s="1"/>
  <c r="E1235" i="5"/>
  <c r="E1235" i="7" s="1"/>
  <c r="D1235" i="5"/>
  <c r="D1235" i="7" s="1"/>
  <c r="C1235" i="5"/>
  <c r="C1235" i="7" s="1"/>
  <c r="B1235" i="5"/>
  <c r="B1235" i="7" s="1"/>
  <c r="J1234" i="5"/>
  <c r="J1234" i="7" s="1"/>
  <c r="I1234" i="5"/>
  <c r="I1234" i="7" s="1"/>
  <c r="H1234" i="5"/>
  <c r="H1234" i="7" s="1"/>
  <c r="G1234" i="5"/>
  <c r="G1234" i="7" s="1"/>
  <c r="F1234" i="5"/>
  <c r="F1234" i="7" s="1"/>
  <c r="E1234" i="5"/>
  <c r="D1234" i="5"/>
  <c r="D1234" i="7" s="1"/>
  <c r="C1234" i="5"/>
  <c r="C1234" i="7" s="1"/>
  <c r="B1234" i="5"/>
  <c r="B1234" i="7" s="1"/>
  <c r="K1233" i="5"/>
  <c r="K1233" i="7" s="1"/>
  <c r="J1233" i="5"/>
  <c r="J1233" i="7" s="1"/>
  <c r="I1233" i="5"/>
  <c r="I1233" i="7" s="1"/>
  <c r="H1233" i="5"/>
  <c r="H1233" i="7" s="1"/>
  <c r="G1233" i="5"/>
  <c r="G1233" i="7" s="1"/>
  <c r="F1233" i="5"/>
  <c r="F1233" i="7" s="1"/>
  <c r="E1233" i="5"/>
  <c r="E1233" i="7" s="1"/>
  <c r="D1233" i="5"/>
  <c r="D1233" i="7" s="1"/>
  <c r="C1233" i="5"/>
  <c r="C1233" i="7" s="1"/>
  <c r="B1233" i="5"/>
  <c r="B1233" i="7" s="1"/>
  <c r="L1232" i="5"/>
  <c r="L1232" i="7" s="1"/>
  <c r="K1232" i="5"/>
  <c r="K1232" i="7" s="1"/>
  <c r="J1232" i="5"/>
  <c r="J1232" i="7" s="1"/>
  <c r="I1232" i="5"/>
  <c r="I1232" i="7" s="1"/>
  <c r="H1232" i="5"/>
  <c r="H1232" i="7" s="1"/>
  <c r="G1232" i="5"/>
  <c r="G1232" i="7" s="1"/>
  <c r="F1232" i="5"/>
  <c r="F1232" i="7" s="1"/>
  <c r="E1232" i="5"/>
  <c r="E1232" i="7" s="1"/>
  <c r="D1232" i="5"/>
  <c r="D1232" i="7" s="1"/>
  <c r="C1232" i="5"/>
  <c r="C1232" i="7" s="1"/>
  <c r="B1232" i="5"/>
  <c r="B1232" i="7" s="1"/>
  <c r="L1231" i="5"/>
  <c r="L1231" i="7" s="1"/>
  <c r="J1231" i="5"/>
  <c r="J1231" i="7" s="1"/>
  <c r="I1231" i="5"/>
  <c r="I1231" i="7" s="1"/>
  <c r="H1231" i="5"/>
  <c r="H1231" i="7" s="1"/>
  <c r="G1231" i="5"/>
  <c r="G1231" i="7" s="1"/>
  <c r="F1231" i="5"/>
  <c r="F1231" i="7" s="1"/>
  <c r="E1231" i="5"/>
  <c r="E1231" i="7" s="1"/>
  <c r="D1231" i="5"/>
  <c r="D1231" i="7" s="1"/>
  <c r="C1231" i="5"/>
  <c r="C1231" i="7" s="1"/>
  <c r="B1231" i="5"/>
  <c r="B1231" i="7" s="1"/>
  <c r="J1230" i="5"/>
  <c r="J1230" i="7" s="1"/>
  <c r="I1230" i="5"/>
  <c r="I1230" i="7" s="1"/>
  <c r="H1230" i="5"/>
  <c r="H1230" i="7" s="1"/>
  <c r="G1230" i="5"/>
  <c r="G1230" i="7" s="1"/>
  <c r="F1230" i="5"/>
  <c r="E1230" i="5"/>
  <c r="E1230" i="7" s="1"/>
  <c r="D1230" i="5"/>
  <c r="D1230" i="7" s="1"/>
  <c r="C1230" i="5"/>
  <c r="C1230" i="7" s="1"/>
  <c r="B1230" i="5"/>
  <c r="B1230" i="7" s="1"/>
  <c r="K1229" i="5"/>
  <c r="K1229" i="7" s="1"/>
  <c r="J1229" i="5"/>
  <c r="J1229" i="7" s="1"/>
  <c r="I1229" i="5"/>
  <c r="I1229" i="7" s="1"/>
  <c r="H1229" i="5"/>
  <c r="H1229" i="7" s="1"/>
  <c r="G1229" i="5"/>
  <c r="G1229" i="7" s="1"/>
  <c r="F1229" i="5"/>
  <c r="E1229" i="5"/>
  <c r="E1229" i="7" s="1"/>
  <c r="D1229" i="5"/>
  <c r="D1229" i="7" s="1"/>
  <c r="C1229" i="5"/>
  <c r="C1229" i="7" s="1"/>
  <c r="B1229" i="5"/>
  <c r="B1229" i="7" s="1"/>
  <c r="L1228" i="5"/>
  <c r="L1228" i="7" s="1"/>
  <c r="K1228" i="5"/>
  <c r="K1228" i="7" s="1"/>
  <c r="J1228" i="5"/>
  <c r="J1228" i="7" s="1"/>
  <c r="I1228" i="5"/>
  <c r="I1228" i="7" s="1"/>
  <c r="H1228" i="5"/>
  <c r="H1228" i="7" s="1"/>
  <c r="G1228" i="5"/>
  <c r="G1228" i="7" s="1"/>
  <c r="F1228" i="5"/>
  <c r="F1228" i="7" s="1"/>
  <c r="E1228" i="5"/>
  <c r="E1228" i="7" s="1"/>
  <c r="D1228" i="5"/>
  <c r="D1228" i="7" s="1"/>
  <c r="C1228" i="5"/>
  <c r="C1228" i="7" s="1"/>
  <c r="B1228" i="5"/>
  <c r="B1228" i="7" s="1"/>
  <c r="L1227" i="5"/>
  <c r="L1227" i="7" s="1"/>
  <c r="J1227" i="5"/>
  <c r="J1227" i="7" s="1"/>
  <c r="I1227" i="5"/>
  <c r="I1227" i="7" s="1"/>
  <c r="H1227" i="5"/>
  <c r="H1227" i="7" s="1"/>
  <c r="G1227" i="5"/>
  <c r="G1227" i="7" s="1"/>
  <c r="F1227" i="5"/>
  <c r="F1227" i="7" s="1"/>
  <c r="E1227" i="5"/>
  <c r="E1227" i="7" s="1"/>
  <c r="D1227" i="5"/>
  <c r="D1227" i="7" s="1"/>
  <c r="C1227" i="5"/>
  <c r="C1227" i="7" s="1"/>
  <c r="B1227" i="5"/>
  <c r="B1227" i="7" s="1"/>
  <c r="J1226" i="5"/>
  <c r="J1226" i="7" s="1"/>
  <c r="I1226" i="5"/>
  <c r="I1226" i="7" s="1"/>
  <c r="H1226" i="5"/>
  <c r="H1226" i="7" s="1"/>
  <c r="G1226" i="5"/>
  <c r="G1226" i="7" s="1"/>
  <c r="F1226" i="5"/>
  <c r="F1226" i="7" s="1"/>
  <c r="E1226" i="5"/>
  <c r="D1226" i="5"/>
  <c r="D1226" i="7" s="1"/>
  <c r="C1226" i="5"/>
  <c r="C1226" i="7" s="1"/>
  <c r="B1226" i="5"/>
  <c r="B1226" i="7" s="1"/>
  <c r="J1225" i="5"/>
  <c r="J1225" i="7" s="1"/>
  <c r="I1225" i="5"/>
  <c r="I1225" i="7" s="1"/>
  <c r="H1225" i="5"/>
  <c r="H1225" i="7" s="1"/>
  <c r="G1225" i="5"/>
  <c r="G1225" i="7" s="1"/>
  <c r="F1225" i="5"/>
  <c r="E1225" i="5"/>
  <c r="D1225" i="5"/>
  <c r="D1225" i="7" s="1"/>
  <c r="C1225" i="5"/>
  <c r="C1225" i="7" s="1"/>
  <c r="B1225" i="5"/>
  <c r="B1225" i="7" s="1"/>
  <c r="J1224" i="5"/>
  <c r="J1224" i="7" s="1"/>
  <c r="I1224" i="5"/>
  <c r="I1224" i="7" s="1"/>
  <c r="H1224" i="5"/>
  <c r="H1224" i="7" s="1"/>
  <c r="G1224" i="5"/>
  <c r="G1224" i="7" s="1"/>
  <c r="F1224" i="5"/>
  <c r="F1224" i="7" s="1"/>
  <c r="E1224" i="5"/>
  <c r="D1224" i="5"/>
  <c r="D1224" i="7" s="1"/>
  <c r="C1224" i="5"/>
  <c r="C1224" i="7" s="1"/>
  <c r="B1224" i="5"/>
  <c r="B1224" i="7" s="1"/>
  <c r="L1223" i="5"/>
  <c r="L1223" i="7" s="1"/>
  <c r="K1223" i="5"/>
  <c r="K1223" i="7" s="1"/>
  <c r="J1223" i="5"/>
  <c r="J1223" i="7" s="1"/>
  <c r="I1223" i="5"/>
  <c r="I1223" i="7" s="1"/>
  <c r="H1223" i="5"/>
  <c r="H1223" i="7" s="1"/>
  <c r="G1223" i="5"/>
  <c r="G1223" i="7" s="1"/>
  <c r="F1223" i="5"/>
  <c r="F1223" i="7" s="1"/>
  <c r="E1223" i="5"/>
  <c r="E1223" i="7" s="1"/>
  <c r="D1223" i="5"/>
  <c r="D1223" i="7" s="1"/>
  <c r="C1223" i="5"/>
  <c r="C1223" i="7" s="1"/>
  <c r="B1223" i="5"/>
  <c r="B1223" i="7" s="1"/>
  <c r="K1222" i="5"/>
  <c r="K1222" i="7" s="1"/>
  <c r="J1222" i="5"/>
  <c r="J1222" i="7" s="1"/>
  <c r="I1222" i="5"/>
  <c r="I1222" i="7" s="1"/>
  <c r="H1222" i="5"/>
  <c r="H1222" i="7" s="1"/>
  <c r="G1222" i="5"/>
  <c r="G1222" i="7" s="1"/>
  <c r="F1222" i="5"/>
  <c r="F1222" i="7" s="1"/>
  <c r="E1222" i="5"/>
  <c r="E1222" i="7" s="1"/>
  <c r="D1222" i="5"/>
  <c r="D1222" i="7" s="1"/>
  <c r="C1222" i="5"/>
  <c r="C1222" i="7" s="1"/>
  <c r="B1222" i="5"/>
  <c r="B1222" i="7" s="1"/>
  <c r="L1221" i="5"/>
  <c r="L1221" i="7" s="1"/>
  <c r="J1221" i="5"/>
  <c r="J1221" i="7" s="1"/>
  <c r="I1221" i="5"/>
  <c r="I1221" i="7" s="1"/>
  <c r="H1221" i="5"/>
  <c r="H1221" i="7" s="1"/>
  <c r="G1221" i="5"/>
  <c r="G1221" i="7" s="1"/>
  <c r="F1221" i="5"/>
  <c r="F1221" i="7" s="1"/>
  <c r="E1221" i="5"/>
  <c r="D1221" i="5"/>
  <c r="D1221" i="7" s="1"/>
  <c r="C1221" i="5"/>
  <c r="C1221" i="7" s="1"/>
  <c r="B1221" i="5"/>
  <c r="B1221" i="7" s="1"/>
  <c r="L1220" i="5"/>
  <c r="L1220" i="7" s="1"/>
  <c r="J1220" i="5"/>
  <c r="J1220" i="7" s="1"/>
  <c r="I1220" i="5"/>
  <c r="I1220" i="7" s="1"/>
  <c r="H1220" i="5"/>
  <c r="H1220" i="7" s="1"/>
  <c r="G1220" i="5"/>
  <c r="G1220" i="7" s="1"/>
  <c r="F1220" i="5"/>
  <c r="F1220" i="7" s="1"/>
  <c r="E1220" i="5"/>
  <c r="D1220" i="5"/>
  <c r="D1220" i="7" s="1"/>
  <c r="C1220" i="5"/>
  <c r="C1220" i="7" s="1"/>
  <c r="B1220" i="5"/>
  <c r="B1220" i="7" s="1"/>
  <c r="L1219" i="5"/>
  <c r="L1219" i="7" s="1"/>
  <c r="J1219" i="5"/>
  <c r="J1219" i="7" s="1"/>
  <c r="I1219" i="5"/>
  <c r="I1219" i="7" s="1"/>
  <c r="H1219" i="5"/>
  <c r="H1219" i="7" s="1"/>
  <c r="G1219" i="5"/>
  <c r="G1219" i="7" s="1"/>
  <c r="F1219" i="5"/>
  <c r="F1219" i="7" s="1"/>
  <c r="E1219" i="5"/>
  <c r="E1219" i="7" s="1"/>
  <c r="D1219" i="5"/>
  <c r="D1219" i="7" s="1"/>
  <c r="C1219" i="5"/>
  <c r="C1219" i="7" s="1"/>
  <c r="B1219" i="5"/>
  <c r="B1219" i="7" s="1"/>
  <c r="K1218" i="5"/>
  <c r="K1218" i="7" s="1"/>
  <c r="J1218" i="5"/>
  <c r="J1218" i="7" s="1"/>
  <c r="I1218" i="5"/>
  <c r="I1218" i="7" s="1"/>
  <c r="H1218" i="5"/>
  <c r="H1218" i="7" s="1"/>
  <c r="G1218" i="5"/>
  <c r="G1218" i="7" s="1"/>
  <c r="F1218" i="5"/>
  <c r="F1218" i="7" s="1"/>
  <c r="E1218" i="5"/>
  <c r="E1218" i="7" s="1"/>
  <c r="D1218" i="5"/>
  <c r="D1218" i="7" s="1"/>
  <c r="C1218" i="5"/>
  <c r="C1218" i="7" s="1"/>
  <c r="B1218" i="5"/>
  <c r="B1218" i="7" s="1"/>
  <c r="J1217" i="5"/>
  <c r="J1217" i="7" s="1"/>
  <c r="I1217" i="5"/>
  <c r="I1217" i="7" s="1"/>
  <c r="H1217" i="5"/>
  <c r="H1217" i="7" s="1"/>
  <c r="G1217" i="5"/>
  <c r="G1217" i="7" s="1"/>
  <c r="F1217" i="5"/>
  <c r="E1217" i="5"/>
  <c r="E1217" i="7" s="1"/>
  <c r="D1217" i="5"/>
  <c r="D1217" i="7" s="1"/>
  <c r="C1217" i="5"/>
  <c r="C1217" i="7" s="1"/>
  <c r="B1217" i="5"/>
  <c r="B1217" i="7" s="1"/>
  <c r="K1216" i="5"/>
  <c r="K1216" i="7" s="1"/>
  <c r="J1216" i="5"/>
  <c r="J1216" i="7" s="1"/>
  <c r="I1216" i="5"/>
  <c r="I1216" i="7" s="1"/>
  <c r="H1216" i="5"/>
  <c r="H1216" i="7" s="1"/>
  <c r="G1216" i="5"/>
  <c r="G1216" i="7" s="1"/>
  <c r="F1216" i="5"/>
  <c r="E1216" i="5"/>
  <c r="E1216" i="7" s="1"/>
  <c r="D1216" i="5"/>
  <c r="D1216" i="7" s="1"/>
  <c r="C1216" i="5"/>
  <c r="C1216" i="7" s="1"/>
  <c r="B1216" i="5"/>
  <c r="B1216" i="7" s="1"/>
  <c r="J1215" i="5"/>
  <c r="J1215" i="7" s="1"/>
  <c r="I1215" i="5"/>
  <c r="I1215" i="7" s="1"/>
  <c r="H1215" i="5"/>
  <c r="H1215" i="7" s="1"/>
  <c r="G1215" i="5"/>
  <c r="G1215" i="7" s="1"/>
  <c r="F1215" i="5"/>
  <c r="E1215" i="5"/>
  <c r="E1215" i="7" s="1"/>
  <c r="D1215" i="5"/>
  <c r="D1215" i="7" s="1"/>
  <c r="C1215" i="5"/>
  <c r="C1215" i="7" s="1"/>
  <c r="B1215" i="5"/>
  <c r="B1215" i="7" s="1"/>
  <c r="L1214" i="5"/>
  <c r="L1214" i="7" s="1"/>
  <c r="J1214" i="5"/>
  <c r="J1214" i="7" s="1"/>
  <c r="I1214" i="5"/>
  <c r="I1214" i="7" s="1"/>
  <c r="H1214" i="5"/>
  <c r="H1214" i="7" s="1"/>
  <c r="G1214" i="5"/>
  <c r="G1214" i="7" s="1"/>
  <c r="F1214" i="5"/>
  <c r="F1214" i="7" s="1"/>
  <c r="E1214" i="5"/>
  <c r="D1214" i="5"/>
  <c r="D1214" i="7" s="1"/>
  <c r="C1214" i="5"/>
  <c r="C1214" i="7" s="1"/>
  <c r="B1214" i="5"/>
  <c r="B1214" i="7" s="1"/>
  <c r="L1213" i="5"/>
  <c r="L1213" i="7" s="1"/>
  <c r="J1213" i="5"/>
  <c r="J1213" i="7" s="1"/>
  <c r="I1213" i="5"/>
  <c r="I1213" i="7" s="1"/>
  <c r="H1213" i="5"/>
  <c r="H1213" i="7" s="1"/>
  <c r="G1213" i="5"/>
  <c r="G1213" i="7" s="1"/>
  <c r="F1213" i="5"/>
  <c r="F1213" i="7" s="1"/>
  <c r="E1213" i="5"/>
  <c r="E1213" i="7" s="1"/>
  <c r="D1213" i="5"/>
  <c r="D1213" i="7" s="1"/>
  <c r="C1213" i="5"/>
  <c r="C1213" i="7" s="1"/>
  <c r="B1213" i="5"/>
  <c r="B1213" i="7" s="1"/>
  <c r="L1212" i="5"/>
  <c r="L1212" i="7" s="1"/>
  <c r="J1212" i="5"/>
  <c r="J1212" i="7" s="1"/>
  <c r="I1212" i="5"/>
  <c r="I1212" i="7" s="1"/>
  <c r="H1212" i="5"/>
  <c r="H1212" i="7" s="1"/>
  <c r="G1212" i="5"/>
  <c r="G1212" i="7" s="1"/>
  <c r="F1212" i="5"/>
  <c r="F1212" i="7" s="1"/>
  <c r="E1212" i="5"/>
  <c r="E1212" i="7" s="1"/>
  <c r="D1212" i="5"/>
  <c r="D1212" i="7" s="1"/>
  <c r="C1212" i="5"/>
  <c r="C1212" i="7" s="1"/>
  <c r="B1212" i="5"/>
  <c r="B1212" i="7" s="1"/>
  <c r="J1211" i="5"/>
  <c r="J1211" i="7" s="1"/>
  <c r="I1211" i="5"/>
  <c r="I1211" i="7" s="1"/>
  <c r="H1211" i="5"/>
  <c r="H1211" i="7" s="1"/>
  <c r="G1211" i="5"/>
  <c r="G1211" i="7" s="1"/>
  <c r="F1211" i="5"/>
  <c r="E1211" i="5"/>
  <c r="D1211" i="5"/>
  <c r="D1211" i="7" s="1"/>
  <c r="C1211" i="5"/>
  <c r="C1211" i="7" s="1"/>
  <c r="B1211" i="5"/>
  <c r="B1211" i="7" s="1"/>
  <c r="J1210" i="5"/>
  <c r="J1210" i="7" s="1"/>
  <c r="I1210" i="5"/>
  <c r="I1210" i="7" s="1"/>
  <c r="H1210" i="5"/>
  <c r="H1210" i="7" s="1"/>
  <c r="G1210" i="5"/>
  <c r="G1210" i="7" s="1"/>
  <c r="F1210" i="5"/>
  <c r="F1210" i="7" s="1"/>
  <c r="E1210" i="5"/>
  <c r="D1210" i="5"/>
  <c r="D1210" i="7" s="1"/>
  <c r="C1210" i="5"/>
  <c r="C1210" i="7" s="1"/>
  <c r="B1210" i="5"/>
  <c r="B1210" i="7" s="1"/>
  <c r="L1209" i="5"/>
  <c r="L1209" i="7" s="1"/>
  <c r="K1209" i="5"/>
  <c r="K1209" i="7" s="1"/>
  <c r="J1209" i="5"/>
  <c r="J1209" i="7" s="1"/>
  <c r="I1209" i="5"/>
  <c r="I1209" i="7" s="1"/>
  <c r="H1209" i="5"/>
  <c r="H1209" i="7" s="1"/>
  <c r="G1209" i="5"/>
  <c r="G1209" i="7" s="1"/>
  <c r="F1209" i="5"/>
  <c r="F1209" i="7" s="1"/>
  <c r="E1209" i="5"/>
  <c r="E1209" i="7" s="1"/>
  <c r="D1209" i="5"/>
  <c r="D1209" i="7" s="1"/>
  <c r="C1209" i="5"/>
  <c r="C1209" i="7" s="1"/>
  <c r="B1209" i="5"/>
  <c r="B1209" i="7" s="1"/>
  <c r="L1208" i="5"/>
  <c r="L1208" i="7" s="1"/>
  <c r="K1208" i="5"/>
  <c r="K1208" i="7" s="1"/>
  <c r="J1208" i="5"/>
  <c r="J1208" i="7" s="1"/>
  <c r="I1208" i="5"/>
  <c r="I1208" i="7" s="1"/>
  <c r="H1208" i="5"/>
  <c r="H1208" i="7" s="1"/>
  <c r="G1208" i="5"/>
  <c r="G1208" i="7" s="1"/>
  <c r="F1208" i="5"/>
  <c r="F1208" i="7" s="1"/>
  <c r="E1208" i="5"/>
  <c r="E1208" i="7" s="1"/>
  <c r="D1208" i="5"/>
  <c r="D1208" i="7" s="1"/>
  <c r="C1208" i="5"/>
  <c r="C1208" i="7" s="1"/>
  <c r="B1208" i="5"/>
  <c r="B1208" i="7" s="1"/>
  <c r="J1207" i="5"/>
  <c r="J1207" i="7" s="1"/>
  <c r="I1207" i="5"/>
  <c r="I1207" i="7" s="1"/>
  <c r="H1207" i="5"/>
  <c r="H1207" i="7" s="1"/>
  <c r="G1207" i="5"/>
  <c r="G1207" i="7" s="1"/>
  <c r="F1207" i="5"/>
  <c r="E1207" i="5"/>
  <c r="E1207" i="7" s="1"/>
  <c r="D1207" i="5"/>
  <c r="D1207" i="7" s="1"/>
  <c r="C1207" i="5"/>
  <c r="C1207" i="7" s="1"/>
  <c r="B1207" i="5"/>
  <c r="B1207" i="7" s="1"/>
  <c r="J1206" i="5"/>
  <c r="J1206" i="7" s="1"/>
  <c r="I1206" i="5"/>
  <c r="I1206" i="7" s="1"/>
  <c r="H1206" i="5"/>
  <c r="H1206" i="7" s="1"/>
  <c r="G1206" i="5"/>
  <c r="G1206" i="7" s="1"/>
  <c r="F1206" i="5"/>
  <c r="F1206" i="7" s="1"/>
  <c r="E1206" i="5"/>
  <c r="D1206" i="5"/>
  <c r="D1206" i="7" s="1"/>
  <c r="C1206" i="5"/>
  <c r="C1206" i="7" s="1"/>
  <c r="B1206" i="5"/>
  <c r="B1206" i="7" s="1"/>
  <c r="K1205" i="5"/>
  <c r="K1205" i="7" s="1"/>
  <c r="J1205" i="5"/>
  <c r="J1205" i="7" s="1"/>
  <c r="I1205" i="5"/>
  <c r="I1205" i="7" s="1"/>
  <c r="H1205" i="5"/>
  <c r="H1205" i="7" s="1"/>
  <c r="G1205" i="5"/>
  <c r="G1205" i="7" s="1"/>
  <c r="F1205" i="5"/>
  <c r="E1205" i="5"/>
  <c r="E1205" i="7" s="1"/>
  <c r="D1205" i="5"/>
  <c r="D1205" i="7" s="1"/>
  <c r="C1205" i="5"/>
  <c r="C1205" i="7" s="1"/>
  <c r="B1205" i="5"/>
  <c r="B1205" i="7" s="1"/>
  <c r="L1204" i="5"/>
  <c r="L1204" i="7" s="1"/>
  <c r="K1204" i="5"/>
  <c r="K1204" i="7" s="1"/>
  <c r="J1204" i="5"/>
  <c r="J1204" i="7" s="1"/>
  <c r="I1204" i="5"/>
  <c r="I1204" i="7" s="1"/>
  <c r="H1204" i="5"/>
  <c r="H1204" i="7" s="1"/>
  <c r="G1204" i="5"/>
  <c r="G1204" i="7" s="1"/>
  <c r="F1204" i="5"/>
  <c r="F1204" i="7" s="1"/>
  <c r="E1204" i="5"/>
  <c r="E1204" i="7" s="1"/>
  <c r="D1204" i="5"/>
  <c r="D1204" i="7" s="1"/>
  <c r="C1204" i="5"/>
  <c r="C1204" i="7" s="1"/>
  <c r="B1204" i="5"/>
  <c r="B1204" i="7" s="1"/>
  <c r="J1203" i="5"/>
  <c r="J1203" i="7" s="1"/>
  <c r="I1203" i="5"/>
  <c r="I1203" i="7" s="1"/>
  <c r="H1203" i="5"/>
  <c r="H1203" i="7" s="1"/>
  <c r="G1203" i="5"/>
  <c r="G1203" i="7" s="1"/>
  <c r="F1203" i="5"/>
  <c r="F1203" i="7" s="1"/>
  <c r="E1203" i="5"/>
  <c r="E1203" i="7" s="1"/>
  <c r="D1203" i="5"/>
  <c r="D1203" i="7" s="1"/>
  <c r="C1203" i="5"/>
  <c r="C1203" i="7" s="1"/>
  <c r="B1203" i="5"/>
  <c r="B1203" i="7" s="1"/>
  <c r="J1202" i="5"/>
  <c r="J1202" i="7" s="1"/>
  <c r="I1202" i="5"/>
  <c r="I1202" i="7" s="1"/>
  <c r="H1202" i="5"/>
  <c r="H1202" i="7" s="1"/>
  <c r="G1202" i="5"/>
  <c r="G1202" i="7" s="1"/>
  <c r="F1202" i="5"/>
  <c r="E1202" i="5"/>
  <c r="E1202" i="7" s="1"/>
  <c r="D1202" i="5"/>
  <c r="D1202" i="7" s="1"/>
  <c r="C1202" i="5"/>
  <c r="C1202" i="7" s="1"/>
  <c r="B1202" i="5"/>
  <c r="B1202" i="7" s="1"/>
  <c r="J1201" i="5"/>
  <c r="J1201" i="7" s="1"/>
  <c r="I1201" i="5"/>
  <c r="I1201" i="7" s="1"/>
  <c r="H1201" i="5"/>
  <c r="H1201" i="7" s="1"/>
  <c r="G1201" i="5"/>
  <c r="G1201" i="7" s="1"/>
  <c r="F1201" i="5"/>
  <c r="E1201" i="5"/>
  <c r="E1201" i="7" s="1"/>
  <c r="D1201" i="5"/>
  <c r="D1201" i="7" s="1"/>
  <c r="C1201" i="5"/>
  <c r="C1201" i="7" s="1"/>
  <c r="B1201" i="5"/>
  <c r="B1201" i="7" s="1"/>
  <c r="L1200" i="5"/>
  <c r="L1200" i="7" s="1"/>
  <c r="K1200" i="5"/>
  <c r="K1200" i="7" s="1"/>
  <c r="J1200" i="5"/>
  <c r="J1200" i="7" s="1"/>
  <c r="I1200" i="5"/>
  <c r="I1200" i="7" s="1"/>
  <c r="H1200" i="5"/>
  <c r="H1200" i="7" s="1"/>
  <c r="G1200" i="5"/>
  <c r="G1200" i="7" s="1"/>
  <c r="F1200" i="5"/>
  <c r="F1200" i="7" s="1"/>
  <c r="E1200" i="5"/>
  <c r="E1200" i="7" s="1"/>
  <c r="D1200" i="5"/>
  <c r="D1200" i="7" s="1"/>
  <c r="C1200" i="5"/>
  <c r="C1200" i="7" s="1"/>
  <c r="B1200" i="5"/>
  <c r="B1200" i="7" s="1"/>
  <c r="L1199" i="5"/>
  <c r="L1199" i="7" s="1"/>
  <c r="J1199" i="5"/>
  <c r="J1199" i="7" s="1"/>
  <c r="I1199" i="5"/>
  <c r="I1199" i="7" s="1"/>
  <c r="H1199" i="5"/>
  <c r="H1199" i="7" s="1"/>
  <c r="G1199" i="5"/>
  <c r="G1199" i="7" s="1"/>
  <c r="F1199" i="5"/>
  <c r="F1199" i="7" s="1"/>
  <c r="E1199" i="5"/>
  <c r="E1199" i="7" s="1"/>
  <c r="D1199" i="5"/>
  <c r="D1199" i="7" s="1"/>
  <c r="C1199" i="5"/>
  <c r="C1199" i="7" s="1"/>
  <c r="B1199" i="5"/>
  <c r="B1199" i="7" s="1"/>
  <c r="K1198" i="5"/>
  <c r="K1198" i="7" s="1"/>
  <c r="J1198" i="5"/>
  <c r="J1198" i="7" s="1"/>
  <c r="I1198" i="5"/>
  <c r="I1198" i="7" s="1"/>
  <c r="H1198" i="5"/>
  <c r="H1198" i="7" s="1"/>
  <c r="G1198" i="5"/>
  <c r="G1198" i="7" s="1"/>
  <c r="F1198" i="5"/>
  <c r="F1198" i="7" s="1"/>
  <c r="E1198" i="5"/>
  <c r="E1198" i="7" s="1"/>
  <c r="D1198" i="5"/>
  <c r="D1198" i="7" s="1"/>
  <c r="C1198" i="5"/>
  <c r="C1198" i="7" s="1"/>
  <c r="B1198" i="5"/>
  <c r="B1198" i="7" s="1"/>
  <c r="J1197" i="5"/>
  <c r="J1197" i="7" s="1"/>
  <c r="I1197" i="5"/>
  <c r="I1197" i="7" s="1"/>
  <c r="H1197" i="5"/>
  <c r="H1197" i="7" s="1"/>
  <c r="G1197" i="5"/>
  <c r="G1197" i="7" s="1"/>
  <c r="F1197" i="5"/>
  <c r="E1197" i="5"/>
  <c r="D1197" i="5"/>
  <c r="D1197" i="7" s="1"/>
  <c r="C1197" i="5"/>
  <c r="C1197" i="7" s="1"/>
  <c r="B1197" i="5"/>
  <c r="B1197" i="7" s="1"/>
  <c r="L1196" i="5"/>
  <c r="L1196" i="7" s="1"/>
  <c r="J1196" i="5"/>
  <c r="J1196" i="7" s="1"/>
  <c r="I1196" i="5"/>
  <c r="I1196" i="7" s="1"/>
  <c r="H1196" i="5"/>
  <c r="H1196" i="7" s="1"/>
  <c r="G1196" i="5"/>
  <c r="G1196" i="7" s="1"/>
  <c r="F1196" i="5"/>
  <c r="F1196" i="7" s="1"/>
  <c r="E1196" i="5"/>
  <c r="D1196" i="5"/>
  <c r="D1196" i="7" s="1"/>
  <c r="C1196" i="5"/>
  <c r="C1196" i="7" s="1"/>
  <c r="B1196" i="5"/>
  <c r="B1196" i="7" s="1"/>
  <c r="L1195" i="5"/>
  <c r="L1195" i="7" s="1"/>
  <c r="K1195" i="5"/>
  <c r="K1195" i="7" s="1"/>
  <c r="J1195" i="5"/>
  <c r="J1195" i="7" s="1"/>
  <c r="I1195" i="5"/>
  <c r="I1195" i="7" s="1"/>
  <c r="H1195" i="5"/>
  <c r="H1195" i="7" s="1"/>
  <c r="G1195" i="5"/>
  <c r="G1195" i="7" s="1"/>
  <c r="F1195" i="5"/>
  <c r="F1195" i="7" s="1"/>
  <c r="E1195" i="5"/>
  <c r="E1195" i="7" s="1"/>
  <c r="D1195" i="5"/>
  <c r="D1195" i="7" s="1"/>
  <c r="C1195" i="5"/>
  <c r="C1195" i="7" s="1"/>
  <c r="B1195" i="5"/>
  <c r="B1195" i="7" s="1"/>
  <c r="K1194" i="5"/>
  <c r="K1194" i="7" s="1"/>
  <c r="J1194" i="5"/>
  <c r="J1194" i="7" s="1"/>
  <c r="I1194" i="5"/>
  <c r="I1194" i="7" s="1"/>
  <c r="H1194" i="5"/>
  <c r="H1194" i="7" s="1"/>
  <c r="G1194" i="5"/>
  <c r="G1194" i="7" s="1"/>
  <c r="F1194" i="5"/>
  <c r="E1194" i="5"/>
  <c r="E1194" i="7" s="1"/>
  <c r="D1194" i="5"/>
  <c r="D1194" i="7" s="1"/>
  <c r="C1194" i="5"/>
  <c r="C1194" i="7" s="1"/>
  <c r="B1194" i="5"/>
  <c r="B1194" i="7" s="1"/>
  <c r="J1193" i="5"/>
  <c r="J1193" i="7" s="1"/>
  <c r="I1193" i="5"/>
  <c r="I1193" i="7" s="1"/>
  <c r="H1193" i="5"/>
  <c r="H1193" i="7" s="1"/>
  <c r="G1193" i="5"/>
  <c r="G1193" i="7" s="1"/>
  <c r="F1193" i="5"/>
  <c r="F1193" i="7" s="1"/>
  <c r="E1193" i="5"/>
  <c r="E1193" i="7" s="1"/>
  <c r="D1193" i="5"/>
  <c r="D1193" i="7" s="1"/>
  <c r="C1193" i="5"/>
  <c r="C1193" i="7" s="1"/>
  <c r="B1193" i="5"/>
  <c r="B1193" i="7" s="1"/>
  <c r="L1192" i="5"/>
  <c r="L1192" i="7" s="1"/>
  <c r="J1192" i="5"/>
  <c r="J1192" i="7" s="1"/>
  <c r="I1192" i="5"/>
  <c r="I1192" i="7" s="1"/>
  <c r="H1192" i="5"/>
  <c r="H1192" i="7" s="1"/>
  <c r="G1192" i="5"/>
  <c r="G1192" i="7" s="1"/>
  <c r="F1192" i="5"/>
  <c r="F1192" i="7" s="1"/>
  <c r="E1192" i="5"/>
  <c r="D1192" i="5"/>
  <c r="D1192" i="7" s="1"/>
  <c r="C1192" i="5"/>
  <c r="C1192" i="7" s="1"/>
  <c r="B1192" i="5"/>
  <c r="B1192" i="7" s="1"/>
  <c r="J1191" i="5"/>
  <c r="J1191" i="7" s="1"/>
  <c r="I1191" i="5"/>
  <c r="I1191" i="7" s="1"/>
  <c r="H1191" i="5"/>
  <c r="H1191" i="7" s="1"/>
  <c r="G1191" i="5"/>
  <c r="G1191" i="7" s="1"/>
  <c r="F1191" i="5"/>
  <c r="F1191" i="7" s="1"/>
  <c r="E1191" i="5"/>
  <c r="E1191" i="7" s="1"/>
  <c r="D1191" i="5"/>
  <c r="D1191" i="7" s="1"/>
  <c r="C1191" i="5"/>
  <c r="C1191" i="7" s="1"/>
  <c r="B1191" i="5"/>
  <c r="B1191" i="7" s="1"/>
  <c r="L1190" i="5"/>
  <c r="L1190" i="7" s="1"/>
  <c r="K1190" i="5"/>
  <c r="K1190" i="7" s="1"/>
  <c r="J1190" i="5"/>
  <c r="J1190" i="7" s="1"/>
  <c r="I1190" i="5"/>
  <c r="I1190" i="7" s="1"/>
  <c r="H1190" i="5"/>
  <c r="H1190" i="7" s="1"/>
  <c r="G1190" i="5"/>
  <c r="G1190" i="7" s="1"/>
  <c r="F1190" i="5"/>
  <c r="F1190" i="7" s="1"/>
  <c r="E1190" i="5"/>
  <c r="E1190" i="7" s="1"/>
  <c r="D1190" i="5"/>
  <c r="D1190" i="7" s="1"/>
  <c r="C1190" i="5"/>
  <c r="C1190" i="7" s="1"/>
  <c r="B1190" i="5"/>
  <c r="B1190" i="7" s="1"/>
  <c r="J1189" i="5"/>
  <c r="J1189" i="7" s="1"/>
  <c r="I1189" i="5"/>
  <c r="I1189" i="7" s="1"/>
  <c r="H1189" i="5"/>
  <c r="H1189" i="7" s="1"/>
  <c r="G1189" i="5"/>
  <c r="G1189" i="7" s="1"/>
  <c r="F1189" i="5"/>
  <c r="F1189" i="7" s="1"/>
  <c r="E1189" i="5"/>
  <c r="E1189" i="7" s="1"/>
  <c r="D1189" i="5"/>
  <c r="D1189" i="7" s="1"/>
  <c r="C1189" i="5"/>
  <c r="C1189" i="7" s="1"/>
  <c r="B1189" i="5"/>
  <c r="B1189" i="7" s="1"/>
  <c r="K1188" i="5"/>
  <c r="K1188" i="7" s="1"/>
  <c r="J1188" i="5"/>
  <c r="J1188" i="7" s="1"/>
  <c r="I1188" i="5"/>
  <c r="I1188" i="7" s="1"/>
  <c r="H1188" i="5"/>
  <c r="H1188" i="7" s="1"/>
  <c r="G1188" i="5"/>
  <c r="G1188" i="7" s="1"/>
  <c r="F1188" i="5"/>
  <c r="E1188" i="5"/>
  <c r="E1188" i="7" s="1"/>
  <c r="D1188" i="5"/>
  <c r="D1188" i="7" s="1"/>
  <c r="C1188" i="5"/>
  <c r="C1188" i="7" s="1"/>
  <c r="B1188" i="5"/>
  <c r="B1188" i="7" s="1"/>
  <c r="J1187" i="5"/>
  <c r="J1187" i="7" s="1"/>
  <c r="I1187" i="5"/>
  <c r="I1187" i="7" s="1"/>
  <c r="H1187" i="5"/>
  <c r="H1187" i="7" s="1"/>
  <c r="G1187" i="5"/>
  <c r="G1187" i="7" s="1"/>
  <c r="F1187" i="5"/>
  <c r="E1187" i="5"/>
  <c r="E1187" i="7" s="1"/>
  <c r="D1187" i="5"/>
  <c r="D1187" i="7" s="1"/>
  <c r="C1187" i="5"/>
  <c r="C1187" i="7" s="1"/>
  <c r="B1187" i="5"/>
  <c r="B1187" i="7" s="1"/>
  <c r="L1186" i="5"/>
  <c r="L1186" i="7" s="1"/>
  <c r="K1186" i="5"/>
  <c r="K1186" i="7" s="1"/>
  <c r="J1186" i="5"/>
  <c r="J1186" i="7" s="1"/>
  <c r="I1186" i="5"/>
  <c r="I1186" i="7" s="1"/>
  <c r="H1186" i="5"/>
  <c r="H1186" i="7" s="1"/>
  <c r="G1186" i="5"/>
  <c r="G1186" i="7" s="1"/>
  <c r="F1186" i="5"/>
  <c r="F1186" i="7" s="1"/>
  <c r="E1186" i="5"/>
  <c r="E1186" i="7" s="1"/>
  <c r="D1186" i="5"/>
  <c r="D1186" i="7" s="1"/>
  <c r="C1186" i="5"/>
  <c r="C1186" i="7" s="1"/>
  <c r="B1186" i="5"/>
  <c r="B1186" i="7" s="1"/>
  <c r="L1185" i="5"/>
  <c r="L1185" i="7" s="1"/>
  <c r="J1185" i="5"/>
  <c r="J1185" i="7" s="1"/>
  <c r="I1185" i="5"/>
  <c r="I1185" i="7" s="1"/>
  <c r="H1185" i="5"/>
  <c r="H1185" i="7" s="1"/>
  <c r="G1185" i="5"/>
  <c r="G1185" i="7" s="1"/>
  <c r="F1185" i="5"/>
  <c r="F1185" i="7" s="1"/>
  <c r="E1185" i="5"/>
  <c r="E1185" i="7" s="1"/>
  <c r="D1185" i="5"/>
  <c r="D1185" i="7" s="1"/>
  <c r="C1185" i="5"/>
  <c r="C1185" i="7" s="1"/>
  <c r="B1185" i="5"/>
  <c r="B1185" i="7" s="1"/>
  <c r="J1184" i="5"/>
  <c r="J1184" i="7" s="1"/>
  <c r="I1184" i="5"/>
  <c r="I1184" i="7" s="1"/>
  <c r="H1184" i="5"/>
  <c r="H1184" i="7" s="1"/>
  <c r="G1184" i="5"/>
  <c r="G1184" i="7" s="1"/>
  <c r="F1184" i="5"/>
  <c r="F1184" i="7" s="1"/>
  <c r="E1184" i="5"/>
  <c r="D1184" i="5"/>
  <c r="D1184" i="7" s="1"/>
  <c r="C1184" i="5"/>
  <c r="C1184" i="7" s="1"/>
  <c r="B1184" i="5"/>
  <c r="B1184" i="7" s="1"/>
  <c r="J1183" i="5"/>
  <c r="J1183" i="7" s="1"/>
  <c r="I1183" i="5"/>
  <c r="I1183" i="7" s="1"/>
  <c r="H1183" i="5"/>
  <c r="H1183" i="7" s="1"/>
  <c r="G1183" i="5"/>
  <c r="G1183" i="7" s="1"/>
  <c r="F1183" i="5"/>
  <c r="E1183" i="5"/>
  <c r="D1183" i="5"/>
  <c r="D1183" i="7" s="1"/>
  <c r="C1183" i="5"/>
  <c r="C1183" i="7" s="1"/>
  <c r="B1183" i="5"/>
  <c r="B1183" i="7" s="1"/>
  <c r="J1182" i="5"/>
  <c r="J1182" i="7" s="1"/>
  <c r="I1182" i="5"/>
  <c r="I1182" i="7" s="1"/>
  <c r="H1182" i="5"/>
  <c r="H1182" i="7" s="1"/>
  <c r="G1182" i="5"/>
  <c r="G1182" i="7" s="1"/>
  <c r="F1182" i="5"/>
  <c r="F1182" i="7" s="1"/>
  <c r="E1182" i="5"/>
  <c r="D1182" i="5"/>
  <c r="D1182" i="7" s="1"/>
  <c r="C1182" i="5"/>
  <c r="C1182" i="7" s="1"/>
  <c r="B1182" i="5"/>
  <c r="B1182" i="7" s="1"/>
  <c r="L1181" i="5"/>
  <c r="L1181" i="7" s="1"/>
  <c r="K1181" i="5"/>
  <c r="K1181" i="7" s="1"/>
  <c r="J1181" i="5"/>
  <c r="J1181" i="7" s="1"/>
  <c r="I1181" i="5"/>
  <c r="I1181" i="7" s="1"/>
  <c r="H1181" i="5"/>
  <c r="H1181" i="7" s="1"/>
  <c r="G1181" i="5"/>
  <c r="G1181" i="7" s="1"/>
  <c r="F1181" i="5"/>
  <c r="F1181" i="7" s="1"/>
  <c r="E1181" i="5"/>
  <c r="E1181" i="7" s="1"/>
  <c r="D1181" i="5"/>
  <c r="D1181" i="7" s="1"/>
  <c r="C1181" i="5"/>
  <c r="C1181" i="7" s="1"/>
  <c r="B1181" i="5"/>
  <c r="B1181" i="7" s="1"/>
  <c r="K1180" i="5"/>
  <c r="K1180" i="7" s="1"/>
  <c r="J1180" i="5"/>
  <c r="J1180" i="7" s="1"/>
  <c r="I1180" i="5"/>
  <c r="I1180" i="7" s="1"/>
  <c r="H1180" i="5"/>
  <c r="H1180" i="7" s="1"/>
  <c r="G1180" i="5"/>
  <c r="G1180" i="7" s="1"/>
  <c r="F1180" i="5"/>
  <c r="F1180" i="7" s="1"/>
  <c r="E1180" i="5"/>
  <c r="E1180" i="7" s="1"/>
  <c r="D1180" i="5"/>
  <c r="D1180" i="7" s="1"/>
  <c r="C1180" i="5"/>
  <c r="C1180" i="7" s="1"/>
  <c r="B1180" i="5"/>
  <c r="B1180" i="7" s="1"/>
  <c r="K1179" i="5"/>
  <c r="K1179" i="7" s="1"/>
  <c r="J1179" i="5"/>
  <c r="J1179" i="7" s="1"/>
  <c r="I1179" i="5"/>
  <c r="I1179" i="7" s="1"/>
  <c r="H1179" i="5"/>
  <c r="H1179" i="7" s="1"/>
  <c r="G1179" i="5"/>
  <c r="G1179" i="7" s="1"/>
  <c r="F1179" i="5"/>
  <c r="F1179" i="7" s="1"/>
  <c r="E1179" i="5"/>
  <c r="E1179" i="7" s="1"/>
  <c r="D1179" i="5"/>
  <c r="D1179" i="7" s="1"/>
  <c r="C1179" i="5"/>
  <c r="C1179" i="7" s="1"/>
  <c r="B1179" i="5"/>
  <c r="B1179" i="7" s="1"/>
  <c r="L1178" i="5"/>
  <c r="L1178" i="7" s="1"/>
  <c r="J1178" i="5"/>
  <c r="J1178" i="7" s="1"/>
  <c r="I1178" i="5"/>
  <c r="I1178" i="7" s="1"/>
  <c r="H1178" i="5"/>
  <c r="H1178" i="7" s="1"/>
  <c r="G1178" i="5"/>
  <c r="G1178" i="7" s="1"/>
  <c r="F1178" i="5"/>
  <c r="F1178" i="7" s="1"/>
  <c r="E1178" i="5"/>
  <c r="D1178" i="5"/>
  <c r="D1178" i="7" s="1"/>
  <c r="C1178" i="5"/>
  <c r="C1178" i="7" s="1"/>
  <c r="B1178" i="5"/>
  <c r="B1178" i="7" s="1"/>
  <c r="J1177" i="5"/>
  <c r="J1177" i="7" s="1"/>
  <c r="I1177" i="5"/>
  <c r="I1177" i="7" s="1"/>
  <c r="H1177" i="5"/>
  <c r="H1177" i="7" s="1"/>
  <c r="G1177" i="5"/>
  <c r="G1177" i="7" s="1"/>
  <c r="F1177" i="5"/>
  <c r="F1177" i="7" s="1"/>
  <c r="E1177" i="5"/>
  <c r="E1177" i="7" s="1"/>
  <c r="D1177" i="5"/>
  <c r="D1177" i="7" s="1"/>
  <c r="C1177" i="5"/>
  <c r="C1177" i="7" s="1"/>
  <c r="B1177" i="5"/>
  <c r="B1177" i="7" s="1"/>
  <c r="L1176" i="5"/>
  <c r="L1176" i="7" s="1"/>
  <c r="K1176" i="5"/>
  <c r="K1176" i="7" s="1"/>
  <c r="J1176" i="5"/>
  <c r="J1176" i="7" s="1"/>
  <c r="I1176" i="5"/>
  <c r="I1176" i="7" s="1"/>
  <c r="H1176" i="5"/>
  <c r="H1176" i="7" s="1"/>
  <c r="G1176" i="5"/>
  <c r="G1176" i="7" s="1"/>
  <c r="F1176" i="5"/>
  <c r="F1176" i="7" s="1"/>
  <c r="E1176" i="5"/>
  <c r="E1176" i="7" s="1"/>
  <c r="D1176" i="5"/>
  <c r="D1176" i="7" s="1"/>
  <c r="C1176" i="5"/>
  <c r="C1176" i="7" s="1"/>
  <c r="B1176" i="5"/>
  <c r="B1176" i="7" s="1"/>
  <c r="L1175" i="5"/>
  <c r="L1175" i="7" s="1"/>
  <c r="K1175" i="5"/>
  <c r="K1175" i="7" s="1"/>
  <c r="J1175" i="5"/>
  <c r="J1175" i="7" s="1"/>
  <c r="I1175" i="5"/>
  <c r="I1175" i="7" s="1"/>
  <c r="H1175" i="5"/>
  <c r="H1175" i="7" s="1"/>
  <c r="G1175" i="5"/>
  <c r="G1175" i="7" s="1"/>
  <c r="F1175" i="5"/>
  <c r="F1175" i="7" s="1"/>
  <c r="E1175" i="5"/>
  <c r="E1175" i="7" s="1"/>
  <c r="D1175" i="5"/>
  <c r="D1175" i="7" s="1"/>
  <c r="C1175" i="5"/>
  <c r="C1175" i="7" s="1"/>
  <c r="B1175" i="5"/>
  <c r="B1175" i="7" s="1"/>
  <c r="J1174" i="5"/>
  <c r="J1174" i="7" s="1"/>
  <c r="I1174" i="5"/>
  <c r="I1174" i="7" s="1"/>
  <c r="H1174" i="5"/>
  <c r="H1174" i="7" s="1"/>
  <c r="G1174" i="5"/>
  <c r="G1174" i="7" s="1"/>
  <c r="F1174" i="5"/>
  <c r="E1174" i="5"/>
  <c r="D1174" i="5"/>
  <c r="D1174" i="7" s="1"/>
  <c r="C1174" i="5"/>
  <c r="C1174" i="7" s="1"/>
  <c r="B1174" i="5"/>
  <c r="B1174" i="7" s="1"/>
  <c r="J1173" i="5"/>
  <c r="J1173" i="7" s="1"/>
  <c r="I1173" i="5"/>
  <c r="I1173" i="7" s="1"/>
  <c r="H1173" i="5"/>
  <c r="H1173" i="7" s="1"/>
  <c r="G1173" i="5"/>
  <c r="G1173" i="7" s="1"/>
  <c r="F1173" i="5"/>
  <c r="E1173" i="5"/>
  <c r="E1173" i="7" s="1"/>
  <c r="D1173" i="5"/>
  <c r="D1173" i="7" s="1"/>
  <c r="C1173" i="5"/>
  <c r="C1173" i="7" s="1"/>
  <c r="B1173" i="5"/>
  <c r="B1173" i="7" s="1"/>
  <c r="L1172" i="5"/>
  <c r="L1172" i="7" s="1"/>
  <c r="J1172" i="5"/>
  <c r="J1172" i="7" s="1"/>
  <c r="I1172" i="5"/>
  <c r="I1172" i="7" s="1"/>
  <c r="H1172" i="5"/>
  <c r="H1172" i="7" s="1"/>
  <c r="G1172" i="5"/>
  <c r="G1172" i="7" s="1"/>
  <c r="F1172" i="5"/>
  <c r="F1172" i="7" s="1"/>
  <c r="E1172" i="5"/>
  <c r="D1172" i="5"/>
  <c r="D1172" i="7" s="1"/>
  <c r="C1172" i="5"/>
  <c r="C1172" i="7" s="1"/>
  <c r="B1172" i="5"/>
  <c r="B1172" i="7" s="1"/>
  <c r="L1171" i="5"/>
  <c r="L1171" i="7" s="1"/>
  <c r="K1171" i="5"/>
  <c r="K1171" i="7" s="1"/>
  <c r="J1171" i="5"/>
  <c r="J1171" i="7" s="1"/>
  <c r="I1171" i="5"/>
  <c r="I1171" i="7" s="1"/>
  <c r="H1171" i="5"/>
  <c r="H1171" i="7" s="1"/>
  <c r="G1171" i="5"/>
  <c r="G1171" i="7" s="1"/>
  <c r="F1171" i="5"/>
  <c r="F1171" i="7" s="1"/>
  <c r="E1171" i="5"/>
  <c r="E1171" i="7" s="1"/>
  <c r="D1171" i="5"/>
  <c r="D1171" i="7" s="1"/>
  <c r="C1171" i="5"/>
  <c r="C1171" i="7" s="1"/>
  <c r="B1171" i="5"/>
  <c r="B1171" i="7" s="1"/>
  <c r="J1170" i="5"/>
  <c r="J1170" i="7" s="1"/>
  <c r="I1170" i="5"/>
  <c r="I1170" i="7" s="1"/>
  <c r="H1170" i="5"/>
  <c r="H1170" i="7" s="1"/>
  <c r="G1170" i="5"/>
  <c r="G1170" i="7" s="1"/>
  <c r="F1170" i="5"/>
  <c r="E1170" i="5"/>
  <c r="E1170" i="7" s="1"/>
  <c r="D1170" i="5"/>
  <c r="D1170" i="7" s="1"/>
  <c r="C1170" i="5"/>
  <c r="C1170" i="7" s="1"/>
  <c r="B1170" i="5"/>
  <c r="B1170" i="7" s="1"/>
  <c r="J1169" i="5"/>
  <c r="J1169" i="7" s="1"/>
  <c r="I1169" i="5"/>
  <c r="I1169" i="7" s="1"/>
  <c r="H1169" i="5"/>
  <c r="H1169" i="7" s="1"/>
  <c r="G1169" i="5"/>
  <c r="G1169" i="7" s="1"/>
  <c r="F1169" i="5"/>
  <c r="E1169" i="5"/>
  <c r="D1169" i="5"/>
  <c r="D1169" i="7" s="1"/>
  <c r="C1169" i="5"/>
  <c r="C1169" i="7" s="1"/>
  <c r="B1169" i="5"/>
  <c r="B1169" i="7" s="1"/>
  <c r="L1168" i="5"/>
  <c r="L1168" i="7" s="1"/>
  <c r="J1168" i="5"/>
  <c r="J1168" i="7" s="1"/>
  <c r="I1168" i="5"/>
  <c r="I1168" i="7" s="1"/>
  <c r="H1168" i="5"/>
  <c r="H1168" i="7" s="1"/>
  <c r="G1168" i="5"/>
  <c r="G1168" i="7" s="1"/>
  <c r="F1168" i="5"/>
  <c r="F1168" i="7" s="1"/>
  <c r="E1168" i="5"/>
  <c r="D1168" i="5"/>
  <c r="D1168" i="7" s="1"/>
  <c r="C1168" i="5"/>
  <c r="C1168" i="7" s="1"/>
  <c r="B1168" i="5"/>
  <c r="B1168" i="7" s="1"/>
  <c r="L1167" i="5"/>
  <c r="L1167" i="7" s="1"/>
  <c r="K1167" i="5"/>
  <c r="K1167" i="7" s="1"/>
  <c r="J1167" i="5"/>
  <c r="J1167" i="7" s="1"/>
  <c r="I1167" i="5"/>
  <c r="I1167" i="7" s="1"/>
  <c r="H1167" i="5"/>
  <c r="H1167" i="7" s="1"/>
  <c r="G1167" i="5"/>
  <c r="G1167" i="7" s="1"/>
  <c r="F1167" i="5"/>
  <c r="F1167" i="7" s="1"/>
  <c r="E1167" i="5"/>
  <c r="E1167" i="7" s="1"/>
  <c r="D1167" i="5"/>
  <c r="D1167" i="7" s="1"/>
  <c r="C1167" i="5"/>
  <c r="C1167" i="7" s="1"/>
  <c r="B1167" i="5"/>
  <c r="B1167" i="7" s="1"/>
  <c r="L1166" i="5"/>
  <c r="L1166" i="7" s="1"/>
  <c r="K1166" i="5"/>
  <c r="K1166" i="7" s="1"/>
  <c r="J1166" i="5"/>
  <c r="J1166" i="7" s="1"/>
  <c r="I1166" i="5"/>
  <c r="I1166" i="7" s="1"/>
  <c r="H1166" i="5"/>
  <c r="H1166" i="7" s="1"/>
  <c r="G1166" i="5"/>
  <c r="G1166" i="7" s="1"/>
  <c r="F1166" i="5"/>
  <c r="F1166" i="7" s="1"/>
  <c r="E1166" i="5"/>
  <c r="E1166" i="7" s="1"/>
  <c r="D1166" i="5"/>
  <c r="D1166" i="7" s="1"/>
  <c r="C1166" i="5"/>
  <c r="C1166" i="7" s="1"/>
  <c r="B1166" i="5"/>
  <c r="B1166" i="7" s="1"/>
  <c r="J1165" i="5"/>
  <c r="J1165" i="7" s="1"/>
  <c r="I1165" i="5"/>
  <c r="I1165" i="7" s="1"/>
  <c r="H1165" i="5"/>
  <c r="H1165" i="7" s="1"/>
  <c r="G1165" i="5"/>
  <c r="G1165" i="7" s="1"/>
  <c r="F1165" i="5"/>
  <c r="F1165" i="7" s="1"/>
  <c r="E1165" i="5"/>
  <c r="D1165" i="5"/>
  <c r="D1165" i="7" s="1"/>
  <c r="C1165" i="5"/>
  <c r="C1165" i="7" s="1"/>
  <c r="B1165" i="5"/>
  <c r="B1165" i="7" s="1"/>
  <c r="J1164" i="5"/>
  <c r="J1164" i="7" s="1"/>
  <c r="I1164" i="5"/>
  <c r="I1164" i="7" s="1"/>
  <c r="H1164" i="5"/>
  <c r="H1164" i="7" s="1"/>
  <c r="G1164" i="5"/>
  <c r="G1164" i="7" s="1"/>
  <c r="F1164" i="5"/>
  <c r="E1164" i="5"/>
  <c r="D1164" i="5"/>
  <c r="D1164" i="7" s="1"/>
  <c r="C1164" i="5"/>
  <c r="C1164" i="7" s="1"/>
  <c r="B1164" i="5"/>
  <c r="B1164" i="7" s="1"/>
  <c r="L1163" i="5"/>
  <c r="L1163" i="7" s="1"/>
  <c r="K1163" i="5"/>
  <c r="K1163" i="7" s="1"/>
  <c r="J1163" i="5"/>
  <c r="J1163" i="7" s="1"/>
  <c r="I1163" i="5"/>
  <c r="I1163" i="7" s="1"/>
  <c r="H1163" i="5"/>
  <c r="H1163" i="7" s="1"/>
  <c r="G1163" i="5"/>
  <c r="G1163" i="7" s="1"/>
  <c r="F1163" i="5"/>
  <c r="F1163" i="7" s="1"/>
  <c r="E1163" i="5"/>
  <c r="E1163" i="7" s="1"/>
  <c r="D1163" i="5"/>
  <c r="D1163" i="7" s="1"/>
  <c r="C1163" i="5"/>
  <c r="C1163" i="7" s="1"/>
  <c r="B1163" i="5"/>
  <c r="B1163" i="7" s="1"/>
  <c r="L1162" i="5"/>
  <c r="L1162" i="7" s="1"/>
  <c r="K1162" i="5"/>
  <c r="K1162" i="7" s="1"/>
  <c r="J1162" i="5"/>
  <c r="J1162" i="7" s="1"/>
  <c r="I1162" i="5"/>
  <c r="I1162" i="7" s="1"/>
  <c r="H1162" i="5"/>
  <c r="H1162" i="7" s="1"/>
  <c r="G1162" i="5"/>
  <c r="G1162" i="7" s="1"/>
  <c r="F1162" i="5"/>
  <c r="F1162" i="7" s="1"/>
  <c r="E1162" i="5"/>
  <c r="E1162" i="7" s="1"/>
  <c r="D1162" i="5"/>
  <c r="D1162" i="7" s="1"/>
  <c r="C1162" i="5"/>
  <c r="C1162" i="7" s="1"/>
  <c r="B1162" i="5"/>
  <c r="B1162" i="7" s="1"/>
  <c r="K1161" i="5"/>
  <c r="K1161" i="7" s="1"/>
  <c r="J1161" i="5"/>
  <c r="J1161" i="7" s="1"/>
  <c r="I1161" i="5"/>
  <c r="I1161" i="7" s="1"/>
  <c r="H1161" i="5"/>
  <c r="H1161" i="7" s="1"/>
  <c r="G1161" i="5"/>
  <c r="G1161" i="7" s="1"/>
  <c r="F1161" i="5"/>
  <c r="E1161" i="5"/>
  <c r="E1161" i="7" s="1"/>
  <c r="D1161" i="5"/>
  <c r="D1161" i="7" s="1"/>
  <c r="C1161" i="5"/>
  <c r="C1161" i="7" s="1"/>
  <c r="B1161" i="5"/>
  <c r="B1161" i="7" s="1"/>
  <c r="J1160" i="5"/>
  <c r="J1160" i="7" s="1"/>
  <c r="I1160" i="5"/>
  <c r="I1160" i="7" s="1"/>
  <c r="H1160" i="5"/>
  <c r="H1160" i="7" s="1"/>
  <c r="G1160" i="5"/>
  <c r="G1160" i="7" s="1"/>
  <c r="F1160" i="5"/>
  <c r="E1160" i="5"/>
  <c r="D1160" i="5"/>
  <c r="D1160" i="7" s="1"/>
  <c r="C1160" i="5"/>
  <c r="C1160" i="7" s="1"/>
  <c r="B1160" i="5"/>
  <c r="B1160" i="7" s="1"/>
  <c r="K1159" i="5"/>
  <c r="K1159" i="7" s="1"/>
  <c r="J1159" i="5"/>
  <c r="J1159" i="7" s="1"/>
  <c r="I1159" i="5"/>
  <c r="I1159" i="7" s="1"/>
  <c r="H1159" i="5"/>
  <c r="H1159" i="7" s="1"/>
  <c r="G1159" i="5"/>
  <c r="G1159" i="7" s="1"/>
  <c r="F1159" i="5"/>
  <c r="E1159" i="5"/>
  <c r="E1159" i="7" s="1"/>
  <c r="D1159" i="5"/>
  <c r="D1159" i="7" s="1"/>
  <c r="C1159" i="5"/>
  <c r="C1159" i="7" s="1"/>
  <c r="B1159" i="5"/>
  <c r="B1159" i="7" s="1"/>
  <c r="L1158" i="5"/>
  <c r="L1158" i="7" s="1"/>
  <c r="J1158" i="5"/>
  <c r="J1158" i="7" s="1"/>
  <c r="I1158" i="5"/>
  <c r="I1158" i="7" s="1"/>
  <c r="H1158" i="5"/>
  <c r="H1158" i="7" s="1"/>
  <c r="G1158" i="5"/>
  <c r="G1158" i="7" s="1"/>
  <c r="F1158" i="5"/>
  <c r="F1158" i="7" s="1"/>
  <c r="E1158" i="5"/>
  <c r="E1158" i="7" s="1"/>
  <c r="D1158" i="5"/>
  <c r="D1158" i="7" s="1"/>
  <c r="C1158" i="5"/>
  <c r="C1158" i="7" s="1"/>
  <c r="B1158" i="5"/>
  <c r="B1158" i="7" s="1"/>
  <c r="L1157" i="5"/>
  <c r="L1157" i="7" s="1"/>
  <c r="J1157" i="5"/>
  <c r="J1157" i="7" s="1"/>
  <c r="I1157" i="5"/>
  <c r="I1157" i="7" s="1"/>
  <c r="H1157" i="5"/>
  <c r="H1157" i="7" s="1"/>
  <c r="G1157" i="5"/>
  <c r="G1157" i="7" s="1"/>
  <c r="F1157" i="5"/>
  <c r="F1157" i="7" s="1"/>
  <c r="E1157" i="5"/>
  <c r="E1157" i="7" s="1"/>
  <c r="D1157" i="5"/>
  <c r="D1157" i="7" s="1"/>
  <c r="C1157" i="5"/>
  <c r="C1157" i="7" s="1"/>
  <c r="B1157" i="5"/>
  <c r="B1157" i="7" s="1"/>
  <c r="J1156" i="5"/>
  <c r="J1156" i="7" s="1"/>
  <c r="I1156" i="5"/>
  <c r="I1156" i="7" s="1"/>
  <c r="H1156" i="5"/>
  <c r="H1156" i="7" s="1"/>
  <c r="G1156" i="5"/>
  <c r="G1156" i="7" s="1"/>
  <c r="F1156" i="5"/>
  <c r="E1156" i="5"/>
  <c r="E1156" i="7" s="1"/>
  <c r="D1156" i="5"/>
  <c r="D1156" i="7" s="1"/>
  <c r="C1156" i="5"/>
  <c r="C1156" i="7" s="1"/>
  <c r="B1156" i="5"/>
  <c r="B1156" i="7" s="1"/>
  <c r="J1155" i="5"/>
  <c r="J1155" i="7" s="1"/>
  <c r="I1155" i="5"/>
  <c r="I1155" i="7" s="1"/>
  <c r="H1155" i="5"/>
  <c r="H1155" i="7" s="1"/>
  <c r="G1155" i="5"/>
  <c r="G1155" i="7" s="1"/>
  <c r="F1155" i="5"/>
  <c r="E1155" i="5"/>
  <c r="D1155" i="5"/>
  <c r="D1155" i="7" s="1"/>
  <c r="C1155" i="5"/>
  <c r="C1155" i="7" s="1"/>
  <c r="B1155" i="5"/>
  <c r="B1155" i="7" s="1"/>
  <c r="L1154" i="5"/>
  <c r="L1154" i="7" s="1"/>
  <c r="J1154" i="5"/>
  <c r="J1154" i="7" s="1"/>
  <c r="I1154" i="5"/>
  <c r="I1154" i="7" s="1"/>
  <c r="H1154" i="5"/>
  <c r="H1154" i="7" s="1"/>
  <c r="G1154" i="5"/>
  <c r="G1154" i="7" s="1"/>
  <c r="F1154" i="5"/>
  <c r="F1154" i="7" s="1"/>
  <c r="E1154" i="5"/>
  <c r="D1154" i="5"/>
  <c r="D1154" i="7" s="1"/>
  <c r="C1154" i="5"/>
  <c r="C1154" i="7" s="1"/>
  <c r="B1154" i="5"/>
  <c r="B1154" i="7" s="1"/>
  <c r="L1153" i="5"/>
  <c r="L1153" i="7" s="1"/>
  <c r="K1153" i="5"/>
  <c r="K1153" i="7" s="1"/>
  <c r="J1153" i="5"/>
  <c r="J1153" i="7" s="1"/>
  <c r="I1153" i="5"/>
  <c r="I1153" i="7" s="1"/>
  <c r="H1153" i="5"/>
  <c r="H1153" i="7" s="1"/>
  <c r="G1153" i="5"/>
  <c r="G1153" i="7" s="1"/>
  <c r="F1153" i="5"/>
  <c r="F1153" i="7" s="1"/>
  <c r="E1153" i="5"/>
  <c r="E1153" i="7" s="1"/>
  <c r="D1153" i="5"/>
  <c r="D1153" i="7" s="1"/>
  <c r="C1153" i="5"/>
  <c r="C1153" i="7" s="1"/>
  <c r="B1153" i="5"/>
  <c r="B1153" i="7" s="1"/>
  <c r="K1152" i="5"/>
  <c r="K1152" i="7" s="1"/>
  <c r="J1152" i="5"/>
  <c r="J1152" i="7" s="1"/>
  <c r="I1152" i="5"/>
  <c r="I1152" i="7" s="1"/>
  <c r="H1152" i="5"/>
  <c r="H1152" i="7" s="1"/>
  <c r="G1152" i="5"/>
  <c r="G1152" i="7" s="1"/>
  <c r="F1152" i="5"/>
  <c r="E1152" i="5"/>
  <c r="E1152" i="7" s="1"/>
  <c r="D1152" i="5"/>
  <c r="D1152" i="7" s="1"/>
  <c r="C1152" i="5"/>
  <c r="C1152" i="7" s="1"/>
  <c r="B1152" i="5"/>
  <c r="B1152" i="7" s="1"/>
  <c r="L1151" i="5"/>
  <c r="L1151" i="7" s="1"/>
  <c r="J1151" i="5"/>
  <c r="J1151" i="7" s="1"/>
  <c r="I1151" i="5"/>
  <c r="I1151" i="7" s="1"/>
  <c r="H1151" i="5"/>
  <c r="H1151" i="7" s="1"/>
  <c r="G1151" i="5"/>
  <c r="G1151" i="7" s="1"/>
  <c r="F1151" i="5"/>
  <c r="F1151" i="7" s="1"/>
  <c r="E1151" i="5"/>
  <c r="E1151" i="7" s="1"/>
  <c r="D1151" i="5"/>
  <c r="D1151" i="7" s="1"/>
  <c r="C1151" i="5"/>
  <c r="C1151" i="7" s="1"/>
  <c r="B1151" i="5"/>
  <c r="B1151" i="7" s="1"/>
  <c r="J1150" i="5"/>
  <c r="J1150" i="7" s="1"/>
  <c r="I1150" i="5"/>
  <c r="I1150" i="7" s="1"/>
  <c r="H1150" i="5"/>
  <c r="H1150" i="7" s="1"/>
  <c r="G1150" i="5"/>
  <c r="G1150" i="7" s="1"/>
  <c r="F1150" i="5"/>
  <c r="E1150" i="5"/>
  <c r="D1150" i="5"/>
  <c r="D1150" i="7" s="1"/>
  <c r="C1150" i="5"/>
  <c r="C1150" i="7" s="1"/>
  <c r="B1150" i="5"/>
  <c r="B1150" i="7" s="1"/>
  <c r="J1149" i="5"/>
  <c r="J1149" i="7" s="1"/>
  <c r="I1149" i="5"/>
  <c r="I1149" i="7" s="1"/>
  <c r="H1149" i="5"/>
  <c r="H1149" i="7" s="1"/>
  <c r="G1149" i="5"/>
  <c r="G1149" i="7" s="1"/>
  <c r="F1149" i="5"/>
  <c r="E1149" i="5"/>
  <c r="E1149" i="7" s="1"/>
  <c r="D1149" i="5"/>
  <c r="D1149" i="7" s="1"/>
  <c r="C1149" i="5"/>
  <c r="C1149" i="7" s="1"/>
  <c r="B1149" i="5"/>
  <c r="B1149" i="7" s="1"/>
  <c r="K1148" i="5"/>
  <c r="K1148" i="7" s="1"/>
  <c r="J1148" i="5"/>
  <c r="J1148" i="7" s="1"/>
  <c r="I1148" i="5"/>
  <c r="I1148" i="7" s="1"/>
  <c r="H1148" i="5"/>
  <c r="H1148" i="7" s="1"/>
  <c r="G1148" i="5"/>
  <c r="G1148" i="7" s="1"/>
  <c r="F1148" i="5"/>
  <c r="E1148" i="5"/>
  <c r="E1148" i="7" s="1"/>
  <c r="D1148" i="5"/>
  <c r="D1148" i="7" s="1"/>
  <c r="C1148" i="5"/>
  <c r="C1148" i="7" s="1"/>
  <c r="B1148" i="5"/>
  <c r="B1148" i="7" s="1"/>
  <c r="K1147" i="5"/>
  <c r="K1147" i="7" s="1"/>
  <c r="J1147" i="5"/>
  <c r="J1147" i="7" s="1"/>
  <c r="I1147" i="5"/>
  <c r="I1147" i="7" s="1"/>
  <c r="H1147" i="5"/>
  <c r="H1147" i="7" s="1"/>
  <c r="G1147" i="5"/>
  <c r="G1147" i="7" s="1"/>
  <c r="F1147" i="5"/>
  <c r="F1147" i="7" s="1"/>
  <c r="E1147" i="5"/>
  <c r="E1147" i="7" s="1"/>
  <c r="D1147" i="5"/>
  <c r="D1147" i="7" s="1"/>
  <c r="C1147" i="5"/>
  <c r="C1147" i="7" s="1"/>
  <c r="B1147" i="5"/>
  <c r="B1147" i="7" s="1"/>
  <c r="J1146" i="5"/>
  <c r="J1146" i="7" s="1"/>
  <c r="I1146" i="5"/>
  <c r="I1146" i="7" s="1"/>
  <c r="H1146" i="5"/>
  <c r="H1146" i="7" s="1"/>
  <c r="G1146" i="5"/>
  <c r="G1146" i="7" s="1"/>
  <c r="F1146" i="5"/>
  <c r="E1146" i="5"/>
  <c r="E1146" i="7" s="1"/>
  <c r="D1146" i="5"/>
  <c r="D1146" i="7" s="1"/>
  <c r="C1146" i="5"/>
  <c r="C1146" i="7" s="1"/>
  <c r="B1146" i="5"/>
  <c r="B1146" i="7" s="1"/>
  <c r="K1145" i="5"/>
  <c r="K1145" i="7" s="1"/>
  <c r="J1145" i="5"/>
  <c r="J1145" i="7" s="1"/>
  <c r="I1145" i="5"/>
  <c r="I1145" i="7" s="1"/>
  <c r="H1145" i="5"/>
  <c r="H1145" i="7" s="1"/>
  <c r="G1145" i="5"/>
  <c r="G1145" i="7" s="1"/>
  <c r="F1145" i="5"/>
  <c r="E1145" i="5"/>
  <c r="E1145" i="7" s="1"/>
  <c r="D1145" i="5"/>
  <c r="D1145" i="7" s="1"/>
  <c r="C1145" i="5"/>
  <c r="C1145" i="7" s="1"/>
  <c r="B1145" i="5"/>
  <c r="B1145" i="7" s="1"/>
  <c r="L1144" i="5"/>
  <c r="L1144" i="7" s="1"/>
  <c r="J1144" i="5"/>
  <c r="J1144" i="7" s="1"/>
  <c r="I1144" i="5"/>
  <c r="I1144" i="7" s="1"/>
  <c r="H1144" i="5"/>
  <c r="H1144" i="7" s="1"/>
  <c r="G1144" i="5"/>
  <c r="G1144" i="7" s="1"/>
  <c r="F1144" i="5"/>
  <c r="F1144" i="7" s="1"/>
  <c r="E1144" i="5"/>
  <c r="E1144" i="7" s="1"/>
  <c r="D1144" i="5"/>
  <c r="D1144" i="7" s="1"/>
  <c r="C1144" i="5"/>
  <c r="C1144" i="7" s="1"/>
  <c r="B1144" i="5"/>
  <c r="B1144" i="7" s="1"/>
  <c r="L1143" i="5"/>
  <c r="L1143" i="7" s="1"/>
  <c r="K1143" i="5"/>
  <c r="K1143" i="7" s="1"/>
  <c r="J1143" i="5"/>
  <c r="J1143" i="7" s="1"/>
  <c r="I1143" i="5"/>
  <c r="I1143" i="7" s="1"/>
  <c r="H1143" i="5"/>
  <c r="H1143" i="7" s="1"/>
  <c r="G1143" i="5"/>
  <c r="G1143" i="7" s="1"/>
  <c r="F1143" i="5"/>
  <c r="F1143" i="7" s="1"/>
  <c r="E1143" i="5"/>
  <c r="E1143" i="7" s="1"/>
  <c r="D1143" i="5"/>
  <c r="D1143" i="7" s="1"/>
  <c r="C1143" i="5"/>
  <c r="C1143" i="7" s="1"/>
  <c r="B1143" i="5"/>
  <c r="B1143" i="7" s="1"/>
  <c r="K1142" i="5"/>
  <c r="K1142" i="7" s="1"/>
  <c r="J1142" i="5"/>
  <c r="J1142" i="7" s="1"/>
  <c r="I1142" i="5"/>
  <c r="I1142" i="7" s="1"/>
  <c r="H1142" i="5"/>
  <c r="H1142" i="7" s="1"/>
  <c r="G1142" i="5"/>
  <c r="G1142" i="7" s="1"/>
  <c r="F1142" i="5"/>
  <c r="F1142" i="7" s="1"/>
  <c r="E1142" i="5"/>
  <c r="E1142" i="7" s="1"/>
  <c r="D1142" i="5"/>
  <c r="D1142" i="7" s="1"/>
  <c r="C1142" i="5"/>
  <c r="C1142" i="7" s="1"/>
  <c r="B1142" i="5"/>
  <c r="B1142" i="7" s="1"/>
  <c r="J1141" i="5"/>
  <c r="J1141" i="7" s="1"/>
  <c r="I1141" i="5"/>
  <c r="I1141" i="7" s="1"/>
  <c r="H1141" i="5"/>
  <c r="H1141" i="7" s="1"/>
  <c r="G1141" i="5"/>
  <c r="G1141" i="7" s="1"/>
  <c r="F1141" i="5"/>
  <c r="E1141" i="5"/>
  <c r="D1141" i="5"/>
  <c r="D1141" i="7" s="1"/>
  <c r="C1141" i="5"/>
  <c r="C1141" i="7" s="1"/>
  <c r="B1141" i="5"/>
  <c r="B1141" i="7" s="1"/>
  <c r="J1140" i="5"/>
  <c r="J1140" i="7" s="1"/>
  <c r="I1140" i="5"/>
  <c r="I1140" i="7" s="1"/>
  <c r="H1140" i="5"/>
  <c r="H1140" i="7" s="1"/>
  <c r="G1140" i="5"/>
  <c r="G1140" i="7" s="1"/>
  <c r="F1140" i="5"/>
  <c r="F1140" i="7" s="1"/>
  <c r="E1140" i="5"/>
  <c r="D1140" i="5"/>
  <c r="D1140" i="7" s="1"/>
  <c r="C1140" i="5"/>
  <c r="C1140" i="7" s="1"/>
  <c r="B1140" i="5"/>
  <c r="B1140" i="7" s="1"/>
  <c r="L1139" i="5"/>
  <c r="L1139" i="7" s="1"/>
  <c r="K1139" i="5"/>
  <c r="K1139" i="7" s="1"/>
  <c r="J1139" i="5"/>
  <c r="J1139" i="7" s="1"/>
  <c r="I1139" i="5"/>
  <c r="I1139" i="7" s="1"/>
  <c r="H1139" i="5"/>
  <c r="H1139" i="7" s="1"/>
  <c r="G1139" i="5"/>
  <c r="G1139" i="7" s="1"/>
  <c r="F1139" i="5"/>
  <c r="F1139" i="7" s="1"/>
  <c r="E1139" i="5"/>
  <c r="E1139" i="7" s="1"/>
  <c r="D1139" i="5"/>
  <c r="D1139" i="7" s="1"/>
  <c r="C1139" i="5"/>
  <c r="C1139" i="7" s="1"/>
  <c r="B1139" i="5"/>
  <c r="B1139" i="7" s="1"/>
  <c r="K1138" i="5"/>
  <c r="K1138" i="7" s="1"/>
  <c r="J1138" i="5"/>
  <c r="J1138" i="7" s="1"/>
  <c r="I1138" i="5"/>
  <c r="I1138" i="7" s="1"/>
  <c r="H1138" i="5"/>
  <c r="H1138" i="7" s="1"/>
  <c r="G1138" i="5"/>
  <c r="G1138" i="7" s="1"/>
  <c r="F1138" i="5"/>
  <c r="F1138" i="7" s="1"/>
  <c r="E1138" i="5"/>
  <c r="E1138" i="7" s="1"/>
  <c r="D1138" i="5"/>
  <c r="D1138" i="7" s="1"/>
  <c r="C1138" i="5"/>
  <c r="C1138" i="7" s="1"/>
  <c r="B1138" i="5"/>
  <c r="B1138" i="7" s="1"/>
  <c r="L1137" i="5"/>
  <c r="L1137" i="7" s="1"/>
  <c r="K1137" i="5"/>
  <c r="K1137" i="7" s="1"/>
  <c r="J1137" i="5"/>
  <c r="J1137" i="7" s="1"/>
  <c r="I1137" i="5"/>
  <c r="I1137" i="7" s="1"/>
  <c r="H1137" i="5"/>
  <c r="H1137" i="7" s="1"/>
  <c r="G1137" i="5"/>
  <c r="G1137" i="7" s="1"/>
  <c r="F1137" i="5"/>
  <c r="F1137" i="7" s="1"/>
  <c r="E1137" i="5"/>
  <c r="E1137" i="7" s="1"/>
  <c r="D1137" i="5"/>
  <c r="D1137" i="7" s="1"/>
  <c r="C1137" i="5"/>
  <c r="C1137" i="7" s="1"/>
  <c r="B1137" i="5"/>
  <c r="B1137" i="7" s="1"/>
  <c r="J1136" i="5"/>
  <c r="J1136" i="7" s="1"/>
  <c r="I1136" i="5"/>
  <c r="I1136" i="7" s="1"/>
  <c r="H1136" i="5"/>
  <c r="H1136" i="7" s="1"/>
  <c r="G1136" i="5"/>
  <c r="G1136" i="7" s="1"/>
  <c r="F1136" i="5"/>
  <c r="E1136" i="5"/>
  <c r="D1136" i="5"/>
  <c r="D1136" i="7" s="1"/>
  <c r="C1136" i="5"/>
  <c r="C1136" i="7" s="1"/>
  <c r="B1136" i="5"/>
  <c r="B1136" i="7" s="1"/>
  <c r="J1135" i="5"/>
  <c r="J1135" i="7" s="1"/>
  <c r="I1135" i="5"/>
  <c r="I1135" i="7" s="1"/>
  <c r="H1135" i="5"/>
  <c r="H1135" i="7" s="1"/>
  <c r="G1135" i="5"/>
  <c r="G1135" i="7" s="1"/>
  <c r="F1135" i="5"/>
  <c r="F1135" i="7" s="1"/>
  <c r="E1135" i="5"/>
  <c r="E1135" i="7" s="1"/>
  <c r="D1135" i="5"/>
  <c r="D1135" i="7" s="1"/>
  <c r="C1135" i="5"/>
  <c r="C1135" i="7" s="1"/>
  <c r="B1135" i="5"/>
  <c r="B1135" i="7" s="1"/>
  <c r="K1134" i="5"/>
  <c r="K1134" i="7" s="1"/>
  <c r="J1134" i="5"/>
  <c r="J1134" i="7" s="1"/>
  <c r="I1134" i="5"/>
  <c r="I1134" i="7" s="1"/>
  <c r="H1134" i="5"/>
  <c r="H1134" i="7" s="1"/>
  <c r="G1134" i="5"/>
  <c r="G1134" i="7" s="1"/>
  <c r="F1134" i="5"/>
  <c r="E1134" i="5"/>
  <c r="E1134" i="7" s="1"/>
  <c r="D1134" i="5"/>
  <c r="D1134" i="7" s="1"/>
  <c r="C1134" i="5"/>
  <c r="C1134" i="7" s="1"/>
  <c r="B1134" i="5"/>
  <c r="B1134" i="7" s="1"/>
  <c r="L1133" i="5"/>
  <c r="L1133" i="7" s="1"/>
  <c r="K1133" i="5"/>
  <c r="K1133" i="7" s="1"/>
  <c r="J1133" i="5"/>
  <c r="J1133" i="7" s="1"/>
  <c r="I1133" i="5"/>
  <c r="I1133" i="7" s="1"/>
  <c r="H1133" i="5"/>
  <c r="H1133" i="7" s="1"/>
  <c r="G1133" i="5"/>
  <c r="G1133" i="7" s="1"/>
  <c r="F1133" i="5"/>
  <c r="F1133" i="7" s="1"/>
  <c r="E1133" i="5"/>
  <c r="E1133" i="7" s="1"/>
  <c r="D1133" i="5"/>
  <c r="D1133" i="7" s="1"/>
  <c r="C1133" i="5"/>
  <c r="C1133" i="7" s="1"/>
  <c r="B1133" i="5"/>
  <c r="B1133" i="7" s="1"/>
  <c r="J1132" i="5"/>
  <c r="J1132" i="7" s="1"/>
  <c r="I1132" i="5"/>
  <c r="I1132" i="7" s="1"/>
  <c r="H1132" i="5"/>
  <c r="H1132" i="7" s="1"/>
  <c r="G1132" i="5"/>
  <c r="G1132" i="7" s="1"/>
  <c r="F1132" i="5"/>
  <c r="E1132" i="5"/>
  <c r="E1132" i="7" s="1"/>
  <c r="D1132" i="5"/>
  <c r="D1132" i="7" s="1"/>
  <c r="C1132" i="5"/>
  <c r="C1132" i="7" s="1"/>
  <c r="B1132" i="5"/>
  <c r="B1132" i="7" s="1"/>
  <c r="J1131" i="5"/>
  <c r="J1131" i="7" s="1"/>
  <c r="I1131" i="5"/>
  <c r="I1131" i="7" s="1"/>
  <c r="H1131" i="5"/>
  <c r="H1131" i="7" s="1"/>
  <c r="G1131" i="5"/>
  <c r="G1131" i="7" s="1"/>
  <c r="F1131" i="5"/>
  <c r="E1131" i="5"/>
  <c r="E1131" i="7" s="1"/>
  <c r="D1131" i="5"/>
  <c r="D1131" i="7" s="1"/>
  <c r="C1131" i="5"/>
  <c r="C1131" i="7" s="1"/>
  <c r="B1131" i="5"/>
  <c r="B1131" i="7" s="1"/>
  <c r="L1130" i="5"/>
  <c r="L1130" i="7" s="1"/>
  <c r="K1130" i="5"/>
  <c r="K1130" i="7" s="1"/>
  <c r="J1130" i="5"/>
  <c r="J1130" i="7" s="1"/>
  <c r="I1130" i="5"/>
  <c r="I1130" i="7" s="1"/>
  <c r="H1130" i="5"/>
  <c r="H1130" i="7" s="1"/>
  <c r="G1130" i="5"/>
  <c r="G1130" i="7" s="1"/>
  <c r="F1130" i="5"/>
  <c r="F1130" i="7" s="1"/>
  <c r="E1130" i="5"/>
  <c r="E1130" i="7" s="1"/>
  <c r="D1130" i="5"/>
  <c r="D1130" i="7" s="1"/>
  <c r="C1130" i="5"/>
  <c r="C1130" i="7" s="1"/>
  <c r="B1130" i="5"/>
  <c r="B1130" i="7" s="1"/>
  <c r="L1129" i="5"/>
  <c r="L1129" i="7" s="1"/>
  <c r="K1129" i="5"/>
  <c r="K1129" i="7" s="1"/>
  <c r="J1129" i="5"/>
  <c r="J1129" i="7" s="1"/>
  <c r="I1129" i="5"/>
  <c r="I1129" i="7" s="1"/>
  <c r="H1129" i="5"/>
  <c r="H1129" i="7" s="1"/>
  <c r="G1129" i="5"/>
  <c r="G1129" i="7" s="1"/>
  <c r="F1129" i="5"/>
  <c r="F1129" i="7" s="1"/>
  <c r="E1129" i="5"/>
  <c r="E1129" i="7" s="1"/>
  <c r="D1129" i="5"/>
  <c r="D1129" i="7" s="1"/>
  <c r="C1129" i="5"/>
  <c r="C1129" i="7" s="1"/>
  <c r="B1129" i="5"/>
  <c r="B1129" i="7" s="1"/>
  <c r="J1128" i="5"/>
  <c r="J1128" i="7" s="1"/>
  <c r="I1128" i="5"/>
  <c r="I1128" i="7" s="1"/>
  <c r="H1128" i="5"/>
  <c r="H1128" i="7" s="1"/>
  <c r="G1128" i="5"/>
  <c r="G1128" i="7" s="1"/>
  <c r="F1128" i="5"/>
  <c r="F1128" i="7" s="1"/>
  <c r="E1128" i="5"/>
  <c r="D1128" i="5"/>
  <c r="D1128" i="7" s="1"/>
  <c r="C1128" i="5"/>
  <c r="C1128" i="7" s="1"/>
  <c r="B1128" i="5"/>
  <c r="B1128" i="7" s="1"/>
  <c r="J1127" i="5"/>
  <c r="J1127" i="7" s="1"/>
  <c r="I1127" i="5"/>
  <c r="I1127" i="7" s="1"/>
  <c r="H1127" i="5"/>
  <c r="H1127" i="7" s="1"/>
  <c r="G1127" i="5"/>
  <c r="G1127" i="7" s="1"/>
  <c r="F1127" i="5"/>
  <c r="E1127" i="5"/>
  <c r="D1127" i="5"/>
  <c r="D1127" i="7" s="1"/>
  <c r="C1127" i="5"/>
  <c r="C1127" i="7" s="1"/>
  <c r="B1127" i="5"/>
  <c r="B1127" i="7" s="1"/>
  <c r="J1126" i="5"/>
  <c r="J1126" i="7" s="1"/>
  <c r="I1126" i="5"/>
  <c r="I1126" i="7" s="1"/>
  <c r="H1126" i="5"/>
  <c r="H1126" i="7" s="1"/>
  <c r="G1126" i="5"/>
  <c r="G1126" i="7" s="1"/>
  <c r="F1126" i="5"/>
  <c r="F1126" i="7" s="1"/>
  <c r="E1126" i="5"/>
  <c r="D1126" i="5"/>
  <c r="D1126" i="7" s="1"/>
  <c r="C1126" i="5"/>
  <c r="C1126" i="7" s="1"/>
  <c r="B1126" i="5"/>
  <c r="B1126" i="7" s="1"/>
  <c r="L1125" i="5"/>
  <c r="L1125" i="7" s="1"/>
  <c r="K1125" i="5"/>
  <c r="K1125" i="7" s="1"/>
  <c r="J1125" i="5"/>
  <c r="J1125" i="7" s="1"/>
  <c r="I1125" i="5"/>
  <c r="I1125" i="7" s="1"/>
  <c r="H1125" i="5"/>
  <c r="H1125" i="7" s="1"/>
  <c r="G1125" i="5"/>
  <c r="G1125" i="7" s="1"/>
  <c r="F1125" i="5"/>
  <c r="F1125" i="7" s="1"/>
  <c r="E1125" i="5"/>
  <c r="E1125" i="7" s="1"/>
  <c r="D1125" i="5"/>
  <c r="D1125" i="7" s="1"/>
  <c r="C1125" i="5"/>
  <c r="C1125" i="7" s="1"/>
  <c r="B1125" i="5"/>
  <c r="B1125" i="7" s="1"/>
  <c r="K1124" i="5"/>
  <c r="K1124" i="7" s="1"/>
  <c r="J1124" i="5"/>
  <c r="J1124" i="7" s="1"/>
  <c r="I1124" i="5"/>
  <c r="I1124" i="7" s="1"/>
  <c r="H1124" i="5"/>
  <c r="H1124" i="7" s="1"/>
  <c r="G1124" i="5"/>
  <c r="G1124" i="7" s="1"/>
  <c r="F1124" i="5"/>
  <c r="F1124" i="7" s="1"/>
  <c r="E1124" i="5"/>
  <c r="E1124" i="7" s="1"/>
  <c r="D1124" i="5"/>
  <c r="D1124" i="7" s="1"/>
  <c r="C1124" i="5"/>
  <c r="C1124" i="7" s="1"/>
  <c r="B1124" i="5"/>
  <c r="B1124" i="7" s="1"/>
  <c r="L1123" i="5"/>
  <c r="L1123" i="7" s="1"/>
  <c r="J1123" i="5"/>
  <c r="J1123" i="7" s="1"/>
  <c r="I1123" i="5"/>
  <c r="I1123" i="7" s="1"/>
  <c r="H1123" i="5"/>
  <c r="H1123" i="7" s="1"/>
  <c r="G1123" i="5"/>
  <c r="G1123" i="7" s="1"/>
  <c r="F1123" i="5"/>
  <c r="F1123" i="7" s="1"/>
  <c r="E1123" i="5"/>
  <c r="D1123" i="5"/>
  <c r="D1123" i="7" s="1"/>
  <c r="C1123" i="5"/>
  <c r="C1123" i="7" s="1"/>
  <c r="B1123" i="5"/>
  <c r="B1123" i="7" s="1"/>
  <c r="L1122" i="5"/>
  <c r="L1122" i="7" s="1"/>
  <c r="J1122" i="5"/>
  <c r="J1122" i="7" s="1"/>
  <c r="I1122" i="5"/>
  <c r="I1122" i="7" s="1"/>
  <c r="H1122" i="5"/>
  <c r="H1122" i="7" s="1"/>
  <c r="G1122" i="5"/>
  <c r="G1122" i="7" s="1"/>
  <c r="F1122" i="5"/>
  <c r="F1122" i="7" s="1"/>
  <c r="E1122" i="5"/>
  <c r="D1122" i="5"/>
  <c r="D1122" i="7" s="1"/>
  <c r="C1122" i="5"/>
  <c r="C1122" i="7" s="1"/>
  <c r="B1122" i="5"/>
  <c r="B1122" i="7" s="1"/>
  <c r="L1121" i="5"/>
  <c r="L1121" i="7" s="1"/>
  <c r="J1121" i="5"/>
  <c r="J1121" i="7" s="1"/>
  <c r="I1121" i="5"/>
  <c r="I1121" i="7" s="1"/>
  <c r="H1121" i="5"/>
  <c r="H1121" i="7" s="1"/>
  <c r="G1121" i="5"/>
  <c r="G1121" i="7" s="1"/>
  <c r="F1121" i="5"/>
  <c r="F1121" i="7" s="1"/>
  <c r="E1121" i="5"/>
  <c r="E1121" i="7" s="1"/>
  <c r="D1121" i="5"/>
  <c r="D1121" i="7" s="1"/>
  <c r="C1121" i="5"/>
  <c r="C1121" i="7" s="1"/>
  <c r="B1121" i="5"/>
  <c r="B1121" i="7" s="1"/>
  <c r="K1120" i="5"/>
  <c r="K1120" i="7" s="1"/>
  <c r="J1120" i="5"/>
  <c r="J1120" i="7" s="1"/>
  <c r="I1120" i="5"/>
  <c r="I1120" i="7" s="1"/>
  <c r="H1120" i="5"/>
  <c r="H1120" i="7" s="1"/>
  <c r="G1120" i="5"/>
  <c r="G1120" i="7" s="1"/>
  <c r="F1120" i="5"/>
  <c r="F1120" i="7" s="1"/>
  <c r="E1120" i="5"/>
  <c r="E1120" i="7" s="1"/>
  <c r="D1120" i="5"/>
  <c r="D1120" i="7" s="1"/>
  <c r="C1120" i="5"/>
  <c r="C1120" i="7" s="1"/>
  <c r="B1120" i="5"/>
  <c r="B1120" i="7" s="1"/>
  <c r="K1119" i="5"/>
  <c r="K1119" i="7" s="1"/>
  <c r="J1119" i="5"/>
  <c r="J1119" i="7" s="1"/>
  <c r="I1119" i="5"/>
  <c r="I1119" i="7" s="1"/>
  <c r="H1119" i="5"/>
  <c r="H1119" i="7" s="1"/>
  <c r="G1119" i="5"/>
  <c r="G1119" i="7" s="1"/>
  <c r="F1119" i="5"/>
  <c r="E1119" i="5"/>
  <c r="E1119" i="7" s="1"/>
  <c r="D1119" i="5"/>
  <c r="D1119" i="7" s="1"/>
  <c r="C1119" i="5"/>
  <c r="C1119" i="7" s="1"/>
  <c r="B1119" i="5"/>
  <c r="B1119" i="7" s="1"/>
  <c r="K1118" i="5"/>
  <c r="K1118" i="7" s="1"/>
  <c r="J1118" i="5"/>
  <c r="J1118" i="7" s="1"/>
  <c r="I1118" i="5"/>
  <c r="I1118" i="7" s="1"/>
  <c r="H1118" i="5"/>
  <c r="H1118" i="7" s="1"/>
  <c r="G1118" i="5"/>
  <c r="G1118" i="7" s="1"/>
  <c r="F1118" i="5"/>
  <c r="E1118" i="5"/>
  <c r="E1118" i="7" s="1"/>
  <c r="D1118" i="5"/>
  <c r="D1118" i="7" s="1"/>
  <c r="C1118" i="5"/>
  <c r="C1118" i="7" s="1"/>
  <c r="B1118" i="5"/>
  <c r="B1118" i="7" s="1"/>
  <c r="J1117" i="5"/>
  <c r="J1117" i="7" s="1"/>
  <c r="I1117" i="5"/>
  <c r="I1117" i="7" s="1"/>
  <c r="H1117" i="5"/>
  <c r="H1117" i="7" s="1"/>
  <c r="G1117" i="5"/>
  <c r="G1117" i="7" s="1"/>
  <c r="F1117" i="5"/>
  <c r="E1117" i="5"/>
  <c r="E1117" i="7" s="1"/>
  <c r="D1117" i="5"/>
  <c r="D1117" i="7" s="1"/>
  <c r="C1117" i="5"/>
  <c r="C1117" i="7" s="1"/>
  <c r="B1117" i="5"/>
  <c r="B1117" i="7" s="1"/>
  <c r="L1116" i="5"/>
  <c r="L1116" i="7" s="1"/>
  <c r="J1116" i="5"/>
  <c r="J1116" i="7" s="1"/>
  <c r="I1116" i="5"/>
  <c r="I1116" i="7" s="1"/>
  <c r="H1116" i="5"/>
  <c r="H1116" i="7" s="1"/>
  <c r="G1116" i="5"/>
  <c r="G1116" i="7" s="1"/>
  <c r="F1116" i="5"/>
  <c r="F1116" i="7" s="1"/>
  <c r="E1116" i="5"/>
  <c r="D1116" i="5"/>
  <c r="D1116" i="7" s="1"/>
  <c r="C1116" i="5"/>
  <c r="C1116" i="7" s="1"/>
  <c r="B1116" i="5"/>
  <c r="B1116" i="7" s="1"/>
  <c r="L1115" i="5"/>
  <c r="L1115" i="7" s="1"/>
  <c r="K1115" i="5"/>
  <c r="K1115" i="7" s="1"/>
  <c r="J1115" i="5"/>
  <c r="J1115" i="7" s="1"/>
  <c r="I1115" i="5"/>
  <c r="I1115" i="7" s="1"/>
  <c r="H1115" i="5"/>
  <c r="H1115" i="7" s="1"/>
  <c r="G1115" i="5"/>
  <c r="G1115" i="7" s="1"/>
  <c r="F1115" i="5"/>
  <c r="F1115" i="7" s="1"/>
  <c r="E1115" i="5"/>
  <c r="E1115" i="7" s="1"/>
  <c r="D1115" i="5"/>
  <c r="D1115" i="7" s="1"/>
  <c r="C1115" i="5"/>
  <c r="C1115" i="7" s="1"/>
  <c r="B1115" i="5"/>
  <c r="B1115" i="7" s="1"/>
  <c r="L1114" i="5"/>
  <c r="L1114" i="7" s="1"/>
  <c r="J1114" i="5"/>
  <c r="J1114" i="7" s="1"/>
  <c r="I1114" i="5"/>
  <c r="I1114" i="7" s="1"/>
  <c r="H1114" i="5"/>
  <c r="H1114" i="7" s="1"/>
  <c r="G1114" i="5"/>
  <c r="G1114" i="7" s="1"/>
  <c r="F1114" i="5"/>
  <c r="F1114" i="7" s="1"/>
  <c r="E1114" i="5"/>
  <c r="E1114" i="7" s="1"/>
  <c r="D1114" i="5"/>
  <c r="D1114" i="7" s="1"/>
  <c r="C1114" i="5"/>
  <c r="C1114" i="7" s="1"/>
  <c r="B1114" i="5"/>
  <c r="B1114" i="7" s="1"/>
  <c r="J1113" i="5"/>
  <c r="J1113" i="7" s="1"/>
  <c r="I1113" i="5"/>
  <c r="I1113" i="7" s="1"/>
  <c r="H1113" i="5"/>
  <c r="H1113" i="7" s="1"/>
  <c r="G1113" i="5"/>
  <c r="G1113" i="7" s="1"/>
  <c r="F1113" i="5"/>
  <c r="E1113" i="5"/>
  <c r="D1113" i="5"/>
  <c r="D1113" i="7" s="1"/>
  <c r="C1113" i="5"/>
  <c r="C1113" i="7" s="1"/>
  <c r="B1113" i="5"/>
  <c r="B1113" i="7" s="1"/>
  <c r="J1112" i="5"/>
  <c r="J1112" i="7" s="1"/>
  <c r="I1112" i="5"/>
  <c r="I1112" i="7" s="1"/>
  <c r="H1112" i="5"/>
  <c r="H1112" i="7" s="1"/>
  <c r="G1112" i="5"/>
  <c r="G1112" i="7" s="1"/>
  <c r="F1112" i="5"/>
  <c r="F1112" i="7" s="1"/>
  <c r="E1112" i="5"/>
  <c r="D1112" i="5"/>
  <c r="D1112" i="7" s="1"/>
  <c r="C1112" i="5"/>
  <c r="C1112" i="7" s="1"/>
  <c r="B1112" i="5"/>
  <c r="B1112" i="7" s="1"/>
  <c r="L1111" i="5"/>
  <c r="L1111" i="7" s="1"/>
  <c r="K1111" i="5"/>
  <c r="K1111" i="7" s="1"/>
  <c r="J1111" i="5"/>
  <c r="J1111" i="7" s="1"/>
  <c r="I1111" i="5"/>
  <c r="I1111" i="7" s="1"/>
  <c r="H1111" i="5"/>
  <c r="H1111" i="7" s="1"/>
  <c r="G1111" i="5"/>
  <c r="G1111" i="7" s="1"/>
  <c r="F1111" i="5"/>
  <c r="F1111" i="7" s="1"/>
  <c r="E1111" i="5"/>
  <c r="E1111" i="7" s="1"/>
  <c r="D1111" i="5"/>
  <c r="D1111" i="7" s="1"/>
  <c r="C1111" i="5"/>
  <c r="C1111" i="7" s="1"/>
  <c r="B1111" i="5"/>
  <c r="B1111" i="7" s="1"/>
  <c r="L1110" i="5"/>
  <c r="L1110" i="7" s="1"/>
  <c r="K1110" i="5"/>
  <c r="K1110" i="7" s="1"/>
  <c r="J1110" i="5"/>
  <c r="J1110" i="7" s="1"/>
  <c r="I1110" i="5"/>
  <c r="I1110" i="7" s="1"/>
  <c r="H1110" i="5"/>
  <c r="H1110" i="7" s="1"/>
  <c r="G1110" i="5"/>
  <c r="G1110" i="7" s="1"/>
  <c r="F1110" i="5"/>
  <c r="F1110" i="7" s="1"/>
  <c r="E1110" i="5"/>
  <c r="E1110" i="7" s="1"/>
  <c r="D1110" i="5"/>
  <c r="D1110" i="7" s="1"/>
  <c r="C1110" i="5"/>
  <c r="C1110" i="7" s="1"/>
  <c r="B1110" i="5"/>
  <c r="B1110" i="7" s="1"/>
  <c r="L1109" i="5"/>
  <c r="L1109" i="7" s="1"/>
  <c r="J1109" i="5"/>
  <c r="J1109" i="7" s="1"/>
  <c r="I1109" i="5"/>
  <c r="I1109" i="7" s="1"/>
  <c r="H1109" i="5"/>
  <c r="H1109" i="7" s="1"/>
  <c r="G1109" i="5"/>
  <c r="G1109" i="7" s="1"/>
  <c r="F1109" i="5"/>
  <c r="F1109" i="7" s="1"/>
  <c r="E1109" i="5"/>
  <c r="E1109" i="7" s="1"/>
  <c r="D1109" i="5"/>
  <c r="D1109" i="7" s="1"/>
  <c r="C1109" i="5"/>
  <c r="C1109" i="7" s="1"/>
  <c r="B1109" i="5"/>
  <c r="B1109" i="7" s="1"/>
  <c r="J1108" i="5"/>
  <c r="J1108" i="7" s="1"/>
  <c r="I1108" i="5"/>
  <c r="I1108" i="7" s="1"/>
  <c r="H1108" i="5"/>
  <c r="H1108" i="7" s="1"/>
  <c r="G1108" i="5"/>
  <c r="G1108" i="7" s="1"/>
  <c r="F1108" i="5"/>
  <c r="F1108" i="7" s="1"/>
  <c r="E1108" i="5"/>
  <c r="D1108" i="5"/>
  <c r="D1108" i="7" s="1"/>
  <c r="C1108" i="5"/>
  <c r="C1108" i="7" s="1"/>
  <c r="B1108" i="5"/>
  <c r="B1108" i="7" s="1"/>
  <c r="J1107" i="5"/>
  <c r="J1107" i="7" s="1"/>
  <c r="I1107" i="5"/>
  <c r="I1107" i="7" s="1"/>
  <c r="H1107" i="5"/>
  <c r="H1107" i="7" s="1"/>
  <c r="G1107" i="5"/>
  <c r="G1107" i="7" s="1"/>
  <c r="F1107" i="5"/>
  <c r="E1107" i="5"/>
  <c r="E1107" i="7" s="1"/>
  <c r="D1107" i="5"/>
  <c r="D1107" i="7" s="1"/>
  <c r="C1107" i="5"/>
  <c r="C1107" i="7" s="1"/>
  <c r="B1107" i="5"/>
  <c r="B1107" i="7" s="1"/>
  <c r="L1106" i="5"/>
  <c r="L1106" i="7" s="1"/>
  <c r="K1106" i="5"/>
  <c r="K1106" i="7" s="1"/>
  <c r="J1106" i="5"/>
  <c r="J1106" i="7" s="1"/>
  <c r="I1106" i="5"/>
  <c r="I1106" i="7" s="1"/>
  <c r="H1106" i="5"/>
  <c r="H1106" i="7" s="1"/>
  <c r="G1106" i="5"/>
  <c r="G1106" i="7" s="1"/>
  <c r="F1106" i="5"/>
  <c r="F1106" i="7" s="1"/>
  <c r="E1106" i="5"/>
  <c r="E1106" i="7" s="1"/>
  <c r="D1106" i="5"/>
  <c r="D1106" i="7" s="1"/>
  <c r="C1106" i="5"/>
  <c r="C1106" i="7" s="1"/>
  <c r="B1106" i="5"/>
  <c r="B1106" i="7" s="1"/>
  <c r="K1105" i="5"/>
  <c r="K1105" i="7" s="1"/>
  <c r="J1105" i="5"/>
  <c r="J1105" i="7" s="1"/>
  <c r="I1105" i="5"/>
  <c r="I1105" i="7" s="1"/>
  <c r="H1105" i="5"/>
  <c r="H1105" i="7" s="1"/>
  <c r="G1105" i="5"/>
  <c r="G1105" i="7" s="1"/>
  <c r="F1105" i="5"/>
  <c r="E1105" i="5"/>
  <c r="E1105" i="7" s="1"/>
  <c r="D1105" i="5"/>
  <c r="D1105" i="7" s="1"/>
  <c r="C1105" i="5"/>
  <c r="C1105" i="7" s="1"/>
  <c r="B1105" i="5"/>
  <c r="B1105" i="7" s="1"/>
  <c r="K1104" i="5"/>
  <c r="K1104" i="7" s="1"/>
  <c r="J1104" i="5"/>
  <c r="J1104" i="7" s="1"/>
  <c r="I1104" i="5"/>
  <c r="I1104" i="7" s="1"/>
  <c r="H1104" i="5"/>
  <c r="H1104" i="7" s="1"/>
  <c r="G1104" i="5"/>
  <c r="G1104" i="7" s="1"/>
  <c r="F1104" i="5"/>
  <c r="E1104" i="5"/>
  <c r="E1104" i="7" s="1"/>
  <c r="D1104" i="5"/>
  <c r="D1104" i="7" s="1"/>
  <c r="C1104" i="5"/>
  <c r="C1104" i="7" s="1"/>
  <c r="B1104" i="5"/>
  <c r="B1104" i="7" s="1"/>
  <c r="J1103" i="5"/>
  <c r="J1103" i="7" s="1"/>
  <c r="I1103" i="5"/>
  <c r="I1103" i="7" s="1"/>
  <c r="H1103" i="5"/>
  <c r="H1103" i="7" s="1"/>
  <c r="G1103" i="5"/>
  <c r="G1103" i="7" s="1"/>
  <c r="F1103" i="5"/>
  <c r="E1103" i="5"/>
  <c r="E1103" i="7" s="1"/>
  <c r="D1103" i="5"/>
  <c r="D1103" i="7" s="1"/>
  <c r="C1103" i="5"/>
  <c r="C1103" i="7" s="1"/>
  <c r="B1103" i="5"/>
  <c r="B1103" i="7" s="1"/>
  <c r="L1102" i="5"/>
  <c r="L1102" i="7" s="1"/>
  <c r="K1102" i="5"/>
  <c r="K1102" i="7" s="1"/>
  <c r="J1102" i="5"/>
  <c r="J1102" i="7" s="1"/>
  <c r="I1102" i="5"/>
  <c r="I1102" i="7" s="1"/>
  <c r="H1102" i="5"/>
  <c r="H1102" i="7" s="1"/>
  <c r="G1102" i="5"/>
  <c r="G1102" i="7" s="1"/>
  <c r="F1102" i="5"/>
  <c r="F1102" i="7" s="1"/>
  <c r="E1102" i="5"/>
  <c r="E1102" i="7" s="1"/>
  <c r="D1102" i="5"/>
  <c r="D1102" i="7" s="1"/>
  <c r="C1102" i="5"/>
  <c r="C1102" i="7" s="1"/>
  <c r="B1102" i="5"/>
  <c r="B1102" i="7" s="1"/>
  <c r="L1101" i="5"/>
  <c r="L1101" i="7" s="1"/>
  <c r="K1101" i="5"/>
  <c r="K1101" i="7" s="1"/>
  <c r="J1101" i="5"/>
  <c r="J1101" i="7" s="1"/>
  <c r="I1101" i="5"/>
  <c r="I1101" i="7" s="1"/>
  <c r="H1101" i="5"/>
  <c r="H1101" i="7" s="1"/>
  <c r="G1101" i="5"/>
  <c r="G1101" i="7" s="1"/>
  <c r="F1101" i="5"/>
  <c r="F1101" i="7" s="1"/>
  <c r="E1101" i="5"/>
  <c r="E1101" i="7" s="1"/>
  <c r="D1101" i="5"/>
  <c r="D1101" i="7" s="1"/>
  <c r="C1101" i="5"/>
  <c r="C1101" i="7" s="1"/>
  <c r="B1101" i="5"/>
  <c r="B1101" i="7" s="1"/>
  <c r="L1100" i="5"/>
  <c r="L1100" i="7" s="1"/>
  <c r="J1100" i="5"/>
  <c r="J1100" i="7" s="1"/>
  <c r="I1100" i="5"/>
  <c r="I1100" i="7" s="1"/>
  <c r="H1100" i="5"/>
  <c r="H1100" i="7" s="1"/>
  <c r="G1100" i="5"/>
  <c r="G1100" i="7" s="1"/>
  <c r="F1100" i="5"/>
  <c r="F1100" i="7" s="1"/>
  <c r="E1100" i="5"/>
  <c r="E1100" i="7" s="1"/>
  <c r="D1100" i="5"/>
  <c r="D1100" i="7" s="1"/>
  <c r="C1100" i="5"/>
  <c r="C1100" i="7" s="1"/>
  <c r="B1100" i="5"/>
  <c r="B1100" i="7" s="1"/>
  <c r="J1099" i="5"/>
  <c r="J1099" i="7" s="1"/>
  <c r="I1099" i="5"/>
  <c r="I1099" i="7" s="1"/>
  <c r="H1099" i="5"/>
  <c r="H1099" i="7" s="1"/>
  <c r="G1099" i="5"/>
  <c r="G1099" i="7" s="1"/>
  <c r="F1099" i="5"/>
  <c r="E1099" i="5"/>
  <c r="D1099" i="5"/>
  <c r="D1099" i="7" s="1"/>
  <c r="C1099" i="5"/>
  <c r="C1099" i="7" s="1"/>
  <c r="B1099" i="5"/>
  <c r="B1099" i="7" s="1"/>
  <c r="L1098" i="5"/>
  <c r="L1098" i="7" s="1"/>
  <c r="J1098" i="5"/>
  <c r="J1098" i="7" s="1"/>
  <c r="I1098" i="5"/>
  <c r="I1098" i="7" s="1"/>
  <c r="H1098" i="5"/>
  <c r="H1098" i="7" s="1"/>
  <c r="G1098" i="5"/>
  <c r="G1098" i="7" s="1"/>
  <c r="F1098" i="5"/>
  <c r="F1098" i="7" s="1"/>
  <c r="E1098" i="5"/>
  <c r="D1098" i="5"/>
  <c r="D1098" i="7" s="1"/>
  <c r="C1098" i="5"/>
  <c r="C1098" i="7" s="1"/>
  <c r="B1098" i="5"/>
  <c r="B1098" i="7" s="1"/>
  <c r="L1097" i="5"/>
  <c r="L1097" i="7" s="1"/>
  <c r="K1097" i="5"/>
  <c r="K1097" i="7" s="1"/>
  <c r="J1097" i="5"/>
  <c r="J1097" i="7" s="1"/>
  <c r="I1097" i="5"/>
  <c r="I1097" i="7" s="1"/>
  <c r="H1097" i="5"/>
  <c r="H1097" i="7" s="1"/>
  <c r="G1097" i="5"/>
  <c r="G1097" i="7" s="1"/>
  <c r="F1097" i="5"/>
  <c r="F1097" i="7" s="1"/>
  <c r="E1097" i="5"/>
  <c r="E1097" i="7" s="1"/>
  <c r="D1097" i="5"/>
  <c r="D1097" i="7" s="1"/>
  <c r="C1097" i="5"/>
  <c r="C1097" i="7" s="1"/>
  <c r="B1097" i="5"/>
  <c r="B1097" i="7" s="1"/>
  <c r="K1096" i="5"/>
  <c r="K1096" i="7" s="1"/>
  <c r="J1096" i="5"/>
  <c r="J1096" i="7" s="1"/>
  <c r="I1096" i="5"/>
  <c r="I1096" i="7" s="1"/>
  <c r="H1096" i="5"/>
  <c r="H1096" i="7" s="1"/>
  <c r="G1096" i="5"/>
  <c r="G1096" i="7" s="1"/>
  <c r="F1096" i="5"/>
  <c r="E1096" i="5"/>
  <c r="E1096" i="7" s="1"/>
  <c r="D1096" i="5"/>
  <c r="D1096" i="7" s="1"/>
  <c r="C1096" i="5"/>
  <c r="C1096" i="7" s="1"/>
  <c r="B1096" i="5"/>
  <c r="B1096" i="7" s="1"/>
  <c r="J1095" i="5"/>
  <c r="J1095" i="7" s="1"/>
  <c r="I1095" i="5"/>
  <c r="I1095" i="7" s="1"/>
  <c r="H1095" i="5"/>
  <c r="H1095" i="7" s="1"/>
  <c r="G1095" i="5"/>
  <c r="G1095" i="7" s="1"/>
  <c r="F1095" i="5"/>
  <c r="F1095" i="7" s="1"/>
  <c r="E1095" i="5"/>
  <c r="E1095" i="7" s="1"/>
  <c r="D1095" i="5"/>
  <c r="D1095" i="7" s="1"/>
  <c r="C1095" i="5"/>
  <c r="C1095" i="7" s="1"/>
  <c r="B1095" i="5"/>
  <c r="B1095" i="7" s="1"/>
  <c r="L1094" i="5"/>
  <c r="L1094" i="7" s="1"/>
  <c r="J1094" i="5"/>
  <c r="J1094" i="7" s="1"/>
  <c r="I1094" i="5"/>
  <c r="I1094" i="7" s="1"/>
  <c r="H1094" i="5"/>
  <c r="H1094" i="7" s="1"/>
  <c r="G1094" i="5"/>
  <c r="G1094" i="7" s="1"/>
  <c r="F1094" i="5"/>
  <c r="F1094" i="7" s="1"/>
  <c r="E1094" i="5"/>
  <c r="D1094" i="5"/>
  <c r="D1094" i="7" s="1"/>
  <c r="C1094" i="5"/>
  <c r="C1094" i="7" s="1"/>
  <c r="B1094" i="5"/>
  <c r="B1094" i="7" s="1"/>
  <c r="J1093" i="5"/>
  <c r="J1093" i="7" s="1"/>
  <c r="I1093" i="5"/>
  <c r="I1093" i="7" s="1"/>
  <c r="H1093" i="5"/>
  <c r="H1093" i="7" s="1"/>
  <c r="G1093" i="5"/>
  <c r="G1093" i="7" s="1"/>
  <c r="F1093" i="5"/>
  <c r="E1093" i="5"/>
  <c r="E1093" i="7" s="1"/>
  <c r="D1093" i="5"/>
  <c r="D1093" i="7" s="1"/>
  <c r="C1093" i="5"/>
  <c r="C1093" i="7" s="1"/>
  <c r="B1093" i="5"/>
  <c r="B1093" i="7" s="1"/>
  <c r="K1092" i="5"/>
  <c r="K1092" i="7" s="1"/>
  <c r="J1092" i="5"/>
  <c r="J1092" i="7" s="1"/>
  <c r="I1092" i="5"/>
  <c r="I1092" i="7" s="1"/>
  <c r="H1092" i="5"/>
  <c r="H1092" i="7" s="1"/>
  <c r="G1092" i="5"/>
  <c r="G1092" i="7" s="1"/>
  <c r="F1092" i="5"/>
  <c r="F1092" i="7" s="1"/>
  <c r="E1092" i="5"/>
  <c r="E1092" i="7" s="1"/>
  <c r="D1092" i="5"/>
  <c r="D1092" i="7" s="1"/>
  <c r="C1092" i="5"/>
  <c r="C1092" i="7" s="1"/>
  <c r="B1092" i="5"/>
  <c r="B1092" i="7" s="1"/>
  <c r="J1091" i="5"/>
  <c r="J1091" i="7" s="1"/>
  <c r="I1091" i="5"/>
  <c r="I1091" i="7" s="1"/>
  <c r="H1091" i="5"/>
  <c r="H1091" i="7" s="1"/>
  <c r="G1091" i="5"/>
  <c r="G1091" i="7" s="1"/>
  <c r="F1091" i="5"/>
  <c r="F1091" i="7" s="1"/>
  <c r="E1091" i="5"/>
  <c r="D1091" i="5"/>
  <c r="D1091" i="7" s="1"/>
  <c r="C1091" i="5"/>
  <c r="C1091" i="7" s="1"/>
  <c r="B1091" i="5"/>
  <c r="B1091" i="7" s="1"/>
  <c r="K1090" i="5"/>
  <c r="K1090" i="7" s="1"/>
  <c r="J1090" i="5"/>
  <c r="J1090" i="7" s="1"/>
  <c r="I1090" i="5"/>
  <c r="I1090" i="7" s="1"/>
  <c r="H1090" i="5"/>
  <c r="H1090" i="7" s="1"/>
  <c r="G1090" i="5"/>
  <c r="G1090" i="7" s="1"/>
  <c r="F1090" i="5"/>
  <c r="E1090" i="5"/>
  <c r="E1090" i="7" s="1"/>
  <c r="D1090" i="5"/>
  <c r="D1090" i="7" s="1"/>
  <c r="C1090" i="5"/>
  <c r="C1090" i="7" s="1"/>
  <c r="B1090" i="5"/>
  <c r="B1090" i="7" s="1"/>
  <c r="J1089" i="5"/>
  <c r="J1089" i="7" s="1"/>
  <c r="I1089" i="5"/>
  <c r="I1089" i="7" s="1"/>
  <c r="H1089" i="5"/>
  <c r="H1089" i="7" s="1"/>
  <c r="G1089" i="5"/>
  <c r="G1089" i="7" s="1"/>
  <c r="F1089" i="5"/>
  <c r="E1089" i="5"/>
  <c r="E1089" i="7" s="1"/>
  <c r="D1089" i="5"/>
  <c r="D1089" i="7" s="1"/>
  <c r="C1089" i="5"/>
  <c r="C1089" i="7" s="1"/>
  <c r="B1089" i="5"/>
  <c r="B1089" i="7" s="1"/>
  <c r="L1088" i="5"/>
  <c r="L1088" i="7" s="1"/>
  <c r="J1088" i="5"/>
  <c r="J1088" i="7" s="1"/>
  <c r="I1088" i="5"/>
  <c r="I1088" i="7" s="1"/>
  <c r="H1088" i="5"/>
  <c r="H1088" i="7" s="1"/>
  <c r="G1088" i="5"/>
  <c r="G1088" i="7" s="1"/>
  <c r="F1088" i="5"/>
  <c r="F1088" i="7" s="1"/>
  <c r="E1088" i="5"/>
  <c r="E1088" i="7" s="1"/>
  <c r="D1088" i="5"/>
  <c r="D1088" i="7" s="1"/>
  <c r="C1088" i="5"/>
  <c r="C1088" i="7" s="1"/>
  <c r="B1088" i="5"/>
  <c r="B1088" i="7" s="1"/>
  <c r="L1087" i="5"/>
  <c r="L1087" i="7" s="1"/>
  <c r="J1087" i="5"/>
  <c r="J1087" i="7" s="1"/>
  <c r="I1087" i="5"/>
  <c r="I1087" i="7" s="1"/>
  <c r="H1087" i="5"/>
  <c r="H1087" i="7" s="1"/>
  <c r="G1087" i="5"/>
  <c r="G1087" i="7" s="1"/>
  <c r="F1087" i="5"/>
  <c r="F1087" i="7" s="1"/>
  <c r="E1087" i="5"/>
  <c r="D1087" i="5"/>
  <c r="D1087" i="7" s="1"/>
  <c r="C1087" i="5"/>
  <c r="C1087" i="7" s="1"/>
  <c r="B1087" i="5"/>
  <c r="B1087" i="7" s="1"/>
  <c r="L1086" i="5"/>
  <c r="L1086" i="7" s="1"/>
  <c r="K1086" i="5"/>
  <c r="K1086" i="7" s="1"/>
  <c r="J1086" i="5"/>
  <c r="J1086" i="7" s="1"/>
  <c r="I1086" i="5"/>
  <c r="I1086" i="7" s="1"/>
  <c r="H1086" i="5"/>
  <c r="H1086" i="7" s="1"/>
  <c r="G1086" i="5"/>
  <c r="G1086" i="7" s="1"/>
  <c r="F1086" i="5"/>
  <c r="F1086" i="7" s="1"/>
  <c r="E1086" i="5"/>
  <c r="E1086" i="7" s="1"/>
  <c r="D1086" i="5"/>
  <c r="D1086" i="7" s="1"/>
  <c r="C1086" i="5"/>
  <c r="C1086" i="7" s="1"/>
  <c r="B1086" i="5"/>
  <c r="B1086" i="7" s="1"/>
  <c r="J1085" i="5"/>
  <c r="J1085" i="7" s="1"/>
  <c r="I1085" i="5"/>
  <c r="I1085" i="7" s="1"/>
  <c r="H1085" i="5"/>
  <c r="H1085" i="7" s="1"/>
  <c r="G1085" i="5"/>
  <c r="G1085" i="7" s="1"/>
  <c r="F1085" i="5"/>
  <c r="E1085" i="5"/>
  <c r="D1085" i="5"/>
  <c r="D1085" i="7" s="1"/>
  <c r="C1085" i="5"/>
  <c r="C1085" i="7" s="1"/>
  <c r="B1085" i="5"/>
  <c r="B1085" i="7" s="1"/>
  <c r="L1084" i="5"/>
  <c r="L1084" i="7" s="1"/>
  <c r="J1084" i="5"/>
  <c r="J1084" i="7" s="1"/>
  <c r="I1084" i="5"/>
  <c r="I1084" i="7" s="1"/>
  <c r="H1084" i="5"/>
  <c r="H1084" i="7" s="1"/>
  <c r="G1084" i="5"/>
  <c r="G1084" i="7" s="1"/>
  <c r="F1084" i="5"/>
  <c r="F1084" i="7" s="1"/>
  <c r="E1084" i="5"/>
  <c r="D1084" i="5"/>
  <c r="D1084" i="7" s="1"/>
  <c r="C1084" i="5"/>
  <c r="C1084" i="7" s="1"/>
  <c r="B1084" i="5"/>
  <c r="B1084" i="7" s="1"/>
  <c r="L1083" i="5"/>
  <c r="L1083" i="7" s="1"/>
  <c r="K1083" i="5"/>
  <c r="K1083" i="7" s="1"/>
  <c r="J1083" i="5"/>
  <c r="J1083" i="7" s="1"/>
  <c r="I1083" i="5"/>
  <c r="I1083" i="7" s="1"/>
  <c r="H1083" i="5"/>
  <c r="H1083" i="7" s="1"/>
  <c r="G1083" i="5"/>
  <c r="G1083" i="7" s="1"/>
  <c r="F1083" i="5"/>
  <c r="F1083" i="7" s="1"/>
  <c r="E1083" i="5"/>
  <c r="E1083" i="7" s="1"/>
  <c r="D1083" i="5"/>
  <c r="D1083" i="7" s="1"/>
  <c r="C1083" i="5"/>
  <c r="C1083" i="7" s="1"/>
  <c r="B1083" i="5"/>
  <c r="B1083" i="7" s="1"/>
  <c r="K1082" i="5"/>
  <c r="K1082" i="7" s="1"/>
  <c r="J1082" i="5"/>
  <c r="J1082" i="7" s="1"/>
  <c r="I1082" i="5"/>
  <c r="I1082" i="7" s="1"/>
  <c r="H1082" i="5"/>
  <c r="H1082" i="7" s="1"/>
  <c r="G1082" i="5"/>
  <c r="G1082" i="7" s="1"/>
  <c r="F1082" i="5"/>
  <c r="F1082" i="7" s="1"/>
  <c r="E1082" i="5"/>
  <c r="E1082" i="7" s="1"/>
  <c r="D1082" i="5"/>
  <c r="D1082" i="7" s="1"/>
  <c r="C1082" i="5"/>
  <c r="C1082" i="7" s="1"/>
  <c r="B1082" i="5"/>
  <c r="B1082" i="7" s="1"/>
  <c r="K1081" i="5"/>
  <c r="K1081" i="7" s="1"/>
  <c r="J1081" i="5"/>
  <c r="J1081" i="7" s="1"/>
  <c r="I1081" i="5"/>
  <c r="I1081" i="7" s="1"/>
  <c r="H1081" i="5"/>
  <c r="H1081" i="7" s="1"/>
  <c r="G1081" i="5"/>
  <c r="G1081" i="7" s="1"/>
  <c r="F1081" i="5"/>
  <c r="F1081" i="7" s="1"/>
  <c r="E1081" i="5"/>
  <c r="E1081" i="7" s="1"/>
  <c r="D1081" i="5"/>
  <c r="D1081" i="7" s="1"/>
  <c r="C1081" i="5"/>
  <c r="C1081" i="7" s="1"/>
  <c r="B1081" i="5"/>
  <c r="B1081" i="7" s="1"/>
  <c r="J1080" i="5"/>
  <c r="J1080" i="7" s="1"/>
  <c r="I1080" i="5"/>
  <c r="I1080" i="7" s="1"/>
  <c r="H1080" i="5"/>
  <c r="H1080" i="7" s="1"/>
  <c r="G1080" i="5"/>
  <c r="G1080" i="7" s="1"/>
  <c r="F1080" i="5"/>
  <c r="F1080" i="7" s="1"/>
  <c r="E1080" i="5"/>
  <c r="D1080" i="5"/>
  <c r="D1080" i="7" s="1"/>
  <c r="C1080" i="5"/>
  <c r="C1080" i="7" s="1"/>
  <c r="B1080" i="5"/>
  <c r="B1080" i="7" s="1"/>
  <c r="J1079" i="5"/>
  <c r="J1079" i="7" s="1"/>
  <c r="I1079" i="5"/>
  <c r="I1079" i="7" s="1"/>
  <c r="H1079" i="5"/>
  <c r="H1079" i="7" s="1"/>
  <c r="G1079" i="5"/>
  <c r="G1079" i="7" s="1"/>
  <c r="F1079" i="5"/>
  <c r="F1079" i="7" s="1"/>
  <c r="E1079" i="5"/>
  <c r="D1079" i="5"/>
  <c r="D1079" i="7" s="1"/>
  <c r="C1079" i="5"/>
  <c r="C1079" i="7" s="1"/>
  <c r="B1079" i="5"/>
  <c r="B1079" i="7" s="1"/>
  <c r="L1078" i="5"/>
  <c r="L1078" i="7" s="1"/>
  <c r="K1078" i="5"/>
  <c r="K1078" i="7" s="1"/>
  <c r="J1078" i="5"/>
  <c r="J1078" i="7" s="1"/>
  <c r="I1078" i="5"/>
  <c r="I1078" i="7" s="1"/>
  <c r="H1078" i="5"/>
  <c r="H1078" i="7" s="1"/>
  <c r="G1078" i="5"/>
  <c r="G1078" i="7" s="1"/>
  <c r="F1078" i="5"/>
  <c r="F1078" i="7" s="1"/>
  <c r="E1078" i="5"/>
  <c r="E1078" i="7" s="1"/>
  <c r="D1078" i="5"/>
  <c r="D1078" i="7" s="1"/>
  <c r="C1078" i="5"/>
  <c r="C1078" i="7" s="1"/>
  <c r="B1078" i="5"/>
  <c r="B1078" i="7" s="1"/>
  <c r="L1077" i="5"/>
  <c r="L1077" i="7" s="1"/>
  <c r="K1077" i="5"/>
  <c r="K1077" i="7" s="1"/>
  <c r="J1077" i="5"/>
  <c r="J1077" i="7" s="1"/>
  <c r="I1077" i="5"/>
  <c r="I1077" i="7" s="1"/>
  <c r="H1077" i="5"/>
  <c r="H1077" i="7" s="1"/>
  <c r="G1077" i="5"/>
  <c r="G1077" i="7" s="1"/>
  <c r="F1077" i="5"/>
  <c r="F1077" i="7" s="1"/>
  <c r="E1077" i="5"/>
  <c r="E1077" i="7" s="1"/>
  <c r="D1077" i="5"/>
  <c r="D1077" i="7" s="1"/>
  <c r="C1077" i="5"/>
  <c r="C1077" i="7" s="1"/>
  <c r="B1077" i="5"/>
  <c r="B1077" i="7" s="1"/>
  <c r="J1076" i="5"/>
  <c r="J1076" i="7" s="1"/>
  <c r="I1076" i="5"/>
  <c r="I1076" i="7" s="1"/>
  <c r="H1076" i="5"/>
  <c r="H1076" i="7" s="1"/>
  <c r="G1076" i="5"/>
  <c r="G1076" i="7" s="1"/>
  <c r="F1076" i="5"/>
  <c r="E1076" i="5"/>
  <c r="E1076" i="7" s="1"/>
  <c r="D1076" i="5"/>
  <c r="D1076" i="7" s="1"/>
  <c r="C1076" i="5"/>
  <c r="C1076" i="7" s="1"/>
  <c r="B1076" i="5"/>
  <c r="B1076" i="7" s="1"/>
  <c r="J1075" i="5"/>
  <c r="J1075" i="7" s="1"/>
  <c r="I1075" i="5"/>
  <c r="I1075" i="7" s="1"/>
  <c r="H1075" i="5"/>
  <c r="H1075" i="7" s="1"/>
  <c r="G1075" i="5"/>
  <c r="G1075" i="7" s="1"/>
  <c r="F1075" i="5"/>
  <c r="E1075" i="5"/>
  <c r="D1075" i="5"/>
  <c r="D1075" i="7" s="1"/>
  <c r="C1075" i="5"/>
  <c r="C1075" i="7" s="1"/>
  <c r="B1075" i="5"/>
  <c r="B1075" i="7" s="1"/>
  <c r="L1074" i="5"/>
  <c r="L1074" i="7" s="1"/>
  <c r="K1074" i="5"/>
  <c r="K1074" i="7" s="1"/>
  <c r="J1074" i="5"/>
  <c r="J1074" i="7" s="1"/>
  <c r="I1074" i="5"/>
  <c r="I1074" i="7" s="1"/>
  <c r="H1074" i="5"/>
  <c r="H1074" i="7" s="1"/>
  <c r="G1074" i="5"/>
  <c r="G1074" i="7" s="1"/>
  <c r="F1074" i="5"/>
  <c r="F1074" i="7" s="1"/>
  <c r="E1074" i="5"/>
  <c r="E1074" i="7" s="1"/>
  <c r="D1074" i="5"/>
  <c r="D1074" i="7" s="1"/>
  <c r="C1074" i="5"/>
  <c r="C1074" i="7" s="1"/>
  <c r="B1074" i="5"/>
  <c r="B1074" i="7" s="1"/>
  <c r="L1073" i="5"/>
  <c r="L1073" i="7" s="1"/>
  <c r="K1073" i="5"/>
  <c r="K1073" i="7" s="1"/>
  <c r="J1073" i="5"/>
  <c r="J1073" i="7" s="1"/>
  <c r="I1073" i="5"/>
  <c r="I1073" i="7" s="1"/>
  <c r="H1073" i="5"/>
  <c r="H1073" i="7" s="1"/>
  <c r="G1073" i="5"/>
  <c r="G1073" i="7" s="1"/>
  <c r="F1073" i="5"/>
  <c r="F1073" i="7" s="1"/>
  <c r="E1073" i="5"/>
  <c r="E1073" i="7" s="1"/>
  <c r="D1073" i="5"/>
  <c r="D1073" i="7" s="1"/>
  <c r="C1073" i="5"/>
  <c r="C1073" i="7" s="1"/>
  <c r="B1073" i="5"/>
  <c r="B1073" i="7" s="1"/>
  <c r="L1072" i="5"/>
  <c r="L1072" i="7" s="1"/>
  <c r="J1072" i="5"/>
  <c r="J1072" i="7" s="1"/>
  <c r="I1072" i="5"/>
  <c r="I1072" i="7" s="1"/>
  <c r="H1072" i="5"/>
  <c r="H1072" i="7" s="1"/>
  <c r="G1072" i="5"/>
  <c r="G1072" i="7" s="1"/>
  <c r="F1072" i="5"/>
  <c r="F1072" i="7" s="1"/>
  <c r="E1072" i="5"/>
  <c r="E1072" i="7" s="1"/>
  <c r="D1072" i="5"/>
  <c r="D1072" i="7" s="1"/>
  <c r="C1072" i="5"/>
  <c r="C1072" i="7" s="1"/>
  <c r="B1072" i="5"/>
  <c r="B1072" i="7" s="1"/>
  <c r="J1071" i="5"/>
  <c r="J1071" i="7" s="1"/>
  <c r="I1071" i="5"/>
  <c r="I1071" i="7" s="1"/>
  <c r="H1071" i="5"/>
  <c r="H1071" i="7" s="1"/>
  <c r="G1071" i="5"/>
  <c r="G1071" i="7" s="1"/>
  <c r="F1071" i="5"/>
  <c r="E1071" i="5"/>
  <c r="D1071" i="5"/>
  <c r="D1071" i="7" s="1"/>
  <c r="C1071" i="5"/>
  <c r="C1071" i="7" s="1"/>
  <c r="B1071" i="5"/>
  <c r="B1071" i="7" s="1"/>
  <c r="J1070" i="5"/>
  <c r="J1070" i="7" s="1"/>
  <c r="I1070" i="5"/>
  <c r="I1070" i="7" s="1"/>
  <c r="H1070" i="5"/>
  <c r="H1070" i="7" s="1"/>
  <c r="G1070" i="5"/>
  <c r="G1070" i="7" s="1"/>
  <c r="F1070" i="5"/>
  <c r="F1070" i="7" s="1"/>
  <c r="E1070" i="5"/>
  <c r="D1070" i="5"/>
  <c r="D1070" i="7" s="1"/>
  <c r="C1070" i="5"/>
  <c r="C1070" i="7" s="1"/>
  <c r="B1070" i="5"/>
  <c r="B1070" i="7" s="1"/>
  <c r="L1069" i="5"/>
  <c r="L1069" i="7" s="1"/>
  <c r="K1069" i="5"/>
  <c r="K1069" i="7" s="1"/>
  <c r="J1069" i="5"/>
  <c r="J1069" i="7" s="1"/>
  <c r="I1069" i="5"/>
  <c r="I1069" i="7" s="1"/>
  <c r="H1069" i="5"/>
  <c r="H1069" i="7" s="1"/>
  <c r="G1069" i="5"/>
  <c r="G1069" i="7" s="1"/>
  <c r="F1069" i="5"/>
  <c r="F1069" i="7" s="1"/>
  <c r="E1069" i="5"/>
  <c r="E1069" i="7" s="1"/>
  <c r="D1069" i="5"/>
  <c r="D1069" i="7" s="1"/>
  <c r="C1069" i="5"/>
  <c r="C1069" i="7" s="1"/>
  <c r="B1069" i="5"/>
  <c r="B1069" i="7" s="1"/>
  <c r="L1068" i="5"/>
  <c r="L1068" i="7" s="1"/>
  <c r="K1068" i="5"/>
  <c r="K1068" i="7" s="1"/>
  <c r="J1068" i="5"/>
  <c r="J1068" i="7" s="1"/>
  <c r="I1068" i="5"/>
  <c r="I1068" i="7" s="1"/>
  <c r="H1068" i="5"/>
  <c r="H1068" i="7" s="1"/>
  <c r="G1068" i="5"/>
  <c r="G1068" i="7" s="1"/>
  <c r="F1068" i="5"/>
  <c r="F1068" i="7" s="1"/>
  <c r="E1068" i="5"/>
  <c r="E1068" i="7" s="1"/>
  <c r="D1068" i="5"/>
  <c r="D1068" i="7" s="1"/>
  <c r="C1068" i="5"/>
  <c r="C1068" i="7" s="1"/>
  <c r="B1068" i="5"/>
  <c r="B1068" i="7" s="1"/>
  <c r="K1067" i="5"/>
  <c r="K1067" i="7" s="1"/>
  <c r="J1067" i="5"/>
  <c r="J1067" i="7" s="1"/>
  <c r="I1067" i="5"/>
  <c r="I1067" i="7" s="1"/>
  <c r="H1067" i="5"/>
  <c r="H1067" i="7" s="1"/>
  <c r="G1067" i="5"/>
  <c r="G1067" i="7" s="1"/>
  <c r="F1067" i="5"/>
  <c r="E1067" i="5"/>
  <c r="E1067" i="7" s="1"/>
  <c r="D1067" i="5"/>
  <c r="D1067" i="7" s="1"/>
  <c r="C1067" i="5"/>
  <c r="C1067" i="7" s="1"/>
  <c r="B1067" i="5"/>
  <c r="B1067" i="7" s="1"/>
  <c r="J1066" i="5"/>
  <c r="J1066" i="7" s="1"/>
  <c r="I1066" i="5"/>
  <c r="I1066" i="7" s="1"/>
  <c r="H1066" i="5"/>
  <c r="H1066" i="7" s="1"/>
  <c r="G1066" i="5"/>
  <c r="G1066" i="7" s="1"/>
  <c r="F1066" i="5"/>
  <c r="F1066" i="7" s="1"/>
  <c r="E1066" i="5"/>
  <c r="D1066" i="5"/>
  <c r="D1066" i="7" s="1"/>
  <c r="C1066" i="5"/>
  <c r="C1066" i="7" s="1"/>
  <c r="B1066" i="5"/>
  <c r="B1066" i="7" s="1"/>
  <c r="L1065" i="5"/>
  <c r="L1065" i="7" s="1"/>
  <c r="K1065" i="5"/>
  <c r="K1065" i="7" s="1"/>
  <c r="J1065" i="5"/>
  <c r="J1065" i="7" s="1"/>
  <c r="I1065" i="5"/>
  <c r="I1065" i="7" s="1"/>
  <c r="H1065" i="5"/>
  <c r="H1065" i="7" s="1"/>
  <c r="G1065" i="5"/>
  <c r="G1065" i="7" s="1"/>
  <c r="F1065" i="5"/>
  <c r="F1065" i="7" s="1"/>
  <c r="E1065" i="5"/>
  <c r="E1065" i="7" s="1"/>
  <c r="D1065" i="5"/>
  <c r="D1065" i="7" s="1"/>
  <c r="C1065" i="5"/>
  <c r="C1065" i="7" s="1"/>
  <c r="B1065" i="5"/>
  <c r="B1065" i="7" s="1"/>
  <c r="L1064" i="5"/>
  <c r="L1064" i="7" s="1"/>
  <c r="K1064" i="5"/>
  <c r="K1064" i="7" s="1"/>
  <c r="J1064" i="5"/>
  <c r="J1064" i="7" s="1"/>
  <c r="I1064" i="5"/>
  <c r="I1064" i="7" s="1"/>
  <c r="H1064" i="5"/>
  <c r="H1064" i="7" s="1"/>
  <c r="G1064" i="5"/>
  <c r="G1064" i="7" s="1"/>
  <c r="F1064" i="5"/>
  <c r="F1064" i="7" s="1"/>
  <c r="E1064" i="5"/>
  <c r="E1064" i="7" s="1"/>
  <c r="D1064" i="5"/>
  <c r="D1064" i="7" s="1"/>
  <c r="C1064" i="5"/>
  <c r="C1064" i="7" s="1"/>
  <c r="B1064" i="5"/>
  <c r="B1064" i="7" s="1"/>
  <c r="L1063" i="5"/>
  <c r="L1063" i="7" s="1"/>
  <c r="K1063" i="5"/>
  <c r="K1063" i="7" s="1"/>
  <c r="J1063" i="5"/>
  <c r="J1063" i="7" s="1"/>
  <c r="I1063" i="5"/>
  <c r="I1063" i="7" s="1"/>
  <c r="H1063" i="5"/>
  <c r="H1063" i="7" s="1"/>
  <c r="G1063" i="5"/>
  <c r="G1063" i="7" s="1"/>
  <c r="F1063" i="5"/>
  <c r="F1063" i="7" s="1"/>
  <c r="E1063" i="5"/>
  <c r="E1063" i="7" s="1"/>
  <c r="D1063" i="5"/>
  <c r="D1063" i="7" s="1"/>
  <c r="C1063" i="5"/>
  <c r="C1063" i="7" s="1"/>
  <c r="B1063" i="5"/>
  <c r="B1063" i="7" s="1"/>
  <c r="K1062" i="5"/>
  <c r="K1062" i="7" s="1"/>
  <c r="J1062" i="5"/>
  <c r="J1062" i="7" s="1"/>
  <c r="I1062" i="5"/>
  <c r="I1062" i="7" s="1"/>
  <c r="H1062" i="5"/>
  <c r="H1062" i="7" s="1"/>
  <c r="G1062" i="5"/>
  <c r="G1062" i="7" s="1"/>
  <c r="F1062" i="5"/>
  <c r="E1062" i="5"/>
  <c r="E1062" i="7" s="1"/>
  <c r="D1062" i="5"/>
  <c r="D1062" i="7" s="1"/>
  <c r="C1062" i="5"/>
  <c r="C1062" i="7" s="1"/>
  <c r="B1062" i="5"/>
  <c r="B1062" i="7" s="1"/>
  <c r="K1061" i="5"/>
  <c r="K1061" i="7" s="1"/>
  <c r="J1061" i="5"/>
  <c r="J1061" i="7" s="1"/>
  <c r="I1061" i="5"/>
  <c r="I1061" i="7" s="1"/>
  <c r="H1061" i="5"/>
  <c r="H1061" i="7" s="1"/>
  <c r="G1061" i="5"/>
  <c r="G1061" i="7" s="1"/>
  <c r="F1061" i="5"/>
  <c r="E1061" i="5"/>
  <c r="E1061" i="7" s="1"/>
  <c r="D1061" i="5"/>
  <c r="D1061" i="7" s="1"/>
  <c r="C1061" i="5"/>
  <c r="C1061" i="7" s="1"/>
  <c r="B1061" i="5"/>
  <c r="B1061" i="7" s="1"/>
  <c r="L1060" i="5"/>
  <c r="L1060" i="7" s="1"/>
  <c r="K1060" i="5"/>
  <c r="K1060" i="7" s="1"/>
  <c r="J1060" i="5"/>
  <c r="J1060" i="7" s="1"/>
  <c r="I1060" i="5"/>
  <c r="I1060" i="7" s="1"/>
  <c r="H1060" i="5"/>
  <c r="H1060" i="7" s="1"/>
  <c r="G1060" i="5"/>
  <c r="G1060" i="7" s="1"/>
  <c r="F1060" i="5"/>
  <c r="F1060" i="7" s="1"/>
  <c r="E1060" i="5"/>
  <c r="E1060" i="7" s="1"/>
  <c r="D1060" i="5"/>
  <c r="D1060" i="7" s="1"/>
  <c r="C1060" i="5"/>
  <c r="C1060" i="7" s="1"/>
  <c r="B1060" i="5"/>
  <c r="B1060" i="7" s="1"/>
  <c r="L1059" i="5"/>
  <c r="L1059" i="7" s="1"/>
  <c r="K1059" i="5"/>
  <c r="K1059" i="7" s="1"/>
  <c r="J1059" i="5"/>
  <c r="J1059" i="7" s="1"/>
  <c r="I1059" i="5"/>
  <c r="I1059" i="7" s="1"/>
  <c r="H1059" i="5"/>
  <c r="H1059" i="7" s="1"/>
  <c r="G1059" i="5"/>
  <c r="G1059" i="7" s="1"/>
  <c r="F1059" i="5"/>
  <c r="F1059" i="7" s="1"/>
  <c r="E1059" i="5"/>
  <c r="E1059" i="7" s="1"/>
  <c r="D1059" i="5"/>
  <c r="D1059" i="7" s="1"/>
  <c r="C1059" i="5"/>
  <c r="C1059" i="7" s="1"/>
  <c r="B1059" i="5"/>
  <c r="B1059" i="7" s="1"/>
  <c r="L1058" i="5"/>
  <c r="L1058" i="7" s="1"/>
  <c r="J1058" i="5"/>
  <c r="J1058" i="7" s="1"/>
  <c r="I1058" i="5"/>
  <c r="I1058" i="7" s="1"/>
  <c r="H1058" i="5"/>
  <c r="H1058" i="7" s="1"/>
  <c r="G1058" i="5"/>
  <c r="G1058" i="7" s="1"/>
  <c r="F1058" i="5"/>
  <c r="F1058" i="7" s="1"/>
  <c r="E1058" i="5"/>
  <c r="D1058" i="5"/>
  <c r="D1058" i="7" s="1"/>
  <c r="C1058" i="5"/>
  <c r="C1058" i="7" s="1"/>
  <c r="B1058" i="5"/>
  <c r="B1058" i="7" s="1"/>
  <c r="J1057" i="5"/>
  <c r="J1057" i="7" s="1"/>
  <c r="I1057" i="5"/>
  <c r="I1057" i="7" s="1"/>
  <c r="H1057" i="5"/>
  <c r="H1057" i="7" s="1"/>
  <c r="G1057" i="5"/>
  <c r="G1057" i="7" s="1"/>
  <c r="F1057" i="5"/>
  <c r="E1057" i="5"/>
  <c r="D1057" i="5"/>
  <c r="D1057" i="7" s="1"/>
  <c r="C1057" i="5"/>
  <c r="C1057" i="7" s="1"/>
  <c r="B1057" i="5"/>
  <c r="B1057" i="7" s="1"/>
  <c r="L1056" i="5"/>
  <c r="L1056" i="7" s="1"/>
  <c r="J1056" i="5"/>
  <c r="J1056" i="7" s="1"/>
  <c r="I1056" i="5"/>
  <c r="I1056" i="7" s="1"/>
  <c r="H1056" i="5"/>
  <c r="H1056" i="7" s="1"/>
  <c r="G1056" i="5"/>
  <c r="G1056" i="7" s="1"/>
  <c r="F1056" i="5"/>
  <c r="F1056" i="7" s="1"/>
  <c r="E1056" i="5"/>
  <c r="D1056" i="5"/>
  <c r="D1056" i="7" s="1"/>
  <c r="C1056" i="5"/>
  <c r="C1056" i="7" s="1"/>
  <c r="B1056" i="5"/>
  <c r="B1056" i="7" s="1"/>
  <c r="L1055" i="5"/>
  <c r="L1055" i="7" s="1"/>
  <c r="K1055" i="5"/>
  <c r="K1055" i="7" s="1"/>
  <c r="J1055" i="5"/>
  <c r="J1055" i="7" s="1"/>
  <c r="I1055" i="5"/>
  <c r="I1055" i="7" s="1"/>
  <c r="H1055" i="5"/>
  <c r="H1055" i="7" s="1"/>
  <c r="G1055" i="5"/>
  <c r="G1055" i="7" s="1"/>
  <c r="F1055" i="5"/>
  <c r="F1055" i="7" s="1"/>
  <c r="E1055" i="5"/>
  <c r="E1055" i="7" s="1"/>
  <c r="D1055" i="5"/>
  <c r="D1055" i="7" s="1"/>
  <c r="C1055" i="5"/>
  <c r="C1055" i="7" s="1"/>
  <c r="B1055" i="5"/>
  <c r="B1055" i="7" s="1"/>
  <c r="K1054" i="5"/>
  <c r="K1054" i="7" s="1"/>
  <c r="J1054" i="5"/>
  <c r="J1054" i="7" s="1"/>
  <c r="I1054" i="5"/>
  <c r="I1054" i="7" s="1"/>
  <c r="H1054" i="5"/>
  <c r="H1054" i="7" s="1"/>
  <c r="G1054" i="5"/>
  <c r="G1054" i="7" s="1"/>
  <c r="F1054" i="5"/>
  <c r="F1054" i="7" s="1"/>
  <c r="E1054" i="5"/>
  <c r="E1054" i="7" s="1"/>
  <c r="D1054" i="5"/>
  <c r="D1054" i="7" s="1"/>
  <c r="C1054" i="5"/>
  <c r="C1054" i="7" s="1"/>
  <c r="B1054" i="5"/>
  <c r="B1054" i="7" s="1"/>
  <c r="L1053" i="5"/>
  <c r="L1053" i="7" s="1"/>
  <c r="J1053" i="5"/>
  <c r="J1053" i="7" s="1"/>
  <c r="I1053" i="5"/>
  <c r="I1053" i="7" s="1"/>
  <c r="H1053" i="5"/>
  <c r="H1053" i="7" s="1"/>
  <c r="G1053" i="5"/>
  <c r="G1053" i="7" s="1"/>
  <c r="F1053" i="5"/>
  <c r="F1053" i="7" s="1"/>
  <c r="E1053" i="5"/>
  <c r="E1053" i="7" s="1"/>
  <c r="D1053" i="5"/>
  <c r="D1053" i="7" s="1"/>
  <c r="C1053" i="5"/>
  <c r="C1053" i="7" s="1"/>
  <c r="B1053" i="5"/>
  <c r="B1053" i="7" s="1"/>
  <c r="L1052" i="5"/>
  <c r="L1052" i="7" s="1"/>
  <c r="J1052" i="5"/>
  <c r="J1052" i="7" s="1"/>
  <c r="I1052" i="5"/>
  <c r="I1052" i="7" s="1"/>
  <c r="H1052" i="5"/>
  <c r="H1052" i="7" s="1"/>
  <c r="G1052" i="5"/>
  <c r="G1052" i="7" s="1"/>
  <c r="F1052" i="5"/>
  <c r="F1052" i="7" s="1"/>
  <c r="E1052" i="5"/>
  <c r="D1052" i="5"/>
  <c r="D1052" i="7" s="1"/>
  <c r="C1052" i="5"/>
  <c r="C1052" i="7" s="1"/>
  <c r="B1052" i="5"/>
  <c r="B1052" i="7" s="1"/>
  <c r="L1051" i="5"/>
  <c r="L1051" i="7" s="1"/>
  <c r="K1051" i="5"/>
  <c r="K1051" i="7" s="1"/>
  <c r="J1051" i="5"/>
  <c r="J1051" i="7" s="1"/>
  <c r="I1051" i="5"/>
  <c r="I1051" i="7" s="1"/>
  <c r="H1051" i="5"/>
  <c r="H1051" i="7" s="1"/>
  <c r="G1051" i="5"/>
  <c r="G1051" i="7" s="1"/>
  <c r="F1051" i="5"/>
  <c r="F1051" i="7" s="1"/>
  <c r="E1051" i="5"/>
  <c r="E1051" i="7" s="1"/>
  <c r="D1051" i="5"/>
  <c r="D1051" i="7" s="1"/>
  <c r="C1051" i="5"/>
  <c r="C1051" i="7" s="1"/>
  <c r="B1051" i="5"/>
  <c r="B1051" i="7" s="1"/>
  <c r="K1050" i="5"/>
  <c r="K1050" i="7" s="1"/>
  <c r="J1050" i="5"/>
  <c r="J1050" i="7" s="1"/>
  <c r="I1050" i="5"/>
  <c r="I1050" i="7" s="1"/>
  <c r="H1050" i="5"/>
  <c r="H1050" i="7" s="1"/>
  <c r="G1050" i="5"/>
  <c r="G1050" i="7" s="1"/>
  <c r="F1050" i="5"/>
  <c r="F1050" i="7" s="1"/>
  <c r="E1050" i="5"/>
  <c r="E1050" i="7" s="1"/>
  <c r="D1050" i="5"/>
  <c r="D1050" i="7" s="1"/>
  <c r="C1050" i="5"/>
  <c r="C1050" i="7" s="1"/>
  <c r="B1050" i="5"/>
  <c r="B1050" i="7" s="1"/>
  <c r="K1049" i="5"/>
  <c r="K1049" i="7" s="1"/>
  <c r="J1049" i="5"/>
  <c r="J1049" i="7" s="1"/>
  <c r="I1049" i="5"/>
  <c r="I1049" i="7" s="1"/>
  <c r="H1049" i="5"/>
  <c r="H1049" i="7" s="1"/>
  <c r="G1049" i="5"/>
  <c r="G1049" i="7" s="1"/>
  <c r="F1049" i="5"/>
  <c r="F1049" i="7" s="1"/>
  <c r="E1049" i="5"/>
  <c r="E1049" i="7" s="1"/>
  <c r="D1049" i="5"/>
  <c r="D1049" i="7" s="1"/>
  <c r="C1049" i="5"/>
  <c r="C1049" i="7" s="1"/>
  <c r="B1049" i="5"/>
  <c r="B1049" i="7" s="1"/>
  <c r="K1048" i="5"/>
  <c r="K1048" i="7" s="1"/>
  <c r="J1048" i="5"/>
  <c r="J1048" i="7" s="1"/>
  <c r="I1048" i="5"/>
  <c r="I1048" i="7" s="1"/>
  <c r="H1048" i="5"/>
  <c r="H1048" i="7" s="1"/>
  <c r="G1048" i="5"/>
  <c r="G1048" i="7" s="1"/>
  <c r="F1048" i="5"/>
  <c r="E1048" i="5"/>
  <c r="E1048" i="7" s="1"/>
  <c r="D1048" i="5"/>
  <c r="D1048" i="7" s="1"/>
  <c r="C1048" i="5"/>
  <c r="C1048" i="7" s="1"/>
  <c r="B1048" i="5"/>
  <c r="B1048" i="7" s="1"/>
  <c r="K1047" i="5"/>
  <c r="K1047" i="7" s="1"/>
  <c r="J1047" i="5"/>
  <c r="J1047" i="7" s="1"/>
  <c r="I1047" i="5"/>
  <c r="I1047" i="7" s="1"/>
  <c r="H1047" i="5"/>
  <c r="H1047" i="7" s="1"/>
  <c r="G1047" i="5"/>
  <c r="G1047" i="7" s="1"/>
  <c r="F1047" i="5"/>
  <c r="E1047" i="5"/>
  <c r="E1047" i="7" s="1"/>
  <c r="D1047" i="5"/>
  <c r="D1047" i="7" s="1"/>
  <c r="C1047" i="5"/>
  <c r="C1047" i="7" s="1"/>
  <c r="B1047" i="5"/>
  <c r="B1047" i="7" s="1"/>
  <c r="L1046" i="5"/>
  <c r="L1046" i="7" s="1"/>
  <c r="J1046" i="5"/>
  <c r="J1046" i="7" s="1"/>
  <c r="I1046" i="5"/>
  <c r="I1046" i="7" s="1"/>
  <c r="H1046" i="5"/>
  <c r="H1046" i="7" s="1"/>
  <c r="G1046" i="5"/>
  <c r="G1046" i="7" s="1"/>
  <c r="F1046" i="5"/>
  <c r="F1046" i="7" s="1"/>
  <c r="E1046" i="5"/>
  <c r="D1046" i="5"/>
  <c r="D1046" i="7" s="1"/>
  <c r="C1046" i="5"/>
  <c r="C1046" i="7" s="1"/>
  <c r="B1046" i="5"/>
  <c r="B1046" i="7" s="1"/>
  <c r="L1045" i="5"/>
  <c r="L1045" i="7" s="1"/>
  <c r="J1045" i="5"/>
  <c r="J1045" i="7" s="1"/>
  <c r="I1045" i="5"/>
  <c r="I1045" i="7" s="1"/>
  <c r="H1045" i="5"/>
  <c r="H1045" i="7" s="1"/>
  <c r="G1045" i="5"/>
  <c r="G1045" i="7" s="1"/>
  <c r="F1045" i="5"/>
  <c r="F1045" i="7" s="1"/>
  <c r="E1045" i="5"/>
  <c r="E1045" i="7" s="1"/>
  <c r="D1045" i="5"/>
  <c r="D1045" i="7" s="1"/>
  <c r="C1045" i="5"/>
  <c r="C1045" i="7" s="1"/>
  <c r="B1045" i="5"/>
  <c r="B1045" i="7" s="1"/>
  <c r="L1044" i="5"/>
  <c r="L1044" i="7" s="1"/>
  <c r="K1044" i="5"/>
  <c r="K1044" i="7" s="1"/>
  <c r="J1044" i="5"/>
  <c r="J1044" i="7" s="1"/>
  <c r="I1044" i="5"/>
  <c r="I1044" i="7" s="1"/>
  <c r="H1044" i="5"/>
  <c r="H1044" i="7" s="1"/>
  <c r="G1044" i="5"/>
  <c r="G1044" i="7" s="1"/>
  <c r="F1044" i="5"/>
  <c r="F1044" i="7" s="1"/>
  <c r="E1044" i="5"/>
  <c r="E1044" i="7" s="1"/>
  <c r="D1044" i="5"/>
  <c r="D1044" i="7" s="1"/>
  <c r="C1044" i="5"/>
  <c r="C1044" i="7" s="1"/>
  <c r="B1044" i="5"/>
  <c r="B1044" i="7" s="1"/>
  <c r="J1043" i="5"/>
  <c r="J1043" i="7" s="1"/>
  <c r="I1043" i="5"/>
  <c r="I1043" i="7" s="1"/>
  <c r="H1043" i="5"/>
  <c r="H1043" i="7" s="1"/>
  <c r="G1043" i="5"/>
  <c r="G1043" i="7" s="1"/>
  <c r="F1043" i="5"/>
  <c r="E1043" i="5"/>
  <c r="D1043" i="5"/>
  <c r="D1043" i="7" s="1"/>
  <c r="C1043" i="5"/>
  <c r="C1043" i="7" s="1"/>
  <c r="B1043" i="5"/>
  <c r="B1043" i="7" s="1"/>
  <c r="L1042" i="5"/>
  <c r="L1042" i="7" s="1"/>
  <c r="J1042" i="5"/>
  <c r="J1042" i="7" s="1"/>
  <c r="I1042" i="5"/>
  <c r="I1042" i="7" s="1"/>
  <c r="H1042" i="5"/>
  <c r="H1042" i="7" s="1"/>
  <c r="G1042" i="5"/>
  <c r="G1042" i="7" s="1"/>
  <c r="F1042" i="5"/>
  <c r="F1042" i="7" s="1"/>
  <c r="E1042" i="5"/>
  <c r="D1042" i="5"/>
  <c r="D1042" i="7" s="1"/>
  <c r="C1042" i="5"/>
  <c r="C1042" i="7" s="1"/>
  <c r="B1042" i="5"/>
  <c r="B1042" i="7" s="1"/>
  <c r="L1041" i="5"/>
  <c r="L1041" i="7" s="1"/>
  <c r="K1041" i="5"/>
  <c r="K1041" i="7" s="1"/>
  <c r="J1041" i="5"/>
  <c r="J1041" i="7" s="1"/>
  <c r="I1041" i="5"/>
  <c r="I1041" i="7" s="1"/>
  <c r="H1041" i="5"/>
  <c r="H1041" i="7" s="1"/>
  <c r="G1041" i="5"/>
  <c r="G1041" i="7" s="1"/>
  <c r="F1041" i="5"/>
  <c r="F1041" i="7" s="1"/>
  <c r="E1041" i="5"/>
  <c r="E1041" i="7" s="1"/>
  <c r="D1041" i="5"/>
  <c r="D1041" i="7" s="1"/>
  <c r="C1041" i="5"/>
  <c r="C1041" i="7" s="1"/>
  <c r="B1041" i="5"/>
  <c r="B1041" i="7" s="1"/>
  <c r="L1040" i="5"/>
  <c r="L1040" i="7" s="1"/>
  <c r="K1040" i="5"/>
  <c r="K1040" i="7" s="1"/>
  <c r="J1040" i="5"/>
  <c r="J1040" i="7" s="1"/>
  <c r="I1040" i="5"/>
  <c r="I1040" i="7" s="1"/>
  <c r="H1040" i="5"/>
  <c r="H1040" i="7" s="1"/>
  <c r="G1040" i="5"/>
  <c r="G1040" i="7" s="1"/>
  <c r="F1040" i="5"/>
  <c r="F1040" i="7" s="1"/>
  <c r="E1040" i="5"/>
  <c r="E1040" i="7" s="1"/>
  <c r="D1040" i="5"/>
  <c r="D1040" i="7" s="1"/>
  <c r="C1040" i="5"/>
  <c r="C1040" i="7" s="1"/>
  <c r="B1040" i="5"/>
  <c r="B1040" i="7" s="1"/>
  <c r="L1039" i="5"/>
  <c r="L1039" i="7" s="1"/>
  <c r="K1039" i="5"/>
  <c r="K1039" i="7" s="1"/>
  <c r="J1039" i="5"/>
  <c r="J1039" i="7" s="1"/>
  <c r="I1039" i="5"/>
  <c r="I1039" i="7" s="1"/>
  <c r="H1039" i="5"/>
  <c r="H1039" i="7" s="1"/>
  <c r="G1039" i="5"/>
  <c r="G1039" i="7" s="1"/>
  <c r="F1039" i="5"/>
  <c r="F1039" i="7" s="1"/>
  <c r="E1039" i="5"/>
  <c r="E1039" i="7" s="1"/>
  <c r="D1039" i="5"/>
  <c r="D1039" i="7" s="1"/>
  <c r="C1039" i="5"/>
  <c r="C1039" i="7" s="1"/>
  <c r="B1039" i="5"/>
  <c r="B1039" i="7" s="1"/>
  <c r="J1038" i="5"/>
  <c r="J1038" i="7" s="1"/>
  <c r="I1038" i="5"/>
  <c r="I1038" i="7" s="1"/>
  <c r="H1038" i="5"/>
  <c r="H1038" i="7" s="1"/>
  <c r="G1038" i="5"/>
  <c r="G1038" i="7" s="1"/>
  <c r="F1038" i="5"/>
  <c r="E1038" i="5"/>
  <c r="D1038" i="5"/>
  <c r="D1038" i="7" s="1"/>
  <c r="C1038" i="5"/>
  <c r="C1038" i="7" s="1"/>
  <c r="B1038" i="5"/>
  <c r="B1038" i="7" s="1"/>
  <c r="J1037" i="5"/>
  <c r="J1037" i="7" s="1"/>
  <c r="I1037" i="5"/>
  <c r="I1037" i="7" s="1"/>
  <c r="H1037" i="5"/>
  <c r="H1037" i="7" s="1"/>
  <c r="G1037" i="5"/>
  <c r="G1037" i="7" s="1"/>
  <c r="F1037" i="5"/>
  <c r="F1037" i="7" s="1"/>
  <c r="E1037" i="5"/>
  <c r="E1037" i="7" s="1"/>
  <c r="D1037" i="5"/>
  <c r="D1037" i="7" s="1"/>
  <c r="C1037" i="5"/>
  <c r="C1037" i="7" s="1"/>
  <c r="B1037" i="5"/>
  <c r="B1037" i="7" s="1"/>
  <c r="L1036" i="5"/>
  <c r="L1036" i="7" s="1"/>
  <c r="K1036" i="5"/>
  <c r="K1036" i="7" s="1"/>
  <c r="J1036" i="5"/>
  <c r="J1036" i="7" s="1"/>
  <c r="I1036" i="5"/>
  <c r="I1036" i="7" s="1"/>
  <c r="H1036" i="5"/>
  <c r="H1036" i="7" s="1"/>
  <c r="G1036" i="5"/>
  <c r="G1036" i="7" s="1"/>
  <c r="F1036" i="5"/>
  <c r="F1036" i="7" s="1"/>
  <c r="E1036" i="5"/>
  <c r="E1036" i="7" s="1"/>
  <c r="D1036" i="5"/>
  <c r="D1036" i="7" s="1"/>
  <c r="C1036" i="5"/>
  <c r="C1036" i="7" s="1"/>
  <c r="B1036" i="5"/>
  <c r="B1036" i="7" s="1"/>
  <c r="L1035" i="5"/>
  <c r="L1035" i="7" s="1"/>
  <c r="K1035" i="5"/>
  <c r="K1035" i="7" s="1"/>
  <c r="J1035" i="5"/>
  <c r="J1035" i="7" s="1"/>
  <c r="I1035" i="5"/>
  <c r="I1035" i="7" s="1"/>
  <c r="H1035" i="5"/>
  <c r="H1035" i="7" s="1"/>
  <c r="G1035" i="5"/>
  <c r="G1035" i="7" s="1"/>
  <c r="F1035" i="5"/>
  <c r="F1035" i="7" s="1"/>
  <c r="E1035" i="5"/>
  <c r="E1035" i="7" s="1"/>
  <c r="D1035" i="5"/>
  <c r="D1035" i="7" s="1"/>
  <c r="C1035" i="5"/>
  <c r="C1035" i="7" s="1"/>
  <c r="B1035" i="5"/>
  <c r="B1035" i="7" s="1"/>
  <c r="J1034" i="5"/>
  <c r="J1034" i="7" s="1"/>
  <c r="I1034" i="5"/>
  <c r="I1034" i="7" s="1"/>
  <c r="H1034" i="5"/>
  <c r="H1034" i="7" s="1"/>
  <c r="G1034" i="5"/>
  <c r="G1034" i="7" s="1"/>
  <c r="F1034" i="5"/>
  <c r="E1034" i="5"/>
  <c r="D1034" i="5"/>
  <c r="D1034" i="7" s="1"/>
  <c r="C1034" i="5"/>
  <c r="C1034" i="7" s="1"/>
  <c r="B1034" i="5"/>
  <c r="B1034" i="7" s="1"/>
  <c r="J1033" i="5"/>
  <c r="J1033" i="7" s="1"/>
  <c r="I1033" i="5"/>
  <c r="I1033" i="7" s="1"/>
  <c r="H1033" i="5"/>
  <c r="H1033" i="7" s="1"/>
  <c r="G1033" i="5"/>
  <c r="G1033" i="7" s="1"/>
  <c r="F1033" i="5"/>
  <c r="E1033" i="5"/>
  <c r="E1033" i="7" s="1"/>
  <c r="D1033" i="5"/>
  <c r="D1033" i="7" s="1"/>
  <c r="C1033" i="5"/>
  <c r="C1033" i="7" s="1"/>
  <c r="B1033" i="5"/>
  <c r="B1033" i="7" s="1"/>
  <c r="L1032" i="5"/>
  <c r="L1032" i="7" s="1"/>
  <c r="K1032" i="5"/>
  <c r="K1032" i="7" s="1"/>
  <c r="J1032" i="5"/>
  <c r="J1032" i="7" s="1"/>
  <c r="I1032" i="5"/>
  <c r="I1032" i="7" s="1"/>
  <c r="H1032" i="5"/>
  <c r="H1032" i="7" s="1"/>
  <c r="G1032" i="5"/>
  <c r="G1032" i="7" s="1"/>
  <c r="F1032" i="5"/>
  <c r="F1032" i="7" s="1"/>
  <c r="E1032" i="5"/>
  <c r="E1032" i="7" s="1"/>
  <c r="D1032" i="5"/>
  <c r="D1032" i="7" s="1"/>
  <c r="C1032" i="5"/>
  <c r="C1032" i="7" s="1"/>
  <c r="B1032" i="5"/>
  <c r="B1032" i="7" s="1"/>
  <c r="L1031" i="5"/>
  <c r="L1031" i="7" s="1"/>
  <c r="K1031" i="5"/>
  <c r="K1031" i="7" s="1"/>
  <c r="J1031" i="5"/>
  <c r="J1031" i="7" s="1"/>
  <c r="I1031" i="5"/>
  <c r="I1031" i="7" s="1"/>
  <c r="H1031" i="5"/>
  <c r="H1031" i="7" s="1"/>
  <c r="G1031" i="5"/>
  <c r="G1031" i="7" s="1"/>
  <c r="F1031" i="5"/>
  <c r="F1031" i="7" s="1"/>
  <c r="E1031" i="5"/>
  <c r="E1031" i="7" s="1"/>
  <c r="D1031" i="5"/>
  <c r="D1031" i="7" s="1"/>
  <c r="C1031" i="5"/>
  <c r="C1031" i="7" s="1"/>
  <c r="B1031" i="5"/>
  <c r="B1031" i="7" s="1"/>
  <c r="J1030" i="5"/>
  <c r="J1030" i="7" s="1"/>
  <c r="I1030" i="5"/>
  <c r="I1030" i="7" s="1"/>
  <c r="H1030" i="5"/>
  <c r="H1030" i="7" s="1"/>
  <c r="G1030" i="5"/>
  <c r="G1030" i="7" s="1"/>
  <c r="F1030" i="5"/>
  <c r="E1030" i="5"/>
  <c r="E1030" i="7" s="1"/>
  <c r="D1030" i="5"/>
  <c r="D1030" i="7" s="1"/>
  <c r="C1030" i="5"/>
  <c r="C1030" i="7" s="1"/>
  <c r="B1030" i="5"/>
  <c r="B1030" i="7" s="1"/>
  <c r="J1029" i="5"/>
  <c r="J1029" i="7" s="1"/>
  <c r="I1029" i="5"/>
  <c r="I1029" i="7" s="1"/>
  <c r="H1029" i="5"/>
  <c r="H1029" i="7" s="1"/>
  <c r="G1029" i="5"/>
  <c r="G1029" i="7" s="1"/>
  <c r="F1029" i="5"/>
  <c r="E1029" i="5"/>
  <c r="D1029" i="5"/>
  <c r="D1029" i="7" s="1"/>
  <c r="C1029" i="5"/>
  <c r="C1029" i="7" s="1"/>
  <c r="B1029" i="5"/>
  <c r="B1029" i="7" s="1"/>
  <c r="J1028" i="5"/>
  <c r="J1028" i="7" s="1"/>
  <c r="I1028" i="5"/>
  <c r="I1028" i="7" s="1"/>
  <c r="H1028" i="5"/>
  <c r="H1028" i="7" s="1"/>
  <c r="G1028" i="5"/>
  <c r="G1028" i="7" s="1"/>
  <c r="F1028" i="5"/>
  <c r="F1028" i="7" s="1"/>
  <c r="E1028" i="5"/>
  <c r="D1028" i="5"/>
  <c r="D1028" i="7" s="1"/>
  <c r="C1028" i="5"/>
  <c r="C1028" i="7" s="1"/>
  <c r="B1028" i="5"/>
  <c r="B1028" i="7" s="1"/>
  <c r="L1027" i="5"/>
  <c r="L1027" i="7" s="1"/>
  <c r="K1027" i="5"/>
  <c r="K1027" i="7" s="1"/>
  <c r="J1027" i="5"/>
  <c r="J1027" i="7" s="1"/>
  <c r="I1027" i="5"/>
  <c r="I1027" i="7" s="1"/>
  <c r="H1027" i="5"/>
  <c r="H1027" i="7" s="1"/>
  <c r="G1027" i="5"/>
  <c r="G1027" i="7" s="1"/>
  <c r="F1027" i="5"/>
  <c r="F1027" i="7" s="1"/>
  <c r="E1027" i="5"/>
  <c r="E1027" i="7" s="1"/>
  <c r="D1027" i="5"/>
  <c r="D1027" i="7" s="1"/>
  <c r="C1027" i="5"/>
  <c r="C1027" i="7" s="1"/>
  <c r="B1027" i="5"/>
  <c r="B1027" i="7" s="1"/>
  <c r="K1026" i="5"/>
  <c r="K1026" i="7" s="1"/>
  <c r="J1026" i="5"/>
  <c r="J1026" i="7" s="1"/>
  <c r="I1026" i="5"/>
  <c r="I1026" i="7" s="1"/>
  <c r="H1026" i="5"/>
  <c r="H1026" i="7" s="1"/>
  <c r="G1026" i="5"/>
  <c r="G1026" i="7" s="1"/>
  <c r="F1026" i="5"/>
  <c r="F1026" i="7" s="1"/>
  <c r="E1026" i="5"/>
  <c r="E1026" i="7" s="1"/>
  <c r="D1026" i="5"/>
  <c r="D1026" i="7" s="1"/>
  <c r="C1026" i="5"/>
  <c r="C1026" i="7" s="1"/>
  <c r="B1026" i="5"/>
  <c r="B1026" i="7" s="1"/>
  <c r="L1025" i="5"/>
  <c r="L1025" i="7" s="1"/>
  <c r="J1025" i="5"/>
  <c r="J1025" i="7" s="1"/>
  <c r="I1025" i="5"/>
  <c r="I1025" i="7" s="1"/>
  <c r="H1025" i="5"/>
  <c r="H1025" i="7" s="1"/>
  <c r="G1025" i="5"/>
  <c r="G1025" i="7" s="1"/>
  <c r="F1025" i="5"/>
  <c r="F1025" i="7" s="1"/>
  <c r="E1025" i="5"/>
  <c r="E1025" i="7" s="1"/>
  <c r="D1025" i="5"/>
  <c r="D1025" i="7" s="1"/>
  <c r="C1025" i="5"/>
  <c r="C1025" i="7" s="1"/>
  <c r="B1025" i="5"/>
  <c r="B1025" i="7" s="1"/>
  <c r="L1024" i="5"/>
  <c r="L1024" i="7" s="1"/>
  <c r="J1024" i="5"/>
  <c r="J1024" i="7" s="1"/>
  <c r="I1024" i="5"/>
  <c r="I1024" i="7" s="1"/>
  <c r="H1024" i="5"/>
  <c r="H1024" i="7" s="1"/>
  <c r="G1024" i="5"/>
  <c r="G1024" i="7" s="1"/>
  <c r="F1024" i="5"/>
  <c r="F1024" i="7" s="1"/>
  <c r="E1024" i="5"/>
  <c r="D1024" i="5"/>
  <c r="D1024" i="7" s="1"/>
  <c r="C1024" i="5"/>
  <c r="C1024" i="7" s="1"/>
  <c r="B1024" i="5"/>
  <c r="B1024" i="7" s="1"/>
  <c r="J1023" i="5"/>
  <c r="J1023" i="7" s="1"/>
  <c r="I1023" i="5"/>
  <c r="I1023" i="7" s="1"/>
  <c r="H1023" i="5"/>
  <c r="H1023" i="7" s="1"/>
  <c r="G1023" i="5"/>
  <c r="G1023" i="7" s="1"/>
  <c r="F1023" i="5"/>
  <c r="F1023" i="7" s="1"/>
  <c r="E1023" i="5"/>
  <c r="E1023" i="7" s="1"/>
  <c r="D1023" i="5"/>
  <c r="D1023" i="7" s="1"/>
  <c r="C1023" i="5"/>
  <c r="C1023" i="7" s="1"/>
  <c r="B1023" i="5"/>
  <c r="B1023" i="7" s="1"/>
  <c r="K1022" i="5"/>
  <c r="K1022" i="7" s="1"/>
  <c r="J1022" i="5"/>
  <c r="J1022" i="7" s="1"/>
  <c r="I1022" i="5"/>
  <c r="I1022" i="7" s="1"/>
  <c r="H1022" i="5"/>
  <c r="H1022" i="7" s="1"/>
  <c r="G1022" i="5"/>
  <c r="G1022" i="7" s="1"/>
  <c r="F1022" i="5"/>
  <c r="E1022" i="5"/>
  <c r="E1022" i="7" s="1"/>
  <c r="D1022" i="5"/>
  <c r="D1022" i="7" s="1"/>
  <c r="C1022" i="5"/>
  <c r="C1022" i="7" s="1"/>
  <c r="B1022" i="5"/>
  <c r="B1022" i="7" s="1"/>
  <c r="L1021" i="5"/>
  <c r="L1021" i="7" s="1"/>
  <c r="J1021" i="5"/>
  <c r="J1021" i="7" s="1"/>
  <c r="I1021" i="5"/>
  <c r="I1021" i="7" s="1"/>
  <c r="H1021" i="5"/>
  <c r="H1021" i="7" s="1"/>
  <c r="G1021" i="5"/>
  <c r="G1021" i="7" s="1"/>
  <c r="F1021" i="5"/>
  <c r="F1021" i="7" s="1"/>
  <c r="E1021" i="5"/>
  <c r="E1021" i="7" s="1"/>
  <c r="D1021" i="5"/>
  <c r="D1021" i="7" s="1"/>
  <c r="C1021" i="5"/>
  <c r="C1021" i="7" s="1"/>
  <c r="B1021" i="5"/>
  <c r="B1021" i="7" s="1"/>
  <c r="K1020" i="5"/>
  <c r="K1020" i="7" s="1"/>
  <c r="J1020" i="5"/>
  <c r="J1020" i="7" s="1"/>
  <c r="I1020" i="5"/>
  <c r="I1020" i="7" s="1"/>
  <c r="H1020" i="5"/>
  <c r="H1020" i="7" s="1"/>
  <c r="G1020" i="5"/>
  <c r="G1020" i="7" s="1"/>
  <c r="F1020" i="5"/>
  <c r="E1020" i="5"/>
  <c r="E1020" i="7" s="1"/>
  <c r="D1020" i="5"/>
  <c r="D1020" i="7" s="1"/>
  <c r="C1020" i="5"/>
  <c r="C1020" i="7" s="1"/>
  <c r="B1020" i="5"/>
  <c r="B1020" i="7" s="1"/>
  <c r="J1019" i="5"/>
  <c r="J1019" i="7" s="1"/>
  <c r="I1019" i="5"/>
  <c r="I1019" i="7" s="1"/>
  <c r="H1019" i="5"/>
  <c r="H1019" i="7" s="1"/>
  <c r="G1019" i="5"/>
  <c r="G1019" i="7" s="1"/>
  <c r="F1019" i="5"/>
  <c r="E1019" i="5"/>
  <c r="E1019" i="7" s="1"/>
  <c r="D1019" i="5"/>
  <c r="D1019" i="7" s="1"/>
  <c r="C1019" i="5"/>
  <c r="C1019" i="7" s="1"/>
  <c r="B1019" i="5"/>
  <c r="B1019" i="7" s="1"/>
  <c r="L1018" i="5"/>
  <c r="L1018" i="7" s="1"/>
  <c r="K1018" i="5"/>
  <c r="K1018" i="7" s="1"/>
  <c r="J1018" i="5"/>
  <c r="J1018" i="7" s="1"/>
  <c r="I1018" i="5"/>
  <c r="I1018" i="7" s="1"/>
  <c r="H1018" i="5"/>
  <c r="H1018" i="7" s="1"/>
  <c r="G1018" i="5"/>
  <c r="G1018" i="7" s="1"/>
  <c r="F1018" i="5"/>
  <c r="F1018" i="7" s="1"/>
  <c r="E1018" i="5"/>
  <c r="E1018" i="7" s="1"/>
  <c r="D1018" i="5"/>
  <c r="D1018" i="7" s="1"/>
  <c r="C1018" i="5"/>
  <c r="C1018" i="7" s="1"/>
  <c r="B1018" i="5"/>
  <c r="B1018" i="7" s="1"/>
  <c r="L1017" i="5"/>
  <c r="L1017" i="7" s="1"/>
  <c r="J1017" i="5"/>
  <c r="J1017" i="7" s="1"/>
  <c r="I1017" i="5"/>
  <c r="I1017" i="7" s="1"/>
  <c r="H1017" i="5"/>
  <c r="H1017" i="7" s="1"/>
  <c r="G1017" i="5"/>
  <c r="G1017" i="7" s="1"/>
  <c r="F1017" i="5"/>
  <c r="F1017" i="7" s="1"/>
  <c r="E1017" i="5"/>
  <c r="E1017" i="7" s="1"/>
  <c r="D1017" i="5"/>
  <c r="D1017" i="7" s="1"/>
  <c r="C1017" i="5"/>
  <c r="C1017" i="7" s="1"/>
  <c r="B1017" i="5"/>
  <c r="B1017" i="7" s="1"/>
  <c r="L1016" i="5"/>
  <c r="L1016" i="7" s="1"/>
  <c r="K1016" i="5"/>
  <c r="K1016" i="7" s="1"/>
  <c r="J1016" i="5"/>
  <c r="J1016" i="7" s="1"/>
  <c r="I1016" i="5"/>
  <c r="I1016" i="7" s="1"/>
  <c r="H1016" i="5"/>
  <c r="H1016" i="7" s="1"/>
  <c r="G1016" i="5"/>
  <c r="G1016" i="7" s="1"/>
  <c r="F1016" i="5"/>
  <c r="F1016" i="7" s="1"/>
  <c r="E1016" i="5"/>
  <c r="E1016" i="7" s="1"/>
  <c r="D1016" i="5"/>
  <c r="D1016" i="7" s="1"/>
  <c r="C1016" i="5"/>
  <c r="C1016" i="7" s="1"/>
  <c r="B1016" i="5"/>
  <c r="B1016" i="7" s="1"/>
  <c r="J1015" i="5"/>
  <c r="J1015" i="7" s="1"/>
  <c r="I1015" i="5"/>
  <c r="I1015" i="7" s="1"/>
  <c r="H1015" i="5"/>
  <c r="H1015" i="7" s="1"/>
  <c r="G1015" i="5"/>
  <c r="G1015" i="7" s="1"/>
  <c r="F1015" i="5"/>
  <c r="E1015" i="5"/>
  <c r="D1015" i="5"/>
  <c r="D1015" i="7" s="1"/>
  <c r="C1015" i="5"/>
  <c r="C1015" i="7" s="1"/>
  <c r="B1015" i="5"/>
  <c r="B1015" i="7" s="1"/>
  <c r="J1014" i="5"/>
  <c r="J1014" i="7" s="1"/>
  <c r="I1014" i="5"/>
  <c r="I1014" i="7" s="1"/>
  <c r="H1014" i="5"/>
  <c r="H1014" i="7" s="1"/>
  <c r="G1014" i="5"/>
  <c r="G1014" i="7" s="1"/>
  <c r="F1014" i="5"/>
  <c r="E1014" i="5"/>
  <c r="D1014" i="5"/>
  <c r="D1014" i="7" s="1"/>
  <c r="C1014" i="5"/>
  <c r="C1014" i="7" s="1"/>
  <c r="B1014" i="5"/>
  <c r="B1014" i="7" s="1"/>
  <c r="L1013" i="5"/>
  <c r="L1013" i="7" s="1"/>
  <c r="K1013" i="5"/>
  <c r="K1013" i="7" s="1"/>
  <c r="J1013" i="5"/>
  <c r="J1013" i="7" s="1"/>
  <c r="I1013" i="5"/>
  <c r="I1013" i="7" s="1"/>
  <c r="H1013" i="5"/>
  <c r="H1013" i="7" s="1"/>
  <c r="G1013" i="5"/>
  <c r="G1013" i="7" s="1"/>
  <c r="F1013" i="5"/>
  <c r="F1013" i="7" s="1"/>
  <c r="E1013" i="5"/>
  <c r="E1013" i="7" s="1"/>
  <c r="D1013" i="5"/>
  <c r="D1013" i="7" s="1"/>
  <c r="C1013" i="5"/>
  <c r="C1013" i="7" s="1"/>
  <c r="B1013" i="5"/>
  <c r="B1013" i="7" s="1"/>
  <c r="L1012" i="5"/>
  <c r="L1012" i="7" s="1"/>
  <c r="K1012" i="5"/>
  <c r="K1012" i="7" s="1"/>
  <c r="J1012" i="5"/>
  <c r="J1012" i="7" s="1"/>
  <c r="I1012" i="5"/>
  <c r="I1012" i="7" s="1"/>
  <c r="H1012" i="5"/>
  <c r="H1012" i="7" s="1"/>
  <c r="G1012" i="5"/>
  <c r="G1012" i="7" s="1"/>
  <c r="F1012" i="5"/>
  <c r="F1012" i="7" s="1"/>
  <c r="E1012" i="5"/>
  <c r="E1012" i="7" s="1"/>
  <c r="D1012" i="5"/>
  <c r="D1012" i="7" s="1"/>
  <c r="C1012" i="5"/>
  <c r="C1012" i="7" s="1"/>
  <c r="B1012" i="5"/>
  <c r="B1012" i="7" s="1"/>
  <c r="K1011" i="5"/>
  <c r="K1011" i="7" s="1"/>
  <c r="J1011" i="5"/>
  <c r="J1011" i="7" s="1"/>
  <c r="I1011" i="5"/>
  <c r="I1011" i="7" s="1"/>
  <c r="H1011" i="5"/>
  <c r="H1011" i="7" s="1"/>
  <c r="G1011" i="5"/>
  <c r="G1011" i="7" s="1"/>
  <c r="F1011" i="5"/>
  <c r="F1011" i="7" s="1"/>
  <c r="E1011" i="5"/>
  <c r="E1011" i="7" s="1"/>
  <c r="D1011" i="5"/>
  <c r="D1011" i="7" s="1"/>
  <c r="C1011" i="5"/>
  <c r="C1011" i="7" s="1"/>
  <c r="B1011" i="5"/>
  <c r="B1011" i="7" s="1"/>
  <c r="L1010" i="5"/>
  <c r="L1010" i="7" s="1"/>
  <c r="J1010" i="5"/>
  <c r="J1010" i="7" s="1"/>
  <c r="I1010" i="5"/>
  <c r="I1010" i="7" s="1"/>
  <c r="H1010" i="5"/>
  <c r="H1010" i="7" s="1"/>
  <c r="G1010" i="5"/>
  <c r="G1010" i="7" s="1"/>
  <c r="F1010" i="5"/>
  <c r="F1010" i="7" s="1"/>
  <c r="E1010" i="5"/>
  <c r="D1010" i="5"/>
  <c r="D1010" i="7" s="1"/>
  <c r="C1010" i="5"/>
  <c r="C1010" i="7" s="1"/>
  <c r="B1010" i="5"/>
  <c r="B1010" i="7" s="1"/>
  <c r="L1009" i="5"/>
  <c r="L1009" i="7" s="1"/>
  <c r="K1009" i="5"/>
  <c r="K1009" i="7" s="1"/>
  <c r="J1009" i="5"/>
  <c r="J1009" i="7" s="1"/>
  <c r="I1009" i="5"/>
  <c r="I1009" i="7" s="1"/>
  <c r="H1009" i="5"/>
  <c r="H1009" i="7" s="1"/>
  <c r="G1009" i="5"/>
  <c r="G1009" i="7" s="1"/>
  <c r="F1009" i="5"/>
  <c r="F1009" i="7" s="1"/>
  <c r="E1009" i="5"/>
  <c r="E1009" i="7" s="1"/>
  <c r="D1009" i="5"/>
  <c r="D1009" i="7" s="1"/>
  <c r="C1009" i="5"/>
  <c r="C1009" i="7" s="1"/>
  <c r="B1009" i="5"/>
  <c r="B1009" i="7" s="1"/>
  <c r="L1008" i="5"/>
  <c r="L1008" i="7" s="1"/>
  <c r="K1008" i="5"/>
  <c r="K1008" i="7" s="1"/>
  <c r="J1008" i="5"/>
  <c r="J1008" i="7" s="1"/>
  <c r="I1008" i="5"/>
  <c r="I1008" i="7" s="1"/>
  <c r="H1008" i="5"/>
  <c r="H1008" i="7" s="1"/>
  <c r="G1008" i="5"/>
  <c r="G1008" i="7" s="1"/>
  <c r="F1008" i="5"/>
  <c r="F1008" i="7" s="1"/>
  <c r="E1008" i="5"/>
  <c r="E1008" i="7" s="1"/>
  <c r="D1008" i="5"/>
  <c r="D1008" i="7" s="1"/>
  <c r="C1008" i="5"/>
  <c r="C1008" i="7" s="1"/>
  <c r="B1008" i="5"/>
  <c r="B1008" i="7" s="1"/>
  <c r="L1007" i="5"/>
  <c r="L1007" i="7" s="1"/>
  <c r="J1007" i="5"/>
  <c r="J1007" i="7" s="1"/>
  <c r="I1007" i="5"/>
  <c r="I1007" i="7" s="1"/>
  <c r="H1007" i="5"/>
  <c r="H1007" i="7" s="1"/>
  <c r="G1007" i="5"/>
  <c r="G1007" i="7" s="1"/>
  <c r="F1007" i="5"/>
  <c r="F1007" i="7" s="1"/>
  <c r="E1007" i="5"/>
  <c r="E1007" i="7" s="1"/>
  <c r="D1007" i="5"/>
  <c r="D1007" i="7" s="1"/>
  <c r="C1007" i="5"/>
  <c r="C1007" i="7" s="1"/>
  <c r="B1007" i="5"/>
  <c r="B1007" i="7" s="1"/>
  <c r="J1006" i="5"/>
  <c r="J1006" i="7" s="1"/>
  <c r="I1006" i="5"/>
  <c r="I1006" i="7" s="1"/>
  <c r="H1006" i="5"/>
  <c r="H1006" i="7" s="1"/>
  <c r="G1006" i="5"/>
  <c r="G1006" i="7" s="1"/>
  <c r="F1006" i="5"/>
  <c r="E1006" i="5"/>
  <c r="E1006" i="7" s="1"/>
  <c r="D1006" i="5"/>
  <c r="D1006" i="7" s="1"/>
  <c r="C1006" i="5"/>
  <c r="C1006" i="7" s="1"/>
  <c r="B1006" i="5"/>
  <c r="B1006" i="7" s="1"/>
  <c r="K1005" i="5"/>
  <c r="K1005" i="7" s="1"/>
  <c r="J1005" i="5"/>
  <c r="J1005" i="7" s="1"/>
  <c r="I1005" i="5"/>
  <c r="I1005" i="7" s="1"/>
  <c r="H1005" i="5"/>
  <c r="H1005" i="7" s="1"/>
  <c r="G1005" i="5"/>
  <c r="G1005" i="7" s="1"/>
  <c r="F1005" i="5"/>
  <c r="E1005" i="5"/>
  <c r="E1005" i="7" s="1"/>
  <c r="D1005" i="5"/>
  <c r="D1005" i="7" s="1"/>
  <c r="C1005" i="5"/>
  <c r="C1005" i="7" s="1"/>
  <c r="B1005" i="5"/>
  <c r="B1005" i="7" s="1"/>
  <c r="L1004" i="5"/>
  <c r="L1004" i="7" s="1"/>
  <c r="K1004" i="5"/>
  <c r="K1004" i="7" s="1"/>
  <c r="J1004" i="5"/>
  <c r="J1004" i="7" s="1"/>
  <c r="I1004" i="5"/>
  <c r="I1004" i="7" s="1"/>
  <c r="H1004" i="5"/>
  <c r="H1004" i="7" s="1"/>
  <c r="G1004" i="5"/>
  <c r="G1004" i="7" s="1"/>
  <c r="F1004" i="5"/>
  <c r="F1004" i="7" s="1"/>
  <c r="E1004" i="5"/>
  <c r="E1004" i="7" s="1"/>
  <c r="D1004" i="5"/>
  <c r="D1004" i="7" s="1"/>
  <c r="C1004" i="5"/>
  <c r="C1004" i="7" s="1"/>
  <c r="B1004" i="5"/>
  <c r="B1004" i="7" s="1"/>
  <c r="L1003" i="5"/>
  <c r="L1003" i="7" s="1"/>
  <c r="J1003" i="5"/>
  <c r="J1003" i="7" s="1"/>
  <c r="I1003" i="5"/>
  <c r="I1003" i="7" s="1"/>
  <c r="H1003" i="5"/>
  <c r="H1003" i="7" s="1"/>
  <c r="G1003" i="5"/>
  <c r="G1003" i="7" s="1"/>
  <c r="F1003" i="5"/>
  <c r="F1003" i="7" s="1"/>
  <c r="E1003" i="5"/>
  <c r="E1003" i="7" s="1"/>
  <c r="D1003" i="5"/>
  <c r="D1003" i="7" s="1"/>
  <c r="C1003" i="5"/>
  <c r="C1003" i="7" s="1"/>
  <c r="B1003" i="5"/>
  <c r="B1003" i="7" s="1"/>
  <c r="L1002" i="5"/>
  <c r="L1002" i="7" s="1"/>
  <c r="J1002" i="5"/>
  <c r="J1002" i="7" s="1"/>
  <c r="I1002" i="5"/>
  <c r="I1002" i="7" s="1"/>
  <c r="H1002" i="5"/>
  <c r="H1002" i="7" s="1"/>
  <c r="G1002" i="5"/>
  <c r="G1002" i="7" s="1"/>
  <c r="F1002" i="5"/>
  <c r="F1002" i="7" s="1"/>
  <c r="E1002" i="5"/>
  <c r="E1002" i="7" s="1"/>
  <c r="D1002" i="5"/>
  <c r="D1002" i="7" s="1"/>
  <c r="C1002" i="5"/>
  <c r="C1002" i="7" s="1"/>
  <c r="B1002" i="5"/>
  <c r="B1002" i="7" s="1"/>
  <c r="J1001" i="5"/>
  <c r="J1001" i="7" s="1"/>
  <c r="I1001" i="5"/>
  <c r="I1001" i="7" s="1"/>
  <c r="H1001" i="5"/>
  <c r="H1001" i="7" s="1"/>
  <c r="G1001" i="5"/>
  <c r="G1001" i="7" s="1"/>
  <c r="F1001" i="5"/>
  <c r="E1001" i="5"/>
  <c r="D1001" i="5"/>
  <c r="D1001" i="7" s="1"/>
  <c r="C1001" i="5"/>
  <c r="C1001" i="7" s="1"/>
  <c r="B1001" i="5"/>
  <c r="B1001" i="7" s="1"/>
  <c r="J1000" i="5"/>
  <c r="J1000" i="7" s="1"/>
  <c r="I1000" i="5"/>
  <c r="I1000" i="7" s="1"/>
  <c r="H1000" i="5"/>
  <c r="H1000" i="7" s="1"/>
  <c r="G1000" i="5"/>
  <c r="G1000" i="7" s="1"/>
  <c r="F1000" i="5"/>
  <c r="F1000" i="7" s="1"/>
  <c r="E1000" i="5"/>
  <c r="D1000" i="5"/>
  <c r="D1000" i="7" s="1"/>
  <c r="C1000" i="5"/>
  <c r="C1000" i="7" s="1"/>
  <c r="B1000" i="5"/>
  <c r="B1000" i="7" s="1"/>
  <c r="L999" i="5"/>
  <c r="L999" i="7" s="1"/>
  <c r="K999" i="5"/>
  <c r="K999" i="7" s="1"/>
  <c r="J999" i="5"/>
  <c r="J999" i="7" s="1"/>
  <c r="I999" i="5"/>
  <c r="I999" i="7" s="1"/>
  <c r="H999" i="5"/>
  <c r="H999" i="7" s="1"/>
  <c r="G999" i="5"/>
  <c r="G999" i="7" s="1"/>
  <c r="F999" i="5"/>
  <c r="F999" i="7" s="1"/>
  <c r="E999" i="5"/>
  <c r="E999" i="7" s="1"/>
  <c r="D999" i="5"/>
  <c r="D999" i="7" s="1"/>
  <c r="C999" i="5"/>
  <c r="C999" i="7" s="1"/>
  <c r="B999" i="5"/>
  <c r="B999" i="7" s="1"/>
  <c r="K998" i="5"/>
  <c r="K998" i="7" s="1"/>
  <c r="J998" i="5"/>
  <c r="J998" i="7" s="1"/>
  <c r="I998" i="5"/>
  <c r="I998" i="7" s="1"/>
  <c r="H998" i="5"/>
  <c r="H998" i="7" s="1"/>
  <c r="G998" i="5"/>
  <c r="G998" i="7" s="1"/>
  <c r="F998" i="5"/>
  <c r="F998" i="7" s="1"/>
  <c r="E998" i="5"/>
  <c r="E998" i="7" s="1"/>
  <c r="D998" i="5"/>
  <c r="D998" i="7" s="1"/>
  <c r="C998" i="5"/>
  <c r="C998" i="7" s="1"/>
  <c r="B998" i="5"/>
  <c r="B998" i="7" s="1"/>
  <c r="L997" i="5"/>
  <c r="L997" i="7" s="1"/>
  <c r="J997" i="5"/>
  <c r="J997" i="7" s="1"/>
  <c r="I997" i="5"/>
  <c r="I997" i="7" s="1"/>
  <c r="H997" i="5"/>
  <c r="H997" i="7" s="1"/>
  <c r="G997" i="5"/>
  <c r="G997" i="7" s="1"/>
  <c r="F997" i="5"/>
  <c r="F997" i="7" s="1"/>
  <c r="E997" i="5"/>
  <c r="E997" i="7" s="1"/>
  <c r="D997" i="5"/>
  <c r="D997" i="7" s="1"/>
  <c r="C997" i="5"/>
  <c r="C997" i="7" s="1"/>
  <c r="B997" i="5"/>
  <c r="B997" i="7" s="1"/>
  <c r="L996" i="5"/>
  <c r="L996" i="7" s="1"/>
  <c r="J996" i="5"/>
  <c r="J996" i="7" s="1"/>
  <c r="I996" i="5"/>
  <c r="I996" i="7" s="1"/>
  <c r="H996" i="5"/>
  <c r="H996" i="7" s="1"/>
  <c r="G996" i="5"/>
  <c r="G996" i="7" s="1"/>
  <c r="F996" i="5"/>
  <c r="F996" i="7" s="1"/>
  <c r="E996" i="5"/>
  <c r="D996" i="5"/>
  <c r="D996" i="7" s="1"/>
  <c r="C996" i="5"/>
  <c r="C996" i="7" s="1"/>
  <c r="B996" i="5"/>
  <c r="B996" i="7" s="1"/>
  <c r="L995" i="5"/>
  <c r="L995" i="7" s="1"/>
  <c r="J995" i="5"/>
  <c r="I995" i="5"/>
  <c r="I995" i="7" s="1"/>
  <c r="H995" i="5"/>
  <c r="H995" i="7" s="1"/>
  <c r="G995" i="5"/>
  <c r="G995" i="7" s="1"/>
  <c r="F995" i="5"/>
  <c r="F995" i="7" s="1"/>
  <c r="E995" i="5"/>
  <c r="E995" i="7" s="1"/>
  <c r="D995" i="5"/>
  <c r="D995" i="7" s="1"/>
  <c r="C995" i="5"/>
  <c r="C995" i="7" s="1"/>
  <c r="B995" i="5"/>
  <c r="B995" i="7" s="1"/>
  <c r="L994" i="5"/>
  <c r="L994" i="7" s="1"/>
  <c r="K994" i="5"/>
  <c r="K994" i="7" s="1"/>
  <c r="J994" i="5"/>
  <c r="J994" i="7" s="1"/>
  <c r="I994" i="5"/>
  <c r="I994" i="7" s="1"/>
  <c r="H994" i="5"/>
  <c r="H994" i="7" s="1"/>
  <c r="G994" i="5"/>
  <c r="G994" i="7" s="1"/>
  <c r="F994" i="5"/>
  <c r="F994" i="7" s="1"/>
  <c r="E994" i="5"/>
  <c r="E994" i="7" s="1"/>
  <c r="D994" i="5"/>
  <c r="D994" i="7" s="1"/>
  <c r="C994" i="5"/>
  <c r="C994" i="7" s="1"/>
  <c r="B994" i="5"/>
  <c r="B994" i="7" s="1"/>
  <c r="L993" i="5"/>
  <c r="L993" i="7" s="1"/>
  <c r="J993" i="5"/>
  <c r="J993" i="7" s="1"/>
  <c r="I993" i="5"/>
  <c r="I993" i="7" s="1"/>
  <c r="H993" i="5"/>
  <c r="H993" i="7" s="1"/>
  <c r="G993" i="5"/>
  <c r="G993" i="7" s="1"/>
  <c r="F993" i="5"/>
  <c r="F993" i="7" s="1"/>
  <c r="E993" i="5"/>
  <c r="D993" i="5"/>
  <c r="D993" i="7" s="1"/>
  <c r="C993" i="5"/>
  <c r="C993" i="7" s="1"/>
  <c r="B993" i="5"/>
  <c r="B993" i="7" s="1"/>
  <c r="K992" i="5"/>
  <c r="K992" i="7" s="1"/>
  <c r="J992" i="5"/>
  <c r="J992" i="7" s="1"/>
  <c r="I992" i="5"/>
  <c r="I992" i="7" s="1"/>
  <c r="H992" i="5"/>
  <c r="H992" i="7" s="1"/>
  <c r="G992" i="5"/>
  <c r="G992" i="7" s="1"/>
  <c r="F992" i="5"/>
  <c r="E992" i="5"/>
  <c r="E992" i="7" s="1"/>
  <c r="D992" i="5"/>
  <c r="D992" i="7" s="1"/>
  <c r="C992" i="5"/>
  <c r="C992" i="7" s="1"/>
  <c r="B992" i="5"/>
  <c r="B992" i="7" s="1"/>
  <c r="J991" i="5"/>
  <c r="J991" i="7" s="1"/>
  <c r="I991" i="5"/>
  <c r="I991" i="7" s="1"/>
  <c r="H991" i="5"/>
  <c r="H991" i="7" s="1"/>
  <c r="G991" i="5"/>
  <c r="G991" i="7" s="1"/>
  <c r="F991" i="5"/>
  <c r="E991" i="5"/>
  <c r="E991" i="7" s="1"/>
  <c r="D991" i="5"/>
  <c r="D991" i="7" s="1"/>
  <c r="C991" i="5"/>
  <c r="C991" i="7" s="1"/>
  <c r="B991" i="5"/>
  <c r="B991" i="7" s="1"/>
  <c r="L990" i="5"/>
  <c r="L990" i="7" s="1"/>
  <c r="K990" i="5"/>
  <c r="K990" i="7" s="1"/>
  <c r="J990" i="5"/>
  <c r="J990" i="7" s="1"/>
  <c r="I990" i="5"/>
  <c r="I990" i="7" s="1"/>
  <c r="H990" i="5"/>
  <c r="H990" i="7" s="1"/>
  <c r="G990" i="5"/>
  <c r="G990" i="7" s="1"/>
  <c r="F990" i="5"/>
  <c r="F990" i="7" s="1"/>
  <c r="E990" i="5"/>
  <c r="E990" i="7" s="1"/>
  <c r="D990" i="5"/>
  <c r="D990" i="7" s="1"/>
  <c r="C990" i="5"/>
  <c r="C990" i="7" s="1"/>
  <c r="B990" i="5"/>
  <c r="B990" i="7" s="1"/>
  <c r="L989" i="5"/>
  <c r="L989" i="7" s="1"/>
  <c r="J989" i="5"/>
  <c r="J989" i="7" s="1"/>
  <c r="I989" i="5"/>
  <c r="I989" i="7" s="1"/>
  <c r="H989" i="5"/>
  <c r="H989" i="7" s="1"/>
  <c r="G989" i="5"/>
  <c r="G989" i="7" s="1"/>
  <c r="F989" i="5"/>
  <c r="F989" i="7" s="1"/>
  <c r="E989" i="5"/>
  <c r="D989" i="5"/>
  <c r="D989" i="7" s="1"/>
  <c r="C989" i="5"/>
  <c r="C989" i="7" s="1"/>
  <c r="B989" i="5"/>
  <c r="B989" i="7" s="1"/>
  <c r="L988" i="5"/>
  <c r="L988" i="7" s="1"/>
  <c r="K988" i="5"/>
  <c r="K988" i="7" s="1"/>
  <c r="J988" i="5"/>
  <c r="J988" i="7" s="1"/>
  <c r="I988" i="5"/>
  <c r="I988" i="7" s="1"/>
  <c r="H988" i="5"/>
  <c r="H988" i="7" s="1"/>
  <c r="G988" i="5"/>
  <c r="G988" i="7" s="1"/>
  <c r="F988" i="5"/>
  <c r="F988" i="7" s="1"/>
  <c r="E988" i="5"/>
  <c r="E988" i="7" s="1"/>
  <c r="D988" i="5"/>
  <c r="D988" i="7" s="1"/>
  <c r="C988" i="5"/>
  <c r="C988" i="7" s="1"/>
  <c r="B988" i="5"/>
  <c r="B988" i="7" s="1"/>
  <c r="J987" i="5"/>
  <c r="J987" i="7" s="1"/>
  <c r="I987" i="5"/>
  <c r="I987" i="7" s="1"/>
  <c r="H987" i="5"/>
  <c r="H987" i="7" s="1"/>
  <c r="G987" i="5"/>
  <c r="G987" i="7" s="1"/>
  <c r="F987" i="5"/>
  <c r="E987" i="5"/>
  <c r="D987" i="5"/>
  <c r="D987" i="7" s="1"/>
  <c r="C987" i="5"/>
  <c r="C987" i="7" s="1"/>
  <c r="B987" i="5"/>
  <c r="B987" i="7" s="1"/>
  <c r="J986" i="5"/>
  <c r="J986" i="7" s="1"/>
  <c r="I986" i="5"/>
  <c r="I986" i="7" s="1"/>
  <c r="H986" i="5"/>
  <c r="H986" i="7" s="1"/>
  <c r="G986" i="5"/>
  <c r="G986" i="7" s="1"/>
  <c r="F986" i="5"/>
  <c r="F986" i="7" s="1"/>
  <c r="E986" i="5"/>
  <c r="D986" i="5"/>
  <c r="D986" i="7" s="1"/>
  <c r="C986" i="5"/>
  <c r="C986" i="7" s="1"/>
  <c r="B986" i="5"/>
  <c r="B986" i="7" s="1"/>
  <c r="L985" i="5"/>
  <c r="L985" i="7" s="1"/>
  <c r="K985" i="5"/>
  <c r="K985" i="7" s="1"/>
  <c r="J985" i="5"/>
  <c r="J985" i="7" s="1"/>
  <c r="I985" i="5"/>
  <c r="I985" i="7" s="1"/>
  <c r="H985" i="5"/>
  <c r="H985" i="7" s="1"/>
  <c r="G985" i="5"/>
  <c r="G985" i="7" s="1"/>
  <c r="F985" i="5"/>
  <c r="F985" i="7" s="1"/>
  <c r="E985" i="5"/>
  <c r="E985" i="7" s="1"/>
  <c r="D985" i="5"/>
  <c r="D985" i="7" s="1"/>
  <c r="C985" i="5"/>
  <c r="C985" i="7" s="1"/>
  <c r="B985" i="5"/>
  <c r="B985" i="7" s="1"/>
  <c r="L984" i="5"/>
  <c r="L984" i="7" s="1"/>
  <c r="K984" i="5"/>
  <c r="K984" i="7" s="1"/>
  <c r="J984" i="5"/>
  <c r="J984" i="7" s="1"/>
  <c r="I984" i="5"/>
  <c r="I984" i="7" s="1"/>
  <c r="H984" i="5"/>
  <c r="H984" i="7" s="1"/>
  <c r="G984" i="5"/>
  <c r="G984" i="7" s="1"/>
  <c r="F984" i="5"/>
  <c r="F984" i="7" s="1"/>
  <c r="E984" i="5"/>
  <c r="E984" i="7" s="1"/>
  <c r="D984" i="5"/>
  <c r="D984" i="7" s="1"/>
  <c r="C984" i="5"/>
  <c r="C984" i="7" s="1"/>
  <c r="B984" i="5"/>
  <c r="B984" i="7" s="1"/>
  <c r="J983" i="5"/>
  <c r="J983" i="7" s="1"/>
  <c r="I983" i="5"/>
  <c r="I983" i="7" s="1"/>
  <c r="H983" i="5"/>
  <c r="H983" i="7" s="1"/>
  <c r="G983" i="5"/>
  <c r="G983" i="7" s="1"/>
  <c r="F983" i="5"/>
  <c r="F983" i="7" s="1"/>
  <c r="E983" i="5"/>
  <c r="E983" i="7" s="1"/>
  <c r="D983" i="5"/>
  <c r="D983" i="7" s="1"/>
  <c r="C983" i="5"/>
  <c r="C983" i="7" s="1"/>
  <c r="B983" i="5"/>
  <c r="B983" i="7" s="1"/>
  <c r="J982" i="5"/>
  <c r="J982" i="7" s="1"/>
  <c r="I982" i="5"/>
  <c r="I982" i="7" s="1"/>
  <c r="H982" i="5"/>
  <c r="H982" i="7" s="1"/>
  <c r="G982" i="5"/>
  <c r="G982" i="7" s="1"/>
  <c r="F982" i="5"/>
  <c r="F982" i="7" s="1"/>
  <c r="E982" i="5"/>
  <c r="D982" i="5"/>
  <c r="D982" i="7" s="1"/>
  <c r="C982" i="5"/>
  <c r="C982" i="7" s="1"/>
  <c r="B982" i="5"/>
  <c r="B982" i="7" s="1"/>
  <c r="L981" i="5"/>
  <c r="L981" i="7" s="1"/>
  <c r="J981" i="5"/>
  <c r="J981" i="7" s="1"/>
  <c r="I981" i="5"/>
  <c r="I981" i="7" s="1"/>
  <c r="H981" i="5"/>
  <c r="H981" i="7" s="1"/>
  <c r="G981" i="5"/>
  <c r="G981" i="7" s="1"/>
  <c r="F981" i="5"/>
  <c r="F981" i="7" s="1"/>
  <c r="E981" i="5"/>
  <c r="D981" i="5"/>
  <c r="D981" i="7" s="1"/>
  <c r="C981" i="5"/>
  <c r="C981" i="7" s="1"/>
  <c r="B981" i="5"/>
  <c r="B981" i="7" s="1"/>
  <c r="L980" i="5"/>
  <c r="L980" i="7" s="1"/>
  <c r="K980" i="5"/>
  <c r="K980" i="7" s="1"/>
  <c r="J980" i="5"/>
  <c r="J980" i="7" s="1"/>
  <c r="I980" i="5"/>
  <c r="I980" i="7" s="1"/>
  <c r="H980" i="5"/>
  <c r="H980" i="7" s="1"/>
  <c r="G980" i="5"/>
  <c r="G980" i="7" s="1"/>
  <c r="F980" i="5"/>
  <c r="F980" i="7" s="1"/>
  <c r="E980" i="5"/>
  <c r="E980" i="7" s="1"/>
  <c r="D980" i="5"/>
  <c r="D980" i="7" s="1"/>
  <c r="C980" i="5"/>
  <c r="C980" i="7" s="1"/>
  <c r="B980" i="5"/>
  <c r="B980" i="7" s="1"/>
  <c r="K979" i="5"/>
  <c r="K979" i="7" s="1"/>
  <c r="J979" i="5"/>
  <c r="J979" i="7" s="1"/>
  <c r="I979" i="5"/>
  <c r="I979" i="7" s="1"/>
  <c r="H979" i="5"/>
  <c r="H979" i="7" s="1"/>
  <c r="G979" i="5"/>
  <c r="G979" i="7" s="1"/>
  <c r="F979" i="5"/>
  <c r="F979" i="7" s="1"/>
  <c r="E979" i="5"/>
  <c r="E979" i="7" s="1"/>
  <c r="D979" i="5"/>
  <c r="D979" i="7" s="1"/>
  <c r="C979" i="5"/>
  <c r="C979" i="7" s="1"/>
  <c r="B979" i="5"/>
  <c r="B979" i="7" s="1"/>
  <c r="J978" i="5"/>
  <c r="J978" i="7" s="1"/>
  <c r="I978" i="5"/>
  <c r="I978" i="7" s="1"/>
  <c r="H978" i="5"/>
  <c r="H978" i="7" s="1"/>
  <c r="G978" i="5"/>
  <c r="G978" i="7" s="1"/>
  <c r="F978" i="5"/>
  <c r="E978" i="5"/>
  <c r="E978" i="7" s="1"/>
  <c r="D978" i="5"/>
  <c r="D978" i="7" s="1"/>
  <c r="C978" i="5"/>
  <c r="C978" i="7" s="1"/>
  <c r="B978" i="5"/>
  <c r="B978" i="7" s="1"/>
  <c r="J977" i="5"/>
  <c r="J977" i="7" s="1"/>
  <c r="I977" i="5"/>
  <c r="I977" i="7" s="1"/>
  <c r="H977" i="5"/>
  <c r="H977" i="7" s="1"/>
  <c r="G977" i="5"/>
  <c r="G977" i="7" s="1"/>
  <c r="F977" i="5"/>
  <c r="E977" i="5"/>
  <c r="D977" i="5"/>
  <c r="D977" i="7" s="1"/>
  <c r="C977" i="5"/>
  <c r="C977" i="7" s="1"/>
  <c r="B977" i="5"/>
  <c r="B977" i="7" s="1"/>
  <c r="L976" i="5"/>
  <c r="L976" i="7" s="1"/>
  <c r="K976" i="5"/>
  <c r="K976" i="7" s="1"/>
  <c r="J976" i="5"/>
  <c r="J976" i="7" s="1"/>
  <c r="I976" i="5"/>
  <c r="I976" i="7" s="1"/>
  <c r="H976" i="5"/>
  <c r="H976" i="7" s="1"/>
  <c r="G976" i="5"/>
  <c r="G976" i="7" s="1"/>
  <c r="F976" i="5"/>
  <c r="F976" i="7" s="1"/>
  <c r="E976" i="5"/>
  <c r="E976" i="7" s="1"/>
  <c r="D976" i="5"/>
  <c r="D976" i="7" s="1"/>
  <c r="C976" i="5"/>
  <c r="C976" i="7" s="1"/>
  <c r="B976" i="5"/>
  <c r="B976" i="7" s="1"/>
  <c r="L975" i="5"/>
  <c r="L975" i="7" s="1"/>
  <c r="K975" i="5"/>
  <c r="K975" i="7" s="1"/>
  <c r="J975" i="5"/>
  <c r="J975" i="7" s="1"/>
  <c r="I975" i="5"/>
  <c r="I975" i="7" s="1"/>
  <c r="H975" i="5"/>
  <c r="H975" i="7" s="1"/>
  <c r="G975" i="5"/>
  <c r="G975" i="7" s="1"/>
  <c r="F975" i="5"/>
  <c r="F975" i="7" s="1"/>
  <c r="E975" i="5"/>
  <c r="E975" i="7" s="1"/>
  <c r="D975" i="5"/>
  <c r="D975" i="7" s="1"/>
  <c r="C975" i="5"/>
  <c r="C975" i="7" s="1"/>
  <c r="B975" i="5"/>
  <c r="B975" i="7" s="1"/>
  <c r="J974" i="5"/>
  <c r="J974" i="7" s="1"/>
  <c r="I974" i="5"/>
  <c r="I974" i="7" s="1"/>
  <c r="H974" i="5"/>
  <c r="H974" i="7" s="1"/>
  <c r="G974" i="5"/>
  <c r="G974" i="7" s="1"/>
  <c r="F974" i="5"/>
  <c r="F974" i="7" s="1"/>
  <c r="E974" i="5"/>
  <c r="E974" i="7" s="1"/>
  <c r="D974" i="5"/>
  <c r="D974" i="7" s="1"/>
  <c r="C974" i="5"/>
  <c r="C974" i="7" s="1"/>
  <c r="B974" i="5"/>
  <c r="B974" i="7" s="1"/>
  <c r="J973" i="5"/>
  <c r="J973" i="7" s="1"/>
  <c r="I973" i="5"/>
  <c r="I973" i="7" s="1"/>
  <c r="H973" i="5"/>
  <c r="H973" i="7" s="1"/>
  <c r="G973" i="5"/>
  <c r="G973" i="7" s="1"/>
  <c r="F973" i="5"/>
  <c r="E973" i="5"/>
  <c r="D973" i="5"/>
  <c r="D973" i="7" s="1"/>
  <c r="C973" i="5"/>
  <c r="C973" i="7" s="1"/>
  <c r="B973" i="5"/>
  <c r="B973" i="7" s="1"/>
  <c r="J972" i="5"/>
  <c r="J972" i="7" s="1"/>
  <c r="I972" i="5"/>
  <c r="I972" i="7" s="1"/>
  <c r="H972" i="5"/>
  <c r="H972" i="7" s="1"/>
  <c r="G972" i="5"/>
  <c r="G972" i="7" s="1"/>
  <c r="F972" i="5"/>
  <c r="F972" i="7" s="1"/>
  <c r="E972" i="5"/>
  <c r="D972" i="5"/>
  <c r="D972" i="7" s="1"/>
  <c r="C972" i="5"/>
  <c r="C972" i="7" s="1"/>
  <c r="B972" i="5"/>
  <c r="B972" i="7" s="1"/>
  <c r="L971" i="5"/>
  <c r="L971" i="7" s="1"/>
  <c r="K971" i="5"/>
  <c r="K971" i="7" s="1"/>
  <c r="J971" i="5"/>
  <c r="J971" i="7" s="1"/>
  <c r="I971" i="5"/>
  <c r="I971" i="7" s="1"/>
  <c r="H971" i="5"/>
  <c r="H971" i="7" s="1"/>
  <c r="G971" i="5"/>
  <c r="G971" i="7" s="1"/>
  <c r="F971" i="5"/>
  <c r="F971" i="7" s="1"/>
  <c r="E971" i="5"/>
  <c r="E971" i="7" s="1"/>
  <c r="D971" i="5"/>
  <c r="D971" i="7" s="1"/>
  <c r="C971" i="5"/>
  <c r="C971" i="7" s="1"/>
  <c r="B971" i="5"/>
  <c r="B971" i="7" s="1"/>
  <c r="K970" i="5"/>
  <c r="K970" i="7" s="1"/>
  <c r="J970" i="5"/>
  <c r="J970" i="7" s="1"/>
  <c r="I970" i="5"/>
  <c r="I970" i="7" s="1"/>
  <c r="H970" i="5"/>
  <c r="H970" i="7" s="1"/>
  <c r="G970" i="5"/>
  <c r="G970" i="7" s="1"/>
  <c r="F970" i="5"/>
  <c r="F970" i="7" s="1"/>
  <c r="E970" i="5"/>
  <c r="E970" i="7" s="1"/>
  <c r="D970" i="5"/>
  <c r="D970" i="7" s="1"/>
  <c r="C970" i="5"/>
  <c r="C970" i="7" s="1"/>
  <c r="B970" i="5"/>
  <c r="B970" i="7" s="1"/>
  <c r="K969" i="5"/>
  <c r="K969" i="7" s="1"/>
  <c r="J969" i="5"/>
  <c r="J969" i="7" s="1"/>
  <c r="I969" i="5"/>
  <c r="I969" i="7" s="1"/>
  <c r="H969" i="5"/>
  <c r="H969" i="7" s="1"/>
  <c r="G969" i="5"/>
  <c r="G969" i="7" s="1"/>
  <c r="F969" i="5"/>
  <c r="E969" i="5"/>
  <c r="E969" i="7" s="1"/>
  <c r="D969" i="5"/>
  <c r="D969" i="7" s="1"/>
  <c r="C969" i="5"/>
  <c r="C969" i="7" s="1"/>
  <c r="B969" i="5"/>
  <c r="B969" i="7" s="1"/>
  <c r="J968" i="5"/>
  <c r="J968" i="7" s="1"/>
  <c r="I968" i="5"/>
  <c r="I968" i="7" s="1"/>
  <c r="H968" i="5"/>
  <c r="H968" i="7" s="1"/>
  <c r="G968" i="5"/>
  <c r="G968" i="7" s="1"/>
  <c r="F968" i="5"/>
  <c r="F968" i="7" s="1"/>
  <c r="E968" i="5"/>
  <c r="D968" i="5"/>
  <c r="D968" i="7" s="1"/>
  <c r="C968" i="5"/>
  <c r="C968" i="7" s="1"/>
  <c r="B968" i="5"/>
  <c r="B968" i="7" s="1"/>
  <c r="K967" i="5"/>
  <c r="K967" i="7" s="1"/>
  <c r="J967" i="5"/>
  <c r="J967" i="7" s="1"/>
  <c r="I967" i="5"/>
  <c r="I967" i="7" s="1"/>
  <c r="H967" i="5"/>
  <c r="H967" i="7" s="1"/>
  <c r="G967" i="5"/>
  <c r="G967" i="7" s="1"/>
  <c r="F967" i="5"/>
  <c r="F967" i="7" s="1"/>
  <c r="E967" i="5"/>
  <c r="E967" i="7" s="1"/>
  <c r="D967" i="5"/>
  <c r="D967" i="7" s="1"/>
  <c r="C967" i="5"/>
  <c r="C967" i="7" s="1"/>
  <c r="B967" i="5"/>
  <c r="B967" i="7" s="1"/>
  <c r="K966" i="5"/>
  <c r="K966" i="7" s="1"/>
  <c r="J966" i="5"/>
  <c r="J966" i="7" s="1"/>
  <c r="I966" i="5"/>
  <c r="I966" i="7" s="1"/>
  <c r="H966" i="5"/>
  <c r="H966" i="7" s="1"/>
  <c r="G966" i="5"/>
  <c r="G966" i="7" s="1"/>
  <c r="F966" i="5"/>
  <c r="F966" i="7" s="1"/>
  <c r="E966" i="5"/>
  <c r="E966" i="7" s="1"/>
  <c r="D966" i="5"/>
  <c r="D966" i="7" s="1"/>
  <c r="C966" i="5"/>
  <c r="C966" i="7" s="1"/>
  <c r="B966" i="5"/>
  <c r="B966" i="7" s="1"/>
  <c r="L965" i="5"/>
  <c r="L965" i="7" s="1"/>
  <c r="K965" i="5"/>
  <c r="K965" i="7" s="1"/>
  <c r="J965" i="5"/>
  <c r="J965" i="7" s="1"/>
  <c r="I965" i="5"/>
  <c r="I965" i="7" s="1"/>
  <c r="H965" i="5"/>
  <c r="H965" i="7" s="1"/>
  <c r="G965" i="5"/>
  <c r="G965" i="7" s="1"/>
  <c r="F965" i="5"/>
  <c r="F965" i="7" s="1"/>
  <c r="E965" i="5"/>
  <c r="E965" i="7" s="1"/>
  <c r="D965" i="5"/>
  <c r="D965" i="7" s="1"/>
  <c r="C965" i="5"/>
  <c r="C965" i="7" s="1"/>
  <c r="B965" i="5"/>
  <c r="B965" i="7" s="1"/>
  <c r="K964" i="5"/>
  <c r="K964" i="7" s="1"/>
  <c r="J964" i="5"/>
  <c r="J964" i="7" s="1"/>
  <c r="I964" i="5"/>
  <c r="I964" i="7" s="1"/>
  <c r="H964" i="5"/>
  <c r="H964" i="7" s="1"/>
  <c r="G964" i="5"/>
  <c r="G964" i="7" s="1"/>
  <c r="F964" i="5"/>
  <c r="E964" i="5"/>
  <c r="E964" i="7" s="1"/>
  <c r="D964" i="5"/>
  <c r="D964" i="7" s="1"/>
  <c r="C964" i="5"/>
  <c r="C964" i="7" s="1"/>
  <c r="B964" i="5"/>
  <c r="B964" i="7" s="1"/>
  <c r="K963" i="5"/>
  <c r="K963" i="7" s="1"/>
  <c r="J963" i="5"/>
  <c r="J963" i="7" s="1"/>
  <c r="I963" i="5"/>
  <c r="I963" i="7" s="1"/>
  <c r="H963" i="5"/>
  <c r="H963" i="7" s="1"/>
  <c r="G963" i="5"/>
  <c r="G963" i="7" s="1"/>
  <c r="F963" i="5"/>
  <c r="E963" i="5"/>
  <c r="E963" i="7" s="1"/>
  <c r="D963" i="5"/>
  <c r="D963" i="7" s="1"/>
  <c r="C963" i="5"/>
  <c r="C963" i="7" s="1"/>
  <c r="B963" i="5"/>
  <c r="B963" i="7" s="1"/>
  <c r="L962" i="5"/>
  <c r="L962" i="7" s="1"/>
  <c r="J962" i="5"/>
  <c r="J962" i="7" s="1"/>
  <c r="I962" i="5"/>
  <c r="I962" i="7" s="1"/>
  <c r="H962" i="5"/>
  <c r="H962" i="7" s="1"/>
  <c r="G962" i="5"/>
  <c r="G962" i="7" s="1"/>
  <c r="F962" i="5"/>
  <c r="F962" i="7" s="1"/>
  <c r="E962" i="5"/>
  <c r="E962" i="7" s="1"/>
  <c r="D962" i="5"/>
  <c r="D962" i="7" s="1"/>
  <c r="C962" i="5"/>
  <c r="C962" i="7" s="1"/>
  <c r="B962" i="5"/>
  <c r="B962" i="7" s="1"/>
  <c r="L961" i="5"/>
  <c r="L961" i="7" s="1"/>
  <c r="K961" i="5"/>
  <c r="K961" i="7" s="1"/>
  <c r="J961" i="5"/>
  <c r="J961" i="7" s="1"/>
  <c r="I961" i="5"/>
  <c r="I961" i="7" s="1"/>
  <c r="H961" i="5"/>
  <c r="H961" i="7" s="1"/>
  <c r="G961" i="5"/>
  <c r="G961" i="7" s="1"/>
  <c r="F961" i="5"/>
  <c r="F961" i="7" s="1"/>
  <c r="E961" i="5"/>
  <c r="E961" i="7" s="1"/>
  <c r="D961" i="5"/>
  <c r="D961" i="7" s="1"/>
  <c r="C961" i="5"/>
  <c r="C961" i="7" s="1"/>
  <c r="B961" i="5"/>
  <c r="B961" i="7" s="1"/>
  <c r="L960" i="5"/>
  <c r="L960" i="7" s="1"/>
  <c r="K960" i="5"/>
  <c r="K960" i="7" s="1"/>
  <c r="J960" i="5"/>
  <c r="J960" i="7" s="1"/>
  <c r="I960" i="5"/>
  <c r="I960" i="7" s="1"/>
  <c r="H960" i="5"/>
  <c r="H960" i="7" s="1"/>
  <c r="G960" i="5"/>
  <c r="G960" i="7" s="1"/>
  <c r="F960" i="5"/>
  <c r="F960" i="7" s="1"/>
  <c r="E960" i="5"/>
  <c r="E960" i="7" s="1"/>
  <c r="D960" i="5"/>
  <c r="D960" i="7" s="1"/>
  <c r="C960" i="5"/>
  <c r="C960" i="7" s="1"/>
  <c r="B960" i="5"/>
  <c r="B960" i="7" s="1"/>
  <c r="J959" i="5"/>
  <c r="J959" i="7" s="1"/>
  <c r="I959" i="5"/>
  <c r="I959" i="7" s="1"/>
  <c r="H959" i="5"/>
  <c r="H959" i="7" s="1"/>
  <c r="G959" i="5"/>
  <c r="G959" i="7" s="1"/>
  <c r="F959" i="5"/>
  <c r="E959" i="5"/>
  <c r="D959" i="5"/>
  <c r="D959" i="7" s="1"/>
  <c r="C959" i="5"/>
  <c r="C959" i="7" s="1"/>
  <c r="B959" i="5"/>
  <c r="B959" i="7" s="1"/>
  <c r="L958" i="5"/>
  <c r="L958" i="7" s="1"/>
  <c r="J958" i="5"/>
  <c r="J958" i="7" s="1"/>
  <c r="I958" i="5"/>
  <c r="I958" i="7" s="1"/>
  <c r="H958" i="5"/>
  <c r="H958" i="7" s="1"/>
  <c r="G958" i="5"/>
  <c r="G958" i="7" s="1"/>
  <c r="F958" i="5"/>
  <c r="F958" i="7" s="1"/>
  <c r="E958" i="5"/>
  <c r="D958" i="5"/>
  <c r="D958" i="7" s="1"/>
  <c r="C958" i="5"/>
  <c r="C958" i="7" s="1"/>
  <c r="B958" i="5"/>
  <c r="B958" i="7" s="1"/>
  <c r="L957" i="5"/>
  <c r="L957" i="7" s="1"/>
  <c r="K957" i="5"/>
  <c r="K957" i="7" s="1"/>
  <c r="J957" i="5"/>
  <c r="J957" i="7" s="1"/>
  <c r="I957" i="5"/>
  <c r="I957" i="7" s="1"/>
  <c r="H957" i="5"/>
  <c r="H957" i="7" s="1"/>
  <c r="G957" i="5"/>
  <c r="G957" i="7" s="1"/>
  <c r="F957" i="5"/>
  <c r="F957" i="7" s="1"/>
  <c r="E957" i="5"/>
  <c r="E957" i="7" s="1"/>
  <c r="D957" i="5"/>
  <c r="D957" i="7" s="1"/>
  <c r="C957" i="5"/>
  <c r="C957" i="7" s="1"/>
  <c r="B957" i="5"/>
  <c r="B957" i="7" s="1"/>
  <c r="K956" i="5"/>
  <c r="K956" i="7" s="1"/>
  <c r="J956" i="5"/>
  <c r="J956" i="7" s="1"/>
  <c r="I956" i="5"/>
  <c r="I956" i="7" s="1"/>
  <c r="H956" i="5"/>
  <c r="H956" i="7" s="1"/>
  <c r="G956" i="5"/>
  <c r="G956" i="7" s="1"/>
  <c r="F956" i="5"/>
  <c r="F956" i="7" s="1"/>
  <c r="E956" i="5"/>
  <c r="E956" i="7" s="1"/>
  <c r="D956" i="5"/>
  <c r="D956" i="7" s="1"/>
  <c r="C956" i="5"/>
  <c r="C956" i="7" s="1"/>
  <c r="B956" i="5"/>
  <c r="B956" i="7" s="1"/>
  <c r="L955" i="5"/>
  <c r="L955" i="7" s="1"/>
  <c r="J955" i="5"/>
  <c r="J955" i="7" s="1"/>
  <c r="I955" i="5"/>
  <c r="I955" i="7" s="1"/>
  <c r="H955" i="5"/>
  <c r="H955" i="7" s="1"/>
  <c r="G955" i="5"/>
  <c r="G955" i="7" s="1"/>
  <c r="F955" i="5"/>
  <c r="F955" i="7" s="1"/>
  <c r="E955" i="5"/>
  <c r="E955" i="7" s="1"/>
  <c r="D955" i="5"/>
  <c r="D955" i="7" s="1"/>
  <c r="C955" i="5"/>
  <c r="C955" i="7" s="1"/>
  <c r="B955" i="5"/>
  <c r="B955" i="7" s="1"/>
  <c r="J954" i="5"/>
  <c r="J954" i="7" s="1"/>
  <c r="I954" i="5"/>
  <c r="I954" i="7" s="1"/>
  <c r="H954" i="5"/>
  <c r="H954" i="7" s="1"/>
  <c r="G954" i="5"/>
  <c r="G954" i="7" s="1"/>
  <c r="F954" i="5"/>
  <c r="F954" i="7" s="1"/>
  <c r="E954" i="5"/>
  <c r="D954" i="5"/>
  <c r="D954" i="7" s="1"/>
  <c r="C954" i="5"/>
  <c r="C954" i="7" s="1"/>
  <c r="B954" i="5"/>
  <c r="B954" i="7" s="1"/>
  <c r="L953" i="5"/>
  <c r="L953" i="7" s="1"/>
  <c r="K953" i="5"/>
  <c r="K953" i="7" s="1"/>
  <c r="J953" i="5"/>
  <c r="J953" i="7" s="1"/>
  <c r="I953" i="5"/>
  <c r="I953" i="7" s="1"/>
  <c r="H953" i="5"/>
  <c r="H953" i="7" s="1"/>
  <c r="G953" i="5"/>
  <c r="G953" i="7" s="1"/>
  <c r="F953" i="5"/>
  <c r="F953" i="7" s="1"/>
  <c r="E953" i="5"/>
  <c r="E953" i="7" s="1"/>
  <c r="D953" i="5"/>
  <c r="D953" i="7" s="1"/>
  <c r="C953" i="5"/>
  <c r="C953" i="7" s="1"/>
  <c r="B953" i="5"/>
  <c r="B953" i="7" s="1"/>
  <c r="L952" i="5"/>
  <c r="L952" i="7" s="1"/>
  <c r="K952" i="5"/>
  <c r="K952" i="7" s="1"/>
  <c r="J952" i="5"/>
  <c r="J952" i="7" s="1"/>
  <c r="I952" i="5"/>
  <c r="I952" i="7" s="1"/>
  <c r="H952" i="5"/>
  <c r="H952" i="7" s="1"/>
  <c r="G952" i="5"/>
  <c r="G952" i="7" s="1"/>
  <c r="F952" i="5"/>
  <c r="F952" i="7" s="1"/>
  <c r="E952" i="5"/>
  <c r="E952" i="7" s="1"/>
  <c r="D952" i="5"/>
  <c r="D952" i="7" s="1"/>
  <c r="C952" i="5"/>
  <c r="C952" i="7" s="1"/>
  <c r="B952" i="5"/>
  <c r="B952" i="7" s="1"/>
  <c r="K951" i="5"/>
  <c r="K951" i="7" s="1"/>
  <c r="J951" i="5"/>
  <c r="J951" i="7" s="1"/>
  <c r="I951" i="5"/>
  <c r="I951" i="7" s="1"/>
  <c r="H951" i="5"/>
  <c r="H951" i="7" s="1"/>
  <c r="G951" i="5"/>
  <c r="G951" i="7" s="1"/>
  <c r="F951" i="5"/>
  <c r="F951" i="7" s="1"/>
  <c r="E951" i="5"/>
  <c r="E951" i="7" s="1"/>
  <c r="D951" i="5"/>
  <c r="D951" i="7" s="1"/>
  <c r="C951" i="5"/>
  <c r="C951" i="7" s="1"/>
  <c r="B951" i="5"/>
  <c r="B951" i="7" s="1"/>
  <c r="J950" i="5"/>
  <c r="J950" i="7" s="1"/>
  <c r="I950" i="5"/>
  <c r="I950" i="7" s="1"/>
  <c r="H950" i="5"/>
  <c r="H950" i="7" s="1"/>
  <c r="G950" i="5"/>
  <c r="G950" i="7" s="1"/>
  <c r="F950" i="5"/>
  <c r="E950" i="5"/>
  <c r="E950" i="7" s="1"/>
  <c r="D950" i="5"/>
  <c r="D950" i="7" s="1"/>
  <c r="C950" i="5"/>
  <c r="C950" i="7" s="1"/>
  <c r="B950" i="5"/>
  <c r="B950" i="7" s="1"/>
  <c r="K949" i="5"/>
  <c r="K949" i="7" s="1"/>
  <c r="J949" i="5"/>
  <c r="J949" i="7" s="1"/>
  <c r="I949" i="5"/>
  <c r="I949" i="7" s="1"/>
  <c r="H949" i="5"/>
  <c r="H949" i="7" s="1"/>
  <c r="G949" i="5"/>
  <c r="G949" i="7" s="1"/>
  <c r="F949" i="5"/>
  <c r="E949" i="5"/>
  <c r="E949" i="7" s="1"/>
  <c r="D949" i="5"/>
  <c r="D949" i="7" s="1"/>
  <c r="C949" i="5"/>
  <c r="C949" i="7" s="1"/>
  <c r="B949" i="5"/>
  <c r="B949" i="7" s="1"/>
  <c r="L948" i="5"/>
  <c r="L948" i="7" s="1"/>
  <c r="K948" i="5"/>
  <c r="K948" i="7" s="1"/>
  <c r="J948" i="5"/>
  <c r="J948" i="7" s="1"/>
  <c r="I948" i="5"/>
  <c r="I948" i="7" s="1"/>
  <c r="H948" i="5"/>
  <c r="H948" i="7" s="1"/>
  <c r="G948" i="5"/>
  <c r="G948" i="7" s="1"/>
  <c r="F948" i="5"/>
  <c r="F948" i="7" s="1"/>
  <c r="E948" i="5"/>
  <c r="E948" i="7" s="1"/>
  <c r="D948" i="5"/>
  <c r="D948" i="7" s="1"/>
  <c r="C948" i="5"/>
  <c r="C948" i="7" s="1"/>
  <c r="B948" i="5"/>
  <c r="B948" i="7" s="1"/>
  <c r="L947" i="5"/>
  <c r="L947" i="7" s="1"/>
  <c r="K947" i="5"/>
  <c r="K947" i="7" s="1"/>
  <c r="J947" i="5"/>
  <c r="J947" i="7" s="1"/>
  <c r="I947" i="5"/>
  <c r="I947" i="7" s="1"/>
  <c r="H947" i="5"/>
  <c r="H947" i="7" s="1"/>
  <c r="G947" i="5"/>
  <c r="G947" i="7" s="1"/>
  <c r="F947" i="5"/>
  <c r="F947" i="7" s="1"/>
  <c r="E947" i="5"/>
  <c r="E947" i="7" s="1"/>
  <c r="D947" i="5"/>
  <c r="D947" i="7" s="1"/>
  <c r="C947" i="5"/>
  <c r="C947" i="7" s="1"/>
  <c r="B947" i="5"/>
  <c r="B947" i="7" s="1"/>
  <c r="J946" i="5"/>
  <c r="J946" i="7" s="1"/>
  <c r="I946" i="5"/>
  <c r="I946" i="7" s="1"/>
  <c r="H946" i="5"/>
  <c r="H946" i="7" s="1"/>
  <c r="G946" i="5"/>
  <c r="G946" i="7" s="1"/>
  <c r="F946" i="5"/>
  <c r="F946" i="7" s="1"/>
  <c r="E946" i="5"/>
  <c r="E946" i="7" s="1"/>
  <c r="D946" i="5"/>
  <c r="D946" i="7" s="1"/>
  <c r="C946" i="5"/>
  <c r="C946" i="7" s="1"/>
  <c r="B946" i="5"/>
  <c r="B946" i="7" s="1"/>
  <c r="J945" i="5"/>
  <c r="J945" i="7" s="1"/>
  <c r="I945" i="5"/>
  <c r="I945" i="7" s="1"/>
  <c r="H945" i="5"/>
  <c r="H945" i="7" s="1"/>
  <c r="G945" i="5"/>
  <c r="G945" i="7" s="1"/>
  <c r="F945" i="5"/>
  <c r="E945" i="5"/>
  <c r="D945" i="5"/>
  <c r="D945" i="7" s="1"/>
  <c r="C945" i="5"/>
  <c r="C945" i="7" s="1"/>
  <c r="B945" i="5"/>
  <c r="B945" i="7" s="1"/>
  <c r="L944" i="5"/>
  <c r="L944" i="7" s="1"/>
  <c r="J944" i="5"/>
  <c r="J944" i="7" s="1"/>
  <c r="I944" i="5"/>
  <c r="I944" i="7" s="1"/>
  <c r="H944" i="5"/>
  <c r="H944" i="7" s="1"/>
  <c r="G944" i="5"/>
  <c r="G944" i="7" s="1"/>
  <c r="F944" i="5"/>
  <c r="F944" i="7" s="1"/>
  <c r="E944" i="5"/>
  <c r="D944" i="5"/>
  <c r="D944" i="7" s="1"/>
  <c r="C944" i="5"/>
  <c r="C944" i="7" s="1"/>
  <c r="B944" i="5"/>
  <c r="B944" i="7" s="1"/>
  <c r="L943" i="5"/>
  <c r="L943" i="7" s="1"/>
  <c r="K943" i="5"/>
  <c r="K943" i="7" s="1"/>
  <c r="J943" i="5"/>
  <c r="J943" i="7" s="1"/>
  <c r="I943" i="5"/>
  <c r="I943" i="7" s="1"/>
  <c r="H943" i="5"/>
  <c r="H943" i="7" s="1"/>
  <c r="G943" i="5"/>
  <c r="G943" i="7" s="1"/>
  <c r="F943" i="5"/>
  <c r="F943" i="7" s="1"/>
  <c r="E943" i="5"/>
  <c r="E943" i="7" s="1"/>
  <c r="D943" i="5"/>
  <c r="D943" i="7" s="1"/>
  <c r="C943" i="5"/>
  <c r="C943" i="7" s="1"/>
  <c r="B943" i="5"/>
  <c r="B943" i="7" s="1"/>
  <c r="K942" i="5"/>
  <c r="K942" i="7" s="1"/>
  <c r="J942" i="5"/>
  <c r="J942" i="7" s="1"/>
  <c r="I942" i="5"/>
  <c r="I942" i="7" s="1"/>
  <c r="H942" i="5"/>
  <c r="H942" i="7" s="1"/>
  <c r="G942" i="5"/>
  <c r="G942" i="7" s="1"/>
  <c r="F942" i="5"/>
  <c r="F942" i="7" s="1"/>
  <c r="E942" i="5"/>
  <c r="E942" i="7" s="1"/>
  <c r="D942" i="5"/>
  <c r="D942" i="7" s="1"/>
  <c r="C942" i="5"/>
  <c r="C942" i="7" s="1"/>
  <c r="B942" i="5"/>
  <c r="B942" i="7" s="1"/>
  <c r="L941" i="5"/>
  <c r="L941" i="7" s="1"/>
  <c r="K941" i="5"/>
  <c r="K941" i="7" s="1"/>
  <c r="J941" i="5"/>
  <c r="J941" i="7" s="1"/>
  <c r="I941" i="5"/>
  <c r="I941" i="7" s="1"/>
  <c r="H941" i="5"/>
  <c r="H941" i="7" s="1"/>
  <c r="G941" i="5"/>
  <c r="G941" i="7" s="1"/>
  <c r="F941" i="5"/>
  <c r="F941" i="7" s="1"/>
  <c r="E941" i="5"/>
  <c r="E941" i="7" s="1"/>
  <c r="D941" i="5"/>
  <c r="D941" i="7" s="1"/>
  <c r="C941" i="5"/>
  <c r="C941" i="7" s="1"/>
  <c r="B941" i="5"/>
  <c r="B941" i="7" s="1"/>
  <c r="J940" i="5"/>
  <c r="J940" i="7" s="1"/>
  <c r="I940" i="5"/>
  <c r="I940" i="7" s="1"/>
  <c r="H940" i="5"/>
  <c r="H940" i="7" s="1"/>
  <c r="G940" i="5"/>
  <c r="G940" i="7" s="1"/>
  <c r="F940" i="5"/>
  <c r="F940" i="7" s="1"/>
  <c r="E940" i="5"/>
  <c r="D940" i="5"/>
  <c r="D940" i="7" s="1"/>
  <c r="C940" i="5"/>
  <c r="C940" i="7" s="1"/>
  <c r="B940" i="5"/>
  <c r="B940" i="7" s="1"/>
  <c r="K939" i="5"/>
  <c r="K939" i="7" s="1"/>
  <c r="J939" i="5"/>
  <c r="J939" i="7" s="1"/>
  <c r="I939" i="5"/>
  <c r="I939" i="7" s="1"/>
  <c r="H939" i="5"/>
  <c r="H939" i="7" s="1"/>
  <c r="G939" i="5"/>
  <c r="G939" i="7" s="1"/>
  <c r="F939" i="5"/>
  <c r="F939" i="7" s="1"/>
  <c r="E939" i="5"/>
  <c r="E939" i="7" s="1"/>
  <c r="D939" i="5"/>
  <c r="D939" i="7" s="1"/>
  <c r="C939" i="5"/>
  <c r="C939" i="7" s="1"/>
  <c r="B939" i="5"/>
  <c r="B939" i="7" s="1"/>
  <c r="K938" i="5"/>
  <c r="K938" i="7" s="1"/>
  <c r="J938" i="5"/>
  <c r="J938" i="7" s="1"/>
  <c r="I938" i="5"/>
  <c r="I938" i="7" s="1"/>
  <c r="H938" i="5"/>
  <c r="H938" i="7" s="1"/>
  <c r="G938" i="5"/>
  <c r="G938" i="7" s="1"/>
  <c r="F938" i="5"/>
  <c r="F938" i="7" s="1"/>
  <c r="E938" i="5"/>
  <c r="E938" i="7" s="1"/>
  <c r="D938" i="5"/>
  <c r="D938" i="7" s="1"/>
  <c r="C938" i="5"/>
  <c r="C938" i="7" s="1"/>
  <c r="B938" i="5"/>
  <c r="B938" i="7" s="1"/>
  <c r="L937" i="5"/>
  <c r="L937" i="7" s="1"/>
  <c r="J937" i="5"/>
  <c r="J937" i="7" s="1"/>
  <c r="I937" i="5"/>
  <c r="I937" i="7" s="1"/>
  <c r="H937" i="5"/>
  <c r="H937" i="7" s="1"/>
  <c r="G937" i="5"/>
  <c r="G937" i="7" s="1"/>
  <c r="F937" i="5"/>
  <c r="F937" i="7" s="1"/>
  <c r="E937" i="5"/>
  <c r="E937" i="7" s="1"/>
  <c r="D937" i="5"/>
  <c r="D937" i="7" s="1"/>
  <c r="C937" i="5"/>
  <c r="C937" i="7" s="1"/>
  <c r="B937" i="5"/>
  <c r="B937" i="7" s="1"/>
  <c r="J936" i="5"/>
  <c r="J936" i="7" s="1"/>
  <c r="I936" i="5"/>
  <c r="I936" i="7" s="1"/>
  <c r="H936" i="5"/>
  <c r="H936" i="7" s="1"/>
  <c r="G936" i="5"/>
  <c r="G936" i="7" s="1"/>
  <c r="F936" i="5"/>
  <c r="E936" i="5"/>
  <c r="D936" i="5"/>
  <c r="D936" i="7" s="1"/>
  <c r="C936" i="5"/>
  <c r="C936" i="7" s="1"/>
  <c r="B936" i="5"/>
  <c r="B936" i="7" s="1"/>
  <c r="J935" i="5"/>
  <c r="J935" i="7" s="1"/>
  <c r="I935" i="5"/>
  <c r="I935" i="7" s="1"/>
  <c r="H935" i="5"/>
  <c r="H935" i="7" s="1"/>
  <c r="G935" i="5"/>
  <c r="G935" i="7" s="1"/>
  <c r="F935" i="5"/>
  <c r="E935" i="5"/>
  <c r="E935" i="7" s="1"/>
  <c r="D935" i="5"/>
  <c r="D935" i="7" s="1"/>
  <c r="C935" i="5"/>
  <c r="C935" i="7" s="1"/>
  <c r="B935" i="5"/>
  <c r="B935" i="7" s="1"/>
  <c r="L934" i="5"/>
  <c r="L934" i="7" s="1"/>
  <c r="J934" i="5"/>
  <c r="J934" i="7" s="1"/>
  <c r="I934" i="5"/>
  <c r="I934" i="7" s="1"/>
  <c r="H934" i="5"/>
  <c r="H934" i="7" s="1"/>
  <c r="G934" i="5"/>
  <c r="G934" i="7" s="1"/>
  <c r="F934" i="5"/>
  <c r="F934" i="7" s="1"/>
  <c r="E934" i="5"/>
  <c r="E934" i="7" s="1"/>
  <c r="D934" i="5"/>
  <c r="D934" i="7" s="1"/>
  <c r="C934" i="5"/>
  <c r="C934" i="7" s="1"/>
  <c r="B934" i="5"/>
  <c r="B934" i="7" s="1"/>
  <c r="L933" i="5"/>
  <c r="L933" i="7" s="1"/>
  <c r="K933" i="5"/>
  <c r="K933" i="7" s="1"/>
  <c r="J933" i="5"/>
  <c r="J933" i="7" s="1"/>
  <c r="I933" i="5"/>
  <c r="I933" i="7" s="1"/>
  <c r="H933" i="5"/>
  <c r="H933" i="7" s="1"/>
  <c r="G933" i="5"/>
  <c r="G933" i="7" s="1"/>
  <c r="F933" i="5"/>
  <c r="F933" i="7" s="1"/>
  <c r="E933" i="5"/>
  <c r="E933" i="7" s="1"/>
  <c r="D933" i="5"/>
  <c r="D933" i="7" s="1"/>
  <c r="C933" i="5"/>
  <c r="C933" i="7" s="1"/>
  <c r="B933" i="5"/>
  <c r="B933" i="7" s="1"/>
  <c r="K932" i="5"/>
  <c r="K932" i="7" s="1"/>
  <c r="J932" i="5"/>
  <c r="J932" i="7" s="1"/>
  <c r="I932" i="5"/>
  <c r="I932" i="7" s="1"/>
  <c r="H932" i="5"/>
  <c r="H932" i="7" s="1"/>
  <c r="G932" i="5"/>
  <c r="G932" i="7" s="1"/>
  <c r="F932" i="5"/>
  <c r="E932" i="5"/>
  <c r="E932" i="7" s="1"/>
  <c r="D932" i="5"/>
  <c r="D932" i="7" s="1"/>
  <c r="C932" i="5"/>
  <c r="C932" i="7" s="1"/>
  <c r="B932" i="5"/>
  <c r="B932" i="7" s="1"/>
  <c r="J931" i="5"/>
  <c r="J931" i="7" s="1"/>
  <c r="I931" i="5"/>
  <c r="I931" i="7" s="1"/>
  <c r="H931" i="5"/>
  <c r="H931" i="7" s="1"/>
  <c r="G931" i="5"/>
  <c r="G931" i="7" s="1"/>
  <c r="F931" i="5"/>
  <c r="E931" i="5"/>
  <c r="D931" i="5"/>
  <c r="D931" i="7" s="1"/>
  <c r="C931" i="5"/>
  <c r="C931" i="7" s="1"/>
  <c r="B931" i="5"/>
  <c r="B931" i="7" s="1"/>
  <c r="L930" i="5"/>
  <c r="L930" i="7" s="1"/>
  <c r="J930" i="5"/>
  <c r="J930" i="7" s="1"/>
  <c r="I930" i="5"/>
  <c r="I930" i="7" s="1"/>
  <c r="H930" i="5"/>
  <c r="H930" i="7" s="1"/>
  <c r="G930" i="5"/>
  <c r="G930" i="7" s="1"/>
  <c r="F930" i="5"/>
  <c r="F930" i="7" s="1"/>
  <c r="E930" i="5"/>
  <c r="D930" i="5"/>
  <c r="D930" i="7" s="1"/>
  <c r="C930" i="5"/>
  <c r="C930" i="7" s="1"/>
  <c r="B930" i="5"/>
  <c r="B930" i="7" s="1"/>
  <c r="L929" i="5"/>
  <c r="L929" i="7" s="1"/>
  <c r="K929" i="5"/>
  <c r="K929" i="7" s="1"/>
  <c r="J929" i="5"/>
  <c r="J929" i="7" s="1"/>
  <c r="I929" i="5"/>
  <c r="I929" i="7" s="1"/>
  <c r="H929" i="5"/>
  <c r="H929" i="7" s="1"/>
  <c r="G929" i="5"/>
  <c r="G929" i="7" s="1"/>
  <c r="F929" i="5"/>
  <c r="F929" i="7" s="1"/>
  <c r="E929" i="5"/>
  <c r="E929" i="7" s="1"/>
  <c r="D929" i="5"/>
  <c r="D929" i="7" s="1"/>
  <c r="C929" i="5"/>
  <c r="C929" i="7" s="1"/>
  <c r="B929" i="5"/>
  <c r="B929" i="7" s="1"/>
  <c r="K928" i="5"/>
  <c r="K928" i="7" s="1"/>
  <c r="J928" i="5"/>
  <c r="J928" i="7" s="1"/>
  <c r="I928" i="5"/>
  <c r="I928" i="7" s="1"/>
  <c r="H928" i="5"/>
  <c r="H928" i="7" s="1"/>
  <c r="G928" i="5"/>
  <c r="G928" i="7" s="1"/>
  <c r="F928" i="5"/>
  <c r="F928" i="7" s="1"/>
  <c r="E928" i="5"/>
  <c r="E928" i="7" s="1"/>
  <c r="D928" i="5"/>
  <c r="D928" i="7" s="1"/>
  <c r="C928" i="5"/>
  <c r="C928" i="7" s="1"/>
  <c r="B928" i="5"/>
  <c r="B928" i="7" s="1"/>
  <c r="J927" i="5"/>
  <c r="J927" i="7" s="1"/>
  <c r="I927" i="5"/>
  <c r="I927" i="7" s="1"/>
  <c r="H927" i="5"/>
  <c r="H927" i="7" s="1"/>
  <c r="G927" i="5"/>
  <c r="G927" i="7" s="1"/>
  <c r="F927" i="5"/>
  <c r="F927" i="7" s="1"/>
  <c r="E927" i="5"/>
  <c r="E927" i="7" s="1"/>
  <c r="D927" i="5"/>
  <c r="D927" i="7" s="1"/>
  <c r="C927" i="5"/>
  <c r="C927" i="7" s="1"/>
  <c r="B927" i="5"/>
  <c r="B927" i="7" s="1"/>
  <c r="J926" i="5"/>
  <c r="J926" i="7" s="1"/>
  <c r="I926" i="5"/>
  <c r="I926" i="7" s="1"/>
  <c r="H926" i="5"/>
  <c r="H926" i="7" s="1"/>
  <c r="G926" i="5"/>
  <c r="G926" i="7" s="1"/>
  <c r="F926" i="5"/>
  <c r="F926" i="7" s="1"/>
  <c r="E926" i="5"/>
  <c r="D926" i="5"/>
  <c r="D926" i="7" s="1"/>
  <c r="C926" i="5"/>
  <c r="C926" i="7" s="1"/>
  <c r="B926" i="5"/>
  <c r="B926" i="7" s="1"/>
  <c r="L925" i="5"/>
  <c r="L925" i="7" s="1"/>
  <c r="K925" i="5"/>
  <c r="K925" i="7" s="1"/>
  <c r="J925" i="5"/>
  <c r="J925" i="7" s="1"/>
  <c r="I925" i="5"/>
  <c r="I925" i="7" s="1"/>
  <c r="H925" i="5"/>
  <c r="H925" i="7" s="1"/>
  <c r="G925" i="5"/>
  <c r="G925" i="7" s="1"/>
  <c r="F925" i="5"/>
  <c r="F925" i="7" s="1"/>
  <c r="E925" i="5"/>
  <c r="E925" i="7" s="1"/>
  <c r="D925" i="5"/>
  <c r="D925" i="7" s="1"/>
  <c r="C925" i="5"/>
  <c r="C925" i="7" s="1"/>
  <c r="B925" i="5"/>
  <c r="B925" i="7" s="1"/>
  <c r="K924" i="5"/>
  <c r="K924" i="7" s="1"/>
  <c r="J924" i="5"/>
  <c r="J924" i="7" s="1"/>
  <c r="I924" i="5"/>
  <c r="I924" i="7" s="1"/>
  <c r="H924" i="5"/>
  <c r="H924" i="7" s="1"/>
  <c r="G924" i="5"/>
  <c r="G924" i="7" s="1"/>
  <c r="F924" i="5"/>
  <c r="E924" i="5"/>
  <c r="E924" i="7" s="1"/>
  <c r="D924" i="5"/>
  <c r="D924" i="7" s="1"/>
  <c r="C924" i="5"/>
  <c r="C924" i="7" s="1"/>
  <c r="B924" i="5"/>
  <c r="B924" i="7" s="1"/>
  <c r="J923" i="5"/>
  <c r="J923" i="7" s="1"/>
  <c r="I923" i="5"/>
  <c r="I923" i="7" s="1"/>
  <c r="H923" i="5"/>
  <c r="H923" i="7" s="1"/>
  <c r="G923" i="5"/>
  <c r="G923" i="7" s="1"/>
  <c r="F923" i="5"/>
  <c r="F923" i="7" s="1"/>
  <c r="E923" i="5"/>
  <c r="E923" i="7" s="1"/>
  <c r="D923" i="5"/>
  <c r="D923" i="7" s="1"/>
  <c r="C923" i="5"/>
  <c r="C923" i="7" s="1"/>
  <c r="B923" i="5"/>
  <c r="B923" i="7" s="1"/>
  <c r="K922" i="5"/>
  <c r="K922" i="7" s="1"/>
  <c r="J922" i="5"/>
  <c r="J922" i="7" s="1"/>
  <c r="I922" i="5"/>
  <c r="I922" i="7" s="1"/>
  <c r="H922" i="5"/>
  <c r="H922" i="7" s="1"/>
  <c r="G922" i="5"/>
  <c r="G922" i="7" s="1"/>
  <c r="F922" i="5"/>
  <c r="E922" i="5"/>
  <c r="E922" i="7" s="1"/>
  <c r="D922" i="5"/>
  <c r="D922" i="7" s="1"/>
  <c r="C922" i="5"/>
  <c r="C922" i="7" s="1"/>
  <c r="B922" i="5"/>
  <c r="B922" i="7" s="1"/>
  <c r="K921" i="5"/>
  <c r="K921" i="7" s="1"/>
  <c r="J921" i="5"/>
  <c r="J921" i="7" s="1"/>
  <c r="I921" i="5"/>
  <c r="I921" i="7" s="1"/>
  <c r="H921" i="5"/>
  <c r="H921" i="7" s="1"/>
  <c r="G921" i="5"/>
  <c r="G921" i="7" s="1"/>
  <c r="F921" i="5"/>
  <c r="E921" i="5"/>
  <c r="E921" i="7" s="1"/>
  <c r="D921" i="5"/>
  <c r="D921" i="7" s="1"/>
  <c r="C921" i="5"/>
  <c r="C921" i="7" s="1"/>
  <c r="B921" i="5"/>
  <c r="B921" i="7" s="1"/>
  <c r="L920" i="5"/>
  <c r="L920" i="7" s="1"/>
  <c r="K920" i="5"/>
  <c r="K920" i="7" s="1"/>
  <c r="J920" i="5"/>
  <c r="J920" i="7" s="1"/>
  <c r="I920" i="5"/>
  <c r="I920" i="7" s="1"/>
  <c r="H920" i="5"/>
  <c r="H920" i="7" s="1"/>
  <c r="G920" i="5"/>
  <c r="G920" i="7" s="1"/>
  <c r="F920" i="5"/>
  <c r="F920" i="7" s="1"/>
  <c r="E920" i="5"/>
  <c r="E920" i="7" s="1"/>
  <c r="D920" i="5"/>
  <c r="D920" i="7" s="1"/>
  <c r="C920" i="5"/>
  <c r="C920" i="7" s="1"/>
  <c r="B920" i="5"/>
  <c r="B920" i="7" s="1"/>
  <c r="L919" i="5"/>
  <c r="L919" i="7" s="1"/>
  <c r="J919" i="5"/>
  <c r="J919" i="7" s="1"/>
  <c r="I919" i="5"/>
  <c r="I919" i="7" s="1"/>
  <c r="H919" i="5"/>
  <c r="H919" i="7" s="1"/>
  <c r="G919" i="5"/>
  <c r="G919" i="7" s="1"/>
  <c r="F919" i="5"/>
  <c r="F919" i="7" s="1"/>
  <c r="E919" i="5"/>
  <c r="E919" i="7" s="1"/>
  <c r="D919" i="5"/>
  <c r="D919" i="7" s="1"/>
  <c r="C919" i="5"/>
  <c r="C919" i="7" s="1"/>
  <c r="B919" i="5"/>
  <c r="B919" i="7" s="1"/>
  <c r="L918" i="5"/>
  <c r="L918" i="7" s="1"/>
  <c r="J918" i="5"/>
  <c r="J918" i="7" s="1"/>
  <c r="I918" i="5"/>
  <c r="I918" i="7" s="1"/>
  <c r="H918" i="5"/>
  <c r="H918" i="7" s="1"/>
  <c r="G918" i="5"/>
  <c r="G918" i="7" s="1"/>
  <c r="F918" i="5"/>
  <c r="F918" i="7" s="1"/>
  <c r="E918" i="5"/>
  <c r="E918" i="7" s="1"/>
  <c r="D918" i="5"/>
  <c r="D918" i="7" s="1"/>
  <c r="C918" i="5"/>
  <c r="C918" i="7" s="1"/>
  <c r="B918" i="5"/>
  <c r="B918" i="7" s="1"/>
  <c r="J917" i="5"/>
  <c r="J917" i="7" s="1"/>
  <c r="I917" i="5"/>
  <c r="I917" i="7" s="1"/>
  <c r="H917" i="5"/>
  <c r="H917" i="7" s="1"/>
  <c r="G917" i="5"/>
  <c r="G917" i="7" s="1"/>
  <c r="F917" i="5"/>
  <c r="E917" i="5"/>
  <c r="D917" i="5"/>
  <c r="D917" i="7" s="1"/>
  <c r="C917" i="5"/>
  <c r="C917" i="7" s="1"/>
  <c r="B917" i="5"/>
  <c r="B917" i="7" s="1"/>
  <c r="J916" i="5"/>
  <c r="J916" i="7" s="1"/>
  <c r="I916" i="5"/>
  <c r="I916" i="7" s="1"/>
  <c r="H916" i="5"/>
  <c r="H916" i="7" s="1"/>
  <c r="G916" i="5"/>
  <c r="G916" i="7" s="1"/>
  <c r="F916" i="5"/>
  <c r="E916" i="5"/>
  <c r="D916" i="5"/>
  <c r="D916" i="7" s="1"/>
  <c r="C916" i="5"/>
  <c r="C916" i="7" s="1"/>
  <c r="B916" i="5"/>
  <c r="B916" i="7" s="1"/>
  <c r="L915" i="5"/>
  <c r="L915" i="7" s="1"/>
  <c r="K915" i="5"/>
  <c r="K915" i="7" s="1"/>
  <c r="J915" i="5"/>
  <c r="J915" i="7" s="1"/>
  <c r="I915" i="5"/>
  <c r="I915" i="7" s="1"/>
  <c r="H915" i="5"/>
  <c r="H915" i="7" s="1"/>
  <c r="G915" i="5"/>
  <c r="G915" i="7" s="1"/>
  <c r="F915" i="5"/>
  <c r="F915" i="7" s="1"/>
  <c r="E915" i="5"/>
  <c r="E915" i="7" s="1"/>
  <c r="D915" i="5"/>
  <c r="D915" i="7" s="1"/>
  <c r="C915" i="5"/>
  <c r="C915" i="7" s="1"/>
  <c r="B915" i="5"/>
  <c r="B915" i="7" s="1"/>
  <c r="L914" i="5"/>
  <c r="L914" i="7" s="1"/>
  <c r="K914" i="5"/>
  <c r="K914" i="7" s="1"/>
  <c r="J914" i="5"/>
  <c r="J914" i="7" s="1"/>
  <c r="I914" i="5"/>
  <c r="I914" i="7" s="1"/>
  <c r="H914" i="5"/>
  <c r="H914" i="7" s="1"/>
  <c r="G914" i="5"/>
  <c r="G914" i="7" s="1"/>
  <c r="F914" i="5"/>
  <c r="F914" i="7" s="1"/>
  <c r="E914" i="5"/>
  <c r="E914" i="7" s="1"/>
  <c r="D914" i="5"/>
  <c r="D914" i="7" s="1"/>
  <c r="C914" i="5"/>
  <c r="C914" i="7" s="1"/>
  <c r="B914" i="5"/>
  <c r="B914" i="7" s="1"/>
  <c r="L913" i="5"/>
  <c r="L913" i="7" s="1"/>
  <c r="K913" i="5"/>
  <c r="K913" i="7" s="1"/>
  <c r="J913" i="5"/>
  <c r="J913" i="7" s="1"/>
  <c r="I913" i="5"/>
  <c r="I913" i="7" s="1"/>
  <c r="H913" i="5"/>
  <c r="H913" i="7" s="1"/>
  <c r="G913" i="5"/>
  <c r="G913" i="7" s="1"/>
  <c r="F913" i="5"/>
  <c r="F913" i="7" s="1"/>
  <c r="E913" i="5"/>
  <c r="E913" i="7" s="1"/>
  <c r="D913" i="5"/>
  <c r="D913" i="7" s="1"/>
  <c r="C913" i="5"/>
  <c r="C913" i="7" s="1"/>
  <c r="B913" i="5"/>
  <c r="B913" i="7" s="1"/>
  <c r="J912" i="5"/>
  <c r="J912" i="7" s="1"/>
  <c r="I912" i="5"/>
  <c r="I912" i="7" s="1"/>
  <c r="H912" i="5"/>
  <c r="H912" i="7" s="1"/>
  <c r="G912" i="5"/>
  <c r="G912" i="7" s="1"/>
  <c r="F912" i="5"/>
  <c r="F912" i="7" s="1"/>
  <c r="E912" i="5"/>
  <c r="D912" i="5"/>
  <c r="D912" i="7" s="1"/>
  <c r="C912" i="5"/>
  <c r="C912" i="7" s="1"/>
  <c r="B912" i="5"/>
  <c r="B912" i="7" s="1"/>
  <c r="J911" i="5"/>
  <c r="J911" i="7" s="1"/>
  <c r="I911" i="5"/>
  <c r="I911" i="7" s="1"/>
  <c r="H911" i="5"/>
  <c r="H911" i="7" s="1"/>
  <c r="G911" i="5"/>
  <c r="G911" i="7" s="1"/>
  <c r="F911" i="5"/>
  <c r="F911" i="7" s="1"/>
  <c r="E911" i="5"/>
  <c r="E911" i="7" s="1"/>
  <c r="D911" i="5"/>
  <c r="D911" i="7" s="1"/>
  <c r="C911" i="5"/>
  <c r="C911" i="7" s="1"/>
  <c r="B911" i="5"/>
  <c r="B911" i="7" s="1"/>
  <c r="L910" i="5"/>
  <c r="L910" i="7" s="1"/>
  <c r="K910" i="5"/>
  <c r="K910" i="7" s="1"/>
  <c r="J910" i="5"/>
  <c r="J910" i="7" s="1"/>
  <c r="I910" i="5"/>
  <c r="I910" i="7" s="1"/>
  <c r="H910" i="5"/>
  <c r="H910" i="7" s="1"/>
  <c r="G910" i="5"/>
  <c r="G910" i="7" s="1"/>
  <c r="F910" i="5"/>
  <c r="F910" i="7" s="1"/>
  <c r="E910" i="5"/>
  <c r="E910" i="7" s="1"/>
  <c r="D910" i="5"/>
  <c r="D910" i="7" s="1"/>
  <c r="C910" i="5"/>
  <c r="C910" i="7" s="1"/>
  <c r="B910" i="5"/>
  <c r="B910" i="7" s="1"/>
  <c r="L909" i="5"/>
  <c r="L909" i="7" s="1"/>
  <c r="K909" i="5"/>
  <c r="K909" i="7" s="1"/>
  <c r="J909" i="5"/>
  <c r="J909" i="7" s="1"/>
  <c r="I909" i="5"/>
  <c r="I909" i="7" s="1"/>
  <c r="H909" i="5"/>
  <c r="H909" i="7" s="1"/>
  <c r="G909" i="5"/>
  <c r="G909" i="7" s="1"/>
  <c r="F909" i="5"/>
  <c r="F909" i="7" s="1"/>
  <c r="E909" i="5"/>
  <c r="E909" i="7" s="1"/>
  <c r="D909" i="5"/>
  <c r="D909" i="7" s="1"/>
  <c r="C909" i="5"/>
  <c r="C909" i="7" s="1"/>
  <c r="B909" i="5"/>
  <c r="B909" i="7" s="1"/>
  <c r="K908" i="5"/>
  <c r="K908" i="7" s="1"/>
  <c r="J908" i="5"/>
  <c r="J908" i="7" s="1"/>
  <c r="I908" i="5"/>
  <c r="I908" i="7" s="1"/>
  <c r="H908" i="5"/>
  <c r="H908" i="7" s="1"/>
  <c r="G908" i="5"/>
  <c r="G908" i="7" s="1"/>
  <c r="F908" i="5"/>
  <c r="E908" i="5"/>
  <c r="E908" i="7" s="1"/>
  <c r="D908" i="5"/>
  <c r="D908" i="7" s="1"/>
  <c r="C908" i="5"/>
  <c r="C908" i="7" s="1"/>
  <c r="B908" i="5"/>
  <c r="B908" i="7" s="1"/>
  <c r="J907" i="5"/>
  <c r="J907" i="7" s="1"/>
  <c r="I907" i="5"/>
  <c r="I907" i="7" s="1"/>
  <c r="H907" i="5"/>
  <c r="H907" i="7" s="1"/>
  <c r="G907" i="5"/>
  <c r="G907" i="7" s="1"/>
  <c r="F907" i="5"/>
  <c r="E907" i="5"/>
  <c r="E907" i="7" s="1"/>
  <c r="D907" i="5"/>
  <c r="D907" i="7" s="1"/>
  <c r="C907" i="5"/>
  <c r="C907" i="7" s="1"/>
  <c r="B907" i="5"/>
  <c r="B907" i="7" s="1"/>
  <c r="L906" i="5"/>
  <c r="L906" i="7" s="1"/>
  <c r="J906" i="5"/>
  <c r="J906" i="7" s="1"/>
  <c r="I906" i="5"/>
  <c r="I906" i="7" s="1"/>
  <c r="H906" i="5"/>
  <c r="H906" i="7" s="1"/>
  <c r="G906" i="5"/>
  <c r="G906" i="7" s="1"/>
  <c r="F906" i="5"/>
  <c r="F906" i="7" s="1"/>
  <c r="E906" i="5"/>
  <c r="E906" i="7" s="1"/>
  <c r="D906" i="5"/>
  <c r="D906" i="7" s="1"/>
  <c r="C906" i="5"/>
  <c r="C906" i="7" s="1"/>
  <c r="B906" i="5"/>
  <c r="B906" i="7" s="1"/>
  <c r="K905" i="5"/>
  <c r="K905" i="7" s="1"/>
  <c r="J905" i="5"/>
  <c r="J905" i="7" s="1"/>
  <c r="I905" i="5"/>
  <c r="I905" i="7" s="1"/>
  <c r="H905" i="5"/>
  <c r="H905" i="7" s="1"/>
  <c r="G905" i="5"/>
  <c r="G905" i="7" s="1"/>
  <c r="F905" i="5"/>
  <c r="F905" i="7" s="1"/>
  <c r="E905" i="5"/>
  <c r="E905" i="7" s="1"/>
  <c r="D905" i="5"/>
  <c r="D905" i="7" s="1"/>
  <c r="C905" i="5"/>
  <c r="C905" i="7" s="1"/>
  <c r="B905" i="5"/>
  <c r="B905" i="7" s="1"/>
  <c r="J904" i="5"/>
  <c r="J904" i="7" s="1"/>
  <c r="I904" i="5"/>
  <c r="I904" i="7" s="1"/>
  <c r="H904" i="5"/>
  <c r="H904" i="7" s="1"/>
  <c r="G904" i="5"/>
  <c r="G904" i="7" s="1"/>
  <c r="F904" i="5"/>
  <c r="F904" i="7" s="1"/>
  <c r="E904" i="5"/>
  <c r="E904" i="7" s="1"/>
  <c r="D904" i="5"/>
  <c r="D904" i="7" s="1"/>
  <c r="C904" i="5"/>
  <c r="C904" i="7" s="1"/>
  <c r="B904" i="5"/>
  <c r="B904" i="7" s="1"/>
  <c r="J903" i="5"/>
  <c r="J903" i="7" s="1"/>
  <c r="I903" i="5"/>
  <c r="I903" i="7" s="1"/>
  <c r="H903" i="5"/>
  <c r="H903" i="7" s="1"/>
  <c r="G903" i="5"/>
  <c r="G903" i="7" s="1"/>
  <c r="F903" i="5"/>
  <c r="F903" i="7" s="1"/>
  <c r="E903" i="5"/>
  <c r="D903" i="5"/>
  <c r="D903" i="7" s="1"/>
  <c r="C903" i="5"/>
  <c r="C903" i="7" s="1"/>
  <c r="B903" i="5"/>
  <c r="B903" i="7" s="1"/>
  <c r="K902" i="5"/>
  <c r="K902" i="7" s="1"/>
  <c r="J902" i="5"/>
  <c r="J902" i="7" s="1"/>
  <c r="I902" i="5"/>
  <c r="I902" i="7" s="1"/>
  <c r="H902" i="5"/>
  <c r="H902" i="7" s="1"/>
  <c r="G902" i="5"/>
  <c r="G902" i="7" s="1"/>
  <c r="F902" i="5"/>
  <c r="F902" i="7" s="1"/>
  <c r="E902" i="5"/>
  <c r="E902" i="7" s="1"/>
  <c r="D902" i="5"/>
  <c r="D902" i="7" s="1"/>
  <c r="C902" i="5"/>
  <c r="C902" i="7" s="1"/>
  <c r="B902" i="5"/>
  <c r="B902" i="7" s="1"/>
  <c r="K901" i="5"/>
  <c r="K901" i="7" s="1"/>
  <c r="J901" i="5"/>
  <c r="J901" i="7" s="1"/>
  <c r="I901" i="5"/>
  <c r="I901" i="7" s="1"/>
  <c r="H901" i="5"/>
  <c r="H901" i="7" s="1"/>
  <c r="G901" i="5"/>
  <c r="G901" i="7" s="1"/>
  <c r="F901" i="5"/>
  <c r="F901" i="7" s="1"/>
  <c r="E901" i="5"/>
  <c r="E901" i="7" s="1"/>
  <c r="D901" i="5"/>
  <c r="D901" i="7" s="1"/>
  <c r="C901" i="5"/>
  <c r="C901" i="7" s="1"/>
  <c r="B901" i="5"/>
  <c r="B901" i="7" s="1"/>
  <c r="J900" i="5"/>
  <c r="J900" i="7" s="1"/>
  <c r="I900" i="5"/>
  <c r="I900" i="7" s="1"/>
  <c r="H900" i="5"/>
  <c r="H900" i="7" s="1"/>
  <c r="G900" i="5"/>
  <c r="G900" i="7" s="1"/>
  <c r="F900" i="5"/>
  <c r="F900" i="7" s="1"/>
  <c r="E900" i="5"/>
  <c r="E900" i="7" s="1"/>
  <c r="D900" i="5"/>
  <c r="D900" i="7" s="1"/>
  <c r="C900" i="5"/>
  <c r="C900" i="7" s="1"/>
  <c r="B900" i="5"/>
  <c r="B900" i="7" s="1"/>
  <c r="J899" i="5"/>
  <c r="J899" i="7" s="1"/>
  <c r="I899" i="5"/>
  <c r="I899" i="7" s="1"/>
  <c r="H899" i="5"/>
  <c r="H899" i="7" s="1"/>
  <c r="G899" i="5"/>
  <c r="G899" i="7" s="1"/>
  <c r="F899" i="5"/>
  <c r="F899" i="7" s="1"/>
  <c r="E899" i="5"/>
  <c r="E899" i="7" s="1"/>
  <c r="D899" i="5"/>
  <c r="D899" i="7" s="1"/>
  <c r="C899" i="5"/>
  <c r="C899" i="7" s="1"/>
  <c r="B899" i="5"/>
  <c r="B899" i="7" s="1"/>
  <c r="J898" i="5"/>
  <c r="J898" i="7" s="1"/>
  <c r="I898" i="5"/>
  <c r="I898" i="7" s="1"/>
  <c r="H898" i="5"/>
  <c r="H898" i="7" s="1"/>
  <c r="G898" i="5"/>
  <c r="G898" i="7" s="1"/>
  <c r="F898" i="5"/>
  <c r="F898" i="7" s="1"/>
  <c r="E898" i="5"/>
  <c r="E898" i="7" s="1"/>
  <c r="D898" i="5"/>
  <c r="D898" i="7" s="1"/>
  <c r="C898" i="5"/>
  <c r="C898" i="7" s="1"/>
  <c r="B898" i="5"/>
  <c r="B898" i="7" s="1"/>
  <c r="J897" i="5"/>
  <c r="J897" i="7" s="1"/>
  <c r="I897" i="5"/>
  <c r="I897" i="7" s="1"/>
  <c r="H897" i="5"/>
  <c r="H897" i="7" s="1"/>
  <c r="G897" i="5"/>
  <c r="G897" i="7" s="1"/>
  <c r="F897" i="5"/>
  <c r="F897" i="7" s="1"/>
  <c r="E897" i="5"/>
  <c r="E897" i="7" s="1"/>
  <c r="D897" i="5"/>
  <c r="D897" i="7" s="1"/>
  <c r="C897" i="5"/>
  <c r="C897" i="7" s="1"/>
  <c r="B897" i="5"/>
  <c r="B897" i="7" s="1"/>
  <c r="K896" i="5"/>
  <c r="K896" i="7" s="1"/>
  <c r="J896" i="5"/>
  <c r="J896" i="7" s="1"/>
  <c r="I896" i="5"/>
  <c r="I896" i="7" s="1"/>
  <c r="H896" i="5"/>
  <c r="H896" i="7" s="1"/>
  <c r="G896" i="5"/>
  <c r="G896" i="7" s="1"/>
  <c r="F896" i="5"/>
  <c r="F896" i="7" s="1"/>
  <c r="E896" i="5"/>
  <c r="E896" i="7" s="1"/>
  <c r="D896" i="5"/>
  <c r="D896" i="7" s="1"/>
  <c r="C896" i="5"/>
  <c r="C896" i="7" s="1"/>
  <c r="B896" i="5"/>
  <c r="B896" i="7" s="1"/>
  <c r="K895" i="5"/>
  <c r="K895" i="7" s="1"/>
  <c r="J895" i="5"/>
  <c r="J895" i="7" s="1"/>
  <c r="I895" i="5"/>
  <c r="I895" i="7" s="1"/>
  <c r="H895" i="5"/>
  <c r="H895" i="7" s="1"/>
  <c r="G895" i="5"/>
  <c r="G895" i="7" s="1"/>
  <c r="F895" i="5"/>
  <c r="F895" i="7" s="1"/>
  <c r="E895" i="5"/>
  <c r="E895" i="7" s="1"/>
  <c r="D895" i="5"/>
  <c r="D895" i="7" s="1"/>
  <c r="C895" i="5"/>
  <c r="C895" i="7" s="1"/>
  <c r="B895" i="5"/>
  <c r="B895" i="7" s="1"/>
  <c r="J894" i="5"/>
  <c r="J894" i="7" s="1"/>
  <c r="I894" i="5"/>
  <c r="I894" i="7" s="1"/>
  <c r="H894" i="5"/>
  <c r="H894" i="7" s="1"/>
  <c r="G894" i="5"/>
  <c r="G894" i="7" s="1"/>
  <c r="F894" i="5"/>
  <c r="F894" i="7" s="1"/>
  <c r="E894" i="5"/>
  <c r="D894" i="5"/>
  <c r="D894" i="7" s="1"/>
  <c r="C894" i="5"/>
  <c r="C894" i="7" s="1"/>
  <c r="B894" i="5"/>
  <c r="B894" i="7" s="1"/>
  <c r="J893" i="5"/>
  <c r="J893" i="7" s="1"/>
  <c r="I893" i="5"/>
  <c r="I893" i="7" s="1"/>
  <c r="H893" i="5"/>
  <c r="H893" i="7" s="1"/>
  <c r="G893" i="5"/>
  <c r="G893" i="7" s="1"/>
  <c r="F893" i="5"/>
  <c r="F893" i="7" s="1"/>
  <c r="E893" i="5"/>
  <c r="D893" i="5"/>
  <c r="D893" i="7" s="1"/>
  <c r="C893" i="5"/>
  <c r="C893" i="7" s="1"/>
  <c r="B893" i="5"/>
  <c r="B893" i="7" s="1"/>
  <c r="K892" i="5"/>
  <c r="K892" i="7" s="1"/>
  <c r="J892" i="5"/>
  <c r="J892" i="7" s="1"/>
  <c r="I892" i="5"/>
  <c r="I892" i="7" s="1"/>
  <c r="H892" i="5"/>
  <c r="H892" i="7" s="1"/>
  <c r="G892" i="5"/>
  <c r="G892" i="7" s="1"/>
  <c r="F892" i="5"/>
  <c r="F892" i="7" s="1"/>
  <c r="E892" i="5"/>
  <c r="E892" i="7" s="1"/>
  <c r="D892" i="5"/>
  <c r="D892" i="7" s="1"/>
  <c r="C892" i="5"/>
  <c r="C892" i="7" s="1"/>
  <c r="B892" i="5"/>
  <c r="B892" i="7" s="1"/>
  <c r="K891" i="5"/>
  <c r="K891" i="7" s="1"/>
  <c r="J891" i="5"/>
  <c r="J891" i="7" s="1"/>
  <c r="I891" i="5"/>
  <c r="I891" i="7" s="1"/>
  <c r="H891" i="5"/>
  <c r="H891" i="7" s="1"/>
  <c r="G891" i="5"/>
  <c r="G891" i="7" s="1"/>
  <c r="F891" i="5"/>
  <c r="F891" i="7" s="1"/>
  <c r="E891" i="5"/>
  <c r="E891" i="7" s="1"/>
  <c r="D891" i="5"/>
  <c r="D891" i="7" s="1"/>
  <c r="C891" i="5"/>
  <c r="C891" i="7" s="1"/>
  <c r="B891" i="5"/>
  <c r="B891" i="7" s="1"/>
  <c r="J890" i="5"/>
  <c r="J890" i="7" s="1"/>
  <c r="I890" i="5"/>
  <c r="I890" i="7" s="1"/>
  <c r="H890" i="5"/>
  <c r="H890" i="7" s="1"/>
  <c r="G890" i="5"/>
  <c r="G890" i="7" s="1"/>
  <c r="F890" i="5"/>
  <c r="F890" i="7" s="1"/>
  <c r="E890" i="5"/>
  <c r="E890" i="7" s="1"/>
  <c r="D890" i="5"/>
  <c r="D890" i="7" s="1"/>
  <c r="C890" i="5"/>
  <c r="C890" i="7" s="1"/>
  <c r="B890" i="5"/>
  <c r="B890" i="7" s="1"/>
  <c r="J889" i="5"/>
  <c r="J889" i="7" s="1"/>
  <c r="I889" i="5"/>
  <c r="I889" i="7" s="1"/>
  <c r="H889" i="5"/>
  <c r="H889" i="7" s="1"/>
  <c r="G889" i="5"/>
  <c r="G889" i="7" s="1"/>
  <c r="F889" i="5"/>
  <c r="F889" i="7" s="1"/>
  <c r="E889" i="5"/>
  <c r="D889" i="5"/>
  <c r="D889" i="7" s="1"/>
  <c r="C889" i="5"/>
  <c r="C889" i="7" s="1"/>
  <c r="B889" i="5"/>
  <c r="B889" i="7" s="1"/>
  <c r="K888" i="5"/>
  <c r="K888" i="7" s="1"/>
  <c r="J888" i="5"/>
  <c r="J888" i="7" s="1"/>
  <c r="I888" i="5"/>
  <c r="I888" i="7" s="1"/>
  <c r="H888" i="5"/>
  <c r="H888" i="7" s="1"/>
  <c r="G888" i="5"/>
  <c r="G888" i="7" s="1"/>
  <c r="F888" i="5"/>
  <c r="F888" i="7" s="1"/>
  <c r="E888" i="5"/>
  <c r="E888" i="7" s="1"/>
  <c r="D888" i="5"/>
  <c r="D888" i="7" s="1"/>
  <c r="C888" i="5"/>
  <c r="C888" i="7" s="1"/>
  <c r="B888" i="5"/>
  <c r="B888" i="7" s="1"/>
  <c r="K887" i="5"/>
  <c r="K887" i="7" s="1"/>
  <c r="J887" i="5"/>
  <c r="J887" i="7" s="1"/>
  <c r="I887" i="5"/>
  <c r="I887" i="7" s="1"/>
  <c r="H887" i="5"/>
  <c r="H887" i="7" s="1"/>
  <c r="G887" i="5"/>
  <c r="G887" i="7" s="1"/>
  <c r="F887" i="5"/>
  <c r="F887" i="7" s="1"/>
  <c r="E887" i="5"/>
  <c r="E887" i="7" s="1"/>
  <c r="D887" i="5"/>
  <c r="D887" i="7" s="1"/>
  <c r="C887" i="5"/>
  <c r="C887" i="7" s="1"/>
  <c r="B887" i="5"/>
  <c r="B887" i="7" s="1"/>
  <c r="J886" i="5"/>
  <c r="J886" i="7" s="1"/>
  <c r="I886" i="5"/>
  <c r="I886" i="7" s="1"/>
  <c r="H886" i="5"/>
  <c r="H886" i="7" s="1"/>
  <c r="G886" i="5"/>
  <c r="G886" i="7" s="1"/>
  <c r="F886" i="5"/>
  <c r="F886" i="7" s="1"/>
  <c r="E886" i="5"/>
  <c r="E886" i="7" s="1"/>
  <c r="D886" i="5"/>
  <c r="D886" i="7" s="1"/>
  <c r="C886" i="5"/>
  <c r="C886" i="7" s="1"/>
  <c r="B886" i="5"/>
  <c r="B886" i="7" s="1"/>
  <c r="K885" i="5"/>
  <c r="K885" i="7" s="1"/>
  <c r="J885" i="5"/>
  <c r="J885" i="7" s="1"/>
  <c r="I885" i="5"/>
  <c r="I885" i="7" s="1"/>
  <c r="H885" i="5"/>
  <c r="H885" i="7" s="1"/>
  <c r="G885" i="5"/>
  <c r="G885" i="7" s="1"/>
  <c r="F885" i="5"/>
  <c r="F885" i="7" s="1"/>
  <c r="E885" i="5"/>
  <c r="E885" i="7" s="1"/>
  <c r="D885" i="5"/>
  <c r="D885" i="7" s="1"/>
  <c r="C885" i="5"/>
  <c r="C885" i="7" s="1"/>
  <c r="B885" i="5"/>
  <c r="B885" i="7" s="1"/>
  <c r="J884" i="5"/>
  <c r="J884" i="7" s="1"/>
  <c r="I884" i="5"/>
  <c r="I884" i="7" s="1"/>
  <c r="H884" i="5"/>
  <c r="H884" i="7" s="1"/>
  <c r="G884" i="5"/>
  <c r="G884" i="7" s="1"/>
  <c r="F884" i="5"/>
  <c r="F884" i="7" s="1"/>
  <c r="E884" i="5"/>
  <c r="E884" i="7" s="1"/>
  <c r="D884" i="5"/>
  <c r="D884" i="7" s="1"/>
  <c r="C884" i="5"/>
  <c r="C884" i="7" s="1"/>
  <c r="B884" i="5"/>
  <c r="B884" i="7" s="1"/>
  <c r="J883" i="5"/>
  <c r="J883" i="7" s="1"/>
  <c r="I883" i="5"/>
  <c r="I883" i="7" s="1"/>
  <c r="H883" i="5"/>
  <c r="H883" i="7" s="1"/>
  <c r="G883" i="5"/>
  <c r="G883" i="7" s="1"/>
  <c r="F883" i="5"/>
  <c r="F883" i="7" s="1"/>
  <c r="E883" i="5"/>
  <c r="E883" i="7" s="1"/>
  <c r="D883" i="5"/>
  <c r="D883" i="7" s="1"/>
  <c r="C883" i="5"/>
  <c r="C883" i="7" s="1"/>
  <c r="B883" i="5"/>
  <c r="B883" i="7" s="1"/>
  <c r="K882" i="5"/>
  <c r="K882" i="7" s="1"/>
  <c r="J882" i="5"/>
  <c r="J882" i="7" s="1"/>
  <c r="I882" i="5"/>
  <c r="I882" i="7" s="1"/>
  <c r="H882" i="5"/>
  <c r="H882" i="7" s="1"/>
  <c r="G882" i="5"/>
  <c r="G882" i="7" s="1"/>
  <c r="F882" i="5"/>
  <c r="F882" i="7" s="1"/>
  <c r="E882" i="5"/>
  <c r="E882" i="7" s="1"/>
  <c r="D882" i="5"/>
  <c r="D882" i="7" s="1"/>
  <c r="C882" i="5"/>
  <c r="C882" i="7" s="1"/>
  <c r="B882" i="5"/>
  <c r="B882" i="7" s="1"/>
  <c r="L881" i="5"/>
  <c r="L881" i="7" s="1"/>
  <c r="K881" i="5"/>
  <c r="K881" i="7" s="1"/>
  <c r="J881" i="5"/>
  <c r="J881" i="7" s="1"/>
  <c r="I881" i="5"/>
  <c r="I881" i="7" s="1"/>
  <c r="H881" i="5"/>
  <c r="H881" i="7" s="1"/>
  <c r="G881" i="5"/>
  <c r="G881" i="7" s="1"/>
  <c r="F881" i="5"/>
  <c r="F881" i="7" s="1"/>
  <c r="E881" i="5"/>
  <c r="E881" i="7" s="1"/>
  <c r="D881" i="5"/>
  <c r="D881" i="7" s="1"/>
  <c r="C881" i="5"/>
  <c r="C881" i="7" s="1"/>
  <c r="B881" i="5"/>
  <c r="B881" i="7" s="1"/>
  <c r="L880" i="5"/>
  <c r="L880" i="7" s="1"/>
  <c r="J880" i="5"/>
  <c r="J880" i="7" s="1"/>
  <c r="I880" i="5"/>
  <c r="I880" i="7" s="1"/>
  <c r="H880" i="5"/>
  <c r="H880" i="7" s="1"/>
  <c r="G880" i="5"/>
  <c r="G880" i="7" s="1"/>
  <c r="F880" i="5"/>
  <c r="F880" i="7" s="1"/>
  <c r="E880" i="5"/>
  <c r="D880" i="5"/>
  <c r="D880" i="7" s="1"/>
  <c r="C880" i="5"/>
  <c r="C880" i="7" s="1"/>
  <c r="B880" i="5"/>
  <c r="B880" i="7" s="1"/>
  <c r="L879" i="5"/>
  <c r="L879" i="7" s="1"/>
  <c r="J879" i="5"/>
  <c r="J879" i="7" s="1"/>
  <c r="I879" i="5"/>
  <c r="I879" i="7" s="1"/>
  <c r="H879" i="5"/>
  <c r="H879" i="7" s="1"/>
  <c r="G879" i="5"/>
  <c r="G879" i="7" s="1"/>
  <c r="F879" i="5"/>
  <c r="F879" i="7" s="1"/>
  <c r="E879" i="5"/>
  <c r="D879" i="5"/>
  <c r="D879" i="7" s="1"/>
  <c r="C879" i="5"/>
  <c r="C879" i="7" s="1"/>
  <c r="B879" i="5"/>
  <c r="B879" i="7" s="1"/>
  <c r="L878" i="5"/>
  <c r="L878" i="7" s="1"/>
  <c r="K878" i="5"/>
  <c r="K878" i="7" s="1"/>
  <c r="J878" i="5"/>
  <c r="J878" i="7" s="1"/>
  <c r="I878" i="5"/>
  <c r="I878" i="7" s="1"/>
  <c r="H878" i="5"/>
  <c r="H878" i="7" s="1"/>
  <c r="G878" i="5"/>
  <c r="G878" i="7" s="1"/>
  <c r="F878" i="5"/>
  <c r="F878" i="7" s="1"/>
  <c r="E878" i="5"/>
  <c r="E878" i="7" s="1"/>
  <c r="D878" i="5"/>
  <c r="D878" i="7" s="1"/>
  <c r="C878" i="5"/>
  <c r="C878" i="7" s="1"/>
  <c r="B878" i="5"/>
  <c r="B878" i="7" s="1"/>
  <c r="L877" i="5"/>
  <c r="L877" i="7" s="1"/>
  <c r="K877" i="5"/>
  <c r="K877" i="7" s="1"/>
  <c r="J877" i="5"/>
  <c r="J877" i="7" s="1"/>
  <c r="I877" i="5"/>
  <c r="I877" i="7" s="1"/>
  <c r="H877" i="5"/>
  <c r="H877" i="7" s="1"/>
  <c r="G877" i="5"/>
  <c r="G877" i="7" s="1"/>
  <c r="F877" i="5"/>
  <c r="F877" i="7" s="1"/>
  <c r="E877" i="5"/>
  <c r="E877" i="7" s="1"/>
  <c r="D877" i="5"/>
  <c r="D877" i="7" s="1"/>
  <c r="C877" i="5"/>
  <c r="C877" i="7" s="1"/>
  <c r="B877" i="5"/>
  <c r="B877" i="7" s="1"/>
  <c r="L876" i="5"/>
  <c r="L876" i="7" s="1"/>
  <c r="K876" i="5"/>
  <c r="K876" i="7" s="1"/>
  <c r="J876" i="5"/>
  <c r="J876" i="7" s="1"/>
  <c r="I876" i="5"/>
  <c r="I876" i="7" s="1"/>
  <c r="H876" i="5"/>
  <c r="H876" i="7" s="1"/>
  <c r="G876" i="5"/>
  <c r="G876" i="7" s="1"/>
  <c r="F876" i="5"/>
  <c r="F876" i="7" s="1"/>
  <c r="E876" i="5"/>
  <c r="E876" i="7" s="1"/>
  <c r="D876" i="5"/>
  <c r="D876" i="7" s="1"/>
  <c r="C876" i="5"/>
  <c r="C876" i="7" s="1"/>
  <c r="B876" i="5"/>
  <c r="B876" i="7" s="1"/>
  <c r="L875" i="5"/>
  <c r="L875" i="7" s="1"/>
  <c r="J875" i="5"/>
  <c r="J875" i="7" s="1"/>
  <c r="I875" i="5"/>
  <c r="I875" i="7" s="1"/>
  <c r="H875" i="5"/>
  <c r="H875" i="7" s="1"/>
  <c r="G875" i="5"/>
  <c r="G875" i="7" s="1"/>
  <c r="F875" i="5"/>
  <c r="F875" i="7" s="1"/>
  <c r="E875" i="5"/>
  <c r="D875" i="5"/>
  <c r="D875" i="7" s="1"/>
  <c r="C875" i="5"/>
  <c r="C875" i="7" s="1"/>
  <c r="B875" i="5"/>
  <c r="B875" i="7" s="1"/>
  <c r="L874" i="5"/>
  <c r="L874" i="7" s="1"/>
  <c r="K874" i="5"/>
  <c r="K874" i="7" s="1"/>
  <c r="J874" i="5"/>
  <c r="J874" i="7" s="1"/>
  <c r="I874" i="5"/>
  <c r="I874" i="7" s="1"/>
  <c r="H874" i="5"/>
  <c r="H874" i="7" s="1"/>
  <c r="G874" i="5"/>
  <c r="G874" i="7" s="1"/>
  <c r="F874" i="5"/>
  <c r="F874" i="7" s="1"/>
  <c r="E874" i="5"/>
  <c r="E874" i="7" s="1"/>
  <c r="D874" i="5"/>
  <c r="D874" i="7" s="1"/>
  <c r="C874" i="5"/>
  <c r="C874" i="7" s="1"/>
  <c r="B874" i="5"/>
  <c r="B874" i="7" s="1"/>
  <c r="L873" i="5"/>
  <c r="L873" i="7" s="1"/>
  <c r="K873" i="5"/>
  <c r="K873" i="7" s="1"/>
  <c r="J873" i="5"/>
  <c r="J873" i="7" s="1"/>
  <c r="I873" i="5"/>
  <c r="I873" i="7" s="1"/>
  <c r="H873" i="5"/>
  <c r="H873" i="7" s="1"/>
  <c r="G873" i="5"/>
  <c r="G873" i="7" s="1"/>
  <c r="F873" i="5"/>
  <c r="F873" i="7" s="1"/>
  <c r="E873" i="5"/>
  <c r="E873" i="7" s="1"/>
  <c r="D873" i="5"/>
  <c r="D873" i="7" s="1"/>
  <c r="C873" i="5"/>
  <c r="C873" i="7" s="1"/>
  <c r="B873" i="5"/>
  <c r="B873" i="7" s="1"/>
  <c r="L872" i="5"/>
  <c r="L872" i="7" s="1"/>
  <c r="J872" i="5"/>
  <c r="J872" i="7" s="1"/>
  <c r="I872" i="5"/>
  <c r="I872" i="7" s="1"/>
  <c r="H872" i="5"/>
  <c r="H872" i="7" s="1"/>
  <c r="G872" i="5"/>
  <c r="G872" i="7" s="1"/>
  <c r="F872" i="5"/>
  <c r="F872" i="7" s="1"/>
  <c r="E872" i="5"/>
  <c r="E872" i="7" s="1"/>
  <c r="D872" i="5"/>
  <c r="D872" i="7" s="1"/>
  <c r="C872" i="5"/>
  <c r="C872" i="7" s="1"/>
  <c r="B872" i="5"/>
  <c r="B872" i="7" s="1"/>
  <c r="L871" i="5"/>
  <c r="L871" i="7" s="1"/>
  <c r="K871" i="5"/>
  <c r="K871" i="7" s="1"/>
  <c r="J871" i="5"/>
  <c r="J871" i="7" s="1"/>
  <c r="I871" i="5"/>
  <c r="I871" i="7" s="1"/>
  <c r="H871" i="5"/>
  <c r="H871" i="7" s="1"/>
  <c r="G871" i="5"/>
  <c r="G871" i="7" s="1"/>
  <c r="F871" i="5"/>
  <c r="F871" i="7" s="1"/>
  <c r="E871" i="5"/>
  <c r="E871" i="7" s="1"/>
  <c r="D871" i="5"/>
  <c r="D871" i="7" s="1"/>
  <c r="C871" i="5"/>
  <c r="C871" i="7" s="1"/>
  <c r="B871" i="5"/>
  <c r="B871" i="7" s="1"/>
  <c r="L870" i="5"/>
  <c r="L870" i="7" s="1"/>
  <c r="J870" i="5"/>
  <c r="J870" i="7" s="1"/>
  <c r="I870" i="5"/>
  <c r="I870" i="7" s="1"/>
  <c r="H870" i="5"/>
  <c r="H870" i="7" s="1"/>
  <c r="G870" i="5"/>
  <c r="G870" i="7" s="1"/>
  <c r="F870" i="5"/>
  <c r="F870" i="7" s="1"/>
  <c r="E870" i="5"/>
  <c r="E870" i="7" s="1"/>
  <c r="D870" i="5"/>
  <c r="D870" i="7" s="1"/>
  <c r="C870" i="5"/>
  <c r="C870" i="7" s="1"/>
  <c r="B870" i="5"/>
  <c r="B870" i="7" s="1"/>
  <c r="L869" i="5"/>
  <c r="L869" i="7" s="1"/>
  <c r="J869" i="5"/>
  <c r="J869" i="7" s="1"/>
  <c r="I869" i="5"/>
  <c r="I869" i="7" s="1"/>
  <c r="H869" i="5"/>
  <c r="H869" i="7" s="1"/>
  <c r="G869" i="5"/>
  <c r="G869" i="7" s="1"/>
  <c r="F869" i="5"/>
  <c r="F869" i="7" s="1"/>
  <c r="E869" i="5"/>
  <c r="E869" i="7" s="1"/>
  <c r="D869" i="5"/>
  <c r="D869" i="7" s="1"/>
  <c r="C869" i="5"/>
  <c r="C869" i="7" s="1"/>
  <c r="B869" i="5"/>
  <c r="B869" i="7" s="1"/>
  <c r="L868" i="5"/>
  <c r="L868" i="7" s="1"/>
  <c r="K868" i="5"/>
  <c r="K868" i="7" s="1"/>
  <c r="J868" i="5"/>
  <c r="J868" i="7" s="1"/>
  <c r="I868" i="5"/>
  <c r="I868" i="7" s="1"/>
  <c r="H868" i="5"/>
  <c r="H868" i="7" s="1"/>
  <c r="G868" i="5"/>
  <c r="G868" i="7" s="1"/>
  <c r="F868" i="5"/>
  <c r="F868" i="7" s="1"/>
  <c r="E868" i="5"/>
  <c r="E868" i="7" s="1"/>
  <c r="D868" i="5"/>
  <c r="D868" i="7" s="1"/>
  <c r="C868" i="5"/>
  <c r="C868" i="7" s="1"/>
  <c r="B868" i="5"/>
  <c r="B868" i="7" s="1"/>
  <c r="L867" i="5"/>
  <c r="L867" i="7" s="1"/>
  <c r="K867" i="5"/>
  <c r="K867" i="7" s="1"/>
  <c r="J867" i="5"/>
  <c r="J867" i="7" s="1"/>
  <c r="I867" i="5"/>
  <c r="I867" i="7" s="1"/>
  <c r="H867" i="5"/>
  <c r="H867" i="7" s="1"/>
  <c r="G867" i="5"/>
  <c r="G867" i="7" s="1"/>
  <c r="F867" i="5"/>
  <c r="F867" i="7" s="1"/>
  <c r="E867" i="5"/>
  <c r="E867" i="7" s="1"/>
  <c r="D867" i="5"/>
  <c r="D867" i="7" s="1"/>
  <c r="C867" i="5"/>
  <c r="C867" i="7" s="1"/>
  <c r="B867" i="5"/>
  <c r="B867" i="7" s="1"/>
  <c r="L866" i="5"/>
  <c r="L866" i="7" s="1"/>
  <c r="J866" i="5"/>
  <c r="J866" i="7" s="1"/>
  <c r="I866" i="5"/>
  <c r="I866" i="7" s="1"/>
  <c r="H866" i="5"/>
  <c r="H866" i="7" s="1"/>
  <c r="G866" i="5"/>
  <c r="G866" i="7" s="1"/>
  <c r="F866" i="5"/>
  <c r="F866" i="7" s="1"/>
  <c r="E866" i="5"/>
  <c r="D866" i="5"/>
  <c r="D866" i="7" s="1"/>
  <c r="C866" i="5"/>
  <c r="C866" i="7" s="1"/>
  <c r="B866" i="5"/>
  <c r="B866" i="7" s="1"/>
  <c r="L865" i="5"/>
  <c r="L865" i="7" s="1"/>
  <c r="J865" i="5"/>
  <c r="J865" i="7" s="1"/>
  <c r="I865" i="5"/>
  <c r="I865" i="7" s="1"/>
  <c r="H865" i="5"/>
  <c r="H865" i="7" s="1"/>
  <c r="G865" i="5"/>
  <c r="G865" i="7" s="1"/>
  <c r="F865" i="5"/>
  <c r="F865" i="7" s="1"/>
  <c r="E865" i="5"/>
  <c r="D865" i="5"/>
  <c r="D865" i="7" s="1"/>
  <c r="C865" i="5"/>
  <c r="C865" i="7" s="1"/>
  <c r="B865" i="5"/>
  <c r="B865" i="7" s="1"/>
  <c r="L864" i="5"/>
  <c r="L864" i="7" s="1"/>
  <c r="J864" i="5"/>
  <c r="J864" i="7" s="1"/>
  <c r="I864" i="5"/>
  <c r="I864" i="7" s="1"/>
  <c r="H864" i="5"/>
  <c r="H864" i="7" s="1"/>
  <c r="G864" i="5"/>
  <c r="G864" i="7" s="1"/>
  <c r="F864" i="5"/>
  <c r="F864" i="7" s="1"/>
  <c r="E864" i="5"/>
  <c r="E864" i="7" s="1"/>
  <c r="D864" i="5"/>
  <c r="D864" i="7" s="1"/>
  <c r="C864" i="5"/>
  <c r="C864" i="7" s="1"/>
  <c r="B864" i="5"/>
  <c r="B864" i="7" s="1"/>
  <c r="L863" i="5"/>
  <c r="L863" i="7" s="1"/>
  <c r="K863" i="5"/>
  <c r="K863" i="7" s="1"/>
  <c r="J863" i="5"/>
  <c r="J863" i="7" s="1"/>
  <c r="I863" i="5"/>
  <c r="I863" i="7" s="1"/>
  <c r="H863" i="5"/>
  <c r="H863" i="7" s="1"/>
  <c r="G863" i="5"/>
  <c r="G863" i="7" s="1"/>
  <c r="F863" i="5"/>
  <c r="F863" i="7" s="1"/>
  <c r="E863" i="5"/>
  <c r="E863" i="7" s="1"/>
  <c r="D863" i="5"/>
  <c r="D863" i="7" s="1"/>
  <c r="C863" i="5"/>
  <c r="C863" i="7" s="1"/>
  <c r="B863" i="5"/>
  <c r="B863" i="7" s="1"/>
  <c r="L862" i="5"/>
  <c r="L862" i="7" s="1"/>
  <c r="K862" i="5"/>
  <c r="K862" i="7" s="1"/>
  <c r="J862" i="5"/>
  <c r="J862" i="7" s="1"/>
  <c r="I862" i="5"/>
  <c r="I862" i="7" s="1"/>
  <c r="H862" i="5"/>
  <c r="H862" i="7" s="1"/>
  <c r="G862" i="5"/>
  <c r="G862" i="7" s="1"/>
  <c r="F862" i="5"/>
  <c r="F862" i="7" s="1"/>
  <c r="E862" i="5"/>
  <c r="E862" i="7" s="1"/>
  <c r="D862" i="5"/>
  <c r="D862" i="7" s="1"/>
  <c r="C862" i="5"/>
  <c r="C862" i="7" s="1"/>
  <c r="B862" i="5"/>
  <c r="B862" i="7" s="1"/>
  <c r="L861" i="5"/>
  <c r="L861" i="7" s="1"/>
  <c r="J861" i="5"/>
  <c r="J861" i="7" s="1"/>
  <c r="I861" i="5"/>
  <c r="I861" i="7" s="1"/>
  <c r="H861" i="5"/>
  <c r="H861" i="7" s="1"/>
  <c r="G861" i="5"/>
  <c r="G861" i="7" s="1"/>
  <c r="F861" i="5"/>
  <c r="F861" i="7" s="1"/>
  <c r="E861" i="5"/>
  <c r="D861" i="5"/>
  <c r="D861" i="7" s="1"/>
  <c r="C861" i="5"/>
  <c r="C861" i="7" s="1"/>
  <c r="B861" i="5"/>
  <c r="B861" i="7" s="1"/>
  <c r="L860" i="5"/>
  <c r="L860" i="7" s="1"/>
  <c r="K860" i="5"/>
  <c r="K860" i="7" s="1"/>
  <c r="J860" i="5"/>
  <c r="J860" i="7" s="1"/>
  <c r="I860" i="5"/>
  <c r="I860" i="7" s="1"/>
  <c r="H860" i="5"/>
  <c r="H860" i="7" s="1"/>
  <c r="G860" i="5"/>
  <c r="G860" i="7" s="1"/>
  <c r="F860" i="5"/>
  <c r="F860" i="7" s="1"/>
  <c r="E860" i="5"/>
  <c r="E860" i="7" s="1"/>
  <c r="D860" i="5"/>
  <c r="D860" i="7" s="1"/>
  <c r="C860" i="5"/>
  <c r="C860" i="7" s="1"/>
  <c r="B860" i="5"/>
  <c r="B860" i="7" s="1"/>
  <c r="L859" i="5"/>
  <c r="L859" i="7" s="1"/>
  <c r="K859" i="5"/>
  <c r="K859" i="7" s="1"/>
  <c r="J859" i="5"/>
  <c r="J859" i="7" s="1"/>
  <c r="I859" i="5"/>
  <c r="I859" i="7" s="1"/>
  <c r="H859" i="5"/>
  <c r="H859" i="7" s="1"/>
  <c r="G859" i="5"/>
  <c r="G859" i="7" s="1"/>
  <c r="F859" i="5"/>
  <c r="F859" i="7" s="1"/>
  <c r="E859" i="5"/>
  <c r="E859" i="7" s="1"/>
  <c r="D859" i="5"/>
  <c r="D859" i="7" s="1"/>
  <c r="C859" i="5"/>
  <c r="C859" i="7" s="1"/>
  <c r="B859" i="5"/>
  <c r="B859" i="7" s="1"/>
  <c r="L858" i="5"/>
  <c r="L858" i="7" s="1"/>
  <c r="J858" i="5"/>
  <c r="J858" i="7" s="1"/>
  <c r="I858" i="5"/>
  <c r="I858" i="7" s="1"/>
  <c r="H858" i="5"/>
  <c r="H858" i="7" s="1"/>
  <c r="G858" i="5"/>
  <c r="G858" i="7" s="1"/>
  <c r="F858" i="5"/>
  <c r="F858" i="7" s="1"/>
  <c r="E858" i="5"/>
  <c r="E858" i="7" s="1"/>
  <c r="D858" i="5"/>
  <c r="D858" i="7" s="1"/>
  <c r="C858" i="5"/>
  <c r="C858" i="7" s="1"/>
  <c r="B858" i="5"/>
  <c r="B858" i="7" s="1"/>
  <c r="L857" i="5"/>
  <c r="L857" i="7" s="1"/>
  <c r="K857" i="5"/>
  <c r="K857" i="7" s="1"/>
  <c r="J857" i="5"/>
  <c r="J857" i="7" s="1"/>
  <c r="I857" i="5"/>
  <c r="I857" i="7" s="1"/>
  <c r="H857" i="5"/>
  <c r="H857" i="7" s="1"/>
  <c r="G857" i="5"/>
  <c r="G857" i="7" s="1"/>
  <c r="F857" i="5"/>
  <c r="F857" i="7" s="1"/>
  <c r="E857" i="5"/>
  <c r="E857" i="7" s="1"/>
  <c r="D857" i="5"/>
  <c r="D857" i="7" s="1"/>
  <c r="C857" i="5"/>
  <c r="C857" i="7" s="1"/>
  <c r="B857" i="5"/>
  <c r="B857" i="7" s="1"/>
  <c r="L856" i="5"/>
  <c r="L856" i="7" s="1"/>
  <c r="J856" i="5"/>
  <c r="J856" i="7" s="1"/>
  <c r="I856" i="5"/>
  <c r="I856" i="7" s="1"/>
  <c r="H856" i="5"/>
  <c r="H856" i="7" s="1"/>
  <c r="G856" i="5"/>
  <c r="G856" i="7" s="1"/>
  <c r="F856" i="5"/>
  <c r="F856" i="7" s="1"/>
  <c r="E856" i="5"/>
  <c r="E856" i="7" s="1"/>
  <c r="D856" i="5"/>
  <c r="D856" i="7" s="1"/>
  <c r="C856" i="5"/>
  <c r="C856" i="7" s="1"/>
  <c r="B856" i="5"/>
  <c r="B856" i="7" s="1"/>
  <c r="L855" i="5"/>
  <c r="L855" i="7" s="1"/>
  <c r="J855" i="5"/>
  <c r="J855" i="7" s="1"/>
  <c r="I855" i="5"/>
  <c r="I855" i="7" s="1"/>
  <c r="H855" i="5"/>
  <c r="H855" i="7" s="1"/>
  <c r="G855" i="5"/>
  <c r="G855" i="7" s="1"/>
  <c r="F855" i="5"/>
  <c r="F855" i="7" s="1"/>
  <c r="E855" i="5"/>
  <c r="E855" i="7" s="1"/>
  <c r="D855" i="5"/>
  <c r="D855" i="7" s="1"/>
  <c r="C855" i="5"/>
  <c r="C855" i="7" s="1"/>
  <c r="B855" i="5"/>
  <c r="B855" i="7" s="1"/>
  <c r="L854" i="5"/>
  <c r="L854" i="7" s="1"/>
  <c r="K854" i="5"/>
  <c r="K854" i="7" s="1"/>
  <c r="J854" i="5"/>
  <c r="J854" i="7" s="1"/>
  <c r="I854" i="5"/>
  <c r="I854" i="7" s="1"/>
  <c r="H854" i="5"/>
  <c r="H854" i="7" s="1"/>
  <c r="G854" i="5"/>
  <c r="G854" i="7" s="1"/>
  <c r="F854" i="5"/>
  <c r="F854" i="7" s="1"/>
  <c r="E854" i="5"/>
  <c r="E854" i="7" s="1"/>
  <c r="D854" i="5"/>
  <c r="D854" i="7" s="1"/>
  <c r="C854" i="5"/>
  <c r="C854" i="7" s="1"/>
  <c r="B854" i="5"/>
  <c r="B854" i="7" s="1"/>
  <c r="L853" i="5"/>
  <c r="L853" i="7" s="1"/>
  <c r="K853" i="5"/>
  <c r="K853" i="7" s="1"/>
  <c r="J853" i="5"/>
  <c r="J853" i="7" s="1"/>
  <c r="I853" i="5"/>
  <c r="I853" i="7" s="1"/>
  <c r="H853" i="5"/>
  <c r="H853" i="7" s="1"/>
  <c r="G853" i="5"/>
  <c r="G853" i="7" s="1"/>
  <c r="F853" i="5"/>
  <c r="F853" i="7" s="1"/>
  <c r="E853" i="5"/>
  <c r="E853" i="7" s="1"/>
  <c r="D853" i="5"/>
  <c r="D853" i="7" s="1"/>
  <c r="C853" i="5"/>
  <c r="C853" i="7" s="1"/>
  <c r="B853" i="5"/>
  <c r="B853" i="7" s="1"/>
  <c r="L852" i="5"/>
  <c r="L852" i="7" s="1"/>
  <c r="J852" i="5"/>
  <c r="J852" i="7" s="1"/>
  <c r="I852" i="5"/>
  <c r="I852" i="7" s="1"/>
  <c r="H852" i="5"/>
  <c r="H852" i="7" s="1"/>
  <c r="G852" i="5"/>
  <c r="G852" i="7" s="1"/>
  <c r="F852" i="5"/>
  <c r="F852" i="7" s="1"/>
  <c r="E852" i="5"/>
  <c r="D852" i="5"/>
  <c r="D852" i="7" s="1"/>
  <c r="C852" i="5"/>
  <c r="C852" i="7" s="1"/>
  <c r="B852" i="5"/>
  <c r="B852" i="7" s="1"/>
  <c r="L851" i="5"/>
  <c r="L851" i="7" s="1"/>
  <c r="J851" i="5"/>
  <c r="J851" i="7" s="1"/>
  <c r="I851" i="5"/>
  <c r="I851" i="7" s="1"/>
  <c r="H851" i="5"/>
  <c r="H851" i="7" s="1"/>
  <c r="G851" i="5"/>
  <c r="G851" i="7" s="1"/>
  <c r="F851" i="5"/>
  <c r="F851" i="7" s="1"/>
  <c r="E851" i="5"/>
  <c r="D851" i="5"/>
  <c r="D851" i="7" s="1"/>
  <c r="C851" i="5"/>
  <c r="C851" i="7" s="1"/>
  <c r="B851" i="5"/>
  <c r="B851" i="7" s="1"/>
  <c r="L850" i="5"/>
  <c r="L850" i="7" s="1"/>
  <c r="J850" i="5"/>
  <c r="J850" i="7" s="1"/>
  <c r="I850" i="5"/>
  <c r="I850" i="7" s="1"/>
  <c r="H850" i="5"/>
  <c r="H850" i="7" s="1"/>
  <c r="G850" i="5"/>
  <c r="G850" i="7" s="1"/>
  <c r="F850" i="5"/>
  <c r="F850" i="7" s="1"/>
  <c r="E850" i="5"/>
  <c r="E850" i="7" s="1"/>
  <c r="D850" i="5"/>
  <c r="D850" i="7" s="1"/>
  <c r="C850" i="5"/>
  <c r="C850" i="7" s="1"/>
  <c r="B850" i="5"/>
  <c r="B850" i="7" s="1"/>
  <c r="L849" i="5"/>
  <c r="L849" i="7" s="1"/>
  <c r="K849" i="5"/>
  <c r="K849" i="7" s="1"/>
  <c r="J849" i="5"/>
  <c r="J849" i="7" s="1"/>
  <c r="I849" i="5"/>
  <c r="I849" i="7" s="1"/>
  <c r="H849" i="5"/>
  <c r="H849" i="7" s="1"/>
  <c r="G849" i="5"/>
  <c r="G849" i="7" s="1"/>
  <c r="F849" i="5"/>
  <c r="F849" i="7" s="1"/>
  <c r="E849" i="5"/>
  <c r="E849" i="7" s="1"/>
  <c r="D849" i="5"/>
  <c r="D849" i="7" s="1"/>
  <c r="C849" i="5"/>
  <c r="C849" i="7" s="1"/>
  <c r="B849" i="5"/>
  <c r="B849" i="7" s="1"/>
  <c r="L848" i="5"/>
  <c r="L848" i="7" s="1"/>
  <c r="K848" i="5"/>
  <c r="K848" i="7" s="1"/>
  <c r="J848" i="5"/>
  <c r="J848" i="7" s="1"/>
  <c r="I848" i="5"/>
  <c r="I848" i="7" s="1"/>
  <c r="H848" i="5"/>
  <c r="H848" i="7" s="1"/>
  <c r="G848" i="5"/>
  <c r="G848" i="7" s="1"/>
  <c r="F848" i="5"/>
  <c r="F848" i="7" s="1"/>
  <c r="E848" i="5"/>
  <c r="E848" i="7" s="1"/>
  <c r="D848" i="5"/>
  <c r="D848" i="7" s="1"/>
  <c r="C848" i="5"/>
  <c r="C848" i="7" s="1"/>
  <c r="B848" i="5"/>
  <c r="B848" i="7" s="1"/>
  <c r="L847" i="5"/>
  <c r="L847" i="7" s="1"/>
  <c r="J847" i="5"/>
  <c r="J847" i="7" s="1"/>
  <c r="I847" i="5"/>
  <c r="I847" i="7" s="1"/>
  <c r="H847" i="5"/>
  <c r="H847" i="7" s="1"/>
  <c r="G847" i="5"/>
  <c r="G847" i="7" s="1"/>
  <c r="F847" i="5"/>
  <c r="F847" i="7" s="1"/>
  <c r="E847" i="5"/>
  <c r="D847" i="5"/>
  <c r="D847" i="7" s="1"/>
  <c r="C847" i="5"/>
  <c r="C847" i="7" s="1"/>
  <c r="B847" i="5"/>
  <c r="B847" i="7" s="1"/>
  <c r="L846" i="5"/>
  <c r="L846" i="7" s="1"/>
  <c r="K846" i="5"/>
  <c r="K846" i="7" s="1"/>
  <c r="J846" i="5"/>
  <c r="J846" i="7" s="1"/>
  <c r="I846" i="5"/>
  <c r="I846" i="7" s="1"/>
  <c r="H846" i="5"/>
  <c r="H846" i="7" s="1"/>
  <c r="G846" i="5"/>
  <c r="G846" i="7" s="1"/>
  <c r="F846" i="5"/>
  <c r="F846" i="7" s="1"/>
  <c r="E846" i="5"/>
  <c r="E846" i="7" s="1"/>
  <c r="D846" i="5"/>
  <c r="D846" i="7" s="1"/>
  <c r="C846" i="5"/>
  <c r="C846" i="7" s="1"/>
  <c r="B846" i="5"/>
  <c r="B846" i="7" s="1"/>
  <c r="L845" i="5"/>
  <c r="L845" i="7" s="1"/>
  <c r="K845" i="5"/>
  <c r="K845" i="7" s="1"/>
  <c r="J845" i="5"/>
  <c r="J845" i="7" s="1"/>
  <c r="I845" i="5"/>
  <c r="I845" i="7" s="1"/>
  <c r="H845" i="5"/>
  <c r="H845" i="7" s="1"/>
  <c r="G845" i="5"/>
  <c r="G845" i="7" s="1"/>
  <c r="F845" i="5"/>
  <c r="F845" i="7" s="1"/>
  <c r="E845" i="5"/>
  <c r="E845" i="7" s="1"/>
  <c r="D845" i="5"/>
  <c r="D845" i="7" s="1"/>
  <c r="C845" i="5"/>
  <c r="C845" i="7" s="1"/>
  <c r="B845" i="5"/>
  <c r="B845" i="7" s="1"/>
  <c r="L844" i="5"/>
  <c r="L844" i="7" s="1"/>
  <c r="J844" i="5"/>
  <c r="J844" i="7" s="1"/>
  <c r="I844" i="5"/>
  <c r="I844" i="7" s="1"/>
  <c r="H844" i="5"/>
  <c r="H844" i="7" s="1"/>
  <c r="G844" i="5"/>
  <c r="G844" i="7" s="1"/>
  <c r="F844" i="5"/>
  <c r="F844" i="7" s="1"/>
  <c r="E844" i="5"/>
  <c r="E844" i="7" s="1"/>
  <c r="D844" i="5"/>
  <c r="D844" i="7" s="1"/>
  <c r="C844" i="5"/>
  <c r="C844" i="7" s="1"/>
  <c r="B844" i="5"/>
  <c r="B844" i="7" s="1"/>
  <c r="L843" i="5"/>
  <c r="L843" i="7" s="1"/>
  <c r="K843" i="5"/>
  <c r="K843" i="7" s="1"/>
  <c r="J843" i="5"/>
  <c r="J843" i="7" s="1"/>
  <c r="I843" i="5"/>
  <c r="I843" i="7" s="1"/>
  <c r="H843" i="5"/>
  <c r="H843" i="7" s="1"/>
  <c r="G843" i="5"/>
  <c r="G843" i="7" s="1"/>
  <c r="F843" i="5"/>
  <c r="F843" i="7" s="1"/>
  <c r="E843" i="5"/>
  <c r="E843" i="7" s="1"/>
  <c r="D843" i="5"/>
  <c r="D843" i="7" s="1"/>
  <c r="C843" i="5"/>
  <c r="C843" i="7" s="1"/>
  <c r="B843" i="5"/>
  <c r="B843" i="7" s="1"/>
  <c r="L842" i="5"/>
  <c r="L842" i="7" s="1"/>
  <c r="J842" i="5"/>
  <c r="J842" i="7" s="1"/>
  <c r="I842" i="5"/>
  <c r="I842" i="7" s="1"/>
  <c r="H842" i="5"/>
  <c r="H842" i="7" s="1"/>
  <c r="G842" i="5"/>
  <c r="G842" i="7" s="1"/>
  <c r="F842" i="5"/>
  <c r="F842" i="7" s="1"/>
  <c r="E842" i="5"/>
  <c r="E842" i="7" s="1"/>
  <c r="D842" i="5"/>
  <c r="D842" i="7" s="1"/>
  <c r="C842" i="5"/>
  <c r="C842" i="7" s="1"/>
  <c r="B842" i="5"/>
  <c r="B842" i="7" s="1"/>
  <c r="L841" i="5"/>
  <c r="L841" i="7" s="1"/>
  <c r="J841" i="5"/>
  <c r="J841" i="7" s="1"/>
  <c r="I841" i="5"/>
  <c r="I841" i="7" s="1"/>
  <c r="H841" i="5"/>
  <c r="H841" i="7" s="1"/>
  <c r="G841" i="5"/>
  <c r="G841" i="7" s="1"/>
  <c r="F841" i="5"/>
  <c r="F841" i="7" s="1"/>
  <c r="E841" i="5"/>
  <c r="E841" i="7" s="1"/>
  <c r="D841" i="5"/>
  <c r="D841" i="7" s="1"/>
  <c r="C841" i="5"/>
  <c r="C841" i="7" s="1"/>
  <c r="B841" i="5"/>
  <c r="B841" i="7" s="1"/>
  <c r="L840" i="5"/>
  <c r="L840" i="7" s="1"/>
  <c r="K840" i="5"/>
  <c r="K840" i="7" s="1"/>
  <c r="J840" i="5"/>
  <c r="J840" i="7" s="1"/>
  <c r="I840" i="5"/>
  <c r="I840" i="7" s="1"/>
  <c r="H840" i="5"/>
  <c r="H840" i="7" s="1"/>
  <c r="G840" i="5"/>
  <c r="G840" i="7" s="1"/>
  <c r="F840" i="5"/>
  <c r="F840" i="7" s="1"/>
  <c r="E840" i="5"/>
  <c r="E840" i="7" s="1"/>
  <c r="D840" i="5"/>
  <c r="D840" i="7" s="1"/>
  <c r="C840" i="5"/>
  <c r="C840" i="7" s="1"/>
  <c r="B840" i="5"/>
  <c r="B840" i="7" s="1"/>
  <c r="L839" i="5"/>
  <c r="L839" i="7" s="1"/>
  <c r="K839" i="5"/>
  <c r="K839" i="7" s="1"/>
  <c r="J839" i="5"/>
  <c r="J839" i="7" s="1"/>
  <c r="I839" i="5"/>
  <c r="I839" i="7" s="1"/>
  <c r="H839" i="5"/>
  <c r="H839" i="7" s="1"/>
  <c r="G839" i="5"/>
  <c r="G839" i="7" s="1"/>
  <c r="F839" i="5"/>
  <c r="F839" i="7" s="1"/>
  <c r="E839" i="5"/>
  <c r="E839" i="7" s="1"/>
  <c r="D839" i="5"/>
  <c r="D839" i="7" s="1"/>
  <c r="C839" i="5"/>
  <c r="C839" i="7" s="1"/>
  <c r="B839" i="5"/>
  <c r="B839" i="7" s="1"/>
  <c r="L838" i="5"/>
  <c r="L838" i="7" s="1"/>
  <c r="J838" i="5"/>
  <c r="J838" i="7" s="1"/>
  <c r="I838" i="5"/>
  <c r="I838" i="7" s="1"/>
  <c r="H838" i="5"/>
  <c r="H838" i="7" s="1"/>
  <c r="G838" i="5"/>
  <c r="G838" i="7" s="1"/>
  <c r="F838" i="5"/>
  <c r="F838" i="7" s="1"/>
  <c r="E838" i="5"/>
  <c r="D838" i="5"/>
  <c r="D838" i="7" s="1"/>
  <c r="C838" i="5"/>
  <c r="C838" i="7" s="1"/>
  <c r="B838" i="5"/>
  <c r="B838" i="7" s="1"/>
  <c r="L837" i="5"/>
  <c r="L837" i="7" s="1"/>
  <c r="J837" i="5"/>
  <c r="J837" i="7" s="1"/>
  <c r="I837" i="5"/>
  <c r="I837" i="7" s="1"/>
  <c r="H837" i="5"/>
  <c r="H837" i="7" s="1"/>
  <c r="G837" i="5"/>
  <c r="G837" i="7" s="1"/>
  <c r="F837" i="5"/>
  <c r="F837" i="7" s="1"/>
  <c r="E837" i="5"/>
  <c r="D837" i="5"/>
  <c r="D837" i="7" s="1"/>
  <c r="C837" i="5"/>
  <c r="C837" i="7" s="1"/>
  <c r="B837" i="5"/>
  <c r="B837" i="7" s="1"/>
  <c r="L836" i="5"/>
  <c r="L836" i="7" s="1"/>
  <c r="J836" i="5"/>
  <c r="J836" i="7" s="1"/>
  <c r="I836" i="5"/>
  <c r="I836" i="7" s="1"/>
  <c r="H836" i="5"/>
  <c r="H836" i="7" s="1"/>
  <c r="G836" i="5"/>
  <c r="G836" i="7" s="1"/>
  <c r="F836" i="5"/>
  <c r="F836" i="7" s="1"/>
  <c r="E836" i="5"/>
  <c r="E836" i="7" s="1"/>
  <c r="D836" i="5"/>
  <c r="D836" i="7" s="1"/>
  <c r="C836" i="5"/>
  <c r="C836" i="7" s="1"/>
  <c r="B836" i="5"/>
  <c r="B836" i="7" s="1"/>
  <c r="L835" i="5"/>
  <c r="L835" i="7" s="1"/>
  <c r="K835" i="5"/>
  <c r="K835" i="7" s="1"/>
  <c r="J835" i="5"/>
  <c r="J835" i="7" s="1"/>
  <c r="I835" i="5"/>
  <c r="I835" i="7" s="1"/>
  <c r="H835" i="5"/>
  <c r="H835" i="7" s="1"/>
  <c r="G835" i="5"/>
  <c r="G835" i="7" s="1"/>
  <c r="F835" i="5"/>
  <c r="F835" i="7" s="1"/>
  <c r="E835" i="5"/>
  <c r="E835" i="7" s="1"/>
  <c r="D835" i="5"/>
  <c r="D835" i="7" s="1"/>
  <c r="C835" i="5"/>
  <c r="C835" i="7" s="1"/>
  <c r="B835" i="5"/>
  <c r="B835" i="7" s="1"/>
  <c r="L834" i="5"/>
  <c r="L834" i="7" s="1"/>
  <c r="K834" i="5"/>
  <c r="K834" i="7" s="1"/>
  <c r="J834" i="5"/>
  <c r="J834" i="7" s="1"/>
  <c r="I834" i="5"/>
  <c r="I834" i="7" s="1"/>
  <c r="H834" i="5"/>
  <c r="H834" i="7" s="1"/>
  <c r="G834" i="5"/>
  <c r="G834" i="7" s="1"/>
  <c r="F834" i="5"/>
  <c r="F834" i="7" s="1"/>
  <c r="E834" i="5"/>
  <c r="E834" i="7" s="1"/>
  <c r="D834" i="5"/>
  <c r="D834" i="7" s="1"/>
  <c r="C834" i="5"/>
  <c r="C834" i="7" s="1"/>
  <c r="B834" i="5"/>
  <c r="B834" i="7" s="1"/>
  <c r="L833" i="5"/>
  <c r="L833" i="7" s="1"/>
  <c r="J833" i="5"/>
  <c r="J833" i="7" s="1"/>
  <c r="I833" i="5"/>
  <c r="I833" i="7" s="1"/>
  <c r="H833" i="5"/>
  <c r="H833" i="7" s="1"/>
  <c r="G833" i="5"/>
  <c r="G833" i="7" s="1"/>
  <c r="F833" i="5"/>
  <c r="F833" i="7" s="1"/>
  <c r="E833" i="5"/>
  <c r="D833" i="5"/>
  <c r="D833" i="7" s="1"/>
  <c r="C833" i="5"/>
  <c r="C833" i="7" s="1"/>
  <c r="B833" i="5"/>
  <c r="B833" i="7" s="1"/>
  <c r="L832" i="5"/>
  <c r="L832" i="7" s="1"/>
  <c r="K832" i="5"/>
  <c r="K832" i="7" s="1"/>
  <c r="J832" i="5"/>
  <c r="J832" i="7" s="1"/>
  <c r="I832" i="5"/>
  <c r="I832" i="7" s="1"/>
  <c r="H832" i="5"/>
  <c r="H832" i="7" s="1"/>
  <c r="G832" i="5"/>
  <c r="G832" i="7" s="1"/>
  <c r="F832" i="5"/>
  <c r="F832" i="7" s="1"/>
  <c r="E832" i="5"/>
  <c r="E832" i="7" s="1"/>
  <c r="D832" i="5"/>
  <c r="D832" i="7" s="1"/>
  <c r="C832" i="5"/>
  <c r="C832" i="7" s="1"/>
  <c r="B832" i="5"/>
  <c r="B832" i="7" s="1"/>
  <c r="L831" i="5"/>
  <c r="L831" i="7" s="1"/>
  <c r="K831" i="5"/>
  <c r="K831" i="7" s="1"/>
  <c r="J831" i="5"/>
  <c r="J831" i="7" s="1"/>
  <c r="I831" i="5"/>
  <c r="I831" i="7" s="1"/>
  <c r="H831" i="5"/>
  <c r="H831" i="7" s="1"/>
  <c r="G831" i="5"/>
  <c r="G831" i="7" s="1"/>
  <c r="F831" i="5"/>
  <c r="F831" i="7" s="1"/>
  <c r="E831" i="5"/>
  <c r="E831" i="7" s="1"/>
  <c r="D831" i="5"/>
  <c r="D831" i="7" s="1"/>
  <c r="C831" i="5"/>
  <c r="C831" i="7" s="1"/>
  <c r="B831" i="5"/>
  <c r="B831" i="7" s="1"/>
  <c r="L830" i="5"/>
  <c r="L830" i="7" s="1"/>
  <c r="J830" i="5"/>
  <c r="J830" i="7" s="1"/>
  <c r="I830" i="5"/>
  <c r="I830" i="7" s="1"/>
  <c r="H830" i="5"/>
  <c r="H830" i="7" s="1"/>
  <c r="G830" i="5"/>
  <c r="G830" i="7" s="1"/>
  <c r="F830" i="5"/>
  <c r="F830" i="7" s="1"/>
  <c r="E830" i="5"/>
  <c r="E830" i="7" s="1"/>
  <c r="D830" i="5"/>
  <c r="D830" i="7" s="1"/>
  <c r="C830" i="5"/>
  <c r="C830" i="7" s="1"/>
  <c r="B830" i="5"/>
  <c r="B830" i="7" s="1"/>
  <c r="L829" i="5"/>
  <c r="L829" i="7" s="1"/>
  <c r="K829" i="5"/>
  <c r="K829" i="7" s="1"/>
  <c r="J829" i="5"/>
  <c r="J829" i="7" s="1"/>
  <c r="I829" i="5"/>
  <c r="I829" i="7" s="1"/>
  <c r="H829" i="5"/>
  <c r="H829" i="7" s="1"/>
  <c r="G829" i="5"/>
  <c r="G829" i="7" s="1"/>
  <c r="F829" i="5"/>
  <c r="F829" i="7" s="1"/>
  <c r="E829" i="5"/>
  <c r="E829" i="7" s="1"/>
  <c r="D829" i="5"/>
  <c r="D829" i="7" s="1"/>
  <c r="C829" i="5"/>
  <c r="C829" i="7" s="1"/>
  <c r="B829" i="5"/>
  <c r="B829" i="7" s="1"/>
  <c r="L828" i="5"/>
  <c r="L828" i="7" s="1"/>
  <c r="J828" i="5"/>
  <c r="J828" i="7" s="1"/>
  <c r="I828" i="5"/>
  <c r="I828" i="7" s="1"/>
  <c r="H828" i="5"/>
  <c r="H828" i="7" s="1"/>
  <c r="G828" i="5"/>
  <c r="G828" i="7" s="1"/>
  <c r="F828" i="5"/>
  <c r="F828" i="7" s="1"/>
  <c r="E828" i="5"/>
  <c r="E828" i="7" s="1"/>
  <c r="D828" i="5"/>
  <c r="D828" i="7" s="1"/>
  <c r="C828" i="5"/>
  <c r="C828" i="7" s="1"/>
  <c r="B828" i="5"/>
  <c r="B828" i="7" s="1"/>
  <c r="L827" i="5"/>
  <c r="L827" i="7" s="1"/>
  <c r="J827" i="5"/>
  <c r="J827" i="7" s="1"/>
  <c r="I827" i="5"/>
  <c r="I827" i="7" s="1"/>
  <c r="H827" i="5"/>
  <c r="H827" i="7" s="1"/>
  <c r="G827" i="5"/>
  <c r="G827" i="7" s="1"/>
  <c r="F827" i="5"/>
  <c r="F827" i="7" s="1"/>
  <c r="E827" i="5"/>
  <c r="E827" i="7" s="1"/>
  <c r="D827" i="5"/>
  <c r="D827" i="7" s="1"/>
  <c r="C827" i="5"/>
  <c r="C827" i="7" s="1"/>
  <c r="B827" i="5"/>
  <c r="B827" i="7" s="1"/>
  <c r="L826" i="5"/>
  <c r="L826" i="7" s="1"/>
  <c r="K826" i="5"/>
  <c r="K826" i="7" s="1"/>
  <c r="J826" i="5"/>
  <c r="J826" i="7" s="1"/>
  <c r="I826" i="5"/>
  <c r="I826" i="7" s="1"/>
  <c r="H826" i="5"/>
  <c r="H826" i="7" s="1"/>
  <c r="G826" i="5"/>
  <c r="G826" i="7" s="1"/>
  <c r="F826" i="5"/>
  <c r="F826" i="7" s="1"/>
  <c r="E826" i="5"/>
  <c r="E826" i="7" s="1"/>
  <c r="D826" i="5"/>
  <c r="D826" i="7" s="1"/>
  <c r="C826" i="5"/>
  <c r="C826" i="7" s="1"/>
  <c r="B826" i="5"/>
  <c r="B826" i="7" s="1"/>
  <c r="L825" i="5"/>
  <c r="L825" i="7" s="1"/>
  <c r="K825" i="5"/>
  <c r="K825" i="7" s="1"/>
  <c r="J825" i="5"/>
  <c r="J825" i="7" s="1"/>
  <c r="I825" i="5"/>
  <c r="I825" i="7" s="1"/>
  <c r="H825" i="5"/>
  <c r="H825" i="7" s="1"/>
  <c r="G825" i="5"/>
  <c r="G825" i="7" s="1"/>
  <c r="F825" i="5"/>
  <c r="F825" i="7" s="1"/>
  <c r="E825" i="5"/>
  <c r="E825" i="7" s="1"/>
  <c r="D825" i="5"/>
  <c r="D825" i="7" s="1"/>
  <c r="C825" i="5"/>
  <c r="C825" i="7" s="1"/>
  <c r="B825" i="5"/>
  <c r="B825" i="7" s="1"/>
  <c r="L824" i="5"/>
  <c r="L824" i="7" s="1"/>
  <c r="J824" i="5"/>
  <c r="J824" i="7" s="1"/>
  <c r="I824" i="5"/>
  <c r="I824" i="7" s="1"/>
  <c r="H824" i="5"/>
  <c r="H824" i="7" s="1"/>
  <c r="G824" i="5"/>
  <c r="G824" i="7" s="1"/>
  <c r="F824" i="5"/>
  <c r="F824" i="7" s="1"/>
  <c r="E824" i="5"/>
  <c r="D824" i="5"/>
  <c r="D824" i="7" s="1"/>
  <c r="C824" i="5"/>
  <c r="C824" i="7" s="1"/>
  <c r="B824" i="5"/>
  <c r="B824" i="7" s="1"/>
  <c r="L823" i="5"/>
  <c r="L823" i="7" s="1"/>
  <c r="J823" i="5"/>
  <c r="J823" i="7" s="1"/>
  <c r="I823" i="5"/>
  <c r="I823" i="7" s="1"/>
  <c r="H823" i="5"/>
  <c r="H823" i="7" s="1"/>
  <c r="G823" i="5"/>
  <c r="G823" i="7" s="1"/>
  <c r="F823" i="5"/>
  <c r="F823" i="7" s="1"/>
  <c r="E823" i="5"/>
  <c r="D823" i="5"/>
  <c r="D823" i="7" s="1"/>
  <c r="C823" i="5"/>
  <c r="C823" i="7" s="1"/>
  <c r="B823" i="5"/>
  <c r="B823" i="7" s="1"/>
  <c r="L822" i="5"/>
  <c r="L822" i="7" s="1"/>
  <c r="J822" i="5"/>
  <c r="J822" i="7" s="1"/>
  <c r="I822" i="5"/>
  <c r="I822" i="7" s="1"/>
  <c r="H822" i="5"/>
  <c r="H822" i="7" s="1"/>
  <c r="G822" i="5"/>
  <c r="G822" i="7" s="1"/>
  <c r="F822" i="5"/>
  <c r="F822" i="7" s="1"/>
  <c r="E822" i="5"/>
  <c r="E822" i="7" s="1"/>
  <c r="D822" i="5"/>
  <c r="D822" i="7" s="1"/>
  <c r="C822" i="5"/>
  <c r="C822" i="7" s="1"/>
  <c r="B822" i="5"/>
  <c r="B822" i="7" s="1"/>
  <c r="L821" i="5"/>
  <c r="L821" i="7" s="1"/>
  <c r="K821" i="5"/>
  <c r="K821" i="7" s="1"/>
  <c r="J821" i="5"/>
  <c r="J821" i="7" s="1"/>
  <c r="I821" i="5"/>
  <c r="I821" i="7" s="1"/>
  <c r="H821" i="5"/>
  <c r="H821" i="7" s="1"/>
  <c r="G821" i="5"/>
  <c r="G821" i="7" s="1"/>
  <c r="F821" i="5"/>
  <c r="F821" i="7" s="1"/>
  <c r="E821" i="5"/>
  <c r="E821" i="7" s="1"/>
  <c r="D821" i="5"/>
  <c r="D821" i="7" s="1"/>
  <c r="C821" i="5"/>
  <c r="C821" i="7" s="1"/>
  <c r="B821" i="5"/>
  <c r="B821" i="7" s="1"/>
  <c r="L820" i="5"/>
  <c r="L820" i="7" s="1"/>
  <c r="K820" i="5"/>
  <c r="K820" i="7" s="1"/>
  <c r="J820" i="5"/>
  <c r="J820" i="7" s="1"/>
  <c r="I820" i="5"/>
  <c r="I820" i="7" s="1"/>
  <c r="H820" i="5"/>
  <c r="H820" i="7" s="1"/>
  <c r="G820" i="5"/>
  <c r="G820" i="7" s="1"/>
  <c r="F820" i="5"/>
  <c r="F820" i="7" s="1"/>
  <c r="E820" i="5"/>
  <c r="E820" i="7" s="1"/>
  <c r="D820" i="5"/>
  <c r="D820" i="7" s="1"/>
  <c r="C820" i="5"/>
  <c r="C820" i="7" s="1"/>
  <c r="B820" i="5"/>
  <c r="B820" i="7" s="1"/>
  <c r="L819" i="5"/>
  <c r="L819" i="7" s="1"/>
  <c r="J819" i="5"/>
  <c r="J819" i="7" s="1"/>
  <c r="I819" i="5"/>
  <c r="I819" i="7" s="1"/>
  <c r="H819" i="5"/>
  <c r="H819" i="7" s="1"/>
  <c r="G819" i="5"/>
  <c r="G819" i="7" s="1"/>
  <c r="F819" i="5"/>
  <c r="F819" i="7" s="1"/>
  <c r="E819" i="5"/>
  <c r="D819" i="5"/>
  <c r="D819" i="7" s="1"/>
  <c r="C819" i="5"/>
  <c r="C819" i="7" s="1"/>
  <c r="B819" i="5"/>
  <c r="B819" i="7" s="1"/>
  <c r="L818" i="5"/>
  <c r="L818" i="7" s="1"/>
  <c r="K818" i="5"/>
  <c r="K818" i="7" s="1"/>
  <c r="J818" i="5"/>
  <c r="J818" i="7" s="1"/>
  <c r="I818" i="5"/>
  <c r="I818" i="7" s="1"/>
  <c r="H818" i="5"/>
  <c r="H818" i="7" s="1"/>
  <c r="G818" i="5"/>
  <c r="G818" i="7" s="1"/>
  <c r="F818" i="5"/>
  <c r="F818" i="7" s="1"/>
  <c r="E818" i="5"/>
  <c r="E818" i="7" s="1"/>
  <c r="D818" i="5"/>
  <c r="D818" i="7" s="1"/>
  <c r="C818" i="5"/>
  <c r="C818" i="7" s="1"/>
  <c r="B818" i="5"/>
  <c r="B818" i="7" s="1"/>
  <c r="L817" i="5"/>
  <c r="L817" i="7" s="1"/>
  <c r="K817" i="5"/>
  <c r="K817" i="7" s="1"/>
  <c r="J817" i="5"/>
  <c r="J817" i="7" s="1"/>
  <c r="I817" i="5"/>
  <c r="I817" i="7" s="1"/>
  <c r="H817" i="5"/>
  <c r="H817" i="7" s="1"/>
  <c r="G817" i="5"/>
  <c r="G817" i="7" s="1"/>
  <c r="F817" i="5"/>
  <c r="F817" i="7" s="1"/>
  <c r="E817" i="5"/>
  <c r="E817" i="7" s="1"/>
  <c r="D817" i="5"/>
  <c r="D817" i="7" s="1"/>
  <c r="C817" i="5"/>
  <c r="C817" i="7" s="1"/>
  <c r="B817" i="5"/>
  <c r="B817" i="7" s="1"/>
  <c r="L816" i="5"/>
  <c r="L816" i="7" s="1"/>
  <c r="J816" i="5"/>
  <c r="J816" i="7" s="1"/>
  <c r="I816" i="5"/>
  <c r="I816" i="7" s="1"/>
  <c r="H816" i="5"/>
  <c r="H816" i="7" s="1"/>
  <c r="G816" i="5"/>
  <c r="G816" i="7" s="1"/>
  <c r="F816" i="5"/>
  <c r="F816" i="7" s="1"/>
  <c r="E816" i="5"/>
  <c r="E816" i="7" s="1"/>
  <c r="D816" i="5"/>
  <c r="D816" i="7" s="1"/>
  <c r="C816" i="5"/>
  <c r="C816" i="7" s="1"/>
  <c r="B816" i="5"/>
  <c r="B816" i="7" s="1"/>
  <c r="L815" i="5"/>
  <c r="L815" i="7" s="1"/>
  <c r="K815" i="5"/>
  <c r="K815" i="7" s="1"/>
  <c r="J815" i="5"/>
  <c r="J815" i="7" s="1"/>
  <c r="I815" i="5"/>
  <c r="I815" i="7" s="1"/>
  <c r="H815" i="5"/>
  <c r="H815" i="7" s="1"/>
  <c r="G815" i="5"/>
  <c r="G815" i="7" s="1"/>
  <c r="F815" i="5"/>
  <c r="F815" i="7" s="1"/>
  <c r="E815" i="5"/>
  <c r="E815" i="7" s="1"/>
  <c r="D815" i="5"/>
  <c r="D815" i="7" s="1"/>
  <c r="C815" i="5"/>
  <c r="C815" i="7" s="1"/>
  <c r="B815" i="5"/>
  <c r="B815" i="7" s="1"/>
  <c r="L814" i="5"/>
  <c r="L814" i="7" s="1"/>
  <c r="J814" i="5"/>
  <c r="J814" i="7" s="1"/>
  <c r="I814" i="5"/>
  <c r="I814" i="7" s="1"/>
  <c r="H814" i="5"/>
  <c r="H814" i="7" s="1"/>
  <c r="G814" i="5"/>
  <c r="G814" i="7" s="1"/>
  <c r="F814" i="5"/>
  <c r="F814" i="7" s="1"/>
  <c r="E814" i="5"/>
  <c r="E814" i="7" s="1"/>
  <c r="D814" i="5"/>
  <c r="D814" i="7" s="1"/>
  <c r="C814" i="5"/>
  <c r="C814" i="7" s="1"/>
  <c r="B814" i="5"/>
  <c r="B814" i="7" s="1"/>
  <c r="L813" i="5"/>
  <c r="L813" i="7" s="1"/>
  <c r="J813" i="5"/>
  <c r="J813" i="7" s="1"/>
  <c r="I813" i="5"/>
  <c r="I813" i="7" s="1"/>
  <c r="H813" i="5"/>
  <c r="H813" i="7" s="1"/>
  <c r="G813" i="5"/>
  <c r="G813" i="7" s="1"/>
  <c r="F813" i="5"/>
  <c r="F813" i="7" s="1"/>
  <c r="E813" i="5"/>
  <c r="E813" i="7" s="1"/>
  <c r="D813" i="5"/>
  <c r="D813" i="7" s="1"/>
  <c r="C813" i="5"/>
  <c r="C813" i="7" s="1"/>
  <c r="B813" i="5"/>
  <c r="B813" i="7" s="1"/>
  <c r="L812" i="5"/>
  <c r="L812" i="7" s="1"/>
  <c r="K812" i="5"/>
  <c r="K812" i="7" s="1"/>
  <c r="J812" i="5"/>
  <c r="J812" i="7" s="1"/>
  <c r="I812" i="5"/>
  <c r="I812" i="7" s="1"/>
  <c r="H812" i="5"/>
  <c r="H812" i="7" s="1"/>
  <c r="G812" i="5"/>
  <c r="G812" i="7" s="1"/>
  <c r="F812" i="5"/>
  <c r="F812" i="7" s="1"/>
  <c r="E812" i="5"/>
  <c r="E812" i="7" s="1"/>
  <c r="D812" i="5"/>
  <c r="D812" i="7" s="1"/>
  <c r="C812" i="5"/>
  <c r="C812" i="7" s="1"/>
  <c r="B812" i="5"/>
  <c r="B812" i="7" s="1"/>
  <c r="L811" i="5"/>
  <c r="L811" i="7" s="1"/>
  <c r="K811" i="5"/>
  <c r="K811" i="7" s="1"/>
  <c r="J811" i="5"/>
  <c r="J811" i="7" s="1"/>
  <c r="I811" i="5"/>
  <c r="I811" i="7" s="1"/>
  <c r="H811" i="5"/>
  <c r="H811" i="7" s="1"/>
  <c r="G811" i="5"/>
  <c r="G811" i="7" s="1"/>
  <c r="F811" i="5"/>
  <c r="F811" i="7" s="1"/>
  <c r="E811" i="5"/>
  <c r="E811" i="7" s="1"/>
  <c r="D811" i="5"/>
  <c r="D811" i="7" s="1"/>
  <c r="C811" i="5"/>
  <c r="C811" i="7" s="1"/>
  <c r="B811" i="5"/>
  <c r="B811" i="7" s="1"/>
  <c r="L810" i="5"/>
  <c r="L810" i="7" s="1"/>
  <c r="J810" i="5"/>
  <c r="J810" i="7" s="1"/>
  <c r="I810" i="5"/>
  <c r="I810" i="7" s="1"/>
  <c r="H810" i="5"/>
  <c r="H810" i="7" s="1"/>
  <c r="G810" i="5"/>
  <c r="G810" i="7" s="1"/>
  <c r="F810" i="5"/>
  <c r="F810" i="7" s="1"/>
  <c r="E810" i="5"/>
  <c r="D810" i="5"/>
  <c r="D810" i="7" s="1"/>
  <c r="C810" i="5"/>
  <c r="C810" i="7" s="1"/>
  <c r="B810" i="5"/>
  <c r="B810" i="7" s="1"/>
  <c r="L809" i="5"/>
  <c r="L809" i="7" s="1"/>
  <c r="J809" i="5"/>
  <c r="J809" i="7" s="1"/>
  <c r="I809" i="5"/>
  <c r="I809" i="7" s="1"/>
  <c r="H809" i="5"/>
  <c r="H809" i="7" s="1"/>
  <c r="G809" i="5"/>
  <c r="G809" i="7" s="1"/>
  <c r="F809" i="5"/>
  <c r="F809" i="7" s="1"/>
  <c r="E809" i="5"/>
  <c r="D809" i="5"/>
  <c r="D809" i="7" s="1"/>
  <c r="C809" i="5"/>
  <c r="C809" i="7" s="1"/>
  <c r="B809" i="5"/>
  <c r="B809" i="7" s="1"/>
  <c r="L808" i="5"/>
  <c r="L808" i="7" s="1"/>
  <c r="J808" i="5"/>
  <c r="J808" i="7" s="1"/>
  <c r="I808" i="5"/>
  <c r="I808" i="7" s="1"/>
  <c r="H808" i="5"/>
  <c r="H808" i="7" s="1"/>
  <c r="G808" i="5"/>
  <c r="G808" i="7" s="1"/>
  <c r="F808" i="5"/>
  <c r="F808" i="7" s="1"/>
  <c r="E808" i="5"/>
  <c r="E808" i="7" s="1"/>
  <c r="D808" i="5"/>
  <c r="D808" i="7" s="1"/>
  <c r="C808" i="5"/>
  <c r="C808" i="7" s="1"/>
  <c r="B808" i="5"/>
  <c r="B808" i="7" s="1"/>
  <c r="L807" i="5"/>
  <c r="L807" i="7" s="1"/>
  <c r="K807" i="5"/>
  <c r="K807" i="7" s="1"/>
  <c r="J807" i="5"/>
  <c r="J807" i="7" s="1"/>
  <c r="I807" i="5"/>
  <c r="I807" i="7" s="1"/>
  <c r="H807" i="5"/>
  <c r="H807" i="7" s="1"/>
  <c r="G807" i="5"/>
  <c r="G807" i="7" s="1"/>
  <c r="F807" i="5"/>
  <c r="F807" i="7" s="1"/>
  <c r="E807" i="5"/>
  <c r="E807" i="7" s="1"/>
  <c r="D807" i="5"/>
  <c r="D807" i="7" s="1"/>
  <c r="C807" i="5"/>
  <c r="C807" i="7" s="1"/>
  <c r="B807" i="5"/>
  <c r="B807" i="7" s="1"/>
  <c r="L806" i="5"/>
  <c r="L806" i="7" s="1"/>
  <c r="K806" i="5"/>
  <c r="K806" i="7" s="1"/>
  <c r="J806" i="5"/>
  <c r="J806" i="7" s="1"/>
  <c r="I806" i="5"/>
  <c r="I806" i="7" s="1"/>
  <c r="H806" i="5"/>
  <c r="H806" i="7" s="1"/>
  <c r="G806" i="5"/>
  <c r="G806" i="7" s="1"/>
  <c r="F806" i="5"/>
  <c r="F806" i="7" s="1"/>
  <c r="E806" i="5"/>
  <c r="E806" i="7" s="1"/>
  <c r="D806" i="5"/>
  <c r="D806" i="7" s="1"/>
  <c r="C806" i="5"/>
  <c r="C806" i="7" s="1"/>
  <c r="B806" i="5"/>
  <c r="B806" i="7" s="1"/>
  <c r="L805" i="5"/>
  <c r="L805" i="7" s="1"/>
  <c r="J805" i="5"/>
  <c r="J805" i="7" s="1"/>
  <c r="I805" i="5"/>
  <c r="I805" i="7" s="1"/>
  <c r="H805" i="5"/>
  <c r="H805" i="7" s="1"/>
  <c r="G805" i="5"/>
  <c r="G805" i="7" s="1"/>
  <c r="F805" i="5"/>
  <c r="F805" i="7" s="1"/>
  <c r="E805" i="5"/>
  <c r="D805" i="5"/>
  <c r="D805" i="7" s="1"/>
  <c r="C805" i="5"/>
  <c r="C805" i="7" s="1"/>
  <c r="B805" i="5"/>
  <c r="B805" i="7" s="1"/>
  <c r="L804" i="5"/>
  <c r="L804" i="7" s="1"/>
  <c r="K804" i="5"/>
  <c r="K804" i="7" s="1"/>
  <c r="J804" i="5"/>
  <c r="J804" i="7" s="1"/>
  <c r="I804" i="5"/>
  <c r="I804" i="7" s="1"/>
  <c r="H804" i="5"/>
  <c r="H804" i="7" s="1"/>
  <c r="G804" i="5"/>
  <c r="G804" i="7" s="1"/>
  <c r="F804" i="5"/>
  <c r="F804" i="7" s="1"/>
  <c r="E804" i="5"/>
  <c r="E804" i="7" s="1"/>
  <c r="D804" i="5"/>
  <c r="D804" i="7" s="1"/>
  <c r="C804" i="5"/>
  <c r="C804" i="7" s="1"/>
  <c r="B804" i="5"/>
  <c r="B804" i="7" s="1"/>
  <c r="L803" i="5"/>
  <c r="L803" i="7" s="1"/>
  <c r="K803" i="5"/>
  <c r="K803" i="7" s="1"/>
  <c r="J803" i="5"/>
  <c r="J803" i="7" s="1"/>
  <c r="I803" i="5"/>
  <c r="I803" i="7" s="1"/>
  <c r="H803" i="5"/>
  <c r="H803" i="7" s="1"/>
  <c r="G803" i="5"/>
  <c r="G803" i="7" s="1"/>
  <c r="F803" i="5"/>
  <c r="F803" i="7" s="1"/>
  <c r="E803" i="5"/>
  <c r="E803" i="7" s="1"/>
  <c r="D803" i="5"/>
  <c r="D803" i="7" s="1"/>
  <c r="C803" i="5"/>
  <c r="C803" i="7" s="1"/>
  <c r="B803" i="5"/>
  <c r="B803" i="7" s="1"/>
  <c r="L802" i="5"/>
  <c r="L802" i="7" s="1"/>
  <c r="J802" i="5"/>
  <c r="J802" i="7" s="1"/>
  <c r="I802" i="5"/>
  <c r="I802" i="7" s="1"/>
  <c r="H802" i="5"/>
  <c r="H802" i="7" s="1"/>
  <c r="G802" i="5"/>
  <c r="G802" i="7" s="1"/>
  <c r="F802" i="5"/>
  <c r="F802" i="7" s="1"/>
  <c r="E802" i="5"/>
  <c r="D802" i="5"/>
  <c r="D802" i="7" s="1"/>
  <c r="C802" i="5"/>
  <c r="C802" i="7" s="1"/>
  <c r="B802" i="5"/>
  <c r="B802" i="7" s="1"/>
  <c r="L801" i="5"/>
  <c r="L801" i="7" s="1"/>
  <c r="K801" i="5"/>
  <c r="K801" i="7" s="1"/>
  <c r="J801" i="5"/>
  <c r="J801" i="7" s="1"/>
  <c r="I801" i="5"/>
  <c r="I801" i="7" s="1"/>
  <c r="H801" i="5"/>
  <c r="H801" i="7" s="1"/>
  <c r="G801" i="5"/>
  <c r="G801" i="7" s="1"/>
  <c r="F801" i="5"/>
  <c r="F801" i="7" s="1"/>
  <c r="E801" i="5"/>
  <c r="E801" i="7" s="1"/>
  <c r="D801" i="5"/>
  <c r="D801" i="7" s="1"/>
  <c r="C801" i="5"/>
  <c r="C801" i="7" s="1"/>
  <c r="B801" i="5"/>
  <c r="B801" i="7" s="1"/>
  <c r="L800" i="5"/>
  <c r="L800" i="7" s="1"/>
  <c r="J800" i="5"/>
  <c r="J800" i="7" s="1"/>
  <c r="I800" i="5"/>
  <c r="I800" i="7" s="1"/>
  <c r="H800" i="5"/>
  <c r="H800" i="7" s="1"/>
  <c r="G800" i="5"/>
  <c r="G800" i="7" s="1"/>
  <c r="F800" i="5"/>
  <c r="F800" i="7" s="1"/>
  <c r="E800" i="5"/>
  <c r="E800" i="7" s="1"/>
  <c r="D800" i="5"/>
  <c r="D800" i="7" s="1"/>
  <c r="C800" i="5"/>
  <c r="C800" i="7" s="1"/>
  <c r="B800" i="5"/>
  <c r="B800" i="7" s="1"/>
  <c r="L799" i="5"/>
  <c r="L799" i="7" s="1"/>
  <c r="J799" i="5"/>
  <c r="J799" i="7" s="1"/>
  <c r="I799" i="5"/>
  <c r="I799" i="7" s="1"/>
  <c r="H799" i="5"/>
  <c r="H799" i="7" s="1"/>
  <c r="G799" i="5"/>
  <c r="G799" i="7" s="1"/>
  <c r="F799" i="5"/>
  <c r="F799" i="7" s="1"/>
  <c r="E799" i="5"/>
  <c r="E799" i="7" s="1"/>
  <c r="D799" i="5"/>
  <c r="D799" i="7" s="1"/>
  <c r="C799" i="5"/>
  <c r="C799" i="7" s="1"/>
  <c r="B799" i="5"/>
  <c r="B799" i="7" s="1"/>
  <c r="L798" i="5"/>
  <c r="L798" i="7" s="1"/>
  <c r="K798" i="5"/>
  <c r="K798" i="7" s="1"/>
  <c r="J798" i="5"/>
  <c r="J798" i="7" s="1"/>
  <c r="I798" i="5"/>
  <c r="I798" i="7" s="1"/>
  <c r="H798" i="5"/>
  <c r="H798" i="7" s="1"/>
  <c r="G798" i="5"/>
  <c r="G798" i="7" s="1"/>
  <c r="F798" i="5"/>
  <c r="F798" i="7" s="1"/>
  <c r="E798" i="5"/>
  <c r="E798" i="7" s="1"/>
  <c r="D798" i="5"/>
  <c r="D798" i="7" s="1"/>
  <c r="C798" i="5"/>
  <c r="C798" i="7" s="1"/>
  <c r="B798" i="5"/>
  <c r="B798" i="7" s="1"/>
  <c r="L797" i="5"/>
  <c r="L797" i="7" s="1"/>
  <c r="K797" i="5"/>
  <c r="K797" i="7" s="1"/>
  <c r="J797" i="5"/>
  <c r="J797" i="7" s="1"/>
  <c r="I797" i="5"/>
  <c r="I797" i="7" s="1"/>
  <c r="H797" i="5"/>
  <c r="H797" i="7" s="1"/>
  <c r="G797" i="5"/>
  <c r="G797" i="7" s="1"/>
  <c r="F797" i="5"/>
  <c r="F797" i="7" s="1"/>
  <c r="E797" i="5"/>
  <c r="E797" i="7" s="1"/>
  <c r="D797" i="5"/>
  <c r="D797" i="7" s="1"/>
  <c r="C797" i="5"/>
  <c r="C797" i="7" s="1"/>
  <c r="B797" i="5"/>
  <c r="B797" i="7" s="1"/>
  <c r="L796" i="5"/>
  <c r="L796" i="7" s="1"/>
  <c r="J796" i="5"/>
  <c r="J796" i="7" s="1"/>
  <c r="I796" i="5"/>
  <c r="I796" i="7" s="1"/>
  <c r="H796" i="5"/>
  <c r="H796" i="7" s="1"/>
  <c r="G796" i="5"/>
  <c r="G796" i="7" s="1"/>
  <c r="F796" i="5"/>
  <c r="F796" i="7" s="1"/>
  <c r="E796" i="5"/>
  <c r="D796" i="5"/>
  <c r="D796" i="7" s="1"/>
  <c r="C796" i="5"/>
  <c r="C796" i="7" s="1"/>
  <c r="B796" i="5"/>
  <c r="B796" i="7" s="1"/>
  <c r="L795" i="5"/>
  <c r="L795" i="7" s="1"/>
  <c r="J795" i="5"/>
  <c r="J795" i="7" s="1"/>
  <c r="I795" i="5"/>
  <c r="I795" i="7" s="1"/>
  <c r="H795" i="5"/>
  <c r="H795" i="7" s="1"/>
  <c r="G795" i="5"/>
  <c r="G795" i="7" s="1"/>
  <c r="F795" i="5"/>
  <c r="F795" i="7" s="1"/>
  <c r="E795" i="5"/>
  <c r="D795" i="5"/>
  <c r="D795" i="7" s="1"/>
  <c r="C795" i="5"/>
  <c r="C795" i="7" s="1"/>
  <c r="B795" i="5"/>
  <c r="B795" i="7" s="1"/>
  <c r="L794" i="5"/>
  <c r="L794" i="7" s="1"/>
  <c r="J794" i="5"/>
  <c r="J794" i="7" s="1"/>
  <c r="I794" i="5"/>
  <c r="I794" i="7" s="1"/>
  <c r="H794" i="5"/>
  <c r="H794" i="7" s="1"/>
  <c r="G794" i="5"/>
  <c r="G794" i="7" s="1"/>
  <c r="F794" i="5"/>
  <c r="F794" i="7" s="1"/>
  <c r="E794" i="5"/>
  <c r="E794" i="7" s="1"/>
  <c r="D794" i="5"/>
  <c r="D794" i="7" s="1"/>
  <c r="C794" i="5"/>
  <c r="C794" i="7" s="1"/>
  <c r="B794" i="5"/>
  <c r="B794" i="7" s="1"/>
  <c r="L793" i="5"/>
  <c r="L793" i="7" s="1"/>
  <c r="K793" i="5"/>
  <c r="K793" i="7" s="1"/>
  <c r="J793" i="5"/>
  <c r="J793" i="7" s="1"/>
  <c r="I793" i="5"/>
  <c r="I793" i="7" s="1"/>
  <c r="H793" i="5"/>
  <c r="H793" i="7" s="1"/>
  <c r="G793" i="5"/>
  <c r="G793" i="7" s="1"/>
  <c r="F793" i="5"/>
  <c r="F793" i="7" s="1"/>
  <c r="E793" i="5"/>
  <c r="E793" i="7" s="1"/>
  <c r="D793" i="5"/>
  <c r="D793" i="7" s="1"/>
  <c r="C793" i="5"/>
  <c r="C793" i="7" s="1"/>
  <c r="B793" i="5"/>
  <c r="B793" i="7" s="1"/>
  <c r="L792" i="5"/>
  <c r="L792" i="7" s="1"/>
  <c r="K792" i="5"/>
  <c r="K792" i="7" s="1"/>
  <c r="J792" i="5"/>
  <c r="J792" i="7" s="1"/>
  <c r="I792" i="5"/>
  <c r="I792" i="7" s="1"/>
  <c r="H792" i="5"/>
  <c r="H792" i="7" s="1"/>
  <c r="G792" i="5"/>
  <c r="G792" i="7" s="1"/>
  <c r="F792" i="5"/>
  <c r="F792" i="7" s="1"/>
  <c r="E792" i="5"/>
  <c r="E792" i="7" s="1"/>
  <c r="D792" i="5"/>
  <c r="D792" i="7" s="1"/>
  <c r="C792" i="5"/>
  <c r="C792" i="7" s="1"/>
  <c r="B792" i="5"/>
  <c r="B792" i="7" s="1"/>
  <c r="L791" i="5"/>
  <c r="L791" i="7" s="1"/>
  <c r="J791" i="5"/>
  <c r="J791" i="7" s="1"/>
  <c r="I791" i="5"/>
  <c r="I791" i="7" s="1"/>
  <c r="H791" i="5"/>
  <c r="H791" i="7" s="1"/>
  <c r="G791" i="5"/>
  <c r="G791" i="7" s="1"/>
  <c r="F791" i="5"/>
  <c r="F791" i="7" s="1"/>
  <c r="E791" i="5"/>
  <c r="D791" i="5"/>
  <c r="D791" i="7" s="1"/>
  <c r="C791" i="5"/>
  <c r="C791" i="7" s="1"/>
  <c r="B791" i="5"/>
  <c r="B791" i="7" s="1"/>
  <c r="L790" i="5"/>
  <c r="L790" i="7" s="1"/>
  <c r="K790" i="5"/>
  <c r="K790" i="7" s="1"/>
  <c r="J790" i="5"/>
  <c r="J790" i="7" s="1"/>
  <c r="I790" i="5"/>
  <c r="I790" i="7" s="1"/>
  <c r="H790" i="5"/>
  <c r="H790" i="7" s="1"/>
  <c r="G790" i="5"/>
  <c r="G790" i="7" s="1"/>
  <c r="F790" i="5"/>
  <c r="F790" i="7" s="1"/>
  <c r="E790" i="5"/>
  <c r="E790" i="7" s="1"/>
  <c r="D790" i="5"/>
  <c r="D790" i="7" s="1"/>
  <c r="C790" i="5"/>
  <c r="C790" i="7" s="1"/>
  <c r="B790" i="5"/>
  <c r="B790" i="7" s="1"/>
  <c r="L789" i="5"/>
  <c r="L789" i="7" s="1"/>
  <c r="K789" i="5"/>
  <c r="K789" i="7" s="1"/>
  <c r="J789" i="5"/>
  <c r="J789" i="7" s="1"/>
  <c r="I789" i="5"/>
  <c r="I789" i="7" s="1"/>
  <c r="H789" i="5"/>
  <c r="H789" i="7" s="1"/>
  <c r="G789" i="5"/>
  <c r="G789" i="7" s="1"/>
  <c r="F789" i="5"/>
  <c r="F789" i="7" s="1"/>
  <c r="E789" i="5"/>
  <c r="E789" i="7" s="1"/>
  <c r="D789" i="5"/>
  <c r="D789" i="7" s="1"/>
  <c r="C789" i="5"/>
  <c r="C789" i="7" s="1"/>
  <c r="B789" i="5"/>
  <c r="B789" i="7" s="1"/>
  <c r="L788" i="5"/>
  <c r="L788" i="7" s="1"/>
  <c r="J788" i="5"/>
  <c r="J788" i="7" s="1"/>
  <c r="I788" i="5"/>
  <c r="I788" i="7" s="1"/>
  <c r="H788" i="5"/>
  <c r="H788" i="7" s="1"/>
  <c r="G788" i="5"/>
  <c r="G788" i="7" s="1"/>
  <c r="F788" i="5"/>
  <c r="F788" i="7" s="1"/>
  <c r="E788" i="5"/>
  <c r="D788" i="5"/>
  <c r="D788" i="7" s="1"/>
  <c r="C788" i="5"/>
  <c r="C788" i="7" s="1"/>
  <c r="B788" i="5"/>
  <c r="B788" i="7" s="1"/>
  <c r="L787" i="5"/>
  <c r="L787" i="7" s="1"/>
  <c r="K787" i="5"/>
  <c r="K787" i="7" s="1"/>
  <c r="J787" i="5"/>
  <c r="J787" i="7" s="1"/>
  <c r="I787" i="5"/>
  <c r="I787" i="7" s="1"/>
  <c r="H787" i="5"/>
  <c r="H787" i="7" s="1"/>
  <c r="G787" i="5"/>
  <c r="G787" i="7" s="1"/>
  <c r="F787" i="5"/>
  <c r="F787" i="7" s="1"/>
  <c r="E787" i="5"/>
  <c r="E787" i="7" s="1"/>
  <c r="D787" i="5"/>
  <c r="D787" i="7" s="1"/>
  <c r="C787" i="5"/>
  <c r="C787" i="7" s="1"/>
  <c r="B787" i="5"/>
  <c r="B787" i="7" s="1"/>
  <c r="L786" i="5"/>
  <c r="L786" i="7" s="1"/>
  <c r="J786" i="5"/>
  <c r="J786" i="7" s="1"/>
  <c r="I786" i="5"/>
  <c r="I786" i="7" s="1"/>
  <c r="H786" i="5"/>
  <c r="H786" i="7" s="1"/>
  <c r="G786" i="5"/>
  <c r="G786" i="7" s="1"/>
  <c r="F786" i="5"/>
  <c r="F786" i="7" s="1"/>
  <c r="E786" i="5"/>
  <c r="E786" i="7" s="1"/>
  <c r="D786" i="5"/>
  <c r="D786" i="7" s="1"/>
  <c r="C786" i="5"/>
  <c r="C786" i="7" s="1"/>
  <c r="B786" i="5"/>
  <c r="B786" i="7" s="1"/>
  <c r="L785" i="5"/>
  <c r="L785" i="7" s="1"/>
  <c r="J785" i="5"/>
  <c r="J785" i="7" s="1"/>
  <c r="I785" i="5"/>
  <c r="I785" i="7" s="1"/>
  <c r="H785" i="5"/>
  <c r="H785" i="7" s="1"/>
  <c r="G785" i="5"/>
  <c r="G785" i="7" s="1"/>
  <c r="F785" i="5"/>
  <c r="F785" i="7" s="1"/>
  <c r="E785" i="5"/>
  <c r="E785" i="7" s="1"/>
  <c r="D785" i="5"/>
  <c r="D785" i="7" s="1"/>
  <c r="C785" i="5"/>
  <c r="C785" i="7" s="1"/>
  <c r="B785" i="5"/>
  <c r="B785" i="7" s="1"/>
  <c r="L784" i="5"/>
  <c r="L784" i="7" s="1"/>
  <c r="K784" i="5"/>
  <c r="K784" i="7" s="1"/>
  <c r="J784" i="5"/>
  <c r="J784" i="7" s="1"/>
  <c r="I784" i="5"/>
  <c r="I784" i="7" s="1"/>
  <c r="H784" i="5"/>
  <c r="H784" i="7" s="1"/>
  <c r="G784" i="5"/>
  <c r="G784" i="7" s="1"/>
  <c r="F784" i="5"/>
  <c r="F784" i="7" s="1"/>
  <c r="E784" i="5"/>
  <c r="E784" i="7" s="1"/>
  <c r="D784" i="5"/>
  <c r="D784" i="7" s="1"/>
  <c r="C784" i="5"/>
  <c r="C784" i="7" s="1"/>
  <c r="B784" i="5"/>
  <c r="B784" i="7" s="1"/>
  <c r="L783" i="5"/>
  <c r="L783" i="7" s="1"/>
  <c r="K783" i="5"/>
  <c r="K783" i="7" s="1"/>
  <c r="J783" i="5"/>
  <c r="J783" i="7" s="1"/>
  <c r="I783" i="5"/>
  <c r="I783" i="7" s="1"/>
  <c r="H783" i="5"/>
  <c r="H783" i="7" s="1"/>
  <c r="G783" i="5"/>
  <c r="G783" i="7" s="1"/>
  <c r="F783" i="5"/>
  <c r="F783" i="7" s="1"/>
  <c r="E783" i="5"/>
  <c r="E783" i="7" s="1"/>
  <c r="D783" i="5"/>
  <c r="D783" i="7" s="1"/>
  <c r="C783" i="5"/>
  <c r="C783" i="7" s="1"/>
  <c r="B783" i="5"/>
  <c r="B783" i="7" s="1"/>
  <c r="L782" i="5"/>
  <c r="L782" i="7" s="1"/>
  <c r="J782" i="5"/>
  <c r="J782" i="7" s="1"/>
  <c r="I782" i="5"/>
  <c r="I782" i="7" s="1"/>
  <c r="H782" i="5"/>
  <c r="H782" i="7" s="1"/>
  <c r="G782" i="5"/>
  <c r="G782" i="7" s="1"/>
  <c r="F782" i="5"/>
  <c r="F782" i="7" s="1"/>
  <c r="E782" i="5"/>
  <c r="D782" i="5"/>
  <c r="D782" i="7" s="1"/>
  <c r="C782" i="5"/>
  <c r="C782" i="7" s="1"/>
  <c r="B782" i="5"/>
  <c r="B782" i="7" s="1"/>
  <c r="L781" i="5"/>
  <c r="L781" i="7" s="1"/>
  <c r="J781" i="5"/>
  <c r="J781" i="7" s="1"/>
  <c r="I781" i="5"/>
  <c r="I781" i="7" s="1"/>
  <c r="H781" i="5"/>
  <c r="H781" i="7" s="1"/>
  <c r="G781" i="5"/>
  <c r="G781" i="7" s="1"/>
  <c r="F781" i="5"/>
  <c r="F781" i="7" s="1"/>
  <c r="E781" i="5"/>
  <c r="D781" i="5"/>
  <c r="D781" i="7" s="1"/>
  <c r="C781" i="5"/>
  <c r="C781" i="7" s="1"/>
  <c r="B781" i="5"/>
  <c r="B781" i="7" s="1"/>
  <c r="L780" i="5"/>
  <c r="L780" i="7" s="1"/>
  <c r="J780" i="5"/>
  <c r="J780" i="7" s="1"/>
  <c r="I780" i="5"/>
  <c r="I780" i="7" s="1"/>
  <c r="H780" i="5"/>
  <c r="H780" i="7" s="1"/>
  <c r="G780" i="5"/>
  <c r="G780" i="7" s="1"/>
  <c r="F780" i="5"/>
  <c r="F780" i="7" s="1"/>
  <c r="E780" i="5"/>
  <c r="E780" i="7" s="1"/>
  <c r="D780" i="5"/>
  <c r="D780" i="7" s="1"/>
  <c r="C780" i="5"/>
  <c r="C780" i="7" s="1"/>
  <c r="B780" i="5"/>
  <c r="B780" i="7" s="1"/>
  <c r="L779" i="5"/>
  <c r="L779" i="7" s="1"/>
  <c r="K779" i="5"/>
  <c r="K779" i="7" s="1"/>
  <c r="J779" i="5"/>
  <c r="J779" i="7" s="1"/>
  <c r="I779" i="5"/>
  <c r="I779" i="7" s="1"/>
  <c r="H779" i="5"/>
  <c r="H779" i="7" s="1"/>
  <c r="G779" i="5"/>
  <c r="G779" i="7" s="1"/>
  <c r="F779" i="5"/>
  <c r="F779" i="7" s="1"/>
  <c r="E779" i="5"/>
  <c r="E779" i="7" s="1"/>
  <c r="D779" i="5"/>
  <c r="D779" i="7" s="1"/>
  <c r="C779" i="5"/>
  <c r="C779" i="7" s="1"/>
  <c r="B779" i="5"/>
  <c r="B779" i="7" s="1"/>
  <c r="L778" i="5"/>
  <c r="L778" i="7" s="1"/>
  <c r="K778" i="5"/>
  <c r="K778" i="7" s="1"/>
  <c r="J778" i="5"/>
  <c r="J778" i="7" s="1"/>
  <c r="I778" i="5"/>
  <c r="I778" i="7" s="1"/>
  <c r="H778" i="5"/>
  <c r="H778" i="7" s="1"/>
  <c r="G778" i="5"/>
  <c r="G778" i="7" s="1"/>
  <c r="F778" i="5"/>
  <c r="F778" i="7" s="1"/>
  <c r="E778" i="5"/>
  <c r="E778" i="7" s="1"/>
  <c r="D778" i="5"/>
  <c r="D778" i="7" s="1"/>
  <c r="C778" i="5"/>
  <c r="C778" i="7" s="1"/>
  <c r="B778" i="5"/>
  <c r="B778" i="7" s="1"/>
  <c r="L777" i="5"/>
  <c r="L777" i="7" s="1"/>
  <c r="J777" i="5"/>
  <c r="J777" i="7" s="1"/>
  <c r="I777" i="5"/>
  <c r="I777" i="7" s="1"/>
  <c r="H777" i="5"/>
  <c r="H777" i="7" s="1"/>
  <c r="G777" i="5"/>
  <c r="G777" i="7" s="1"/>
  <c r="F777" i="5"/>
  <c r="F777" i="7" s="1"/>
  <c r="E777" i="5"/>
  <c r="D777" i="5"/>
  <c r="D777" i="7" s="1"/>
  <c r="C777" i="5"/>
  <c r="C777" i="7" s="1"/>
  <c r="B777" i="5"/>
  <c r="B777" i="7" s="1"/>
  <c r="L776" i="5"/>
  <c r="L776" i="7" s="1"/>
  <c r="K776" i="5"/>
  <c r="K776" i="7" s="1"/>
  <c r="J776" i="5"/>
  <c r="J776" i="7" s="1"/>
  <c r="I776" i="5"/>
  <c r="I776" i="7" s="1"/>
  <c r="H776" i="5"/>
  <c r="H776" i="7" s="1"/>
  <c r="G776" i="5"/>
  <c r="G776" i="7" s="1"/>
  <c r="F776" i="5"/>
  <c r="F776" i="7" s="1"/>
  <c r="E776" i="5"/>
  <c r="E776" i="7" s="1"/>
  <c r="D776" i="5"/>
  <c r="D776" i="7" s="1"/>
  <c r="C776" i="5"/>
  <c r="C776" i="7" s="1"/>
  <c r="B776" i="5"/>
  <c r="B776" i="7" s="1"/>
  <c r="L775" i="5"/>
  <c r="L775" i="7" s="1"/>
  <c r="K775" i="5"/>
  <c r="K775" i="7" s="1"/>
  <c r="J775" i="5"/>
  <c r="J775" i="7" s="1"/>
  <c r="I775" i="5"/>
  <c r="I775" i="7" s="1"/>
  <c r="H775" i="5"/>
  <c r="H775" i="7" s="1"/>
  <c r="G775" i="5"/>
  <c r="G775" i="7" s="1"/>
  <c r="F775" i="5"/>
  <c r="F775" i="7" s="1"/>
  <c r="E775" i="5"/>
  <c r="E775" i="7" s="1"/>
  <c r="D775" i="5"/>
  <c r="D775" i="7" s="1"/>
  <c r="C775" i="5"/>
  <c r="C775" i="7" s="1"/>
  <c r="B775" i="5"/>
  <c r="B775" i="7" s="1"/>
  <c r="L774" i="5"/>
  <c r="L774" i="7" s="1"/>
  <c r="J774" i="5"/>
  <c r="J774" i="7" s="1"/>
  <c r="I774" i="5"/>
  <c r="I774" i="7" s="1"/>
  <c r="H774" i="5"/>
  <c r="H774" i="7" s="1"/>
  <c r="G774" i="5"/>
  <c r="G774" i="7" s="1"/>
  <c r="F774" i="5"/>
  <c r="F774" i="7" s="1"/>
  <c r="E774" i="5"/>
  <c r="D774" i="5"/>
  <c r="D774" i="7" s="1"/>
  <c r="C774" i="5"/>
  <c r="C774" i="7" s="1"/>
  <c r="B774" i="5"/>
  <c r="B774" i="7" s="1"/>
  <c r="L773" i="5"/>
  <c r="L773" i="7" s="1"/>
  <c r="K773" i="5"/>
  <c r="K773" i="7" s="1"/>
  <c r="J773" i="5"/>
  <c r="J773" i="7" s="1"/>
  <c r="I773" i="5"/>
  <c r="I773" i="7" s="1"/>
  <c r="H773" i="5"/>
  <c r="H773" i="7" s="1"/>
  <c r="G773" i="5"/>
  <c r="G773" i="7" s="1"/>
  <c r="F773" i="5"/>
  <c r="F773" i="7" s="1"/>
  <c r="E773" i="5"/>
  <c r="E773" i="7" s="1"/>
  <c r="D773" i="5"/>
  <c r="D773" i="7" s="1"/>
  <c r="C773" i="5"/>
  <c r="C773" i="7" s="1"/>
  <c r="B773" i="5"/>
  <c r="B773" i="7" s="1"/>
  <c r="L772" i="5"/>
  <c r="L772" i="7" s="1"/>
  <c r="J772" i="5"/>
  <c r="J772" i="7" s="1"/>
  <c r="I772" i="5"/>
  <c r="I772" i="7" s="1"/>
  <c r="H772" i="5"/>
  <c r="H772" i="7" s="1"/>
  <c r="G772" i="5"/>
  <c r="G772" i="7" s="1"/>
  <c r="F772" i="5"/>
  <c r="F772" i="7" s="1"/>
  <c r="E772" i="5"/>
  <c r="E772" i="7" s="1"/>
  <c r="D772" i="5"/>
  <c r="D772" i="7" s="1"/>
  <c r="C772" i="5"/>
  <c r="C772" i="7" s="1"/>
  <c r="B772" i="5"/>
  <c r="B772" i="7" s="1"/>
  <c r="L771" i="5"/>
  <c r="L771" i="7" s="1"/>
  <c r="J771" i="5"/>
  <c r="J771" i="7" s="1"/>
  <c r="I771" i="5"/>
  <c r="I771" i="7" s="1"/>
  <c r="H771" i="5"/>
  <c r="H771" i="7" s="1"/>
  <c r="G771" i="5"/>
  <c r="G771" i="7" s="1"/>
  <c r="F771" i="5"/>
  <c r="F771" i="7" s="1"/>
  <c r="E771" i="5"/>
  <c r="E771" i="7" s="1"/>
  <c r="D771" i="5"/>
  <c r="D771" i="7" s="1"/>
  <c r="C771" i="5"/>
  <c r="C771" i="7" s="1"/>
  <c r="B771" i="5"/>
  <c r="B771" i="7" s="1"/>
  <c r="L770" i="5"/>
  <c r="L770" i="7" s="1"/>
  <c r="K770" i="5"/>
  <c r="K770" i="7" s="1"/>
  <c r="J770" i="5"/>
  <c r="J770" i="7" s="1"/>
  <c r="I770" i="5"/>
  <c r="I770" i="7" s="1"/>
  <c r="H770" i="5"/>
  <c r="H770" i="7" s="1"/>
  <c r="G770" i="5"/>
  <c r="G770" i="7" s="1"/>
  <c r="F770" i="5"/>
  <c r="F770" i="7" s="1"/>
  <c r="E770" i="5"/>
  <c r="E770" i="7" s="1"/>
  <c r="D770" i="5"/>
  <c r="D770" i="7" s="1"/>
  <c r="C770" i="5"/>
  <c r="C770" i="7" s="1"/>
  <c r="B770" i="5"/>
  <c r="B770" i="7" s="1"/>
  <c r="L769" i="5"/>
  <c r="L769" i="7" s="1"/>
  <c r="K769" i="5"/>
  <c r="K769" i="7" s="1"/>
  <c r="J769" i="5"/>
  <c r="J769" i="7" s="1"/>
  <c r="I769" i="5"/>
  <c r="I769" i="7" s="1"/>
  <c r="H769" i="5"/>
  <c r="H769" i="7" s="1"/>
  <c r="G769" i="5"/>
  <c r="G769" i="7" s="1"/>
  <c r="F769" i="5"/>
  <c r="F769" i="7" s="1"/>
  <c r="E769" i="5"/>
  <c r="E769" i="7" s="1"/>
  <c r="D769" i="5"/>
  <c r="D769" i="7" s="1"/>
  <c r="C769" i="5"/>
  <c r="C769" i="7" s="1"/>
  <c r="B769" i="5"/>
  <c r="B769" i="7" s="1"/>
  <c r="L768" i="5"/>
  <c r="L768" i="7" s="1"/>
  <c r="J768" i="5"/>
  <c r="J768" i="7" s="1"/>
  <c r="I768" i="5"/>
  <c r="I768" i="7" s="1"/>
  <c r="H768" i="5"/>
  <c r="H768" i="7" s="1"/>
  <c r="G768" i="5"/>
  <c r="G768" i="7" s="1"/>
  <c r="F768" i="5"/>
  <c r="F768" i="7" s="1"/>
  <c r="E768" i="5"/>
  <c r="D768" i="5"/>
  <c r="D768" i="7" s="1"/>
  <c r="C768" i="5"/>
  <c r="C768" i="7" s="1"/>
  <c r="B768" i="5"/>
  <c r="B768" i="7" s="1"/>
  <c r="L767" i="5"/>
  <c r="L767" i="7" s="1"/>
  <c r="J767" i="5"/>
  <c r="J767" i="7" s="1"/>
  <c r="I767" i="5"/>
  <c r="I767" i="7" s="1"/>
  <c r="H767" i="5"/>
  <c r="H767" i="7" s="1"/>
  <c r="G767" i="5"/>
  <c r="G767" i="7" s="1"/>
  <c r="F767" i="5"/>
  <c r="F767" i="7" s="1"/>
  <c r="E767" i="5"/>
  <c r="D767" i="5"/>
  <c r="D767" i="7" s="1"/>
  <c r="C767" i="5"/>
  <c r="C767" i="7" s="1"/>
  <c r="B767" i="5"/>
  <c r="B767" i="7" s="1"/>
  <c r="L766" i="5"/>
  <c r="L766" i="7" s="1"/>
  <c r="J766" i="5"/>
  <c r="J766" i="7" s="1"/>
  <c r="I766" i="5"/>
  <c r="I766" i="7" s="1"/>
  <c r="H766" i="5"/>
  <c r="H766" i="7" s="1"/>
  <c r="G766" i="5"/>
  <c r="G766" i="7" s="1"/>
  <c r="F766" i="5"/>
  <c r="F766" i="7" s="1"/>
  <c r="E766" i="5"/>
  <c r="E766" i="7" s="1"/>
  <c r="D766" i="5"/>
  <c r="D766" i="7" s="1"/>
  <c r="C766" i="5"/>
  <c r="C766" i="7" s="1"/>
  <c r="B766" i="5"/>
  <c r="B766" i="7" s="1"/>
  <c r="L765" i="5"/>
  <c r="L765" i="7" s="1"/>
  <c r="K765" i="5"/>
  <c r="K765" i="7" s="1"/>
  <c r="J765" i="5"/>
  <c r="J765" i="7" s="1"/>
  <c r="I765" i="5"/>
  <c r="I765" i="7" s="1"/>
  <c r="H765" i="5"/>
  <c r="H765" i="7" s="1"/>
  <c r="G765" i="5"/>
  <c r="G765" i="7" s="1"/>
  <c r="F765" i="5"/>
  <c r="F765" i="7" s="1"/>
  <c r="E765" i="5"/>
  <c r="E765" i="7" s="1"/>
  <c r="D765" i="5"/>
  <c r="D765" i="7" s="1"/>
  <c r="C765" i="5"/>
  <c r="C765" i="7" s="1"/>
  <c r="B765" i="5"/>
  <c r="B765" i="7" s="1"/>
  <c r="L764" i="5"/>
  <c r="L764" i="7" s="1"/>
  <c r="K764" i="5"/>
  <c r="K764" i="7" s="1"/>
  <c r="J764" i="5"/>
  <c r="J764" i="7" s="1"/>
  <c r="I764" i="5"/>
  <c r="I764" i="7" s="1"/>
  <c r="H764" i="5"/>
  <c r="H764" i="7" s="1"/>
  <c r="G764" i="5"/>
  <c r="G764" i="7" s="1"/>
  <c r="F764" i="5"/>
  <c r="F764" i="7" s="1"/>
  <c r="E764" i="5"/>
  <c r="E764" i="7" s="1"/>
  <c r="D764" i="5"/>
  <c r="D764" i="7" s="1"/>
  <c r="C764" i="5"/>
  <c r="C764" i="7" s="1"/>
  <c r="B764" i="5"/>
  <c r="B764" i="7" s="1"/>
  <c r="L763" i="5"/>
  <c r="L763" i="7" s="1"/>
  <c r="J763" i="5"/>
  <c r="J763" i="7" s="1"/>
  <c r="I763" i="5"/>
  <c r="I763" i="7" s="1"/>
  <c r="H763" i="5"/>
  <c r="H763" i="7" s="1"/>
  <c r="G763" i="5"/>
  <c r="G763" i="7" s="1"/>
  <c r="F763" i="5"/>
  <c r="F763" i="7" s="1"/>
  <c r="E763" i="5"/>
  <c r="D763" i="5"/>
  <c r="D763" i="7" s="1"/>
  <c r="C763" i="5"/>
  <c r="C763" i="7" s="1"/>
  <c r="B763" i="5"/>
  <c r="B763" i="7" s="1"/>
  <c r="L762" i="5"/>
  <c r="L762" i="7" s="1"/>
  <c r="K762" i="5"/>
  <c r="K762" i="7" s="1"/>
  <c r="J762" i="5"/>
  <c r="J762" i="7" s="1"/>
  <c r="I762" i="5"/>
  <c r="I762" i="7" s="1"/>
  <c r="H762" i="5"/>
  <c r="H762" i="7" s="1"/>
  <c r="G762" i="5"/>
  <c r="G762" i="7" s="1"/>
  <c r="F762" i="5"/>
  <c r="F762" i="7" s="1"/>
  <c r="E762" i="5"/>
  <c r="E762" i="7" s="1"/>
  <c r="D762" i="5"/>
  <c r="D762" i="7" s="1"/>
  <c r="C762" i="5"/>
  <c r="C762" i="7" s="1"/>
  <c r="B762" i="5"/>
  <c r="B762" i="7" s="1"/>
  <c r="L761" i="5"/>
  <c r="L761" i="7" s="1"/>
  <c r="K761" i="5"/>
  <c r="K761" i="7" s="1"/>
  <c r="J761" i="5"/>
  <c r="J761" i="7" s="1"/>
  <c r="I761" i="5"/>
  <c r="I761" i="7" s="1"/>
  <c r="H761" i="5"/>
  <c r="H761" i="7" s="1"/>
  <c r="G761" i="5"/>
  <c r="G761" i="7" s="1"/>
  <c r="F761" i="5"/>
  <c r="F761" i="7" s="1"/>
  <c r="E761" i="5"/>
  <c r="E761" i="7" s="1"/>
  <c r="D761" i="5"/>
  <c r="D761" i="7" s="1"/>
  <c r="C761" i="5"/>
  <c r="C761" i="7" s="1"/>
  <c r="B761" i="5"/>
  <c r="B761" i="7" s="1"/>
  <c r="L760" i="5"/>
  <c r="L760" i="7" s="1"/>
  <c r="J760" i="5"/>
  <c r="J760" i="7" s="1"/>
  <c r="I760" i="5"/>
  <c r="I760" i="7" s="1"/>
  <c r="H760" i="5"/>
  <c r="H760" i="7" s="1"/>
  <c r="G760" i="5"/>
  <c r="G760" i="7" s="1"/>
  <c r="F760" i="5"/>
  <c r="F760" i="7" s="1"/>
  <c r="E760" i="5"/>
  <c r="D760" i="5"/>
  <c r="D760" i="7" s="1"/>
  <c r="C760" i="5"/>
  <c r="C760" i="7" s="1"/>
  <c r="B760" i="5"/>
  <c r="B760" i="7" s="1"/>
  <c r="L759" i="5"/>
  <c r="L759" i="7" s="1"/>
  <c r="K759" i="5"/>
  <c r="K759" i="7" s="1"/>
  <c r="J759" i="5"/>
  <c r="J759" i="7" s="1"/>
  <c r="I759" i="5"/>
  <c r="I759" i="7" s="1"/>
  <c r="H759" i="5"/>
  <c r="H759" i="7" s="1"/>
  <c r="G759" i="5"/>
  <c r="G759" i="7" s="1"/>
  <c r="F759" i="5"/>
  <c r="F759" i="7" s="1"/>
  <c r="E759" i="5"/>
  <c r="E759" i="7" s="1"/>
  <c r="D759" i="5"/>
  <c r="D759" i="7" s="1"/>
  <c r="C759" i="5"/>
  <c r="C759" i="7" s="1"/>
  <c r="B759" i="5"/>
  <c r="B759" i="7" s="1"/>
  <c r="L758" i="5"/>
  <c r="L758" i="7" s="1"/>
  <c r="J758" i="5"/>
  <c r="J758" i="7" s="1"/>
  <c r="I758" i="5"/>
  <c r="I758" i="7" s="1"/>
  <c r="H758" i="5"/>
  <c r="H758" i="7" s="1"/>
  <c r="G758" i="5"/>
  <c r="G758" i="7" s="1"/>
  <c r="F758" i="5"/>
  <c r="F758" i="7" s="1"/>
  <c r="E758" i="5"/>
  <c r="E758" i="7" s="1"/>
  <c r="D758" i="5"/>
  <c r="D758" i="7" s="1"/>
  <c r="C758" i="5"/>
  <c r="C758" i="7" s="1"/>
  <c r="B758" i="5"/>
  <c r="B758" i="7" s="1"/>
  <c r="L757" i="5"/>
  <c r="L757" i="7" s="1"/>
  <c r="J757" i="5"/>
  <c r="J757" i="7" s="1"/>
  <c r="I757" i="5"/>
  <c r="I757" i="7" s="1"/>
  <c r="H757" i="5"/>
  <c r="H757" i="7" s="1"/>
  <c r="G757" i="5"/>
  <c r="G757" i="7" s="1"/>
  <c r="F757" i="5"/>
  <c r="F757" i="7" s="1"/>
  <c r="E757" i="5"/>
  <c r="E757" i="7" s="1"/>
  <c r="D757" i="5"/>
  <c r="D757" i="7" s="1"/>
  <c r="C757" i="5"/>
  <c r="C757" i="7" s="1"/>
  <c r="B757" i="5"/>
  <c r="B757" i="7" s="1"/>
  <c r="L756" i="5"/>
  <c r="L756" i="7" s="1"/>
  <c r="K756" i="5"/>
  <c r="K756" i="7" s="1"/>
  <c r="J756" i="5"/>
  <c r="J756" i="7" s="1"/>
  <c r="I756" i="5"/>
  <c r="I756" i="7" s="1"/>
  <c r="H756" i="5"/>
  <c r="H756" i="7" s="1"/>
  <c r="G756" i="5"/>
  <c r="G756" i="7" s="1"/>
  <c r="F756" i="5"/>
  <c r="F756" i="7" s="1"/>
  <c r="E756" i="5"/>
  <c r="E756" i="7" s="1"/>
  <c r="D756" i="5"/>
  <c r="D756" i="7" s="1"/>
  <c r="C756" i="5"/>
  <c r="C756" i="7" s="1"/>
  <c r="B756" i="5"/>
  <c r="B756" i="7" s="1"/>
  <c r="L755" i="5"/>
  <c r="L755" i="7" s="1"/>
  <c r="K755" i="5"/>
  <c r="K755" i="7" s="1"/>
  <c r="J755" i="5"/>
  <c r="J755" i="7" s="1"/>
  <c r="I755" i="5"/>
  <c r="I755" i="7" s="1"/>
  <c r="H755" i="5"/>
  <c r="H755" i="7" s="1"/>
  <c r="G755" i="5"/>
  <c r="G755" i="7" s="1"/>
  <c r="F755" i="5"/>
  <c r="F755" i="7" s="1"/>
  <c r="E755" i="5"/>
  <c r="E755" i="7" s="1"/>
  <c r="D755" i="5"/>
  <c r="D755" i="7" s="1"/>
  <c r="C755" i="5"/>
  <c r="C755" i="7" s="1"/>
  <c r="B755" i="5"/>
  <c r="B755" i="7" s="1"/>
  <c r="L754" i="5"/>
  <c r="L754" i="7" s="1"/>
  <c r="J754" i="5"/>
  <c r="J754" i="7" s="1"/>
  <c r="I754" i="5"/>
  <c r="I754" i="7" s="1"/>
  <c r="H754" i="5"/>
  <c r="H754" i="7" s="1"/>
  <c r="G754" i="5"/>
  <c r="G754" i="7" s="1"/>
  <c r="F754" i="5"/>
  <c r="F754" i="7" s="1"/>
  <c r="E754" i="5"/>
  <c r="D754" i="5"/>
  <c r="D754" i="7" s="1"/>
  <c r="C754" i="5"/>
  <c r="C754" i="7" s="1"/>
  <c r="B754" i="5"/>
  <c r="B754" i="7" s="1"/>
  <c r="L753" i="5"/>
  <c r="L753" i="7" s="1"/>
  <c r="J753" i="5"/>
  <c r="J753" i="7" s="1"/>
  <c r="I753" i="5"/>
  <c r="I753" i="7" s="1"/>
  <c r="H753" i="5"/>
  <c r="H753" i="7" s="1"/>
  <c r="G753" i="5"/>
  <c r="G753" i="7" s="1"/>
  <c r="F753" i="5"/>
  <c r="F753" i="7" s="1"/>
  <c r="E753" i="5"/>
  <c r="D753" i="5"/>
  <c r="D753" i="7" s="1"/>
  <c r="C753" i="5"/>
  <c r="C753" i="7" s="1"/>
  <c r="B753" i="5"/>
  <c r="B753" i="7" s="1"/>
  <c r="L752" i="5"/>
  <c r="L752" i="7" s="1"/>
  <c r="J752" i="5"/>
  <c r="J752" i="7" s="1"/>
  <c r="I752" i="5"/>
  <c r="I752" i="7" s="1"/>
  <c r="H752" i="5"/>
  <c r="H752" i="7" s="1"/>
  <c r="G752" i="5"/>
  <c r="G752" i="7" s="1"/>
  <c r="F752" i="5"/>
  <c r="F752" i="7" s="1"/>
  <c r="E752" i="5"/>
  <c r="E752" i="7" s="1"/>
  <c r="D752" i="5"/>
  <c r="D752" i="7" s="1"/>
  <c r="C752" i="5"/>
  <c r="C752" i="7" s="1"/>
  <c r="B752" i="5"/>
  <c r="B752" i="7" s="1"/>
  <c r="L751" i="5"/>
  <c r="L751" i="7" s="1"/>
  <c r="K751" i="5"/>
  <c r="K751" i="7" s="1"/>
  <c r="J751" i="5"/>
  <c r="J751" i="7" s="1"/>
  <c r="I751" i="5"/>
  <c r="I751" i="7" s="1"/>
  <c r="H751" i="5"/>
  <c r="H751" i="7" s="1"/>
  <c r="G751" i="5"/>
  <c r="G751" i="7" s="1"/>
  <c r="F751" i="5"/>
  <c r="F751" i="7" s="1"/>
  <c r="E751" i="5"/>
  <c r="E751" i="7" s="1"/>
  <c r="D751" i="5"/>
  <c r="D751" i="7" s="1"/>
  <c r="C751" i="5"/>
  <c r="C751" i="7" s="1"/>
  <c r="B751" i="5"/>
  <c r="B751" i="7" s="1"/>
  <c r="L750" i="5"/>
  <c r="L750" i="7" s="1"/>
  <c r="K750" i="5"/>
  <c r="K750" i="7" s="1"/>
  <c r="J750" i="5"/>
  <c r="J750" i="7" s="1"/>
  <c r="I750" i="5"/>
  <c r="I750" i="7" s="1"/>
  <c r="H750" i="5"/>
  <c r="H750" i="7" s="1"/>
  <c r="G750" i="5"/>
  <c r="G750" i="7" s="1"/>
  <c r="F750" i="5"/>
  <c r="F750" i="7" s="1"/>
  <c r="E750" i="5"/>
  <c r="E750" i="7" s="1"/>
  <c r="D750" i="5"/>
  <c r="D750" i="7" s="1"/>
  <c r="C750" i="5"/>
  <c r="C750" i="7" s="1"/>
  <c r="B750" i="5"/>
  <c r="B750" i="7" s="1"/>
  <c r="L749" i="5"/>
  <c r="L749" i="7" s="1"/>
  <c r="J749" i="5"/>
  <c r="J749" i="7" s="1"/>
  <c r="I749" i="5"/>
  <c r="I749" i="7" s="1"/>
  <c r="H749" i="5"/>
  <c r="H749" i="7" s="1"/>
  <c r="G749" i="5"/>
  <c r="G749" i="7" s="1"/>
  <c r="F749" i="5"/>
  <c r="F749" i="7" s="1"/>
  <c r="E749" i="5"/>
  <c r="D749" i="5"/>
  <c r="D749" i="7" s="1"/>
  <c r="C749" i="5"/>
  <c r="C749" i="7" s="1"/>
  <c r="B749" i="5"/>
  <c r="B749" i="7" s="1"/>
  <c r="L748" i="5"/>
  <c r="L748" i="7" s="1"/>
  <c r="J748" i="5"/>
  <c r="J748" i="7" s="1"/>
  <c r="I748" i="5"/>
  <c r="I748" i="7" s="1"/>
  <c r="H748" i="5"/>
  <c r="H748" i="7" s="1"/>
  <c r="G748" i="5"/>
  <c r="G748" i="7" s="1"/>
  <c r="F748" i="5"/>
  <c r="F748" i="7" s="1"/>
  <c r="E748" i="5"/>
  <c r="E748" i="7" s="1"/>
  <c r="D748" i="5"/>
  <c r="D748" i="7" s="1"/>
  <c r="C748" i="5"/>
  <c r="C748" i="7" s="1"/>
  <c r="B748" i="5"/>
  <c r="B748" i="7" s="1"/>
  <c r="L747" i="5"/>
  <c r="L747" i="7" s="1"/>
  <c r="K747" i="5"/>
  <c r="K747" i="7" s="1"/>
  <c r="J747" i="5"/>
  <c r="J747" i="7" s="1"/>
  <c r="I747" i="5"/>
  <c r="I747" i="7" s="1"/>
  <c r="H747" i="5"/>
  <c r="H747" i="7" s="1"/>
  <c r="G747" i="5"/>
  <c r="G747" i="7" s="1"/>
  <c r="F747" i="5"/>
  <c r="F747" i="7" s="1"/>
  <c r="E747" i="5"/>
  <c r="E747" i="7" s="1"/>
  <c r="D747" i="5"/>
  <c r="D747" i="7" s="1"/>
  <c r="C747" i="5"/>
  <c r="C747" i="7" s="1"/>
  <c r="B747" i="5"/>
  <c r="B747" i="7" s="1"/>
  <c r="L746" i="5"/>
  <c r="L746" i="7" s="1"/>
  <c r="J746" i="5"/>
  <c r="J746" i="7" s="1"/>
  <c r="I746" i="5"/>
  <c r="I746" i="7" s="1"/>
  <c r="H746" i="5"/>
  <c r="H746" i="7" s="1"/>
  <c r="G746" i="5"/>
  <c r="G746" i="7" s="1"/>
  <c r="F746" i="5"/>
  <c r="F746" i="7" s="1"/>
  <c r="E746" i="5"/>
  <c r="D746" i="5"/>
  <c r="D746" i="7" s="1"/>
  <c r="C746" i="5"/>
  <c r="C746" i="7" s="1"/>
  <c r="B746" i="5"/>
  <c r="B746" i="7" s="1"/>
  <c r="L745" i="5"/>
  <c r="L745" i="7" s="1"/>
  <c r="K745" i="5"/>
  <c r="K745" i="7" s="1"/>
  <c r="J745" i="5"/>
  <c r="J745" i="7" s="1"/>
  <c r="I745" i="5"/>
  <c r="I745" i="7" s="1"/>
  <c r="H745" i="5"/>
  <c r="H745" i="7" s="1"/>
  <c r="G745" i="5"/>
  <c r="G745" i="7" s="1"/>
  <c r="F745" i="5"/>
  <c r="F745" i="7" s="1"/>
  <c r="E745" i="5"/>
  <c r="E745" i="7" s="1"/>
  <c r="D745" i="5"/>
  <c r="D745" i="7" s="1"/>
  <c r="C745" i="5"/>
  <c r="C745" i="7" s="1"/>
  <c r="B745" i="5"/>
  <c r="B745" i="7" s="1"/>
  <c r="L744" i="5"/>
  <c r="L744" i="7" s="1"/>
  <c r="J744" i="5"/>
  <c r="J744" i="7" s="1"/>
  <c r="I744" i="5"/>
  <c r="I744" i="7" s="1"/>
  <c r="H744" i="5"/>
  <c r="H744" i="7" s="1"/>
  <c r="G744" i="5"/>
  <c r="G744" i="7" s="1"/>
  <c r="F744" i="5"/>
  <c r="F744" i="7" s="1"/>
  <c r="E744" i="5"/>
  <c r="E744" i="7" s="1"/>
  <c r="D744" i="5"/>
  <c r="D744" i="7" s="1"/>
  <c r="C744" i="5"/>
  <c r="C744" i="7" s="1"/>
  <c r="B744" i="5"/>
  <c r="B744" i="7" s="1"/>
  <c r="L743" i="5"/>
  <c r="L743" i="7" s="1"/>
  <c r="J743" i="5"/>
  <c r="J743" i="7" s="1"/>
  <c r="I743" i="5"/>
  <c r="I743" i="7" s="1"/>
  <c r="H743" i="5"/>
  <c r="H743" i="7" s="1"/>
  <c r="G743" i="5"/>
  <c r="G743" i="7" s="1"/>
  <c r="F743" i="5"/>
  <c r="F743" i="7" s="1"/>
  <c r="E743" i="5"/>
  <c r="E743" i="7" s="1"/>
  <c r="D743" i="5"/>
  <c r="D743" i="7" s="1"/>
  <c r="C743" i="5"/>
  <c r="C743" i="7" s="1"/>
  <c r="B743" i="5"/>
  <c r="B743" i="7" s="1"/>
  <c r="L742" i="5"/>
  <c r="L742" i="7" s="1"/>
  <c r="K742" i="5"/>
  <c r="K742" i="7" s="1"/>
  <c r="J742" i="5"/>
  <c r="J742" i="7" s="1"/>
  <c r="I742" i="5"/>
  <c r="I742" i="7" s="1"/>
  <c r="H742" i="5"/>
  <c r="H742" i="7" s="1"/>
  <c r="G742" i="5"/>
  <c r="G742" i="7" s="1"/>
  <c r="F742" i="5"/>
  <c r="F742" i="7" s="1"/>
  <c r="E742" i="5"/>
  <c r="E742" i="7" s="1"/>
  <c r="D742" i="5"/>
  <c r="D742" i="7" s="1"/>
  <c r="C742" i="5"/>
  <c r="C742" i="7" s="1"/>
  <c r="B742" i="5"/>
  <c r="B742" i="7" s="1"/>
  <c r="L741" i="5"/>
  <c r="L741" i="7" s="1"/>
  <c r="K741" i="5"/>
  <c r="K741" i="7" s="1"/>
  <c r="J741" i="5"/>
  <c r="J741" i="7" s="1"/>
  <c r="I741" i="5"/>
  <c r="I741" i="7" s="1"/>
  <c r="H741" i="5"/>
  <c r="H741" i="7" s="1"/>
  <c r="G741" i="5"/>
  <c r="G741" i="7" s="1"/>
  <c r="F741" i="5"/>
  <c r="F741" i="7" s="1"/>
  <c r="E741" i="5"/>
  <c r="E741" i="7" s="1"/>
  <c r="D741" i="5"/>
  <c r="D741" i="7" s="1"/>
  <c r="C741" i="5"/>
  <c r="C741" i="7" s="1"/>
  <c r="B741" i="5"/>
  <c r="B741" i="7" s="1"/>
  <c r="L740" i="5"/>
  <c r="L740" i="7" s="1"/>
  <c r="J740" i="5"/>
  <c r="J740" i="7" s="1"/>
  <c r="I740" i="5"/>
  <c r="I740" i="7" s="1"/>
  <c r="H740" i="5"/>
  <c r="H740" i="7" s="1"/>
  <c r="G740" i="5"/>
  <c r="G740" i="7" s="1"/>
  <c r="F740" i="5"/>
  <c r="F740" i="7" s="1"/>
  <c r="E740" i="5"/>
  <c r="D740" i="5"/>
  <c r="D740" i="7" s="1"/>
  <c r="C740" i="5"/>
  <c r="C740" i="7" s="1"/>
  <c r="B740" i="5"/>
  <c r="B740" i="7" s="1"/>
  <c r="L739" i="5"/>
  <c r="L739" i="7" s="1"/>
  <c r="J739" i="5"/>
  <c r="J739" i="7" s="1"/>
  <c r="I739" i="5"/>
  <c r="I739" i="7" s="1"/>
  <c r="H739" i="5"/>
  <c r="H739" i="7" s="1"/>
  <c r="G739" i="5"/>
  <c r="G739" i="7" s="1"/>
  <c r="F739" i="5"/>
  <c r="F739" i="7" s="1"/>
  <c r="E739" i="5"/>
  <c r="D739" i="5"/>
  <c r="D739" i="7" s="1"/>
  <c r="C739" i="5"/>
  <c r="C739" i="7" s="1"/>
  <c r="B739" i="5"/>
  <c r="B739" i="7" s="1"/>
  <c r="L738" i="5"/>
  <c r="L738" i="7" s="1"/>
  <c r="J738" i="5"/>
  <c r="J738" i="7" s="1"/>
  <c r="I738" i="5"/>
  <c r="I738" i="7" s="1"/>
  <c r="H738" i="5"/>
  <c r="H738" i="7" s="1"/>
  <c r="G738" i="5"/>
  <c r="G738" i="7" s="1"/>
  <c r="F738" i="5"/>
  <c r="F738" i="7" s="1"/>
  <c r="E738" i="5"/>
  <c r="E738" i="7" s="1"/>
  <c r="D738" i="5"/>
  <c r="D738" i="7" s="1"/>
  <c r="C738" i="5"/>
  <c r="C738" i="7" s="1"/>
  <c r="B738" i="5"/>
  <c r="B738" i="7" s="1"/>
  <c r="L737" i="5"/>
  <c r="L737" i="7" s="1"/>
  <c r="K737" i="5"/>
  <c r="K737" i="7" s="1"/>
  <c r="J737" i="5"/>
  <c r="J737" i="7" s="1"/>
  <c r="I737" i="5"/>
  <c r="I737" i="7" s="1"/>
  <c r="H737" i="5"/>
  <c r="H737" i="7" s="1"/>
  <c r="G737" i="5"/>
  <c r="G737" i="7" s="1"/>
  <c r="F737" i="5"/>
  <c r="F737" i="7" s="1"/>
  <c r="E737" i="5"/>
  <c r="E737" i="7" s="1"/>
  <c r="D737" i="5"/>
  <c r="D737" i="7" s="1"/>
  <c r="C737" i="5"/>
  <c r="C737" i="7" s="1"/>
  <c r="B737" i="5"/>
  <c r="B737" i="7" s="1"/>
  <c r="L736" i="5"/>
  <c r="L736" i="7" s="1"/>
  <c r="K736" i="5"/>
  <c r="K736" i="7" s="1"/>
  <c r="J736" i="5"/>
  <c r="J736" i="7" s="1"/>
  <c r="I736" i="5"/>
  <c r="I736" i="7" s="1"/>
  <c r="H736" i="5"/>
  <c r="H736" i="7" s="1"/>
  <c r="G736" i="5"/>
  <c r="G736" i="7" s="1"/>
  <c r="F736" i="5"/>
  <c r="F736" i="7" s="1"/>
  <c r="E736" i="5"/>
  <c r="E736" i="7" s="1"/>
  <c r="D736" i="5"/>
  <c r="D736" i="7" s="1"/>
  <c r="C736" i="5"/>
  <c r="C736" i="7" s="1"/>
  <c r="B736" i="5"/>
  <c r="B736" i="7" s="1"/>
  <c r="L735" i="5"/>
  <c r="L735" i="7" s="1"/>
  <c r="J735" i="5"/>
  <c r="J735" i="7" s="1"/>
  <c r="I735" i="5"/>
  <c r="I735" i="7" s="1"/>
  <c r="H735" i="5"/>
  <c r="H735" i="7" s="1"/>
  <c r="G735" i="5"/>
  <c r="G735" i="7" s="1"/>
  <c r="F735" i="5"/>
  <c r="F735" i="7" s="1"/>
  <c r="E735" i="5"/>
  <c r="D735" i="5"/>
  <c r="D735" i="7" s="1"/>
  <c r="C735" i="5"/>
  <c r="C735" i="7" s="1"/>
  <c r="B735" i="5"/>
  <c r="B735" i="7" s="1"/>
  <c r="L734" i="5"/>
  <c r="L734" i="7" s="1"/>
  <c r="K734" i="5"/>
  <c r="K734" i="7" s="1"/>
  <c r="J734" i="5"/>
  <c r="J734" i="7" s="1"/>
  <c r="I734" i="5"/>
  <c r="I734" i="7" s="1"/>
  <c r="H734" i="5"/>
  <c r="H734" i="7" s="1"/>
  <c r="G734" i="5"/>
  <c r="G734" i="7" s="1"/>
  <c r="F734" i="5"/>
  <c r="F734" i="7" s="1"/>
  <c r="E734" i="5"/>
  <c r="E734" i="7" s="1"/>
  <c r="D734" i="5"/>
  <c r="D734" i="7" s="1"/>
  <c r="C734" i="5"/>
  <c r="C734" i="7" s="1"/>
  <c r="B734" i="5"/>
  <c r="B734" i="7" s="1"/>
  <c r="L733" i="5"/>
  <c r="L733" i="7" s="1"/>
  <c r="K733" i="5"/>
  <c r="K733" i="7" s="1"/>
  <c r="J733" i="5"/>
  <c r="J733" i="7" s="1"/>
  <c r="I733" i="5"/>
  <c r="I733" i="7" s="1"/>
  <c r="H733" i="5"/>
  <c r="H733" i="7" s="1"/>
  <c r="G733" i="5"/>
  <c r="G733" i="7" s="1"/>
  <c r="F733" i="5"/>
  <c r="F733" i="7" s="1"/>
  <c r="E733" i="5"/>
  <c r="E733" i="7" s="1"/>
  <c r="D733" i="5"/>
  <c r="D733" i="7" s="1"/>
  <c r="C733" i="5"/>
  <c r="C733" i="7" s="1"/>
  <c r="B733" i="5"/>
  <c r="B733" i="7" s="1"/>
  <c r="L732" i="5"/>
  <c r="L732" i="7" s="1"/>
  <c r="J732" i="5"/>
  <c r="J732" i="7" s="1"/>
  <c r="I732" i="5"/>
  <c r="I732" i="7" s="1"/>
  <c r="H732" i="5"/>
  <c r="H732" i="7" s="1"/>
  <c r="G732" i="5"/>
  <c r="G732" i="7" s="1"/>
  <c r="F732" i="5"/>
  <c r="F732" i="7" s="1"/>
  <c r="E732" i="5"/>
  <c r="D732" i="5"/>
  <c r="D732" i="7" s="1"/>
  <c r="C732" i="5"/>
  <c r="C732" i="7" s="1"/>
  <c r="B732" i="5"/>
  <c r="B732" i="7" s="1"/>
  <c r="L731" i="5"/>
  <c r="L731" i="7" s="1"/>
  <c r="K731" i="5"/>
  <c r="K731" i="7" s="1"/>
  <c r="J731" i="5"/>
  <c r="J731" i="7" s="1"/>
  <c r="I731" i="5"/>
  <c r="I731" i="7" s="1"/>
  <c r="H731" i="5"/>
  <c r="H731" i="7" s="1"/>
  <c r="G731" i="5"/>
  <c r="G731" i="7" s="1"/>
  <c r="F731" i="5"/>
  <c r="F731" i="7" s="1"/>
  <c r="E731" i="5"/>
  <c r="E731" i="7" s="1"/>
  <c r="D731" i="5"/>
  <c r="D731" i="7" s="1"/>
  <c r="C731" i="5"/>
  <c r="C731" i="7" s="1"/>
  <c r="B731" i="5"/>
  <c r="B731" i="7" s="1"/>
  <c r="L730" i="5"/>
  <c r="L730" i="7" s="1"/>
  <c r="J730" i="5"/>
  <c r="J730" i="7" s="1"/>
  <c r="I730" i="5"/>
  <c r="I730" i="7" s="1"/>
  <c r="H730" i="5"/>
  <c r="H730" i="7" s="1"/>
  <c r="G730" i="5"/>
  <c r="G730" i="7" s="1"/>
  <c r="F730" i="5"/>
  <c r="F730" i="7" s="1"/>
  <c r="E730" i="5"/>
  <c r="E730" i="7" s="1"/>
  <c r="D730" i="5"/>
  <c r="D730" i="7" s="1"/>
  <c r="C730" i="5"/>
  <c r="C730" i="7" s="1"/>
  <c r="B730" i="5"/>
  <c r="B730" i="7" s="1"/>
  <c r="L729" i="5"/>
  <c r="L729" i="7" s="1"/>
  <c r="J729" i="5"/>
  <c r="J729" i="7" s="1"/>
  <c r="I729" i="5"/>
  <c r="I729" i="7" s="1"/>
  <c r="H729" i="5"/>
  <c r="H729" i="7" s="1"/>
  <c r="G729" i="5"/>
  <c r="G729" i="7" s="1"/>
  <c r="F729" i="5"/>
  <c r="F729" i="7" s="1"/>
  <c r="E729" i="5"/>
  <c r="E729" i="7" s="1"/>
  <c r="D729" i="5"/>
  <c r="D729" i="7" s="1"/>
  <c r="C729" i="5"/>
  <c r="C729" i="7" s="1"/>
  <c r="B729" i="5"/>
  <c r="B729" i="7" s="1"/>
  <c r="L728" i="5"/>
  <c r="L728" i="7" s="1"/>
  <c r="K728" i="5"/>
  <c r="K728" i="7" s="1"/>
  <c r="J728" i="5"/>
  <c r="J728" i="7" s="1"/>
  <c r="I728" i="5"/>
  <c r="I728" i="7" s="1"/>
  <c r="H728" i="5"/>
  <c r="H728" i="7" s="1"/>
  <c r="G728" i="5"/>
  <c r="G728" i="7" s="1"/>
  <c r="F728" i="5"/>
  <c r="F728" i="7" s="1"/>
  <c r="E728" i="5"/>
  <c r="E728" i="7" s="1"/>
  <c r="D728" i="5"/>
  <c r="D728" i="7" s="1"/>
  <c r="C728" i="5"/>
  <c r="C728" i="7" s="1"/>
  <c r="B728" i="5"/>
  <c r="B728" i="7" s="1"/>
  <c r="L727" i="5"/>
  <c r="L727" i="7" s="1"/>
  <c r="K727" i="5"/>
  <c r="K727" i="7" s="1"/>
  <c r="J727" i="5"/>
  <c r="J727" i="7" s="1"/>
  <c r="I727" i="5"/>
  <c r="I727" i="7" s="1"/>
  <c r="H727" i="5"/>
  <c r="H727" i="7" s="1"/>
  <c r="G727" i="5"/>
  <c r="G727" i="7" s="1"/>
  <c r="F727" i="5"/>
  <c r="F727" i="7" s="1"/>
  <c r="E727" i="5"/>
  <c r="E727" i="7" s="1"/>
  <c r="D727" i="5"/>
  <c r="D727" i="7" s="1"/>
  <c r="C727" i="5"/>
  <c r="C727" i="7" s="1"/>
  <c r="B727" i="5"/>
  <c r="B727" i="7" s="1"/>
  <c r="L726" i="5"/>
  <c r="L726" i="7" s="1"/>
  <c r="J726" i="5"/>
  <c r="J726" i="7" s="1"/>
  <c r="I726" i="5"/>
  <c r="I726" i="7" s="1"/>
  <c r="H726" i="5"/>
  <c r="H726" i="7" s="1"/>
  <c r="G726" i="5"/>
  <c r="G726" i="7" s="1"/>
  <c r="F726" i="5"/>
  <c r="F726" i="7" s="1"/>
  <c r="E726" i="5"/>
  <c r="D726" i="5"/>
  <c r="D726" i="7" s="1"/>
  <c r="C726" i="5"/>
  <c r="C726" i="7" s="1"/>
  <c r="B726" i="5"/>
  <c r="B726" i="7" s="1"/>
  <c r="L725" i="5"/>
  <c r="L725" i="7" s="1"/>
  <c r="J725" i="5"/>
  <c r="J725" i="7" s="1"/>
  <c r="I725" i="5"/>
  <c r="I725" i="7" s="1"/>
  <c r="H725" i="5"/>
  <c r="H725" i="7" s="1"/>
  <c r="G725" i="5"/>
  <c r="G725" i="7" s="1"/>
  <c r="F725" i="5"/>
  <c r="F725" i="7" s="1"/>
  <c r="E725" i="5"/>
  <c r="D725" i="5"/>
  <c r="D725" i="7" s="1"/>
  <c r="C725" i="5"/>
  <c r="C725" i="7" s="1"/>
  <c r="B725" i="5"/>
  <c r="B725" i="7" s="1"/>
  <c r="L724" i="5"/>
  <c r="L724" i="7" s="1"/>
  <c r="J724" i="5"/>
  <c r="J724" i="7" s="1"/>
  <c r="I724" i="5"/>
  <c r="I724" i="7" s="1"/>
  <c r="H724" i="5"/>
  <c r="H724" i="7" s="1"/>
  <c r="G724" i="5"/>
  <c r="G724" i="7" s="1"/>
  <c r="F724" i="5"/>
  <c r="F724" i="7" s="1"/>
  <c r="E724" i="5"/>
  <c r="E724" i="7" s="1"/>
  <c r="D724" i="5"/>
  <c r="D724" i="7" s="1"/>
  <c r="C724" i="5"/>
  <c r="C724" i="7" s="1"/>
  <c r="B724" i="5"/>
  <c r="B724" i="7" s="1"/>
  <c r="L723" i="5"/>
  <c r="L723" i="7" s="1"/>
  <c r="K723" i="5"/>
  <c r="K723" i="7" s="1"/>
  <c r="J723" i="5"/>
  <c r="J723" i="7" s="1"/>
  <c r="I723" i="5"/>
  <c r="I723" i="7" s="1"/>
  <c r="H723" i="5"/>
  <c r="H723" i="7" s="1"/>
  <c r="G723" i="5"/>
  <c r="G723" i="7" s="1"/>
  <c r="F723" i="5"/>
  <c r="F723" i="7" s="1"/>
  <c r="E723" i="5"/>
  <c r="E723" i="7" s="1"/>
  <c r="D723" i="5"/>
  <c r="D723" i="7" s="1"/>
  <c r="C723" i="5"/>
  <c r="C723" i="7" s="1"/>
  <c r="B723" i="5"/>
  <c r="B723" i="7" s="1"/>
  <c r="L722" i="5"/>
  <c r="L722" i="7" s="1"/>
  <c r="K722" i="5"/>
  <c r="K722" i="7" s="1"/>
  <c r="J722" i="5"/>
  <c r="J722" i="7" s="1"/>
  <c r="I722" i="5"/>
  <c r="I722" i="7" s="1"/>
  <c r="H722" i="5"/>
  <c r="H722" i="7" s="1"/>
  <c r="G722" i="5"/>
  <c r="G722" i="7" s="1"/>
  <c r="F722" i="5"/>
  <c r="F722" i="7" s="1"/>
  <c r="E722" i="5"/>
  <c r="E722" i="7" s="1"/>
  <c r="D722" i="5"/>
  <c r="D722" i="7" s="1"/>
  <c r="C722" i="5"/>
  <c r="C722" i="7" s="1"/>
  <c r="B722" i="5"/>
  <c r="B722" i="7" s="1"/>
  <c r="L721" i="5"/>
  <c r="L721" i="7" s="1"/>
  <c r="J721" i="5"/>
  <c r="J721" i="7" s="1"/>
  <c r="I721" i="5"/>
  <c r="I721" i="7" s="1"/>
  <c r="H721" i="5"/>
  <c r="H721" i="7" s="1"/>
  <c r="G721" i="5"/>
  <c r="G721" i="7" s="1"/>
  <c r="F721" i="5"/>
  <c r="F721" i="7" s="1"/>
  <c r="E721" i="5"/>
  <c r="D721" i="5"/>
  <c r="D721" i="7" s="1"/>
  <c r="C721" i="5"/>
  <c r="C721" i="7" s="1"/>
  <c r="B721" i="5"/>
  <c r="B721" i="7" s="1"/>
  <c r="L720" i="5"/>
  <c r="L720" i="7" s="1"/>
  <c r="J720" i="5"/>
  <c r="J720" i="7" s="1"/>
  <c r="I720" i="5"/>
  <c r="I720" i="7" s="1"/>
  <c r="H720" i="5"/>
  <c r="H720" i="7" s="1"/>
  <c r="G720" i="5"/>
  <c r="G720" i="7" s="1"/>
  <c r="F720" i="5"/>
  <c r="F720" i="7" s="1"/>
  <c r="E720" i="5"/>
  <c r="E720" i="7" s="1"/>
  <c r="D720" i="5"/>
  <c r="D720" i="7" s="1"/>
  <c r="C720" i="5"/>
  <c r="C720" i="7" s="1"/>
  <c r="B720" i="5"/>
  <c r="B720" i="7" s="1"/>
  <c r="L719" i="5"/>
  <c r="L719" i="7" s="1"/>
  <c r="K719" i="5"/>
  <c r="K719" i="7" s="1"/>
  <c r="J719" i="5"/>
  <c r="J719" i="7" s="1"/>
  <c r="I719" i="5"/>
  <c r="I719" i="7" s="1"/>
  <c r="H719" i="5"/>
  <c r="H719" i="7" s="1"/>
  <c r="G719" i="5"/>
  <c r="G719" i="7" s="1"/>
  <c r="F719" i="5"/>
  <c r="F719" i="7" s="1"/>
  <c r="E719" i="5"/>
  <c r="E719" i="7" s="1"/>
  <c r="D719" i="5"/>
  <c r="D719" i="7" s="1"/>
  <c r="C719" i="5"/>
  <c r="C719" i="7" s="1"/>
  <c r="B719" i="5"/>
  <c r="B719" i="7" s="1"/>
  <c r="L718" i="5"/>
  <c r="L718" i="7" s="1"/>
  <c r="J718" i="5"/>
  <c r="J718" i="7" s="1"/>
  <c r="I718" i="5"/>
  <c r="I718" i="7" s="1"/>
  <c r="H718" i="5"/>
  <c r="H718" i="7" s="1"/>
  <c r="G718" i="5"/>
  <c r="G718" i="7" s="1"/>
  <c r="F718" i="5"/>
  <c r="F718" i="7" s="1"/>
  <c r="E718" i="5"/>
  <c r="D718" i="5"/>
  <c r="D718" i="7" s="1"/>
  <c r="C718" i="5"/>
  <c r="C718" i="7" s="1"/>
  <c r="B718" i="5"/>
  <c r="B718" i="7" s="1"/>
  <c r="L717" i="5"/>
  <c r="L717" i="7" s="1"/>
  <c r="K717" i="5"/>
  <c r="K717" i="7" s="1"/>
  <c r="J717" i="5"/>
  <c r="J717" i="7" s="1"/>
  <c r="I717" i="5"/>
  <c r="I717" i="7" s="1"/>
  <c r="H717" i="5"/>
  <c r="H717" i="7" s="1"/>
  <c r="G717" i="5"/>
  <c r="G717" i="7" s="1"/>
  <c r="F717" i="5"/>
  <c r="F717" i="7" s="1"/>
  <c r="E717" i="5"/>
  <c r="E717" i="7" s="1"/>
  <c r="D717" i="5"/>
  <c r="D717" i="7" s="1"/>
  <c r="C717" i="5"/>
  <c r="C717" i="7" s="1"/>
  <c r="B717" i="5"/>
  <c r="B717" i="7" s="1"/>
  <c r="L716" i="5"/>
  <c r="L716" i="7" s="1"/>
  <c r="J716" i="5"/>
  <c r="J716" i="7" s="1"/>
  <c r="I716" i="5"/>
  <c r="I716" i="7" s="1"/>
  <c r="H716" i="5"/>
  <c r="H716" i="7" s="1"/>
  <c r="G716" i="5"/>
  <c r="G716" i="7" s="1"/>
  <c r="F716" i="5"/>
  <c r="F716" i="7" s="1"/>
  <c r="E716" i="5"/>
  <c r="E716" i="7" s="1"/>
  <c r="D716" i="5"/>
  <c r="D716" i="7" s="1"/>
  <c r="C716" i="5"/>
  <c r="C716" i="7" s="1"/>
  <c r="B716" i="5"/>
  <c r="B716" i="7" s="1"/>
  <c r="L715" i="5"/>
  <c r="L715" i="7" s="1"/>
  <c r="J715" i="5"/>
  <c r="J715" i="7" s="1"/>
  <c r="I715" i="5"/>
  <c r="I715" i="7" s="1"/>
  <c r="H715" i="5"/>
  <c r="H715" i="7" s="1"/>
  <c r="G715" i="5"/>
  <c r="G715" i="7" s="1"/>
  <c r="F715" i="5"/>
  <c r="F715" i="7" s="1"/>
  <c r="E715" i="5"/>
  <c r="E715" i="7" s="1"/>
  <c r="D715" i="5"/>
  <c r="D715" i="7" s="1"/>
  <c r="C715" i="5"/>
  <c r="C715" i="7" s="1"/>
  <c r="B715" i="5"/>
  <c r="B715" i="7" s="1"/>
  <c r="L714" i="5"/>
  <c r="L714" i="7" s="1"/>
  <c r="K714" i="5"/>
  <c r="K714" i="7" s="1"/>
  <c r="J714" i="5"/>
  <c r="J714" i="7" s="1"/>
  <c r="I714" i="5"/>
  <c r="I714" i="7" s="1"/>
  <c r="H714" i="5"/>
  <c r="H714" i="7" s="1"/>
  <c r="G714" i="5"/>
  <c r="G714" i="7" s="1"/>
  <c r="F714" i="5"/>
  <c r="F714" i="7" s="1"/>
  <c r="E714" i="5"/>
  <c r="E714" i="7" s="1"/>
  <c r="D714" i="5"/>
  <c r="D714" i="7" s="1"/>
  <c r="C714" i="5"/>
  <c r="C714" i="7" s="1"/>
  <c r="B714" i="5"/>
  <c r="B714" i="7" s="1"/>
  <c r="L713" i="5"/>
  <c r="L713" i="7" s="1"/>
  <c r="K713" i="5"/>
  <c r="K713" i="7" s="1"/>
  <c r="J713" i="5"/>
  <c r="J713" i="7" s="1"/>
  <c r="I713" i="5"/>
  <c r="I713" i="7" s="1"/>
  <c r="H713" i="5"/>
  <c r="H713" i="7" s="1"/>
  <c r="G713" i="5"/>
  <c r="G713" i="7" s="1"/>
  <c r="F713" i="5"/>
  <c r="F713" i="7" s="1"/>
  <c r="E713" i="5"/>
  <c r="E713" i="7" s="1"/>
  <c r="D713" i="5"/>
  <c r="D713" i="7" s="1"/>
  <c r="C713" i="5"/>
  <c r="C713" i="7" s="1"/>
  <c r="B713" i="5"/>
  <c r="B713" i="7" s="1"/>
  <c r="L712" i="5"/>
  <c r="L712" i="7" s="1"/>
  <c r="J712" i="5"/>
  <c r="J712" i="7" s="1"/>
  <c r="I712" i="5"/>
  <c r="I712" i="7" s="1"/>
  <c r="H712" i="5"/>
  <c r="H712" i="7" s="1"/>
  <c r="G712" i="5"/>
  <c r="G712" i="7" s="1"/>
  <c r="F712" i="5"/>
  <c r="F712" i="7" s="1"/>
  <c r="E712" i="5"/>
  <c r="D712" i="5"/>
  <c r="D712" i="7" s="1"/>
  <c r="C712" i="5"/>
  <c r="C712" i="7" s="1"/>
  <c r="B712" i="5"/>
  <c r="B712" i="7" s="1"/>
  <c r="L711" i="5"/>
  <c r="L711" i="7" s="1"/>
  <c r="J711" i="5"/>
  <c r="J711" i="7" s="1"/>
  <c r="I711" i="5"/>
  <c r="I711" i="7" s="1"/>
  <c r="H711" i="5"/>
  <c r="H711" i="7" s="1"/>
  <c r="G711" i="5"/>
  <c r="G711" i="7" s="1"/>
  <c r="F711" i="5"/>
  <c r="F711" i="7" s="1"/>
  <c r="E711" i="5"/>
  <c r="D711" i="5"/>
  <c r="D711" i="7" s="1"/>
  <c r="C711" i="5"/>
  <c r="C711" i="7" s="1"/>
  <c r="B711" i="5"/>
  <c r="B711" i="7" s="1"/>
  <c r="L710" i="5"/>
  <c r="L710" i="7" s="1"/>
  <c r="J710" i="5"/>
  <c r="J710" i="7" s="1"/>
  <c r="I710" i="5"/>
  <c r="I710" i="7" s="1"/>
  <c r="H710" i="5"/>
  <c r="H710" i="7" s="1"/>
  <c r="G710" i="5"/>
  <c r="G710" i="7" s="1"/>
  <c r="F710" i="5"/>
  <c r="F710" i="7" s="1"/>
  <c r="E710" i="5"/>
  <c r="E710" i="7" s="1"/>
  <c r="D710" i="5"/>
  <c r="D710" i="7" s="1"/>
  <c r="C710" i="5"/>
  <c r="C710" i="7" s="1"/>
  <c r="B710" i="5"/>
  <c r="B710" i="7" s="1"/>
  <c r="L709" i="5"/>
  <c r="L709" i="7" s="1"/>
  <c r="K709" i="5"/>
  <c r="K709" i="7" s="1"/>
  <c r="J709" i="5"/>
  <c r="J709" i="7" s="1"/>
  <c r="I709" i="5"/>
  <c r="I709" i="7" s="1"/>
  <c r="H709" i="5"/>
  <c r="H709" i="7" s="1"/>
  <c r="G709" i="5"/>
  <c r="G709" i="7" s="1"/>
  <c r="F709" i="5"/>
  <c r="F709" i="7" s="1"/>
  <c r="E709" i="5"/>
  <c r="E709" i="7" s="1"/>
  <c r="D709" i="5"/>
  <c r="D709" i="7" s="1"/>
  <c r="C709" i="5"/>
  <c r="C709" i="7" s="1"/>
  <c r="B709" i="5"/>
  <c r="B709" i="7" s="1"/>
  <c r="L708" i="5"/>
  <c r="L708" i="7" s="1"/>
  <c r="K708" i="5"/>
  <c r="K708" i="7" s="1"/>
  <c r="J708" i="5"/>
  <c r="J708" i="7" s="1"/>
  <c r="I708" i="5"/>
  <c r="I708" i="7" s="1"/>
  <c r="H708" i="5"/>
  <c r="H708" i="7" s="1"/>
  <c r="G708" i="5"/>
  <c r="G708" i="7" s="1"/>
  <c r="F708" i="5"/>
  <c r="F708" i="7" s="1"/>
  <c r="E708" i="5"/>
  <c r="E708" i="7" s="1"/>
  <c r="D708" i="5"/>
  <c r="D708" i="7" s="1"/>
  <c r="C708" i="5"/>
  <c r="C708" i="7" s="1"/>
  <c r="B708" i="5"/>
  <c r="B708" i="7" s="1"/>
  <c r="L707" i="5"/>
  <c r="L707" i="7" s="1"/>
  <c r="J707" i="5"/>
  <c r="J707" i="7" s="1"/>
  <c r="I707" i="5"/>
  <c r="I707" i="7" s="1"/>
  <c r="H707" i="5"/>
  <c r="H707" i="7" s="1"/>
  <c r="G707" i="5"/>
  <c r="G707" i="7" s="1"/>
  <c r="F707" i="5"/>
  <c r="F707" i="7" s="1"/>
  <c r="E707" i="5"/>
  <c r="D707" i="5"/>
  <c r="D707" i="7" s="1"/>
  <c r="C707" i="5"/>
  <c r="C707" i="7" s="1"/>
  <c r="B707" i="5"/>
  <c r="B707" i="7" s="1"/>
  <c r="L706" i="5"/>
  <c r="L706" i="7" s="1"/>
  <c r="K706" i="5"/>
  <c r="K706" i="7" s="1"/>
  <c r="J706" i="5"/>
  <c r="J706" i="7" s="1"/>
  <c r="I706" i="5"/>
  <c r="I706" i="7" s="1"/>
  <c r="H706" i="5"/>
  <c r="H706" i="7" s="1"/>
  <c r="G706" i="5"/>
  <c r="G706" i="7" s="1"/>
  <c r="F706" i="5"/>
  <c r="F706" i="7" s="1"/>
  <c r="E706" i="5"/>
  <c r="E706" i="7" s="1"/>
  <c r="D706" i="5"/>
  <c r="D706" i="7" s="1"/>
  <c r="C706" i="5"/>
  <c r="C706" i="7" s="1"/>
  <c r="B706" i="5"/>
  <c r="B706" i="7" s="1"/>
  <c r="L705" i="5"/>
  <c r="L705" i="7" s="1"/>
  <c r="K705" i="5"/>
  <c r="K705" i="7" s="1"/>
  <c r="J705" i="5"/>
  <c r="J705" i="7" s="1"/>
  <c r="I705" i="5"/>
  <c r="I705" i="7" s="1"/>
  <c r="H705" i="5"/>
  <c r="H705" i="7" s="1"/>
  <c r="G705" i="5"/>
  <c r="G705" i="7" s="1"/>
  <c r="F705" i="5"/>
  <c r="F705" i="7" s="1"/>
  <c r="E705" i="5"/>
  <c r="E705" i="7" s="1"/>
  <c r="D705" i="5"/>
  <c r="D705" i="7" s="1"/>
  <c r="C705" i="5"/>
  <c r="C705" i="7" s="1"/>
  <c r="B705" i="5"/>
  <c r="B705" i="7" s="1"/>
  <c r="L704" i="5"/>
  <c r="L704" i="7" s="1"/>
  <c r="J704" i="5"/>
  <c r="J704" i="7" s="1"/>
  <c r="I704" i="5"/>
  <c r="I704" i="7" s="1"/>
  <c r="H704" i="5"/>
  <c r="H704" i="7" s="1"/>
  <c r="G704" i="5"/>
  <c r="G704" i="7" s="1"/>
  <c r="F704" i="5"/>
  <c r="F704" i="7" s="1"/>
  <c r="E704" i="5"/>
  <c r="D704" i="5"/>
  <c r="D704" i="7" s="1"/>
  <c r="C704" i="5"/>
  <c r="C704" i="7" s="1"/>
  <c r="B704" i="5"/>
  <c r="B704" i="7" s="1"/>
  <c r="L703" i="5"/>
  <c r="L703" i="7" s="1"/>
  <c r="K703" i="5"/>
  <c r="K703" i="7" s="1"/>
  <c r="J703" i="5"/>
  <c r="J703" i="7" s="1"/>
  <c r="I703" i="5"/>
  <c r="I703" i="7" s="1"/>
  <c r="H703" i="5"/>
  <c r="H703" i="7" s="1"/>
  <c r="G703" i="5"/>
  <c r="G703" i="7" s="1"/>
  <c r="F703" i="5"/>
  <c r="F703" i="7" s="1"/>
  <c r="E703" i="5"/>
  <c r="E703" i="7" s="1"/>
  <c r="D703" i="5"/>
  <c r="D703" i="7" s="1"/>
  <c r="C703" i="5"/>
  <c r="C703" i="7" s="1"/>
  <c r="B703" i="5"/>
  <c r="B703" i="7" s="1"/>
  <c r="L702" i="5"/>
  <c r="L702" i="7" s="1"/>
  <c r="J702" i="5"/>
  <c r="J702" i="7" s="1"/>
  <c r="I702" i="5"/>
  <c r="I702" i="7" s="1"/>
  <c r="H702" i="5"/>
  <c r="H702" i="7" s="1"/>
  <c r="G702" i="5"/>
  <c r="G702" i="7" s="1"/>
  <c r="F702" i="5"/>
  <c r="F702" i="7" s="1"/>
  <c r="E702" i="5"/>
  <c r="E702" i="7" s="1"/>
  <c r="D702" i="5"/>
  <c r="D702" i="7" s="1"/>
  <c r="C702" i="5"/>
  <c r="C702" i="7" s="1"/>
  <c r="B702" i="5"/>
  <c r="B702" i="7" s="1"/>
  <c r="L701" i="5"/>
  <c r="L701" i="7" s="1"/>
  <c r="J701" i="5"/>
  <c r="J701" i="7" s="1"/>
  <c r="I701" i="5"/>
  <c r="I701" i="7" s="1"/>
  <c r="H701" i="5"/>
  <c r="H701" i="7" s="1"/>
  <c r="G701" i="5"/>
  <c r="G701" i="7" s="1"/>
  <c r="F701" i="5"/>
  <c r="F701" i="7" s="1"/>
  <c r="E701" i="5"/>
  <c r="E701" i="7" s="1"/>
  <c r="D701" i="5"/>
  <c r="D701" i="7" s="1"/>
  <c r="C701" i="5"/>
  <c r="C701" i="7" s="1"/>
  <c r="B701" i="5"/>
  <c r="B701" i="7" s="1"/>
  <c r="L700" i="5"/>
  <c r="L700" i="7" s="1"/>
  <c r="K700" i="5"/>
  <c r="K700" i="7" s="1"/>
  <c r="J700" i="5"/>
  <c r="J700" i="7" s="1"/>
  <c r="I700" i="5"/>
  <c r="I700" i="7" s="1"/>
  <c r="H700" i="5"/>
  <c r="H700" i="7" s="1"/>
  <c r="G700" i="5"/>
  <c r="G700" i="7" s="1"/>
  <c r="F700" i="5"/>
  <c r="F700" i="7" s="1"/>
  <c r="E700" i="5"/>
  <c r="E700" i="7" s="1"/>
  <c r="D700" i="5"/>
  <c r="D700" i="7" s="1"/>
  <c r="C700" i="5"/>
  <c r="C700" i="7" s="1"/>
  <c r="B700" i="5"/>
  <c r="B700" i="7" s="1"/>
  <c r="L699" i="5"/>
  <c r="L699" i="7" s="1"/>
  <c r="K699" i="5"/>
  <c r="K699" i="7" s="1"/>
  <c r="J699" i="5"/>
  <c r="J699" i="7" s="1"/>
  <c r="I699" i="5"/>
  <c r="I699" i="7" s="1"/>
  <c r="H699" i="5"/>
  <c r="H699" i="7" s="1"/>
  <c r="G699" i="5"/>
  <c r="G699" i="7" s="1"/>
  <c r="F699" i="5"/>
  <c r="F699" i="7" s="1"/>
  <c r="E699" i="5"/>
  <c r="E699" i="7" s="1"/>
  <c r="D699" i="5"/>
  <c r="D699" i="7" s="1"/>
  <c r="C699" i="5"/>
  <c r="C699" i="7" s="1"/>
  <c r="B699" i="5"/>
  <c r="B699" i="7" s="1"/>
  <c r="L698" i="5"/>
  <c r="L698" i="7" s="1"/>
  <c r="J698" i="5"/>
  <c r="J698" i="7" s="1"/>
  <c r="I698" i="5"/>
  <c r="I698" i="7" s="1"/>
  <c r="H698" i="5"/>
  <c r="H698" i="7" s="1"/>
  <c r="G698" i="5"/>
  <c r="G698" i="7" s="1"/>
  <c r="F698" i="5"/>
  <c r="F698" i="7" s="1"/>
  <c r="E698" i="5"/>
  <c r="D698" i="5"/>
  <c r="D698" i="7" s="1"/>
  <c r="C698" i="5"/>
  <c r="C698" i="7" s="1"/>
  <c r="B698" i="5"/>
  <c r="B698" i="7" s="1"/>
  <c r="L697" i="5"/>
  <c r="L697" i="7" s="1"/>
  <c r="J697" i="5"/>
  <c r="J697" i="7" s="1"/>
  <c r="I697" i="5"/>
  <c r="I697" i="7" s="1"/>
  <c r="H697" i="5"/>
  <c r="H697" i="7" s="1"/>
  <c r="G697" i="5"/>
  <c r="G697" i="7" s="1"/>
  <c r="F697" i="5"/>
  <c r="F697" i="7" s="1"/>
  <c r="E697" i="5"/>
  <c r="D697" i="5"/>
  <c r="D697" i="7" s="1"/>
  <c r="C697" i="5"/>
  <c r="C697" i="7" s="1"/>
  <c r="B697" i="5"/>
  <c r="B697" i="7" s="1"/>
  <c r="L696" i="5"/>
  <c r="L696" i="7" s="1"/>
  <c r="J696" i="5"/>
  <c r="J696" i="7" s="1"/>
  <c r="I696" i="5"/>
  <c r="I696" i="7" s="1"/>
  <c r="H696" i="5"/>
  <c r="H696" i="7" s="1"/>
  <c r="G696" i="5"/>
  <c r="G696" i="7" s="1"/>
  <c r="F696" i="5"/>
  <c r="F696" i="7" s="1"/>
  <c r="E696" i="5"/>
  <c r="E696" i="7" s="1"/>
  <c r="D696" i="5"/>
  <c r="D696" i="7" s="1"/>
  <c r="C696" i="5"/>
  <c r="C696" i="7" s="1"/>
  <c r="B696" i="5"/>
  <c r="B696" i="7" s="1"/>
  <c r="L695" i="5"/>
  <c r="L695" i="7" s="1"/>
  <c r="K695" i="5"/>
  <c r="K695" i="7" s="1"/>
  <c r="J695" i="5"/>
  <c r="J695" i="7" s="1"/>
  <c r="I695" i="5"/>
  <c r="I695" i="7" s="1"/>
  <c r="H695" i="5"/>
  <c r="H695" i="7" s="1"/>
  <c r="G695" i="5"/>
  <c r="G695" i="7" s="1"/>
  <c r="F695" i="5"/>
  <c r="F695" i="7" s="1"/>
  <c r="E695" i="5"/>
  <c r="E695" i="7" s="1"/>
  <c r="D695" i="5"/>
  <c r="D695" i="7" s="1"/>
  <c r="C695" i="5"/>
  <c r="C695" i="7" s="1"/>
  <c r="B695" i="5"/>
  <c r="B695" i="7" s="1"/>
  <c r="L694" i="5"/>
  <c r="L694" i="7" s="1"/>
  <c r="K694" i="5"/>
  <c r="K694" i="7" s="1"/>
  <c r="J694" i="5"/>
  <c r="J694" i="7" s="1"/>
  <c r="I694" i="5"/>
  <c r="I694" i="7" s="1"/>
  <c r="H694" i="5"/>
  <c r="H694" i="7" s="1"/>
  <c r="G694" i="5"/>
  <c r="G694" i="7" s="1"/>
  <c r="F694" i="5"/>
  <c r="F694" i="7" s="1"/>
  <c r="E694" i="5"/>
  <c r="E694" i="7" s="1"/>
  <c r="D694" i="5"/>
  <c r="D694" i="7" s="1"/>
  <c r="C694" i="5"/>
  <c r="C694" i="7" s="1"/>
  <c r="B694" i="5"/>
  <c r="B694" i="7" s="1"/>
  <c r="L693" i="5"/>
  <c r="L693" i="7" s="1"/>
  <c r="J693" i="5"/>
  <c r="J693" i="7" s="1"/>
  <c r="I693" i="5"/>
  <c r="I693" i="7" s="1"/>
  <c r="H693" i="5"/>
  <c r="H693" i="7" s="1"/>
  <c r="G693" i="5"/>
  <c r="G693" i="7" s="1"/>
  <c r="F693" i="5"/>
  <c r="F693" i="7" s="1"/>
  <c r="E693" i="5"/>
  <c r="D693" i="5"/>
  <c r="D693" i="7" s="1"/>
  <c r="C693" i="5"/>
  <c r="C693" i="7" s="1"/>
  <c r="B693" i="5"/>
  <c r="B693" i="7" s="1"/>
  <c r="L692" i="5"/>
  <c r="L692" i="7" s="1"/>
  <c r="J692" i="5"/>
  <c r="J692" i="7" s="1"/>
  <c r="I692" i="5"/>
  <c r="I692" i="7" s="1"/>
  <c r="H692" i="5"/>
  <c r="H692" i="7" s="1"/>
  <c r="G692" i="5"/>
  <c r="G692" i="7" s="1"/>
  <c r="F692" i="5"/>
  <c r="F692" i="7" s="1"/>
  <c r="E692" i="5"/>
  <c r="E692" i="7" s="1"/>
  <c r="D692" i="5"/>
  <c r="D692" i="7" s="1"/>
  <c r="C692" i="5"/>
  <c r="C692" i="7" s="1"/>
  <c r="B692" i="5"/>
  <c r="B692" i="7" s="1"/>
  <c r="L691" i="5"/>
  <c r="L691" i="7" s="1"/>
  <c r="K691" i="5"/>
  <c r="K691" i="7" s="1"/>
  <c r="J691" i="5"/>
  <c r="J691" i="7" s="1"/>
  <c r="I691" i="5"/>
  <c r="I691" i="7" s="1"/>
  <c r="H691" i="5"/>
  <c r="H691" i="7" s="1"/>
  <c r="G691" i="5"/>
  <c r="G691" i="7" s="1"/>
  <c r="F691" i="5"/>
  <c r="F691" i="7" s="1"/>
  <c r="E691" i="5"/>
  <c r="E691" i="7" s="1"/>
  <c r="D691" i="5"/>
  <c r="D691" i="7" s="1"/>
  <c r="C691" i="5"/>
  <c r="C691" i="7" s="1"/>
  <c r="B691" i="5"/>
  <c r="B691" i="7" s="1"/>
  <c r="L690" i="5"/>
  <c r="L690" i="7" s="1"/>
  <c r="J690" i="5"/>
  <c r="J690" i="7" s="1"/>
  <c r="I690" i="5"/>
  <c r="I690" i="7" s="1"/>
  <c r="H690" i="5"/>
  <c r="H690" i="7" s="1"/>
  <c r="G690" i="5"/>
  <c r="G690" i="7" s="1"/>
  <c r="F690" i="5"/>
  <c r="F690" i="7" s="1"/>
  <c r="E690" i="5"/>
  <c r="D690" i="5"/>
  <c r="D690" i="7" s="1"/>
  <c r="C690" i="5"/>
  <c r="C690" i="7" s="1"/>
  <c r="B690" i="5"/>
  <c r="B690" i="7" s="1"/>
  <c r="L689" i="5"/>
  <c r="L689" i="7" s="1"/>
  <c r="K689" i="5"/>
  <c r="K689" i="7" s="1"/>
  <c r="J689" i="5"/>
  <c r="J689" i="7" s="1"/>
  <c r="I689" i="5"/>
  <c r="I689" i="7" s="1"/>
  <c r="H689" i="5"/>
  <c r="H689" i="7" s="1"/>
  <c r="G689" i="5"/>
  <c r="G689" i="7" s="1"/>
  <c r="F689" i="5"/>
  <c r="F689" i="7" s="1"/>
  <c r="E689" i="5"/>
  <c r="E689" i="7" s="1"/>
  <c r="D689" i="5"/>
  <c r="D689" i="7" s="1"/>
  <c r="C689" i="5"/>
  <c r="C689" i="7" s="1"/>
  <c r="B689" i="5"/>
  <c r="B689" i="7" s="1"/>
  <c r="L688" i="5"/>
  <c r="L688" i="7" s="1"/>
  <c r="J688" i="5"/>
  <c r="J688" i="7" s="1"/>
  <c r="I688" i="5"/>
  <c r="I688" i="7" s="1"/>
  <c r="H688" i="5"/>
  <c r="H688" i="7" s="1"/>
  <c r="G688" i="5"/>
  <c r="G688" i="7" s="1"/>
  <c r="F688" i="5"/>
  <c r="F688" i="7" s="1"/>
  <c r="E688" i="5"/>
  <c r="E688" i="7" s="1"/>
  <c r="D688" i="5"/>
  <c r="D688" i="7" s="1"/>
  <c r="C688" i="5"/>
  <c r="C688" i="7" s="1"/>
  <c r="B688" i="5"/>
  <c r="B688" i="7" s="1"/>
  <c r="L687" i="5"/>
  <c r="L687" i="7" s="1"/>
  <c r="J687" i="5"/>
  <c r="J687" i="7" s="1"/>
  <c r="I687" i="5"/>
  <c r="I687" i="7" s="1"/>
  <c r="H687" i="5"/>
  <c r="H687" i="7" s="1"/>
  <c r="G687" i="5"/>
  <c r="G687" i="7" s="1"/>
  <c r="F687" i="5"/>
  <c r="F687" i="7" s="1"/>
  <c r="E687" i="5"/>
  <c r="E687" i="7" s="1"/>
  <c r="D687" i="5"/>
  <c r="D687" i="7" s="1"/>
  <c r="C687" i="5"/>
  <c r="C687" i="7" s="1"/>
  <c r="B687" i="5"/>
  <c r="B687" i="7" s="1"/>
  <c r="L686" i="5"/>
  <c r="L686" i="7" s="1"/>
  <c r="K686" i="5"/>
  <c r="K686" i="7" s="1"/>
  <c r="J686" i="5"/>
  <c r="J686" i="7" s="1"/>
  <c r="I686" i="5"/>
  <c r="I686" i="7" s="1"/>
  <c r="H686" i="5"/>
  <c r="H686" i="7" s="1"/>
  <c r="G686" i="5"/>
  <c r="G686" i="7" s="1"/>
  <c r="F686" i="5"/>
  <c r="F686" i="7" s="1"/>
  <c r="E686" i="5"/>
  <c r="E686" i="7" s="1"/>
  <c r="D686" i="5"/>
  <c r="D686" i="7" s="1"/>
  <c r="C686" i="5"/>
  <c r="C686" i="7" s="1"/>
  <c r="B686" i="5"/>
  <c r="B686" i="7" s="1"/>
  <c r="L685" i="5"/>
  <c r="L685" i="7" s="1"/>
  <c r="K685" i="5"/>
  <c r="K685" i="7" s="1"/>
  <c r="J685" i="5"/>
  <c r="J685" i="7" s="1"/>
  <c r="I685" i="5"/>
  <c r="I685" i="7" s="1"/>
  <c r="H685" i="5"/>
  <c r="H685" i="7" s="1"/>
  <c r="G685" i="5"/>
  <c r="G685" i="7" s="1"/>
  <c r="F685" i="5"/>
  <c r="F685" i="7" s="1"/>
  <c r="E685" i="5"/>
  <c r="E685" i="7" s="1"/>
  <c r="D685" i="5"/>
  <c r="D685" i="7" s="1"/>
  <c r="C685" i="5"/>
  <c r="C685" i="7" s="1"/>
  <c r="B685" i="5"/>
  <c r="B685" i="7" s="1"/>
  <c r="L684" i="5"/>
  <c r="L684" i="7" s="1"/>
  <c r="J684" i="5"/>
  <c r="J684" i="7" s="1"/>
  <c r="I684" i="5"/>
  <c r="I684" i="7" s="1"/>
  <c r="H684" i="5"/>
  <c r="H684" i="7" s="1"/>
  <c r="G684" i="5"/>
  <c r="G684" i="7" s="1"/>
  <c r="F684" i="5"/>
  <c r="F684" i="7" s="1"/>
  <c r="E684" i="5"/>
  <c r="D684" i="5"/>
  <c r="D684" i="7" s="1"/>
  <c r="C684" i="5"/>
  <c r="C684" i="7" s="1"/>
  <c r="B684" i="5"/>
  <c r="B684" i="7" s="1"/>
  <c r="L683" i="5"/>
  <c r="L683" i="7" s="1"/>
  <c r="J683" i="5"/>
  <c r="J683" i="7" s="1"/>
  <c r="I683" i="5"/>
  <c r="I683" i="7" s="1"/>
  <c r="H683" i="5"/>
  <c r="H683" i="7" s="1"/>
  <c r="G683" i="5"/>
  <c r="G683" i="7" s="1"/>
  <c r="F683" i="5"/>
  <c r="F683" i="7" s="1"/>
  <c r="E683" i="5"/>
  <c r="D683" i="5"/>
  <c r="D683" i="7" s="1"/>
  <c r="C683" i="5"/>
  <c r="C683" i="7" s="1"/>
  <c r="B683" i="5"/>
  <c r="B683" i="7" s="1"/>
  <c r="L682" i="5"/>
  <c r="L682" i="7" s="1"/>
  <c r="J682" i="5"/>
  <c r="J682" i="7" s="1"/>
  <c r="I682" i="5"/>
  <c r="I682" i="7" s="1"/>
  <c r="H682" i="5"/>
  <c r="H682" i="7" s="1"/>
  <c r="G682" i="5"/>
  <c r="G682" i="7" s="1"/>
  <c r="F682" i="5"/>
  <c r="F682" i="7" s="1"/>
  <c r="E682" i="5"/>
  <c r="E682" i="7" s="1"/>
  <c r="D682" i="5"/>
  <c r="D682" i="7" s="1"/>
  <c r="C682" i="5"/>
  <c r="C682" i="7" s="1"/>
  <c r="B682" i="5"/>
  <c r="B682" i="7" s="1"/>
  <c r="L681" i="5"/>
  <c r="L681" i="7" s="1"/>
  <c r="K681" i="5"/>
  <c r="K681" i="7" s="1"/>
  <c r="J681" i="5"/>
  <c r="J681" i="7" s="1"/>
  <c r="I681" i="5"/>
  <c r="I681" i="7" s="1"/>
  <c r="H681" i="5"/>
  <c r="H681" i="7" s="1"/>
  <c r="G681" i="5"/>
  <c r="G681" i="7" s="1"/>
  <c r="F681" i="5"/>
  <c r="F681" i="7" s="1"/>
  <c r="E681" i="5"/>
  <c r="E681" i="7" s="1"/>
  <c r="D681" i="5"/>
  <c r="D681" i="7" s="1"/>
  <c r="C681" i="5"/>
  <c r="C681" i="7" s="1"/>
  <c r="B681" i="5"/>
  <c r="B681" i="7" s="1"/>
  <c r="L680" i="5"/>
  <c r="L680" i="7" s="1"/>
  <c r="K680" i="5"/>
  <c r="K680" i="7" s="1"/>
  <c r="J680" i="5"/>
  <c r="J680" i="7" s="1"/>
  <c r="I680" i="5"/>
  <c r="I680" i="7" s="1"/>
  <c r="H680" i="5"/>
  <c r="H680" i="7" s="1"/>
  <c r="G680" i="5"/>
  <c r="G680" i="7" s="1"/>
  <c r="F680" i="5"/>
  <c r="F680" i="7" s="1"/>
  <c r="E680" i="5"/>
  <c r="E680" i="7" s="1"/>
  <c r="D680" i="5"/>
  <c r="D680" i="7" s="1"/>
  <c r="C680" i="5"/>
  <c r="C680" i="7" s="1"/>
  <c r="B680" i="5"/>
  <c r="B680" i="7" s="1"/>
  <c r="L679" i="5"/>
  <c r="L679" i="7" s="1"/>
  <c r="J679" i="5"/>
  <c r="J679" i="7" s="1"/>
  <c r="I679" i="5"/>
  <c r="I679" i="7" s="1"/>
  <c r="H679" i="5"/>
  <c r="H679" i="7" s="1"/>
  <c r="G679" i="5"/>
  <c r="G679" i="7" s="1"/>
  <c r="F679" i="5"/>
  <c r="F679" i="7" s="1"/>
  <c r="E679" i="5"/>
  <c r="D679" i="5"/>
  <c r="D679" i="7" s="1"/>
  <c r="C679" i="5"/>
  <c r="C679" i="7" s="1"/>
  <c r="B679" i="5"/>
  <c r="B679" i="7" s="1"/>
  <c r="L678" i="5"/>
  <c r="L678" i="7" s="1"/>
  <c r="K678" i="5"/>
  <c r="K678" i="7" s="1"/>
  <c r="J678" i="5"/>
  <c r="J678" i="7" s="1"/>
  <c r="I678" i="5"/>
  <c r="I678" i="7" s="1"/>
  <c r="H678" i="5"/>
  <c r="H678" i="7" s="1"/>
  <c r="G678" i="5"/>
  <c r="G678" i="7" s="1"/>
  <c r="F678" i="5"/>
  <c r="F678" i="7" s="1"/>
  <c r="E678" i="5"/>
  <c r="E678" i="7" s="1"/>
  <c r="D678" i="5"/>
  <c r="D678" i="7" s="1"/>
  <c r="C678" i="5"/>
  <c r="C678" i="7" s="1"/>
  <c r="B678" i="5"/>
  <c r="B678" i="7" s="1"/>
  <c r="L677" i="5"/>
  <c r="L677" i="7" s="1"/>
  <c r="K677" i="5"/>
  <c r="K677" i="7" s="1"/>
  <c r="J677" i="5"/>
  <c r="J677" i="7" s="1"/>
  <c r="I677" i="5"/>
  <c r="I677" i="7" s="1"/>
  <c r="H677" i="5"/>
  <c r="H677" i="7" s="1"/>
  <c r="G677" i="5"/>
  <c r="G677" i="7" s="1"/>
  <c r="F677" i="5"/>
  <c r="F677" i="7" s="1"/>
  <c r="E677" i="5"/>
  <c r="E677" i="7" s="1"/>
  <c r="D677" i="5"/>
  <c r="D677" i="7" s="1"/>
  <c r="C677" i="5"/>
  <c r="C677" i="7" s="1"/>
  <c r="B677" i="5"/>
  <c r="B677" i="7" s="1"/>
  <c r="L676" i="5"/>
  <c r="L676" i="7" s="1"/>
  <c r="J676" i="5"/>
  <c r="J676" i="7" s="1"/>
  <c r="I676" i="5"/>
  <c r="I676" i="7" s="1"/>
  <c r="H676" i="5"/>
  <c r="H676" i="7" s="1"/>
  <c r="G676" i="5"/>
  <c r="G676" i="7" s="1"/>
  <c r="F676" i="5"/>
  <c r="F676" i="7" s="1"/>
  <c r="E676" i="5"/>
  <c r="D676" i="5"/>
  <c r="D676" i="7" s="1"/>
  <c r="C676" i="5"/>
  <c r="C676" i="7" s="1"/>
  <c r="B676" i="5"/>
  <c r="B676" i="7" s="1"/>
  <c r="L675" i="5"/>
  <c r="L675" i="7" s="1"/>
  <c r="K675" i="5"/>
  <c r="K675" i="7" s="1"/>
  <c r="J675" i="5"/>
  <c r="J675" i="7" s="1"/>
  <c r="I675" i="5"/>
  <c r="I675" i="7" s="1"/>
  <c r="H675" i="5"/>
  <c r="H675" i="7" s="1"/>
  <c r="G675" i="5"/>
  <c r="G675" i="7" s="1"/>
  <c r="F675" i="5"/>
  <c r="F675" i="7" s="1"/>
  <c r="E675" i="5"/>
  <c r="E675" i="7" s="1"/>
  <c r="D675" i="5"/>
  <c r="D675" i="7" s="1"/>
  <c r="C675" i="5"/>
  <c r="C675" i="7" s="1"/>
  <c r="B675" i="5"/>
  <c r="B675" i="7" s="1"/>
  <c r="L674" i="5"/>
  <c r="L674" i="7" s="1"/>
  <c r="J674" i="5"/>
  <c r="J674" i="7" s="1"/>
  <c r="I674" i="5"/>
  <c r="I674" i="7" s="1"/>
  <c r="H674" i="5"/>
  <c r="H674" i="7" s="1"/>
  <c r="G674" i="5"/>
  <c r="G674" i="7" s="1"/>
  <c r="F674" i="5"/>
  <c r="F674" i="7" s="1"/>
  <c r="E674" i="5"/>
  <c r="E674" i="7" s="1"/>
  <c r="D674" i="5"/>
  <c r="D674" i="7" s="1"/>
  <c r="C674" i="5"/>
  <c r="C674" i="7" s="1"/>
  <c r="B674" i="5"/>
  <c r="B674" i="7" s="1"/>
  <c r="L673" i="5"/>
  <c r="L673" i="7" s="1"/>
  <c r="J673" i="5"/>
  <c r="J673" i="7" s="1"/>
  <c r="I673" i="5"/>
  <c r="I673" i="7" s="1"/>
  <c r="H673" i="5"/>
  <c r="H673" i="7" s="1"/>
  <c r="G673" i="5"/>
  <c r="G673" i="7" s="1"/>
  <c r="F673" i="5"/>
  <c r="F673" i="7" s="1"/>
  <c r="E673" i="5"/>
  <c r="E673" i="7" s="1"/>
  <c r="D673" i="5"/>
  <c r="D673" i="7" s="1"/>
  <c r="C673" i="5"/>
  <c r="C673" i="7" s="1"/>
  <c r="B673" i="5"/>
  <c r="B673" i="7" s="1"/>
  <c r="L672" i="5"/>
  <c r="L672" i="7" s="1"/>
  <c r="K672" i="5"/>
  <c r="K672" i="7" s="1"/>
  <c r="J672" i="5"/>
  <c r="J672" i="7" s="1"/>
  <c r="I672" i="5"/>
  <c r="I672" i="7" s="1"/>
  <c r="H672" i="5"/>
  <c r="H672" i="7" s="1"/>
  <c r="G672" i="5"/>
  <c r="G672" i="7" s="1"/>
  <c r="F672" i="5"/>
  <c r="F672" i="7" s="1"/>
  <c r="E672" i="5"/>
  <c r="E672" i="7" s="1"/>
  <c r="D672" i="5"/>
  <c r="D672" i="7" s="1"/>
  <c r="C672" i="5"/>
  <c r="C672" i="7" s="1"/>
  <c r="B672" i="5"/>
  <c r="B672" i="7" s="1"/>
  <c r="L671" i="5"/>
  <c r="L671" i="7" s="1"/>
  <c r="K671" i="5"/>
  <c r="K671" i="7" s="1"/>
  <c r="J671" i="5"/>
  <c r="J671" i="7" s="1"/>
  <c r="I671" i="5"/>
  <c r="I671" i="7" s="1"/>
  <c r="H671" i="5"/>
  <c r="H671" i="7" s="1"/>
  <c r="G671" i="5"/>
  <c r="G671" i="7" s="1"/>
  <c r="F671" i="5"/>
  <c r="F671" i="7" s="1"/>
  <c r="E671" i="5"/>
  <c r="E671" i="7" s="1"/>
  <c r="D671" i="5"/>
  <c r="D671" i="7" s="1"/>
  <c r="C671" i="5"/>
  <c r="C671" i="7" s="1"/>
  <c r="B671" i="5"/>
  <c r="B671" i="7" s="1"/>
  <c r="L670" i="5"/>
  <c r="L670" i="7" s="1"/>
  <c r="J670" i="5"/>
  <c r="J670" i="7" s="1"/>
  <c r="I670" i="5"/>
  <c r="I670" i="7" s="1"/>
  <c r="H670" i="5"/>
  <c r="H670" i="7" s="1"/>
  <c r="G670" i="5"/>
  <c r="G670" i="7" s="1"/>
  <c r="F670" i="5"/>
  <c r="F670" i="7" s="1"/>
  <c r="E670" i="5"/>
  <c r="D670" i="5"/>
  <c r="D670" i="7" s="1"/>
  <c r="C670" i="5"/>
  <c r="C670" i="7" s="1"/>
  <c r="B670" i="5"/>
  <c r="B670" i="7" s="1"/>
  <c r="L669" i="5"/>
  <c r="L669" i="7" s="1"/>
  <c r="J669" i="5"/>
  <c r="J669" i="7" s="1"/>
  <c r="I669" i="5"/>
  <c r="I669" i="7" s="1"/>
  <c r="H669" i="5"/>
  <c r="H669" i="7" s="1"/>
  <c r="G669" i="5"/>
  <c r="G669" i="7" s="1"/>
  <c r="F669" i="5"/>
  <c r="F669" i="7" s="1"/>
  <c r="E669" i="5"/>
  <c r="D669" i="5"/>
  <c r="D669" i="7" s="1"/>
  <c r="C669" i="5"/>
  <c r="C669" i="7" s="1"/>
  <c r="B669" i="5"/>
  <c r="B669" i="7" s="1"/>
  <c r="L668" i="5"/>
  <c r="L668" i="7" s="1"/>
  <c r="J668" i="5"/>
  <c r="J668" i="7" s="1"/>
  <c r="I668" i="5"/>
  <c r="I668" i="7" s="1"/>
  <c r="H668" i="5"/>
  <c r="H668" i="7" s="1"/>
  <c r="G668" i="5"/>
  <c r="G668" i="7" s="1"/>
  <c r="F668" i="5"/>
  <c r="F668" i="7" s="1"/>
  <c r="E668" i="5"/>
  <c r="E668" i="7" s="1"/>
  <c r="D668" i="5"/>
  <c r="D668" i="7" s="1"/>
  <c r="C668" i="5"/>
  <c r="C668" i="7" s="1"/>
  <c r="B668" i="5"/>
  <c r="B668" i="7" s="1"/>
  <c r="L667" i="5"/>
  <c r="L667" i="7" s="1"/>
  <c r="K667" i="5"/>
  <c r="K667" i="7" s="1"/>
  <c r="J667" i="5"/>
  <c r="J667" i="7" s="1"/>
  <c r="I667" i="5"/>
  <c r="I667" i="7" s="1"/>
  <c r="H667" i="5"/>
  <c r="H667" i="7" s="1"/>
  <c r="G667" i="5"/>
  <c r="G667" i="7" s="1"/>
  <c r="F667" i="5"/>
  <c r="F667" i="7" s="1"/>
  <c r="E667" i="5"/>
  <c r="E667" i="7" s="1"/>
  <c r="D667" i="5"/>
  <c r="D667" i="7" s="1"/>
  <c r="C667" i="5"/>
  <c r="C667" i="7" s="1"/>
  <c r="B667" i="5"/>
  <c r="B667" i="7" s="1"/>
  <c r="L666" i="5"/>
  <c r="L666" i="7" s="1"/>
  <c r="K666" i="5"/>
  <c r="K666" i="7" s="1"/>
  <c r="J666" i="5"/>
  <c r="J666" i="7" s="1"/>
  <c r="I666" i="5"/>
  <c r="I666" i="7" s="1"/>
  <c r="H666" i="5"/>
  <c r="H666" i="7" s="1"/>
  <c r="G666" i="5"/>
  <c r="G666" i="7" s="1"/>
  <c r="F666" i="5"/>
  <c r="F666" i="7" s="1"/>
  <c r="E666" i="5"/>
  <c r="E666" i="7" s="1"/>
  <c r="D666" i="5"/>
  <c r="D666" i="7" s="1"/>
  <c r="C666" i="5"/>
  <c r="C666" i="7" s="1"/>
  <c r="B666" i="5"/>
  <c r="B666" i="7" s="1"/>
  <c r="L665" i="5"/>
  <c r="L665" i="7" s="1"/>
  <c r="J665" i="5"/>
  <c r="J665" i="7" s="1"/>
  <c r="I665" i="5"/>
  <c r="I665" i="7" s="1"/>
  <c r="H665" i="5"/>
  <c r="H665" i="7" s="1"/>
  <c r="G665" i="5"/>
  <c r="G665" i="7" s="1"/>
  <c r="F665" i="5"/>
  <c r="F665" i="7" s="1"/>
  <c r="E665" i="5"/>
  <c r="D665" i="5"/>
  <c r="D665" i="7" s="1"/>
  <c r="C665" i="5"/>
  <c r="C665" i="7" s="1"/>
  <c r="B665" i="5"/>
  <c r="B665" i="7" s="1"/>
  <c r="L664" i="5"/>
  <c r="L664" i="7" s="1"/>
  <c r="J664" i="5"/>
  <c r="J664" i="7" s="1"/>
  <c r="I664" i="5"/>
  <c r="I664" i="7" s="1"/>
  <c r="H664" i="5"/>
  <c r="H664" i="7" s="1"/>
  <c r="G664" i="5"/>
  <c r="G664" i="7" s="1"/>
  <c r="F664" i="5"/>
  <c r="F664" i="7" s="1"/>
  <c r="E664" i="5"/>
  <c r="E664" i="7" s="1"/>
  <c r="D664" i="5"/>
  <c r="D664" i="7" s="1"/>
  <c r="C664" i="5"/>
  <c r="C664" i="7" s="1"/>
  <c r="B664" i="5"/>
  <c r="B664" i="7" s="1"/>
  <c r="L663" i="5"/>
  <c r="L663" i="7" s="1"/>
  <c r="K663" i="5"/>
  <c r="K663" i="7" s="1"/>
  <c r="J663" i="5"/>
  <c r="J663" i="7" s="1"/>
  <c r="I663" i="5"/>
  <c r="I663" i="7" s="1"/>
  <c r="H663" i="5"/>
  <c r="H663" i="7" s="1"/>
  <c r="G663" i="5"/>
  <c r="G663" i="7" s="1"/>
  <c r="F663" i="5"/>
  <c r="F663" i="7" s="1"/>
  <c r="E663" i="5"/>
  <c r="E663" i="7" s="1"/>
  <c r="D663" i="5"/>
  <c r="D663" i="7" s="1"/>
  <c r="C663" i="5"/>
  <c r="C663" i="7" s="1"/>
  <c r="B663" i="5"/>
  <c r="B663" i="7" s="1"/>
  <c r="L662" i="5"/>
  <c r="L662" i="7" s="1"/>
  <c r="J662" i="5"/>
  <c r="J662" i="7" s="1"/>
  <c r="I662" i="5"/>
  <c r="I662" i="7" s="1"/>
  <c r="H662" i="5"/>
  <c r="H662" i="7" s="1"/>
  <c r="G662" i="5"/>
  <c r="G662" i="7" s="1"/>
  <c r="F662" i="5"/>
  <c r="F662" i="7" s="1"/>
  <c r="E662" i="5"/>
  <c r="D662" i="5"/>
  <c r="D662" i="7" s="1"/>
  <c r="C662" i="5"/>
  <c r="C662" i="7" s="1"/>
  <c r="B662" i="5"/>
  <c r="B662" i="7" s="1"/>
  <c r="L661" i="5"/>
  <c r="L661" i="7" s="1"/>
  <c r="K661" i="5"/>
  <c r="K661" i="7" s="1"/>
  <c r="J661" i="5"/>
  <c r="J661" i="7" s="1"/>
  <c r="I661" i="5"/>
  <c r="I661" i="7" s="1"/>
  <c r="H661" i="5"/>
  <c r="H661" i="7" s="1"/>
  <c r="G661" i="5"/>
  <c r="G661" i="7" s="1"/>
  <c r="F661" i="5"/>
  <c r="F661" i="7" s="1"/>
  <c r="E661" i="5"/>
  <c r="E661" i="7" s="1"/>
  <c r="D661" i="5"/>
  <c r="D661" i="7" s="1"/>
  <c r="C661" i="5"/>
  <c r="C661" i="7" s="1"/>
  <c r="B661" i="5"/>
  <c r="B661" i="7" s="1"/>
  <c r="L660" i="5"/>
  <c r="L660" i="7" s="1"/>
  <c r="J660" i="5"/>
  <c r="J660" i="7" s="1"/>
  <c r="I660" i="5"/>
  <c r="I660" i="7" s="1"/>
  <c r="H660" i="5"/>
  <c r="H660" i="7" s="1"/>
  <c r="G660" i="5"/>
  <c r="G660" i="7" s="1"/>
  <c r="F660" i="5"/>
  <c r="F660" i="7" s="1"/>
  <c r="E660" i="5"/>
  <c r="E660" i="7" s="1"/>
  <c r="D660" i="5"/>
  <c r="D660" i="7" s="1"/>
  <c r="C660" i="5"/>
  <c r="C660" i="7" s="1"/>
  <c r="B660" i="5"/>
  <c r="B660" i="7" s="1"/>
  <c r="L659" i="5"/>
  <c r="L659" i="7" s="1"/>
  <c r="J659" i="5"/>
  <c r="J659" i="7" s="1"/>
  <c r="I659" i="5"/>
  <c r="I659" i="7" s="1"/>
  <c r="H659" i="5"/>
  <c r="H659" i="7" s="1"/>
  <c r="G659" i="5"/>
  <c r="G659" i="7" s="1"/>
  <c r="F659" i="5"/>
  <c r="F659" i="7" s="1"/>
  <c r="E659" i="5"/>
  <c r="E659" i="7" s="1"/>
  <c r="D659" i="5"/>
  <c r="D659" i="7" s="1"/>
  <c r="C659" i="5"/>
  <c r="C659" i="7" s="1"/>
  <c r="B659" i="5"/>
  <c r="B659" i="7" s="1"/>
  <c r="L658" i="5"/>
  <c r="L658" i="7" s="1"/>
  <c r="K658" i="5"/>
  <c r="K658" i="7" s="1"/>
  <c r="J658" i="5"/>
  <c r="J658" i="7" s="1"/>
  <c r="I658" i="5"/>
  <c r="I658" i="7" s="1"/>
  <c r="H658" i="5"/>
  <c r="H658" i="7" s="1"/>
  <c r="G658" i="5"/>
  <c r="G658" i="7" s="1"/>
  <c r="F658" i="5"/>
  <c r="F658" i="7" s="1"/>
  <c r="E658" i="5"/>
  <c r="E658" i="7" s="1"/>
  <c r="D658" i="5"/>
  <c r="D658" i="7" s="1"/>
  <c r="C658" i="5"/>
  <c r="C658" i="7" s="1"/>
  <c r="B658" i="5"/>
  <c r="B658" i="7" s="1"/>
  <c r="L657" i="5"/>
  <c r="L657" i="7" s="1"/>
  <c r="K657" i="5"/>
  <c r="K657" i="7" s="1"/>
  <c r="J657" i="5"/>
  <c r="J657" i="7" s="1"/>
  <c r="I657" i="5"/>
  <c r="I657" i="7" s="1"/>
  <c r="H657" i="5"/>
  <c r="H657" i="7" s="1"/>
  <c r="G657" i="5"/>
  <c r="G657" i="7" s="1"/>
  <c r="F657" i="5"/>
  <c r="F657" i="7" s="1"/>
  <c r="E657" i="5"/>
  <c r="E657" i="7" s="1"/>
  <c r="D657" i="5"/>
  <c r="D657" i="7" s="1"/>
  <c r="C657" i="5"/>
  <c r="C657" i="7" s="1"/>
  <c r="B657" i="5"/>
  <c r="B657" i="7" s="1"/>
  <c r="L656" i="5"/>
  <c r="L656" i="7" s="1"/>
  <c r="J656" i="5"/>
  <c r="J656" i="7" s="1"/>
  <c r="I656" i="5"/>
  <c r="I656" i="7" s="1"/>
  <c r="H656" i="5"/>
  <c r="H656" i="7" s="1"/>
  <c r="G656" i="5"/>
  <c r="G656" i="7" s="1"/>
  <c r="F656" i="5"/>
  <c r="F656" i="7" s="1"/>
  <c r="E656" i="5"/>
  <c r="D656" i="5"/>
  <c r="D656" i="7" s="1"/>
  <c r="C656" i="5"/>
  <c r="C656" i="7" s="1"/>
  <c r="B656" i="5"/>
  <c r="B656" i="7" s="1"/>
  <c r="L655" i="5"/>
  <c r="L655" i="7" s="1"/>
  <c r="J655" i="5"/>
  <c r="J655" i="7" s="1"/>
  <c r="I655" i="5"/>
  <c r="I655" i="7" s="1"/>
  <c r="H655" i="5"/>
  <c r="H655" i="7" s="1"/>
  <c r="G655" i="5"/>
  <c r="G655" i="7" s="1"/>
  <c r="F655" i="5"/>
  <c r="F655" i="7" s="1"/>
  <c r="E655" i="5"/>
  <c r="D655" i="5"/>
  <c r="D655" i="7" s="1"/>
  <c r="C655" i="5"/>
  <c r="C655" i="7" s="1"/>
  <c r="B655" i="5"/>
  <c r="B655" i="7" s="1"/>
  <c r="L654" i="5"/>
  <c r="L654" i="7" s="1"/>
  <c r="J654" i="5"/>
  <c r="J654" i="7" s="1"/>
  <c r="I654" i="5"/>
  <c r="I654" i="7" s="1"/>
  <c r="H654" i="5"/>
  <c r="H654" i="7" s="1"/>
  <c r="G654" i="5"/>
  <c r="G654" i="7" s="1"/>
  <c r="F654" i="5"/>
  <c r="F654" i="7" s="1"/>
  <c r="E654" i="5"/>
  <c r="E654" i="7" s="1"/>
  <c r="D654" i="5"/>
  <c r="D654" i="7" s="1"/>
  <c r="C654" i="5"/>
  <c r="C654" i="7" s="1"/>
  <c r="B654" i="5"/>
  <c r="B654" i="7" s="1"/>
  <c r="L653" i="5"/>
  <c r="L653" i="7" s="1"/>
  <c r="K653" i="5"/>
  <c r="K653" i="7" s="1"/>
  <c r="J653" i="5"/>
  <c r="J653" i="7" s="1"/>
  <c r="I653" i="5"/>
  <c r="I653" i="7" s="1"/>
  <c r="H653" i="5"/>
  <c r="H653" i="7" s="1"/>
  <c r="G653" i="5"/>
  <c r="G653" i="7" s="1"/>
  <c r="F653" i="5"/>
  <c r="F653" i="7" s="1"/>
  <c r="E653" i="5"/>
  <c r="E653" i="7" s="1"/>
  <c r="D653" i="5"/>
  <c r="D653" i="7" s="1"/>
  <c r="C653" i="5"/>
  <c r="C653" i="7" s="1"/>
  <c r="B653" i="5"/>
  <c r="B653" i="7" s="1"/>
  <c r="L652" i="5"/>
  <c r="L652" i="7" s="1"/>
  <c r="K652" i="5"/>
  <c r="K652" i="7" s="1"/>
  <c r="J652" i="5"/>
  <c r="J652" i="7" s="1"/>
  <c r="I652" i="5"/>
  <c r="I652" i="7" s="1"/>
  <c r="H652" i="5"/>
  <c r="H652" i="7" s="1"/>
  <c r="G652" i="5"/>
  <c r="G652" i="7" s="1"/>
  <c r="F652" i="5"/>
  <c r="F652" i="7" s="1"/>
  <c r="E652" i="5"/>
  <c r="E652" i="7" s="1"/>
  <c r="D652" i="5"/>
  <c r="D652" i="7" s="1"/>
  <c r="C652" i="5"/>
  <c r="C652" i="7" s="1"/>
  <c r="B652" i="5"/>
  <c r="B652" i="7" s="1"/>
  <c r="L651" i="5"/>
  <c r="L651" i="7" s="1"/>
  <c r="J651" i="5"/>
  <c r="J651" i="7" s="1"/>
  <c r="I651" i="5"/>
  <c r="I651" i="7" s="1"/>
  <c r="H651" i="5"/>
  <c r="H651" i="7" s="1"/>
  <c r="G651" i="5"/>
  <c r="G651" i="7" s="1"/>
  <c r="F651" i="5"/>
  <c r="F651" i="7" s="1"/>
  <c r="E651" i="5"/>
  <c r="D651" i="5"/>
  <c r="D651" i="7" s="1"/>
  <c r="C651" i="5"/>
  <c r="C651" i="7" s="1"/>
  <c r="B651" i="5"/>
  <c r="B651" i="7" s="1"/>
  <c r="L650" i="5"/>
  <c r="L650" i="7" s="1"/>
  <c r="K650" i="5"/>
  <c r="K650" i="7" s="1"/>
  <c r="J650" i="5"/>
  <c r="J650" i="7" s="1"/>
  <c r="I650" i="5"/>
  <c r="I650" i="7" s="1"/>
  <c r="H650" i="5"/>
  <c r="H650" i="7" s="1"/>
  <c r="G650" i="5"/>
  <c r="G650" i="7" s="1"/>
  <c r="F650" i="5"/>
  <c r="F650" i="7" s="1"/>
  <c r="E650" i="5"/>
  <c r="E650" i="7" s="1"/>
  <c r="D650" i="5"/>
  <c r="D650" i="7" s="1"/>
  <c r="C650" i="5"/>
  <c r="C650" i="7" s="1"/>
  <c r="B650" i="5"/>
  <c r="B650" i="7" s="1"/>
  <c r="L649" i="5"/>
  <c r="L649" i="7" s="1"/>
  <c r="K649" i="5"/>
  <c r="K649" i="7" s="1"/>
  <c r="J649" i="5"/>
  <c r="J649" i="7" s="1"/>
  <c r="I649" i="5"/>
  <c r="I649" i="7" s="1"/>
  <c r="H649" i="5"/>
  <c r="H649" i="7" s="1"/>
  <c r="G649" i="5"/>
  <c r="G649" i="7" s="1"/>
  <c r="F649" i="5"/>
  <c r="F649" i="7" s="1"/>
  <c r="E649" i="5"/>
  <c r="E649" i="7" s="1"/>
  <c r="D649" i="5"/>
  <c r="D649" i="7" s="1"/>
  <c r="C649" i="5"/>
  <c r="C649" i="7" s="1"/>
  <c r="B649" i="5"/>
  <c r="B649" i="7" s="1"/>
  <c r="L648" i="5"/>
  <c r="L648" i="7" s="1"/>
  <c r="J648" i="5"/>
  <c r="J648" i="7" s="1"/>
  <c r="I648" i="5"/>
  <c r="I648" i="7" s="1"/>
  <c r="H648" i="5"/>
  <c r="H648" i="7" s="1"/>
  <c r="G648" i="5"/>
  <c r="G648" i="7" s="1"/>
  <c r="F648" i="5"/>
  <c r="F648" i="7" s="1"/>
  <c r="E648" i="5"/>
  <c r="D648" i="5"/>
  <c r="D648" i="7" s="1"/>
  <c r="C648" i="5"/>
  <c r="C648" i="7" s="1"/>
  <c r="B648" i="5"/>
  <c r="B648" i="7" s="1"/>
  <c r="L647" i="5"/>
  <c r="L647" i="7" s="1"/>
  <c r="K647" i="5"/>
  <c r="K647" i="7" s="1"/>
  <c r="J647" i="5"/>
  <c r="J647" i="7" s="1"/>
  <c r="I647" i="5"/>
  <c r="I647" i="7" s="1"/>
  <c r="H647" i="5"/>
  <c r="H647" i="7" s="1"/>
  <c r="G647" i="5"/>
  <c r="G647" i="7" s="1"/>
  <c r="F647" i="5"/>
  <c r="F647" i="7" s="1"/>
  <c r="E647" i="5"/>
  <c r="E647" i="7" s="1"/>
  <c r="D647" i="5"/>
  <c r="D647" i="7" s="1"/>
  <c r="C647" i="5"/>
  <c r="C647" i="7" s="1"/>
  <c r="B647" i="5"/>
  <c r="B647" i="7" s="1"/>
  <c r="L646" i="5"/>
  <c r="L646" i="7" s="1"/>
  <c r="J646" i="5"/>
  <c r="J646" i="7" s="1"/>
  <c r="I646" i="5"/>
  <c r="I646" i="7" s="1"/>
  <c r="H646" i="5"/>
  <c r="H646" i="7" s="1"/>
  <c r="G646" i="5"/>
  <c r="G646" i="7" s="1"/>
  <c r="F646" i="5"/>
  <c r="F646" i="7" s="1"/>
  <c r="E646" i="5"/>
  <c r="E646" i="7" s="1"/>
  <c r="D646" i="5"/>
  <c r="D646" i="7" s="1"/>
  <c r="C646" i="5"/>
  <c r="C646" i="7" s="1"/>
  <c r="B646" i="5"/>
  <c r="B646" i="7" s="1"/>
  <c r="L645" i="5"/>
  <c r="L645" i="7" s="1"/>
  <c r="K645" i="5"/>
  <c r="K645" i="7" s="1"/>
  <c r="J645" i="5"/>
  <c r="J645" i="7" s="1"/>
  <c r="I645" i="5"/>
  <c r="I645" i="7" s="1"/>
  <c r="H645" i="5"/>
  <c r="H645" i="7" s="1"/>
  <c r="G645" i="5"/>
  <c r="G645" i="7" s="1"/>
  <c r="F645" i="5"/>
  <c r="F645" i="7" s="1"/>
  <c r="E645" i="5"/>
  <c r="E645" i="7" s="1"/>
  <c r="D645" i="5"/>
  <c r="D645" i="7" s="1"/>
  <c r="C645" i="5"/>
  <c r="C645" i="7" s="1"/>
  <c r="B645" i="5"/>
  <c r="B645" i="7" s="1"/>
  <c r="L644" i="5"/>
  <c r="L644" i="7" s="1"/>
  <c r="K644" i="5"/>
  <c r="K644" i="7" s="1"/>
  <c r="J644" i="5"/>
  <c r="J644" i="7" s="1"/>
  <c r="I644" i="5"/>
  <c r="I644" i="7" s="1"/>
  <c r="H644" i="5"/>
  <c r="H644" i="7" s="1"/>
  <c r="G644" i="5"/>
  <c r="G644" i="7" s="1"/>
  <c r="F644" i="5"/>
  <c r="F644" i="7" s="1"/>
  <c r="E644" i="5"/>
  <c r="E644" i="7" s="1"/>
  <c r="D644" i="5"/>
  <c r="D644" i="7" s="1"/>
  <c r="C644" i="5"/>
  <c r="C644" i="7" s="1"/>
  <c r="B644" i="5"/>
  <c r="B644" i="7" s="1"/>
  <c r="L643" i="5"/>
  <c r="L643" i="7" s="1"/>
  <c r="K643" i="5"/>
  <c r="K643" i="7" s="1"/>
  <c r="J643" i="5"/>
  <c r="J643" i="7" s="1"/>
  <c r="I643" i="5"/>
  <c r="I643" i="7" s="1"/>
  <c r="H643" i="5"/>
  <c r="H643" i="7" s="1"/>
  <c r="G643" i="5"/>
  <c r="G643" i="7" s="1"/>
  <c r="F643" i="5"/>
  <c r="F643" i="7" s="1"/>
  <c r="E643" i="5"/>
  <c r="E643" i="7" s="1"/>
  <c r="D643" i="5"/>
  <c r="D643" i="7" s="1"/>
  <c r="C643" i="5"/>
  <c r="C643" i="7" s="1"/>
  <c r="B643" i="5"/>
  <c r="B643" i="7" s="1"/>
  <c r="L642" i="5"/>
  <c r="L642" i="7" s="1"/>
  <c r="J642" i="5"/>
  <c r="J642" i="7" s="1"/>
  <c r="I642" i="5"/>
  <c r="I642" i="7" s="1"/>
  <c r="H642" i="5"/>
  <c r="H642" i="7" s="1"/>
  <c r="G642" i="5"/>
  <c r="G642" i="7" s="1"/>
  <c r="F642" i="5"/>
  <c r="F642" i="7" s="1"/>
  <c r="E642" i="5"/>
  <c r="D642" i="5"/>
  <c r="D642" i="7" s="1"/>
  <c r="C642" i="5"/>
  <c r="C642" i="7" s="1"/>
  <c r="B642" i="5"/>
  <c r="B642" i="7" s="1"/>
  <c r="L641" i="5"/>
  <c r="L641" i="7" s="1"/>
  <c r="J641" i="5"/>
  <c r="J641" i="7" s="1"/>
  <c r="I641" i="5"/>
  <c r="I641" i="7" s="1"/>
  <c r="H641" i="5"/>
  <c r="H641" i="7" s="1"/>
  <c r="G641" i="5"/>
  <c r="G641" i="7" s="1"/>
  <c r="F641" i="5"/>
  <c r="F641" i="7" s="1"/>
  <c r="E641" i="5"/>
  <c r="D641" i="5"/>
  <c r="D641" i="7" s="1"/>
  <c r="C641" i="5"/>
  <c r="C641" i="7" s="1"/>
  <c r="B641" i="5"/>
  <c r="B641" i="7" s="1"/>
  <c r="L640" i="5"/>
  <c r="L640" i="7" s="1"/>
  <c r="J640" i="5"/>
  <c r="J640" i="7" s="1"/>
  <c r="I640" i="5"/>
  <c r="I640" i="7" s="1"/>
  <c r="H640" i="5"/>
  <c r="H640" i="7" s="1"/>
  <c r="G640" i="5"/>
  <c r="G640" i="7" s="1"/>
  <c r="F640" i="5"/>
  <c r="F640" i="7" s="1"/>
  <c r="E640" i="5"/>
  <c r="E640" i="7" s="1"/>
  <c r="D640" i="5"/>
  <c r="D640" i="7" s="1"/>
  <c r="C640" i="5"/>
  <c r="C640" i="7" s="1"/>
  <c r="B640" i="5"/>
  <c r="B640" i="7" s="1"/>
  <c r="L639" i="5"/>
  <c r="L639" i="7" s="1"/>
  <c r="K639" i="5"/>
  <c r="K639" i="7" s="1"/>
  <c r="J639" i="5"/>
  <c r="J639" i="7" s="1"/>
  <c r="I639" i="5"/>
  <c r="I639" i="7" s="1"/>
  <c r="H639" i="5"/>
  <c r="H639" i="7" s="1"/>
  <c r="G639" i="5"/>
  <c r="G639" i="7" s="1"/>
  <c r="F639" i="5"/>
  <c r="F639" i="7" s="1"/>
  <c r="E639" i="5"/>
  <c r="E639" i="7" s="1"/>
  <c r="D639" i="5"/>
  <c r="D639" i="7" s="1"/>
  <c r="C639" i="5"/>
  <c r="C639" i="7" s="1"/>
  <c r="B639" i="5"/>
  <c r="B639" i="7" s="1"/>
  <c r="L638" i="5"/>
  <c r="L638" i="7" s="1"/>
  <c r="K638" i="5"/>
  <c r="K638" i="7" s="1"/>
  <c r="J638" i="5"/>
  <c r="J638" i="7" s="1"/>
  <c r="I638" i="5"/>
  <c r="I638" i="7" s="1"/>
  <c r="H638" i="5"/>
  <c r="H638" i="7" s="1"/>
  <c r="G638" i="5"/>
  <c r="G638" i="7" s="1"/>
  <c r="F638" i="5"/>
  <c r="F638" i="7" s="1"/>
  <c r="E638" i="5"/>
  <c r="E638" i="7" s="1"/>
  <c r="D638" i="5"/>
  <c r="D638" i="7" s="1"/>
  <c r="C638" i="5"/>
  <c r="C638" i="7" s="1"/>
  <c r="B638" i="5"/>
  <c r="B638" i="7" s="1"/>
  <c r="L637" i="5"/>
  <c r="L637" i="7" s="1"/>
  <c r="J637" i="5"/>
  <c r="J637" i="7" s="1"/>
  <c r="I637" i="5"/>
  <c r="I637" i="7" s="1"/>
  <c r="H637" i="5"/>
  <c r="H637" i="7" s="1"/>
  <c r="G637" i="5"/>
  <c r="G637" i="7" s="1"/>
  <c r="F637" i="5"/>
  <c r="F637" i="7" s="1"/>
  <c r="E637" i="5"/>
  <c r="D637" i="5"/>
  <c r="D637" i="7" s="1"/>
  <c r="C637" i="5"/>
  <c r="C637" i="7" s="1"/>
  <c r="B637" i="5"/>
  <c r="B637" i="7" s="1"/>
  <c r="L636" i="5"/>
  <c r="L636" i="7" s="1"/>
  <c r="J636" i="5"/>
  <c r="J636" i="7" s="1"/>
  <c r="I636" i="5"/>
  <c r="I636" i="7" s="1"/>
  <c r="H636" i="5"/>
  <c r="H636" i="7" s="1"/>
  <c r="G636" i="5"/>
  <c r="G636" i="7" s="1"/>
  <c r="F636" i="5"/>
  <c r="F636" i="7" s="1"/>
  <c r="E636" i="5"/>
  <c r="E636" i="7" s="1"/>
  <c r="D636" i="5"/>
  <c r="D636" i="7" s="1"/>
  <c r="C636" i="5"/>
  <c r="C636" i="7" s="1"/>
  <c r="B636" i="5"/>
  <c r="B636" i="7" s="1"/>
  <c r="L635" i="5"/>
  <c r="L635" i="7" s="1"/>
  <c r="K635" i="5"/>
  <c r="K635" i="7" s="1"/>
  <c r="J635" i="5"/>
  <c r="J635" i="7" s="1"/>
  <c r="I635" i="5"/>
  <c r="I635" i="7" s="1"/>
  <c r="H635" i="5"/>
  <c r="H635" i="7" s="1"/>
  <c r="G635" i="5"/>
  <c r="G635" i="7" s="1"/>
  <c r="F635" i="5"/>
  <c r="F635" i="7" s="1"/>
  <c r="E635" i="5"/>
  <c r="E635" i="7" s="1"/>
  <c r="D635" i="5"/>
  <c r="D635" i="7" s="1"/>
  <c r="C635" i="5"/>
  <c r="C635" i="7" s="1"/>
  <c r="B635" i="5"/>
  <c r="B635" i="7" s="1"/>
  <c r="L634" i="5"/>
  <c r="L634" i="7" s="1"/>
  <c r="J634" i="5"/>
  <c r="J634" i="7" s="1"/>
  <c r="I634" i="5"/>
  <c r="I634" i="7" s="1"/>
  <c r="H634" i="5"/>
  <c r="H634" i="7" s="1"/>
  <c r="G634" i="5"/>
  <c r="G634" i="7" s="1"/>
  <c r="F634" i="5"/>
  <c r="F634" i="7" s="1"/>
  <c r="E634" i="5"/>
  <c r="D634" i="5"/>
  <c r="D634" i="7" s="1"/>
  <c r="C634" i="5"/>
  <c r="C634" i="7" s="1"/>
  <c r="B634" i="5"/>
  <c r="B634" i="7" s="1"/>
  <c r="L633" i="5"/>
  <c r="L633" i="7" s="1"/>
  <c r="K633" i="5"/>
  <c r="K633" i="7" s="1"/>
  <c r="J633" i="5"/>
  <c r="J633" i="7" s="1"/>
  <c r="I633" i="5"/>
  <c r="I633" i="7" s="1"/>
  <c r="H633" i="5"/>
  <c r="H633" i="7" s="1"/>
  <c r="G633" i="5"/>
  <c r="G633" i="7" s="1"/>
  <c r="F633" i="5"/>
  <c r="F633" i="7" s="1"/>
  <c r="E633" i="5"/>
  <c r="E633" i="7" s="1"/>
  <c r="D633" i="5"/>
  <c r="D633" i="7" s="1"/>
  <c r="C633" i="5"/>
  <c r="C633" i="7" s="1"/>
  <c r="B633" i="5"/>
  <c r="B633" i="7" s="1"/>
  <c r="L632" i="5"/>
  <c r="L632" i="7" s="1"/>
  <c r="J632" i="5"/>
  <c r="J632" i="7" s="1"/>
  <c r="I632" i="5"/>
  <c r="I632" i="7" s="1"/>
  <c r="H632" i="5"/>
  <c r="H632" i="7" s="1"/>
  <c r="G632" i="5"/>
  <c r="G632" i="7" s="1"/>
  <c r="F632" i="5"/>
  <c r="F632" i="7" s="1"/>
  <c r="E632" i="5"/>
  <c r="E632" i="7" s="1"/>
  <c r="D632" i="5"/>
  <c r="D632" i="7" s="1"/>
  <c r="C632" i="5"/>
  <c r="C632" i="7" s="1"/>
  <c r="B632" i="5"/>
  <c r="B632" i="7" s="1"/>
  <c r="L631" i="5"/>
  <c r="L631" i="7" s="1"/>
  <c r="K631" i="5"/>
  <c r="K631" i="7" s="1"/>
  <c r="J631" i="5"/>
  <c r="J631" i="7" s="1"/>
  <c r="I631" i="5"/>
  <c r="I631" i="7" s="1"/>
  <c r="H631" i="5"/>
  <c r="H631" i="7" s="1"/>
  <c r="G631" i="5"/>
  <c r="G631" i="7" s="1"/>
  <c r="F631" i="5"/>
  <c r="F631" i="7" s="1"/>
  <c r="E631" i="5"/>
  <c r="E631" i="7" s="1"/>
  <c r="D631" i="5"/>
  <c r="D631" i="7" s="1"/>
  <c r="C631" i="5"/>
  <c r="C631" i="7" s="1"/>
  <c r="B631" i="5"/>
  <c r="B631" i="7" s="1"/>
  <c r="L630" i="5"/>
  <c r="L630" i="7" s="1"/>
  <c r="K630" i="5"/>
  <c r="K630" i="7" s="1"/>
  <c r="J630" i="5"/>
  <c r="J630" i="7" s="1"/>
  <c r="I630" i="5"/>
  <c r="I630" i="7" s="1"/>
  <c r="H630" i="5"/>
  <c r="H630" i="7" s="1"/>
  <c r="G630" i="5"/>
  <c r="G630" i="7" s="1"/>
  <c r="F630" i="5"/>
  <c r="F630" i="7" s="1"/>
  <c r="E630" i="5"/>
  <c r="E630" i="7" s="1"/>
  <c r="D630" i="5"/>
  <c r="D630" i="7" s="1"/>
  <c r="C630" i="5"/>
  <c r="C630" i="7" s="1"/>
  <c r="B630" i="5"/>
  <c r="B630" i="7" s="1"/>
  <c r="L629" i="5"/>
  <c r="L629" i="7" s="1"/>
  <c r="K629" i="5"/>
  <c r="K629" i="7" s="1"/>
  <c r="J629" i="5"/>
  <c r="J629" i="7" s="1"/>
  <c r="I629" i="5"/>
  <c r="I629" i="7" s="1"/>
  <c r="H629" i="5"/>
  <c r="H629" i="7" s="1"/>
  <c r="G629" i="5"/>
  <c r="G629" i="7" s="1"/>
  <c r="F629" i="5"/>
  <c r="F629" i="7" s="1"/>
  <c r="E629" i="5"/>
  <c r="E629" i="7" s="1"/>
  <c r="D629" i="5"/>
  <c r="D629" i="7" s="1"/>
  <c r="C629" i="5"/>
  <c r="C629" i="7" s="1"/>
  <c r="B629" i="5"/>
  <c r="B629" i="7" s="1"/>
  <c r="L628" i="5"/>
  <c r="L628" i="7" s="1"/>
  <c r="J628" i="5"/>
  <c r="J628" i="7" s="1"/>
  <c r="I628" i="5"/>
  <c r="I628" i="7" s="1"/>
  <c r="H628" i="5"/>
  <c r="H628" i="7" s="1"/>
  <c r="G628" i="5"/>
  <c r="G628" i="7" s="1"/>
  <c r="F628" i="5"/>
  <c r="F628" i="7" s="1"/>
  <c r="E628" i="5"/>
  <c r="D628" i="5"/>
  <c r="D628" i="7" s="1"/>
  <c r="C628" i="5"/>
  <c r="C628" i="7" s="1"/>
  <c r="B628" i="5"/>
  <c r="B628" i="7" s="1"/>
  <c r="L627" i="5"/>
  <c r="L627" i="7" s="1"/>
  <c r="J627" i="5"/>
  <c r="J627" i="7" s="1"/>
  <c r="I627" i="5"/>
  <c r="I627" i="7" s="1"/>
  <c r="H627" i="5"/>
  <c r="H627" i="7" s="1"/>
  <c r="G627" i="5"/>
  <c r="G627" i="7" s="1"/>
  <c r="F627" i="5"/>
  <c r="F627" i="7" s="1"/>
  <c r="E627" i="5"/>
  <c r="D627" i="5"/>
  <c r="D627" i="7" s="1"/>
  <c r="C627" i="5"/>
  <c r="C627" i="7" s="1"/>
  <c r="B627" i="5"/>
  <c r="B627" i="7" s="1"/>
  <c r="L626" i="5"/>
  <c r="L626" i="7" s="1"/>
  <c r="J626" i="5"/>
  <c r="J626" i="7" s="1"/>
  <c r="I626" i="5"/>
  <c r="I626" i="7" s="1"/>
  <c r="H626" i="5"/>
  <c r="H626" i="7" s="1"/>
  <c r="G626" i="5"/>
  <c r="G626" i="7" s="1"/>
  <c r="F626" i="5"/>
  <c r="F626" i="7" s="1"/>
  <c r="E626" i="5"/>
  <c r="E626" i="7" s="1"/>
  <c r="D626" i="5"/>
  <c r="D626" i="7" s="1"/>
  <c r="C626" i="5"/>
  <c r="C626" i="7" s="1"/>
  <c r="B626" i="5"/>
  <c r="B626" i="7" s="1"/>
  <c r="L625" i="5"/>
  <c r="L625" i="7" s="1"/>
  <c r="K625" i="5"/>
  <c r="K625" i="7" s="1"/>
  <c r="J625" i="5"/>
  <c r="J625" i="7" s="1"/>
  <c r="I625" i="5"/>
  <c r="I625" i="7" s="1"/>
  <c r="H625" i="5"/>
  <c r="H625" i="7" s="1"/>
  <c r="G625" i="5"/>
  <c r="G625" i="7" s="1"/>
  <c r="F625" i="5"/>
  <c r="F625" i="7" s="1"/>
  <c r="E625" i="5"/>
  <c r="E625" i="7" s="1"/>
  <c r="D625" i="5"/>
  <c r="D625" i="7" s="1"/>
  <c r="C625" i="5"/>
  <c r="C625" i="7" s="1"/>
  <c r="B625" i="5"/>
  <c r="B625" i="7" s="1"/>
  <c r="L624" i="5"/>
  <c r="L624" i="7" s="1"/>
  <c r="K624" i="5"/>
  <c r="K624" i="7" s="1"/>
  <c r="J624" i="5"/>
  <c r="J624" i="7" s="1"/>
  <c r="I624" i="5"/>
  <c r="I624" i="7" s="1"/>
  <c r="H624" i="5"/>
  <c r="H624" i="7" s="1"/>
  <c r="G624" i="5"/>
  <c r="G624" i="7" s="1"/>
  <c r="F624" i="5"/>
  <c r="F624" i="7" s="1"/>
  <c r="E624" i="5"/>
  <c r="E624" i="7" s="1"/>
  <c r="D624" i="5"/>
  <c r="D624" i="7" s="1"/>
  <c r="C624" i="5"/>
  <c r="C624" i="7" s="1"/>
  <c r="B624" i="5"/>
  <c r="B624" i="7" s="1"/>
  <c r="L623" i="5"/>
  <c r="L623" i="7" s="1"/>
  <c r="J623" i="5"/>
  <c r="J623" i="7" s="1"/>
  <c r="I623" i="5"/>
  <c r="I623" i="7" s="1"/>
  <c r="H623" i="5"/>
  <c r="H623" i="7" s="1"/>
  <c r="G623" i="5"/>
  <c r="G623" i="7" s="1"/>
  <c r="F623" i="5"/>
  <c r="F623" i="7" s="1"/>
  <c r="E623" i="5"/>
  <c r="D623" i="5"/>
  <c r="D623" i="7" s="1"/>
  <c r="C623" i="5"/>
  <c r="C623" i="7" s="1"/>
  <c r="B623" i="5"/>
  <c r="B623" i="7" s="1"/>
  <c r="L622" i="5"/>
  <c r="L622" i="7" s="1"/>
  <c r="K622" i="5"/>
  <c r="K622" i="7" s="1"/>
  <c r="J622" i="5"/>
  <c r="J622" i="7" s="1"/>
  <c r="I622" i="5"/>
  <c r="I622" i="7" s="1"/>
  <c r="H622" i="5"/>
  <c r="H622" i="7" s="1"/>
  <c r="G622" i="5"/>
  <c r="G622" i="7" s="1"/>
  <c r="F622" i="5"/>
  <c r="F622" i="7" s="1"/>
  <c r="E622" i="5"/>
  <c r="E622" i="7" s="1"/>
  <c r="D622" i="5"/>
  <c r="D622" i="7" s="1"/>
  <c r="C622" i="5"/>
  <c r="C622" i="7" s="1"/>
  <c r="B622" i="5"/>
  <c r="B622" i="7" s="1"/>
  <c r="L621" i="5"/>
  <c r="L621" i="7" s="1"/>
  <c r="K621" i="5"/>
  <c r="K621" i="7" s="1"/>
  <c r="J621" i="5"/>
  <c r="J621" i="7" s="1"/>
  <c r="I621" i="5"/>
  <c r="I621" i="7" s="1"/>
  <c r="H621" i="5"/>
  <c r="H621" i="7" s="1"/>
  <c r="G621" i="5"/>
  <c r="G621" i="7" s="1"/>
  <c r="F621" i="5"/>
  <c r="F621" i="7" s="1"/>
  <c r="E621" i="5"/>
  <c r="E621" i="7" s="1"/>
  <c r="D621" i="5"/>
  <c r="D621" i="7" s="1"/>
  <c r="C621" i="5"/>
  <c r="C621" i="7" s="1"/>
  <c r="B621" i="5"/>
  <c r="B621" i="7" s="1"/>
  <c r="L620" i="5"/>
  <c r="L620" i="7" s="1"/>
  <c r="J620" i="5"/>
  <c r="J620" i="7" s="1"/>
  <c r="I620" i="5"/>
  <c r="I620" i="7" s="1"/>
  <c r="H620" i="5"/>
  <c r="H620" i="7" s="1"/>
  <c r="G620" i="5"/>
  <c r="G620" i="7" s="1"/>
  <c r="F620" i="5"/>
  <c r="F620" i="7" s="1"/>
  <c r="E620" i="5"/>
  <c r="D620" i="5"/>
  <c r="D620" i="7" s="1"/>
  <c r="C620" i="5"/>
  <c r="C620" i="7" s="1"/>
  <c r="B620" i="5"/>
  <c r="B620" i="7" s="1"/>
  <c r="L619" i="5"/>
  <c r="L619" i="7" s="1"/>
  <c r="K619" i="5"/>
  <c r="K619" i="7" s="1"/>
  <c r="J619" i="5"/>
  <c r="J619" i="7" s="1"/>
  <c r="I619" i="5"/>
  <c r="I619" i="7" s="1"/>
  <c r="H619" i="5"/>
  <c r="H619" i="7" s="1"/>
  <c r="G619" i="5"/>
  <c r="G619" i="7" s="1"/>
  <c r="F619" i="5"/>
  <c r="F619" i="7" s="1"/>
  <c r="E619" i="5"/>
  <c r="E619" i="7" s="1"/>
  <c r="D619" i="5"/>
  <c r="D619" i="7" s="1"/>
  <c r="C619" i="5"/>
  <c r="C619" i="7" s="1"/>
  <c r="B619" i="5"/>
  <c r="B619" i="7" s="1"/>
  <c r="L618" i="5"/>
  <c r="L618" i="7" s="1"/>
  <c r="J618" i="5"/>
  <c r="J618" i="7" s="1"/>
  <c r="I618" i="5"/>
  <c r="I618" i="7" s="1"/>
  <c r="H618" i="5"/>
  <c r="H618" i="7" s="1"/>
  <c r="G618" i="5"/>
  <c r="G618" i="7" s="1"/>
  <c r="F618" i="5"/>
  <c r="F618" i="7" s="1"/>
  <c r="E618" i="5"/>
  <c r="E618" i="7" s="1"/>
  <c r="D618" i="5"/>
  <c r="D618" i="7" s="1"/>
  <c r="C618" i="5"/>
  <c r="C618" i="7" s="1"/>
  <c r="B618" i="5"/>
  <c r="B618" i="7" s="1"/>
  <c r="L617" i="5"/>
  <c r="L617" i="7" s="1"/>
  <c r="K617" i="5"/>
  <c r="K617" i="7" s="1"/>
  <c r="J617" i="5"/>
  <c r="J617" i="7" s="1"/>
  <c r="I617" i="5"/>
  <c r="I617" i="7" s="1"/>
  <c r="H617" i="5"/>
  <c r="H617" i="7" s="1"/>
  <c r="G617" i="5"/>
  <c r="G617" i="7" s="1"/>
  <c r="F617" i="5"/>
  <c r="F617" i="7" s="1"/>
  <c r="E617" i="5"/>
  <c r="E617" i="7" s="1"/>
  <c r="D617" i="5"/>
  <c r="D617" i="7" s="1"/>
  <c r="C617" i="5"/>
  <c r="C617" i="7" s="1"/>
  <c r="B617" i="5"/>
  <c r="B617" i="7" s="1"/>
  <c r="L616" i="5"/>
  <c r="L616" i="7" s="1"/>
  <c r="K616" i="5"/>
  <c r="K616" i="7" s="1"/>
  <c r="J616" i="5"/>
  <c r="J616" i="7" s="1"/>
  <c r="I616" i="5"/>
  <c r="I616" i="7" s="1"/>
  <c r="H616" i="5"/>
  <c r="H616" i="7" s="1"/>
  <c r="G616" i="5"/>
  <c r="G616" i="7" s="1"/>
  <c r="F616" i="5"/>
  <c r="F616" i="7" s="1"/>
  <c r="E616" i="5"/>
  <c r="E616" i="7" s="1"/>
  <c r="D616" i="5"/>
  <c r="D616" i="7" s="1"/>
  <c r="C616" i="5"/>
  <c r="C616" i="7" s="1"/>
  <c r="B616" i="5"/>
  <c r="B616" i="7" s="1"/>
  <c r="L615" i="5"/>
  <c r="L615" i="7" s="1"/>
  <c r="J615" i="5"/>
  <c r="J615" i="7" s="1"/>
  <c r="I615" i="5"/>
  <c r="I615" i="7" s="1"/>
  <c r="H615" i="5"/>
  <c r="H615" i="7" s="1"/>
  <c r="G615" i="5"/>
  <c r="G615" i="7" s="1"/>
  <c r="F615" i="5"/>
  <c r="F615" i="7" s="1"/>
  <c r="E615" i="5"/>
  <c r="E615" i="7" s="1"/>
  <c r="D615" i="5"/>
  <c r="D615" i="7" s="1"/>
  <c r="C615" i="5"/>
  <c r="C615" i="7" s="1"/>
  <c r="B615" i="5"/>
  <c r="B615" i="7" s="1"/>
  <c r="L614" i="5"/>
  <c r="L614" i="7" s="1"/>
  <c r="J614" i="5"/>
  <c r="J614" i="7" s="1"/>
  <c r="I614" i="5"/>
  <c r="I614" i="7" s="1"/>
  <c r="H614" i="5"/>
  <c r="H614" i="7" s="1"/>
  <c r="G614" i="5"/>
  <c r="G614" i="7" s="1"/>
  <c r="F614" i="5"/>
  <c r="F614" i="7" s="1"/>
  <c r="E614" i="5"/>
  <c r="D614" i="5"/>
  <c r="D614" i="7" s="1"/>
  <c r="C614" i="5"/>
  <c r="C614" i="7" s="1"/>
  <c r="B614" i="5"/>
  <c r="B614" i="7" s="1"/>
  <c r="L613" i="5"/>
  <c r="L613" i="7" s="1"/>
  <c r="J613" i="5"/>
  <c r="J613" i="7" s="1"/>
  <c r="I613" i="5"/>
  <c r="I613" i="7" s="1"/>
  <c r="H613" i="5"/>
  <c r="H613" i="7" s="1"/>
  <c r="G613" i="5"/>
  <c r="G613" i="7" s="1"/>
  <c r="F613" i="5"/>
  <c r="F613" i="7" s="1"/>
  <c r="E613" i="5"/>
  <c r="D613" i="5"/>
  <c r="D613" i="7" s="1"/>
  <c r="C613" i="5"/>
  <c r="C613" i="7" s="1"/>
  <c r="B613" i="5"/>
  <c r="B613" i="7" s="1"/>
  <c r="L612" i="5"/>
  <c r="L612" i="7" s="1"/>
  <c r="J612" i="5"/>
  <c r="J612" i="7" s="1"/>
  <c r="I612" i="5"/>
  <c r="I612" i="7" s="1"/>
  <c r="H612" i="5"/>
  <c r="H612" i="7" s="1"/>
  <c r="G612" i="5"/>
  <c r="G612" i="7" s="1"/>
  <c r="F612" i="5"/>
  <c r="F612" i="7" s="1"/>
  <c r="E612" i="5"/>
  <c r="E612" i="7" s="1"/>
  <c r="D612" i="5"/>
  <c r="D612" i="7" s="1"/>
  <c r="C612" i="5"/>
  <c r="C612" i="7" s="1"/>
  <c r="B612" i="5"/>
  <c r="B612" i="7" s="1"/>
  <c r="L611" i="5"/>
  <c r="L611" i="7" s="1"/>
  <c r="K611" i="5"/>
  <c r="K611" i="7" s="1"/>
  <c r="J611" i="5"/>
  <c r="J611" i="7" s="1"/>
  <c r="I611" i="5"/>
  <c r="I611" i="7" s="1"/>
  <c r="H611" i="5"/>
  <c r="H611" i="7" s="1"/>
  <c r="G611" i="5"/>
  <c r="G611" i="7" s="1"/>
  <c r="F611" i="5"/>
  <c r="F611" i="7" s="1"/>
  <c r="E611" i="5"/>
  <c r="E611" i="7" s="1"/>
  <c r="D611" i="5"/>
  <c r="D611" i="7" s="1"/>
  <c r="C611" i="5"/>
  <c r="C611" i="7" s="1"/>
  <c r="B611" i="5"/>
  <c r="B611" i="7" s="1"/>
  <c r="L610" i="5"/>
  <c r="L610" i="7" s="1"/>
  <c r="K610" i="5"/>
  <c r="K610" i="7" s="1"/>
  <c r="J610" i="5"/>
  <c r="J610" i="7" s="1"/>
  <c r="I610" i="5"/>
  <c r="I610" i="7" s="1"/>
  <c r="H610" i="5"/>
  <c r="H610" i="7" s="1"/>
  <c r="G610" i="5"/>
  <c r="G610" i="7" s="1"/>
  <c r="F610" i="5"/>
  <c r="F610" i="7" s="1"/>
  <c r="E610" i="5"/>
  <c r="E610" i="7" s="1"/>
  <c r="D610" i="5"/>
  <c r="D610" i="7" s="1"/>
  <c r="C610" i="5"/>
  <c r="C610" i="7" s="1"/>
  <c r="B610" i="5"/>
  <c r="B610" i="7" s="1"/>
  <c r="L609" i="5"/>
  <c r="L609" i="7" s="1"/>
  <c r="J609" i="5"/>
  <c r="J609" i="7" s="1"/>
  <c r="I609" i="5"/>
  <c r="I609" i="7" s="1"/>
  <c r="H609" i="5"/>
  <c r="H609" i="7" s="1"/>
  <c r="G609" i="5"/>
  <c r="G609" i="7" s="1"/>
  <c r="F609" i="5"/>
  <c r="F609" i="7" s="1"/>
  <c r="E609" i="5"/>
  <c r="D609" i="5"/>
  <c r="D609" i="7" s="1"/>
  <c r="C609" i="5"/>
  <c r="C609" i="7" s="1"/>
  <c r="B609" i="5"/>
  <c r="B609" i="7" s="1"/>
  <c r="L608" i="5"/>
  <c r="L608" i="7" s="1"/>
  <c r="J608" i="5"/>
  <c r="J608" i="7" s="1"/>
  <c r="I608" i="5"/>
  <c r="I608" i="7" s="1"/>
  <c r="H608" i="5"/>
  <c r="H608" i="7" s="1"/>
  <c r="G608" i="5"/>
  <c r="G608" i="7" s="1"/>
  <c r="F608" i="5"/>
  <c r="F608" i="7" s="1"/>
  <c r="E608" i="5"/>
  <c r="E608" i="7" s="1"/>
  <c r="D608" i="5"/>
  <c r="D608" i="7" s="1"/>
  <c r="C608" i="5"/>
  <c r="C608" i="7" s="1"/>
  <c r="B608" i="5"/>
  <c r="B608" i="7" s="1"/>
  <c r="L607" i="5"/>
  <c r="L607" i="7" s="1"/>
  <c r="K607" i="5"/>
  <c r="K607" i="7" s="1"/>
  <c r="J607" i="5"/>
  <c r="J607" i="7" s="1"/>
  <c r="I607" i="5"/>
  <c r="I607" i="7" s="1"/>
  <c r="H607" i="5"/>
  <c r="H607" i="7" s="1"/>
  <c r="G607" i="5"/>
  <c r="G607" i="7" s="1"/>
  <c r="F607" i="5"/>
  <c r="F607" i="7" s="1"/>
  <c r="E607" i="5"/>
  <c r="E607" i="7" s="1"/>
  <c r="D607" i="5"/>
  <c r="D607" i="7" s="1"/>
  <c r="C607" i="5"/>
  <c r="C607" i="7" s="1"/>
  <c r="B607" i="5"/>
  <c r="B607" i="7" s="1"/>
  <c r="L606" i="5"/>
  <c r="L606" i="7" s="1"/>
  <c r="J606" i="5"/>
  <c r="J606" i="7" s="1"/>
  <c r="I606" i="5"/>
  <c r="I606" i="7" s="1"/>
  <c r="H606" i="5"/>
  <c r="H606" i="7" s="1"/>
  <c r="G606" i="5"/>
  <c r="G606" i="7" s="1"/>
  <c r="F606" i="5"/>
  <c r="F606" i="7" s="1"/>
  <c r="E606" i="5"/>
  <c r="D606" i="5"/>
  <c r="D606" i="7" s="1"/>
  <c r="C606" i="5"/>
  <c r="C606" i="7" s="1"/>
  <c r="B606" i="5"/>
  <c r="B606" i="7" s="1"/>
  <c r="L605" i="5"/>
  <c r="L605" i="7" s="1"/>
  <c r="K605" i="5"/>
  <c r="K605" i="7" s="1"/>
  <c r="J605" i="5"/>
  <c r="J605" i="7" s="1"/>
  <c r="I605" i="5"/>
  <c r="I605" i="7" s="1"/>
  <c r="H605" i="5"/>
  <c r="H605" i="7" s="1"/>
  <c r="G605" i="5"/>
  <c r="G605" i="7" s="1"/>
  <c r="F605" i="5"/>
  <c r="F605" i="7" s="1"/>
  <c r="E605" i="5"/>
  <c r="E605" i="7" s="1"/>
  <c r="D605" i="5"/>
  <c r="D605" i="7" s="1"/>
  <c r="C605" i="5"/>
  <c r="C605" i="7" s="1"/>
  <c r="B605" i="5"/>
  <c r="B605" i="7" s="1"/>
  <c r="L604" i="5"/>
  <c r="L604" i="7" s="1"/>
  <c r="J604" i="5"/>
  <c r="J604" i="7" s="1"/>
  <c r="I604" i="5"/>
  <c r="I604" i="7" s="1"/>
  <c r="H604" i="5"/>
  <c r="H604" i="7" s="1"/>
  <c r="G604" i="5"/>
  <c r="G604" i="7" s="1"/>
  <c r="F604" i="5"/>
  <c r="F604" i="7" s="1"/>
  <c r="E604" i="5"/>
  <c r="E604" i="7" s="1"/>
  <c r="D604" i="5"/>
  <c r="D604" i="7" s="1"/>
  <c r="C604" i="5"/>
  <c r="C604" i="7" s="1"/>
  <c r="B604" i="5"/>
  <c r="B604" i="7" s="1"/>
  <c r="L603" i="5"/>
  <c r="L603" i="7" s="1"/>
  <c r="K603" i="5"/>
  <c r="K603" i="7" s="1"/>
  <c r="J603" i="5"/>
  <c r="J603" i="7" s="1"/>
  <c r="I603" i="5"/>
  <c r="I603" i="7" s="1"/>
  <c r="H603" i="5"/>
  <c r="H603" i="7" s="1"/>
  <c r="G603" i="5"/>
  <c r="G603" i="7" s="1"/>
  <c r="F603" i="5"/>
  <c r="F603" i="7" s="1"/>
  <c r="E603" i="5"/>
  <c r="E603" i="7" s="1"/>
  <c r="D603" i="5"/>
  <c r="D603" i="7" s="1"/>
  <c r="C603" i="5"/>
  <c r="C603" i="7" s="1"/>
  <c r="B603" i="5"/>
  <c r="B603" i="7" s="1"/>
  <c r="L602" i="5"/>
  <c r="L602" i="7" s="1"/>
  <c r="K602" i="5"/>
  <c r="K602" i="7" s="1"/>
  <c r="J602" i="5"/>
  <c r="J602" i="7" s="1"/>
  <c r="I602" i="5"/>
  <c r="I602" i="7" s="1"/>
  <c r="H602" i="5"/>
  <c r="H602" i="7" s="1"/>
  <c r="G602" i="5"/>
  <c r="G602" i="7" s="1"/>
  <c r="F602" i="5"/>
  <c r="F602" i="7" s="1"/>
  <c r="E602" i="5"/>
  <c r="E602" i="7" s="1"/>
  <c r="D602" i="5"/>
  <c r="D602" i="7" s="1"/>
  <c r="C602" i="5"/>
  <c r="C602" i="7" s="1"/>
  <c r="B602" i="5"/>
  <c r="B602" i="7" s="1"/>
  <c r="L601" i="5"/>
  <c r="L601" i="7" s="1"/>
  <c r="K601" i="5"/>
  <c r="K601" i="7" s="1"/>
  <c r="J601" i="5"/>
  <c r="J601" i="7" s="1"/>
  <c r="I601" i="5"/>
  <c r="I601" i="7" s="1"/>
  <c r="H601" i="5"/>
  <c r="H601" i="7" s="1"/>
  <c r="G601" i="5"/>
  <c r="G601" i="7" s="1"/>
  <c r="F601" i="5"/>
  <c r="F601" i="7" s="1"/>
  <c r="E601" i="5"/>
  <c r="E601" i="7" s="1"/>
  <c r="D601" i="5"/>
  <c r="D601" i="7" s="1"/>
  <c r="C601" i="5"/>
  <c r="C601" i="7" s="1"/>
  <c r="B601" i="5"/>
  <c r="B601" i="7" s="1"/>
  <c r="L600" i="5"/>
  <c r="L600" i="7" s="1"/>
  <c r="J600" i="5"/>
  <c r="J600" i="7" s="1"/>
  <c r="I600" i="5"/>
  <c r="I600" i="7" s="1"/>
  <c r="H600" i="5"/>
  <c r="H600" i="7" s="1"/>
  <c r="G600" i="5"/>
  <c r="G600" i="7" s="1"/>
  <c r="F600" i="5"/>
  <c r="F600" i="7" s="1"/>
  <c r="E600" i="5"/>
  <c r="D600" i="5"/>
  <c r="D600" i="7" s="1"/>
  <c r="C600" i="5"/>
  <c r="C600" i="7" s="1"/>
  <c r="B600" i="5"/>
  <c r="B600" i="7" s="1"/>
  <c r="L599" i="5"/>
  <c r="L599" i="7" s="1"/>
  <c r="J599" i="5"/>
  <c r="J599" i="7" s="1"/>
  <c r="I599" i="5"/>
  <c r="I599" i="7" s="1"/>
  <c r="H599" i="5"/>
  <c r="H599" i="7" s="1"/>
  <c r="G599" i="5"/>
  <c r="G599" i="7" s="1"/>
  <c r="F599" i="5"/>
  <c r="F599" i="7" s="1"/>
  <c r="E599" i="5"/>
  <c r="D599" i="5"/>
  <c r="D599" i="7" s="1"/>
  <c r="C599" i="5"/>
  <c r="C599" i="7" s="1"/>
  <c r="B599" i="5"/>
  <c r="B599" i="7" s="1"/>
  <c r="L598" i="5"/>
  <c r="L598" i="7" s="1"/>
  <c r="J598" i="5"/>
  <c r="J598" i="7" s="1"/>
  <c r="I598" i="5"/>
  <c r="I598" i="7" s="1"/>
  <c r="H598" i="5"/>
  <c r="H598" i="7" s="1"/>
  <c r="G598" i="5"/>
  <c r="G598" i="7" s="1"/>
  <c r="F598" i="5"/>
  <c r="F598" i="7" s="1"/>
  <c r="E598" i="5"/>
  <c r="E598" i="7" s="1"/>
  <c r="D598" i="5"/>
  <c r="D598" i="7" s="1"/>
  <c r="C598" i="5"/>
  <c r="C598" i="7" s="1"/>
  <c r="B598" i="5"/>
  <c r="B598" i="7" s="1"/>
  <c r="L597" i="5"/>
  <c r="L597" i="7" s="1"/>
  <c r="K597" i="5"/>
  <c r="K597" i="7" s="1"/>
  <c r="J597" i="5"/>
  <c r="J597" i="7" s="1"/>
  <c r="I597" i="5"/>
  <c r="I597" i="7" s="1"/>
  <c r="H597" i="5"/>
  <c r="H597" i="7" s="1"/>
  <c r="G597" i="5"/>
  <c r="G597" i="7" s="1"/>
  <c r="F597" i="5"/>
  <c r="F597" i="7" s="1"/>
  <c r="E597" i="5"/>
  <c r="E597" i="7" s="1"/>
  <c r="D597" i="5"/>
  <c r="D597" i="7" s="1"/>
  <c r="C597" i="5"/>
  <c r="C597" i="7" s="1"/>
  <c r="B597" i="5"/>
  <c r="B597" i="7" s="1"/>
  <c r="L596" i="5"/>
  <c r="L596" i="7" s="1"/>
  <c r="K596" i="5"/>
  <c r="K596" i="7" s="1"/>
  <c r="J596" i="5"/>
  <c r="J596" i="7" s="1"/>
  <c r="I596" i="5"/>
  <c r="I596" i="7" s="1"/>
  <c r="H596" i="5"/>
  <c r="H596" i="7" s="1"/>
  <c r="G596" i="5"/>
  <c r="G596" i="7" s="1"/>
  <c r="F596" i="5"/>
  <c r="F596" i="7" s="1"/>
  <c r="E596" i="5"/>
  <c r="E596" i="7" s="1"/>
  <c r="D596" i="5"/>
  <c r="D596" i="7" s="1"/>
  <c r="C596" i="5"/>
  <c r="C596" i="7" s="1"/>
  <c r="B596" i="5"/>
  <c r="B596" i="7" s="1"/>
  <c r="L595" i="5"/>
  <c r="L595" i="7" s="1"/>
  <c r="J595" i="5"/>
  <c r="J595" i="7" s="1"/>
  <c r="I595" i="5"/>
  <c r="I595" i="7" s="1"/>
  <c r="H595" i="5"/>
  <c r="H595" i="7" s="1"/>
  <c r="G595" i="5"/>
  <c r="G595" i="7" s="1"/>
  <c r="F595" i="5"/>
  <c r="F595" i="7" s="1"/>
  <c r="E595" i="5"/>
  <c r="D595" i="5"/>
  <c r="D595" i="7" s="1"/>
  <c r="C595" i="5"/>
  <c r="C595" i="7" s="1"/>
  <c r="B595" i="5"/>
  <c r="B595" i="7" s="1"/>
  <c r="L594" i="5"/>
  <c r="L594" i="7" s="1"/>
  <c r="K594" i="5"/>
  <c r="K594" i="7" s="1"/>
  <c r="J594" i="5"/>
  <c r="J594" i="7" s="1"/>
  <c r="I594" i="5"/>
  <c r="I594" i="7" s="1"/>
  <c r="H594" i="5"/>
  <c r="H594" i="7" s="1"/>
  <c r="G594" i="5"/>
  <c r="G594" i="7" s="1"/>
  <c r="F594" i="5"/>
  <c r="F594" i="7" s="1"/>
  <c r="E594" i="5"/>
  <c r="E594" i="7" s="1"/>
  <c r="D594" i="5"/>
  <c r="D594" i="7" s="1"/>
  <c r="C594" i="5"/>
  <c r="C594" i="7" s="1"/>
  <c r="B594" i="5"/>
  <c r="B594" i="7" s="1"/>
  <c r="L593" i="5"/>
  <c r="L593" i="7" s="1"/>
  <c r="K593" i="5"/>
  <c r="K593" i="7" s="1"/>
  <c r="J593" i="5"/>
  <c r="J593" i="7" s="1"/>
  <c r="I593" i="5"/>
  <c r="I593" i="7" s="1"/>
  <c r="H593" i="5"/>
  <c r="H593" i="7" s="1"/>
  <c r="G593" i="5"/>
  <c r="G593" i="7" s="1"/>
  <c r="F593" i="5"/>
  <c r="F593" i="7" s="1"/>
  <c r="E593" i="5"/>
  <c r="E593" i="7" s="1"/>
  <c r="D593" i="5"/>
  <c r="D593" i="7" s="1"/>
  <c r="C593" i="5"/>
  <c r="C593" i="7" s="1"/>
  <c r="B593" i="5"/>
  <c r="B593" i="7" s="1"/>
  <c r="L592" i="5"/>
  <c r="L592" i="7" s="1"/>
  <c r="J592" i="5"/>
  <c r="J592" i="7" s="1"/>
  <c r="I592" i="5"/>
  <c r="I592" i="7" s="1"/>
  <c r="H592" i="5"/>
  <c r="H592" i="7" s="1"/>
  <c r="G592" i="5"/>
  <c r="G592" i="7" s="1"/>
  <c r="F592" i="5"/>
  <c r="F592" i="7" s="1"/>
  <c r="E592" i="5"/>
  <c r="D592" i="5"/>
  <c r="D592" i="7" s="1"/>
  <c r="C592" i="5"/>
  <c r="C592" i="7" s="1"/>
  <c r="B592" i="5"/>
  <c r="B592" i="7" s="1"/>
  <c r="L591" i="5"/>
  <c r="L591" i="7" s="1"/>
  <c r="K591" i="5"/>
  <c r="K591" i="7" s="1"/>
  <c r="J591" i="5"/>
  <c r="J591" i="7" s="1"/>
  <c r="I591" i="5"/>
  <c r="I591" i="7" s="1"/>
  <c r="H591" i="5"/>
  <c r="H591" i="7" s="1"/>
  <c r="G591" i="5"/>
  <c r="G591" i="7" s="1"/>
  <c r="F591" i="5"/>
  <c r="F591" i="7" s="1"/>
  <c r="E591" i="5"/>
  <c r="E591" i="7" s="1"/>
  <c r="D591" i="5"/>
  <c r="D591" i="7" s="1"/>
  <c r="C591" i="5"/>
  <c r="C591" i="7" s="1"/>
  <c r="B591" i="5"/>
  <c r="B591" i="7" s="1"/>
  <c r="L590" i="5"/>
  <c r="L590" i="7" s="1"/>
  <c r="J590" i="5"/>
  <c r="J590" i="7" s="1"/>
  <c r="I590" i="5"/>
  <c r="I590" i="7" s="1"/>
  <c r="H590" i="5"/>
  <c r="H590" i="7" s="1"/>
  <c r="G590" i="5"/>
  <c r="G590" i="7" s="1"/>
  <c r="F590" i="5"/>
  <c r="F590" i="7" s="1"/>
  <c r="E590" i="5"/>
  <c r="E590" i="7" s="1"/>
  <c r="D590" i="5"/>
  <c r="D590" i="7" s="1"/>
  <c r="C590" i="5"/>
  <c r="C590" i="7" s="1"/>
  <c r="B590" i="5"/>
  <c r="B590" i="7" s="1"/>
  <c r="L589" i="5"/>
  <c r="L589" i="7" s="1"/>
  <c r="K589" i="5"/>
  <c r="K589" i="7" s="1"/>
  <c r="J589" i="5"/>
  <c r="J589" i="7" s="1"/>
  <c r="I589" i="5"/>
  <c r="I589" i="7" s="1"/>
  <c r="H589" i="5"/>
  <c r="H589" i="7" s="1"/>
  <c r="G589" i="5"/>
  <c r="G589" i="7" s="1"/>
  <c r="F589" i="5"/>
  <c r="F589" i="7" s="1"/>
  <c r="E589" i="5"/>
  <c r="E589" i="7" s="1"/>
  <c r="D589" i="5"/>
  <c r="D589" i="7" s="1"/>
  <c r="C589" i="5"/>
  <c r="C589" i="7" s="1"/>
  <c r="B589" i="5"/>
  <c r="B589" i="7" s="1"/>
  <c r="L588" i="5"/>
  <c r="L588" i="7" s="1"/>
  <c r="K588" i="5"/>
  <c r="K588" i="7" s="1"/>
  <c r="J588" i="5"/>
  <c r="J588" i="7" s="1"/>
  <c r="I588" i="5"/>
  <c r="I588" i="7" s="1"/>
  <c r="H588" i="5"/>
  <c r="H588" i="7" s="1"/>
  <c r="G588" i="5"/>
  <c r="G588" i="7" s="1"/>
  <c r="F588" i="5"/>
  <c r="F588" i="7" s="1"/>
  <c r="E588" i="5"/>
  <c r="E588" i="7" s="1"/>
  <c r="D588" i="5"/>
  <c r="D588" i="7" s="1"/>
  <c r="C588" i="5"/>
  <c r="C588" i="7" s="1"/>
  <c r="B588" i="5"/>
  <c r="B588" i="7" s="1"/>
  <c r="L587" i="5"/>
  <c r="L587" i="7" s="1"/>
  <c r="K587" i="5"/>
  <c r="K587" i="7" s="1"/>
  <c r="J587" i="5"/>
  <c r="J587" i="7" s="1"/>
  <c r="I587" i="5"/>
  <c r="I587" i="7" s="1"/>
  <c r="H587" i="5"/>
  <c r="H587" i="7" s="1"/>
  <c r="G587" i="5"/>
  <c r="G587" i="7" s="1"/>
  <c r="F587" i="5"/>
  <c r="F587" i="7" s="1"/>
  <c r="E587" i="5"/>
  <c r="E587" i="7" s="1"/>
  <c r="D587" i="5"/>
  <c r="D587" i="7" s="1"/>
  <c r="C587" i="5"/>
  <c r="C587" i="7" s="1"/>
  <c r="B587" i="5"/>
  <c r="B587" i="7" s="1"/>
  <c r="L586" i="5"/>
  <c r="L586" i="7" s="1"/>
  <c r="J586" i="5"/>
  <c r="J586" i="7" s="1"/>
  <c r="I586" i="5"/>
  <c r="I586" i="7" s="1"/>
  <c r="H586" i="5"/>
  <c r="H586" i="7" s="1"/>
  <c r="G586" i="5"/>
  <c r="G586" i="7" s="1"/>
  <c r="F586" i="5"/>
  <c r="F586" i="7" s="1"/>
  <c r="E586" i="5"/>
  <c r="D586" i="5"/>
  <c r="D586" i="7" s="1"/>
  <c r="C586" i="5"/>
  <c r="C586" i="7" s="1"/>
  <c r="B586" i="5"/>
  <c r="B586" i="7" s="1"/>
  <c r="L585" i="5"/>
  <c r="L585" i="7" s="1"/>
  <c r="J585" i="5"/>
  <c r="J585" i="7" s="1"/>
  <c r="I585" i="5"/>
  <c r="I585" i="7" s="1"/>
  <c r="H585" i="5"/>
  <c r="H585" i="7" s="1"/>
  <c r="G585" i="5"/>
  <c r="G585" i="7" s="1"/>
  <c r="F585" i="5"/>
  <c r="F585" i="7" s="1"/>
  <c r="E585" i="5"/>
  <c r="D585" i="5"/>
  <c r="D585" i="7" s="1"/>
  <c r="C585" i="5"/>
  <c r="C585" i="7" s="1"/>
  <c r="B585" i="5"/>
  <c r="B585" i="7" s="1"/>
  <c r="L584" i="5"/>
  <c r="L584" i="7" s="1"/>
  <c r="J584" i="5"/>
  <c r="J584" i="7" s="1"/>
  <c r="I584" i="5"/>
  <c r="I584" i="7" s="1"/>
  <c r="H584" i="5"/>
  <c r="H584" i="7" s="1"/>
  <c r="G584" i="5"/>
  <c r="G584" i="7" s="1"/>
  <c r="F584" i="5"/>
  <c r="F584" i="7" s="1"/>
  <c r="E584" i="5"/>
  <c r="E584" i="7" s="1"/>
  <c r="D584" i="5"/>
  <c r="D584" i="7" s="1"/>
  <c r="C584" i="5"/>
  <c r="C584" i="7" s="1"/>
  <c r="B584" i="5"/>
  <c r="B584" i="7" s="1"/>
  <c r="L583" i="5"/>
  <c r="L583" i="7" s="1"/>
  <c r="K583" i="5"/>
  <c r="K583" i="7" s="1"/>
  <c r="J583" i="5"/>
  <c r="J583" i="7" s="1"/>
  <c r="I583" i="5"/>
  <c r="I583" i="7" s="1"/>
  <c r="H583" i="5"/>
  <c r="H583" i="7" s="1"/>
  <c r="G583" i="5"/>
  <c r="G583" i="7" s="1"/>
  <c r="F583" i="5"/>
  <c r="F583" i="7" s="1"/>
  <c r="E583" i="5"/>
  <c r="E583" i="7" s="1"/>
  <c r="D583" i="5"/>
  <c r="D583" i="7" s="1"/>
  <c r="C583" i="5"/>
  <c r="C583" i="7" s="1"/>
  <c r="B583" i="5"/>
  <c r="B583" i="7" s="1"/>
  <c r="L582" i="5"/>
  <c r="L582" i="7" s="1"/>
  <c r="K582" i="5"/>
  <c r="K582" i="7" s="1"/>
  <c r="J582" i="5"/>
  <c r="J582" i="7" s="1"/>
  <c r="I582" i="5"/>
  <c r="I582" i="7" s="1"/>
  <c r="H582" i="5"/>
  <c r="H582" i="7" s="1"/>
  <c r="G582" i="5"/>
  <c r="G582" i="7" s="1"/>
  <c r="F582" i="5"/>
  <c r="F582" i="7" s="1"/>
  <c r="E582" i="5"/>
  <c r="E582" i="7" s="1"/>
  <c r="D582" i="5"/>
  <c r="D582" i="7" s="1"/>
  <c r="C582" i="5"/>
  <c r="C582" i="7" s="1"/>
  <c r="B582" i="5"/>
  <c r="B582" i="7" s="1"/>
  <c r="L581" i="5"/>
  <c r="L581" i="7" s="1"/>
  <c r="J581" i="5"/>
  <c r="J581" i="7" s="1"/>
  <c r="I581" i="5"/>
  <c r="I581" i="7" s="1"/>
  <c r="H581" i="5"/>
  <c r="H581" i="7" s="1"/>
  <c r="G581" i="5"/>
  <c r="G581" i="7" s="1"/>
  <c r="F581" i="5"/>
  <c r="F581" i="7" s="1"/>
  <c r="E581" i="5"/>
  <c r="D581" i="5"/>
  <c r="D581" i="7" s="1"/>
  <c r="C581" i="5"/>
  <c r="C581" i="7" s="1"/>
  <c r="B581" i="5"/>
  <c r="B581" i="7" s="1"/>
  <c r="L580" i="5"/>
  <c r="L580" i="7" s="1"/>
  <c r="J580" i="5"/>
  <c r="J580" i="7" s="1"/>
  <c r="I580" i="5"/>
  <c r="I580" i="7" s="1"/>
  <c r="H580" i="5"/>
  <c r="H580" i="7" s="1"/>
  <c r="G580" i="5"/>
  <c r="G580" i="7" s="1"/>
  <c r="F580" i="5"/>
  <c r="F580" i="7" s="1"/>
  <c r="E580" i="5"/>
  <c r="E580" i="7" s="1"/>
  <c r="D580" i="5"/>
  <c r="D580" i="7" s="1"/>
  <c r="C580" i="5"/>
  <c r="C580" i="7" s="1"/>
  <c r="B580" i="5"/>
  <c r="B580" i="7" s="1"/>
  <c r="L579" i="5"/>
  <c r="L579" i="7" s="1"/>
  <c r="K579" i="5"/>
  <c r="K579" i="7" s="1"/>
  <c r="J579" i="5"/>
  <c r="J579" i="7" s="1"/>
  <c r="I579" i="5"/>
  <c r="I579" i="7" s="1"/>
  <c r="H579" i="5"/>
  <c r="H579" i="7" s="1"/>
  <c r="G579" i="5"/>
  <c r="G579" i="7" s="1"/>
  <c r="F579" i="5"/>
  <c r="F579" i="7" s="1"/>
  <c r="E579" i="5"/>
  <c r="E579" i="7" s="1"/>
  <c r="D579" i="5"/>
  <c r="D579" i="7" s="1"/>
  <c r="C579" i="5"/>
  <c r="C579" i="7" s="1"/>
  <c r="B579" i="5"/>
  <c r="B579" i="7" s="1"/>
  <c r="L578" i="5"/>
  <c r="L578" i="7" s="1"/>
  <c r="J578" i="5"/>
  <c r="J578" i="7" s="1"/>
  <c r="I578" i="5"/>
  <c r="I578" i="7" s="1"/>
  <c r="H578" i="5"/>
  <c r="H578" i="7" s="1"/>
  <c r="G578" i="5"/>
  <c r="G578" i="7" s="1"/>
  <c r="F578" i="5"/>
  <c r="F578" i="7" s="1"/>
  <c r="E578" i="5"/>
  <c r="D578" i="5"/>
  <c r="D578" i="7" s="1"/>
  <c r="C578" i="5"/>
  <c r="C578" i="7" s="1"/>
  <c r="B578" i="5"/>
  <c r="B578" i="7" s="1"/>
  <c r="L577" i="5"/>
  <c r="L577" i="7" s="1"/>
  <c r="K577" i="5"/>
  <c r="K577" i="7" s="1"/>
  <c r="J577" i="5"/>
  <c r="J577" i="7" s="1"/>
  <c r="I577" i="5"/>
  <c r="I577" i="7" s="1"/>
  <c r="H577" i="5"/>
  <c r="H577" i="7" s="1"/>
  <c r="G577" i="5"/>
  <c r="G577" i="7" s="1"/>
  <c r="F577" i="5"/>
  <c r="F577" i="7" s="1"/>
  <c r="E577" i="5"/>
  <c r="E577" i="7" s="1"/>
  <c r="D577" i="5"/>
  <c r="D577" i="7" s="1"/>
  <c r="C577" i="5"/>
  <c r="C577" i="7" s="1"/>
  <c r="B577" i="5"/>
  <c r="B577" i="7" s="1"/>
  <c r="L576" i="5"/>
  <c r="L576" i="7" s="1"/>
  <c r="J576" i="5"/>
  <c r="J576" i="7" s="1"/>
  <c r="I576" i="5"/>
  <c r="I576" i="7" s="1"/>
  <c r="H576" i="5"/>
  <c r="H576" i="7" s="1"/>
  <c r="G576" i="5"/>
  <c r="G576" i="7" s="1"/>
  <c r="F576" i="5"/>
  <c r="F576" i="7" s="1"/>
  <c r="E576" i="5"/>
  <c r="E576" i="7" s="1"/>
  <c r="D576" i="5"/>
  <c r="D576" i="7" s="1"/>
  <c r="C576" i="5"/>
  <c r="C576" i="7" s="1"/>
  <c r="B576" i="5"/>
  <c r="B576" i="7" s="1"/>
  <c r="L575" i="5"/>
  <c r="L575" i="7" s="1"/>
  <c r="K575" i="5"/>
  <c r="K575" i="7" s="1"/>
  <c r="J575" i="5"/>
  <c r="J575" i="7" s="1"/>
  <c r="I575" i="5"/>
  <c r="I575" i="7" s="1"/>
  <c r="H575" i="5"/>
  <c r="H575" i="7" s="1"/>
  <c r="G575" i="5"/>
  <c r="G575" i="7" s="1"/>
  <c r="F575" i="5"/>
  <c r="F575" i="7" s="1"/>
  <c r="E575" i="5"/>
  <c r="E575" i="7" s="1"/>
  <c r="D575" i="5"/>
  <c r="D575" i="7" s="1"/>
  <c r="C575" i="5"/>
  <c r="C575" i="7" s="1"/>
  <c r="B575" i="5"/>
  <c r="B575" i="7" s="1"/>
  <c r="L574" i="5"/>
  <c r="L574" i="7" s="1"/>
  <c r="K574" i="5"/>
  <c r="K574" i="7" s="1"/>
  <c r="J574" i="5"/>
  <c r="J574" i="7" s="1"/>
  <c r="I574" i="5"/>
  <c r="I574" i="7" s="1"/>
  <c r="H574" i="5"/>
  <c r="H574" i="7" s="1"/>
  <c r="G574" i="5"/>
  <c r="G574" i="7" s="1"/>
  <c r="F574" i="5"/>
  <c r="F574" i="7" s="1"/>
  <c r="E574" i="5"/>
  <c r="E574" i="7" s="1"/>
  <c r="D574" i="5"/>
  <c r="D574" i="7" s="1"/>
  <c r="C574" i="5"/>
  <c r="C574" i="7" s="1"/>
  <c r="B574" i="5"/>
  <c r="B574" i="7" s="1"/>
  <c r="L573" i="5"/>
  <c r="L573" i="7" s="1"/>
  <c r="K573" i="5"/>
  <c r="K573" i="7" s="1"/>
  <c r="J573" i="5"/>
  <c r="J573" i="7" s="1"/>
  <c r="I573" i="5"/>
  <c r="I573" i="7" s="1"/>
  <c r="H573" i="5"/>
  <c r="H573" i="7" s="1"/>
  <c r="G573" i="5"/>
  <c r="G573" i="7" s="1"/>
  <c r="F573" i="5"/>
  <c r="F573" i="7" s="1"/>
  <c r="E573" i="5"/>
  <c r="E573" i="7" s="1"/>
  <c r="D573" i="5"/>
  <c r="D573" i="7" s="1"/>
  <c r="C573" i="5"/>
  <c r="C573" i="7" s="1"/>
  <c r="B573" i="5"/>
  <c r="B573" i="7" s="1"/>
  <c r="L572" i="5"/>
  <c r="L572" i="7" s="1"/>
  <c r="J572" i="5"/>
  <c r="J572" i="7" s="1"/>
  <c r="I572" i="5"/>
  <c r="I572" i="7" s="1"/>
  <c r="H572" i="5"/>
  <c r="H572" i="7" s="1"/>
  <c r="G572" i="5"/>
  <c r="G572" i="7" s="1"/>
  <c r="F572" i="5"/>
  <c r="F572" i="7" s="1"/>
  <c r="E572" i="5"/>
  <c r="D572" i="5"/>
  <c r="D572" i="7" s="1"/>
  <c r="C572" i="5"/>
  <c r="C572" i="7" s="1"/>
  <c r="B572" i="5"/>
  <c r="B572" i="7" s="1"/>
  <c r="L571" i="5"/>
  <c r="L571" i="7" s="1"/>
  <c r="J571" i="5"/>
  <c r="J571" i="7" s="1"/>
  <c r="I571" i="5"/>
  <c r="I571" i="7" s="1"/>
  <c r="H571" i="5"/>
  <c r="H571" i="7" s="1"/>
  <c r="G571" i="5"/>
  <c r="G571" i="7" s="1"/>
  <c r="F571" i="5"/>
  <c r="F571" i="7" s="1"/>
  <c r="E571" i="5"/>
  <c r="D571" i="5"/>
  <c r="D571" i="7" s="1"/>
  <c r="C571" i="5"/>
  <c r="C571" i="7" s="1"/>
  <c r="B571" i="5"/>
  <c r="B571" i="7" s="1"/>
  <c r="L570" i="5"/>
  <c r="L570" i="7" s="1"/>
  <c r="J570" i="5"/>
  <c r="J570" i="7" s="1"/>
  <c r="I570" i="5"/>
  <c r="I570" i="7" s="1"/>
  <c r="H570" i="5"/>
  <c r="H570" i="7" s="1"/>
  <c r="G570" i="5"/>
  <c r="G570" i="7" s="1"/>
  <c r="F570" i="5"/>
  <c r="F570" i="7" s="1"/>
  <c r="E570" i="5"/>
  <c r="E570" i="7" s="1"/>
  <c r="D570" i="5"/>
  <c r="D570" i="7" s="1"/>
  <c r="C570" i="5"/>
  <c r="C570" i="7" s="1"/>
  <c r="B570" i="5"/>
  <c r="B570" i="7" s="1"/>
  <c r="L569" i="5"/>
  <c r="L569" i="7" s="1"/>
  <c r="K569" i="5"/>
  <c r="K569" i="7" s="1"/>
  <c r="J569" i="5"/>
  <c r="J569" i="7" s="1"/>
  <c r="I569" i="5"/>
  <c r="I569" i="7" s="1"/>
  <c r="H569" i="5"/>
  <c r="H569" i="7" s="1"/>
  <c r="G569" i="5"/>
  <c r="G569" i="7" s="1"/>
  <c r="F569" i="5"/>
  <c r="F569" i="7" s="1"/>
  <c r="E569" i="5"/>
  <c r="E569" i="7" s="1"/>
  <c r="D569" i="5"/>
  <c r="D569" i="7" s="1"/>
  <c r="C569" i="5"/>
  <c r="C569" i="7" s="1"/>
  <c r="B569" i="5"/>
  <c r="B569" i="7" s="1"/>
  <c r="L568" i="5"/>
  <c r="L568" i="7" s="1"/>
  <c r="K568" i="5"/>
  <c r="K568" i="7" s="1"/>
  <c r="J568" i="5"/>
  <c r="J568" i="7" s="1"/>
  <c r="I568" i="5"/>
  <c r="I568" i="7" s="1"/>
  <c r="H568" i="5"/>
  <c r="H568" i="7" s="1"/>
  <c r="G568" i="5"/>
  <c r="G568" i="7" s="1"/>
  <c r="F568" i="5"/>
  <c r="F568" i="7" s="1"/>
  <c r="E568" i="5"/>
  <c r="E568" i="7" s="1"/>
  <c r="D568" i="5"/>
  <c r="D568" i="7" s="1"/>
  <c r="C568" i="5"/>
  <c r="C568" i="7" s="1"/>
  <c r="B568" i="5"/>
  <c r="B568" i="7" s="1"/>
  <c r="L567" i="5"/>
  <c r="L567" i="7" s="1"/>
  <c r="J567" i="5"/>
  <c r="J567" i="7" s="1"/>
  <c r="I567" i="5"/>
  <c r="I567" i="7" s="1"/>
  <c r="H567" i="5"/>
  <c r="H567" i="7" s="1"/>
  <c r="G567" i="5"/>
  <c r="G567" i="7" s="1"/>
  <c r="F567" i="5"/>
  <c r="F567" i="7" s="1"/>
  <c r="E567" i="5"/>
  <c r="D567" i="5"/>
  <c r="D567" i="7" s="1"/>
  <c r="C567" i="5"/>
  <c r="C567" i="7" s="1"/>
  <c r="B567" i="5"/>
  <c r="B567" i="7" s="1"/>
  <c r="L566" i="5"/>
  <c r="L566" i="7" s="1"/>
  <c r="K566" i="5"/>
  <c r="K566" i="7" s="1"/>
  <c r="J566" i="5"/>
  <c r="J566" i="7" s="1"/>
  <c r="I566" i="5"/>
  <c r="I566" i="7" s="1"/>
  <c r="H566" i="5"/>
  <c r="H566" i="7" s="1"/>
  <c r="G566" i="5"/>
  <c r="G566" i="7" s="1"/>
  <c r="F566" i="5"/>
  <c r="F566" i="7" s="1"/>
  <c r="E566" i="5"/>
  <c r="E566" i="7" s="1"/>
  <c r="D566" i="5"/>
  <c r="D566" i="7" s="1"/>
  <c r="C566" i="5"/>
  <c r="C566" i="7" s="1"/>
  <c r="B566" i="5"/>
  <c r="B566" i="7" s="1"/>
  <c r="L565" i="5"/>
  <c r="L565" i="7" s="1"/>
  <c r="K565" i="5"/>
  <c r="K565" i="7" s="1"/>
  <c r="J565" i="5"/>
  <c r="J565" i="7" s="1"/>
  <c r="I565" i="5"/>
  <c r="I565" i="7" s="1"/>
  <c r="H565" i="5"/>
  <c r="H565" i="7" s="1"/>
  <c r="G565" i="5"/>
  <c r="G565" i="7" s="1"/>
  <c r="F565" i="5"/>
  <c r="F565" i="7" s="1"/>
  <c r="E565" i="5"/>
  <c r="E565" i="7" s="1"/>
  <c r="D565" i="5"/>
  <c r="D565" i="7" s="1"/>
  <c r="C565" i="5"/>
  <c r="C565" i="7" s="1"/>
  <c r="B565" i="5"/>
  <c r="B565" i="7" s="1"/>
  <c r="L564" i="5"/>
  <c r="L564" i="7" s="1"/>
  <c r="J564" i="5"/>
  <c r="J564" i="7" s="1"/>
  <c r="I564" i="5"/>
  <c r="I564" i="7" s="1"/>
  <c r="H564" i="5"/>
  <c r="H564" i="7" s="1"/>
  <c r="G564" i="5"/>
  <c r="G564" i="7" s="1"/>
  <c r="F564" i="5"/>
  <c r="F564" i="7" s="1"/>
  <c r="E564" i="5"/>
  <c r="D564" i="5"/>
  <c r="D564" i="7" s="1"/>
  <c r="C564" i="5"/>
  <c r="C564" i="7" s="1"/>
  <c r="B564" i="5"/>
  <c r="B564" i="7" s="1"/>
  <c r="L563" i="5"/>
  <c r="L563" i="7" s="1"/>
  <c r="K563" i="5"/>
  <c r="K563" i="7" s="1"/>
  <c r="J563" i="5"/>
  <c r="J563" i="7" s="1"/>
  <c r="I563" i="5"/>
  <c r="I563" i="7" s="1"/>
  <c r="H563" i="5"/>
  <c r="H563" i="7" s="1"/>
  <c r="G563" i="5"/>
  <c r="G563" i="7" s="1"/>
  <c r="F563" i="5"/>
  <c r="F563" i="7" s="1"/>
  <c r="E563" i="5"/>
  <c r="E563" i="7" s="1"/>
  <c r="D563" i="5"/>
  <c r="D563" i="7" s="1"/>
  <c r="C563" i="5"/>
  <c r="C563" i="7" s="1"/>
  <c r="B563" i="5"/>
  <c r="B563" i="7" s="1"/>
  <c r="L562" i="5"/>
  <c r="L562" i="7" s="1"/>
  <c r="J562" i="5"/>
  <c r="J562" i="7" s="1"/>
  <c r="I562" i="5"/>
  <c r="I562" i="7" s="1"/>
  <c r="H562" i="5"/>
  <c r="H562" i="7" s="1"/>
  <c r="G562" i="5"/>
  <c r="G562" i="7" s="1"/>
  <c r="F562" i="5"/>
  <c r="F562" i="7" s="1"/>
  <c r="E562" i="5"/>
  <c r="E562" i="7" s="1"/>
  <c r="D562" i="5"/>
  <c r="D562" i="7" s="1"/>
  <c r="C562" i="5"/>
  <c r="C562" i="7" s="1"/>
  <c r="B562" i="5"/>
  <c r="B562" i="7" s="1"/>
  <c r="L561" i="5"/>
  <c r="L561" i="7" s="1"/>
  <c r="K561" i="5"/>
  <c r="K561" i="7" s="1"/>
  <c r="J561" i="5"/>
  <c r="J561" i="7" s="1"/>
  <c r="I561" i="5"/>
  <c r="I561" i="7" s="1"/>
  <c r="H561" i="5"/>
  <c r="H561" i="7" s="1"/>
  <c r="G561" i="5"/>
  <c r="G561" i="7" s="1"/>
  <c r="F561" i="5"/>
  <c r="F561" i="7" s="1"/>
  <c r="E561" i="5"/>
  <c r="E561" i="7" s="1"/>
  <c r="D561" i="5"/>
  <c r="D561" i="7" s="1"/>
  <c r="C561" i="5"/>
  <c r="C561" i="7" s="1"/>
  <c r="B561" i="5"/>
  <c r="B561" i="7" s="1"/>
  <c r="L560" i="5"/>
  <c r="L560" i="7" s="1"/>
  <c r="K560" i="5"/>
  <c r="K560" i="7" s="1"/>
  <c r="J560" i="5"/>
  <c r="J560" i="7" s="1"/>
  <c r="I560" i="5"/>
  <c r="I560" i="7" s="1"/>
  <c r="H560" i="5"/>
  <c r="H560" i="7" s="1"/>
  <c r="G560" i="5"/>
  <c r="G560" i="7" s="1"/>
  <c r="F560" i="5"/>
  <c r="F560" i="7" s="1"/>
  <c r="E560" i="5"/>
  <c r="E560" i="7" s="1"/>
  <c r="D560" i="5"/>
  <c r="D560" i="7" s="1"/>
  <c r="C560" i="5"/>
  <c r="C560" i="7" s="1"/>
  <c r="B560" i="5"/>
  <c r="B560" i="7" s="1"/>
  <c r="L559" i="5"/>
  <c r="L559" i="7" s="1"/>
  <c r="J559" i="5"/>
  <c r="J559" i="7" s="1"/>
  <c r="I559" i="5"/>
  <c r="I559" i="7" s="1"/>
  <c r="H559" i="5"/>
  <c r="H559" i="7" s="1"/>
  <c r="G559" i="5"/>
  <c r="G559" i="7" s="1"/>
  <c r="F559" i="5"/>
  <c r="F559" i="7" s="1"/>
  <c r="E559" i="5"/>
  <c r="E559" i="7" s="1"/>
  <c r="D559" i="5"/>
  <c r="D559" i="7" s="1"/>
  <c r="C559" i="5"/>
  <c r="C559" i="7" s="1"/>
  <c r="B559" i="5"/>
  <c r="B559" i="7" s="1"/>
  <c r="L558" i="5"/>
  <c r="L558" i="7" s="1"/>
  <c r="J558" i="5"/>
  <c r="J558" i="7" s="1"/>
  <c r="I558" i="5"/>
  <c r="I558" i="7" s="1"/>
  <c r="H558" i="5"/>
  <c r="H558" i="7" s="1"/>
  <c r="G558" i="5"/>
  <c r="G558" i="7" s="1"/>
  <c r="F558" i="5"/>
  <c r="F558" i="7" s="1"/>
  <c r="E558" i="5"/>
  <c r="D558" i="5"/>
  <c r="D558" i="7" s="1"/>
  <c r="C558" i="5"/>
  <c r="C558" i="7" s="1"/>
  <c r="B558" i="5"/>
  <c r="B558" i="7" s="1"/>
  <c r="L557" i="5"/>
  <c r="L557" i="7" s="1"/>
  <c r="J557" i="5"/>
  <c r="J557" i="7" s="1"/>
  <c r="I557" i="5"/>
  <c r="I557" i="7" s="1"/>
  <c r="H557" i="5"/>
  <c r="H557" i="7" s="1"/>
  <c r="G557" i="5"/>
  <c r="G557" i="7" s="1"/>
  <c r="F557" i="5"/>
  <c r="F557" i="7" s="1"/>
  <c r="E557" i="5"/>
  <c r="D557" i="5"/>
  <c r="D557" i="7" s="1"/>
  <c r="C557" i="5"/>
  <c r="C557" i="7" s="1"/>
  <c r="B557" i="5"/>
  <c r="B557" i="7" s="1"/>
  <c r="L556" i="5"/>
  <c r="L556" i="7" s="1"/>
  <c r="J556" i="5"/>
  <c r="J556" i="7" s="1"/>
  <c r="I556" i="5"/>
  <c r="I556" i="7" s="1"/>
  <c r="H556" i="5"/>
  <c r="H556" i="7" s="1"/>
  <c r="G556" i="5"/>
  <c r="G556" i="7" s="1"/>
  <c r="F556" i="5"/>
  <c r="F556" i="7" s="1"/>
  <c r="E556" i="5"/>
  <c r="E556" i="7" s="1"/>
  <c r="D556" i="5"/>
  <c r="D556" i="7" s="1"/>
  <c r="C556" i="5"/>
  <c r="C556" i="7" s="1"/>
  <c r="B556" i="5"/>
  <c r="B556" i="7" s="1"/>
  <c r="L555" i="5"/>
  <c r="L555" i="7" s="1"/>
  <c r="K555" i="5"/>
  <c r="K555" i="7" s="1"/>
  <c r="J555" i="5"/>
  <c r="J555" i="7" s="1"/>
  <c r="I555" i="5"/>
  <c r="I555" i="7" s="1"/>
  <c r="H555" i="5"/>
  <c r="H555" i="7" s="1"/>
  <c r="G555" i="5"/>
  <c r="G555" i="7" s="1"/>
  <c r="F555" i="5"/>
  <c r="F555" i="7" s="1"/>
  <c r="E555" i="5"/>
  <c r="E555" i="7" s="1"/>
  <c r="D555" i="5"/>
  <c r="D555" i="7" s="1"/>
  <c r="C555" i="5"/>
  <c r="C555" i="7" s="1"/>
  <c r="B555" i="5"/>
  <c r="B555" i="7" s="1"/>
  <c r="L554" i="5"/>
  <c r="L554" i="7" s="1"/>
  <c r="K554" i="5"/>
  <c r="K554" i="7" s="1"/>
  <c r="J554" i="5"/>
  <c r="J554" i="7" s="1"/>
  <c r="I554" i="5"/>
  <c r="I554" i="7" s="1"/>
  <c r="H554" i="5"/>
  <c r="H554" i="7" s="1"/>
  <c r="G554" i="5"/>
  <c r="G554" i="7" s="1"/>
  <c r="F554" i="5"/>
  <c r="F554" i="7" s="1"/>
  <c r="E554" i="5"/>
  <c r="E554" i="7" s="1"/>
  <c r="D554" i="5"/>
  <c r="D554" i="7" s="1"/>
  <c r="C554" i="5"/>
  <c r="C554" i="7" s="1"/>
  <c r="B554" i="5"/>
  <c r="B554" i="7" s="1"/>
  <c r="L553" i="5"/>
  <c r="L553" i="7" s="1"/>
  <c r="J553" i="5"/>
  <c r="J553" i="7" s="1"/>
  <c r="I553" i="5"/>
  <c r="I553" i="7" s="1"/>
  <c r="H553" i="5"/>
  <c r="H553" i="7" s="1"/>
  <c r="G553" i="5"/>
  <c r="G553" i="7" s="1"/>
  <c r="F553" i="5"/>
  <c r="F553" i="7" s="1"/>
  <c r="E553" i="5"/>
  <c r="D553" i="5"/>
  <c r="D553" i="7" s="1"/>
  <c r="C553" i="5"/>
  <c r="C553" i="7" s="1"/>
  <c r="B553" i="5"/>
  <c r="B553" i="7" s="1"/>
  <c r="L552" i="5"/>
  <c r="L552" i="7" s="1"/>
  <c r="K552" i="5"/>
  <c r="K552" i="7" s="1"/>
  <c r="J552" i="5"/>
  <c r="J552" i="7" s="1"/>
  <c r="I552" i="5"/>
  <c r="I552" i="7" s="1"/>
  <c r="H552" i="5"/>
  <c r="H552" i="7" s="1"/>
  <c r="G552" i="5"/>
  <c r="G552" i="7" s="1"/>
  <c r="F552" i="5"/>
  <c r="F552" i="7" s="1"/>
  <c r="E552" i="5"/>
  <c r="E552" i="7" s="1"/>
  <c r="D552" i="5"/>
  <c r="D552" i="7" s="1"/>
  <c r="C552" i="5"/>
  <c r="C552" i="7" s="1"/>
  <c r="B552" i="5"/>
  <c r="B552" i="7" s="1"/>
  <c r="L551" i="5"/>
  <c r="L551" i="7" s="1"/>
  <c r="K551" i="5"/>
  <c r="K551" i="7" s="1"/>
  <c r="J551" i="5"/>
  <c r="J551" i="7" s="1"/>
  <c r="I551" i="5"/>
  <c r="I551" i="7" s="1"/>
  <c r="H551" i="5"/>
  <c r="H551" i="7" s="1"/>
  <c r="G551" i="5"/>
  <c r="G551" i="7" s="1"/>
  <c r="F551" i="5"/>
  <c r="F551" i="7" s="1"/>
  <c r="E551" i="5"/>
  <c r="E551" i="7" s="1"/>
  <c r="D551" i="5"/>
  <c r="D551" i="7" s="1"/>
  <c r="C551" i="5"/>
  <c r="C551" i="7" s="1"/>
  <c r="B551" i="5"/>
  <c r="B551" i="7" s="1"/>
  <c r="L550" i="5"/>
  <c r="L550" i="7" s="1"/>
  <c r="J550" i="5"/>
  <c r="J550" i="7" s="1"/>
  <c r="I550" i="5"/>
  <c r="I550" i="7" s="1"/>
  <c r="H550" i="5"/>
  <c r="H550" i="7" s="1"/>
  <c r="G550" i="5"/>
  <c r="G550" i="7" s="1"/>
  <c r="F550" i="5"/>
  <c r="F550" i="7" s="1"/>
  <c r="E550" i="5"/>
  <c r="D550" i="5"/>
  <c r="D550" i="7" s="1"/>
  <c r="C550" i="5"/>
  <c r="C550" i="7" s="1"/>
  <c r="B550" i="5"/>
  <c r="B550" i="7" s="1"/>
  <c r="L549" i="5"/>
  <c r="L549" i="7" s="1"/>
  <c r="K549" i="5"/>
  <c r="K549" i="7" s="1"/>
  <c r="J549" i="5"/>
  <c r="J549" i="7" s="1"/>
  <c r="I549" i="5"/>
  <c r="I549" i="7" s="1"/>
  <c r="H549" i="5"/>
  <c r="H549" i="7" s="1"/>
  <c r="G549" i="5"/>
  <c r="G549" i="7" s="1"/>
  <c r="F549" i="5"/>
  <c r="F549" i="7" s="1"/>
  <c r="E549" i="5"/>
  <c r="E549" i="7" s="1"/>
  <c r="D549" i="5"/>
  <c r="D549" i="7" s="1"/>
  <c r="C549" i="5"/>
  <c r="C549" i="7" s="1"/>
  <c r="B549" i="5"/>
  <c r="B549" i="7" s="1"/>
  <c r="L548" i="5"/>
  <c r="L548" i="7" s="1"/>
  <c r="J548" i="5"/>
  <c r="J548" i="7" s="1"/>
  <c r="I548" i="5"/>
  <c r="I548" i="7" s="1"/>
  <c r="H548" i="5"/>
  <c r="H548" i="7" s="1"/>
  <c r="G548" i="5"/>
  <c r="G548" i="7" s="1"/>
  <c r="F548" i="5"/>
  <c r="F548" i="7" s="1"/>
  <c r="E548" i="5"/>
  <c r="E548" i="7" s="1"/>
  <c r="D548" i="5"/>
  <c r="D548" i="7" s="1"/>
  <c r="C548" i="5"/>
  <c r="C548" i="7" s="1"/>
  <c r="B548" i="5"/>
  <c r="B548" i="7" s="1"/>
  <c r="L547" i="5"/>
  <c r="L547" i="7" s="1"/>
  <c r="K547" i="5"/>
  <c r="K547" i="7" s="1"/>
  <c r="J547" i="5"/>
  <c r="J547" i="7" s="1"/>
  <c r="I547" i="5"/>
  <c r="I547" i="7" s="1"/>
  <c r="H547" i="5"/>
  <c r="H547" i="7" s="1"/>
  <c r="G547" i="5"/>
  <c r="G547" i="7" s="1"/>
  <c r="F547" i="5"/>
  <c r="F547" i="7" s="1"/>
  <c r="E547" i="5"/>
  <c r="E547" i="7" s="1"/>
  <c r="D547" i="5"/>
  <c r="D547" i="7" s="1"/>
  <c r="C547" i="5"/>
  <c r="C547" i="7" s="1"/>
  <c r="B547" i="5"/>
  <c r="B547" i="7" s="1"/>
  <c r="L546" i="5"/>
  <c r="L546" i="7" s="1"/>
  <c r="K546" i="5"/>
  <c r="K546" i="7" s="1"/>
  <c r="J546" i="5"/>
  <c r="J546" i="7" s="1"/>
  <c r="I546" i="5"/>
  <c r="I546" i="7" s="1"/>
  <c r="H546" i="5"/>
  <c r="H546" i="7" s="1"/>
  <c r="G546" i="5"/>
  <c r="G546" i="7" s="1"/>
  <c r="F546" i="5"/>
  <c r="F546" i="7" s="1"/>
  <c r="E546" i="5"/>
  <c r="E546" i="7" s="1"/>
  <c r="D546" i="5"/>
  <c r="D546" i="7" s="1"/>
  <c r="C546" i="5"/>
  <c r="C546" i="7" s="1"/>
  <c r="B546" i="5"/>
  <c r="B546" i="7" s="1"/>
  <c r="L545" i="5"/>
  <c r="L545" i="7" s="1"/>
  <c r="K545" i="5"/>
  <c r="K545" i="7" s="1"/>
  <c r="J545" i="5"/>
  <c r="J545" i="7" s="1"/>
  <c r="I545" i="5"/>
  <c r="I545" i="7" s="1"/>
  <c r="H545" i="5"/>
  <c r="H545" i="7" s="1"/>
  <c r="G545" i="5"/>
  <c r="G545" i="7" s="1"/>
  <c r="F545" i="5"/>
  <c r="F545" i="7" s="1"/>
  <c r="E545" i="5"/>
  <c r="E545" i="7" s="1"/>
  <c r="D545" i="5"/>
  <c r="D545" i="7" s="1"/>
  <c r="C545" i="5"/>
  <c r="C545" i="7" s="1"/>
  <c r="B545" i="5"/>
  <c r="B545" i="7" s="1"/>
  <c r="L544" i="5"/>
  <c r="L544" i="7" s="1"/>
  <c r="J544" i="5"/>
  <c r="J544" i="7" s="1"/>
  <c r="I544" i="5"/>
  <c r="I544" i="7" s="1"/>
  <c r="H544" i="5"/>
  <c r="H544" i="7" s="1"/>
  <c r="G544" i="5"/>
  <c r="G544" i="7" s="1"/>
  <c r="F544" i="5"/>
  <c r="F544" i="7" s="1"/>
  <c r="E544" i="5"/>
  <c r="D544" i="5"/>
  <c r="D544" i="7" s="1"/>
  <c r="C544" i="5"/>
  <c r="C544" i="7" s="1"/>
  <c r="B544" i="5"/>
  <c r="B544" i="7" s="1"/>
  <c r="L543" i="5"/>
  <c r="L543" i="7" s="1"/>
  <c r="J543" i="5"/>
  <c r="J543" i="7" s="1"/>
  <c r="I543" i="5"/>
  <c r="I543" i="7" s="1"/>
  <c r="H543" i="5"/>
  <c r="H543" i="7" s="1"/>
  <c r="G543" i="5"/>
  <c r="G543" i="7" s="1"/>
  <c r="F543" i="5"/>
  <c r="F543" i="7" s="1"/>
  <c r="E543" i="5"/>
  <c r="D543" i="5"/>
  <c r="D543" i="7" s="1"/>
  <c r="C543" i="5"/>
  <c r="C543" i="7" s="1"/>
  <c r="B543" i="5"/>
  <c r="B543" i="7" s="1"/>
  <c r="L542" i="5"/>
  <c r="L542" i="7" s="1"/>
  <c r="J542" i="5"/>
  <c r="J542" i="7" s="1"/>
  <c r="I542" i="5"/>
  <c r="I542" i="7" s="1"/>
  <c r="H542" i="5"/>
  <c r="H542" i="7" s="1"/>
  <c r="G542" i="5"/>
  <c r="G542" i="7" s="1"/>
  <c r="F542" i="5"/>
  <c r="F542" i="7" s="1"/>
  <c r="E542" i="5"/>
  <c r="E542" i="7" s="1"/>
  <c r="D542" i="5"/>
  <c r="D542" i="7" s="1"/>
  <c r="C542" i="5"/>
  <c r="C542" i="7" s="1"/>
  <c r="B542" i="5"/>
  <c r="B542" i="7" s="1"/>
  <c r="L541" i="5"/>
  <c r="L541" i="7" s="1"/>
  <c r="K541" i="5"/>
  <c r="K541" i="7" s="1"/>
  <c r="J541" i="5"/>
  <c r="J541" i="7" s="1"/>
  <c r="I541" i="5"/>
  <c r="I541" i="7" s="1"/>
  <c r="H541" i="5"/>
  <c r="H541" i="7" s="1"/>
  <c r="G541" i="5"/>
  <c r="G541" i="7" s="1"/>
  <c r="F541" i="5"/>
  <c r="F541" i="7" s="1"/>
  <c r="E541" i="5"/>
  <c r="E541" i="7" s="1"/>
  <c r="D541" i="5"/>
  <c r="D541" i="7" s="1"/>
  <c r="C541" i="5"/>
  <c r="C541" i="7" s="1"/>
  <c r="B541" i="5"/>
  <c r="B541" i="7" s="1"/>
  <c r="L540" i="5"/>
  <c r="L540" i="7" s="1"/>
  <c r="K540" i="5"/>
  <c r="K540" i="7" s="1"/>
  <c r="J540" i="5"/>
  <c r="J540" i="7" s="1"/>
  <c r="I540" i="5"/>
  <c r="I540" i="7" s="1"/>
  <c r="H540" i="5"/>
  <c r="H540" i="7" s="1"/>
  <c r="G540" i="5"/>
  <c r="G540" i="7" s="1"/>
  <c r="F540" i="5"/>
  <c r="F540" i="7" s="1"/>
  <c r="E540" i="5"/>
  <c r="E540" i="7" s="1"/>
  <c r="D540" i="5"/>
  <c r="D540" i="7" s="1"/>
  <c r="C540" i="5"/>
  <c r="C540" i="7" s="1"/>
  <c r="B540" i="5"/>
  <c r="B540" i="7" s="1"/>
  <c r="L539" i="5"/>
  <c r="L539" i="7" s="1"/>
  <c r="J539" i="5"/>
  <c r="J539" i="7" s="1"/>
  <c r="I539" i="5"/>
  <c r="I539" i="7" s="1"/>
  <c r="H539" i="5"/>
  <c r="H539" i="7" s="1"/>
  <c r="G539" i="5"/>
  <c r="G539" i="7" s="1"/>
  <c r="F539" i="5"/>
  <c r="F539" i="7" s="1"/>
  <c r="E539" i="5"/>
  <c r="D539" i="5"/>
  <c r="D539" i="7" s="1"/>
  <c r="C539" i="5"/>
  <c r="C539" i="7" s="1"/>
  <c r="B539" i="5"/>
  <c r="B539" i="7" s="1"/>
  <c r="L538" i="5"/>
  <c r="L538" i="7" s="1"/>
  <c r="J538" i="5"/>
  <c r="J538" i="7" s="1"/>
  <c r="I538" i="5"/>
  <c r="I538" i="7" s="1"/>
  <c r="H538" i="5"/>
  <c r="H538" i="7" s="1"/>
  <c r="G538" i="5"/>
  <c r="G538" i="7" s="1"/>
  <c r="F538" i="5"/>
  <c r="F538" i="7" s="1"/>
  <c r="E538" i="5"/>
  <c r="E538" i="7" s="1"/>
  <c r="D538" i="5"/>
  <c r="D538" i="7" s="1"/>
  <c r="C538" i="5"/>
  <c r="C538" i="7" s="1"/>
  <c r="B538" i="5"/>
  <c r="B538" i="7" s="1"/>
  <c r="L537" i="5"/>
  <c r="L537" i="7" s="1"/>
  <c r="K537" i="5"/>
  <c r="K537" i="7" s="1"/>
  <c r="J537" i="5"/>
  <c r="J537" i="7" s="1"/>
  <c r="I537" i="5"/>
  <c r="I537" i="7" s="1"/>
  <c r="H537" i="5"/>
  <c r="H537" i="7" s="1"/>
  <c r="G537" i="5"/>
  <c r="G537" i="7" s="1"/>
  <c r="F537" i="5"/>
  <c r="F537" i="7" s="1"/>
  <c r="E537" i="5"/>
  <c r="E537" i="7" s="1"/>
  <c r="D537" i="5"/>
  <c r="D537" i="7" s="1"/>
  <c r="C537" i="5"/>
  <c r="C537" i="7" s="1"/>
  <c r="B537" i="5"/>
  <c r="B537" i="7" s="1"/>
  <c r="L536" i="5"/>
  <c r="L536" i="7" s="1"/>
  <c r="J536" i="5"/>
  <c r="J536" i="7" s="1"/>
  <c r="I536" i="5"/>
  <c r="I536" i="7" s="1"/>
  <c r="H536" i="5"/>
  <c r="H536" i="7" s="1"/>
  <c r="G536" i="5"/>
  <c r="G536" i="7" s="1"/>
  <c r="F536" i="5"/>
  <c r="F536" i="7" s="1"/>
  <c r="E536" i="5"/>
  <c r="D536" i="5"/>
  <c r="D536" i="7" s="1"/>
  <c r="C536" i="5"/>
  <c r="C536" i="7" s="1"/>
  <c r="B536" i="5"/>
  <c r="B536" i="7" s="1"/>
  <c r="L535" i="5"/>
  <c r="L535" i="7" s="1"/>
  <c r="K535" i="5"/>
  <c r="K535" i="7" s="1"/>
  <c r="J535" i="5"/>
  <c r="J535" i="7" s="1"/>
  <c r="I535" i="5"/>
  <c r="I535" i="7" s="1"/>
  <c r="H535" i="5"/>
  <c r="H535" i="7" s="1"/>
  <c r="G535" i="5"/>
  <c r="G535" i="7" s="1"/>
  <c r="F535" i="5"/>
  <c r="F535" i="7" s="1"/>
  <c r="E535" i="5"/>
  <c r="E535" i="7" s="1"/>
  <c r="D535" i="5"/>
  <c r="D535" i="7" s="1"/>
  <c r="C535" i="5"/>
  <c r="C535" i="7" s="1"/>
  <c r="B535" i="5"/>
  <c r="B535" i="7" s="1"/>
  <c r="L534" i="5"/>
  <c r="L534" i="7" s="1"/>
  <c r="J534" i="5"/>
  <c r="J534" i="7" s="1"/>
  <c r="I534" i="5"/>
  <c r="I534" i="7" s="1"/>
  <c r="H534" i="5"/>
  <c r="H534" i="7" s="1"/>
  <c r="G534" i="5"/>
  <c r="G534" i="7" s="1"/>
  <c r="F534" i="5"/>
  <c r="F534" i="7" s="1"/>
  <c r="E534" i="5"/>
  <c r="E534" i="7" s="1"/>
  <c r="D534" i="5"/>
  <c r="D534" i="7" s="1"/>
  <c r="C534" i="5"/>
  <c r="C534" i="7" s="1"/>
  <c r="B534" i="5"/>
  <c r="B534" i="7" s="1"/>
  <c r="L533" i="5"/>
  <c r="L533" i="7" s="1"/>
  <c r="K533" i="5"/>
  <c r="K533" i="7" s="1"/>
  <c r="J533" i="5"/>
  <c r="J533" i="7" s="1"/>
  <c r="I533" i="5"/>
  <c r="I533" i="7" s="1"/>
  <c r="H533" i="5"/>
  <c r="H533" i="7" s="1"/>
  <c r="G533" i="5"/>
  <c r="G533" i="7" s="1"/>
  <c r="F533" i="5"/>
  <c r="F533" i="7" s="1"/>
  <c r="E533" i="5"/>
  <c r="E533" i="7" s="1"/>
  <c r="D533" i="5"/>
  <c r="D533" i="7" s="1"/>
  <c r="C533" i="5"/>
  <c r="C533" i="7" s="1"/>
  <c r="B533" i="5"/>
  <c r="B533" i="7" s="1"/>
  <c r="L532" i="5"/>
  <c r="L532" i="7" s="1"/>
  <c r="K532" i="5"/>
  <c r="K532" i="7" s="1"/>
  <c r="J532" i="5"/>
  <c r="J532" i="7" s="1"/>
  <c r="I532" i="5"/>
  <c r="I532" i="7" s="1"/>
  <c r="H532" i="5"/>
  <c r="H532" i="7" s="1"/>
  <c r="G532" i="5"/>
  <c r="G532" i="7" s="1"/>
  <c r="F532" i="5"/>
  <c r="F532" i="7" s="1"/>
  <c r="E532" i="5"/>
  <c r="E532" i="7" s="1"/>
  <c r="D532" i="5"/>
  <c r="D532" i="7" s="1"/>
  <c r="C532" i="5"/>
  <c r="C532" i="7" s="1"/>
  <c r="B532" i="5"/>
  <c r="B532" i="7" s="1"/>
  <c r="L531" i="5"/>
  <c r="L531" i="7" s="1"/>
  <c r="J531" i="5"/>
  <c r="J531" i="7" s="1"/>
  <c r="I531" i="5"/>
  <c r="I531" i="7" s="1"/>
  <c r="H531" i="5"/>
  <c r="H531" i="7" s="1"/>
  <c r="G531" i="5"/>
  <c r="G531" i="7" s="1"/>
  <c r="F531" i="5"/>
  <c r="F531" i="7" s="1"/>
  <c r="E531" i="5"/>
  <c r="E531" i="7" s="1"/>
  <c r="D531" i="5"/>
  <c r="D531" i="7" s="1"/>
  <c r="C531" i="5"/>
  <c r="C531" i="7" s="1"/>
  <c r="B531" i="5"/>
  <c r="B531" i="7" s="1"/>
  <c r="L530" i="5"/>
  <c r="L530" i="7" s="1"/>
  <c r="J530" i="5"/>
  <c r="J530" i="7" s="1"/>
  <c r="I530" i="5"/>
  <c r="I530" i="7" s="1"/>
  <c r="H530" i="5"/>
  <c r="H530" i="7" s="1"/>
  <c r="G530" i="5"/>
  <c r="G530" i="7" s="1"/>
  <c r="F530" i="5"/>
  <c r="F530" i="7" s="1"/>
  <c r="E530" i="5"/>
  <c r="D530" i="5"/>
  <c r="D530" i="7" s="1"/>
  <c r="C530" i="5"/>
  <c r="C530" i="7" s="1"/>
  <c r="B530" i="5"/>
  <c r="B530" i="7" s="1"/>
  <c r="L529" i="5"/>
  <c r="L529" i="7" s="1"/>
  <c r="J529" i="5"/>
  <c r="J529" i="7" s="1"/>
  <c r="I529" i="5"/>
  <c r="I529" i="7" s="1"/>
  <c r="H529" i="5"/>
  <c r="H529" i="7" s="1"/>
  <c r="G529" i="5"/>
  <c r="G529" i="7" s="1"/>
  <c r="F529" i="5"/>
  <c r="F529" i="7" s="1"/>
  <c r="E529" i="5"/>
  <c r="D529" i="5"/>
  <c r="D529" i="7" s="1"/>
  <c r="C529" i="5"/>
  <c r="C529" i="7" s="1"/>
  <c r="B529" i="5"/>
  <c r="B529" i="7" s="1"/>
  <c r="L528" i="5"/>
  <c r="L528" i="7" s="1"/>
  <c r="J528" i="5"/>
  <c r="J528" i="7" s="1"/>
  <c r="I528" i="5"/>
  <c r="I528" i="7" s="1"/>
  <c r="H528" i="5"/>
  <c r="H528" i="7" s="1"/>
  <c r="G528" i="5"/>
  <c r="G528" i="7" s="1"/>
  <c r="F528" i="5"/>
  <c r="F528" i="7" s="1"/>
  <c r="E528" i="5"/>
  <c r="E528" i="7" s="1"/>
  <c r="D528" i="5"/>
  <c r="D528" i="7" s="1"/>
  <c r="C528" i="5"/>
  <c r="C528" i="7" s="1"/>
  <c r="B528" i="5"/>
  <c r="B528" i="7" s="1"/>
  <c r="L527" i="5"/>
  <c r="L527" i="7" s="1"/>
  <c r="K527" i="5"/>
  <c r="K527" i="7" s="1"/>
  <c r="J527" i="5"/>
  <c r="J527" i="7" s="1"/>
  <c r="I527" i="5"/>
  <c r="I527" i="7" s="1"/>
  <c r="H527" i="5"/>
  <c r="H527" i="7" s="1"/>
  <c r="G527" i="5"/>
  <c r="G527" i="7" s="1"/>
  <c r="F527" i="5"/>
  <c r="F527" i="7" s="1"/>
  <c r="E527" i="5"/>
  <c r="E527" i="7" s="1"/>
  <c r="D527" i="5"/>
  <c r="D527" i="7" s="1"/>
  <c r="C527" i="5"/>
  <c r="C527" i="7" s="1"/>
  <c r="B527" i="5"/>
  <c r="B527" i="7" s="1"/>
  <c r="L526" i="5"/>
  <c r="L526" i="7" s="1"/>
  <c r="K526" i="5"/>
  <c r="K526" i="7" s="1"/>
  <c r="J526" i="5"/>
  <c r="J526" i="7" s="1"/>
  <c r="I526" i="5"/>
  <c r="I526" i="7" s="1"/>
  <c r="H526" i="5"/>
  <c r="H526" i="7" s="1"/>
  <c r="G526" i="5"/>
  <c r="G526" i="7" s="1"/>
  <c r="F526" i="5"/>
  <c r="F526" i="7" s="1"/>
  <c r="E526" i="5"/>
  <c r="E526" i="7" s="1"/>
  <c r="D526" i="5"/>
  <c r="D526" i="7" s="1"/>
  <c r="C526" i="5"/>
  <c r="C526" i="7" s="1"/>
  <c r="B526" i="5"/>
  <c r="B526" i="7" s="1"/>
  <c r="L525" i="5"/>
  <c r="L525" i="7" s="1"/>
  <c r="J525" i="5"/>
  <c r="J525" i="7" s="1"/>
  <c r="I525" i="5"/>
  <c r="I525" i="7" s="1"/>
  <c r="H525" i="5"/>
  <c r="H525" i="7" s="1"/>
  <c r="G525" i="5"/>
  <c r="G525" i="7" s="1"/>
  <c r="F525" i="5"/>
  <c r="F525" i="7" s="1"/>
  <c r="E525" i="5"/>
  <c r="D525" i="5"/>
  <c r="D525" i="7" s="1"/>
  <c r="C525" i="5"/>
  <c r="C525" i="7" s="1"/>
  <c r="B525" i="5"/>
  <c r="B525" i="7" s="1"/>
  <c r="L524" i="5"/>
  <c r="L524" i="7" s="1"/>
  <c r="K524" i="5"/>
  <c r="K524" i="7" s="1"/>
  <c r="J524" i="5"/>
  <c r="J524" i="7" s="1"/>
  <c r="I524" i="5"/>
  <c r="I524" i="7" s="1"/>
  <c r="H524" i="5"/>
  <c r="H524" i="7" s="1"/>
  <c r="G524" i="5"/>
  <c r="G524" i="7" s="1"/>
  <c r="F524" i="5"/>
  <c r="F524" i="7" s="1"/>
  <c r="E524" i="5"/>
  <c r="E524" i="7" s="1"/>
  <c r="D524" i="5"/>
  <c r="D524" i="7" s="1"/>
  <c r="C524" i="5"/>
  <c r="C524" i="7" s="1"/>
  <c r="B524" i="5"/>
  <c r="B524" i="7" s="1"/>
  <c r="L523" i="5"/>
  <c r="L523" i="7" s="1"/>
  <c r="K523" i="5"/>
  <c r="K523" i="7" s="1"/>
  <c r="J523" i="5"/>
  <c r="J523" i="7" s="1"/>
  <c r="I523" i="5"/>
  <c r="I523" i="7" s="1"/>
  <c r="H523" i="5"/>
  <c r="H523" i="7" s="1"/>
  <c r="G523" i="5"/>
  <c r="G523" i="7" s="1"/>
  <c r="F523" i="5"/>
  <c r="F523" i="7" s="1"/>
  <c r="E523" i="5"/>
  <c r="E523" i="7" s="1"/>
  <c r="D523" i="5"/>
  <c r="D523" i="7" s="1"/>
  <c r="C523" i="5"/>
  <c r="C523" i="7" s="1"/>
  <c r="B523" i="5"/>
  <c r="B523" i="7" s="1"/>
  <c r="L522" i="5"/>
  <c r="L522" i="7" s="1"/>
  <c r="J522" i="5"/>
  <c r="J522" i="7" s="1"/>
  <c r="I522" i="5"/>
  <c r="I522" i="7" s="1"/>
  <c r="H522" i="5"/>
  <c r="H522" i="7" s="1"/>
  <c r="G522" i="5"/>
  <c r="G522" i="7" s="1"/>
  <c r="F522" i="5"/>
  <c r="F522" i="7" s="1"/>
  <c r="E522" i="5"/>
  <c r="D522" i="5"/>
  <c r="D522" i="7" s="1"/>
  <c r="C522" i="5"/>
  <c r="C522" i="7" s="1"/>
  <c r="B522" i="5"/>
  <c r="B522" i="7" s="1"/>
  <c r="L521" i="5"/>
  <c r="L521" i="7" s="1"/>
  <c r="K521" i="5"/>
  <c r="K521" i="7" s="1"/>
  <c r="J521" i="5"/>
  <c r="J521" i="7" s="1"/>
  <c r="I521" i="5"/>
  <c r="I521" i="7" s="1"/>
  <c r="H521" i="5"/>
  <c r="H521" i="7" s="1"/>
  <c r="G521" i="5"/>
  <c r="G521" i="7" s="1"/>
  <c r="F521" i="5"/>
  <c r="F521" i="7" s="1"/>
  <c r="E521" i="5"/>
  <c r="E521" i="7" s="1"/>
  <c r="D521" i="5"/>
  <c r="D521" i="7" s="1"/>
  <c r="C521" i="5"/>
  <c r="C521" i="7" s="1"/>
  <c r="B521" i="5"/>
  <c r="B521" i="7" s="1"/>
  <c r="L520" i="5"/>
  <c r="L520" i="7" s="1"/>
  <c r="J520" i="5"/>
  <c r="J520" i="7" s="1"/>
  <c r="I520" i="5"/>
  <c r="I520" i="7" s="1"/>
  <c r="H520" i="5"/>
  <c r="H520" i="7" s="1"/>
  <c r="G520" i="5"/>
  <c r="G520" i="7" s="1"/>
  <c r="F520" i="5"/>
  <c r="F520" i="7" s="1"/>
  <c r="E520" i="5"/>
  <c r="E520" i="7" s="1"/>
  <c r="D520" i="5"/>
  <c r="D520" i="7" s="1"/>
  <c r="C520" i="5"/>
  <c r="C520" i="7" s="1"/>
  <c r="B520" i="5"/>
  <c r="B520" i="7" s="1"/>
  <c r="L519" i="5"/>
  <c r="L519" i="7" s="1"/>
  <c r="K519" i="5"/>
  <c r="K519" i="7" s="1"/>
  <c r="J519" i="5"/>
  <c r="J519" i="7" s="1"/>
  <c r="I519" i="5"/>
  <c r="I519" i="7" s="1"/>
  <c r="H519" i="5"/>
  <c r="H519" i="7" s="1"/>
  <c r="G519" i="5"/>
  <c r="G519" i="7" s="1"/>
  <c r="F519" i="5"/>
  <c r="F519" i="7" s="1"/>
  <c r="E519" i="5"/>
  <c r="E519" i="7" s="1"/>
  <c r="D519" i="5"/>
  <c r="D519" i="7" s="1"/>
  <c r="C519" i="5"/>
  <c r="C519" i="7" s="1"/>
  <c r="B519" i="5"/>
  <c r="B519" i="7" s="1"/>
  <c r="L518" i="5"/>
  <c r="L518" i="7" s="1"/>
  <c r="K518" i="5"/>
  <c r="K518" i="7" s="1"/>
  <c r="J518" i="5"/>
  <c r="J518" i="7" s="1"/>
  <c r="I518" i="5"/>
  <c r="I518" i="7" s="1"/>
  <c r="H518" i="5"/>
  <c r="H518" i="7" s="1"/>
  <c r="G518" i="5"/>
  <c r="G518" i="7" s="1"/>
  <c r="F518" i="5"/>
  <c r="F518" i="7" s="1"/>
  <c r="E518" i="5"/>
  <c r="E518" i="7" s="1"/>
  <c r="D518" i="5"/>
  <c r="D518" i="7" s="1"/>
  <c r="C518" i="5"/>
  <c r="C518" i="7" s="1"/>
  <c r="B518" i="5"/>
  <c r="B518" i="7" s="1"/>
  <c r="L517" i="5"/>
  <c r="L517" i="7" s="1"/>
  <c r="J517" i="5"/>
  <c r="J517" i="7" s="1"/>
  <c r="I517" i="5"/>
  <c r="I517" i="7" s="1"/>
  <c r="H517" i="5"/>
  <c r="H517" i="7" s="1"/>
  <c r="G517" i="5"/>
  <c r="G517" i="7" s="1"/>
  <c r="F517" i="5"/>
  <c r="F517" i="7" s="1"/>
  <c r="E517" i="5"/>
  <c r="E517" i="7" s="1"/>
  <c r="D517" i="5"/>
  <c r="D517" i="7" s="1"/>
  <c r="C517" i="5"/>
  <c r="C517" i="7" s="1"/>
  <c r="B517" i="5"/>
  <c r="B517" i="7" s="1"/>
  <c r="L516" i="5"/>
  <c r="L516" i="7" s="1"/>
  <c r="J516" i="5"/>
  <c r="J516" i="7" s="1"/>
  <c r="I516" i="5"/>
  <c r="I516" i="7" s="1"/>
  <c r="H516" i="5"/>
  <c r="H516" i="7" s="1"/>
  <c r="G516" i="5"/>
  <c r="G516" i="7" s="1"/>
  <c r="F516" i="5"/>
  <c r="F516" i="7" s="1"/>
  <c r="E516" i="5"/>
  <c r="D516" i="5"/>
  <c r="D516" i="7" s="1"/>
  <c r="C516" i="5"/>
  <c r="C516" i="7" s="1"/>
  <c r="B516" i="5"/>
  <c r="B516" i="7" s="1"/>
  <c r="L515" i="5"/>
  <c r="L515" i="7" s="1"/>
  <c r="J515" i="5"/>
  <c r="J515" i="7" s="1"/>
  <c r="I515" i="5"/>
  <c r="I515" i="7" s="1"/>
  <c r="H515" i="5"/>
  <c r="H515" i="7" s="1"/>
  <c r="G515" i="5"/>
  <c r="G515" i="7" s="1"/>
  <c r="F515" i="5"/>
  <c r="F515" i="7" s="1"/>
  <c r="E515" i="5"/>
  <c r="D515" i="5"/>
  <c r="D515" i="7" s="1"/>
  <c r="C515" i="5"/>
  <c r="C515" i="7" s="1"/>
  <c r="B515" i="5"/>
  <c r="B515" i="7" s="1"/>
  <c r="L514" i="5"/>
  <c r="L514" i="7" s="1"/>
  <c r="J514" i="5"/>
  <c r="J514" i="7" s="1"/>
  <c r="I514" i="5"/>
  <c r="I514" i="7" s="1"/>
  <c r="H514" i="5"/>
  <c r="H514" i="7" s="1"/>
  <c r="G514" i="5"/>
  <c r="G514" i="7" s="1"/>
  <c r="F514" i="5"/>
  <c r="F514" i="7" s="1"/>
  <c r="E514" i="5"/>
  <c r="E514" i="7" s="1"/>
  <c r="D514" i="5"/>
  <c r="D514" i="7" s="1"/>
  <c r="C514" i="5"/>
  <c r="C514" i="7" s="1"/>
  <c r="B514" i="5"/>
  <c r="B514" i="7" s="1"/>
  <c r="L513" i="5"/>
  <c r="L513" i="7" s="1"/>
  <c r="K513" i="5"/>
  <c r="K513" i="7" s="1"/>
  <c r="J513" i="5"/>
  <c r="J513" i="7" s="1"/>
  <c r="I513" i="5"/>
  <c r="I513" i="7" s="1"/>
  <c r="H513" i="5"/>
  <c r="H513" i="7" s="1"/>
  <c r="G513" i="5"/>
  <c r="G513" i="7" s="1"/>
  <c r="F513" i="5"/>
  <c r="F513" i="7" s="1"/>
  <c r="E513" i="5"/>
  <c r="E513" i="7" s="1"/>
  <c r="D513" i="5"/>
  <c r="D513" i="7" s="1"/>
  <c r="C513" i="5"/>
  <c r="C513" i="7" s="1"/>
  <c r="B513" i="5"/>
  <c r="B513" i="7" s="1"/>
  <c r="L512" i="5"/>
  <c r="L512" i="7" s="1"/>
  <c r="K512" i="5"/>
  <c r="K512" i="7" s="1"/>
  <c r="J512" i="5"/>
  <c r="J512" i="7" s="1"/>
  <c r="I512" i="5"/>
  <c r="I512" i="7" s="1"/>
  <c r="H512" i="5"/>
  <c r="H512" i="7" s="1"/>
  <c r="G512" i="5"/>
  <c r="G512" i="7" s="1"/>
  <c r="F512" i="5"/>
  <c r="F512" i="7" s="1"/>
  <c r="E512" i="5"/>
  <c r="E512" i="7" s="1"/>
  <c r="D512" i="5"/>
  <c r="D512" i="7" s="1"/>
  <c r="C512" i="5"/>
  <c r="C512" i="7" s="1"/>
  <c r="B512" i="5"/>
  <c r="B512" i="7" s="1"/>
  <c r="L511" i="5"/>
  <c r="L511" i="7" s="1"/>
  <c r="J511" i="5"/>
  <c r="J511" i="7" s="1"/>
  <c r="I511" i="5"/>
  <c r="I511" i="7" s="1"/>
  <c r="H511" i="5"/>
  <c r="H511" i="7" s="1"/>
  <c r="G511" i="5"/>
  <c r="G511" i="7" s="1"/>
  <c r="F511" i="5"/>
  <c r="F511" i="7" s="1"/>
  <c r="E511" i="5"/>
  <c r="D511" i="5"/>
  <c r="D511" i="7" s="1"/>
  <c r="C511" i="5"/>
  <c r="C511" i="7" s="1"/>
  <c r="B511" i="5"/>
  <c r="B511" i="7" s="1"/>
  <c r="L510" i="5"/>
  <c r="L510" i="7" s="1"/>
  <c r="J510" i="5"/>
  <c r="J510" i="7" s="1"/>
  <c r="I510" i="5"/>
  <c r="I510" i="7" s="1"/>
  <c r="H510" i="5"/>
  <c r="H510" i="7" s="1"/>
  <c r="G510" i="5"/>
  <c r="G510" i="7" s="1"/>
  <c r="F510" i="5"/>
  <c r="F510" i="7" s="1"/>
  <c r="E510" i="5"/>
  <c r="E510" i="7" s="1"/>
  <c r="D510" i="5"/>
  <c r="D510" i="7" s="1"/>
  <c r="C510" i="5"/>
  <c r="C510" i="7" s="1"/>
  <c r="B510" i="5"/>
  <c r="B510" i="7" s="1"/>
  <c r="L509" i="5"/>
  <c r="L509" i="7" s="1"/>
  <c r="K509" i="5"/>
  <c r="K509" i="7" s="1"/>
  <c r="J509" i="5"/>
  <c r="J509" i="7" s="1"/>
  <c r="I509" i="5"/>
  <c r="I509" i="7" s="1"/>
  <c r="H509" i="5"/>
  <c r="H509" i="7" s="1"/>
  <c r="G509" i="5"/>
  <c r="G509" i="7" s="1"/>
  <c r="F509" i="5"/>
  <c r="F509" i="7" s="1"/>
  <c r="E509" i="5"/>
  <c r="E509" i="7" s="1"/>
  <c r="D509" i="5"/>
  <c r="D509" i="7" s="1"/>
  <c r="C509" i="5"/>
  <c r="C509" i="7" s="1"/>
  <c r="B509" i="5"/>
  <c r="B509" i="7" s="1"/>
  <c r="L508" i="5"/>
  <c r="L508" i="7" s="1"/>
  <c r="J508" i="5"/>
  <c r="J508" i="7" s="1"/>
  <c r="I508" i="5"/>
  <c r="I508" i="7" s="1"/>
  <c r="H508" i="5"/>
  <c r="H508" i="7" s="1"/>
  <c r="G508" i="5"/>
  <c r="G508" i="7" s="1"/>
  <c r="F508" i="5"/>
  <c r="F508" i="7" s="1"/>
  <c r="E508" i="5"/>
  <c r="D508" i="5"/>
  <c r="D508" i="7" s="1"/>
  <c r="C508" i="5"/>
  <c r="C508" i="7" s="1"/>
  <c r="B508" i="5"/>
  <c r="B508" i="7" s="1"/>
  <c r="L507" i="5"/>
  <c r="L507" i="7" s="1"/>
  <c r="K507" i="5"/>
  <c r="K507" i="7" s="1"/>
  <c r="J507" i="5"/>
  <c r="J507" i="7" s="1"/>
  <c r="I507" i="5"/>
  <c r="I507" i="7" s="1"/>
  <c r="H507" i="5"/>
  <c r="H507" i="7" s="1"/>
  <c r="G507" i="5"/>
  <c r="G507" i="7" s="1"/>
  <c r="F507" i="5"/>
  <c r="F507" i="7" s="1"/>
  <c r="E507" i="5"/>
  <c r="E507" i="7" s="1"/>
  <c r="D507" i="5"/>
  <c r="D507" i="7" s="1"/>
  <c r="C507" i="5"/>
  <c r="C507" i="7" s="1"/>
  <c r="B507" i="5"/>
  <c r="B507" i="7" s="1"/>
  <c r="L506" i="5"/>
  <c r="L506" i="7" s="1"/>
  <c r="J506" i="5"/>
  <c r="J506" i="7" s="1"/>
  <c r="I506" i="5"/>
  <c r="I506" i="7" s="1"/>
  <c r="H506" i="5"/>
  <c r="H506" i="7" s="1"/>
  <c r="G506" i="5"/>
  <c r="G506" i="7" s="1"/>
  <c r="F506" i="5"/>
  <c r="F506" i="7" s="1"/>
  <c r="E506" i="5"/>
  <c r="E506" i="7" s="1"/>
  <c r="D506" i="5"/>
  <c r="D506" i="7" s="1"/>
  <c r="C506" i="5"/>
  <c r="C506" i="7" s="1"/>
  <c r="B506" i="5"/>
  <c r="B506" i="7" s="1"/>
  <c r="L505" i="5"/>
  <c r="L505" i="7" s="1"/>
  <c r="K505" i="5"/>
  <c r="K505" i="7" s="1"/>
  <c r="J505" i="5"/>
  <c r="J505" i="7" s="1"/>
  <c r="I505" i="5"/>
  <c r="I505" i="7" s="1"/>
  <c r="H505" i="5"/>
  <c r="H505" i="7" s="1"/>
  <c r="G505" i="5"/>
  <c r="G505" i="7" s="1"/>
  <c r="F505" i="5"/>
  <c r="F505" i="7" s="1"/>
  <c r="E505" i="5"/>
  <c r="E505" i="7" s="1"/>
  <c r="D505" i="5"/>
  <c r="D505" i="7" s="1"/>
  <c r="C505" i="5"/>
  <c r="C505" i="7" s="1"/>
  <c r="B505" i="5"/>
  <c r="B505" i="7" s="1"/>
  <c r="L504" i="5"/>
  <c r="L504" i="7" s="1"/>
  <c r="K504" i="5"/>
  <c r="K504" i="7" s="1"/>
  <c r="J504" i="5"/>
  <c r="J504" i="7" s="1"/>
  <c r="I504" i="5"/>
  <c r="I504" i="7" s="1"/>
  <c r="H504" i="5"/>
  <c r="H504" i="7" s="1"/>
  <c r="G504" i="5"/>
  <c r="G504" i="7" s="1"/>
  <c r="F504" i="5"/>
  <c r="F504" i="7" s="1"/>
  <c r="E504" i="5"/>
  <c r="E504" i="7" s="1"/>
  <c r="D504" i="5"/>
  <c r="D504" i="7" s="1"/>
  <c r="C504" i="5"/>
  <c r="C504" i="7" s="1"/>
  <c r="B504" i="5"/>
  <c r="B504" i="7" s="1"/>
  <c r="L503" i="5"/>
  <c r="L503" i="7" s="1"/>
  <c r="K503" i="5"/>
  <c r="K503" i="7" s="1"/>
  <c r="J503" i="5"/>
  <c r="J503" i="7" s="1"/>
  <c r="I503" i="5"/>
  <c r="I503" i="7" s="1"/>
  <c r="H503" i="5"/>
  <c r="H503" i="7" s="1"/>
  <c r="G503" i="5"/>
  <c r="G503" i="7" s="1"/>
  <c r="F503" i="5"/>
  <c r="F503" i="7" s="1"/>
  <c r="E503" i="5"/>
  <c r="E503" i="7" s="1"/>
  <c r="D503" i="5"/>
  <c r="D503" i="7" s="1"/>
  <c r="C503" i="5"/>
  <c r="C503" i="7" s="1"/>
  <c r="B503" i="5"/>
  <c r="B503" i="7" s="1"/>
  <c r="L502" i="5"/>
  <c r="L502" i="7" s="1"/>
  <c r="J502" i="5"/>
  <c r="J502" i="7" s="1"/>
  <c r="I502" i="5"/>
  <c r="I502" i="7" s="1"/>
  <c r="H502" i="5"/>
  <c r="H502" i="7" s="1"/>
  <c r="G502" i="5"/>
  <c r="G502" i="7" s="1"/>
  <c r="F502" i="5"/>
  <c r="F502" i="7" s="1"/>
  <c r="E502" i="5"/>
  <c r="D502" i="5"/>
  <c r="D502" i="7" s="1"/>
  <c r="C502" i="5"/>
  <c r="C502" i="7" s="1"/>
  <c r="B502" i="5"/>
  <c r="B502" i="7" s="1"/>
  <c r="L501" i="5"/>
  <c r="L501" i="7" s="1"/>
  <c r="J501" i="5"/>
  <c r="J501" i="7" s="1"/>
  <c r="I501" i="5"/>
  <c r="I501" i="7" s="1"/>
  <c r="H501" i="5"/>
  <c r="H501" i="7" s="1"/>
  <c r="G501" i="5"/>
  <c r="G501" i="7" s="1"/>
  <c r="F501" i="5"/>
  <c r="F501" i="7" s="1"/>
  <c r="E501" i="5"/>
  <c r="D501" i="5"/>
  <c r="D501" i="7" s="1"/>
  <c r="C501" i="5"/>
  <c r="C501" i="7" s="1"/>
  <c r="B501" i="5"/>
  <c r="B501" i="7" s="1"/>
  <c r="L500" i="5"/>
  <c r="L500" i="7" s="1"/>
  <c r="J500" i="5"/>
  <c r="J500" i="7" s="1"/>
  <c r="I500" i="5"/>
  <c r="I500" i="7" s="1"/>
  <c r="H500" i="5"/>
  <c r="H500" i="7" s="1"/>
  <c r="G500" i="5"/>
  <c r="G500" i="7" s="1"/>
  <c r="F500" i="5"/>
  <c r="F500" i="7" s="1"/>
  <c r="E500" i="5"/>
  <c r="E500" i="7" s="1"/>
  <c r="D500" i="5"/>
  <c r="D500" i="7" s="1"/>
  <c r="C500" i="5"/>
  <c r="C500" i="7" s="1"/>
  <c r="B500" i="5"/>
  <c r="B500" i="7" s="1"/>
  <c r="L499" i="5"/>
  <c r="L499" i="7" s="1"/>
  <c r="K499" i="5"/>
  <c r="K499" i="7" s="1"/>
  <c r="J499" i="5"/>
  <c r="J499" i="7" s="1"/>
  <c r="I499" i="5"/>
  <c r="I499" i="7" s="1"/>
  <c r="H499" i="5"/>
  <c r="H499" i="7" s="1"/>
  <c r="G499" i="5"/>
  <c r="G499" i="7" s="1"/>
  <c r="F499" i="5"/>
  <c r="F499" i="7" s="1"/>
  <c r="E499" i="5"/>
  <c r="E499" i="7" s="1"/>
  <c r="D499" i="5"/>
  <c r="D499" i="7" s="1"/>
  <c r="C499" i="5"/>
  <c r="C499" i="7" s="1"/>
  <c r="B499" i="5"/>
  <c r="B499" i="7" s="1"/>
  <c r="L498" i="5"/>
  <c r="L498" i="7" s="1"/>
  <c r="K498" i="5"/>
  <c r="K498" i="7" s="1"/>
  <c r="J498" i="5"/>
  <c r="J498" i="7" s="1"/>
  <c r="I498" i="5"/>
  <c r="I498" i="7" s="1"/>
  <c r="H498" i="5"/>
  <c r="H498" i="7" s="1"/>
  <c r="G498" i="5"/>
  <c r="G498" i="7" s="1"/>
  <c r="F498" i="5"/>
  <c r="F498" i="7" s="1"/>
  <c r="E498" i="5"/>
  <c r="E498" i="7" s="1"/>
  <c r="D498" i="5"/>
  <c r="D498" i="7" s="1"/>
  <c r="C498" i="5"/>
  <c r="C498" i="7" s="1"/>
  <c r="B498" i="5"/>
  <c r="B498" i="7" s="1"/>
  <c r="L497" i="5"/>
  <c r="L497" i="7" s="1"/>
  <c r="J497" i="5"/>
  <c r="J497" i="7" s="1"/>
  <c r="I497" i="5"/>
  <c r="I497" i="7" s="1"/>
  <c r="H497" i="5"/>
  <c r="H497" i="7" s="1"/>
  <c r="G497" i="5"/>
  <c r="G497" i="7" s="1"/>
  <c r="F497" i="5"/>
  <c r="F497" i="7" s="1"/>
  <c r="E497" i="5"/>
  <c r="D497" i="5"/>
  <c r="D497" i="7" s="1"/>
  <c r="C497" i="5"/>
  <c r="C497" i="7" s="1"/>
  <c r="B497" i="5"/>
  <c r="B497" i="7" s="1"/>
  <c r="L496" i="5"/>
  <c r="L496" i="7" s="1"/>
  <c r="K496" i="5"/>
  <c r="K496" i="7" s="1"/>
  <c r="J496" i="5"/>
  <c r="J496" i="7" s="1"/>
  <c r="I496" i="5"/>
  <c r="I496" i="7" s="1"/>
  <c r="H496" i="5"/>
  <c r="H496" i="7" s="1"/>
  <c r="G496" i="5"/>
  <c r="G496" i="7" s="1"/>
  <c r="F496" i="5"/>
  <c r="F496" i="7" s="1"/>
  <c r="E496" i="5"/>
  <c r="E496" i="7" s="1"/>
  <c r="D496" i="5"/>
  <c r="D496" i="7" s="1"/>
  <c r="C496" i="5"/>
  <c r="C496" i="7" s="1"/>
  <c r="B496" i="5"/>
  <c r="B496" i="7" s="1"/>
  <c r="L495" i="5"/>
  <c r="L495" i="7" s="1"/>
  <c r="K495" i="5"/>
  <c r="K495" i="7" s="1"/>
  <c r="J495" i="5"/>
  <c r="J495" i="7" s="1"/>
  <c r="I495" i="5"/>
  <c r="I495" i="7" s="1"/>
  <c r="H495" i="5"/>
  <c r="H495" i="7" s="1"/>
  <c r="G495" i="5"/>
  <c r="G495" i="7" s="1"/>
  <c r="F495" i="5"/>
  <c r="F495" i="7" s="1"/>
  <c r="E495" i="5"/>
  <c r="E495" i="7" s="1"/>
  <c r="D495" i="5"/>
  <c r="D495" i="7" s="1"/>
  <c r="C495" i="5"/>
  <c r="C495" i="7" s="1"/>
  <c r="B495" i="5"/>
  <c r="B495" i="7" s="1"/>
  <c r="L494" i="5"/>
  <c r="L494" i="7" s="1"/>
  <c r="J494" i="5"/>
  <c r="J494" i="7" s="1"/>
  <c r="I494" i="5"/>
  <c r="I494" i="7" s="1"/>
  <c r="H494" i="5"/>
  <c r="H494" i="7" s="1"/>
  <c r="G494" i="5"/>
  <c r="G494" i="7" s="1"/>
  <c r="F494" i="5"/>
  <c r="F494" i="7" s="1"/>
  <c r="E494" i="5"/>
  <c r="D494" i="5"/>
  <c r="D494" i="7" s="1"/>
  <c r="C494" i="5"/>
  <c r="C494" i="7" s="1"/>
  <c r="B494" i="5"/>
  <c r="B494" i="7" s="1"/>
  <c r="L493" i="5"/>
  <c r="L493" i="7" s="1"/>
  <c r="K493" i="5"/>
  <c r="K493" i="7" s="1"/>
  <c r="J493" i="5"/>
  <c r="J493" i="7" s="1"/>
  <c r="I493" i="5"/>
  <c r="I493" i="7" s="1"/>
  <c r="H493" i="5"/>
  <c r="H493" i="7" s="1"/>
  <c r="G493" i="5"/>
  <c r="G493" i="7" s="1"/>
  <c r="F493" i="5"/>
  <c r="F493" i="7" s="1"/>
  <c r="E493" i="5"/>
  <c r="E493" i="7" s="1"/>
  <c r="D493" i="5"/>
  <c r="D493" i="7" s="1"/>
  <c r="C493" i="5"/>
  <c r="C493" i="7" s="1"/>
  <c r="B493" i="5"/>
  <c r="B493" i="7" s="1"/>
  <c r="L492" i="5"/>
  <c r="L492" i="7" s="1"/>
  <c r="J492" i="5"/>
  <c r="J492" i="7" s="1"/>
  <c r="I492" i="5"/>
  <c r="I492" i="7" s="1"/>
  <c r="H492" i="5"/>
  <c r="H492" i="7" s="1"/>
  <c r="G492" i="5"/>
  <c r="G492" i="7" s="1"/>
  <c r="F492" i="5"/>
  <c r="F492" i="7" s="1"/>
  <c r="E492" i="5"/>
  <c r="E492" i="7" s="1"/>
  <c r="D492" i="5"/>
  <c r="D492" i="7" s="1"/>
  <c r="C492" i="5"/>
  <c r="C492" i="7" s="1"/>
  <c r="B492" i="5"/>
  <c r="B492" i="7" s="1"/>
  <c r="L491" i="5"/>
  <c r="L491" i="7" s="1"/>
  <c r="K491" i="5"/>
  <c r="K491" i="7" s="1"/>
  <c r="J491" i="5"/>
  <c r="J491" i="7" s="1"/>
  <c r="I491" i="5"/>
  <c r="I491" i="7" s="1"/>
  <c r="H491" i="5"/>
  <c r="H491" i="7" s="1"/>
  <c r="G491" i="5"/>
  <c r="G491" i="7" s="1"/>
  <c r="F491" i="5"/>
  <c r="F491" i="7" s="1"/>
  <c r="E491" i="5"/>
  <c r="E491" i="7" s="1"/>
  <c r="D491" i="5"/>
  <c r="D491" i="7" s="1"/>
  <c r="C491" i="5"/>
  <c r="C491" i="7" s="1"/>
  <c r="B491" i="5"/>
  <c r="B491" i="7" s="1"/>
  <c r="L490" i="5"/>
  <c r="L490" i="7" s="1"/>
  <c r="K490" i="5"/>
  <c r="K490" i="7" s="1"/>
  <c r="J490" i="5"/>
  <c r="J490" i="7" s="1"/>
  <c r="I490" i="5"/>
  <c r="I490" i="7" s="1"/>
  <c r="H490" i="5"/>
  <c r="H490" i="7" s="1"/>
  <c r="G490" i="5"/>
  <c r="G490" i="7" s="1"/>
  <c r="F490" i="5"/>
  <c r="F490" i="7" s="1"/>
  <c r="E490" i="5"/>
  <c r="E490" i="7" s="1"/>
  <c r="D490" i="5"/>
  <c r="D490" i="7" s="1"/>
  <c r="C490" i="5"/>
  <c r="C490" i="7" s="1"/>
  <c r="B490" i="5"/>
  <c r="B490" i="7" s="1"/>
  <c r="L489" i="5"/>
  <c r="L489" i="7" s="1"/>
  <c r="K489" i="5"/>
  <c r="K489" i="7" s="1"/>
  <c r="J489" i="5"/>
  <c r="J489" i="7" s="1"/>
  <c r="I489" i="5"/>
  <c r="I489" i="7" s="1"/>
  <c r="H489" i="5"/>
  <c r="H489" i="7" s="1"/>
  <c r="G489" i="5"/>
  <c r="G489" i="7" s="1"/>
  <c r="F489" i="5"/>
  <c r="F489" i="7" s="1"/>
  <c r="E489" i="5"/>
  <c r="E489" i="7" s="1"/>
  <c r="D489" i="5"/>
  <c r="D489" i="7" s="1"/>
  <c r="C489" i="5"/>
  <c r="C489" i="7" s="1"/>
  <c r="B489" i="5"/>
  <c r="B489" i="7" s="1"/>
  <c r="L488" i="5"/>
  <c r="L488" i="7" s="1"/>
  <c r="J488" i="5"/>
  <c r="J488" i="7" s="1"/>
  <c r="I488" i="5"/>
  <c r="I488" i="7" s="1"/>
  <c r="H488" i="5"/>
  <c r="H488" i="7" s="1"/>
  <c r="G488" i="5"/>
  <c r="G488" i="7" s="1"/>
  <c r="F488" i="5"/>
  <c r="F488" i="7" s="1"/>
  <c r="E488" i="5"/>
  <c r="D488" i="5"/>
  <c r="D488" i="7" s="1"/>
  <c r="C488" i="5"/>
  <c r="C488" i="7" s="1"/>
  <c r="B488" i="5"/>
  <c r="B488" i="7" s="1"/>
  <c r="L487" i="5"/>
  <c r="L487" i="7" s="1"/>
  <c r="J487" i="5"/>
  <c r="J487" i="7" s="1"/>
  <c r="I487" i="5"/>
  <c r="I487" i="7" s="1"/>
  <c r="H487" i="5"/>
  <c r="H487" i="7" s="1"/>
  <c r="G487" i="5"/>
  <c r="G487" i="7" s="1"/>
  <c r="F487" i="5"/>
  <c r="F487" i="7" s="1"/>
  <c r="E487" i="5"/>
  <c r="D487" i="5"/>
  <c r="D487" i="7" s="1"/>
  <c r="C487" i="5"/>
  <c r="C487" i="7" s="1"/>
  <c r="B487" i="5"/>
  <c r="B487" i="7" s="1"/>
  <c r="L486" i="5"/>
  <c r="L486" i="7" s="1"/>
  <c r="J486" i="5"/>
  <c r="J486" i="7" s="1"/>
  <c r="I486" i="5"/>
  <c r="I486" i="7" s="1"/>
  <c r="H486" i="5"/>
  <c r="H486" i="7" s="1"/>
  <c r="G486" i="5"/>
  <c r="G486" i="7" s="1"/>
  <c r="F486" i="5"/>
  <c r="F486" i="7" s="1"/>
  <c r="E486" i="5"/>
  <c r="E486" i="7" s="1"/>
  <c r="D486" i="5"/>
  <c r="D486" i="7" s="1"/>
  <c r="C486" i="5"/>
  <c r="C486" i="7" s="1"/>
  <c r="B486" i="5"/>
  <c r="B486" i="7" s="1"/>
  <c r="L485" i="5"/>
  <c r="L485" i="7" s="1"/>
  <c r="K485" i="5"/>
  <c r="K485" i="7" s="1"/>
  <c r="J485" i="5"/>
  <c r="J485" i="7" s="1"/>
  <c r="I485" i="5"/>
  <c r="I485" i="7" s="1"/>
  <c r="H485" i="5"/>
  <c r="H485" i="7" s="1"/>
  <c r="G485" i="5"/>
  <c r="G485" i="7" s="1"/>
  <c r="F485" i="5"/>
  <c r="F485" i="7" s="1"/>
  <c r="E485" i="5"/>
  <c r="E485" i="7" s="1"/>
  <c r="D485" i="5"/>
  <c r="D485" i="7" s="1"/>
  <c r="C485" i="5"/>
  <c r="C485" i="7" s="1"/>
  <c r="B485" i="5"/>
  <c r="B485" i="7" s="1"/>
  <c r="L484" i="5"/>
  <c r="L484" i="7" s="1"/>
  <c r="K484" i="5"/>
  <c r="K484" i="7" s="1"/>
  <c r="J484" i="5"/>
  <c r="J484" i="7" s="1"/>
  <c r="I484" i="5"/>
  <c r="I484" i="7" s="1"/>
  <c r="H484" i="5"/>
  <c r="H484" i="7" s="1"/>
  <c r="G484" i="5"/>
  <c r="G484" i="7" s="1"/>
  <c r="F484" i="5"/>
  <c r="F484" i="7" s="1"/>
  <c r="E484" i="5"/>
  <c r="E484" i="7" s="1"/>
  <c r="D484" i="5"/>
  <c r="D484" i="7" s="1"/>
  <c r="C484" i="5"/>
  <c r="C484" i="7" s="1"/>
  <c r="B484" i="5"/>
  <c r="B484" i="7" s="1"/>
  <c r="L483" i="5"/>
  <c r="L483" i="7" s="1"/>
  <c r="J483" i="5"/>
  <c r="J483" i="7" s="1"/>
  <c r="I483" i="5"/>
  <c r="I483" i="7" s="1"/>
  <c r="H483" i="5"/>
  <c r="H483" i="7" s="1"/>
  <c r="G483" i="5"/>
  <c r="G483" i="7" s="1"/>
  <c r="F483" i="5"/>
  <c r="F483" i="7" s="1"/>
  <c r="E483" i="5"/>
  <c r="D483" i="5"/>
  <c r="D483" i="7" s="1"/>
  <c r="C483" i="5"/>
  <c r="C483" i="7" s="1"/>
  <c r="B483" i="5"/>
  <c r="B483" i="7" s="1"/>
  <c r="L482" i="5"/>
  <c r="L482" i="7" s="1"/>
  <c r="J482" i="5"/>
  <c r="J482" i="7" s="1"/>
  <c r="I482" i="5"/>
  <c r="I482" i="7" s="1"/>
  <c r="H482" i="5"/>
  <c r="H482" i="7" s="1"/>
  <c r="G482" i="5"/>
  <c r="G482" i="7" s="1"/>
  <c r="F482" i="5"/>
  <c r="F482" i="7" s="1"/>
  <c r="E482" i="5"/>
  <c r="E482" i="7" s="1"/>
  <c r="D482" i="5"/>
  <c r="D482" i="7" s="1"/>
  <c r="C482" i="5"/>
  <c r="C482" i="7" s="1"/>
  <c r="B482" i="5"/>
  <c r="B482" i="7" s="1"/>
  <c r="L481" i="5"/>
  <c r="L481" i="7" s="1"/>
  <c r="K481" i="5"/>
  <c r="K481" i="7" s="1"/>
  <c r="J481" i="5"/>
  <c r="J481" i="7" s="1"/>
  <c r="I481" i="5"/>
  <c r="I481" i="7" s="1"/>
  <c r="H481" i="5"/>
  <c r="H481" i="7" s="1"/>
  <c r="G481" i="5"/>
  <c r="G481" i="7" s="1"/>
  <c r="F481" i="5"/>
  <c r="F481" i="7" s="1"/>
  <c r="E481" i="5"/>
  <c r="E481" i="7" s="1"/>
  <c r="D481" i="5"/>
  <c r="D481" i="7" s="1"/>
  <c r="C481" i="5"/>
  <c r="C481" i="7" s="1"/>
  <c r="B481" i="5"/>
  <c r="B481" i="7" s="1"/>
  <c r="L480" i="5"/>
  <c r="L480" i="7" s="1"/>
  <c r="J480" i="5"/>
  <c r="J480" i="7" s="1"/>
  <c r="I480" i="5"/>
  <c r="I480" i="7" s="1"/>
  <c r="H480" i="5"/>
  <c r="H480" i="7" s="1"/>
  <c r="G480" i="5"/>
  <c r="G480" i="7" s="1"/>
  <c r="F480" i="5"/>
  <c r="F480" i="7" s="1"/>
  <c r="E480" i="5"/>
  <c r="D480" i="5"/>
  <c r="D480" i="7" s="1"/>
  <c r="C480" i="5"/>
  <c r="C480" i="7" s="1"/>
  <c r="B480" i="5"/>
  <c r="B480" i="7" s="1"/>
  <c r="L479" i="5"/>
  <c r="L479" i="7" s="1"/>
  <c r="K479" i="5"/>
  <c r="K479" i="7" s="1"/>
  <c r="J479" i="5"/>
  <c r="J479" i="7" s="1"/>
  <c r="I479" i="5"/>
  <c r="I479" i="7" s="1"/>
  <c r="H479" i="5"/>
  <c r="H479" i="7" s="1"/>
  <c r="G479" i="5"/>
  <c r="G479" i="7" s="1"/>
  <c r="F479" i="5"/>
  <c r="F479" i="7" s="1"/>
  <c r="E479" i="5"/>
  <c r="E479" i="7" s="1"/>
  <c r="D479" i="5"/>
  <c r="D479" i="7" s="1"/>
  <c r="C479" i="5"/>
  <c r="C479" i="7" s="1"/>
  <c r="B479" i="5"/>
  <c r="B479" i="7" s="1"/>
  <c r="L478" i="5"/>
  <c r="L478" i="7" s="1"/>
  <c r="J478" i="5"/>
  <c r="J478" i="7" s="1"/>
  <c r="I478" i="5"/>
  <c r="I478" i="7" s="1"/>
  <c r="H478" i="5"/>
  <c r="H478" i="7" s="1"/>
  <c r="G478" i="5"/>
  <c r="G478" i="7" s="1"/>
  <c r="F478" i="5"/>
  <c r="F478" i="7" s="1"/>
  <c r="E478" i="5"/>
  <c r="E478" i="7" s="1"/>
  <c r="D478" i="5"/>
  <c r="D478" i="7" s="1"/>
  <c r="C478" i="5"/>
  <c r="C478" i="7" s="1"/>
  <c r="B478" i="5"/>
  <c r="B478" i="7" s="1"/>
  <c r="L477" i="5"/>
  <c r="L477" i="7" s="1"/>
  <c r="K477" i="5"/>
  <c r="K477" i="7" s="1"/>
  <c r="J477" i="5"/>
  <c r="J477" i="7" s="1"/>
  <c r="I477" i="5"/>
  <c r="I477" i="7" s="1"/>
  <c r="H477" i="5"/>
  <c r="H477" i="7" s="1"/>
  <c r="G477" i="5"/>
  <c r="G477" i="7" s="1"/>
  <c r="F477" i="5"/>
  <c r="F477" i="7" s="1"/>
  <c r="E477" i="5"/>
  <c r="E477" i="7" s="1"/>
  <c r="D477" i="5"/>
  <c r="D477" i="7" s="1"/>
  <c r="C477" i="5"/>
  <c r="C477" i="7" s="1"/>
  <c r="B477" i="5"/>
  <c r="B477" i="7" s="1"/>
  <c r="L476" i="5"/>
  <c r="L476" i="7" s="1"/>
  <c r="K476" i="5"/>
  <c r="K476" i="7" s="1"/>
  <c r="J476" i="5"/>
  <c r="J476" i="7" s="1"/>
  <c r="I476" i="5"/>
  <c r="I476" i="7" s="1"/>
  <c r="H476" i="5"/>
  <c r="H476" i="7" s="1"/>
  <c r="G476" i="5"/>
  <c r="G476" i="7" s="1"/>
  <c r="F476" i="5"/>
  <c r="F476" i="7" s="1"/>
  <c r="E476" i="5"/>
  <c r="E476" i="7" s="1"/>
  <c r="D476" i="5"/>
  <c r="D476" i="7" s="1"/>
  <c r="C476" i="5"/>
  <c r="C476" i="7" s="1"/>
  <c r="B476" i="5"/>
  <c r="B476" i="7" s="1"/>
  <c r="L475" i="5"/>
  <c r="L475" i="7" s="1"/>
  <c r="K475" i="5"/>
  <c r="K475" i="7" s="1"/>
  <c r="J475" i="5"/>
  <c r="J475" i="7" s="1"/>
  <c r="I475" i="5"/>
  <c r="I475" i="7" s="1"/>
  <c r="H475" i="5"/>
  <c r="H475" i="7" s="1"/>
  <c r="G475" i="5"/>
  <c r="G475" i="7" s="1"/>
  <c r="F475" i="5"/>
  <c r="F475" i="7" s="1"/>
  <c r="E475" i="5"/>
  <c r="E475" i="7" s="1"/>
  <c r="D475" i="5"/>
  <c r="D475" i="7" s="1"/>
  <c r="C475" i="5"/>
  <c r="C475" i="7" s="1"/>
  <c r="B475" i="5"/>
  <c r="B475" i="7" s="1"/>
  <c r="L474" i="5"/>
  <c r="L474" i="7" s="1"/>
  <c r="J474" i="5"/>
  <c r="J474" i="7" s="1"/>
  <c r="I474" i="5"/>
  <c r="I474" i="7" s="1"/>
  <c r="H474" i="5"/>
  <c r="H474" i="7" s="1"/>
  <c r="G474" i="5"/>
  <c r="G474" i="7" s="1"/>
  <c r="F474" i="5"/>
  <c r="F474" i="7" s="1"/>
  <c r="E474" i="5"/>
  <c r="D474" i="5"/>
  <c r="D474" i="7" s="1"/>
  <c r="C474" i="5"/>
  <c r="C474" i="7" s="1"/>
  <c r="B474" i="5"/>
  <c r="B474" i="7" s="1"/>
  <c r="L473" i="5"/>
  <c r="L473" i="7" s="1"/>
  <c r="J473" i="5"/>
  <c r="J473" i="7" s="1"/>
  <c r="I473" i="5"/>
  <c r="I473" i="7" s="1"/>
  <c r="H473" i="5"/>
  <c r="H473" i="7" s="1"/>
  <c r="G473" i="5"/>
  <c r="G473" i="7" s="1"/>
  <c r="F473" i="5"/>
  <c r="F473" i="7" s="1"/>
  <c r="E473" i="5"/>
  <c r="D473" i="5"/>
  <c r="D473" i="7" s="1"/>
  <c r="C473" i="5"/>
  <c r="C473" i="7" s="1"/>
  <c r="B473" i="5"/>
  <c r="B473" i="7" s="1"/>
  <c r="L472" i="5"/>
  <c r="L472" i="7" s="1"/>
  <c r="J472" i="5"/>
  <c r="J472" i="7" s="1"/>
  <c r="I472" i="5"/>
  <c r="I472" i="7" s="1"/>
  <c r="H472" i="5"/>
  <c r="H472" i="7" s="1"/>
  <c r="G472" i="5"/>
  <c r="G472" i="7" s="1"/>
  <c r="F472" i="5"/>
  <c r="F472" i="7" s="1"/>
  <c r="E472" i="5"/>
  <c r="E472" i="7" s="1"/>
  <c r="D472" i="5"/>
  <c r="D472" i="7" s="1"/>
  <c r="C472" i="5"/>
  <c r="C472" i="7" s="1"/>
  <c r="B472" i="5"/>
  <c r="B472" i="7" s="1"/>
  <c r="L471" i="5"/>
  <c r="L471" i="7" s="1"/>
  <c r="K471" i="5"/>
  <c r="K471" i="7" s="1"/>
  <c r="J471" i="5"/>
  <c r="J471" i="7" s="1"/>
  <c r="I471" i="5"/>
  <c r="I471" i="7" s="1"/>
  <c r="H471" i="5"/>
  <c r="H471" i="7" s="1"/>
  <c r="G471" i="5"/>
  <c r="G471" i="7" s="1"/>
  <c r="F471" i="5"/>
  <c r="F471" i="7" s="1"/>
  <c r="E471" i="5"/>
  <c r="E471" i="7" s="1"/>
  <c r="D471" i="5"/>
  <c r="D471" i="7" s="1"/>
  <c r="C471" i="5"/>
  <c r="C471" i="7" s="1"/>
  <c r="B471" i="5"/>
  <c r="B471" i="7" s="1"/>
  <c r="L470" i="5"/>
  <c r="L470" i="7" s="1"/>
  <c r="K470" i="5"/>
  <c r="K470" i="7" s="1"/>
  <c r="J470" i="5"/>
  <c r="J470" i="7" s="1"/>
  <c r="I470" i="5"/>
  <c r="I470" i="7" s="1"/>
  <c r="H470" i="5"/>
  <c r="H470" i="7" s="1"/>
  <c r="G470" i="5"/>
  <c r="G470" i="7" s="1"/>
  <c r="F470" i="5"/>
  <c r="F470" i="7" s="1"/>
  <c r="E470" i="5"/>
  <c r="E470" i="7" s="1"/>
  <c r="D470" i="5"/>
  <c r="D470" i="7" s="1"/>
  <c r="C470" i="5"/>
  <c r="C470" i="7" s="1"/>
  <c r="B470" i="5"/>
  <c r="B470" i="7" s="1"/>
  <c r="L469" i="5"/>
  <c r="L469" i="7" s="1"/>
  <c r="J469" i="5"/>
  <c r="J469" i="7" s="1"/>
  <c r="I469" i="5"/>
  <c r="I469" i="7" s="1"/>
  <c r="H469" i="5"/>
  <c r="H469" i="7" s="1"/>
  <c r="G469" i="5"/>
  <c r="G469" i="7" s="1"/>
  <c r="F469" i="5"/>
  <c r="F469" i="7" s="1"/>
  <c r="E469" i="5"/>
  <c r="D469" i="5"/>
  <c r="D469" i="7" s="1"/>
  <c r="C469" i="5"/>
  <c r="C469" i="7" s="1"/>
  <c r="B469" i="5"/>
  <c r="B469" i="7" s="1"/>
  <c r="L468" i="5"/>
  <c r="L468" i="7" s="1"/>
  <c r="K468" i="5"/>
  <c r="K468" i="7" s="1"/>
  <c r="J468" i="5"/>
  <c r="J468" i="7" s="1"/>
  <c r="I468" i="5"/>
  <c r="I468" i="7" s="1"/>
  <c r="H468" i="5"/>
  <c r="H468" i="7" s="1"/>
  <c r="G468" i="5"/>
  <c r="G468" i="7" s="1"/>
  <c r="F468" i="5"/>
  <c r="F468" i="7" s="1"/>
  <c r="E468" i="5"/>
  <c r="E468" i="7" s="1"/>
  <c r="D468" i="5"/>
  <c r="D468" i="7" s="1"/>
  <c r="C468" i="5"/>
  <c r="C468" i="7" s="1"/>
  <c r="B468" i="5"/>
  <c r="B468" i="7" s="1"/>
  <c r="L467" i="5"/>
  <c r="L467" i="7" s="1"/>
  <c r="K467" i="5"/>
  <c r="K467" i="7" s="1"/>
  <c r="J467" i="5"/>
  <c r="J467" i="7" s="1"/>
  <c r="I467" i="5"/>
  <c r="I467" i="7" s="1"/>
  <c r="H467" i="5"/>
  <c r="H467" i="7" s="1"/>
  <c r="G467" i="5"/>
  <c r="G467" i="7" s="1"/>
  <c r="F467" i="5"/>
  <c r="F467" i="7" s="1"/>
  <c r="E467" i="5"/>
  <c r="E467" i="7" s="1"/>
  <c r="D467" i="5"/>
  <c r="D467" i="7" s="1"/>
  <c r="C467" i="5"/>
  <c r="C467" i="7" s="1"/>
  <c r="B467" i="5"/>
  <c r="B467" i="7" s="1"/>
  <c r="L466" i="5"/>
  <c r="L466" i="7" s="1"/>
  <c r="J466" i="5"/>
  <c r="J466" i="7" s="1"/>
  <c r="I466" i="5"/>
  <c r="I466" i="7" s="1"/>
  <c r="H466" i="5"/>
  <c r="H466" i="7" s="1"/>
  <c r="G466" i="5"/>
  <c r="G466" i="7" s="1"/>
  <c r="F466" i="5"/>
  <c r="F466" i="7" s="1"/>
  <c r="E466" i="5"/>
  <c r="D466" i="5"/>
  <c r="D466" i="7" s="1"/>
  <c r="C466" i="5"/>
  <c r="C466" i="7" s="1"/>
  <c r="B466" i="5"/>
  <c r="B466" i="7" s="1"/>
  <c r="L465" i="5"/>
  <c r="L465" i="7" s="1"/>
  <c r="K465" i="5"/>
  <c r="K465" i="7" s="1"/>
  <c r="J465" i="5"/>
  <c r="J465" i="7" s="1"/>
  <c r="I465" i="5"/>
  <c r="I465" i="7" s="1"/>
  <c r="H465" i="5"/>
  <c r="H465" i="7" s="1"/>
  <c r="G465" i="5"/>
  <c r="G465" i="7" s="1"/>
  <c r="F465" i="5"/>
  <c r="F465" i="7" s="1"/>
  <c r="E465" i="5"/>
  <c r="E465" i="7" s="1"/>
  <c r="D465" i="5"/>
  <c r="D465" i="7" s="1"/>
  <c r="C465" i="5"/>
  <c r="C465" i="7" s="1"/>
  <c r="B465" i="5"/>
  <c r="B465" i="7" s="1"/>
  <c r="L464" i="5"/>
  <c r="L464" i="7" s="1"/>
  <c r="J464" i="5"/>
  <c r="J464" i="7" s="1"/>
  <c r="I464" i="5"/>
  <c r="I464" i="7" s="1"/>
  <c r="H464" i="5"/>
  <c r="H464" i="7" s="1"/>
  <c r="G464" i="5"/>
  <c r="G464" i="7" s="1"/>
  <c r="F464" i="5"/>
  <c r="F464" i="7" s="1"/>
  <c r="E464" i="5"/>
  <c r="E464" i="7" s="1"/>
  <c r="D464" i="5"/>
  <c r="D464" i="7" s="1"/>
  <c r="C464" i="5"/>
  <c r="C464" i="7" s="1"/>
  <c r="B464" i="5"/>
  <c r="B464" i="7" s="1"/>
  <c r="L463" i="5"/>
  <c r="L463" i="7" s="1"/>
  <c r="K463" i="5"/>
  <c r="K463" i="7" s="1"/>
  <c r="J463" i="5"/>
  <c r="J463" i="7" s="1"/>
  <c r="I463" i="5"/>
  <c r="I463" i="7" s="1"/>
  <c r="H463" i="5"/>
  <c r="H463" i="7" s="1"/>
  <c r="G463" i="5"/>
  <c r="G463" i="7" s="1"/>
  <c r="F463" i="5"/>
  <c r="F463" i="7" s="1"/>
  <c r="E463" i="5"/>
  <c r="E463" i="7" s="1"/>
  <c r="D463" i="5"/>
  <c r="D463" i="7" s="1"/>
  <c r="C463" i="5"/>
  <c r="C463" i="7" s="1"/>
  <c r="B463" i="5"/>
  <c r="B463" i="7" s="1"/>
  <c r="L462" i="5"/>
  <c r="L462" i="7" s="1"/>
  <c r="K462" i="5"/>
  <c r="K462" i="7" s="1"/>
  <c r="J462" i="5"/>
  <c r="J462" i="7" s="1"/>
  <c r="I462" i="5"/>
  <c r="I462" i="7" s="1"/>
  <c r="H462" i="5"/>
  <c r="H462" i="7" s="1"/>
  <c r="G462" i="5"/>
  <c r="G462" i="7" s="1"/>
  <c r="F462" i="5"/>
  <c r="F462" i="7" s="1"/>
  <c r="E462" i="5"/>
  <c r="E462" i="7" s="1"/>
  <c r="D462" i="5"/>
  <c r="D462" i="7" s="1"/>
  <c r="C462" i="5"/>
  <c r="C462" i="7" s="1"/>
  <c r="B462" i="5"/>
  <c r="B462" i="7" s="1"/>
  <c r="L461" i="5"/>
  <c r="L461" i="7" s="1"/>
  <c r="J461" i="5"/>
  <c r="J461" i="7" s="1"/>
  <c r="I461" i="5"/>
  <c r="I461" i="7" s="1"/>
  <c r="H461" i="5"/>
  <c r="H461" i="7" s="1"/>
  <c r="G461" i="5"/>
  <c r="G461" i="7" s="1"/>
  <c r="F461" i="5"/>
  <c r="F461" i="7" s="1"/>
  <c r="E461" i="5"/>
  <c r="E461" i="7" s="1"/>
  <c r="D461" i="5"/>
  <c r="D461" i="7" s="1"/>
  <c r="C461" i="5"/>
  <c r="C461" i="7" s="1"/>
  <c r="B461" i="5"/>
  <c r="B461" i="7" s="1"/>
  <c r="L460" i="5"/>
  <c r="L460" i="7" s="1"/>
  <c r="J460" i="5"/>
  <c r="J460" i="7" s="1"/>
  <c r="I460" i="5"/>
  <c r="I460" i="7" s="1"/>
  <c r="H460" i="5"/>
  <c r="H460" i="7" s="1"/>
  <c r="G460" i="5"/>
  <c r="G460" i="7" s="1"/>
  <c r="F460" i="5"/>
  <c r="F460" i="7" s="1"/>
  <c r="E460" i="5"/>
  <c r="D460" i="5"/>
  <c r="D460" i="7" s="1"/>
  <c r="C460" i="5"/>
  <c r="C460" i="7" s="1"/>
  <c r="B460" i="5"/>
  <c r="B460" i="7" s="1"/>
  <c r="L459" i="5"/>
  <c r="L459" i="7" s="1"/>
  <c r="J459" i="5"/>
  <c r="J459" i="7" s="1"/>
  <c r="I459" i="5"/>
  <c r="I459" i="7" s="1"/>
  <c r="H459" i="5"/>
  <c r="H459" i="7" s="1"/>
  <c r="G459" i="5"/>
  <c r="G459" i="7" s="1"/>
  <c r="F459" i="5"/>
  <c r="F459" i="7" s="1"/>
  <c r="E459" i="5"/>
  <c r="D459" i="5"/>
  <c r="D459" i="7" s="1"/>
  <c r="C459" i="5"/>
  <c r="C459" i="7" s="1"/>
  <c r="B459" i="5"/>
  <c r="B459" i="7" s="1"/>
  <c r="L458" i="5"/>
  <c r="L458" i="7" s="1"/>
  <c r="J458" i="5"/>
  <c r="J458" i="7" s="1"/>
  <c r="I458" i="5"/>
  <c r="I458" i="7" s="1"/>
  <c r="H458" i="5"/>
  <c r="H458" i="7" s="1"/>
  <c r="G458" i="5"/>
  <c r="G458" i="7" s="1"/>
  <c r="F458" i="5"/>
  <c r="F458" i="7" s="1"/>
  <c r="E458" i="5"/>
  <c r="E458" i="7" s="1"/>
  <c r="D458" i="5"/>
  <c r="D458" i="7" s="1"/>
  <c r="C458" i="5"/>
  <c r="C458" i="7" s="1"/>
  <c r="B458" i="5"/>
  <c r="B458" i="7" s="1"/>
  <c r="L457" i="5"/>
  <c r="L457" i="7" s="1"/>
  <c r="K457" i="5"/>
  <c r="K457" i="7" s="1"/>
  <c r="J457" i="5"/>
  <c r="J457" i="7" s="1"/>
  <c r="I457" i="5"/>
  <c r="I457" i="7" s="1"/>
  <c r="H457" i="5"/>
  <c r="H457" i="7" s="1"/>
  <c r="G457" i="5"/>
  <c r="G457" i="7" s="1"/>
  <c r="F457" i="5"/>
  <c r="F457" i="7" s="1"/>
  <c r="E457" i="5"/>
  <c r="E457" i="7" s="1"/>
  <c r="D457" i="5"/>
  <c r="D457" i="7" s="1"/>
  <c r="C457" i="5"/>
  <c r="C457" i="7" s="1"/>
  <c r="B457" i="5"/>
  <c r="B457" i="7" s="1"/>
  <c r="L456" i="5"/>
  <c r="L456" i="7" s="1"/>
  <c r="K456" i="5"/>
  <c r="K456" i="7" s="1"/>
  <c r="J456" i="5"/>
  <c r="J456" i="7" s="1"/>
  <c r="I456" i="5"/>
  <c r="I456" i="7" s="1"/>
  <c r="H456" i="5"/>
  <c r="H456" i="7" s="1"/>
  <c r="G456" i="5"/>
  <c r="G456" i="7" s="1"/>
  <c r="F456" i="5"/>
  <c r="F456" i="7" s="1"/>
  <c r="E456" i="5"/>
  <c r="E456" i="7" s="1"/>
  <c r="D456" i="5"/>
  <c r="D456" i="7" s="1"/>
  <c r="C456" i="5"/>
  <c r="C456" i="7" s="1"/>
  <c r="B456" i="5"/>
  <c r="B456" i="7" s="1"/>
  <c r="L455" i="5"/>
  <c r="L455" i="7" s="1"/>
  <c r="J455" i="5"/>
  <c r="J455" i="7" s="1"/>
  <c r="I455" i="5"/>
  <c r="I455" i="7" s="1"/>
  <c r="H455" i="5"/>
  <c r="H455" i="7" s="1"/>
  <c r="G455" i="5"/>
  <c r="G455" i="7" s="1"/>
  <c r="F455" i="5"/>
  <c r="F455" i="7" s="1"/>
  <c r="E455" i="5"/>
  <c r="D455" i="5"/>
  <c r="D455" i="7" s="1"/>
  <c r="C455" i="5"/>
  <c r="C455" i="7" s="1"/>
  <c r="B455" i="5"/>
  <c r="B455" i="7" s="1"/>
  <c r="L454" i="5"/>
  <c r="L454" i="7" s="1"/>
  <c r="K454" i="5"/>
  <c r="K454" i="7" s="1"/>
  <c r="J454" i="5"/>
  <c r="J454" i="7" s="1"/>
  <c r="I454" i="5"/>
  <c r="I454" i="7" s="1"/>
  <c r="H454" i="5"/>
  <c r="H454" i="7" s="1"/>
  <c r="G454" i="5"/>
  <c r="G454" i="7" s="1"/>
  <c r="F454" i="5"/>
  <c r="F454" i="7" s="1"/>
  <c r="E454" i="5"/>
  <c r="E454" i="7" s="1"/>
  <c r="D454" i="5"/>
  <c r="D454" i="7" s="1"/>
  <c r="C454" i="5"/>
  <c r="C454" i="7" s="1"/>
  <c r="B454" i="5"/>
  <c r="B454" i="7" s="1"/>
  <c r="L453" i="5"/>
  <c r="L453" i="7" s="1"/>
  <c r="K453" i="5"/>
  <c r="K453" i="7" s="1"/>
  <c r="J453" i="5"/>
  <c r="J453" i="7" s="1"/>
  <c r="I453" i="5"/>
  <c r="I453" i="7" s="1"/>
  <c r="H453" i="5"/>
  <c r="H453" i="7" s="1"/>
  <c r="G453" i="5"/>
  <c r="G453" i="7" s="1"/>
  <c r="F453" i="5"/>
  <c r="F453" i="7" s="1"/>
  <c r="E453" i="5"/>
  <c r="E453" i="7" s="1"/>
  <c r="D453" i="5"/>
  <c r="D453" i="7" s="1"/>
  <c r="C453" i="5"/>
  <c r="C453" i="7" s="1"/>
  <c r="B453" i="5"/>
  <c r="B453" i="7" s="1"/>
  <c r="L452" i="5"/>
  <c r="L452" i="7" s="1"/>
  <c r="J452" i="5"/>
  <c r="J452" i="7" s="1"/>
  <c r="I452" i="5"/>
  <c r="I452" i="7" s="1"/>
  <c r="H452" i="5"/>
  <c r="H452" i="7" s="1"/>
  <c r="G452" i="5"/>
  <c r="G452" i="7" s="1"/>
  <c r="F452" i="5"/>
  <c r="F452" i="7" s="1"/>
  <c r="E452" i="5"/>
  <c r="D452" i="5"/>
  <c r="D452" i="7" s="1"/>
  <c r="C452" i="5"/>
  <c r="C452" i="7" s="1"/>
  <c r="B452" i="5"/>
  <c r="B452" i="7" s="1"/>
  <c r="L451" i="5"/>
  <c r="L451" i="7" s="1"/>
  <c r="K451" i="5"/>
  <c r="K451" i="7" s="1"/>
  <c r="J451" i="5"/>
  <c r="J451" i="7" s="1"/>
  <c r="I451" i="5"/>
  <c r="I451" i="7" s="1"/>
  <c r="H451" i="5"/>
  <c r="H451" i="7" s="1"/>
  <c r="G451" i="5"/>
  <c r="G451" i="7" s="1"/>
  <c r="F451" i="5"/>
  <c r="F451" i="7" s="1"/>
  <c r="E451" i="5"/>
  <c r="E451" i="7" s="1"/>
  <c r="D451" i="5"/>
  <c r="D451" i="7" s="1"/>
  <c r="C451" i="5"/>
  <c r="C451" i="7" s="1"/>
  <c r="B451" i="5"/>
  <c r="B451" i="7" s="1"/>
  <c r="L450" i="5"/>
  <c r="L450" i="7" s="1"/>
  <c r="J450" i="5"/>
  <c r="J450" i="7" s="1"/>
  <c r="I450" i="5"/>
  <c r="I450" i="7" s="1"/>
  <c r="H450" i="5"/>
  <c r="H450" i="7" s="1"/>
  <c r="G450" i="5"/>
  <c r="G450" i="7" s="1"/>
  <c r="F450" i="5"/>
  <c r="F450" i="7" s="1"/>
  <c r="E450" i="5"/>
  <c r="E450" i="7" s="1"/>
  <c r="D450" i="5"/>
  <c r="D450" i="7" s="1"/>
  <c r="C450" i="5"/>
  <c r="C450" i="7" s="1"/>
  <c r="B450" i="5"/>
  <c r="B450" i="7" s="1"/>
  <c r="L449" i="5"/>
  <c r="L449" i="7" s="1"/>
  <c r="K449" i="5"/>
  <c r="K449" i="7" s="1"/>
  <c r="J449" i="5"/>
  <c r="J449" i="7" s="1"/>
  <c r="I449" i="5"/>
  <c r="I449" i="7" s="1"/>
  <c r="H449" i="5"/>
  <c r="H449" i="7" s="1"/>
  <c r="G449" i="5"/>
  <c r="G449" i="7" s="1"/>
  <c r="F449" i="5"/>
  <c r="F449" i="7" s="1"/>
  <c r="E449" i="5"/>
  <c r="E449" i="7" s="1"/>
  <c r="D449" i="5"/>
  <c r="D449" i="7" s="1"/>
  <c r="C449" i="5"/>
  <c r="C449" i="7" s="1"/>
  <c r="B449" i="5"/>
  <c r="B449" i="7" s="1"/>
  <c r="L448" i="5"/>
  <c r="L448" i="7" s="1"/>
  <c r="K448" i="5"/>
  <c r="K448" i="7" s="1"/>
  <c r="J448" i="5"/>
  <c r="J448" i="7" s="1"/>
  <c r="I448" i="5"/>
  <c r="I448" i="7" s="1"/>
  <c r="H448" i="5"/>
  <c r="H448" i="7" s="1"/>
  <c r="G448" i="5"/>
  <c r="G448" i="7" s="1"/>
  <c r="F448" i="5"/>
  <c r="F448" i="7" s="1"/>
  <c r="E448" i="5"/>
  <c r="E448" i="7" s="1"/>
  <c r="D448" i="5"/>
  <c r="D448" i="7" s="1"/>
  <c r="C448" i="5"/>
  <c r="C448" i="7" s="1"/>
  <c r="B448" i="5"/>
  <c r="B448" i="7" s="1"/>
  <c r="L447" i="5"/>
  <c r="L447" i="7" s="1"/>
  <c r="K447" i="5"/>
  <c r="K447" i="7" s="1"/>
  <c r="J447" i="5"/>
  <c r="J447" i="7" s="1"/>
  <c r="I447" i="5"/>
  <c r="I447" i="7" s="1"/>
  <c r="H447" i="5"/>
  <c r="H447" i="7" s="1"/>
  <c r="G447" i="5"/>
  <c r="G447" i="7" s="1"/>
  <c r="F447" i="5"/>
  <c r="F447" i="7" s="1"/>
  <c r="E447" i="5"/>
  <c r="E447" i="7" s="1"/>
  <c r="D447" i="5"/>
  <c r="D447" i="7" s="1"/>
  <c r="C447" i="5"/>
  <c r="C447" i="7" s="1"/>
  <c r="B447" i="5"/>
  <c r="B447" i="7" s="1"/>
  <c r="L446" i="5"/>
  <c r="L446" i="7" s="1"/>
  <c r="J446" i="5"/>
  <c r="J446" i="7" s="1"/>
  <c r="I446" i="5"/>
  <c r="I446" i="7" s="1"/>
  <c r="H446" i="5"/>
  <c r="H446" i="7" s="1"/>
  <c r="G446" i="5"/>
  <c r="G446" i="7" s="1"/>
  <c r="F446" i="5"/>
  <c r="F446" i="7" s="1"/>
  <c r="E446" i="5"/>
  <c r="D446" i="5"/>
  <c r="D446" i="7" s="1"/>
  <c r="C446" i="5"/>
  <c r="C446" i="7" s="1"/>
  <c r="B446" i="5"/>
  <c r="B446" i="7" s="1"/>
  <c r="L445" i="5"/>
  <c r="L445" i="7" s="1"/>
  <c r="J445" i="5"/>
  <c r="J445" i="7" s="1"/>
  <c r="I445" i="5"/>
  <c r="I445" i="7" s="1"/>
  <c r="H445" i="5"/>
  <c r="H445" i="7" s="1"/>
  <c r="G445" i="5"/>
  <c r="G445" i="7" s="1"/>
  <c r="F445" i="5"/>
  <c r="F445" i="7" s="1"/>
  <c r="E445" i="5"/>
  <c r="D445" i="5"/>
  <c r="D445" i="7" s="1"/>
  <c r="C445" i="5"/>
  <c r="C445" i="7" s="1"/>
  <c r="B445" i="5"/>
  <c r="B445" i="7" s="1"/>
  <c r="L444" i="5"/>
  <c r="L444" i="7" s="1"/>
  <c r="J444" i="5"/>
  <c r="J444" i="7" s="1"/>
  <c r="I444" i="5"/>
  <c r="I444" i="7" s="1"/>
  <c r="H444" i="5"/>
  <c r="H444" i="7" s="1"/>
  <c r="G444" i="5"/>
  <c r="G444" i="7" s="1"/>
  <c r="F444" i="5"/>
  <c r="F444" i="7" s="1"/>
  <c r="E444" i="5"/>
  <c r="E444" i="7" s="1"/>
  <c r="D444" i="5"/>
  <c r="D444" i="7" s="1"/>
  <c r="C444" i="5"/>
  <c r="C444" i="7" s="1"/>
  <c r="B444" i="5"/>
  <c r="B444" i="7" s="1"/>
  <c r="L443" i="5"/>
  <c r="L443" i="7" s="1"/>
  <c r="K443" i="5"/>
  <c r="K443" i="7" s="1"/>
  <c r="J443" i="5"/>
  <c r="J443" i="7" s="1"/>
  <c r="I443" i="5"/>
  <c r="I443" i="7" s="1"/>
  <c r="H443" i="5"/>
  <c r="H443" i="7" s="1"/>
  <c r="G443" i="5"/>
  <c r="G443" i="7" s="1"/>
  <c r="F443" i="5"/>
  <c r="F443" i="7" s="1"/>
  <c r="E443" i="5"/>
  <c r="E443" i="7" s="1"/>
  <c r="D443" i="5"/>
  <c r="D443" i="7" s="1"/>
  <c r="C443" i="5"/>
  <c r="C443" i="7" s="1"/>
  <c r="B443" i="5"/>
  <c r="B443" i="7" s="1"/>
  <c r="L442" i="5"/>
  <c r="L442" i="7" s="1"/>
  <c r="K442" i="5"/>
  <c r="K442" i="7" s="1"/>
  <c r="J442" i="5"/>
  <c r="J442" i="7" s="1"/>
  <c r="I442" i="5"/>
  <c r="I442" i="7" s="1"/>
  <c r="H442" i="5"/>
  <c r="H442" i="7" s="1"/>
  <c r="G442" i="5"/>
  <c r="G442" i="7" s="1"/>
  <c r="F442" i="5"/>
  <c r="F442" i="7" s="1"/>
  <c r="E442" i="5"/>
  <c r="E442" i="7" s="1"/>
  <c r="D442" i="5"/>
  <c r="D442" i="7" s="1"/>
  <c r="C442" i="5"/>
  <c r="C442" i="7" s="1"/>
  <c r="B442" i="5"/>
  <c r="B442" i="7" s="1"/>
  <c r="L441" i="5"/>
  <c r="L441" i="7" s="1"/>
  <c r="J441" i="5"/>
  <c r="J441" i="7" s="1"/>
  <c r="I441" i="5"/>
  <c r="I441" i="7" s="1"/>
  <c r="H441" i="5"/>
  <c r="H441" i="7" s="1"/>
  <c r="G441" i="5"/>
  <c r="G441" i="7" s="1"/>
  <c r="F441" i="5"/>
  <c r="F441" i="7" s="1"/>
  <c r="E441" i="5"/>
  <c r="D441" i="5"/>
  <c r="D441" i="7" s="1"/>
  <c r="C441" i="5"/>
  <c r="C441" i="7" s="1"/>
  <c r="B441" i="5"/>
  <c r="B441" i="7" s="1"/>
  <c r="L440" i="5"/>
  <c r="L440" i="7" s="1"/>
  <c r="J440" i="5"/>
  <c r="J440" i="7" s="1"/>
  <c r="I440" i="5"/>
  <c r="I440" i="7" s="1"/>
  <c r="H440" i="5"/>
  <c r="H440" i="7" s="1"/>
  <c r="G440" i="5"/>
  <c r="G440" i="7" s="1"/>
  <c r="F440" i="5"/>
  <c r="F440" i="7" s="1"/>
  <c r="E440" i="5"/>
  <c r="E440" i="7" s="1"/>
  <c r="D440" i="5"/>
  <c r="D440" i="7" s="1"/>
  <c r="C440" i="5"/>
  <c r="C440" i="7" s="1"/>
  <c r="B440" i="5"/>
  <c r="B440" i="7" s="1"/>
  <c r="L439" i="5"/>
  <c r="L439" i="7" s="1"/>
  <c r="K439" i="5"/>
  <c r="K439" i="7" s="1"/>
  <c r="J439" i="5"/>
  <c r="J439" i="7" s="1"/>
  <c r="I439" i="5"/>
  <c r="I439" i="7" s="1"/>
  <c r="H439" i="5"/>
  <c r="H439" i="7" s="1"/>
  <c r="G439" i="5"/>
  <c r="G439" i="7" s="1"/>
  <c r="F439" i="5"/>
  <c r="F439" i="7" s="1"/>
  <c r="E439" i="5"/>
  <c r="E439" i="7" s="1"/>
  <c r="D439" i="5"/>
  <c r="D439" i="7" s="1"/>
  <c r="C439" i="5"/>
  <c r="C439" i="7" s="1"/>
  <c r="B439" i="5"/>
  <c r="B439" i="7" s="1"/>
  <c r="L438" i="5"/>
  <c r="L438" i="7" s="1"/>
  <c r="J438" i="5"/>
  <c r="J438" i="7" s="1"/>
  <c r="I438" i="5"/>
  <c r="I438" i="7" s="1"/>
  <c r="H438" i="5"/>
  <c r="H438" i="7" s="1"/>
  <c r="G438" i="5"/>
  <c r="G438" i="7" s="1"/>
  <c r="F438" i="5"/>
  <c r="F438" i="7" s="1"/>
  <c r="E438" i="5"/>
  <c r="D438" i="5"/>
  <c r="D438" i="7" s="1"/>
  <c r="C438" i="5"/>
  <c r="C438" i="7" s="1"/>
  <c r="B438" i="5"/>
  <c r="B438" i="7" s="1"/>
  <c r="L437" i="5"/>
  <c r="L437" i="7" s="1"/>
  <c r="K437" i="5"/>
  <c r="K437" i="7" s="1"/>
  <c r="J437" i="5"/>
  <c r="J437" i="7" s="1"/>
  <c r="I437" i="5"/>
  <c r="I437" i="7" s="1"/>
  <c r="H437" i="5"/>
  <c r="H437" i="7" s="1"/>
  <c r="G437" i="5"/>
  <c r="G437" i="7" s="1"/>
  <c r="F437" i="5"/>
  <c r="F437" i="7" s="1"/>
  <c r="E437" i="5"/>
  <c r="E437" i="7" s="1"/>
  <c r="D437" i="5"/>
  <c r="D437" i="7" s="1"/>
  <c r="C437" i="5"/>
  <c r="C437" i="7" s="1"/>
  <c r="B437" i="5"/>
  <c r="B437" i="7" s="1"/>
  <c r="L436" i="5"/>
  <c r="L436" i="7" s="1"/>
  <c r="J436" i="5"/>
  <c r="J436" i="7" s="1"/>
  <c r="I436" i="5"/>
  <c r="I436" i="7" s="1"/>
  <c r="H436" i="5"/>
  <c r="H436" i="7" s="1"/>
  <c r="G436" i="5"/>
  <c r="G436" i="7" s="1"/>
  <c r="F436" i="5"/>
  <c r="F436" i="7" s="1"/>
  <c r="E436" i="5"/>
  <c r="E436" i="7" s="1"/>
  <c r="D436" i="5"/>
  <c r="D436" i="7" s="1"/>
  <c r="C436" i="5"/>
  <c r="C436" i="7" s="1"/>
  <c r="B436" i="5"/>
  <c r="B436" i="7" s="1"/>
  <c r="L435" i="5"/>
  <c r="L435" i="7" s="1"/>
  <c r="K435" i="5"/>
  <c r="K435" i="7" s="1"/>
  <c r="J435" i="5"/>
  <c r="J435" i="7" s="1"/>
  <c r="I435" i="5"/>
  <c r="I435" i="7" s="1"/>
  <c r="H435" i="5"/>
  <c r="H435" i="7" s="1"/>
  <c r="G435" i="5"/>
  <c r="G435" i="7" s="1"/>
  <c r="F435" i="5"/>
  <c r="F435" i="7" s="1"/>
  <c r="E435" i="5"/>
  <c r="E435" i="7" s="1"/>
  <c r="D435" i="5"/>
  <c r="D435" i="7" s="1"/>
  <c r="C435" i="5"/>
  <c r="C435" i="7" s="1"/>
  <c r="B435" i="5"/>
  <c r="B435" i="7" s="1"/>
  <c r="L434" i="5"/>
  <c r="L434" i="7" s="1"/>
  <c r="K434" i="5"/>
  <c r="K434" i="7" s="1"/>
  <c r="J434" i="5"/>
  <c r="J434" i="7" s="1"/>
  <c r="I434" i="5"/>
  <c r="I434" i="7" s="1"/>
  <c r="H434" i="5"/>
  <c r="H434" i="7" s="1"/>
  <c r="G434" i="5"/>
  <c r="G434" i="7" s="1"/>
  <c r="F434" i="5"/>
  <c r="F434" i="7" s="1"/>
  <c r="E434" i="5"/>
  <c r="E434" i="7" s="1"/>
  <c r="D434" i="5"/>
  <c r="D434" i="7" s="1"/>
  <c r="C434" i="5"/>
  <c r="C434" i="7" s="1"/>
  <c r="B434" i="5"/>
  <c r="B434" i="7" s="1"/>
  <c r="L433" i="5"/>
  <c r="L433" i="7" s="1"/>
  <c r="J433" i="5"/>
  <c r="J433" i="7" s="1"/>
  <c r="I433" i="5"/>
  <c r="I433" i="7" s="1"/>
  <c r="H433" i="5"/>
  <c r="H433" i="7" s="1"/>
  <c r="G433" i="5"/>
  <c r="G433" i="7" s="1"/>
  <c r="F433" i="5"/>
  <c r="F433" i="7" s="1"/>
  <c r="E433" i="5"/>
  <c r="E433" i="7" s="1"/>
  <c r="D433" i="5"/>
  <c r="D433" i="7" s="1"/>
  <c r="C433" i="5"/>
  <c r="C433" i="7" s="1"/>
  <c r="B433" i="5"/>
  <c r="B433" i="7" s="1"/>
  <c r="L432" i="5"/>
  <c r="L432" i="7" s="1"/>
  <c r="J432" i="5"/>
  <c r="J432" i="7" s="1"/>
  <c r="I432" i="5"/>
  <c r="I432" i="7" s="1"/>
  <c r="H432" i="5"/>
  <c r="H432" i="7" s="1"/>
  <c r="G432" i="5"/>
  <c r="G432" i="7" s="1"/>
  <c r="F432" i="5"/>
  <c r="F432" i="7" s="1"/>
  <c r="E432" i="5"/>
  <c r="D432" i="5"/>
  <c r="D432" i="7" s="1"/>
  <c r="C432" i="5"/>
  <c r="C432" i="7" s="1"/>
  <c r="B432" i="5"/>
  <c r="B432" i="7" s="1"/>
  <c r="L431" i="5"/>
  <c r="L431" i="7" s="1"/>
  <c r="J431" i="5"/>
  <c r="J431" i="7" s="1"/>
  <c r="I431" i="5"/>
  <c r="I431" i="7" s="1"/>
  <c r="H431" i="5"/>
  <c r="H431" i="7" s="1"/>
  <c r="G431" i="5"/>
  <c r="G431" i="7" s="1"/>
  <c r="F431" i="5"/>
  <c r="F431" i="7" s="1"/>
  <c r="E431" i="5"/>
  <c r="D431" i="5"/>
  <c r="D431" i="7" s="1"/>
  <c r="C431" i="5"/>
  <c r="C431" i="7" s="1"/>
  <c r="B431" i="5"/>
  <c r="B431" i="7" s="1"/>
  <c r="L430" i="5"/>
  <c r="L430" i="7" s="1"/>
  <c r="J430" i="5"/>
  <c r="J430" i="7" s="1"/>
  <c r="I430" i="5"/>
  <c r="I430" i="7" s="1"/>
  <c r="H430" i="5"/>
  <c r="H430" i="7" s="1"/>
  <c r="G430" i="5"/>
  <c r="G430" i="7" s="1"/>
  <c r="F430" i="5"/>
  <c r="F430" i="7" s="1"/>
  <c r="E430" i="5"/>
  <c r="E430" i="7" s="1"/>
  <c r="D430" i="5"/>
  <c r="D430" i="7" s="1"/>
  <c r="C430" i="5"/>
  <c r="C430" i="7" s="1"/>
  <c r="B430" i="5"/>
  <c r="B430" i="7" s="1"/>
  <c r="L429" i="5"/>
  <c r="L429" i="7" s="1"/>
  <c r="K429" i="5"/>
  <c r="K429" i="7" s="1"/>
  <c r="J429" i="5"/>
  <c r="J429" i="7" s="1"/>
  <c r="I429" i="5"/>
  <c r="I429" i="7" s="1"/>
  <c r="H429" i="5"/>
  <c r="H429" i="7" s="1"/>
  <c r="G429" i="5"/>
  <c r="G429" i="7" s="1"/>
  <c r="F429" i="5"/>
  <c r="F429" i="7" s="1"/>
  <c r="E429" i="5"/>
  <c r="E429" i="7" s="1"/>
  <c r="D429" i="5"/>
  <c r="D429" i="7" s="1"/>
  <c r="C429" i="5"/>
  <c r="C429" i="7" s="1"/>
  <c r="B429" i="5"/>
  <c r="B429" i="7" s="1"/>
  <c r="L428" i="5"/>
  <c r="L428" i="7" s="1"/>
  <c r="K428" i="5"/>
  <c r="K428" i="7" s="1"/>
  <c r="J428" i="5"/>
  <c r="J428" i="7" s="1"/>
  <c r="I428" i="5"/>
  <c r="I428" i="7" s="1"/>
  <c r="H428" i="5"/>
  <c r="H428" i="7" s="1"/>
  <c r="G428" i="5"/>
  <c r="G428" i="7" s="1"/>
  <c r="F428" i="5"/>
  <c r="F428" i="7" s="1"/>
  <c r="E428" i="5"/>
  <c r="E428" i="7" s="1"/>
  <c r="D428" i="5"/>
  <c r="D428" i="7" s="1"/>
  <c r="C428" i="5"/>
  <c r="C428" i="7" s="1"/>
  <c r="B428" i="5"/>
  <c r="B428" i="7" s="1"/>
  <c r="L427" i="5"/>
  <c r="L427" i="7" s="1"/>
  <c r="J427" i="5"/>
  <c r="J427" i="7" s="1"/>
  <c r="I427" i="5"/>
  <c r="I427" i="7" s="1"/>
  <c r="H427" i="5"/>
  <c r="H427" i="7" s="1"/>
  <c r="G427" i="5"/>
  <c r="G427" i="7" s="1"/>
  <c r="F427" i="5"/>
  <c r="F427" i="7" s="1"/>
  <c r="E427" i="5"/>
  <c r="D427" i="5"/>
  <c r="D427" i="7" s="1"/>
  <c r="C427" i="5"/>
  <c r="C427" i="7" s="1"/>
  <c r="B427" i="5"/>
  <c r="B427" i="7" s="1"/>
  <c r="L426" i="5"/>
  <c r="L426" i="7" s="1"/>
  <c r="K426" i="5"/>
  <c r="K426" i="7" s="1"/>
  <c r="J426" i="5"/>
  <c r="J426" i="7" s="1"/>
  <c r="I426" i="5"/>
  <c r="I426" i="7" s="1"/>
  <c r="H426" i="5"/>
  <c r="H426" i="7" s="1"/>
  <c r="G426" i="5"/>
  <c r="G426" i="7" s="1"/>
  <c r="F426" i="5"/>
  <c r="F426" i="7" s="1"/>
  <c r="E426" i="5"/>
  <c r="E426" i="7" s="1"/>
  <c r="D426" i="5"/>
  <c r="D426" i="7" s="1"/>
  <c r="C426" i="5"/>
  <c r="C426" i="7" s="1"/>
  <c r="B426" i="5"/>
  <c r="B426" i="7" s="1"/>
  <c r="L425" i="5"/>
  <c r="L425" i="7" s="1"/>
  <c r="K425" i="5"/>
  <c r="K425" i="7" s="1"/>
  <c r="J425" i="5"/>
  <c r="J425" i="7" s="1"/>
  <c r="I425" i="5"/>
  <c r="I425" i="7" s="1"/>
  <c r="H425" i="5"/>
  <c r="H425" i="7" s="1"/>
  <c r="G425" i="5"/>
  <c r="G425" i="7" s="1"/>
  <c r="F425" i="5"/>
  <c r="F425" i="7" s="1"/>
  <c r="E425" i="5"/>
  <c r="E425" i="7" s="1"/>
  <c r="D425" i="5"/>
  <c r="D425" i="7" s="1"/>
  <c r="C425" i="5"/>
  <c r="C425" i="7" s="1"/>
  <c r="B425" i="5"/>
  <c r="B425" i="7" s="1"/>
  <c r="L424" i="5"/>
  <c r="L424" i="7" s="1"/>
  <c r="J424" i="5"/>
  <c r="J424" i="7" s="1"/>
  <c r="I424" i="5"/>
  <c r="I424" i="7" s="1"/>
  <c r="H424" i="5"/>
  <c r="H424" i="7" s="1"/>
  <c r="G424" i="5"/>
  <c r="G424" i="7" s="1"/>
  <c r="F424" i="5"/>
  <c r="F424" i="7" s="1"/>
  <c r="E424" i="5"/>
  <c r="D424" i="5"/>
  <c r="D424" i="7" s="1"/>
  <c r="C424" i="5"/>
  <c r="C424" i="7" s="1"/>
  <c r="B424" i="5"/>
  <c r="B424" i="7" s="1"/>
  <c r="L423" i="5"/>
  <c r="L423" i="7" s="1"/>
  <c r="K423" i="5"/>
  <c r="K423" i="7" s="1"/>
  <c r="J423" i="5"/>
  <c r="J423" i="7" s="1"/>
  <c r="I423" i="5"/>
  <c r="I423" i="7" s="1"/>
  <c r="H423" i="5"/>
  <c r="H423" i="7" s="1"/>
  <c r="G423" i="5"/>
  <c r="G423" i="7" s="1"/>
  <c r="F423" i="5"/>
  <c r="F423" i="7" s="1"/>
  <c r="E423" i="5"/>
  <c r="E423" i="7" s="1"/>
  <c r="D423" i="5"/>
  <c r="D423" i="7" s="1"/>
  <c r="C423" i="5"/>
  <c r="C423" i="7" s="1"/>
  <c r="B423" i="5"/>
  <c r="B423" i="7" s="1"/>
  <c r="L422" i="5"/>
  <c r="L422" i="7" s="1"/>
  <c r="J422" i="5"/>
  <c r="J422" i="7" s="1"/>
  <c r="I422" i="5"/>
  <c r="I422" i="7" s="1"/>
  <c r="H422" i="5"/>
  <c r="H422" i="7" s="1"/>
  <c r="G422" i="5"/>
  <c r="G422" i="7" s="1"/>
  <c r="F422" i="5"/>
  <c r="F422" i="7" s="1"/>
  <c r="E422" i="5"/>
  <c r="E422" i="7" s="1"/>
  <c r="D422" i="5"/>
  <c r="D422" i="7" s="1"/>
  <c r="C422" i="5"/>
  <c r="C422" i="7" s="1"/>
  <c r="B422" i="5"/>
  <c r="B422" i="7" s="1"/>
  <c r="L421" i="5"/>
  <c r="L421" i="7" s="1"/>
  <c r="K421" i="5"/>
  <c r="K421" i="7" s="1"/>
  <c r="J421" i="5"/>
  <c r="J421" i="7" s="1"/>
  <c r="I421" i="5"/>
  <c r="I421" i="7" s="1"/>
  <c r="H421" i="5"/>
  <c r="H421" i="7" s="1"/>
  <c r="G421" i="5"/>
  <c r="G421" i="7" s="1"/>
  <c r="F421" i="5"/>
  <c r="F421" i="7" s="1"/>
  <c r="E421" i="5"/>
  <c r="E421" i="7" s="1"/>
  <c r="D421" i="5"/>
  <c r="D421" i="7" s="1"/>
  <c r="C421" i="5"/>
  <c r="C421" i="7" s="1"/>
  <c r="B421" i="5"/>
  <c r="B421" i="7" s="1"/>
  <c r="L420" i="5"/>
  <c r="L420" i="7" s="1"/>
  <c r="K420" i="5"/>
  <c r="K420" i="7" s="1"/>
  <c r="J420" i="5"/>
  <c r="J420" i="7" s="1"/>
  <c r="I420" i="5"/>
  <c r="I420" i="7" s="1"/>
  <c r="H420" i="5"/>
  <c r="H420" i="7" s="1"/>
  <c r="G420" i="5"/>
  <c r="G420" i="7" s="1"/>
  <c r="F420" i="5"/>
  <c r="F420" i="7" s="1"/>
  <c r="E420" i="5"/>
  <c r="E420" i="7" s="1"/>
  <c r="D420" i="5"/>
  <c r="D420" i="7" s="1"/>
  <c r="C420" i="5"/>
  <c r="C420" i="7" s="1"/>
  <c r="B420" i="5"/>
  <c r="B420" i="7" s="1"/>
  <c r="L419" i="5"/>
  <c r="L419" i="7" s="1"/>
  <c r="J419" i="5"/>
  <c r="J419" i="7" s="1"/>
  <c r="I419" i="5"/>
  <c r="I419" i="7" s="1"/>
  <c r="H419" i="5"/>
  <c r="H419" i="7" s="1"/>
  <c r="G419" i="5"/>
  <c r="G419" i="7" s="1"/>
  <c r="F419" i="5"/>
  <c r="F419" i="7" s="1"/>
  <c r="E419" i="5"/>
  <c r="E419" i="7" s="1"/>
  <c r="D419" i="5"/>
  <c r="D419" i="7" s="1"/>
  <c r="C419" i="5"/>
  <c r="C419" i="7" s="1"/>
  <c r="B419" i="5"/>
  <c r="B419" i="7" s="1"/>
  <c r="L418" i="5"/>
  <c r="L418" i="7" s="1"/>
  <c r="J418" i="5"/>
  <c r="J418" i="7" s="1"/>
  <c r="I418" i="5"/>
  <c r="I418" i="7" s="1"/>
  <c r="H418" i="5"/>
  <c r="H418" i="7" s="1"/>
  <c r="G418" i="5"/>
  <c r="G418" i="7" s="1"/>
  <c r="F418" i="5"/>
  <c r="F418" i="7" s="1"/>
  <c r="E418" i="5"/>
  <c r="D418" i="5"/>
  <c r="D418" i="7" s="1"/>
  <c r="C418" i="5"/>
  <c r="C418" i="7" s="1"/>
  <c r="B418" i="5"/>
  <c r="B418" i="7" s="1"/>
  <c r="L417" i="5"/>
  <c r="L417" i="7" s="1"/>
  <c r="J417" i="5"/>
  <c r="J417" i="7" s="1"/>
  <c r="I417" i="5"/>
  <c r="I417" i="7" s="1"/>
  <c r="H417" i="5"/>
  <c r="H417" i="7" s="1"/>
  <c r="G417" i="5"/>
  <c r="G417" i="7" s="1"/>
  <c r="F417" i="5"/>
  <c r="F417" i="7" s="1"/>
  <c r="E417" i="5"/>
  <c r="D417" i="5"/>
  <c r="D417" i="7" s="1"/>
  <c r="C417" i="5"/>
  <c r="C417" i="7" s="1"/>
  <c r="B417" i="5"/>
  <c r="B417" i="7" s="1"/>
  <c r="L416" i="5"/>
  <c r="L416" i="7" s="1"/>
  <c r="J416" i="5"/>
  <c r="J416" i="7" s="1"/>
  <c r="I416" i="5"/>
  <c r="I416" i="7" s="1"/>
  <c r="H416" i="5"/>
  <c r="H416" i="7" s="1"/>
  <c r="G416" i="5"/>
  <c r="G416" i="7" s="1"/>
  <c r="F416" i="5"/>
  <c r="F416" i="7" s="1"/>
  <c r="E416" i="5"/>
  <c r="E416" i="7" s="1"/>
  <c r="D416" i="5"/>
  <c r="D416" i="7" s="1"/>
  <c r="C416" i="5"/>
  <c r="C416" i="7" s="1"/>
  <c r="B416" i="5"/>
  <c r="B416" i="7" s="1"/>
  <c r="L415" i="5"/>
  <c r="L415" i="7" s="1"/>
  <c r="K415" i="5"/>
  <c r="K415" i="7" s="1"/>
  <c r="J415" i="5"/>
  <c r="J415" i="7" s="1"/>
  <c r="I415" i="5"/>
  <c r="I415" i="7" s="1"/>
  <c r="H415" i="5"/>
  <c r="H415" i="7" s="1"/>
  <c r="G415" i="5"/>
  <c r="G415" i="7" s="1"/>
  <c r="F415" i="5"/>
  <c r="F415" i="7" s="1"/>
  <c r="E415" i="5"/>
  <c r="E415" i="7" s="1"/>
  <c r="D415" i="5"/>
  <c r="D415" i="7" s="1"/>
  <c r="C415" i="5"/>
  <c r="C415" i="7" s="1"/>
  <c r="B415" i="5"/>
  <c r="B415" i="7" s="1"/>
  <c r="L414" i="5"/>
  <c r="L414" i="7" s="1"/>
  <c r="K414" i="5"/>
  <c r="K414" i="7" s="1"/>
  <c r="J414" i="5"/>
  <c r="J414" i="7" s="1"/>
  <c r="I414" i="5"/>
  <c r="I414" i="7" s="1"/>
  <c r="H414" i="5"/>
  <c r="H414" i="7" s="1"/>
  <c r="G414" i="5"/>
  <c r="G414" i="7" s="1"/>
  <c r="F414" i="5"/>
  <c r="F414" i="7" s="1"/>
  <c r="E414" i="5"/>
  <c r="E414" i="7" s="1"/>
  <c r="D414" i="5"/>
  <c r="D414" i="7" s="1"/>
  <c r="C414" i="5"/>
  <c r="C414" i="7" s="1"/>
  <c r="B414" i="5"/>
  <c r="B414" i="7" s="1"/>
  <c r="L413" i="5"/>
  <c r="L413" i="7" s="1"/>
  <c r="J413" i="5"/>
  <c r="J413" i="7" s="1"/>
  <c r="I413" i="5"/>
  <c r="I413" i="7" s="1"/>
  <c r="H413" i="5"/>
  <c r="H413" i="7" s="1"/>
  <c r="G413" i="5"/>
  <c r="G413" i="7" s="1"/>
  <c r="F413" i="5"/>
  <c r="F413" i="7" s="1"/>
  <c r="E413" i="5"/>
  <c r="D413" i="5"/>
  <c r="D413" i="7" s="1"/>
  <c r="C413" i="5"/>
  <c r="C413" i="7" s="1"/>
  <c r="B413" i="5"/>
  <c r="B413" i="7" s="1"/>
  <c r="L412" i="5"/>
  <c r="L412" i="7" s="1"/>
  <c r="J412" i="5"/>
  <c r="J412" i="7" s="1"/>
  <c r="I412" i="5"/>
  <c r="I412" i="7" s="1"/>
  <c r="H412" i="5"/>
  <c r="H412" i="7" s="1"/>
  <c r="G412" i="5"/>
  <c r="G412" i="7" s="1"/>
  <c r="F412" i="5"/>
  <c r="F412" i="7" s="1"/>
  <c r="E412" i="5"/>
  <c r="E412" i="7" s="1"/>
  <c r="D412" i="5"/>
  <c r="D412" i="7" s="1"/>
  <c r="C412" i="5"/>
  <c r="C412" i="7" s="1"/>
  <c r="B412" i="5"/>
  <c r="B412" i="7" s="1"/>
  <c r="L411" i="5"/>
  <c r="L411" i="7" s="1"/>
  <c r="K411" i="5"/>
  <c r="K411" i="7" s="1"/>
  <c r="J411" i="5"/>
  <c r="J411" i="7" s="1"/>
  <c r="I411" i="5"/>
  <c r="I411" i="7" s="1"/>
  <c r="H411" i="5"/>
  <c r="H411" i="7" s="1"/>
  <c r="G411" i="5"/>
  <c r="G411" i="7" s="1"/>
  <c r="F411" i="5"/>
  <c r="F411" i="7" s="1"/>
  <c r="E411" i="5"/>
  <c r="E411" i="7" s="1"/>
  <c r="D411" i="5"/>
  <c r="D411" i="7" s="1"/>
  <c r="C411" i="5"/>
  <c r="C411" i="7" s="1"/>
  <c r="B411" i="5"/>
  <c r="B411" i="7" s="1"/>
  <c r="L410" i="5"/>
  <c r="L410" i="7" s="1"/>
  <c r="J410" i="5"/>
  <c r="J410" i="7" s="1"/>
  <c r="I410" i="5"/>
  <c r="I410" i="7" s="1"/>
  <c r="H410" i="5"/>
  <c r="H410" i="7" s="1"/>
  <c r="G410" i="5"/>
  <c r="G410" i="7" s="1"/>
  <c r="F410" i="5"/>
  <c r="F410" i="7" s="1"/>
  <c r="E410" i="5"/>
  <c r="D410" i="5"/>
  <c r="D410" i="7" s="1"/>
  <c r="C410" i="5"/>
  <c r="C410" i="7" s="1"/>
  <c r="B410" i="5"/>
  <c r="B410" i="7" s="1"/>
  <c r="L409" i="5"/>
  <c r="L409" i="7" s="1"/>
  <c r="K409" i="5"/>
  <c r="K409" i="7" s="1"/>
  <c r="J409" i="5"/>
  <c r="J409" i="7" s="1"/>
  <c r="I409" i="5"/>
  <c r="I409" i="7" s="1"/>
  <c r="H409" i="5"/>
  <c r="H409" i="7" s="1"/>
  <c r="G409" i="5"/>
  <c r="G409" i="7" s="1"/>
  <c r="F409" i="5"/>
  <c r="F409" i="7" s="1"/>
  <c r="E409" i="5"/>
  <c r="E409" i="7" s="1"/>
  <c r="D409" i="5"/>
  <c r="D409" i="7" s="1"/>
  <c r="C409" i="5"/>
  <c r="C409" i="7" s="1"/>
  <c r="B409" i="5"/>
  <c r="B409" i="7" s="1"/>
  <c r="L408" i="5"/>
  <c r="L408" i="7" s="1"/>
  <c r="J408" i="5"/>
  <c r="J408" i="7" s="1"/>
  <c r="I408" i="5"/>
  <c r="I408" i="7" s="1"/>
  <c r="H408" i="5"/>
  <c r="H408" i="7" s="1"/>
  <c r="G408" i="5"/>
  <c r="G408" i="7" s="1"/>
  <c r="F408" i="5"/>
  <c r="F408" i="7" s="1"/>
  <c r="E408" i="5"/>
  <c r="E408" i="7" s="1"/>
  <c r="D408" i="5"/>
  <c r="D408" i="7" s="1"/>
  <c r="C408" i="5"/>
  <c r="C408" i="7" s="1"/>
  <c r="B408" i="5"/>
  <c r="B408" i="7" s="1"/>
  <c r="L407" i="5"/>
  <c r="L407" i="7" s="1"/>
  <c r="K407" i="5"/>
  <c r="K407" i="7" s="1"/>
  <c r="J407" i="5"/>
  <c r="J407" i="7" s="1"/>
  <c r="I407" i="5"/>
  <c r="I407" i="7" s="1"/>
  <c r="H407" i="5"/>
  <c r="H407" i="7" s="1"/>
  <c r="G407" i="5"/>
  <c r="G407" i="7" s="1"/>
  <c r="F407" i="5"/>
  <c r="F407" i="7" s="1"/>
  <c r="E407" i="5"/>
  <c r="E407" i="7" s="1"/>
  <c r="D407" i="5"/>
  <c r="D407" i="7" s="1"/>
  <c r="C407" i="5"/>
  <c r="C407" i="7" s="1"/>
  <c r="B407" i="5"/>
  <c r="B407" i="7" s="1"/>
  <c r="L406" i="5"/>
  <c r="L406" i="7" s="1"/>
  <c r="K406" i="5"/>
  <c r="K406" i="7" s="1"/>
  <c r="J406" i="5"/>
  <c r="J406" i="7" s="1"/>
  <c r="I406" i="5"/>
  <c r="I406" i="7" s="1"/>
  <c r="H406" i="5"/>
  <c r="H406" i="7" s="1"/>
  <c r="G406" i="5"/>
  <c r="G406" i="7" s="1"/>
  <c r="F406" i="5"/>
  <c r="F406" i="7" s="1"/>
  <c r="E406" i="5"/>
  <c r="E406" i="7" s="1"/>
  <c r="D406" i="5"/>
  <c r="D406" i="7" s="1"/>
  <c r="C406" i="5"/>
  <c r="C406" i="7" s="1"/>
  <c r="B406" i="5"/>
  <c r="B406" i="7" s="1"/>
  <c r="L405" i="5"/>
  <c r="L405" i="7" s="1"/>
  <c r="K405" i="5"/>
  <c r="K405" i="7" s="1"/>
  <c r="J405" i="5"/>
  <c r="J405" i="7" s="1"/>
  <c r="I405" i="5"/>
  <c r="I405" i="7" s="1"/>
  <c r="H405" i="5"/>
  <c r="H405" i="7" s="1"/>
  <c r="G405" i="5"/>
  <c r="G405" i="7" s="1"/>
  <c r="F405" i="5"/>
  <c r="F405" i="7" s="1"/>
  <c r="E405" i="5"/>
  <c r="E405" i="7" s="1"/>
  <c r="D405" i="5"/>
  <c r="D405" i="7" s="1"/>
  <c r="C405" i="5"/>
  <c r="C405" i="7" s="1"/>
  <c r="B405" i="5"/>
  <c r="B405" i="7" s="1"/>
  <c r="L404" i="5"/>
  <c r="L404" i="7" s="1"/>
  <c r="J404" i="5"/>
  <c r="J404" i="7" s="1"/>
  <c r="I404" i="5"/>
  <c r="I404" i="7" s="1"/>
  <c r="H404" i="5"/>
  <c r="H404" i="7" s="1"/>
  <c r="G404" i="5"/>
  <c r="G404" i="7" s="1"/>
  <c r="F404" i="5"/>
  <c r="F404" i="7" s="1"/>
  <c r="E404" i="5"/>
  <c r="D404" i="5"/>
  <c r="D404" i="7" s="1"/>
  <c r="C404" i="5"/>
  <c r="C404" i="7" s="1"/>
  <c r="B404" i="5"/>
  <c r="B404" i="7" s="1"/>
  <c r="L403" i="5"/>
  <c r="L403" i="7" s="1"/>
  <c r="J403" i="5"/>
  <c r="J403" i="7" s="1"/>
  <c r="I403" i="5"/>
  <c r="I403" i="7" s="1"/>
  <c r="H403" i="5"/>
  <c r="H403" i="7" s="1"/>
  <c r="G403" i="5"/>
  <c r="G403" i="7" s="1"/>
  <c r="F403" i="5"/>
  <c r="F403" i="7" s="1"/>
  <c r="E403" i="5"/>
  <c r="D403" i="5"/>
  <c r="D403" i="7" s="1"/>
  <c r="C403" i="5"/>
  <c r="C403" i="7" s="1"/>
  <c r="B403" i="5"/>
  <c r="B403" i="7" s="1"/>
  <c r="L402" i="5"/>
  <c r="L402" i="7" s="1"/>
  <c r="J402" i="5"/>
  <c r="J402" i="7" s="1"/>
  <c r="I402" i="5"/>
  <c r="I402" i="7" s="1"/>
  <c r="H402" i="5"/>
  <c r="H402" i="7" s="1"/>
  <c r="G402" i="5"/>
  <c r="G402" i="7" s="1"/>
  <c r="F402" i="5"/>
  <c r="F402" i="7" s="1"/>
  <c r="E402" i="5"/>
  <c r="E402" i="7" s="1"/>
  <c r="D402" i="5"/>
  <c r="D402" i="7" s="1"/>
  <c r="C402" i="5"/>
  <c r="C402" i="7" s="1"/>
  <c r="B402" i="5"/>
  <c r="B402" i="7" s="1"/>
  <c r="L401" i="5"/>
  <c r="L401" i="7" s="1"/>
  <c r="K401" i="5"/>
  <c r="K401" i="7" s="1"/>
  <c r="J401" i="5"/>
  <c r="J401" i="7" s="1"/>
  <c r="I401" i="5"/>
  <c r="I401" i="7" s="1"/>
  <c r="H401" i="5"/>
  <c r="H401" i="7" s="1"/>
  <c r="G401" i="5"/>
  <c r="G401" i="7" s="1"/>
  <c r="F401" i="5"/>
  <c r="F401" i="7" s="1"/>
  <c r="E401" i="5"/>
  <c r="E401" i="7" s="1"/>
  <c r="D401" i="5"/>
  <c r="D401" i="7" s="1"/>
  <c r="C401" i="5"/>
  <c r="C401" i="7" s="1"/>
  <c r="B401" i="5"/>
  <c r="B401" i="7" s="1"/>
  <c r="L400" i="5"/>
  <c r="L400" i="7" s="1"/>
  <c r="K400" i="5"/>
  <c r="K400" i="7" s="1"/>
  <c r="J400" i="5"/>
  <c r="J400" i="7" s="1"/>
  <c r="I400" i="5"/>
  <c r="I400" i="7" s="1"/>
  <c r="H400" i="5"/>
  <c r="H400" i="7" s="1"/>
  <c r="G400" i="5"/>
  <c r="G400" i="7" s="1"/>
  <c r="F400" i="5"/>
  <c r="F400" i="7" s="1"/>
  <c r="E400" i="5"/>
  <c r="E400" i="7" s="1"/>
  <c r="D400" i="5"/>
  <c r="D400" i="7" s="1"/>
  <c r="C400" i="5"/>
  <c r="C400" i="7" s="1"/>
  <c r="B400" i="5"/>
  <c r="B400" i="7" s="1"/>
  <c r="L399" i="5"/>
  <c r="L399" i="7" s="1"/>
  <c r="J399" i="5"/>
  <c r="J399" i="7" s="1"/>
  <c r="I399" i="5"/>
  <c r="I399" i="7" s="1"/>
  <c r="H399" i="5"/>
  <c r="H399" i="7" s="1"/>
  <c r="G399" i="5"/>
  <c r="G399" i="7" s="1"/>
  <c r="F399" i="5"/>
  <c r="F399" i="7" s="1"/>
  <c r="E399" i="5"/>
  <c r="D399" i="5"/>
  <c r="D399" i="7" s="1"/>
  <c r="C399" i="5"/>
  <c r="C399" i="7" s="1"/>
  <c r="B399" i="5"/>
  <c r="B399" i="7" s="1"/>
  <c r="L398" i="5"/>
  <c r="L398" i="7" s="1"/>
  <c r="K398" i="5"/>
  <c r="K398" i="7" s="1"/>
  <c r="J398" i="5"/>
  <c r="J398" i="7" s="1"/>
  <c r="I398" i="5"/>
  <c r="I398" i="7" s="1"/>
  <c r="H398" i="5"/>
  <c r="H398" i="7" s="1"/>
  <c r="G398" i="5"/>
  <c r="G398" i="7" s="1"/>
  <c r="F398" i="5"/>
  <c r="F398" i="7" s="1"/>
  <c r="E398" i="5"/>
  <c r="E398" i="7" s="1"/>
  <c r="D398" i="5"/>
  <c r="D398" i="7" s="1"/>
  <c r="C398" i="5"/>
  <c r="C398" i="7" s="1"/>
  <c r="B398" i="5"/>
  <c r="B398" i="7" s="1"/>
  <c r="L397" i="5"/>
  <c r="L397" i="7" s="1"/>
  <c r="K397" i="5"/>
  <c r="K397" i="7" s="1"/>
  <c r="J397" i="5"/>
  <c r="J397" i="7" s="1"/>
  <c r="I397" i="5"/>
  <c r="I397" i="7" s="1"/>
  <c r="H397" i="5"/>
  <c r="H397" i="7" s="1"/>
  <c r="G397" i="5"/>
  <c r="G397" i="7" s="1"/>
  <c r="F397" i="5"/>
  <c r="F397" i="7" s="1"/>
  <c r="E397" i="5"/>
  <c r="E397" i="7" s="1"/>
  <c r="D397" i="5"/>
  <c r="D397" i="7" s="1"/>
  <c r="C397" i="5"/>
  <c r="C397" i="7" s="1"/>
  <c r="B397" i="5"/>
  <c r="B397" i="7" s="1"/>
  <c r="L396" i="5"/>
  <c r="L396" i="7" s="1"/>
  <c r="J396" i="5"/>
  <c r="J396" i="7" s="1"/>
  <c r="I396" i="5"/>
  <c r="I396" i="7" s="1"/>
  <c r="H396" i="5"/>
  <c r="H396" i="7" s="1"/>
  <c r="G396" i="5"/>
  <c r="G396" i="7" s="1"/>
  <c r="F396" i="5"/>
  <c r="F396" i="7" s="1"/>
  <c r="E396" i="5"/>
  <c r="D396" i="5"/>
  <c r="D396" i="7" s="1"/>
  <c r="C396" i="5"/>
  <c r="C396" i="7" s="1"/>
  <c r="B396" i="5"/>
  <c r="B396" i="7" s="1"/>
  <c r="L395" i="5"/>
  <c r="L395" i="7" s="1"/>
  <c r="K395" i="5"/>
  <c r="K395" i="7" s="1"/>
  <c r="J395" i="5"/>
  <c r="J395" i="7" s="1"/>
  <c r="I395" i="5"/>
  <c r="I395" i="7" s="1"/>
  <c r="H395" i="5"/>
  <c r="H395" i="7" s="1"/>
  <c r="G395" i="5"/>
  <c r="G395" i="7" s="1"/>
  <c r="F395" i="5"/>
  <c r="F395" i="7" s="1"/>
  <c r="E395" i="5"/>
  <c r="E395" i="7" s="1"/>
  <c r="D395" i="5"/>
  <c r="D395" i="7" s="1"/>
  <c r="C395" i="5"/>
  <c r="C395" i="7" s="1"/>
  <c r="B395" i="5"/>
  <c r="B395" i="7" s="1"/>
  <c r="L394" i="5"/>
  <c r="L394" i="7" s="1"/>
  <c r="J394" i="5"/>
  <c r="J394" i="7" s="1"/>
  <c r="I394" i="5"/>
  <c r="I394" i="7" s="1"/>
  <c r="H394" i="5"/>
  <c r="H394" i="7" s="1"/>
  <c r="G394" i="5"/>
  <c r="G394" i="7" s="1"/>
  <c r="F394" i="5"/>
  <c r="F394" i="7" s="1"/>
  <c r="E394" i="5"/>
  <c r="E394" i="7" s="1"/>
  <c r="D394" i="5"/>
  <c r="D394" i="7" s="1"/>
  <c r="C394" i="5"/>
  <c r="C394" i="7" s="1"/>
  <c r="B394" i="5"/>
  <c r="B394" i="7" s="1"/>
  <c r="L393" i="5"/>
  <c r="L393" i="7" s="1"/>
  <c r="K393" i="5"/>
  <c r="K393" i="7" s="1"/>
  <c r="J393" i="5"/>
  <c r="J393" i="7" s="1"/>
  <c r="I393" i="5"/>
  <c r="I393" i="7" s="1"/>
  <c r="H393" i="5"/>
  <c r="H393" i="7" s="1"/>
  <c r="G393" i="5"/>
  <c r="G393" i="7" s="1"/>
  <c r="F393" i="5"/>
  <c r="F393" i="7" s="1"/>
  <c r="E393" i="5"/>
  <c r="E393" i="7" s="1"/>
  <c r="D393" i="5"/>
  <c r="D393" i="7" s="1"/>
  <c r="C393" i="5"/>
  <c r="C393" i="7" s="1"/>
  <c r="B393" i="5"/>
  <c r="B393" i="7" s="1"/>
  <c r="L392" i="5"/>
  <c r="L392" i="7" s="1"/>
  <c r="K392" i="5"/>
  <c r="K392" i="7" s="1"/>
  <c r="J392" i="5"/>
  <c r="J392" i="7" s="1"/>
  <c r="I392" i="5"/>
  <c r="I392" i="7" s="1"/>
  <c r="H392" i="5"/>
  <c r="H392" i="7" s="1"/>
  <c r="G392" i="5"/>
  <c r="G392" i="7" s="1"/>
  <c r="F392" i="5"/>
  <c r="F392" i="7" s="1"/>
  <c r="E392" i="5"/>
  <c r="E392" i="7" s="1"/>
  <c r="D392" i="5"/>
  <c r="D392" i="7" s="1"/>
  <c r="C392" i="5"/>
  <c r="C392" i="7" s="1"/>
  <c r="B392" i="5"/>
  <c r="B392" i="7" s="1"/>
  <c r="L391" i="5"/>
  <c r="L391" i="7" s="1"/>
  <c r="J391" i="5"/>
  <c r="J391" i="7" s="1"/>
  <c r="I391" i="5"/>
  <c r="I391" i="7" s="1"/>
  <c r="H391" i="5"/>
  <c r="H391" i="7" s="1"/>
  <c r="G391" i="5"/>
  <c r="G391" i="7" s="1"/>
  <c r="F391" i="5"/>
  <c r="F391" i="7" s="1"/>
  <c r="E391" i="5"/>
  <c r="E391" i="7" s="1"/>
  <c r="D391" i="5"/>
  <c r="D391" i="7" s="1"/>
  <c r="C391" i="5"/>
  <c r="C391" i="7" s="1"/>
  <c r="B391" i="5"/>
  <c r="B391" i="7" s="1"/>
  <c r="L390" i="5"/>
  <c r="L390" i="7" s="1"/>
  <c r="J390" i="5"/>
  <c r="J390" i="7" s="1"/>
  <c r="I390" i="5"/>
  <c r="I390" i="7" s="1"/>
  <c r="H390" i="5"/>
  <c r="H390" i="7" s="1"/>
  <c r="G390" i="5"/>
  <c r="G390" i="7" s="1"/>
  <c r="F390" i="5"/>
  <c r="F390" i="7" s="1"/>
  <c r="E390" i="5"/>
  <c r="D390" i="5"/>
  <c r="D390" i="7" s="1"/>
  <c r="C390" i="5"/>
  <c r="C390" i="7" s="1"/>
  <c r="B390" i="5"/>
  <c r="B390" i="7" s="1"/>
  <c r="L389" i="5"/>
  <c r="L389" i="7" s="1"/>
  <c r="J389" i="5"/>
  <c r="J389" i="7" s="1"/>
  <c r="I389" i="5"/>
  <c r="I389" i="7" s="1"/>
  <c r="H389" i="5"/>
  <c r="H389" i="7" s="1"/>
  <c r="G389" i="5"/>
  <c r="G389" i="7" s="1"/>
  <c r="F389" i="5"/>
  <c r="F389" i="7" s="1"/>
  <c r="E389" i="5"/>
  <c r="D389" i="5"/>
  <c r="D389" i="7" s="1"/>
  <c r="C389" i="5"/>
  <c r="C389" i="7" s="1"/>
  <c r="B389" i="5"/>
  <c r="B389" i="7" s="1"/>
  <c r="L388" i="5"/>
  <c r="L388" i="7" s="1"/>
  <c r="J388" i="5"/>
  <c r="J388" i="7" s="1"/>
  <c r="I388" i="5"/>
  <c r="I388" i="7" s="1"/>
  <c r="H388" i="5"/>
  <c r="H388" i="7" s="1"/>
  <c r="G388" i="5"/>
  <c r="G388" i="7" s="1"/>
  <c r="F388" i="5"/>
  <c r="F388" i="7" s="1"/>
  <c r="E388" i="5"/>
  <c r="E388" i="7" s="1"/>
  <c r="D388" i="5"/>
  <c r="D388" i="7" s="1"/>
  <c r="C388" i="5"/>
  <c r="C388" i="7" s="1"/>
  <c r="B388" i="5"/>
  <c r="B388" i="7" s="1"/>
  <c r="L387" i="5"/>
  <c r="L387" i="7" s="1"/>
  <c r="K387" i="5"/>
  <c r="K387" i="7" s="1"/>
  <c r="J387" i="5"/>
  <c r="J387" i="7" s="1"/>
  <c r="I387" i="5"/>
  <c r="I387" i="7" s="1"/>
  <c r="H387" i="5"/>
  <c r="H387" i="7" s="1"/>
  <c r="G387" i="5"/>
  <c r="G387" i="7" s="1"/>
  <c r="F387" i="5"/>
  <c r="F387" i="7" s="1"/>
  <c r="E387" i="5"/>
  <c r="E387" i="7" s="1"/>
  <c r="D387" i="5"/>
  <c r="D387" i="7" s="1"/>
  <c r="C387" i="5"/>
  <c r="C387" i="7" s="1"/>
  <c r="B387" i="5"/>
  <c r="B387" i="7" s="1"/>
  <c r="L386" i="5"/>
  <c r="L386" i="7" s="1"/>
  <c r="K386" i="5"/>
  <c r="K386" i="7" s="1"/>
  <c r="J386" i="5"/>
  <c r="J386" i="7" s="1"/>
  <c r="I386" i="5"/>
  <c r="I386" i="7" s="1"/>
  <c r="H386" i="5"/>
  <c r="H386" i="7" s="1"/>
  <c r="G386" i="5"/>
  <c r="G386" i="7" s="1"/>
  <c r="F386" i="5"/>
  <c r="F386" i="7" s="1"/>
  <c r="E386" i="5"/>
  <c r="E386" i="7" s="1"/>
  <c r="D386" i="5"/>
  <c r="D386" i="7" s="1"/>
  <c r="C386" i="5"/>
  <c r="C386" i="7" s="1"/>
  <c r="B386" i="5"/>
  <c r="B386" i="7" s="1"/>
  <c r="L385" i="5"/>
  <c r="L385" i="7" s="1"/>
  <c r="J385" i="5"/>
  <c r="J385" i="7" s="1"/>
  <c r="I385" i="5"/>
  <c r="I385" i="7" s="1"/>
  <c r="H385" i="5"/>
  <c r="H385" i="7" s="1"/>
  <c r="G385" i="5"/>
  <c r="G385" i="7" s="1"/>
  <c r="F385" i="5"/>
  <c r="F385" i="7" s="1"/>
  <c r="E385" i="5"/>
  <c r="D385" i="5"/>
  <c r="D385" i="7" s="1"/>
  <c r="C385" i="5"/>
  <c r="C385" i="7" s="1"/>
  <c r="B385" i="5"/>
  <c r="B385" i="7" s="1"/>
  <c r="L384" i="5"/>
  <c r="L384" i="7" s="1"/>
  <c r="J384" i="5"/>
  <c r="J384" i="7" s="1"/>
  <c r="I384" i="5"/>
  <c r="I384" i="7" s="1"/>
  <c r="H384" i="5"/>
  <c r="H384" i="7" s="1"/>
  <c r="G384" i="5"/>
  <c r="G384" i="7" s="1"/>
  <c r="F384" i="5"/>
  <c r="F384" i="7" s="1"/>
  <c r="E384" i="5"/>
  <c r="E384" i="7" s="1"/>
  <c r="D384" i="5"/>
  <c r="D384" i="7" s="1"/>
  <c r="C384" i="5"/>
  <c r="C384" i="7" s="1"/>
  <c r="B384" i="5"/>
  <c r="B384" i="7" s="1"/>
  <c r="L383" i="5"/>
  <c r="L383" i="7" s="1"/>
  <c r="K383" i="5"/>
  <c r="K383" i="7" s="1"/>
  <c r="J383" i="5"/>
  <c r="J383" i="7" s="1"/>
  <c r="I383" i="5"/>
  <c r="I383" i="7" s="1"/>
  <c r="H383" i="5"/>
  <c r="H383" i="7" s="1"/>
  <c r="G383" i="5"/>
  <c r="G383" i="7" s="1"/>
  <c r="F383" i="5"/>
  <c r="F383" i="7" s="1"/>
  <c r="E383" i="5"/>
  <c r="E383" i="7" s="1"/>
  <c r="D383" i="5"/>
  <c r="D383" i="7" s="1"/>
  <c r="C383" i="5"/>
  <c r="C383" i="7" s="1"/>
  <c r="B383" i="5"/>
  <c r="B383" i="7" s="1"/>
  <c r="L382" i="5"/>
  <c r="L382" i="7" s="1"/>
  <c r="J382" i="5"/>
  <c r="J382" i="7" s="1"/>
  <c r="I382" i="5"/>
  <c r="I382" i="7" s="1"/>
  <c r="H382" i="5"/>
  <c r="H382" i="7" s="1"/>
  <c r="G382" i="5"/>
  <c r="G382" i="7" s="1"/>
  <c r="F382" i="5"/>
  <c r="F382" i="7" s="1"/>
  <c r="E382" i="5"/>
  <c r="D382" i="5"/>
  <c r="D382" i="7" s="1"/>
  <c r="C382" i="5"/>
  <c r="C382" i="7" s="1"/>
  <c r="B382" i="5"/>
  <c r="B382" i="7" s="1"/>
  <c r="L381" i="5"/>
  <c r="L381" i="7" s="1"/>
  <c r="K381" i="5"/>
  <c r="K381" i="7" s="1"/>
  <c r="J381" i="5"/>
  <c r="J381" i="7" s="1"/>
  <c r="I381" i="5"/>
  <c r="I381" i="7" s="1"/>
  <c r="H381" i="5"/>
  <c r="H381" i="7" s="1"/>
  <c r="G381" i="5"/>
  <c r="G381" i="7" s="1"/>
  <c r="F381" i="5"/>
  <c r="F381" i="7" s="1"/>
  <c r="E381" i="5"/>
  <c r="E381" i="7" s="1"/>
  <c r="D381" i="5"/>
  <c r="D381" i="7" s="1"/>
  <c r="C381" i="5"/>
  <c r="C381" i="7" s="1"/>
  <c r="B381" i="5"/>
  <c r="B381" i="7" s="1"/>
  <c r="L380" i="5"/>
  <c r="L380" i="7" s="1"/>
  <c r="J380" i="5"/>
  <c r="J380" i="7" s="1"/>
  <c r="I380" i="5"/>
  <c r="I380" i="7" s="1"/>
  <c r="H380" i="5"/>
  <c r="H380" i="7" s="1"/>
  <c r="G380" i="5"/>
  <c r="G380" i="7" s="1"/>
  <c r="F380" i="5"/>
  <c r="F380" i="7" s="1"/>
  <c r="E380" i="5"/>
  <c r="E380" i="7" s="1"/>
  <c r="D380" i="5"/>
  <c r="D380" i="7" s="1"/>
  <c r="C380" i="5"/>
  <c r="C380" i="7" s="1"/>
  <c r="B380" i="5"/>
  <c r="B380" i="7" s="1"/>
  <c r="L379" i="5"/>
  <c r="L379" i="7" s="1"/>
  <c r="J379" i="5"/>
  <c r="J379" i="7" s="1"/>
  <c r="I379" i="5"/>
  <c r="I379" i="7" s="1"/>
  <c r="H379" i="5"/>
  <c r="H379" i="7" s="1"/>
  <c r="G379" i="5"/>
  <c r="G379" i="7" s="1"/>
  <c r="F379" i="5"/>
  <c r="F379" i="7" s="1"/>
  <c r="E379" i="5"/>
  <c r="E379" i="7" s="1"/>
  <c r="D379" i="5"/>
  <c r="D379" i="7" s="1"/>
  <c r="C379" i="5"/>
  <c r="C379" i="7" s="1"/>
  <c r="B379" i="5"/>
  <c r="B379" i="7" s="1"/>
  <c r="L378" i="5"/>
  <c r="L378" i="7" s="1"/>
  <c r="K378" i="5"/>
  <c r="K378" i="7" s="1"/>
  <c r="J378" i="5"/>
  <c r="J378" i="7" s="1"/>
  <c r="I378" i="5"/>
  <c r="I378" i="7" s="1"/>
  <c r="H378" i="5"/>
  <c r="H378" i="7" s="1"/>
  <c r="G378" i="5"/>
  <c r="G378" i="7" s="1"/>
  <c r="F378" i="5"/>
  <c r="F378" i="7" s="1"/>
  <c r="E378" i="5"/>
  <c r="E378" i="7" s="1"/>
  <c r="D378" i="5"/>
  <c r="D378" i="7" s="1"/>
  <c r="C378" i="5"/>
  <c r="C378" i="7" s="1"/>
  <c r="B378" i="5"/>
  <c r="B378" i="7" s="1"/>
  <c r="L377" i="5"/>
  <c r="L377" i="7" s="1"/>
  <c r="K377" i="5"/>
  <c r="K377" i="7" s="1"/>
  <c r="J377" i="5"/>
  <c r="J377" i="7" s="1"/>
  <c r="I377" i="5"/>
  <c r="I377" i="7" s="1"/>
  <c r="H377" i="5"/>
  <c r="H377" i="7" s="1"/>
  <c r="G377" i="5"/>
  <c r="G377" i="7" s="1"/>
  <c r="F377" i="5"/>
  <c r="F377" i="7" s="1"/>
  <c r="E377" i="5"/>
  <c r="E377" i="7" s="1"/>
  <c r="D377" i="5"/>
  <c r="D377" i="7" s="1"/>
  <c r="C377" i="5"/>
  <c r="C377" i="7" s="1"/>
  <c r="B377" i="5"/>
  <c r="B377" i="7" s="1"/>
  <c r="L376" i="5"/>
  <c r="L376" i="7" s="1"/>
  <c r="J376" i="5"/>
  <c r="J376" i="7" s="1"/>
  <c r="I376" i="5"/>
  <c r="I376" i="7" s="1"/>
  <c r="H376" i="5"/>
  <c r="H376" i="7" s="1"/>
  <c r="G376" i="5"/>
  <c r="G376" i="7" s="1"/>
  <c r="F376" i="5"/>
  <c r="F376" i="7" s="1"/>
  <c r="E376" i="5"/>
  <c r="D376" i="5"/>
  <c r="D376" i="7" s="1"/>
  <c r="C376" i="5"/>
  <c r="C376" i="7" s="1"/>
  <c r="B376" i="5"/>
  <c r="B376" i="7" s="1"/>
  <c r="L375" i="5"/>
  <c r="L375" i="7" s="1"/>
  <c r="J375" i="5"/>
  <c r="J375" i="7" s="1"/>
  <c r="I375" i="5"/>
  <c r="I375" i="7" s="1"/>
  <c r="H375" i="5"/>
  <c r="H375" i="7" s="1"/>
  <c r="G375" i="5"/>
  <c r="G375" i="7" s="1"/>
  <c r="F375" i="5"/>
  <c r="F375" i="7" s="1"/>
  <c r="E375" i="5"/>
  <c r="D375" i="5"/>
  <c r="D375" i="7" s="1"/>
  <c r="C375" i="5"/>
  <c r="C375" i="7" s="1"/>
  <c r="B375" i="5"/>
  <c r="B375" i="7" s="1"/>
  <c r="L374" i="5"/>
  <c r="L374" i="7" s="1"/>
  <c r="J374" i="5"/>
  <c r="J374" i="7" s="1"/>
  <c r="I374" i="5"/>
  <c r="I374" i="7" s="1"/>
  <c r="H374" i="5"/>
  <c r="H374" i="7" s="1"/>
  <c r="G374" i="5"/>
  <c r="G374" i="7" s="1"/>
  <c r="F374" i="5"/>
  <c r="F374" i="7" s="1"/>
  <c r="E374" i="5"/>
  <c r="E374" i="7" s="1"/>
  <c r="D374" i="5"/>
  <c r="D374" i="7" s="1"/>
  <c r="C374" i="5"/>
  <c r="C374" i="7" s="1"/>
  <c r="B374" i="5"/>
  <c r="B374" i="7" s="1"/>
  <c r="L373" i="5"/>
  <c r="L373" i="7" s="1"/>
  <c r="K373" i="5"/>
  <c r="K373" i="7" s="1"/>
  <c r="J373" i="5"/>
  <c r="J373" i="7" s="1"/>
  <c r="I373" i="5"/>
  <c r="I373" i="7" s="1"/>
  <c r="H373" i="5"/>
  <c r="H373" i="7" s="1"/>
  <c r="G373" i="5"/>
  <c r="G373" i="7" s="1"/>
  <c r="F373" i="5"/>
  <c r="F373" i="7" s="1"/>
  <c r="E373" i="5"/>
  <c r="E373" i="7" s="1"/>
  <c r="D373" i="5"/>
  <c r="D373" i="7" s="1"/>
  <c r="C373" i="5"/>
  <c r="C373" i="7" s="1"/>
  <c r="B373" i="5"/>
  <c r="B373" i="7" s="1"/>
  <c r="L372" i="5"/>
  <c r="L372" i="7" s="1"/>
  <c r="K372" i="5"/>
  <c r="K372" i="7" s="1"/>
  <c r="J372" i="5"/>
  <c r="J372" i="7" s="1"/>
  <c r="I372" i="5"/>
  <c r="I372" i="7" s="1"/>
  <c r="H372" i="5"/>
  <c r="H372" i="7" s="1"/>
  <c r="G372" i="5"/>
  <c r="G372" i="7" s="1"/>
  <c r="F372" i="5"/>
  <c r="F372" i="7" s="1"/>
  <c r="E372" i="5"/>
  <c r="E372" i="7" s="1"/>
  <c r="D372" i="5"/>
  <c r="D372" i="7" s="1"/>
  <c r="C372" i="5"/>
  <c r="C372" i="7" s="1"/>
  <c r="B372" i="5"/>
  <c r="B372" i="7" s="1"/>
  <c r="L371" i="5"/>
  <c r="L371" i="7" s="1"/>
  <c r="J371" i="5"/>
  <c r="J371" i="7" s="1"/>
  <c r="I371" i="5"/>
  <c r="I371" i="7" s="1"/>
  <c r="H371" i="5"/>
  <c r="H371" i="7" s="1"/>
  <c r="G371" i="5"/>
  <c r="G371" i="7" s="1"/>
  <c r="F371" i="5"/>
  <c r="F371" i="7" s="1"/>
  <c r="E371" i="5"/>
  <c r="D371" i="5"/>
  <c r="D371" i="7" s="1"/>
  <c r="C371" i="5"/>
  <c r="C371" i="7" s="1"/>
  <c r="B371" i="5"/>
  <c r="B371" i="7" s="1"/>
  <c r="L370" i="5"/>
  <c r="L370" i="7" s="1"/>
  <c r="K370" i="5"/>
  <c r="K370" i="7" s="1"/>
  <c r="J370" i="5"/>
  <c r="J370" i="7" s="1"/>
  <c r="I370" i="5"/>
  <c r="I370" i="7" s="1"/>
  <c r="H370" i="5"/>
  <c r="H370" i="7" s="1"/>
  <c r="G370" i="5"/>
  <c r="G370" i="7" s="1"/>
  <c r="F370" i="5"/>
  <c r="F370" i="7" s="1"/>
  <c r="E370" i="5"/>
  <c r="E370" i="7" s="1"/>
  <c r="D370" i="5"/>
  <c r="D370" i="7" s="1"/>
  <c r="C370" i="5"/>
  <c r="C370" i="7" s="1"/>
  <c r="B370" i="5"/>
  <c r="B370" i="7" s="1"/>
  <c r="L369" i="5"/>
  <c r="L369" i="7" s="1"/>
  <c r="K369" i="5"/>
  <c r="K369" i="7" s="1"/>
  <c r="J369" i="5"/>
  <c r="J369" i="7" s="1"/>
  <c r="I369" i="5"/>
  <c r="I369" i="7" s="1"/>
  <c r="H369" i="5"/>
  <c r="H369" i="7" s="1"/>
  <c r="G369" i="5"/>
  <c r="G369" i="7" s="1"/>
  <c r="F369" i="5"/>
  <c r="F369" i="7" s="1"/>
  <c r="E369" i="5"/>
  <c r="E369" i="7" s="1"/>
  <c r="D369" i="5"/>
  <c r="D369" i="7" s="1"/>
  <c r="C369" i="5"/>
  <c r="C369" i="7" s="1"/>
  <c r="B369" i="5"/>
  <c r="B369" i="7" s="1"/>
  <c r="L368" i="5"/>
  <c r="L368" i="7" s="1"/>
  <c r="J368" i="5"/>
  <c r="J368" i="7" s="1"/>
  <c r="I368" i="5"/>
  <c r="I368" i="7" s="1"/>
  <c r="H368" i="5"/>
  <c r="H368" i="7" s="1"/>
  <c r="G368" i="5"/>
  <c r="G368" i="7" s="1"/>
  <c r="F368" i="5"/>
  <c r="F368" i="7" s="1"/>
  <c r="E368" i="5"/>
  <c r="D368" i="5"/>
  <c r="D368" i="7" s="1"/>
  <c r="C368" i="5"/>
  <c r="C368" i="7" s="1"/>
  <c r="B368" i="5"/>
  <c r="B368" i="7" s="1"/>
  <c r="L367" i="5"/>
  <c r="L367" i="7" s="1"/>
  <c r="K367" i="5"/>
  <c r="K367" i="7" s="1"/>
  <c r="J367" i="5"/>
  <c r="J367" i="7" s="1"/>
  <c r="I367" i="5"/>
  <c r="I367" i="7" s="1"/>
  <c r="H367" i="5"/>
  <c r="H367" i="7" s="1"/>
  <c r="G367" i="5"/>
  <c r="G367" i="7" s="1"/>
  <c r="F367" i="5"/>
  <c r="F367" i="7" s="1"/>
  <c r="E367" i="5"/>
  <c r="E367" i="7" s="1"/>
  <c r="D367" i="5"/>
  <c r="D367" i="7" s="1"/>
  <c r="C367" i="5"/>
  <c r="C367" i="7" s="1"/>
  <c r="B367" i="5"/>
  <c r="B367" i="7" s="1"/>
  <c r="L366" i="5"/>
  <c r="L366" i="7" s="1"/>
  <c r="J366" i="5"/>
  <c r="J366" i="7" s="1"/>
  <c r="I366" i="5"/>
  <c r="I366" i="7" s="1"/>
  <c r="H366" i="5"/>
  <c r="H366" i="7" s="1"/>
  <c r="G366" i="5"/>
  <c r="G366" i="7" s="1"/>
  <c r="F366" i="5"/>
  <c r="F366" i="7" s="1"/>
  <c r="E366" i="5"/>
  <c r="E366" i="7" s="1"/>
  <c r="D366" i="5"/>
  <c r="D366" i="7" s="1"/>
  <c r="C366" i="5"/>
  <c r="C366" i="7" s="1"/>
  <c r="B366" i="5"/>
  <c r="B366" i="7" s="1"/>
  <c r="L365" i="5"/>
  <c r="L365" i="7" s="1"/>
  <c r="K365" i="5"/>
  <c r="K365" i="7" s="1"/>
  <c r="J365" i="5"/>
  <c r="J365" i="7" s="1"/>
  <c r="I365" i="5"/>
  <c r="I365" i="7" s="1"/>
  <c r="H365" i="5"/>
  <c r="H365" i="7" s="1"/>
  <c r="G365" i="5"/>
  <c r="G365" i="7" s="1"/>
  <c r="F365" i="5"/>
  <c r="F365" i="7" s="1"/>
  <c r="E365" i="5"/>
  <c r="E365" i="7" s="1"/>
  <c r="D365" i="5"/>
  <c r="D365" i="7" s="1"/>
  <c r="C365" i="5"/>
  <c r="C365" i="7" s="1"/>
  <c r="B365" i="5"/>
  <c r="B365" i="7" s="1"/>
  <c r="L364" i="5"/>
  <c r="L364" i="7" s="1"/>
  <c r="K364" i="5"/>
  <c r="K364" i="7" s="1"/>
  <c r="J364" i="5"/>
  <c r="J364" i="7" s="1"/>
  <c r="I364" i="5"/>
  <c r="I364" i="7" s="1"/>
  <c r="H364" i="5"/>
  <c r="H364" i="7" s="1"/>
  <c r="G364" i="5"/>
  <c r="G364" i="7" s="1"/>
  <c r="F364" i="5"/>
  <c r="F364" i="7" s="1"/>
  <c r="E364" i="5"/>
  <c r="E364" i="7" s="1"/>
  <c r="D364" i="5"/>
  <c r="D364" i="7" s="1"/>
  <c r="C364" i="5"/>
  <c r="C364" i="7" s="1"/>
  <c r="B364" i="5"/>
  <c r="B364" i="7" s="1"/>
  <c r="L363" i="5"/>
  <c r="L363" i="7" s="1"/>
  <c r="J363" i="5"/>
  <c r="J363" i="7" s="1"/>
  <c r="I363" i="5"/>
  <c r="I363" i="7" s="1"/>
  <c r="H363" i="5"/>
  <c r="H363" i="7" s="1"/>
  <c r="G363" i="5"/>
  <c r="G363" i="7" s="1"/>
  <c r="F363" i="5"/>
  <c r="F363" i="7" s="1"/>
  <c r="E363" i="5"/>
  <c r="E363" i="7" s="1"/>
  <c r="D363" i="5"/>
  <c r="D363" i="7" s="1"/>
  <c r="C363" i="5"/>
  <c r="C363" i="7" s="1"/>
  <c r="B363" i="5"/>
  <c r="B363" i="7" s="1"/>
  <c r="L362" i="5"/>
  <c r="L362" i="7" s="1"/>
  <c r="J362" i="5"/>
  <c r="J362" i="7" s="1"/>
  <c r="I362" i="5"/>
  <c r="I362" i="7" s="1"/>
  <c r="H362" i="5"/>
  <c r="H362" i="7" s="1"/>
  <c r="G362" i="5"/>
  <c r="G362" i="7" s="1"/>
  <c r="F362" i="5"/>
  <c r="F362" i="7" s="1"/>
  <c r="E362" i="5"/>
  <c r="D362" i="5"/>
  <c r="D362" i="7" s="1"/>
  <c r="C362" i="5"/>
  <c r="C362" i="7" s="1"/>
  <c r="B362" i="5"/>
  <c r="B362" i="7" s="1"/>
  <c r="L361" i="5"/>
  <c r="L361" i="7" s="1"/>
  <c r="J361" i="5"/>
  <c r="J361" i="7" s="1"/>
  <c r="I361" i="5"/>
  <c r="I361" i="7" s="1"/>
  <c r="H361" i="5"/>
  <c r="H361" i="7" s="1"/>
  <c r="G361" i="5"/>
  <c r="G361" i="7" s="1"/>
  <c r="F361" i="5"/>
  <c r="F361" i="7" s="1"/>
  <c r="E361" i="5"/>
  <c r="D361" i="5"/>
  <c r="D361" i="7" s="1"/>
  <c r="C361" i="5"/>
  <c r="C361" i="7" s="1"/>
  <c r="B361" i="5"/>
  <c r="B361" i="7" s="1"/>
  <c r="L360" i="5"/>
  <c r="L360" i="7" s="1"/>
  <c r="J360" i="5"/>
  <c r="J360" i="7" s="1"/>
  <c r="I360" i="5"/>
  <c r="I360" i="7" s="1"/>
  <c r="H360" i="5"/>
  <c r="H360" i="7" s="1"/>
  <c r="G360" i="5"/>
  <c r="G360" i="7" s="1"/>
  <c r="F360" i="5"/>
  <c r="F360" i="7" s="1"/>
  <c r="E360" i="5"/>
  <c r="E360" i="7" s="1"/>
  <c r="D360" i="5"/>
  <c r="D360" i="7" s="1"/>
  <c r="C360" i="5"/>
  <c r="C360" i="7" s="1"/>
  <c r="B360" i="5"/>
  <c r="B360" i="7" s="1"/>
  <c r="L359" i="5"/>
  <c r="L359" i="7" s="1"/>
  <c r="K359" i="5"/>
  <c r="K359" i="7" s="1"/>
  <c r="J359" i="5"/>
  <c r="J359" i="7" s="1"/>
  <c r="I359" i="5"/>
  <c r="I359" i="7" s="1"/>
  <c r="H359" i="5"/>
  <c r="H359" i="7" s="1"/>
  <c r="G359" i="5"/>
  <c r="G359" i="7" s="1"/>
  <c r="F359" i="5"/>
  <c r="F359" i="7" s="1"/>
  <c r="E359" i="5"/>
  <c r="E359" i="7" s="1"/>
  <c r="D359" i="5"/>
  <c r="D359" i="7" s="1"/>
  <c r="C359" i="5"/>
  <c r="C359" i="7" s="1"/>
  <c r="B359" i="5"/>
  <c r="B359" i="7" s="1"/>
  <c r="L358" i="5"/>
  <c r="L358" i="7" s="1"/>
  <c r="K358" i="5"/>
  <c r="K358" i="7" s="1"/>
  <c r="J358" i="5"/>
  <c r="J358" i="7" s="1"/>
  <c r="I358" i="5"/>
  <c r="I358" i="7" s="1"/>
  <c r="H358" i="5"/>
  <c r="H358" i="7" s="1"/>
  <c r="G358" i="5"/>
  <c r="G358" i="7" s="1"/>
  <c r="F358" i="5"/>
  <c r="F358" i="7" s="1"/>
  <c r="E358" i="5"/>
  <c r="E358" i="7" s="1"/>
  <c r="D358" i="5"/>
  <c r="D358" i="7" s="1"/>
  <c r="C358" i="5"/>
  <c r="C358" i="7" s="1"/>
  <c r="B358" i="5"/>
  <c r="B358" i="7" s="1"/>
  <c r="L357" i="5"/>
  <c r="L357" i="7" s="1"/>
  <c r="J357" i="5"/>
  <c r="J357" i="7" s="1"/>
  <c r="I357" i="5"/>
  <c r="I357" i="7" s="1"/>
  <c r="H357" i="5"/>
  <c r="H357" i="7" s="1"/>
  <c r="G357" i="5"/>
  <c r="G357" i="7" s="1"/>
  <c r="F357" i="5"/>
  <c r="F357" i="7" s="1"/>
  <c r="E357" i="5"/>
  <c r="D357" i="5"/>
  <c r="D357" i="7" s="1"/>
  <c r="C357" i="5"/>
  <c r="C357" i="7" s="1"/>
  <c r="B357" i="5"/>
  <c r="B357" i="7" s="1"/>
  <c r="L356" i="5"/>
  <c r="L356" i="7" s="1"/>
  <c r="K356" i="5"/>
  <c r="K356" i="7" s="1"/>
  <c r="J356" i="5"/>
  <c r="J356" i="7" s="1"/>
  <c r="I356" i="5"/>
  <c r="I356" i="7" s="1"/>
  <c r="H356" i="5"/>
  <c r="H356" i="7" s="1"/>
  <c r="G356" i="5"/>
  <c r="G356" i="7" s="1"/>
  <c r="F356" i="5"/>
  <c r="F356" i="7" s="1"/>
  <c r="E356" i="5"/>
  <c r="E356" i="7" s="1"/>
  <c r="D356" i="5"/>
  <c r="D356" i="7" s="1"/>
  <c r="C356" i="5"/>
  <c r="C356" i="7" s="1"/>
  <c r="B356" i="5"/>
  <c r="B356" i="7" s="1"/>
  <c r="L355" i="5"/>
  <c r="L355" i="7" s="1"/>
  <c r="K355" i="5"/>
  <c r="K355" i="7" s="1"/>
  <c r="J355" i="5"/>
  <c r="J355" i="7" s="1"/>
  <c r="I355" i="5"/>
  <c r="I355" i="7" s="1"/>
  <c r="H355" i="5"/>
  <c r="H355" i="7" s="1"/>
  <c r="G355" i="5"/>
  <c r="G355" i="7" s="1"/>
  <c r="F355" i="5"/>
  <c r="F355" i="7" s="1"/>
  <c r="E355" i="5"/>
  <c r="E355" i="7" s="1"/>
  <c r="D355" i="5"/>
  <c r="D355" i="7" s="1"/>
  <c r="C355" i="5"/>
  <c r="C355" i="7" s="1"/>
  <c r="B355" i="5"/>
  <c r="B355" i="7" s="1"/>
  <c r="L354" i="5"/>
  <c r="L354" i="7" s="1"/>
  <c r="J354" i="5"/>
  <c r="J354" i="7" s="1"/>
  <c r="I354" i="5"/>
  <c r="I354" i="7" s="1"/>
  <c r="H354" i="5"/>
  <c r="H354" i="7" s="1"/>
  <c r="G354" i="5"/>
  <c r="G354" i="7" s="1"/>
  <c r="F354" i="5"/>
  <c r="F354" i="7" s="1"/>
  <c r="E354" i="5"/>
  <c r="D354" i="5"/>
  <c r="D354" i="7" s="1"/>
  <c r="C354" i="5"/>
  <c r="C354" i="7" s="1"/>
  <c r="B354" i="5"/>
  <c r="B354" i="7" s="1"/>
  <c r="L353" i="5"/>
  <c r="L353" i="7" s="1"/>
  <c r="K353" i="5"/>
  <c r="K353" i="7" s="1"/>
  <c r="J353" i="5"/>
  <c r="J353" i="7" s="1"/>
  <c r="I353" i="5"/>
  <c r="I353" i="7" s="1"/>
  <c r="H353" i="5"/>
  <c r="H353" i="7" s="1"/>
  <c r="G353" i="5"/>
  <c r="G353" i="7" s="1"/>
  <c r="F353" i="5"/>
  <c r="F353" i="7" s="1"/>
  <c r="E353" i="5"/>
  <c r="E353" i="7" s="1"/>
  <c r="D353" i="5"/>
  <c r="D353" i="7" s="1"/>
  <c r="C353" i="5"/>
  <c r="C353" i="7" s="1"/>
  <c r="B353" i="5"/>
  <c r="B353" i="7" s="1"/>
  <c r="L352" i="5"/>
  <c r="L352" i="7" s="1"/>
  <c r="J352" i="5"/>
  <c r="J352" i="7" s="1"/>
  <c r="I352" i="5"/>
  <c r="I352" i="7" s="1"/>
  <c r="H352" i="5"/>
  <c r="H352" i="7" s="1"/>
  <c r="G352" i="5"/>
  <c r="G352" i="7" s="1"/>
  <c r="F352" i="5"/>
  <c r="F352" i="7" s="1"/>
  <c r="E352" i="5"/>
  <c r="E352" i="7" s="1"/>
  <c r="D352" i="5"/>
  <c r="D352" i="7" s="1"/>
  <c r="C352" i="5"/>
  <c r="C352" i="7" s="1"/>
  <c r="B352" i="5"/>
  <c r="B352" i="7" s="1"/>
  <c r="L351" i="5"/>
  <c r="L351" i="7" s="1"/>
  <c r="J351" i="5"/>
  <c r="J351" i="7" s="1"/>
  <c r="I351" i="5"/>
  <c r="I351" i="7" s="1"/>
  <c r="H351" i="5"/>
  <c r="H351" i="7" s="1"/>
  <c r="G351" i="5"/>
  <c r="G351" i="7" s="1"/>
  <c r="F351" i="5"/>
  <c r="F351" i="7" s="1"/>
  <c r="E351" i="5"/>
  <c r="E351" i="7" s="1"/>
  <c r="D351" i="5"/>
  <c r="D351" i="7" s="1"/>
  <c r="C351" i="5"/>
  <c r="C351" i="7" s="1"/>
  <c r="B351" i="5"/>
  <c r="B351" i="7" s="1"/>
  <c r="L350" i="5"/>
  <c r="L350" i="7" s="1"/>
  <c r="K350" i="5"/>
  <c r="K350" i="7" s="1"/>
  <c r="J350" i="5"/>
  <c r="J350" i="7" s="1"/>
  <c r="I350" i="5"/>
  <c r="I350" i="7" s="1"/>
  <c r="H350" i="5"/>
  <c r="H350" i="7" s="1"/>
  <c r="G350" i="5"/>
  <c r="G350" i="7" s="1"/>
  <c r="F350" i="5"/>
  <c r="F350" i="7" s="1"/>
  <c r="E350" i="5"/>
  <c r="E350" i="7" s="1"/>
  <c r="D350" i="5"/>
  <c r="D350" i="7" s="1"/>
  <c r="C350" i="5"/>
  <c r="C350" i="7" s="1"/>
  <c r="B350" i="5"/>
  <c r="B350" i="7" s="1"/>
  <c r="L349" i="5"/>
  <c r="L349" i="7" s="1"/>
  <c r="K349" i="5"/>
  <c r="K349" i="7" s="1"/>
  <c r="J349" i="5"/>
  <c r="J349" i="7" s="1"/>
  <c r="I349" i="5"/>
  <c r="I349" i="7" s="1"/>
  <c r="H349" i="5"/>
  <c r="H349" i="7" s="1"/>
  <c r="G349" i="5"/>
  <c r="G349" i="7" s="1"/>
  <c r="F349" i="5"/>
  <c r="F349" i="7" s="1"/>
  <c r="E349" i="5"/>
  <c r="E349" i="7" s="1"/>
  <c r="D349" i="5"/>
  <c r="D349" i="7" s="1"/>
  <c r="C349" i="5"/>
  <c r="C349" i="7" s="1"/>
  <c r="B349" i="5"/>
  <c r="B349" i="7" s="1"/>
  <c r="L348" i="5"/>
  <c r="L348" i="7" s="1"/>
  <c r="J348" i="5"/>
  <c r="J348" i="7" s="1"/>
  <c r="I348" i="5"/>
  <c r="I348" i="7" s="1"/>
  <c r="H348" i="5"/>
  <c r="H348" i="7" s="1"/>
  <c r="G348" i="5"/>
  <c r="G348" i="7" s="1"/>
  <c r="F348" i="5"/>
  <c r="F348" i="7" s="1"/>
  <c r="E348" i="5"/>
  <c r="D348" i="5"/>
  <c r="D348" i="7" s="1"/>
  <c r="C348" i="5"/>
  <c r="C348" i="7" s="1"/>
  <c r="B348" i="5"/>
  <c r="B348" i="7" s="1"/>
  <c r="L347" i="5"/>
  <c r="L347" i="7" s="1"/>
  <c r="J347" i="5"/>
  <c r="J347" i="7" s="1"/>
  <c r="I347" i="5"/>
  <c r="I347" i="7" s="1"/>
  <c r="H347" i="5"/>
  <c r="H347" i="7" s="1"/>
  <c r="G347" i="5"/>
  <c r="G347" i="7" s="1"/>
  <c r="F347" i="5"/>
  <c r="F347" i="7" s="1"/>
  <c r="E347" i="5"/>
  <c r="D347" i="5"/>
  <c r="D347" i="7" s="1"/>
  <c r="C347" i="5"/>
  <c r="C347" i="7" s="1"/>
  <c r="B347" i="5"/>
  <c r="B347" i="7" s="1"/>
  <c r="L346" i="5"/>
  <c r="L346" i="7" s="1"/>
  <c r="J346" i="5"/>
  <c r="J346" i="7" s="1"/>
  <c r="I346" i="5"/>
  <c r="I346" i="7" s="1"/>
  <c r="H346" i="5"/>
  <c r="H346" i="7" s="1"/>
  <c r="G346" i="5"/>
  <c r="G346" i="7" s="1"/>
  <c r="F346" i="5"/>
  <c r="F346" i="7" s="1"/>
  <c r="E346" i="5"/>
  <c r="E346" i="7" s="1"/>
  <c r="D346" i="5"/>
  <c r="D346" i="7" s="1"/>
  <c r="C346" i="5"/>
  <c r="C346" i="7" s="1"/>
  <c r="B346" i="5"/>
  <c r="B346" i="7" s="1"/>
  <c r="L345" i="5"/>
  <c r="L345" i="7" s="1"/>
  <c r="K345" i="5"/>
  <c r="K345" i="7" s="1"/>
  <c r="J345" i="5"/>
  <c r="J345" i="7" s="1"/>
  <c r="I345" i="5"/>
  <c r="I345" i="7" s="1"/>
  <c r="H345" i="5"/>
  <c r="H345" i="7" s="1"/>
  <c r="G345" i="5"/>
  <c r="G345" i="7" s="1"/>
  <c r="F345" i="5"/>
  <c r="F345" i="7" s="1"/>
  <c r="E345" i="5"/>
  <c r="E345" i="7" s="1"/>
  <c r="D345" i="5"/>
  <c r="D345" i="7" s="1"/>
  <c r="C345" i="5"/>
  <c r="C345" i="7" s="1"/>
  <c r="B345" i="5"/>
  <c r="B345" i="7" s="1"/>
  <c r="L344" i="5"/>
  <c r="L344" i="7" s="1"/>
  <c r="K344" i="5"/>
  <c r="K344" i="7" s="1"/>
  <c r="J344" i="5"/>
  <c r="J344" i="7" s="1"/>
  <c r="I344" i="5"/>
  <c r="I344" i="7" s="1"/>
  <c r="H344" i="5"/>
  <c r="H344" i="7" s="1"/>
  <c r="G344" i="5"/>
  <c r="G344" i="7" s="1"/>
  <c r="F344" i="5"/>
  <c r="F344" i="7" s="1"/>
  <c r="E344" i="5"/>
  <c r="E344" i="7" s="1"/>
  <c r="D344" i="5"/>
  <c r="D344" i="7" s="1"/>
  <c r="C344" i="5"/>
  <c r="C344" i="7" s="1"/>
  <c r="B344" i="5"/>
  <c r="B344" i="7" s="1"/>
  <c r="L343" i="5"/>
  <c r="L343" i="7" s="1"/>
  <c r="J343" i="5"/>
  <c r="J343" i="7" s="1"/>
  <c r="I343" i="5"/>
  <c r="I343" i="7" s="1"/>
  <c r="H343" i="5"/>
  <c r="H343" i="7" s="1"/>
  <c r="G343" i="5"/>
  <c r="G343" i="7" s="1"/>
  <c r="F343" i="5"/>
  <c r="F343" i="7" s="1"/>
  <c r="E343" i="5"/>
  <c r="D343" i="5"/>
  <c r="D343" i="7" s="1"/>
  <c r="C343" i="5"/>
  <c r="C343" i="7" s="1"/>
  <c r="B343" i="5"/>
  <c r="B343" i="7" s="1"/>
  <c r="L342" i="5"/>
  <c r="L342" i="7" s="1"/>
  <c r="J342" i="5"/>
  <c r="J342" i="7" s="1"/>
  <c r="I342" i="5"/>
  <c r="I342" i="7" s="1"/>
  <c r="H342" i="5"/>
  <c r="H342" i="7" s="1"/>
  <c r="G342" i="5"/>
  <c r="G342" i="7" s="1"/>
  <c r="F342" i="5"/>
  <c r="F342" i="7" s="1"/>
  <c r="E342" i="5"/>
  <c r="E342" i="7" s="1"/>
  <c r="D342" i="5"/>
  <c r="D342" i="7" s="1"/>
  <c r="C342" i="5"/>
  <c r="C342" i="7" s="1"/>
  <c r="B342" i="5"/>
  <c r="B342" i="7" s="1"/>
  <c r="L341" i="5"/>
  <c r="L341" i="7" s="1"/>
  <c r="K341" i="5"/>
  <c r="K341" i="7" s="1"/>
  <c r="J341" i="5"/>
  <c r="J341" i="7" s="1"/>
  <c r="I341" i="5"/>
  <c r="I341" i="7" s="1"/>
  <c r="H341" i="5"/>
  <c r="H341" i="7" s="1"/>
  <c r="G341" i="5"/>
  <c r="G341" i="7" s="1"/>
  <c r="F341" i="5"/>
  <c r="F341" i="7" s="1"/>
  <c r="E341" i="5"/>
  <c r="E341" i="7" s="1"/>
  <c r="D341" i="5"/>
  <c r="D341" i="7" s="1"/>
  <c r="C341" i="5"/>
  <c r="C341" i="7" s="1"/>
  <c r="B341" i="5"/>
  <c r="B341" i="7" s="1"/>
  <c r="L340" i="5"/>
  <c r="L340" i="7" s="1"/>
  <c r="J340" i="5"/>
  <c r="J340" i="7" s="1"/>
  <c r="I340" i="5"/>
  <c r="I340" i="7" s="1"/>
  <c r="H340" i="5"/>
  <c r="H340" i="7" s="1"/>
  <c r="G340" i="5"/>
  <c r="G340" i="7" s="1"/>
  <c r="F340" i="5"/>
  <c r="F340" i="7" s="1"/>
  <c r="E340" i="5"/>
  <c r="D340" i="5"/>
  <c r="D340" i="7" s="1"/>
  <c r="C340" i="5"/>
  <c r="C340" i="7" s="1"/>
  <c r="B340" i="5"/>
  <c r="B340" i="7" s="1"/>
  <c r="L339" i="5"/>
  <c r="L339" i="7" s="1"/>
  <c r="K339" i="5"/>
  <c r="K339" i="7" s="1"/>
  <c r="J339" i="5"/>
  <c r="J339" i="7" s="1"/>
  <c r="I339" i="5"/>
  <c r="I339" i="7" s="1"/>
  <c r="H339" i="5"/>
  <c r="H339" i="7" s="1"/>
  <c r="G339" i="5"/>
  <c r="G339" i="7" s="1"/>
  <c r="F339" i="5"/>
  <c r="F339" i="7" s="1"/>
  <c r="E339" i="5"/>
  <c r="E339" i="7" s="1"/>
  <c r="D339" i="5"/>
  <c r="D339" i="7" s="1"/>
  <c r="C339" i="5"/>
  <c r="C339" i="7" s="1"/>
  <c r="B339" i="5"/>
  <c r="B339" i="7" s="1"/>
  <c r="L338" i="5"/>
  <c r="L338" i="7" s="1"/>
  <c r="J338" i="5"/>
  <c r="J338" i="7" s="1"/>
  <c r="I338" i="5"/>
  <c r="I338" i="7" s="1"/>
  <c r="H338" i="5"/>
  <c r="H338" i="7" s="1"/>
  <c r="G338" i="5"/>
  <c r="G338" i="7" s="1"/>
  <c r="F338" i="5"/>
  <c r="F338" i="7" s="1"/>
  <c r="E338" i="5"/>
  <c r="E338" i="7" s="1"/>
  <c r="D338" i="5"/>
  <c r="D338" i="7" s="1"/>
  <c r="C338" i="5"/>
  <c r="C338" i="7" s="1"/>
  <c r="B338" i="5"/>
  <c r="B338" i="7" s="1"/>
  <c r="L337" i="5"/>
  <c r="L337" i="7" s="1"/>
  <c r="K337" i="5"/>
  <c r="K337" i="7" s="1"/>
  <c r="J337" i="5"/>
  <c r="J337" i="7" s="1"/>
  <c r="I337" i="5"/>
  <c r="I337" i="7" s="1"/>
  <c r="H337" i="5"/>
  <c r="H337" i="7" s="1"/>
  <c r="G337" i="5"/>
  <c r="G337" i="7" s="1"/>
  <c r="F337" i="5"/>
  <c r="F337" i="7" s="1"/>
  <c r="E337" i="5"/>
  <c r="E337" i="7" s="1"/>
  <c r="D337" i="5"/>
  <c r="D337" i="7" s="1"/>
  <c r="C337" i="5"/>
  <c r="C337" i="7" s="1"/>
  <c r="B337" i="5"/>
  <c r="B337" i="7" s="1"/>
  <c r="L336" i="5"/>
  <c r="L336" i="7" s="1"/>
  <c r="K336" i="5"/>
  <c r="K336" i="7" s="1"/>
  <c r="J336" i="5"/>
  <c r="J336" i="7" s="1"/>
  <c r="I336" i="5"/>
  <c r="I336" i="7" s="1"/>
  <c r="H336" i="5"/>
  <c r="H336" i="7" s="1"/>
  <c r="G336" i="5"/>
  <c r="G336" i="7" s="1"/>
  <c r="F336" i="5"/>
  <c r="F336" i="7" s="1"/>
  <c r="E336" i="5"/>
  <c r="E336" i="7" s="1"/>
  <c r="D336" i="5"/>
  <c r="D336" i="7" s="1"/>
  <c r="C336" i="5"/>
  <c r="C336" i="7" s="1"/>
  <c r="B336" i="5"/>
  <c r="B336" i="7" s="1"/>
  <c r="L335" i="5"/>
  <c r="L335" i="7" s="1"/>
  <c r="J335" i="5"/>
  <c r="J335" i="7" s="1"/>
  <c r="I335" i="5"/>
  <c r="I335" i="7" s="1"/>
  <c r="H335" i="5"/>
  <c r="H335" i="7" s="1"/>
  <c r="G335" i="5"/>
  <c r="G335" i="7" s="1"/>
  <c r="F335" i="5"/>
  <c r="F335" i="7" s="1"/>
  <c r="E335" i="5"/>
  <c r="E335" i="7" s="1"/>
  <c r="D335" i="5"/>
  <c r="D335" i="7" s="1"/>
  <c r="C335" i="5"/>
  <c r="C335" i="7" s="1"/>
  <c r="B335" i="5"/>
  <c r="B335" i="7" s="1"/>
  <c r="L334" i="5"/>
  <c r="L334" i="7" s="1"/>
  <c r="J334" i="5"/>
  <c r="J334" i="7" s="1"/>
  <c r="I334" i="5"/>
  <c r="I334" i="7" s="1"/>
  <c r="H334" i="5"/>
  <c r="H334" i="7" s="1"/>
  <c r="G334" i="5"/>
  <c r="G334" i="7" s="1"/>
  <c r="F334" i="5"/>
  <c r="F334" i="7" s="1"/>
  <c r="E334" i="5"/>
  <c r="D334" i="5"/>
  <c r="D334" i="7" s="1"/>
  <c r="C334" i="5"/>
  <c r="C334" i="7" s="1"/>
  <c r="B334" i="5"/>
  <c r="B334" i="7" s="1"/>
  <c r="L333" i="5"/>
  <c r="L333" i="7" s="1"/>
  <c r="J333" i="5"/>
  <c r="J333" i="7" s="1"/>
  <c r="I333" i="5"/>
  <c r="I333" i="7" s="1"/>
  <c r="H333" i="5"/>
  <c r="H333" i="7" s="1"/>
  <c r="G333" i="5"/>
  <c r="G333" i="7" s="1"/>
  <c r="F333" i="5"/>
  <c r="F333" i="7" s="1"/>
  <c r="E333" i="5"/>
  <c r="D333" i="5"/>
  <c r="D333" i="7" s="1"/>
  <c r="C333" i="5"/>
  <c r="C333" i="7" s="1"/>
  <c r="B333" i="5"/>
  <c r="B333" i="7" s="1"/>
  <c r="L332" i="5"/>
  <c r="L332" i="7" s="1"/>
  <c r="K332" i="5"/>
  <c r="K332" i="7" s="1"/>
  <c r="J332" i="5"/>
  <c r="J332" i="7" s="1"/>
  <c r="I332" i="5"/>
  <c r="I332" i="7" s="1"/>
  <c r="H332" i="5"/>
  <c r="H332" i="7" s="1"/>
  <c r="G332" i="5"/>
  <c r="G332" i="7" s="1"/>
  <c r="F332" i="5"/>
  <c r="F332" i="7" s="1"/>
  <c r="E332" i="5"/>
  <c r="E332" i="7" s="1"/>
  <c r="D332" i="5"/>
  <c r="D332" i="7" s="1"/>
  <c r="C332" i="5"/>
  <c r="C332" i="7" s="1"/>
  <c r="B332" i="5"/>
  <c r="B332" i="7" s="1"/>
  <c r="L331" i="5"/>
  <c r="L331" i="7" s="1"/>
  <c r="K331" i="5"/>
  <c r="K331" i="7" s="1"/>
  <c r="J331" i="5"/>
  <c r="J331" i="7" s="1"/>
  <c r="I331" i="5"/>
  <c r="I331" i="7" s="1"/>
  <c r="H331" i="5"/>
  <c r="H331" i="7" s="1"/>
  <c r="G331" i="5"/>
  <c r="G331" i="7" s="1"/>
  <c r="F331" i="5"/>
  <c r="F331" i="7" s="1"/>
  <c r="E331" i="5"/>
  <c r="E331" i="7" s="1"/>
  <c r="D331" i="5"/>
  <c r="D331" i="7" s="1"/>
  <c r="C331" i="5"/>
  <c r="C331" i="7" s="1"/>
  <c r="B331" i="5"/>
  <c r="B331" i="7" s="1"/>
  <c r="L330" i="5"/>
  <c r="L330" i="7" s="1"/>
  <c r="K330" i="5"/>
  <c r="K330" i="7" s="1"/>
  <c r="J330" i="5"/>
  <c r="J330" i="7" s="1"/>
  <c r="I330" i="5"/>
  <c r="I330" i="7" s="1"/>
  <c r="H330" i="5"/>
  <c r="H330" i="7" s="1"/>
  <c r="G330" i="5"/>
  <c r="G330" i="7" s="1"/>
  <c r="F330" i="5"/>
  <c r="F330" i="7" s="1"/>
  <c r="E330" i="5"/>
  <c r="E330" i="7" s="1"/>
  <c r="D330" i="5"/>
  <c r="D330" i="7" s="1"/>
  <c r="C330" i="5"/>
  <c r="C330" i="7" s="1"/>
  <c r="B330" i="5"/>
  <c r="B330" i="7" s="1"/>
  <c r="L329" i="5"/>
  <c r="L329" i="7" s="1"/>
  <c r="J329" i="5"/>
  <c r="J329" i="7" s="1"/>
  <c r="I329" i="5"/>
  <c r="I329" i="7" s="1"/>
  <c r="H329" i="5"/>
  <c r="H329" i="7" s="1"/>
  <c r="G329" i="5"/>
  <c r="G329" i="7" s="1"/>
  <c r="F329" i="5"/>
  <c r="F329" i="7" s="1"/>
  <c r="E329" i="5"/>
  <c r="D329" i="5"/>
  <c r="D329" i="7" s="1"/>
  <c r="C329" i="5"/>
  <c r="C329" i="7" s="1"/>
  <c r="B329" i="5"/>
  <c r="B329" i="7" s="1"/>
  <c r="L328" i="5"/>
  <c r="L328" i="7" s="1"/>
  <c r="K328" i="5"/>
  <c r="K328" i="7" s="1"/>
  <c r="J328" i="5"/>
  <c r="J328" i="7" s="1"/>
  <c r="I328" i="5"/>
  <c r="I328" i="7" s="1"/>
  <c r="H328" i="5"/>
  <c r="H328" i="7" s="1"/>
  <c r="G328" i="5"/>
  <c r="G328" i="7" s="1"/>
  <c r="F328" i="5"/>
  <c r="F328" i="7" s="1"/>
  <c r="E328" i="5"/>
  <c r="E328" i="7" s="1"/>
  <c r="D328" i="5"/>
  <c r="D328" i="7" s="1"/>
  <c r="C328" i="5"/>
  <c r="C328" i="7" s="1"/>
  <c r="B328" i="5"/>
  <c r="B328" i="7" s="1"/>
  <c r="L327" i="5"/>
  <c r="L327" i="7" s="1"/>
  <c r="K327" i="5"/>
  <c r="K327" i="7" s="1"/>
  <c r="J327" i="5"/>
  <c r="J327" i="7" s="1"/>
  <c r="I327" i="5"/>
  <c r="I327" i="7" s="1"/>
  <c r="H327" i="5"/>
  <c r="H327" i="7" s="1"/>
  <c r="G327" i="5"/>
  <c r="G327" i="7" s="1"/>
  <c r="F327" i="5"/>
  <c r="F327" i="7" s="1"/>
  <c r="E327" i="5"/>
  <c r="E327" i="7" s="1"/>
  <c r="D327" i="5"/>
  <c r="D327" i="7" s="1"/>
  <c r="C327" i="5"/>
  <c r="C327" i="7" s="1"/>
  <c r="B327" i="5"/>
  <c r="B327" i="7" s="1"/>
  <c r="L326" i="5"/>
  <c r="L326" i="7" s="1"/>
  <c r="J326" i="5"/>
  <c r="J326" i="7" s="1"/>
  <c r="I326" i="5"/>
  <c r="I326" i="7" s="1"/>
  <c r="H326" i="5"/>
  <c r="H326" i="7" s="1"/>
  <c r="G326" i="5"/>
  <c r="G326" i="7" s="1"/>
  <c r="F326" i="5"/>
  <c r="F326" i="7" s="1"/>
  <c r="E326" i="5"/>
  <c r="D326" i="5"/>
  <c r="D326" i="7" s="1"/>
  <c r="C326" i="5"/>
  <c r="C326" i="7" s="1"/>
  <c r="B326" i="5"/>
  <c r="B326" i="7" s="1"/>
  <c r="L325" i="5"/>
  <c r="L325" i="7" s="1"/>
  <c r="K325" i="5"/>
  <c r="K325" i="7" s="1"/>
  <c r="J325" i="5"/>
  <c r="J325" i="7" s="1"/>
  <c r="I325" i="5"/>
  <c r="I325" i="7" s="1"/>
  <c r="H325" i="5"/>
  <c r="H325" i="7" s="1"/>
  <c r="G325" i="5"/>
  <c r="G325" i="7" s="1"/>
  <c r="F325" i="5"/>
  <c r="F325" i="7" s="1"/>
  <c r="E325" i="5"/>
  <c r="E325" i="7" s="1"/>
  <c r="D325" i="5"/>
  <c r="D325" i="7" s="1"/>
  <c r="C325" i="5"/>
  <c r="C325" i="7" s="1"/>
  <c r="B325" i="5"/>
  <c r="B325" i="7" s="1"/>
  <c r="L324" i="5"/>
  <c r="L324" i="7" s="1"/>
  <c r="J324" i="5"/>
  <c r="J324" i="7" s="1"/>
  <c r="I324" i="5"/>
  <c r="I324" i="7" s="1"/>
  <c r="H324" i="5"/>
  <c r="H324" i="7" s="1"/>
  <c r="G324" i="5"/>
  <c r="G324" i="7" s="1"/>
  <c r="F324" i="5"/>
  <c r="F324" i="7" s="1"/>
  <c r="E324" i="5"/>
  <c r="E324" i="7" s="1"/>
  <c r="D324" i="5"/>
  <c r="D324" i="7" s="1"/>
  <c r="C324" i="5"/>
  <c r="C324" i="7" s="1"/>
  <c r="B324" i="5"/>
  <c r="B324" i="7" s="1"/>
  <c r="L323" i="5"/>
  <c r="L323" i="7" s="1"/>
  <c r="K323" i="5"/>
  <c r="K323" i="7" s="1"/>
  <c r="J323" i="5"/>
  <c r="J323" i="7" s="1"/>
  <c r="I323" i="5"/>
  <c r="I323" i="7" s="1"/>
  <c r="H323" i="5"/>
  <c r="H323" i="7" s="1"/>
  <c r="G323" i="5"/>
  <c r="G323" i="7" s="1"/>
  <c r="F323" i="5"/>
  <c r="F323" i="7" s="1"/>
  <c r="E323" i="5"/>
  <c r="E323" i="7" s="1"/>
  <c r="D323" i="5"/>
  <c r="D323" i="7" s="1"/>
  <c r="C323" i="5"/>
  <c r="C323" i="7" s="1"/>
  <c r="B323" i="5"/>
  <c r="B323" i="7" s="1"/>
  <c r="L322" i="5"/>
  <c r="L322" i="7" s="1"/>
  <c r="K322" i="5"/>
  <c r="K322" i="7" s="1"/>
  <c r="J322" i="5"/>
  <c r="J322" i="7" s="1"/>
  <c r="I322" i="5"/>
  <c r="I322" i="7" s="1"/>
  <c r="H322" i="5"/>
  <c r="H322" i="7" s="1"/>
  <c r="G322" i="5"/>
  <c r="G322" i="7" s="1"/>
  <c r="F322" i="5"/>
  <c r="F322" i="7" s="1"/>
  <c r="E322" i="5"/>
  <c r="E322" i="7" s="1"/>
  <c r="D322" i="5"/>
  <c r="D322" i="7" s="1"/>
  <c r="C322" i="5"/>
  <c r="C322" i="7" s="1"/>
  <c r="B322" i="5"/>
  <c r="B322" i="7" s="1"/>
  <c r="L321" i="5"/>
  <c r="L321" i="7" s="1"/>
  <c r="J321" i="5"/>
  <c r="J321" i="7" s="1"/>
  <c r="I321" i="5"/>
  <c r="I321" i="7" s="1"/>
  <c r="H321" i="5"/>
  <c r="H321" i="7" s="1"/>
  <c r="G321" i="5"/>
  <c r="G321" i="7" s="1"/>
  <c r="F321" i="5"/>
  <c r="F321" i="7" s="1"/>
  <c r="E321" i="5"/>
  <c r="E321" i="7" s="1"/>
  <c r="D321" i="5"/>
  <c r="D321" i="7" s="1"/>
  <c r="C321" i="5"/>
  <c r="C321" i="7" s="1"/>
  <c r="B321" i="5"/>
  <c r="B321" i="7" s="1"/>
  <c r="L320" i="5"/>
  <c r="L320" i="7" s="1"/>
  <c r="J320" i="5"/>
  <c r="J320" i="7" s="1"/>
  <c r="I320" i="5"/>
  <c r="I320" i="7" s="1"/>
  <c r="H320" i="5"/>
  <c r="H320" i="7" s="1"/>
  <c r="G320" i="5"/>
  <c r="G320" i="7" s="1"/>
  <c r="F320" i="5"/>
  <c r="F320" i="7" s="1"/>
  <c r="E320" i="5"/>
  <c r="D320" i="5"/>
  <c r="D320" i="7" s="1"/>
  <c r="C320" i="5"/>
  <c r="C320" i="7" s="1"/>
  <c r="B320" i="5"/>
  <c r="B320" i="7" s="1"/>
  <c r="L319" i="5"/>
  <c r="L319" i="7" s="1"/>
  <c r="J319" i="5"/>
  <c r="J319" i="7" s="1"/>
  <c r="I319" i="5"/>
  <c r="I319" i="7" s="1"/>
  <c r="H319" i="5"/>
  <c r="H319" i="7" s="1"/>
  <c r="G319" i="5"/>
  <c r="G319" i="7" s="1"/>
  <c r="F319" i="5"/>
  <c r="F319" i="7" s="1"/>
  <c r="E319" i="5"/>
  <c r="D319" i="5"/>
  <c r="D319" i="7" s="1"/>
  <c r="C319" i="5"/>
  <c r="C319" i="7" s="1"/>
  <c r="B319" i="5"/>
  <c r="B319" i="7" s="1"/>
  <c r="L318" i="5"/>
  <c r="L318" i="7" s="1"/>
  <c r="K318" i="5"/>
  <c r="K318" i="7" s="1"/>
  <c r="J318" i="5"/>
  <c r="J318" i="7" s="1"/>
  <c r="I318" i="5"/>
  <c r="I318" i="7" s="1"/>
  <c r="H318" i="5"/>
  <c r="H318" i="7" s="1"/>
  <c r="G318" i="5"/>
  <c r="G318" i="7" s="1"/>
  <c r="F318" i="5"/>
  <c r="F318" i="7" s="1"/>
  <c r="E318" i="5"/>
  <c r="E318" i="7" s="1"/>
  <c r="D318" i="5"/>
  <c r="D318" i="7" s="1"/>
  <c r="C318" i="5"/>
  <c r="C318" i="7" s="1"/>
  <c r="B318" i="5"/>
  <c r="B318" i="7" s="1"/>
  <c r="L317" i="5"/>
  <c r="L317" i="7" s="1"/>
  <c r="K317" i="5"/>
  <c r="K317" i="7" s="1"/>
  <c r="J317" i="5"/>
  <c r="J317" i="7" s="1"/>
  <c r="I317" i="5"/>
  <c r="I317" i="7" s="1"/>
  <c r="H317" i="5"/>
  <c r="H317" i="7" s="1"/>
  <c r="G317" i="5"/>
  <c r="G317" i="7" s="1"/>
  <c r="F317" i="5"/>
  <c r="F317" i="7" s="1"/>
  <c r="E317" i="5"/>
  <c r="E317" i="7" s="1"/>
  <c r="D317" i="5"/>
  <c r="D317" i="7" s="1"/>
  <c r="C317" i="5"/>
  <c r="C317" i="7" s="1"/>
  <c r="B317" i="5"/>
  <c r="B317" i="7" s="1"/>
  <c r="L316" i="5"/>
  <c r="L316" i="7" s="1"/>
  <c r="K316" i="5"/>
  <c r="K316" i="7" s="1"/>
  <c r="J316" i="5"/>
  <c r="J316" i="7" s="1"/>
  <c r="I316" i="5"/>
  <c r="I316" i="7" s="1"/>
  <c r="H316" i="5"/>
  <c r="H316" i="7" s="1"/>
  <c r="G316" i="5"/>
  <c r="G316" i="7" s="1"/>
  <c r="F316" i="5"/>
  <c r="F316" i="7" s="1"/>
  <c r="E316" i="5"/>
  <c r="E316" i="7" s="1"/>
  <c r="D316" i="5"/>
  <c r="D316" i="7" s="1"/>
  <c r="C316" i="5"/>
  <c r="C316" i="7" s="1"/>
  <c r="B316" i="5"/>
  <c r="B316" i="7" s="1"/>
  <c r="L315" i="5"/>
  <c r="L315" i="7" s="1"/>
  <c r="J315" i="5"/>
  <c r="J315" i="7" s="1"/>
  <c r="I315" i="5"/>
  <c r="I315" i="7" s="1"/>
  <c r="H315" i="5"/>
  <c r="H315" i="7" s="1"/>
  <c r="G315" i="5"/>
  <c r="G315" i="7" s="1"/>
  <c r="F315" i="5"/>
  <c r="F315" i="7" s="1"/>
  <c r="E315" i="5"/>
  <c r="D315" i="5"/>
  <c r="D315" i="7" s="1"/>
  <c r="C315" i="5"/>
  <c r="C315" i="7" s="1"/>
  <c r="B315" i="5"/>
  <c r="B315" i="7" s="1"/>
  <c r="L314" i="5"/>
  <c r="L314" i="7" s="1"/>
  <c r="J314" i="5"/>
  <c r="J314" i="7" s="1"/>
  <c r="I314" i="5"/>
  <c r="I314" i="7" s="1"/>
  <c r="H314" i="5"/>
  <c r="H314" i="7" s="1"/>
  <c r="G314" i="5"/>
  <c r="G314" i="7" s="1"/>
  <c r="F314" i="5"/>
  <c r="F314" i="7" s="1"/>
  <c r="E314" i="5"/>
  <c r="E314" i="7" s="1"/>
  <c r="D314" i="5"/>
  <c r="D314" i="7" s="1"/>
  <c r="C314" i="5"/>
  <c r="C314" i="7" s="1"/>
  <c r="B314" i="5"/>
  <c r="B314" i="7" s="1"/>
  <c r="L313" i="5"/>
  <c r="L313" i="7" s="1"/>
  <c r="K313" i="5"/>
  <c r="K313" i="7" s="1"/>
  <c r="J313" i="5"/>
  <c r="J313" i="7" s="1"/>
  <c r="I313" i="5"/>
  <c r="I313" i="7" s="1"/>
  <c r="H313" i="5"/>
  <c r="H313" i="7" s="1"/>
  <c r="G313" i="5"/>
  <c r="G313" i="7" s="1"/>
  <c r="F313" i="5"/>
  <c r="F313" i="7" s="1"/>
  <c r="E313" i="5"/>
  <c r="E313" i="7" s="1"/>
  <c r="D313" i="5"/>
  <c r="D313" i="7" s="1"/>
  <c r="C313" i="5"/>
  <c r="C313" i="7" s="1"/>
  <c r="B313" i="5"/>
  <c r="B313" i="7" s="1"/>
  <c r="L312" i="5"/>
  <c r="L312" i="7" s="1"/>
  <c r="J312" i="5"/>
  <c r="J312" i="7" s="1"/>
  <c r="I312" i="5"/>
  <c r="I312" i="7" s="1"/>
  <c r="H312" i="5"/>
  <c r="H312" i="7" s="1"/>
  <c r="G312" i="5"/>
  <c r="G312" i="7" s="1"/>
  <c r="F312" i="5"/>
  <c r="F312" i="7" s="1"/>
  <c r="E312" i="5"/>
  <c r="D312" i="5"/>
  <c r="D312" i="7" s="1"/>
  <c r="C312" i="5"/>
  <c r="C312" i="7" s="1"/>
  <c r="B312" i="5"/>
  <c r="B312" i="7" s="1"/>
  <c r="L311" i="5"/>
  <c r="L311" i="7" s="1"/>
  <c r="K311" i="5"/>
  <c r="K311" i="7" s="1"/>
  <c r="J311" i="5"/>
  <c r="J311" i="7" s="1"/>
  <c r="I311" i="5"/>
  <c r="I311" i="7" s="1"/>
  <c r="H311" i="5"/>
  <c r="H311" i="7" s="1"/>
  <c r="G311" i="5"/>
  <c r="G311" i="7" s="1"/>
  <c r="F311" i="5"/>
  <c r="F311" i="7" s="1"/>
  <c r="E311" i="5"/>
  <c r="E311" i="7" s="1"/>
  <c r="D311" i="5"/>
  <c r="D311" i="7" s="1"/>
  <c r="C311" i="5"/>
  <c r="C311" i="7" s="1"/>
  <c r="B311" i="5"/>
  <c r="B311" i="7" s="1"/>
  <c r="L310" i="5"/>
  <c r="L310" i="7" s="1"/>
  <c r="J310" i="5"/>
  <c r="J310" i="7" s="1"/>
  <c r="I310" i="5"/>
  <c r="I310" i="7" s="1"/>
  <c r="H310" i="5"/>
  <c r="H310" i="7" s="1"/>
  <c r="G310" i="5"/>
  <c r="G310" i="7" s="1"/>
  <c r="F310" i="5"/>
  <c r="F310" i="7" s="1"/>
  <c r="E310" i="5"/>
  <c r="E310" i="7" s="1"/>
  <c r="D310" i="5"/>
  <c r="D310" i="7" s="1"/>
  <c r="C310" i="5"/>
  <c r="C310" i="7" s="1"/>
  <c r="B310" i="5"/>
  <c r="B310" i="7" s="1"/>
  <c r="L309" i="5"/>
  <c r="L309" i="7" s="1"/>
  <c r="J309" i="5"/>
  <c r="J309" i="7" s="1"/>
  <c r="I309" i="5"/>
  <c r="I309" i="7" s="1"/>
  <c r="H309" i="5"/>
  <c r="H309" i="7" s="1"/>
  <c r="G309" i="5"/>
  <c r="G309" i="7" s="1"/>
  <c r="F309" i="5"/>
  <c r="F309" i="7" s="1"/>
  <c r="E309" i="5"/>
  <c r="E309" i="7" s="1"/>
  <c r="D309" i="5"/>
  <c r="D309" i="7" s="1"/>
  <c r="C309" i="5"/>
  <c r="C309" i="7" s="1"/>
  <c r="B309" i="5"/>
  <c r="B309" i="7" s="1"/>
  <c r="L308" i="5"/>
  <c r="L308" i="7" s="1"/>
  <c r="K308" i="5"/>
  <c r="K308" i="7" s="1"/>
  <c r="J308" i="5"/>
  <c r="J308" i="7" s="1"/>
  <c r="I308" i="5"/>
  <c r="I308" i="7" s="1"/>
  <c r="H308" i="5"/>
  <c r="H308" i="7" s="1"/>
  <c r="G308" i="5"/>
  <c r="G308" i="7" s="1"/>
  <c r="F308" i="5"/>
  <c r="F308" i="7" s="1"/>
  <c r="E308" i="5"/>
  <c r="E308" i="7" s="1"/>
  <c r="D308" i="5"/>
  <c r="D308" i="7" s="1"/>
  <c r="C308" i="5"/>
  <c r="C308" i="7" s="1"/>
  <c r="B308" i="5"/>
  <c r="B308" i="7" s="1"/>
  <c r="L307" i="5"/>
  <c r="L307" i="7" s="1"/>
  <c r="K307" i="5"/>
  <c r="K307" i="7" s="1"/>
  <c r="J307" i="5"/>
  <c r="J307" i="7" s="1"/>
  <c r="I307" i="5"/>
  <c r="I307" i="7" s="1"/>
  <c r="H307" i="5"/>
  <c r="H307" i="7" s="1"/>
  <c r="G307" i="5"/>
  <c r="G307" i="7" s="1"/>
  <c r="F307" i="5"/>
  <c r="F307" i="7" s="1"/>
  <c r="E307" i="5"/>
  <c r="E307" i="7" s="1"/>
  <c r="D307" i="5"/>
  <c r="D307" i="7" s="1"/>
  <c r="C307" i="5"/>
  <c r="C307" i="7" s="1"/>
  <c r="B307" i="5"/>
  <c r="B307" i="7" s="1"/>
  <c r="L306" i="5"/>
  <c r="L306" i="7" s="1"/>
  <c r="J306" i="5"/>
  <c r="J306" i="7" s="1"/>
  <c r="I306" i="5"/>
  <c r="I306" i="7" s="1"/>
  <c r="H306" i="5"/>
  <c r="H306" i="7" s="1"/>
  <c r="G306" i="5"/>
  <c r="G306" i="7" s="1"/>
  <c r="F306" i="5"/>
  <c r="F306" i="7" s="1"/>
  <c r="E306" i="5"/>
  <c r="D306" i="5"/>
  <c r="D306" i="7" s="1"/>
  <c r="C306" i="5"/>
  <c r="C306" i="7" s="1"/>
  <c r="B306" i="5"/>
  <c r="B306" i="7" s="1"/>
  <c r="L305" i="5"/>
  <c r="L305" i="7" s="1"/>
  <c r="J305" i="5"/>
  <c r="J305" i="7" s="1"/>
  <c r="I305" i="5"/>
  <c r="I305" i="7" s="1"/>
  <c r="H305" i="5"/>
  <c r="H305" i="7" s="1"/>
  <c r="G305" i="5"/>
  <c r="G305" i="7" s="1"/>
  <c r="F305" i="5"/>
  <c r="F305" i="7" s="1"/>
  <c r="E305" i="5"/>
  <c r="D305" i="5"/>
  <c r="D305" i="7" s="1"/>
  <c r="C305" i="5"/>
  <c r="C305" i="7" s="1"/>
  <c r="B305" i="5"/>
  <c r="B305" i="7" s="1"/>
  <c r="L304" i="5"/>
  <c r="L304" i="7" s="1"/>
  <c r="K304" i="5"/>
  <c r="K304" i="7" s="1"/>
  <c r="J304" i="5"/>
  <c r="J304" i="7" s="1"/>
  <c r="I304" i="5"/>
  <c r="I304" i="7" s="1"/>
  <c r="H304" i="5"/>
  <c r="H304" i="7" s="1"/>
  <c r="G304" i="5"/>
  <c r="G304" i="7" s="1"/>
  <c r="F304" i="5"/>
  <c r="F304" i="7" s="1"/>
  <c r="E304" i="5"/>
  <c r="E304" i="7" s="1"/>
  <c r="D304" i="5"/>
  <c r="D304" i="7" s="1"/>
  <c r="C304" i="5"/>
  <c r="C304" i="7" s="1"/>
  <c r="B304" i="5"/>
  <c r="B304" i="7" s="1"/>
  <c r="L303" i="5"/>
  <c r="L303" i="7" s="1"/>
  <c r="K303" i="5"/>
  <c r="K303" i="7" s="1"/>
  <c r="J303" i="5"/>
  <c r="J303" i="7" s="1"/>
  <c r="I303" i="5"/>
  <c r="I303" i="7" s="1"/>
  <c r="H303" i="5"/>
  <c r="H303" i="7" s="1"/>
  <c r="G303" i="5"/>
  <c r="G303" i="7" s="1"/>
  <c r="F303" i="5"/>
  <c r="F303" i="7" s="1"/>
  <c r="E303" i="5"/>
  <c r="E303" i="7" s="1"/>
  <c r="D303" i="5"/>
  <c r="D303" i="7" s="1"/>
  <c r="C303" i="5"/>
  <c r="C303" i="7" s="1"/>
  <c r="B303" i="5"/>
  <c r="B303" i="7" s="1"/>
  <c r="L302" i="5"/>
  <c r="L302" i="7" s="1"/>
  <c r="K302" i="5"/>
  <c r="K302" i="7" s="1"/>
  <c r="J302" i="5"/>
  <c r="J302" i="7" s="1"/>
  <c r="I302" i="5"/>
  <c r="I302" i="7" s="1"/>
  <c r="H302" i="5"/>
  <c r="H302" i="7" s="1"/>
  <c r="G302" i="5"/>
  <c r="G302" i="7" s="1"/>
  <c r="F302" i="5"/>
  <c r="F302" i="7" s="1"/>
  <c r="E302" i="5"/>
  <c r="E302" i="7" s="1"/>
  <c r="D302" i="5"/>
  <c r="D302" i="7" s="1"/>
  <c r="C302" i="5"/>
  <c r="C302" i="7" s="1"/>
  <c r="B302" i="5"/>
  <c r="B302" i="7" s="1"/>
  <c r="L301" i="5"/>
  <c r="L301" i="7" s="1"/>
  <c r="J301" i="5"/>
  <c r="J301" i="7" s="1"/>
  <c r="I301" i="5"/>
  <c r="I301" i="7" s="1"/>
  <c r="H301" i="5"/>
  <c r="H301" i="7" s="1"/>
  <c r="G301" i="5"/>
  <c r="G301" i="7" s="1"/>
  <c r="F301" i="5"/>
  <c r="F301" i="7" s="1"/>
  <c r="E301" i="5"/>
  <c r="D301" i="5"/>
  <c r="D301" i="7" s="1"/>
  <c r="C301" i="5"/>
  <c r="C301" i="7" s="1"/>
  <c r="B301" i="5"/>
  <c r="B301" i="7" s="1"/>
  <c r="L300" i="5"/>
  <c r="L300" i="7" s="1"/>
  <c r="J300" i="5"/>
  <c r="J300" i="7" s="1"/>
  <c r="I300" i="5"/>
  <c r="I300" i="7" s="1"/>
  <c r="H300" i="5"/>
  <c r="H300" i="7" s="1"/>
  <c r="G300" i="5"/>
  <c r="G300" i="7" s="1"/>
  <c r="F300" i="5"/>
  <c r="F300" i="7" s="1"/>
  <c r="E300" i="5"/>
  <c r="E300" i="7" s="1"/>
  <c r="D300" i="5"/>
  <c r="D300" i="7" s="1"/>
  <c r="C300" i="5"/>
  <c r="C300" i="7" s="1"/>
  <c r="B300" i="5"/>
  <c r="B300" i="7" s="1"/>
  <c r="L299" i="5"/>
  <c r="L299" i="7" s="1"/>
  <c r="K299" i="5"/>
  <c r="K299" i="7" s="1"/>
  <c r="J299" i="5"/>
  <c r="J299" i="7" s="1"/>
  <c r="I299" i="5"/>
  <c r="I299" i="7" s="1"/>
  <c r="H299" i="5"/>
  <c r="H299" i="7" s="1"/>
  <c r="G299" i="5"/>
  <c r="G299" i="7" s="1"/>
  <c r="F299" i="5"/>
  <c r="F299" i="7" s="1"/>
  <c r="E299" i="5"/>
  <c r="E299" i="7" s="1"/>
  <c r="D299" i="5"/>
  <c r="D299" i="7" s="1"/>
  <c r="C299" i="5"/>
  <c r="C299" i="7" s="1"/>
  <c r="B299" i="5"/>
  <c r="B299" i="7" s="1"/>
  <c r="L298" i="5"/>
  <c r="L298" i="7" s="1"/>
  <c r="J298" i="5"/>
  <c r="J298" i="7" s="1"/>
  <c r="I298" i="5"/>
  <c r="I298" i="7" s="1"/>
  <c r="H298" i="5"/>
  <c r="H298" i="7" s="1"/>
  <c r="G298" i="5"/>
  <c r="G298" i="7" s="1"/>
  <c r="F298" i="5"/>
  <c r="F298" i="7" s="1"/>
  <c r="E298" i="5"/>
  <c r="D298" i="5"/>
  <c r="D298" i="7" s="1"/>
  <c r="C298" i="5"/>
  <c r="C298" i="7" s="1"/>
  <c r="B298" i="5"/>
  <c r="B298" i="7" s="1"/>
  <c r="L297" i="5"/>
  <c r="L297" i="7" s="1"/>
  <c r="K297" i="5"/>
  <c r="K297" i="7" s="1"/>
  <c r="J297" i="5"/>
  <c r="J297" i="7" s="1"/>
  <c r="I297" i="5"/>
  <c r="I297" i="7" s="1"/>
  <c r="H297" i="5"/>
  <c r="H297" i="7" s="1"/>
  <c r="G297" i="5"/>
  <c r="G297" i="7" s="1"/>
  <c r="F297" i="5"/>
  <c r="F297" i="7" s="1"/>
  <c r="E297" i="5"/>
  <c r="E297" i="7" s="1"/>
  <c r="D297" i="5"/>
  <c r="D297" i="7" s="1"/>
  <c r="C297" i="5"/>
  <c r="C297" i="7" s="1"/>
  <c r="B297" i="5"/>
  <c r="B297" i="7" s="1"/>
  <c r="L296" i="5"/>
  <c r="L296" i="7" s="1"/>
  <c r="J296" i="5"/>
  <c r="J296" i="7" s="1"/>
  <c r="I296" i="5"/>
  <c r="I296" i="7" s="1"/>
  <c r="H296" i="5"/>
  <c r="H296" i="7" s="1"/>
  <c r="G296" i="5"/>
  <c r="G296" i="7" s="1"/>
  <c r="F296" i="5"/>
  <c r="F296" i="7" s="1"/>
  <c r="E296" i="5"/>
  <c r="E296" i="7" s="1"/>
  <c r="D296" i="5"/>
  <c r="D296" i="7" s="1"/>
  <c r="C296" i="5"/>
  <c r="C296" i="7" s="1"/>
  <c r="B296" i="5"/>
  <c r="B296" i="7" s="1"/>
  <c r="L295" i="5"/>
  <c r="L295" i="7" s="1"/>
  <c r="K295" i="5"/>
  <c r="K295" i="7" s="1"/>
  <c r="J295" i="5"/>
  <c r="J295" i="7" s="1"/>
  <c r="I295" i="5"/>
  <c r="I295" i="7" s="1"/>
  <c r="H295" i="5"/>
  <c r="H295" i="7" s="1"/>
  <c r="G295" i="5"/>
  <c r="G295" i="7" s="1"/>
  <c r="F295" i="5"/>
  <c r="F295" i="7" s="1"/>
  <c r="E295" i="5"/>
  <c r="E295" i="7" s="1"/>
  <c r="D295" i="5"/>
  <c r="D295" i="7" s="1"/>
  <c r="C295" i="5"/>
  <c r="C295" i="7" s="1"/>
  <c r="B295" i="5"/>
  <c r="B295" i="7" s="1"/>
  <c r="L294" i="5"/>
  <c r="L294" i="7" s="1"/>
  <c r="K294" i="5"/>
  <c r="K294" i="7" s="1"/>
  <c r="J294" i="5"/>
  <c r="J294" i="7" s="1"/>
  <c r="I294" i="5"/>
  <c r="I294" i="7" s="1"/>
  <c r="H294" i="5"/>
  <c r="H294" i="7" s="1"/>
  <c r="G294" i="5"/>
  <c r="G294" i="7" s="1"/>
  <c r="F294" i="5"/>
  <c r="F294" i="7" s="1"/>
  <c r="E294" i="5"/>
  <c r="E294" i="7" s="1"/>
  <c r="D294" i="5"/>
  <c r="D294" i="7" s="1"/>
  <c r="C294" i="5"/>
  <c r="C294" i="7" s="1"/>
  <c r="B294" i="5"/>
  <c r="B294" i="7" s="1"/>
  <c r="L293" i="5"/>
  <c r="L293" i="7" s="1"/>
  <c r="J293" i="5"/>
  <c r="J293" i="7" s="1"/>
  <c r="I293" i="5"/>
  <c r="I293" i="7" s="1"/>
  <c r="H293" i="5"/>
  <c r="H293" i="7" s="1"/>
  <c r="G293" i="5"/>
  <c r="G293" i="7" s="1"/>
  <c r="F293" i="5"/>
  <c r="F293" i="7" s="1"/>
  <c r="E293" i="5"/>
  <c r="E293" i="7" s="1"/>
  <c r="D293" i="5"/>
  <c r="D293" i="7" s="1"/>
  <c r="C293" i="5"/>
  <c r="C293" i="7" s="1"/>
  <c r="B293" i="5"/>
  <c r="B293" i="7" s="1"/>
  <c r="L292" i="5"/>
  <c r="L292" i="7" s="1"/>
  <c r="J292" i="5"/>
  <c r="J292" i="7" s="1"/>
  <c r="I292" i="5"/>
  <c r="I292" i="7" s="1"/>
  <c r="H292" i="5"/>
  <c r="H292" i="7" s="1"/>
  <c r="G292" i="5"/>
  <c r="G292" i="7" s="1"/>
  <c r="F292" i="5"/>
  <c r="F292" i="7" s="1"/>
  <c r="E292" i="5"/>
  <c r="D292" i="5"/>
  <c r="D292" i="7" s="1"/>
  <c r="C292" i="5"/>
  <c r="C292" i="7" s="1"/>
  <c r="B292" i="5"/>
  <c r="B292" i="7" s="1"/>
  <c r="L291" i="5"/>
  <c r="L291" i="7" s="1"/>
  <c r="J291" i="5"/>
  <c r="J291" i="7" s="1"/>
  <c r="I291" i="5"/>
  <c r="I291" i="7" s="1"/>
  <c r="H291" i="5"/>
  <c r="H291" i="7" s="1"/>
  <c r="G291" i="5"/>
  <c r="G291" i="7" s="1"/>
  <c r="F291" i="5"/>
  <c r="F291" i="7" s="1"/>
  <c r="E291" i="5"/>
  <c r="D291" i="5"/>
  <c r="D291" i="7" s="1"/>
  <c r="C291" i="5"/>
  <c r="C291" i="7" s="1"/>
  <c r="B291" i="5"/>
  <c r="B291" i="7" s="1"/>
  <c r="L290" i="5"/>
  <c r="L290" i="7" s="1"/>
  <c r="K290" i="5"/>
  <c r="K290" i="7" s="1"/>
  <c r="J290" i="5"/>
  <c r="J290" i="7" s="1"/>
  <c r="I290" i="5"/>
  <c r="I290" i="7" s="1"/>
  <c r="H290" i="5"/>
  <c r="H290" i="7" s="1"/>
  <c r="G290" i="5"/>
  <c r="G290" i="7" s="1"/>
  <c r="F290" i="5"/>
  <c r="F290" i="7" s="1"/>
  <c r="E290" i="5"/>
  <c r="E290" i="7" s="1"/>
  <c r="D290" i="5"/>
  <c r="D290" i="7" s="1"/>
  <c r="C290" i="5"/>
  <c r="C290" i="7" s="1"/>
  <c r="B290" i="5"/>
  <c r="B290" i="7" s="1"/>
  <c r="L289" i="5"/>
  <c r="L289" i="7" s="1"/>
  <c r="K289" i="5"/>
  <c r="K289" i="7" s="1"/>
  <c r="J289" i="5"/>
  <c r="J289" i="7" s="1"/>
  <c r="I289" i="5"/>
  <c r="I289" i="7" s="1"/>
  <c r="H289" i="5"/>
  <c r="H289" i="7" s="1"/>
  <c r="G289" i="5"/>
  <c r="G289" i="7" s="1"/>
  <c r="F289" i="5"/>
  <c r="F289" i="7" s="1"/>
  <c r="E289" i="5"/>
  <c r="E289" i="7" s="1"/>
  <c r="D289" i="5"/>
  <c r="D289" i="7" s="1"/>
  <c r="C289" i="5"/>
  <c r="C289" i="7" s="1"/>
  <c r="B289" i="5"/>
  <c r="B289" i="7" s="1"/>
  <c r="L288" i="5"/>
  <c r="L288" i="7" s="1"/>
  <c r="K288" i="5"/>
  <c r="K288" i="7" s="1"/>
  <c r="J288" i="5"/>
  <c r="J288" i="7" s="1"/>
  <c r="I288" i="5"/>
  <c r="I288" i="7" s="1"/>
  <c r="H288" i="5"/>
  <c r="H288" i="7" s="1"/>
  <c r="G288" i="5"/>
  <c r="G288" i="7" s="1"/>
  <c r="F288" i="5"/>
  <c r="F288" i="7" s="1"/>
  <c r="E288" i="5"/>
  <c r="E288" i="7" s="1"/>
  <c r="D288" i="5"/>
  <c r="D288" i="7" s="1"/>
  <c r="C288" i="5"/>
  <c r="C288" i="7" s="1"/>
  <c r="B288" i="5"/>
  <c r="B288" i="7" s="1"/>
  <c r="L287" i="5"/>
  <c r="L287" i="7" s="1"/>
  <c r="J287" i="5"/>
  <c r="J287" i="7" s="1"/>
  <c r="I287" i="5"/>
  <c r="I287" i="7" s="1"/>
  <c r="H287" i="5"/>
  <c r="H287" i="7" s="1"/>
  <c r="G287" i="5"/>
  <c r="G287" i="7" s="1"/>
  <c r="F287" i="5"/>
  <c r="F287" i="7" s="1"/>
  <c r="E287" i="5"/>
  <c r="D287" i="5"/>
  <c r="D287" i="7" s="1"/>
  <c r="C287" i="5"/>
  <c r="C287" i="7" s="1"/>
  <c r="B287" i="5"/>
  <c r="B287" i="7" s="1"/>
  <c r="L286" i="5"/>
  <c r="L286" i="7" s="1"/>
  <c r="K286" i="5"/>
  <c r="K286" i="7" s="1"/>
  <c r="J286" i="5"/>
  <c r="J286" i="7" s="1"/>
  <c r="I286" i="5"/>
  <c r="I286" i="7" s="1"/>
  <c r="H286" i="5"/>
  <c r="H286" i="7" s="1"/>
  <c r="G286" i="5"/>
  <c r="G286" i="7" s="1"/>
  <c r="F286" i="5"/>
  <c r="F286" i="7" s="1"/>
  <c r="E286" i="5"/>
  <c r="E286" i="7" s="1"/>
  <c r="D286" i="5"/>
  <c r="D286" i="7" s="1"/>
  <c r="C286" i="5"/>
  <c r="C286" i="7" s="1"/>
  <c r="B286" i="5"/>
  <c r="B286" i="7" s="1"/>
  <c r="L285" i="5"/>
  <c r="L285" i="7" s="1"/>
  <c r="K285" i="5"/>
  <c r="K285" i="7" s="1"/>
  <c r="J285" i="5"/>
  <c r="J285" i="7" s="1"/>
  <c r="I285" i="5"/>
  <c r="I285" i="7" s="1"/>
  <c r="H285" i="5"/>
  <c r="H285" i="7" s="1"/>
  <c r="G285" i="5"/>
  <c r="G285" i="7" s="1"/>
  <c r="F285" i="5"/>
  <c r="F285" i="7" s="1"/>
  <c r="E285" i="5"/>
  <c r="E285" i="7" s="1"/>
  <c r="D285" i="5"/>
  <c r="D285" i="7" s="1"/>
  <c r="C285" i="5"/>
  <c r="C285" i="7" s="1"/>
  <c r="B285" i="5"/>
  <c r="B285" i="7" s="1"/>
  <c r="L284" i="5"/>
  <c r="L284" i="7" s="1"/>
  <c r="J284" i="5"/>
  <c r="J284" i="7" s="1"/>
  <c r="I284" i="5"/>
  <c r="I284" i="7" s="1"/>
  <c r="H284" i="5"/>
  <c r="H284" i="7" s="1"/>
  <c r="G284" i="5"/>
  <c r="G284" i="7" s="1"/>
  <c r="F284" i="5"/>
  <c r="F284" i="7" s="1"/>
  <c r="E284" i="5"/>
  <c r="D284" i="5"/>
  <c r="D284" i="7" s="1"/>
  <c r="C284" i="5"/>
  <c r="C284" i="7" s="1"/>
  <c r="B284" i="5"/>
  <c r="B284" i="7" s="1"/>
  <c r="L283" i="5"/>
  <c r="L283" i="7" s="1"/>
  <c r="K283" i="5"/>
  <c r="K283" i="7" s="1"/>
  <c r="J283" i="5"/>
  <c r="J283" i="7" s="1"/>
  <c r="I283" i="5"/>
  <c r="I283" i="7" s="1"/>
  <c r="H283" i="5"/>
  <c r="H283" i="7" s="1"/>
  <c r="G283" i="5"/>
  <c r="G283" i="7" s="1"/>
  <c r="F283" i="5"/>
  <c r="F283" i="7" s="1"/>
  <c r="E283" i="5"/>
  <c r="E283" i="7" s="1"/>
  <c r="D283" i="5"/>
  <c r="D283" i="7" s="1"/>
  <c r="C283" i="5"/>
  <c r="C283" i="7" s="1"/>
  <c r="B283" i="5"/>
  <c r="B283" i="7" s="1"/>
  <c r="L282" i="5"/>
  <c r="L282" i="7" s="1"/>
  <c r="J282" i="5"/>
  <c r="J282" i="7" s="1"/>
  <c r="I282" i="5"/>
  <c r="I282" i="7" s="1"/>
  <c r="H282" i="5"/>
  <c r="H282" i="7" s="1"/>
  <c r="G282" i="5"/>
  <c r="G282" i="7" s="1"/>
  <c r="F282" i="5"/>
  <c r="F282" i="7" s="1"/>
  <c r="E282" i="5"/>
  <c r="E282" i="7" s="1"/>
  <c r="D282" i="5"/>
  <c r="D282" i="7" s="1"/>
  <c r="C282" i="5"/>
  <c r="C282" i="7" s="1"/>
  <c r="B282" i="5"/>
  <c r="B282" i="7" s="1"/>
  <c r="L281" i="5"/>
  <c r="L281" i="7" s="1"/>
  <c r="J281" i="5"/>
  <c r="J281" i="7" s="1"/>
  <c r="I281" i="5"/>
  <c r="I281" i="7" s="1"/>
  <c r="H281" i="5"/>
  <c r="H281" i="7" s="1"/>
  <c r="G281" i="5"/>
  <c r="G281" i="7" s="1"/>
  <c r="F281" i="5"/>
  <c r="F281" i="7" s="1"/>
  <c r="E281" i="5"/>
  <c r="E281" i="7" s="1"/>
  <c r="D281" i="5"/>
  <c r="D281" i="7" s="1"/>
  <c r="C281" i="5"/>
  <c r="C281" i="7" s="1"/>
  <c r="B281" i="5"/>
  <c r="B281" i="7" s="1"/>
  <c r="L280" i="5"/>
  <c r="L280" i="7" s="1"/>
  <c r="K280" i="5"/>
  <c r="K280" i="7" s="1"/>
  <c r="J280" i="5"/>
  <c r="J280" i="7" s="1"/>
  <c r="I280" i="5"/>
  <c r="I280" i="7" s="1"/>
  <c r="H280" i="5"/>
  <c r="H280" i="7" s="1"/>
  <c r="G280" i="5"/>
  <c r="G280" i="7" s="1"/>
  <c r="F280" i="5"/>
  <c r="F280" i="7" s="1"/>
  <c r="E280" i="5"/>
  <c r="E280" i="7" s="1"/>
  <c r="D280" i="5"/>
  <c r="D280" i="7" s="1"/>
  <c r="C280" i="5"/>
  <c r="C280" i="7" s="1"/>
  <c r="B280" i="5"/>
  <c r="B280" i="7" s="1"/>
  <c r="L279" i="5"/>
  <c r="L279" i="7" s="1"/>
  <c r="J279" i="5"/>
  <c r="J279" i="7" s="1"/>
  <c r="I279" i="5"/>
  <c r="I279" i="7" s="1"/>
  <c r="H279" i="5"/>
  <c r="H279" i="7" s="1"/>
  <c r="G279" i="5"/>
  <c r="G279" i="7" s="1"/>
  <c r="F279" i="5"/>
  <c r="F279" i="7" s="1"/>
  <c r="E279" i="5"/>
  <c r="E279" i="7" s="1"/>
  <c r="D279" i="5"/>
  <c r="D279" i="7" s="1"/>
  <c r="C279" i="5"/>
  <c r="C279" i="7" s="1"/>
  <c r="B279" i="5"/>
  <c r="B279" i="7" s="1"/>
  <c r="L278" i="5"/>
  <c r="L278" i="7" s="1"/>
  <c r="J278" i="5"/>
  <c r="J278" i="7" s="1"/>
  <c r="I278" i="5"/>
  <c r="I278" i="7" s="1"/>
  <c r="H278" i="5"/>
  <c r="H278" i="7" s="1"/>
  <c r="G278" i="5"/>
  <c r="G278" i="7" s="1"/>
  <c r="F278" i="5"/>
  <c r="F278" i="7" s="1"/>
  <c r="E278" i="5"/>
  <c r="D278" i="5"/>
  <c r="D278" i="7" s="1"/>
  <c r="C278" i="5"/>
  <c r="C278" i="7" s="1"/>
  <c r="B278" i="5"/>
  <c r="B278" i="7" s="1"/>
  <c r="L277" i="5"/>
  <c r="L277" i="7" s="1"/>
  <c r="J277" i="5"/>
  <c r="J277" i="7" s="1"/>
  <c r="I277" i="5"/>
  <c r="I277" i="7" s="1"/>
  <c r="H277" i="5"/>
  <c r="H277" i="7" s="1"/>
  <c r="G277" i="5"/>
  <c r="G277" i="7" s="1"/>
  <c r="F277" i="5"/>
  <c r="F277" i="7" s="1"/>
  <c r="E277" i="5"/>
  <c r="D277" i="5"/>
  <c r="D277" i="7" s="1"/>
  <c r="C277" i="5"/>
  <c r="C277" i="7" s="1"/>
  <c r="B277" i="5"/>
  <c r="B277" i="7" s="1"/>
  <c r="L276" i="5"/>
  <c r="L276" i="7" s="1"/>
  <c r="K276" i="5"/>
  <c r="K276" i="7" s="1"/>
  <c r="J276" i="5"/>
  <c r="J276" i="7" s="1"/>
  <c r="I276" i="5"/>
  <c r="I276" i="7" s="1"/>
  <c r="H276" i="5"/>
  <c r="H276" i="7" s="1"/>
  <c r="G276" i="5"/>
  <c r="G276" i="7" s="1"/>
  <c r="F276" i="5"/>
  <c r="F276" i="7" s="1"/>
  <c r="E276" i="5"/>
  <c r="E276" i="7" s="1"/>
  <c r="D276" i="5"/>
  <c r="D276" i="7" s="1"/>
  <c r="C276" i="5"/>
  <c r="C276" i="7" s="1"/>
  <c r="B276" i="5"/>
  <c r="B276" i="7" s="1"/>
  <c r="L275" i="5"/>
  <c r="L275" i="7" s="1"/>
  <c r="K275" i="5"/>
  <c r="K275" i="7" s="1"/>
  <c r="J275" i="5"/>
  <c r="J275" i="7" s="1"/>
  <c r="I275" i="5"/>
  <c r="I275" i="7" s="1"/>
  <c r="H275" i="5"/>
  <c r="H275" i="7" s="1"/>
  <c r="G275" i="5"/>
  <c r="G275" i="7" s="1"/>
  <c r="F275" i="5"/>
  <c r="F275" i="7" s="1"/>
  <c r="E275" i="5"/>
  <c r="E275" i="7" s="1"/>
  <c r="D275" i="5"/>
  <c r="D275" i="7" s="1"/>
  <c r="C275" i="5"/>
  <c r="C275" i="7" s="1"/>
  <c r="B275" i="5"/>
  <c r="B275" i="7" s="1"/>
  <c r="L274" i="5"/>
  <c r="L274" i="7" s="1"/>
  <c r="K274" i="5"/>
  <c r="K274" i="7" s="1"/>
  <c r="J274" i="5"/>
  <c r="J274" i="7" s="1"/>
  <c r="I274" i="5"/>
  <c r="I274" i="7" s="1"/>
  <c r="H274" i="5"/>
  <c r="H274" i="7" s="1"/>
  <c r="G274" i="5"/>
  <c r="G274" i="7" s="1"/>
  <c r="F274" i="5"/>
  <c r="F274" i="7" s="1"/>
  <c r="E274" i="5"/>
  <c r="E274" i="7" s="1"/>
  <c r="D274" i="5"/>
  <c r="D274" i="7" s="1"/>
  <c r="C274" i="5"/>
  <c r="C274" i="7" s="1"/>
  <c r="B274" i="5"/>
  <c r="B274" i="7" s="1"/>
  <c r="L273" i="5"/>
  <c r="L273" i="7" s="1"/>
  <c r="J273" i="5"/>
  <c r="J273" i="7" s="1"/>
  <c r="I273" i="5"/>
  <c r="I273" i="7" s="1"/>
  <c r="H273" i="5"/>
  <c r="H273" i="7" s="1"/>
  <c r="G273" i="5"/>
  <c r="G273" i="7" s="1"/>
  <c r="F273" i="5"/>
  <c r="F273" i="7" s="1"/>
  <c r="E273" i="5"/>
  <c r="D273" i="5"/>
  <c r="D273" i="7" s="1"/>
  <c r="C273" i="5"/>
  <c r="C273" i="7" s="1"/>
  <c r="B273" i="5"/>
  <c r="B273" i="7" s="1"/>
  <c r="L272" i="5"/>
  <c r="L272" i="7" s="1"/>
  <c r="J272" i="5"/>
  <c r="J272" i="7" s="1"/>
  <c r="I272" i="5"/>
  <c r="I272" i="7" s="1"/>
  <c r="H272" i="5"/>
  <c r="H272" i="7" s="1"/>
  <c r="G272" i="5"/>
  <c r="G272" i="7" s="1"/>
  <c r="F272" i="5"/>
  <c r="F272" i="7" s="1"/>
  <c r="E272" i="5"/>
  <c r="E272" i="7" s="1"/>
  <c r="D272" i="5"/>
  <c r="D272" i="7" s="1"/>
  <c r="C272" i="5"/>
  <c r="C272" i="7" s="1"/>
  <c r="B272" i="5"/>
  <c r="B272" i="7" s="1"/>
  <c r="L271" i="5"/>
  <c r="L271" i="7" s="1"/>
  <c r="K271" i="5"/>
  <c r="K271" i="7" s="1"/>
  <c r="J271" i="5"/>
  <c r="J271" i="7" s="1"/>
  <c r="I271" i="5"/>
  <c r="I271" i="7" s="1"/>
  <c r="H271" i="5"/>
  <c r="H271" i="7" s="1"/>
  <c r="G271" i="5"/>
  <c r="G271" i="7" s="1"/>
  <c r="F271" i="5"/>
  <c r="F271" i="7" s="1"/>
  <c r="E271" i="5"/>
  <c r="E271" i="7" s="1"/>
  <c r="D271" i="5"/>
  <c r="D271" i="7" s="1"/>
  <c r="C271" i="5"/>
  <c r="C271" i="7" s="1"/>
  <c r="B271" i="5"/>
  <c r="B271" i="7" s="1"/>
  <c r="L270" i="5"/>
  <c r="L270" i="7" s="1"/>
  <c r="J270" i="5"/>
  <c r="J270" i="7" s="1"/>
  <c r="I270" i="5"/>
  <c r="I270" i="7" s="1"/>
  <c r="H270" i="5"/>
  <c r="H270" i="7" s="1"/>
  <c r="G270" i="5"/>
  <c r="G270" i="7" s="1"/>
  <c r="F270" i="5"/>
  <c r="F270" i="7" s="1"/>
  <c r="E270" i="5"/>
  <c r="D270" i="5"/>
  <c r="D270" i="7" s="1"/>
  <c r="C270" i="5"/>
  <c r="C270" i="7" s="1"/>
  <c r="B270" i="5"/>
  <c r="B270" i="7" s="1"/>
  <c r="L269" i="5"/>
  <c r="L269" i="7" s="1"/>
  <c r="K269" i="5"/>
  <c r="K269" i="7" s="1"/>
  <c r="J269" i="5"/>
  <c r="J269" i="7" s="1"/>
  <c r="I269" i="5"/>
  <c r="I269" i="7" s="1"/>
  <c r="H269" i="5"/>
  <c r="H269" i="7" s="1"/>
  <c r="G269" i="5"/>
  <c r="G269" i="7" s="1"/>
  <c r="F269" i="5"/>
  <c r="F269" i="7" s="1"/>
  <c r="E269" i="5"/>
  <c r="E269" i="7" s="1"/>
  <c r="D269" i="5"/>
  <c r="D269" i="7" s="1"/>
  <c r="C269" i="5"/>
  <c r="C269" i="7" s="1"/>
  <c r="B269" i="5"/>
  <c r="B269" i="7" s="1"/>
  <c r="L268" i="5"/>
  <c r="L268" i="7" s="1"/>
  <c r="J268" i="5"/>
  <c r="J268" i="7" s="1"/>
  <c r="I268" i="5"/>
  <c r="I268" i="7" s="1"/>
  <c r="H268" i="5"/>
  <c r="H268" i="7" s="1"/>
  <c r="G268" i="5"/>
  <c r="G268" i="7" s="1"/>
  <c r="F268" i="5"/>
  <c r="F268" i="7" s="1"/>
  <c r="E268" i="5"/>
  <c r="E268" i="7" s="1"/>
  <c r="D268" i="5"/>
  <c r="D268" i="7" s="1"/>
  <c r="C268" i="5"/>
  <c r="C268" i="7" s="1"/>
  <c r="B268" i="5"/>
  <c r="B268" i="7" s="1"/>
  <c r="L267" i="5"/>
  <c r="L267" i="7" s="1"/>
  <c r="J267" i="5"/>
  <c r="J267" i="7" s="1"/>
  <c r="I267" i="5"/>
  <c r="I267" i="7" s="1"/>
  <c r="H267" i="5"/>
  <c r="H267" i="7" s="1"/>
  <c r="G267" i="5"/>
  <c r="G267" i="7" s="1"/>
  <c r="F267" i="5"/>
  <c r="F267" i="7" s="1"/>
  <c r="E267" i="5"/>
  <c r="E267" i="7" s="1"/>
  <c r="D267" i="5"/>
  <c r="D267" i="7" s="1"/>
  <c r="C267" i="5"/>
  <c r="C267" i="7" s="1"/>
  <c r="B267" i="5"/>
  <c r="B267" i="7" s="1"/>
  <c r="L266" i="5"/>
  <c r="L266" i="7" s="1"/>
  <c r="K266" i="5"/>
  <c r="K266" i="7" s="1"/>
  <c r="J266" i="5"/>
  <c r="J266" i="7" s="1"/>
  <c r="I266" i="5"/>
  <c r="I266" i="7" s="1"/>
  <c r="H266" i="5"/>
  <c r="H266" i="7" s="1"/>
  <c r="G266" i="5"/>
  <c r="G266" i="7" s="1"/>
  <c r="F266" i="5"/>
  <c r="F266" i="7" s="1"/>
  <c r="E266" i="5"/>
  <c r="E266" i="7" s="1"/>
  <c r="D266" i="5"/>
  <c r="D266" i="7" s="1"/>
  <c r="C266" i="5"/>
  <c r="C266" i="7" s="1"/>
  <c r="B266" i="5"/>
  <c r="B266" i="7" s="1"/>
  <c r="L265" i="5"/>
  <c r="L265" i="7" s="1"/>
  <c r="K265" i="5"/>
  <c r="K265" i="7" s="1"/>
  <c r="J265" i="5"/>
  <c r="J265" i="7" s="1"/>
  <c r="I265" i="5"/>
  <c r="I265" i="7" s="1"/>
  <c r="H265" i="5"/>
  <c r="H265" i="7" s="1"/>
  <c r="G265" i="5"/>
  <c r="G265" i="7" s="1"/>
  <c r="F265" i="5"/>
  <c r="F265" i="7" s="1"/>
  <c r="E265" i="5"/>
  <c r="E265" i="7" s="1"/>
  <c r="D265" i="5"/>
  <c r="D265" i="7" s="1"/>
  <c r="C265" i="5"/>
  <c r="C265" i="7" s="1"/>
  <c r="B265" i="5"/>
  <c r="B265" i="7" s="1"/>
  <c r="L264" i="5"/>
  <c r="L264" i="7" s="1"/>
  <c r="J264" i="5"/>
  <c r="J264" i="7" s="1"/>
  <c r="I264" i="5"/>
  <c r="I264" i="7" s="1"/>
  <c r="H264" i="5"/>
  <c r="H264" i="7" s="1"/>
  <c r="G264" i="5"/>
  <c r="G264" i="7" s="1"/>
  <c r="F264" i="5"/>
  <c r="F264" i="7" s="1"/>
  <c r="E264" i="5"/>
  <c r="D264" i="5"/>
  <c r="D264" i="7" s="1"/>
  <c r="C264" i="5"/>
  <c r="C264" i="7" s="1"/>
  <c r="B264" i="5"/>
  <c r="B264" i="7" s="1"/>
  <c r="L263" i="5"/>
  <c r="L263" i="7" s="1"/>
  <c r="J263" i="5"/>
  <c r="J263" i="7" s="1"/>
  <c r="I263" i="5"/>
  <c r="I263" i="7" s="1"/>
  <c r="H263" i="5"/>
  <c r="H263" i="7" s="1"/>
  <c r="G263" i="5"/>
  <c r="G263" i="7" s="1"/>
  <c r="F263" i="5"/>
  <c r="F263" i="7" s="1"/>
  <c r="E263" i="5"/>
  <c r="D263" i="5"/>
  <c r="D263" i="7" s="1"/>
  <c r="C263" i="5"/>
  <c r="C263" i="7" s="1"/>
  <c r="B263" i="5"/>
  <c r="B263" i="7" s="1"/>
  <c r="L262" i="5"/>
  <c r="L262" i="7" s="1"/>
  <c r="K262" i="5"/>
  <c r="K262" i="7" s="1"/>
  <c r="J262" i="5"/>
  <c r="J262" i="7" s="1"/>
  <c r="I262" i="5"/>
  <c r="I262" i="7" s="1"/>
  <c r="H262" i="5"/>
  <c r="H262" i="7" s="1"/>
  <c r="G262" i="5"/>
  <c r="G262" i="7" s="1"/>
  <c r="F262" i="5"/>
  <c r="F262" i="7" s="1"/>
  <c r="E262" i="5"/>
  <c r="E262" i="7" s="1"/>
  <c r="D262" i="5"/>
  <c r="D262" i="7" s="1"/>
  <c r="C262" i="5"/>
  <c r="C262" i="7" s="1"/>
  <c r="B262" i="5"/>
  <c r="B262" i="7" s="1"/>
  <c r="L261" i="5"/>
  <c r="L261" i="7" s="1"/>
  <c r="K261" i="5"/>
  <c r="K261" i="7" s="1"/>
  <c r="J261" i="5"/>
  <c r="J261" i="7" s="1"/>
  <c r="I261" i="5"/>
  <c r="I261" i="7" s="1"/>
  <c r="H261" i="5"/>
  <c r="H261" i="7" s="1"/>
  <c r="G261" i="5"/>
  <c r="G261" i="7" s="1"/>
  <c r="F261" i="5"/>
  <c r="F261" i="7" s="1"/>
  <c r="E261" i="5"/>
  <c r="E261" i="7" s="1"/>
  <c r="D261" i="5"/>
  <c r="D261" i="7" s="1"/>
  <c r="C261" i="5"/>
  <c r="C261" i="7" s="1"/>
  <c r="B261" i="5"/>
  <c r="B261" i="7" s="1"/>
  <c r="L260" i="5"/>
  <c r="L260" i="7" s="1"/>
  <c r="K260" i="5"/>
  <c r="K260" i="7" s="1"/>
  <c r="J260" i="5"/>
  <c r="J260" i="7" s="1"/>
  <c r="I260" i="5"/>
  <c r="I260" i="7" s="1"/>
  <c r="H260" i="5"/>
  <c r="H260" i="7" s="1"/>
  <c r="G260" i="5"/>
  <c r="G260" i="7" s="1"/>
  <c r="F260" i="5"/>
  <c r="F260" i="7" s="1"/>
  <c r="E260" i="5"/>
  <c r="E260" i="7" s="1"/>
  <c r="D260" i="5"/>
  <c r="D260" i="7" s="1"/>
  <c r="C260" i="5"/>
  <c r="C260" i="7" s="1"/>
  <c r="B260" i="5"/>
  <c r="B260" i="7" s="1"/>
  <c r="L259" i="5"/>
  <c r="L259" i="7" s="1"/>
  <c r="J259" i="5"/>
  <c r="J259" i="7" s="1"/>
  <c r="I259" i="5"/>
  <c r="I259" i="7" s="1"/>
  <c r="H259" i="5"/>
  <c r="H259" i="7" s="1"/>
  <c r="G259" i="5"/>
  <c r="G259" i="7" s="1"/>
  <c r="F259" i="5"/>
  <c r="F259" i="7" s="1"/>
  <c r="E259" i="5"/>
  <c r="D259" i="5"/>
  <c r="D259" i="7" s="1"/>
  <c r="C259" i="5"/>
  <c r="C259" i="7" s="1"/>
  <c r="B259" i="5"/>
  <c r="B259" i="7" s="1"/>
  <c r="L258" i="5"/>
  <c r="L258" i="7" s="1"/>
  <c r="K258" i="5"/>
  <c r="K258" i="7" s="1"/>
  <c r="J258" i="5"/>
  <c r="J258" i="7" s="1"/>
  <c r="I258" i="5"/>
  <c r="I258" i="7" s="1"/>
  <c r="H258" i="5"/>
  <c r="H258" i="7" s="1"/>
  <c r="G258" i="5"/>
  <c r="G258" i="7" s="1"/>
  <c r="F258" i="5"/>
  <c r="F258" i="7" s="1"/>
  <c r="E258" i="5"/>
  <c r="E258" i="7" s="1"/>
  <c r="D258" i="5"/>
  <c r="D258" i="7" s="1"/>
  <c r="C258" i="5"/>
  <c r="C258" i="7" s="1"/>
  <c r="B258" i="5"/>
  <c r="B258" i="7" s="1"/>
  <c r="L257" i="5"/>
  <c r="L257" i="7" s="1"/>
  <c r="K257" i="5"/>
  <c r="K257" i="7" s="1"/>
  <c r="J257" i="5"/>
  <c r="J257" i="7" s="1"/>
  <c r="I257" i="5"/>
  <c r="I257" i="7" s="1"/>
  <c r="H257" i="5"/>
  <c r="H257" i="7" s="1"/>
  <c r="G257" i="5"/>
  <c r="G257" i="7" s="1"/>
  <c r="F257" i="5"/>
  <c r="F257" i="7" s="1"/>
  <c r="E257" i="5"/>
  <c r="E257" i="7" s="1"/>
  <c r="D257" i="5"/>
  <c r="D257" i="7" s="1"/>
  <c r="C257" i="5"/>
  <c r="C257" i="7" s="1"/>
  <c r="B257" i="5"/>
  <c r="B257" i="7" s="1"/>
  <c r="L256" i="5"/>
  <c r="L256" i="7" s="1"/>
  <c r="J256" i="5"/>
  <c r="J256" i="7" s="1"/>
  <c r="I256" i="5"/>
  <c r="I256" i="7" s="1"/>
  <c r="H256" i="5"/>
  <c r="H256" i="7" s="1"/>
  <c r="G256" i="5"/>
  <c r="G256" i="7" s="1"/>
  <c r="F256" i="5"/>
  <c r="F256" i="7" s="1"/>
  <c r="E256" i="5"/>
  <c r="D256" i="5"/>
  <c r="D256" i="7" s="1"/>
  <c r="C256" i="5"/>
  <c r="C256" i="7" s="1"/>
  <c r="B256" i="5"/>
  <c r="B256" i="7" s="1"/>
  <c r="L255" i="5"/>
  <c r="L255" i="7" s="1"/>
  <c r="K255" i="5"/>
  <c r="K255" i="7" s="1"/>
  <c r="J255" i="5"/>
  <c r="J255" i="7" s="1"/>
  <c r="I255" i="5"/>
  <c r="I255" i="7" s="1"/>
  <c r="H255" i="5"/>
  <c r="H255" i="7" s="1"/>
  <c r="G255" i="5"/>
  <c r="G255" i="7" s="1"/>
  <c r="F255" i="5"/>
  <c r="F255" i="7" s="1"/>
  <c r="E255" i="5"/>
  <c r="E255" i="7" s="1"/>
  <c r="D255" i="5"/>
  <c r="D255" i="7" s="1"/>
  <c r="C255" i="5"/>
  <c r="C255" i="7" s="1"/>
  <c r="B255" i="5"/>
  <c r="B255" i="7" s="1"/>
  <c r="L254" i="5"/>
  <c r="L254" i="7" s="1"/>
  <c r="J254" i="5"/>
  <c r="J254" i="7" s="1"/>
  <c r="I254" i="5"/>
  <c r="I254" i="7" s="1"/>
  <c r="H254" i="5"/>
  <c r="H254" i="7" s="1"/>
  <c r="G254" i="5"/>
  <c r="G254" i="7" s="1"/>
  <c r="F254" i="5"/>
  <c r="F254" i="7" s="1"/>
  <c r="E254" i="5"/>
  <c r="E254" i="7" s="1"/>
  <c r="D254" i="5"/>
  <c r="D254" i="7" s="1"/>
  <c r="C254" i="5"/>
  <c r="C254" i="7" s="1"/>
  <c r="B254" i="5"/>
  <c r="B254" i="7" s="1"/>
  <c r="L253" i="5"/>
  <c r="L253" i="7" s="1"/>
  <c r="K253" i="5"/>
  <c r="K253" i="7" s="1"/>
  <c r="J253" i="5"/>
  <c r="J253" i="7" s="1"/>
  <c r="I253" i="5"/>
  <c r="I253" i="7" s="1"/>
  <c r="H253" i="5"/>
  <c r="H253" i="7" s="1"/>
  <c r="G253" i="5"/>
  <c r="G253" i="7" s="1"/>
  <c r="F253" i="5"/>
  <c r="F253" i="7" s="1"/>
  <c r="E253" i="5"/>
  <c r="E253" i="7" s="1"/>
  <c r="D253" i="5"/>
  <c r="D253" i="7" s="1"/>
  <c r="C253" i="5"/>
  <c r="C253" i="7" s="1"/>
  <c r="B253" i="5"/>
  <c r="B253" i="7" s="1"/>
  <c r="L252" i="5"/>
  <c r="L252" i="7" s="1"/>
  <c r="K252" i="5"/>
  <c r="K252" i="7" s="1"/>
  <c r="J252" i="5"/>
  <c r="J252" i="7" s="1"/>
  <c r="I252" i="5"/>
  <c r="I252" i="7" s="1"/>
  <c r="H252" i="5"/>
  <c r="H252" i="7" s="1"/>
  <c r="G252" i="5"/>
  <c r="G252" i="7" s="1"/>
  <c r="F252" i="5"/>
  <c r="F252" i="7" s="1"/>
  <c r="E252" i="5"/>
  <c r="E252" i="7" s="1"/>
  <c r="D252" i="5"/>
  <c r="D252" i="7" s="1"/>
  <c r="C252" i="5"/>
  <c r="C252" i="7" s="1"/>
  <c r="B252" i="5"/>
  <c r="B252" i="7" s="1"/>
  <c r="L251" i="5"/>
  <c r="L251" i="7" s="1"/>
  <c r="J251" i="5"/>
  <c r="J251" i="7" s="1"/>
  <c r="I251" i="5"/>
  <c r="I251" i="7" s="1"/>
  <c r="H251" i="5"/>
  <c r="H251" i="7" s="1"/>
  <c r="G251" i="5"/>
  <c r="G251" i="7" s="1"/>
  <c r="F251" i="5"/>
  <c r="F251" i="7" s="1"/>
  <c r="E251" i="5"/>
  <c r="E251" i="7" s="1"/>
  <c r="D251" i="5"/>
  <c r="D251" i="7" s="1"/>
  <c r="C251" i="5"/>
  <c r="C251" i="7" s="1"/>
  <c r="B251" i="5"/>
  <c r="B251" i="7" s="1"/>
  <c r="L250" i="5"/>
  <c r="L250" i="7" s="1"/>
  <c r="J250" i="5"/>
  <c r="J250" i="7" s="1"/>
  <c r="I250" i="5"/>
  <c r="I250" i="7" s="1"/>
  <c r="H250" i="5"/>
  <c r="H250" i="7" s="1"/>
  <c r="G250" i="5"/>
  <c r="G250" i="7" s="1"/>
  <c r="F250" i="5"/>
  <c r="F250" i="7" s="1"/>
  <c r="E250" i="5"/>
  <c r="D250" i="5"/>
  <c r="D250" i="7" s="1"/>
  <c r="C250" i="5"/>
  <c r="C250" i="7" s="1"/>
  <c r="B250" i="5"/>
  <c r="B250" i="7" s="1"/>
  <c r="L249" i="5"/>
  <c r="L249" i="7" s="1"/>
  <c r="J249" i="5"/>
  <c r="J249" i="7" s="1"/>
  <c r="I249" i="5"/>
  <c r="I249" i="7" s="1"/>
  <c r="H249" i="5"/>
  <c r="H249" i="7" s="1"/>
  <c r="G249" i="5"/>
  <c r="G249" i="7" s="1"/>
  <c r="F249" i="5"/>
  <c r="F249" i="7" s="1"/>
  <c r="E249" i="5"/>
  <c r="D249" i="5"/>
  <c r="D249" i="7" s="1"/>
  <c r="C249" i="5"/>
  <c r="C249" i="7" s="1"/>
  <c r="B249" i="5"/>
  <c r="B249" i="7" s="1"/>
  <c r="L248" i="5"/>
  <c r="L248" i="7" s="1"/>
  <c r="K248" i="5"/>
  <c r="K248" i="7" s="1"/>
  <c r="J248" i="5"/>
  <c r="J248" i="7" s="1"/>
  <c r="I248" i="5"/>
  <c r="I248" i="7" s="1"/>
  <c r="H248" i="5"/>
  <c r="H248" i="7" s="1"/>
  <c r="G248" i="5"/>
  <c r="G248" i="7" s="1"/>
  <c r="F248" i="5"/>
  <c r="F248" i="7" s="1"/>
  <c r="E248" i="5"/>
  <c r="E248" i="7" s="1"/>
  <c r="D248" i="5"/>
  <c r="D248" i="7" s="1"/>
  <c r="C248" i="5"/>
  <c r="C248" i="7" s="1"/>
  <c r="B248" i="5"/>
  <c r="B248" i="7" s="1"/>
  <c r="L247" i="5"/>
  <c r="L247" i="7" s="1"/>
  <c r="K247" i="5"/>
  <c r="K247" i="7" s="1"/>
  <c r="J247" i="5"/>
  <c r="J247" i="7" s="1"/>
  <c r="I247" i="5"/>
  <c r="I247" i="7" s="1"/>
  <c r="H247" i="5"/>
  <c r="H247" i="7" s="1"/>
  <c r="G247" i="5"/>
  <c r="G247" i="7" s="1"/>
  <c r="F247" i="5"/>
  <c r="F247" i="7" s="1"/>
  <c r="E247" i="5"/>
  <c r="E247" i="7" s="1"/>
  <c r="D247" i="5"/>
  <c r="D247" i="7" s="1"/>
  <c r="C247" i="5"/>
  <c r="C247" i="7" s="1"/>
  <c r="B247" i="5"/>
  <c r="B247" i="7" s="1"/>
  <c r="L246" i="5"/>
  <c r="L246" i="7" s="1"/>
  <c r="K246" i="5"/>
  <c r="K246" i="7" s="1"/>
  <c r="J246" i="5"/>
  <c r="J246" i="7" s="1"/>
  <c r="I246" i="5"/>
  <c r="I246" i="7" s="1"/>
  <c r="H246" i="5"/>
  <c r="H246" i="7" s="1"/>
  <c r="G246" i="5"/>
  <c r="G246" i="7" s="1"/>
  <c r="F246" i="5"/>
  <c r="F246" i="7" s="1"/>
  <c r="E246" i="5"/>
  <c r="E246" i="7" s="1"/>
  <c r="D246" i="5"/>
  <c r="D246" i="7" s="1"/>
  <c r="C246" i="5"/>
  <c r="C246" i="7" s="1"/>
  <c r="B246" i="5"/>
  <c r="B246" i="7" s="1"/>
  <c r="L245" i="5"/>
  <c r="L245" i="7" s="1"/>
  <c r="J245" i="5"/>
  <c r="J245" i="7" s="1"/>
  <c r="I245" i="5"/>
  <c r="I245" i="7" s="1"/>
  <c r="H245" i="5"/>
  <c r="H245" i="7" s="1"/>
  <c r="G245" i="5"/>
  <c r="G245" i="7" s="1"/>
  <c r="F245" i="5"/>
  <c r="F245" i="7" s="1"/>
  <c r="E245" i="5"/>
  <c r="D245" i="5"/>
  <c r="D245" i="7" s="1"/>
  <c r="C245" i="5"/>
  <c r="C245" i="7" s="1"/>
  <c r="B245" i="5"/>
  <c r="B245" i="7" s="1"/>
  <c r="L244" i="5"/>
  <c r="L244" i="7" s="1"/>
  <c r="K244" i="5"/>
  <c r="K244" i="7" s="1"/>
  <c r="J244" i="5"/>
  <c r="J244" i="7" s="1"/>
  <c r="I244" i="5"/>
  <c r="I244" i="7" s="1"/>
  <c r="H244" i="5"/>
  <c r="H244" i="7" s="1"/>
  <c r="G244" i="5"/>
  <c r="G244" i="7" s="1"/>
  <c r="F244" i="5"/>
  <c r="F244" i="7" s="1"/>
  <c r="E244" i="5"/>
  <c r="E244" i="7" s="1"/>
  <c r="D244" i="5"/>
  <c r="D244" i="7" s="1"/>
  <c r="C244" i="5"/>
  <c r="C244" i="7" s="1"/>
  <c r="B244" i="5"/>
  <c r="B244" i="7" s="1"/>
  <c r="L243" i="5"/>
  <c r="L243" i="7" s="1"/>
  <c r="K243" i="5"/>
  <c r="K243" i="7" s="1"/>
  <c r="J243" i="5"/>
  <c r="J243" i="7" s="1"/>
  <c r="I243" i="5"/>
  <c r="I243" i="7" s="1"/>
  <c r="H243" i="5"/>
  <c r="H243" i="7" s="1"/>
  <c r="G243" i="5"/>
  <c r="G243" i="7" s="1"/>
  <c r="F243" i="5"/>
  <c r="F243" i="7" s="1"/>
  <c r="E243" i="5"/>
  <c r="E243" i="7" s="1"/>
  <c r="D243" i="5"/>
  <c r="D243" i="7" s="1"/>
  <c r="C243" i="5"/>
  <c r="C243" i="7" s="1"/>
  <c r="B243" i="5"/>
  <c r="B243" i="7" s="1"/>
  <c r="L242" i="5"/>
  <c r="L242" i="7" s="1"/>
  <c r="J242" i="5"/>
  <c r="J242" i="7" s="1"/>
  <c r="I242" i="5"/>
  <c r="I242" i="7" s="1"/>
  <c r="H242" i="5"/>
  <c r="H242" i="7" s="1"/>
  <c r="G242" i="5"/>
  <c r="G242" i="7" s="1"/>
  <c r="F242" i="5"/>
  <c r="F242" i="7" s="1"/>
  <c r="E242" i="5"/>
  <c r="D242" i="5"/>
  <c r="D242" i="7" s="1"/>
  <c r="C242" i="5"/>
  <c r="C242" i="7" s="1"/>
  <c r="B242" i="5"/>
  <c r="B242" i="7" s="1"/>
  <c r="L241" i="5"/>
  <c r="L241" i="7" s="1"/>
  <c r="K241" i="5"/>
  <c r="K241" i="7" s="1"/>
  <c r="J241" i="5"/>
  <c r="J241" i="7" s="1"/>
  <c r="I241" i="5"/>
  <c r="I241" i="7" s="1"/>
  <c r="H241" i="5"/>
  <c r="H241" i="7" s="1"/>
  <c r="G241" i="5"/>
  <c r="G241" i="7" s="1"/>
  <c r="F241" i="5"/>
  <c r="F241" i="7" s="1"/>
  <c r="E241" i="5"/>
  <c r="E241" i="7" s="1"/>
  <c r="D241" i="5"/>
  <c r="D241" i="7" s="1"/>
  <c r="C241" i="5"/>
  <c r="C241" i="7" s="1"/>
  <c r="B241" i="5"/>
  <c r="B241" i="7" s="1"/>
  <c r="L240" i="5"/>
  <c r="L240" i="7" s="1"/>
  <c r="J240" i="5"/>
  <c r="J240" i="7" s="1"/>
  <c r="I240" i="5"/>
  <c r="I240" i="7" s="1"/>
  <c r="H240" i="5"/>
  <c r="H240" i="7" s="1"/>
  <c r="G240" i="5"/>
  <c r="G240" i="7" s="1"/>
  <c r="F240" i="5"/>
  <c r="F240" i="7" s="1"/>
  <c r="E240" i="5"/>
  <c r="E240" i="7" s="1"/>
  <c r="D240" i="5"/>
  <c r="D240" i="7" s="1"/>
  <c r="C240" i="5"/>
  <c r="C240" i="7" s="1"/>
  <c r="B240" i="5"/>
  <c r="B240" i="7" s="1"/>
  <c r="L239" i="5"/>
  <c r="L239" i="7" s="1"/>
  <c r="J239" i="5"/>
  <c r="J239" i="7" s="1"/>
  <c r="I239" i="5"/>
  <c r="I239" i="7" s="1"/>
  <c r="H239" i="5"/>
  <c r="H239" i="7" s="1"/>
  <c r="G239" i="5"/>
  <c r="G239" i="7" s="1"/>
  <c r="F239" i="5"/>
  <c r="F239" i="7" s="1"/>
  <c r="E239" i="5"/>
  <c r="E239" i="7" s="1"/>
  <c r="D239" i="5"/>
  <c r="D239" i="7" s="1"/>
  <c r="C239" i="5"/>
  <c r="C239" i="7" s="1"/>
  <c r="B239" i="5"/>
  <c r="B239" i="7" s="1"/>
  <c r="L238" i="5"/>
  <c r="L238" i="7" s="1"/>
  <c r="K238" i="5"/>
  <c r="K238" i="7" s="1"/>
  <c r="J238" i="5"/>
  <c r="J238" i="7" s="1"/>
  <c r="I238" i="5"/>
  <c r="I238" i="7" s="1"/>
  <c r="H238" i="5"/>
  <c r="H238" i="7" s="1"/>
  <c r="G238" i="5"/>
  <c r="G238" i="7" s="1"/>
  <c r="F238" i="5"/>
  <c r="F238" i="7" s="1"/>
  <c r="E238" i="5"/>
  <c r="E238" i="7" s="1"/>
  <c r="D238" i="5"/>
  <c r="D238" i="7" s="1"/>
  <c r="C238" i="5"/>
  <c r="C238" i="7" s="1"/>
  <c r="B238" i="5"/>
  <c r="B238" i="7" s="1"/>
  <c r="L237" i="5"/>
  <c r="L237" i="7" s="1"/>
  <c r="K237" i="5"/>
  <c r="K237" i="7" s="1"/>
  <c r="J237" i="5"/>
  <c r="J237" i="7" s="1"/>
  <c r="I237" i="5"/>
  <c r="I237" i="7" s="1"/>
  <c r="H237" i="5"/>
  <c r="H237" i="7" s="1"/>
  <c r="G237" i="5"/>
  <c r="G237" i="7" s="1"/>
  <c r="F237" i="5"/>
  <c r="F237" i="7" s="1"/>
  <c r="E237" i="5"/>
  <c r="E237" i="7" s="1"/>
  <c r="D237" i="5"/>
  <c r="D237" i="7" s="1"/>
  <c r="C237" i="5"/>
  <c r="C237" i="7" s="1"/>
  <c r="B237" i="5"/>
  <c r="B237" i="7" s="1"/>
  <c r="L236" i="5"/>
  <c r="L236" i="7" s="1"/>
  <c r="J236" i="5"/>
  <c r="J236" i="7" s="1"/>
  <c r="I236" i="5"/>
  <c r="I236" i="7" s="1"/>
  <c r="H236" i="5"/>
  <c r="H236" i="7" s="1"/>
  <c r="G236" i="5"/>
  <c r="G236" i="7" s="1"/>
  <c r="F236" i="5"/>
  <c r="F236" i="7" s="1"/>
  <c r="E236" i="5"/>
  <c r="D236" i="5"/>
  <c r="D236" i="7" s="1"/>
  <c r="C236" i="5"/>
  <c r="C236" i="7" s="1"/>
  <c r="B236" i="5"/>
  <c r="B236" i="7" s="1"/>
  <c r="L235" i="5"/>
  <c r="L235" i="7" s="1"/>
  <c r="J235" i="5"/>
  <c r="J235" i="7" s="1"/>
  <c r="I235" i="5"/>
  <c r="I235" i="7" s="1"/>
  <c r="H235" i="5"/>
  <c r="H235" i="7" s="1"/>
  <c r="G235" i="5"/>
  <c r="G235" i="7" s="1"/>
  <c r="F235" i="5"/>
  <c r="F235" i="7" s="1"/>
  <c r="E235" i="5"/>
  <c r="D235" i="5"/>
  <c r="D235" i="7" s="1"/>
  <c r="C235" i="5"/>
  <c r="C235" i="7" s="1"/>
  <c r="B235" i="5"/>
  <c r="B235" i="7" s="1"/>
  <c r="L234" i="5"/>
  <c r="L234" i="7" s="1"/>
  <c r="K234" i="5"/>
  <c r="K234" i="7" s="1"/>
  <c r="J234" i="5"/>
  <c r="J234" i="7" s="1"/>
  <c r="I234" i="5"/>
  <c r="I234" i="7" s="1"/>
  <c r="H234" i="5"/>
  <c r="H234" i="7" s="1"/>
  <c r="G234" i="5"/>
  <c r="G234" i="7" s="1"/>
  <c r="F234" i="5"/>
  <c r="F234" i="7" s="1"/>
  <c r="E234" i="5"/>
  <c r="E234" i="7" s="1"/>
  <c r="D234" i="5"/>
  <c r="D234" i="7" s="1"/>
  <c r="C234" i="5"/>
  <c r="C234" i="7" s="1"/>
  <c r="B234" i="5"/>
  <c r="B234" i="7" s="1"/>
  <c r="L233" i="5"/>
  <c r="L233" i="7" s="1"/>
  <c r="K233" i="5"/>
  <c r="K233" i="7" s="1"/>
  <c r="J233" i="5"/>
  <c r="J233" i="7" s="1"/>
  <c r="I233" i="5"/>
  <c r="I233" i="7" s="1"/>
  <c r="H233" i="5"/>
  <c r="H233" i="7" s="1"/>
  <c r="G233" i="5"/>
  <c r="G233" i="7" s="1"/>
  <c r="F233" i="5"/>
  <c r="F233" i="7" s="1"/>
  <c r="E233" i="5"/>
  <c r="E233" i="7" s="1"/>
  <c r="D233" i="5"/>
  <c r="D233" i="7" s="1"/>
  <c r="C233" i="5"/>
  <c r="C233" i="7" s="1"/>
  <c r="B233" i="5"/>
  <c r="B233" i="7" s="1"/>
  <c r="L232" i="5"/>
  <c r="L232" i="7" s="1"/>
  <c r="K232" i="5"/>
  <c r="K232" i="7" s="1"/>
  <c r="J232" i="5"/>
  <c r="J232" i="7" s="1"/>
  <c r="I232" i="5"/>
  <c r="I232" i="7" s="1"/>
  <c r="H232" i="5"/>
  <c r="H232" i="7" s="1"/>
  <c r="G232" i="5"/>
  <c r="G232" i="7" s="1"/>
  <c r="F232" i="5"/>
  <c r="F232" i="7" s="1"/>
  <c r="E232" i="5"/>
  <c r="E232" i="7" s="1"/>
  <c r="D232" i="5"/>
  <c r="D232" i="7" s="1"/>
  <c r="C232" i="5"/>
  <c r="C232" i="7" s="1"/>
  <c r="B232" i="5"/>
  <c r="B232" i="7" s="1"/>
  <c r="L231" i="5"/>
  <c r="L231" i="7" s="1"/>
  <c r="J231" i="5"/>
  <c r="J231" i="7" s="1"/>
  <c r="I231" i="5"/>
  <c r="I231" i="7" s="1"/>
  <c r="H231" i="5"/>
  <c r="H231" i="7" s="1"/>
  <c r="G231" i="5"/>
  <c r="G231" i="7" s="1"/>
  <c r="F231" i="5"/>
  <c r="F231" i="7" s="1"/>
  <c r="E231" i="5"/>
  <c r="D231" i="5"/>
  <c r="D231" i="7" s="1"/>
  <c r="C231" i="5"/>
  <c r="C231" i="7" s="1"/>
  <c r="B231" i="5"/>
  <c r="B231" i="7" s="1"/>
  <c r="L230" i="5"/>
  <c r="L230" i="7" s="1"/>
  <c r="J230" i="5"/>
  <c r="J230" i="7" s="1"/>
  <c r="I230" i="5"/>
  <c r="I230" i="7" s="1"/>
  <c r="H230" i="5"/>
  <c r="H230" i="7" s="1"/>
  <c r="G230" i="5"/>
  <c r="G230" i="7" s="1"/>
  <c r="F230" i="5"/>
  <c r="F230" i="7" s="1"/>
  <c r="E230" i="5"/>
  <c r="E230" i="7" s="1"/>
  <c r="D230" i="5"/>
  <c r="D230" i="7" s="1"/>
  <c r="C230" i="5"/>
  <c r="C230" i="7" s="1"/>
  <c r="B230" i="5"/>
  <c r="B230" i="7" s="1"/>
  <c r="L229" i="5"/>
  <c r="L229" i="7" s="1"/>
  <c r="K229" i="5"/>
  <c r="K229" i="7" s="1"/>
  <c r="J229" i="5"/>
  <c r="J229" i="7" s="1"/>
  <c r="I229" i="5"/>
  <c r="I229" i="7" s="1"/>
  <c r="H229" i="5"/>
  <c r="H229" i="7" s="1"/>
  <c r="G229" i="5"/>
  <c r="G229" i="7" s="1"/>
  <c r="F229" i="5"/>
  <c r="F229" i="7" s="1"/>
  <c r="E229" i="5"/>
  <c r="E229" i="7" s="1"/>
  <c r="D229" i="5"/>
  <c r="D229" i="7" s="1"/>
  <c r="C229" i="5"/>
  <c r="C229" i="7" s="1"/>
  <c r="B229" i="5"/>
  <c r="B229" i="7" s="1"/>
  <c r="L228" i="5"/>
  <c r="L228" i="7" s="1"/>
  <c r="J228" i="5"/>
  <c r="J228" i="7" s="1"/>
  <c r="I228" i="5"/>
  <c r="I228" i="7" s="1"/>
  <c r="H228" i="5"/>
  <c r="H228" i="7" s="1"/>
  <c r="G228" i="5"/>
  <c r="G228" i="7" s="1"/>
  <c r="F228" i="5"/>
  <c r="F228" i="7" s="1"/>
  <c r="E228" i="5"/>
  <c r="D228" i="5"/>
  <c r="D228" i="7" s="1"/>
  <c r="C228" i="5"/>
  <c r="C228" i="7" s="1"/>
  <c r="B228" i="5"/>
  <c r="B228" i="7" s="1"/>
  <c r="L227" i="5"/>
  <c r="L227" i="7" s="1"/>
  <c r="K227" i="5"/>
  <c r="K227" i="7" s="1"/>
  <c r="J227" i="5"/>
  <c r="J227" i="7" s="1"/>
  <c r="I227" i="5"/>
  <c r="I227" i="7" s="1"/>
  <c r="H227" i="5"/>
  <c r="H227" i="7" s="1"/>
  <c r="G227" i="5"/>
  <c r="G227" i="7" s="1"/>
  <c r="F227" i="5"/>
  <c r="F227" i="7" s="1"/>
  <c r="E227" i="5"/>
  <c r="E227" i="7" s="1"/>
  <c r="D227" i="5"/>
  <c r="D227" i="7" s="1"/>
  <c r="C227" i="5"/>
  <c r="C227" i="7" s="1"/>
  <c r="B227" i="5"/>
  <c r="B227" i="7" s="1"/>
  <c r="L226" i="5"/>
  <c r="L226" i="7" s="1"/>
  <c r="J226" i="5"/>
  <c r="J226" i="7" s="1"/>
  <c r="I226" i="5"/>
  <c r="I226" i="7" s="1"/>
  <c r="H226" i="5"/>
  <c r="H226" i="7" s="1"/>
  <c r="G226" i="5"/>
  <c r="G226" i="7" s="1"/>
  <c r="F226" i="5"/>
  <c r="F226" i="7" s="1"/>
  <c r="E226" i="5"/>
  <c r="E226" i="7" s="1"/>
  <c r="D226" i="5"/>
  <c r="D226" i="7" s="1"/>
  <c r="C226" i="5"/>
  <c r="C226" i="7" s="1"/>
  <c r="B226" i="5"/>
  <c r="B226" i="7" s="1"/>
  <c r="L225" i="5"/>
  <c r="L225" i="7" s="1"/>
  <c r="J225" i="5"/>
  <c r="J225" i="7" s="1"/>
  <c r="I225" i="5"/>
  <c r="I225" i="7" s="1"/>
  <c r="H225" i="5"/>
  <c r="H225" i="7" s="1"/>
  <c r="G225" i="5"/>
  <c r="G225" i="7" s="1"/>
  <c r="F225" i="5"/>
  <c r="F225" i="7" s="1"/>
  <c r="E225" i="5"/>
  <c r="E225" i="7" s="1"/>
  <c r="D225" i="5"/>
  <c r="D225" i="7" s="1"/>
  <c r="C225" i="5"/>
  <c r="C225" i="7" s="1"/>
  <c r="B225" i="5"/>
  <c r="B225" i="7" s="1"/>
  <c r="L224" i="5"/>
  <c r="L224" i="7" s="1"/>
  <c r="K224" i="5"/>
  <c r="K224" i="7" s="1"/>
  <c r="J224" i="5"/>
  <c r="J224" i="7" s="1"/>
  <c r="I224" i="5"/>
  <c r="I224" i="7" s="1"/>
  <c r="H224" i="5"/>
  <c r="H224" i="7" s="1"/>
  <c r="G224" i="5"/>
  <c r="G224" i="7" s="1"/>
  <c r="F224" i="5"/>
  <c r="F224" i="7" s="1"/>
  <c r="E224" i="5"/>
  <c r="E224" i="7" s="1"/>
  <c r="D224" i="5"/>
  <c r="D224" i="7" s="1"/>
  <c r="C224" i="5"/>
  <c r="C224" i="7" s="1"/>
  <c r="B224" i="5"/>
  <c r="B224" i="7" s="1"/>
  <c r="L223" i="5"/>
  <c r="L223" i="7" s="1"/>
  <c r="K223" i="5"/>
  <c r="K223" i="7" s="1"/>
  <c r="J223" i="5"/>
  <c r="J223" i="7" s="1"/>
  <c r="I223" i="5"/>
  <c r="I223" i="7" s="1"/>
  <c r="H223" i="5"/>
  <c r="H223" i="7" s="1"/>
  <c r="G223" i="5"/>
  <c r="G223" i="7" s="1"/>
  <c r="F223" i="5"/>
  <c r="F223" i="7" s="1"/>
  <c r="E223" i="5"/>
  <c r="E223" i="7" s="1"/>
  <c r="D223" i="5"/>
  <c r="D223" i="7" s="1"/>
  <c r="C223" i="5"/>
  <c r="C223" i="7" s="1"/>
  <c r="B223" i="5"/>
  <c r="B223" i="7" s="1"/>
  <c r="L222" i="5"/>
  <c r="L222" i="7" s="1"/>
  <c r="J222" i="5"/>
  <c r="J222" i="7" s="1"/>
  <c r="I222" i="5"/>
  <c r="I222" i="7" s="1"/>
  <c r="H222" i="5"/>
  <c r="H222" i="7" s="1"/>
  <c r="G222" i="5"/>
  <c r="G222" i="7" s="1"/>
  <c r="F222" i="5"/>
  <c r="F222" i="7" s="1"/>
  <c r="E222" i="5"/>
  <c r="D222" i="5"/>
  <c r="D222" i="7" s="1"/>
  <c r="C222" i="5"/>
  <c r="C222" i="7" s="1"/>
  <c r="B222" i="5"/>
  <c r="B222" i="7" s="1"/>
  <c r="L221" i="5"/>
  <c r="L221" i="7" s="1"/>
  <c r="J221" i="5"/>
  <c r="J221" i="7" s="1"/>
  <c r="I221" i="5"/>
  <c r="I221" i="7" s="1"/>
  <c r="H221" i="5"/>
  <c r="H221" i="7" s="1"/>
  <c r="G221" i="5"/>
  <c r="G221" i="7" s="1"/>
  <c r="F221" i="5"/>
  <c r="F221" i="7" s="1"/>
  <c r="E221" i="5"/>
  <c r="D221" i="5"/>
  <c r="D221" i="7" s="1"/>
  <c r="C221" i="5"/>
  <c r="C221" i="7" s="1"/>
  <c r="B221" i="5"/>
  <c r="B221" i="7" s="1"/>
  <c r="L220" i="5"/>
  <c r="L220" i="7" s="1"/>
  <c r="K220" i="5"/>
  <c r="K220" i="7" s="1"/>
  <c r="J220" i="5"/>
  <c r="J220" i="7" s="1"/>
  <c r="I220" i="5"/>
  <c r="I220" i="7" s="1"/>
  <c r="H220" i="5"/>
  <c r="H220" i="7" s="1"/>
  <c r="G220" i="5"/>
  <c r="G220" i="7" s="1"/>
  <c r="F220" i="5"/>
  <c r="F220" i="7" s="1"/>
  <c r="E220" i="5"/>
  <c r="E220" i="7" s="1"/>
  <c r="D220" i="5"/>
  <c r="D220" i="7" s="1"/>
  <c r="C220" i="5"/>
  <c r="C220" i="7" s="1"/>
  <c r="B220" i="5"/>
  <c r="B220" i="7" s="1"/>
  <c r="L219" i="5"/>
  <c r="L219" i="7" s="1"/>
  <c r="K219" i="5"/>
  <c r="K219" i="7" s="1"/>
  <c r="J219" i="5"/>
  <c r="J219" i="7" s="1"/>
  <c r="I219" i="5"/>
  <c r="I219" i="7" s="1"/>
  <c r="H219" i="5"/>
  <c r="H219" i="7" s="1"/>
  <c r="G219" i="5"/>
  <c r="G219" i="7" s="1"/>
  <c r="F219" i="5"/>
  <c r="F219" i="7" s="1"/>
  <c r="E219" i="5"/>
  <c r="E219" i="7" s="1"/>
  <c r="D219" i="5"/>
  <c r="D219" i="7" s="1"/>
  <c r="C219" i="5"/>
  <c r="C219" i="7" s="1"/>
  <c r="B219" i="5"/>
  <c r="B219" i="7" s="1"/>
  <c r="L218" i="5"/>
  <c r="L218" i="7" s="1"/>
  <c r="J218" i="5"/>
  <c r="J218" i="7" s="1"/>
  <c r="I218" i="5"/>
  <c r="I218" i="7" s="1"/>
  <c r="H218" i="5"/>
  <c r="H218" i="7" s="1"/>
  <c r="G218" i="5"/>
  <c r="G218" i="7" s="1"/>
  <c r="F218" i="5"/>
  <c r="F218" i="7" s="1"/>
  <c r="E218" i="5"/>
  <c r="E218" i="7" s="1"/>
  <c r="D218" i="5"/>
  <c r="D218" i="7" s="1"/>
  <c r="C218" i="5"/>
  <c r="C218" i="7" s="1"/>
  <c r="B218" i="5"/>
  <c r="B218" i="7" s="1"/>
  <c r="L217" i="5"/>
  <c r="L217" i="7" s="1"/>
  <c r="J217" i="5"/>
  <c r="J217" i="7" s="1"/>
  <c r="I217" i="5"/>
  <c r="I217" i="7" s="1"/>
  <c r="H217" i="5"/>
  <c r="H217" i="7" s="1"/>
  <c r="G217" i="5"/>
  <c r="G217" i="7" s="1"/>
  <c r="F217" i="5"/>
  <c r="F217" i="7" s="1"/>
  <c r="E217" i="5"/>
  <c r="D217" i="5"/>
  <c r="D217" i="7" s="1"/>
  <c r="C217" i="5"/>
  <c r="C217" i="7" s="1"/>
  <c r="B217" i="5"/>
  <c r="B217" i="7" s="1"/>
  <c r="L216" i="5"/>
  <c r="L216" i="7" s="1"/>
  <c r="K216" i="5"/>
  <c r="K216" i="7" s="1"/>
  <c r="J216" i="5"/>
  <c r="J216" i="7" s="1"/>
  <c r="I216" i="5"/>
  <c r="I216" i="7" s="1"/>
  <c r="H216" i="5"/>
  <c r="H216" i="7" s="1"/>
  <c r="G216" i="5"/>
  <c r="G216" i="7" s="1"/>
  <c r="F216" i="5"/>
  <c r="F216" i="7" s="1"/>
  <c r="E216" i="5"/>
  <c r="E216" i="7" s="1"/>
  <c r="D216" i="5"/>
  <c r="D216" i="7" s="1"/>
  <c r="C216" i="5"/>
  <c r="C216" i="7" s="1"/>
  <c r="B216" i="5"/>
  <c r="B216" i="7" s="1"/>
  <c r="L215" i="5"/>
  <c r="L215" i="7" s="1"/>
  <c r="K215" i="5"/>
  <c r="K215" i="7" s="1"/>
  <c r="J215" i="5"/>
  <c r="J215" i="7" s="1"/>
  <c r="I215" i="5"/>
  <c r="I215" i="7" s="1"/>
  <c r="H215" i="5"/>
  <c r="H215" i="7" s="1"/>
  <c r="G215" i="5"/>
  <c r="G215" i="7" s="1"/>
  <c r="F215" i="5"/>
  <c r="F215" i="7" s="1"/>
  <c r="E215" i="5"/>
  <c r="E215" i="7" s="1"/>
  <c r="D215" i="5"/>
  <c r="D215" i="7" s="1"/>
  <c r="C215" i="5"/>
  <c r="C215" i="7" s="1"/>
  <c r="B215" i="5"/>
  <c r="B215" i="7" s="1"/>
  <c r="L214" i="5"/>
  <c r="L214" i="7" s="1"/>
  <c r="J214" i="5"/>
  <c r="J214" i="7" s="1"/>
  <c r="I214" i="5"/>
  <c r="I214" i="7" s="1"/>
  <c r="H214" i="5"/>
  <c r="H214" i="7" s="1"/>
  <c r="G214" i="5"/>
  <c r="G214" i="7" s="1"/>
  <c r="F214" i="5"/>
  <c r="F214" i="7" s="1"/>
  <c r="E214" i="5"/>
  <c r="D214" i="5"/>
  <c r="D214" i="7" s="1"/>
  <c r="C214" i="5"/>
  <c r="C214" i="7" s="1"/>
  <c r="B214" i="5"/>
  <c r="B214" i="7" s="1"/>
  <c r="L213" i="5"/>
  <c r="L213" i="7" s="1"/>
  <c r="K213" i="5"/>
  <c r="K213" i="7" s="1"/>
  <c r="J213" i="5"/>
  <c r="J213" i="7" s="1"/>
  <c r="I213" i="5"/>
  <c r="I213" i="7" s="1"/>
  <c r="H213" i="5"/>
  <c r="H213" i="7" s="1"/>
  <c r="G213" i="5"/>
  <c r="G213" i="7" s="1"/>
  <c r="F213" i="5"/>
  <c r="F213" i="7" s="1"/>
  <c r="E213" i="5"/>
  <c r="E213" i="7" s="1"/>
  <c r="D213" i="5"/>
  <c r="D213" i="7" s="1"/>
  <c r="C213" i="5"/>
  <c r="C213" i="7" s="1"/>
  <c r="B213" i="5"/>
  <c r="B213" i="7" s="1"/>
  <c r="L212" i="5"/>
  <c r="L212" i="7" s="1"/>
  <c r="J212" i="5"/>
  <c r="J212" i="7" s="1"/>
  <c r="I212" i="5"/>
  <c r="I212" i="7" s="1"/>
  <c r="H212" i="5"/>
  <c r="H212" i="7" s="1"/>
  <c r="G212" i="5"/>
  <c r="G212" i="7" s="1"/>
  <c r="F212" i="5"/>
  <c r="F212" i="7" s="1"/>
  <c r="E212" i="5"/>
  <c r="E212" i="7" s="1"/>
  <c r="D212" i="5"/>
  <c r="D212" i="7" s="1"/>
  <c r="C212" i="5"/>
  <c r="C212" i="7" s="1"/>
  <c r="B212" i="5"/>
  <c r="B212" i="7" s="1"/>
  <c r="L211" i="5"/>
  <c r="L211" i="7" s="1"/>
  <c r="K211" i="5"/>
  <c r="K211" i="7" s="1"/>
  <c r="J211" i="5"/>
  <c r="J211" i="7" s="1"/>
  <c r="I211" i="5"/>
  <c r="I211" i="7" s="1"/>
  <c r="H211" i="5"/>
  <c r="H211" i="7" s="1"/>
  <c r="G211" i="5"/>
  <c r="G211" i="7" s="1"/>
  <c r="F211" i="5"/>
  <c r="F211" i="7" s="1"/>
  <c r="E211" i="5"/>
  <c r="E211" i="7" s="1"/>
  <c r="D211" i="5"/>
  <c r="D211" i="7" s="1"/>
  <c r="C211" i="5"/>
  <c r="C211" i="7" s="1"/>
  <c r="B211" i="5"/>
  <c r="B211" i="7" s="1"/>
  <c r="L210" i="5"/>
  <c r="L210" i="7" s="1"/>
  <c r="K210" i="5"/>
  <c r="K210" i="7" s="1"/>
  <c r="J210" i="5"/>
  <c r="J210" i="7" s="1"/>
  <c r="I210" i="5"/>
  <c r="I210" i="7" s="1"/>
  <c r="H210" i="5"/>
  <c r="H210" i="7" s="1"/>
  <c r="G210" i="5"/>
  <c r="G210" i="7" s="1"/>
  <c r="F210" i="5"/>
  <c r="F210" i="7" s="1"/>
  <c r="E210" i="5"/>
  <c r="E210" i="7" s="1"/>
  <c r="D210" i="5"/>
  <c r="D210" i="7" s="1"/>
  <c r="C210" i="5"/>
  <c r="C210" i="7" s="1"/>
  <c r="B210" i="5"/>
  <c r="B210" i="7" s="1"/>
  <c r="L209" i="5"/>
  <c r="L209" i="7" s="1"/>
  <c r="J209" i="5"/>
  <c r="J209" i="7" s="1"/>
  <c r="I209" i="5"/>
  <c r="I209" i="7" s="1"/>
  <c r="H209" i="5"/>
  <c r="H209" i="7" s="1"/>
  <c r="G209" i="5"/>
  <c r="G209" i="7" s="1"/>
  <c r="F209" i="5"/>
  <c r="F209" i="7" s="1"/>
  <c r="E209" i="5"/>
  <c r="E209" i="7" s="1"/>
  <c r="D209" i="5"/>
  <c r="D209" i="7" s="1"/>
  <c r="C209" i="5"/>
  <c r="C209" i="7" s="1"/>
  <c r="B209" i="5"/>
  <c r="B209" i="7" s="1"/>
  <c r="L208" i="5"/>
  <c r="L208" i="7" s="1"/>
  <c r="J208" i="5"/>
  <c r="J208" i="7" s="1"/>
  <c r="I208" i="5"/>
  <c r="I208" i="7" s="1"/>
  <c r="H208" i="5"/>
  <c r="H208" i="7" s="1"/>
  <c r="G208" i="5"/>
  <c r="G208" i="7" s="1"/>
  <c r="F208" i="5"/>
  <c r="F208" i="7" s="1"/>
  <c r="E208" i="5"/>
  <c r="D208" i="5"/>
  <c r="D208" i="7" s="1"/>
  <c r="C208" i="5"/>
  <c r="C208" i="7" s="1"/>
  <c r="B208" i="5"/>
  <c r="B208" i="7" s="1"/>
  <c r="L207" i="5"/>
  <c r="L207" i="7" s="1"/>
  <c r="J207" i="5"/>
  <c r="J207" i="7" s="1"/>
  <c r="I207" i="5"/>
  <c r="I207" i="7" s="1"/>
  <c r="H207" i="5"/>
  <c r="H207" i="7" s="1"/>
  <c r="G207" i="5"/>
  <c r="G207" i="7" s="1"/>
  <c r="F207" i="5"/>
  <c r="F207" i="7" s="1"/>
  <c r="E207" i="5"/>
  <c r="D207" i="5"/>
  <c r="D207" i="7" s="1"/>
  <c r="C207" i="5"/>
  <c r="C207" i="7" s="1"/>
  <c r="B207" i="5"/>
  <c r="B207" i="7" s="1"/>
  <c r="L206" i="5"/>
  <c r="L206" i="7" s="1"/>
  <c r="K206" i="5"/>
  <c r="K206" i="7" s="1"/>
  <c r="J206" i="5"/>
  <c r="J206" i="7" s="1"/>
  <c r="I206" i="5"/>
  <c r="I206" i="7" s="1"/>
  <c r="H206" i="5"/>
  <c r="H206" i="7" s="1"/>
  <c r="G206" i="5"/>
  <c r="G206" i="7" s="1"/>
  <c r="F206" i="5"/>
  <c r="F206" i="7" s="1"/>
  <c r="E206" i="5"/>
  <c r="E206" i="7" s="1"/>
  <c r="D206" i="5"/>
  <c r="D206" i="7" s="1"/>
  <c r="C206" i="5"/>
  <c r="C206" i="7" s="1"/>
  <c r="B206" i="5"/>
  <c r="B206" i="7" s="1"/>
  <c r="L205" i="5"/>
  <c r="L205" i="7" s="1"/>
  <c r="K205" i="5"/>
  <c r="K205" i="7" s="1"/>
  <c r="J205" i="5"/>
  <c r="J205" i="7" s="1"/>
  <c r="I205" i="5"/>
  <c r="I205" i="7" s="1"/>
  <c r="H205" i="5"/>
  <c r="H205" i="7" s="1"/>
  <c r="G205" i="5"/>
  <c r="G205" i="7" s="1"/>
  <c r="F205" i="5"/>
  <c r="F205" i="7" s="1"/>
  <c r="E205" i="5"/>
  <c r="E205" i="7" s="1"/>
  <c r="D205" i="5"/>
  <c r="D205" i="7" s="1"/>
  <c r="C205" i="5"/>
  <c r="C205" i="7" s="1"/>
  <c r="B205" i="5"/>
  <c r="B205" i="7" s="1"/>
  <c r="L204" i="5"/>
  <c r="L204" i="7" s="1"/>
  <c r="J204" i="5"/>
  <c r="J204" i="7" s="1"/>
  <c r="I204" i="5"/>
  <c r="I204" i="7" s="1"/>
  <c r="H204" i="5"/>
  <c r="H204" i="7" s="1"/>
  <c r="G204" i="5"/>
  <c r="G204" i="7" s="1"/>
  <c r="F204" i="5"/>
  <c r="F204" i="7" s="1"/>
  <c r="E204" i="5"/>
  <c r="E204" i="7" s="1"/>
  <c r="D204" i="5"/>
  <c r="D204" i="7" s="1"/>
  <c r="C204" i="5"/>
  <c r="C204" i="7" s="1"/>
  <c r="B204" i="5"/>
  <c r="B204" i="7" s="1"/>
  <c r="L203" i="5"/>
  <c r="L203" i="7" s="1"/>
  <c r="J203" i="5"/>
  <c r="J203" i="7" s="1"/>
  <c r="I203" i="5"/>
  <c r="I203" i="7" s="1"/>
  <c r="H203" i="5"/>
  <c r="H203" i="7" s="1"/>
  <c r="G203" i="5"/>
  <c r="G203" i="7" s="1"/>
  <c r="F203" i="5"/>
  <c r="F203" i="7" s="1"/>
  <c r="E203" i="5"/>
  <c r="D203" i="5"/>
  <c r="D203" i="7" s="1"/>
  <c r="C203" i="5"/>
  <c r="C203" i="7" s="1"/>
  <c r="B203" i="5"/>
  <c r="B203" i="7" s="1"/>
  <c r="L202" i="5"/>
  <c r="L202" i="7" s="1"/>
  <c r="K202" i="5"/>
  <c r="K202" i="7" s="1"/>
  <c r="J202" i="5"/>
  <c r="J202" i="7" s="1"/>
  <c r="I202" i="5"/>
  <c r="I202" i="7" s="1"/>
  <c r="H202" i="5"/>
  <c r="H202" i="7" s="1"/>
  <c r="G202" i="5"/>
  <c r="G202" i="7" s="1"/>
  <c r="F202" i="5"/>
  <c r="F202" i="7" s="1"/>
  <c r="E202" i="5"/>
  <c r="E202" i="7" s="1"/>
  <c r="D202" i="5"/>
  <c r="D202" i="7" s="1"/>
  <c r="C202" i="5"/>
  <c r="C202" i="7" s="1"/>
  <c r="B202" i="5"/>
  <c r="B202" i="7" s="1"/>
  <c r="L201" i="5"/>
  <c r="L201" i="7" s="1"/>
  <c r="K201" i="5"/>
  <c r="K201" i="7" s="1"/>
  <c r="J201" i="5"/>
  <c r="J201" i="7" s="1"/>
  <c r="I201" i="5"/>
  <c r="I201" i="7" s="1"/>
  <c r="H201" i="5"/>
  <c r="H201" i="7" s="1"/>
  <c r="G201" i="5"/>
  <c r="G201" i="7" s="1"/>
  <c r="F201" i="5"/>
  <c r="F201" i="7" s="1"/>
  <c r="E201" i="5"/>
  <c r="E201" i="7" s="1"/>
  <c r="D201" i="5"/>
  <c r="D201" i="7" s="1"/>
  <c r="C201" i="5"/>
  <c r="C201" i="7" s="1"/>
  <c r="B201" i="5"/>
  <c r="B201" i="7" s="1"/>
  <c r="L200" i="5"/>
  <c r="L200" i="7" s="1"/>
  <c r="J200" i="5"/>
  <c r="J200" i="7" s="1"/>
  <c r="I200" i="5"/>
  <c r="I200" i="7" s="1"/>
  <c r="H200" i="5"/>
  <c r="H200" i="7" s="1"/>
  <c r="G200" i="5"/>
  <c r="G200" i="7" s="1"/>
  <c r="F200" i="5"/>
  <c r="F200" i="7" s="1"/>
  <c r="E200" i="5"/>
  <c r="D200" i="5"/>
  <c r="D200" i="7" s="1"/>
  <c r="C200" i="5"/>
  <c r="C200" i="7" s="1"/>
  <c r="B200" i="5"/>
  <c r="B200" i="7" s="1"/>
  <c r="L199" i="5"/>
  <c r="L199" i="7" s="1"/>
  <c r="K199" i="5"/>
  <c r="K199" i="7" s="1"/>
  <c r="J199" i="5"/>
  <c r="J199" i="7" s="1"/>
  <c r="I199" i="5"/>
  <c r="I199" i="7" s="1"/>
  <c r="H199" i="5"/>
  <c r="H199" i="7" s="1"/>
  <c r="G199" i="5"/>
  <c r="G199" i="7" s="1"/>
  <c r="F199" i="5"/>
  <c r="F199" i="7" s="1"/>
  <c r="E199" i="5"/>
  <c r="E199" i="7" s="1"/>
  <c r="D199" i="5"/>
  <c r="D199" i="7" s="1"/>
  <c r="C199" i="5"/>
  <c r="C199" i="7" s="1"/>
  <c r="B199" i="5"/>
  <c r="B199" i="7" s="1"/>
  <c r="L198" i="5"/>
  <c r="L198" i="7" s="1"/>
  <c r="J198" i="5"/>
  <c r="J198" i="7" s="1"/>
  <c r="I198" i="5"/>
  <c r="I198" i="7" s="1"/>
  <c r="H198" i="5"/>
  <c r="H198" i="7" s="1"/>
  <c r="G198" i="5"/>
  <c r="G198" i="7" s="1"/>
  <c r="F198" i="5"/>
  <c r="F198" i="7" s="1"/>
  <c r="E198" i="5"/>
  <c r="E198" i="7" s="1"/>
  <c r="D198" i="5"/>
  <c r="D198" i="7" s="1"/>
  <c r="C198" i="5"/>
  <c r="C198" i="7" s="1"/>
  <c r="B198" i="5"/>
  <c r="B198" i="7" s="1"/>
  <c r="L197" i="5"/>
  <c r="L197" i="7" s="1"/>
  <c r="J197" i="5"/>
  <c r="J197" i="7" s="1"/>
  <c r="I197" i="5"/>
  <c r="I197" i="7" s="1"/>
  <c r="H197" i="5"/>
  <c r="H197" i="7" s="1"/>
  <c r="G197" i="5"/>
  <c r="G197" i="7" s="1"/>
  <c r="F197" i="5"/>
  <c r="F197" i="7" s="1"/>
  <c r="E197" i="5"/>
  <c r="E197" i="7" s="1"/>
  <c r="D197" i="5"/>
  <c r="D197" i="7" s="1"/>
  <c r="C197" i="5"/>
  <c r="C197" i="7" s="1"/>
  <c r="B197" i="5"/>
  <c r="B197" i="7" s="1"/>
  <c r="L196" i="5"/>
  <c r="L196" i="7" s="1"/>
  <c r="K196" i="5"/>
  <c r="K196" i="7" s="1"/>
  <c r="J196" i="5"/>
  <c r="J196" i="7" s="1"/>
  <c r="I196" i="5"/>
  <c r="I196" i="7" s="1"/>
  <c r="H196" i="5"/>
  <c r="H196" i="7" s="1"/>
  <c r="G196" i="5"/>
  <c r="G196" i="7" s="1"/>
  <c r="F196" i="5"/>
  <c r="F196" i="7" s="1"/>
  <c r="E196" i="5"/>
  <c r="E196" i="7" s="1"/>
  <c r="D196" i="5"/>
  <c r="D196" i="7" s="1"/>
  <c r="C196" i="5"/>
  <c r="C196" i="7" s="1"/>
  <c r="B196" i="5"/>
  <c r="B196" i="7" s="1"/>
  <c r="L195" i="5"/>
  <c r="L195" i="7" s="1"/>
  <c r="K195" i="5"/>
  <c r="K195" i="7" s="1"/>
  <c r="J195" i="5"/>
  <c r="J195" i="7" s="1"/>
  <c r="I195" i="5"/>
  <c r="I195" i="7" s="1"/>
  <c r="H195" i="5"/>
  <c r="H195" i="7" s="1"/>
  <c r="G195" i="5"/>
  <c r="G195" i="7" s="1"/>
  <c r="F195" i="5"/>
  <c r="F195" i="7" s="1"/>
  <c r="E195" i="5"/>
  <c r="E195" i="7" s="1"/>
  <c r="D195" i="5"/>
  <c r="D195" i="7" s="1"/>
  <c r="C195" i="5"/>
  <c r="C195" i="7" s="1"/>
  <c r="B195" i="5"/>
  <c r="B195" i="7" s="1"/>
  <c r="L194" i="5"/>
  <c r="L194" i="7" s="1"/>
  <c r="J194" i="5"/>
  <c r="J194" i="7" s="1"/>
  <c r="I194" i="5"/>
  <c r="I194" i="7" s="1"/>
  <c r="H194" i="5"/>
  <c r="H194" i="7" s="1"/>
  <c r="G194" i="5"/>
  <c r="G194" i="7" s="1"/>
  <c r="F194" i="5"/>
  <c r="F194" i="7" s="1"/>
  <c r="E194" i="5"/>
  <c r="D194" i="5"/>
  <c r="D194" i="7" s="1"/>
  <c r="C194" i="5"/>
  <c r="C194" i="7" s="1"/>
  <c r="B194" i="5"/>
  <c r="B194" i="7" s="1"/>
  <c r="L193" i="5"/>
  <c r="L193" i="7" s="1"/>
  <c r="J193" i="5"/>
  <c r="J193" i="7" s="1"/>
  <c r="I193" i="5"/>
  <c r="I193" i="7" s="1"/>
  <c r="H193" i="5"/>
  <c r="H193" i="7" s="1"/>
  <c r="G193" i="5"/>
  <c r="G193" i="7" s="1"/>
  <c r="F193" i="5"/>
  <c r="F193" i="7" s="1"/>
  <c r="E193" i="5"/>
  <c r="D193" i="5"/>
  <c r="D193" i="7" s="1"/>
  <c r="C193" i="5"/>
  <c r="C193" i="7" s="1"/>
  <c r="B193" i="5"/>
  <c r="B193" i="7" s="1"/>
  <c r="L192" i="5"/>
  <c r="L192" i="7" s="1"/>
  <c r="K192" i="5"/>
  <c r="K192" i="7" s="1"/>
  <c r="J192" i="5"/>
  <c r="J192" i="7" s="1"/>
  <c r="I192" i="5"/>
  <c r="I192" i="7" s="1"/>
  <c r="H192" i="5"/>
  <c r="H192" i="7" s="1"/>
  <c r="G192" i="5"/>
  <c r="G192" i="7" s="1"/>
  <c r="F192" i="5"/>
  <c r="F192" i="7" s="1"/>
  <c r="E192" i="5"/>
  <c r="E192" i="7" s="1"/>
  <c r="D192" i="5"/>
  <c r="D192" i="7" s="1"/>
  <c r="C192" i="5"/>
  <c r="C192" i="7" s="1"/>
  <c r="B192" i="5"/>
  <c r="B192" i="7" s="1"/>
  <c r="L191" i="5"/>
  <c r="L191" i="7" s="1"/>
  <c r="K191" i="5"/>
  <c r="K191" i="7" s="1"/>
  <c r="J191" i="5"/>
  <c r="J191" i="7" s="1"/>
  <c r="I191" i="5"/>
  <c r="I191" i="7" s="1"/>
  <c r="H191" i="5"/>
  <c r="H191" i="7" s="1"/>
  <c r="G191" i="5"/>
  <c r="G191" i="7" s="1"/>
  <c r="F191" i="5"/>
  <c r="F191" i="7" s="1"/>
  <c r="E191" i="5"/>
  <c r="E191" i="7" s="1"/>
  <c r="D191" i="5"/>
  <c r="D191" i="7" s="1"/>
  <c r="C191" i="5"/>
  <c r="C191" i="7" s="1"/>
  <c r="B191" i="5"/>
  <c r="B191" i="7" s="1"/>
  <c r="L190" i="5"/>
  <c r="L190" i="7" s="1"/>
  <c r="K190" i="5"/>
  <c r="K190" i="7" s="1"/>
  <c r="J190" i="5"/>
  <c r="J190" i="7" s="1"/>
  <c r="I190" i="5"/>
  <c r="I190" i="7" s="1"/>
  <c r="H190" i="5"/>
  <c r="H190" i="7" s="1"/>
  <c r="G190" i="5"/>
  <c r="G190" i="7" s="1"/>
  <c r="F190" i="5"/>
  <c r="F190" i="7" s="1"/>
  <c r="E190" i="5"/>
  <c r="E190" i="7" s="1"/>
  <c r="D190" i="5"/>
  <c r="D190" i="7" s="1"/>
  <c r="C190" i="5"/>
  <c r="C190" i="7" s="1"/>
  <c r="B190" i="5"/>
  <c r="B190" i="7" s="1"/>
  <c r="L189" i="5"/>
  <c r="L189" i="7" s="1"/>
  <c r="J189" i="5"/>
  <c r="J189" i="7" s="1"/>
  <c r="I189" i="5"/>
  <c r="I189" i="7" s="1"/>
  <c r="H189" i="5"/>
  <c r="H189" i="7" s="1"/>
  <c r="G189" i="5"/>
  <c r="G189" i="7" s="1"/>
  <c r="F189" i="5"/>
  <c r="F189" i="7" s="1"/>
  <c r="E189" i="5"/>
  <c r="D189" i="5"/>
  <c r="D189" i="7" s="1"/>
  <c r="C189" i="5"/>
  <c r="C189" i="7" s="1"/>
  <c r="B189" i="5"/>
  <c r="B189" i="7" s="1"/>
  <c r="L188" i="5"/>
  <c r="L188" i="7" s="1"/>
  <c r="J188" i="5"/>
  <c r="J188" i="7" s="1"/>
  <c r="I188" i="5"/>
  <c r="I188" i="7" s="1"/>
  <c r="H188" i="5"/>
  <c r="H188" i="7" s="1"/>
  <c r="G188" i="5"/>
  <c r="G188" i="7" s="1"/>
  <c r="F188" i="5"/>
  <c r="F188" i="7" s="1"/>
  <c r="E188" i="5"/>
  <c r="E188" i="7" s="1"/>
  <c r="D188" i="5"/>
  <c r="D188" i="7" s="1"/>
  <c r="C188" i="5"/>
  <c r="C188" i="7" s="1"/>
  <c r="B188" i="5"/>
  <c r="B188" i="7" s="1"/>
  <c r="L187" i="5"/>
  <c r="L187" i="7" s="1"/>
  <c r="K187" i="5"/>
  <c r="K187" i="7" s="1"/>
  <c r="J187" i="5"/>
  <c r="J187" i="7" s="1"/>
  <c r="I187" i="5"/>
  <c r="I187" i="7" s="1"/>
  <c r="H187" i="5"/>
  <c r="H187" i="7" s="1"/>
  <c r="G187" i="5"/>
  <c r="G187" i="7" s="1"/>
  <c r="F187" i="5"/>
  <c r="F187" i="7" s="1"/>
  <c r="E187" i="5"/>
  <c r="E187" i="7" s="1"/>
  <c r="D187" i="5"/>
  <c r="D187" i="7" s="1"/>
  <c r="C187" i="5"/>
  <c r="C187" i="7" s="1"/>
  <c r="B187" i="5"/>
  <c r="B187" i="7" s="1"/>
  <c r="L186" i="5"/>
  <c r="L186" i="7" s="1"/>
  <c r="J186" i="5"/>
  <c r="J186" i="7" s="1"/>
  <c r="I186" i="5"/>
  <c r="I186" i="7" s="1"/>
  <c r="H186" i="5"/>
  <c r="H186" i="7" s="1"/>
  <c r="G186" i="5"/>
  <c r="G186" i="7" s="1"/>
  <c r="F186" i="5"/>
  <c r="F186" i="7" s="1"/>
  <c r="E186" i="5"/>
  <c r="D186" i="5"/>
  <c r="D186" i="7" s="1"/>
  <c r="C186" i="5"/>
  <c r="C186" i="7" s="1"/>
  <c r="B186" i="5"/>
  <c r="B186" i="7" s="1"/>
  <c r="L185" i="5"/>
  <c r="L185" i="7" s="1"/>
  <c r="K185" i="5"/>
  <c r="K185" i="7" s="1"/>
  <c r="J185" i="5"/>
  <c r="J185" i="7" s="1"/>
  <c r="I185" i="5"/>
  <c r="I185" i="7" s="1"/>
  <c r="H185" i="5"/>
  <c r="H185" i="7" s="1"/>
  <c r="G185" i="5"/>
  <c r="G185" i="7" s="1"/>
  <c r="F185" i="5"/>
  <c r="F185" i="7" s="1"/>
  <c r="E185" i="5"/>
  <c r="E185" i="7" s="1"/>
  <c r="D185" i="5"/>
  <c r="D185" i="7" s="1"/>
  <c r="C185" i="5"/>
  <c r="C185" i="7" s="1"/>
  <c r="B185" i="5"/>
  <c r="B185" i="7" s="1"/>
  <c r="L184" i="5"/>
  <c r="L184" i="7" s="1"/>
  <c r="J184" i="5"/>
  <c r="J184" i="7" s="1"/>
  <c r="I184" i="5"/>
  <c r="I184" i="7" s="1"/>
  <c r="H184" i="5"/>
  <c r="H184" i="7" s="1"/>
  <c r="G184" i="5"/>
  <c r="G184" i="7" s="1"/>
  <c r="F184" i="5"/>
  <c r="F184" i="7" s="1"/>
  <c r="E184" i="5"/>
  <c r="E184" i="7" s="1"/>
  <c r="D184" i="5"/>
  <c r="D184" i="7" s="1"/>
  <c r="C184" i="5"/>
  <c r="C184" i="7" s="1"/>
  <c r="B184" i="5"/>
  <c r="B184" i="7" s="1"/>
  <c r="L183" i="5"/>
  <c r="L183" i="7" s="1"/>
  <c r="K183" i="5"/>
  <c r="K183" i="7" s="1"/>
  <c r="J183" i="5"/>
  <c r="J183" i="7" s="1"/>
  <c r="I183" i="5"/>
  <c r="I183" i="7" s="1"/>
  <c r="H183" i="5"/>
  <c r="H183" i="7" s="1"/>
  <c r="G183" i="5"/>
  <c r="G183" i="7" s="1"/>
  <c r="F183" i="5"/>
  <c r="F183" i="7" s="1"/>
  <c r="E183" i="5"/>
  <c r="E183" i="7" s="1"/>
  <c r="D183" i="5"/>
  <c r="D183" i="7" s="1"/>
  <c r="C183" i="5"/>
  <c r="C183" i="7" s="1"/>
  <c r="B183" i="5"/>
  <c r="B183" i="7" s="1"/>
  <c r="L182" i="5"/>
  <c r="L182" i="7" s="1"/>
  <c r="K182" i="5"/>
  <c r="K182" i="7" s="1"/>
  <c r="J182" i="5"/>
  <c r="J182" i="7" s="1"/>
  <c r="I182" i="5"/>
  <c r="I182" i="7" s="1"/>
  <c r="H182" i="5"/>
  <c r="H182" i="7" s="1"/>
  <c r="G182" i="5"/>
  <c r="G182" i="7" s="1"/>
  <c r="F182" i="5"/>
  <c r="F182" i="7" s="1"/>
  <c r="E182" i="5"/>
  <c r="E182" i="7" s="1"/>
  <c r="D182" i="5"/>
  <c r="D182" i="7" s="1"/>
  <c r="C182" i="5"/>
  <c r="C182" i="7" s="1"/>
  <c r="B182" i="5"/>
  <c r="B182" i="7" s="1"/>
  <c r="L181" i="5"/>
  <c r="L181" i="7" s="1"/>
  <c r="K181" i="5"/>
  <c r="K181" i="7" s="1"/>
  <c r="J181" i="5"/>
  <c r="J181" i="7" s="1"/>
  <c r="I181" i="5"/>
  <c r="I181" i="7" s="1"/>
  <c r="H181" i="5"/>
  <c r="H181" i="7" s="1"/>
  <c r="G181" i="5"/>
  <c r="G181" i="7" s="1"/>
  <c r="F181" i="5"/>
  <c r="F181" i="7" s="1"/>
  <c r="E181" i="5"/>
  <c r="E181" i="7" s="1"/>
  <c r="D181" i="5"/>
  <c r="D181" i="7" s="1"/>
  <c r="C181" i="5"/>
  <c r="C181" i="7" s="1"/>
  <c r="B181" i="5"/>
  <c r="B181" i="7" s="1"/>
  <c r="L180" i="5"/>
  <c r="L180" i="7" s="1"/>
  <c r="J180" i="5"/>
  <c r="J180" i="7" s="1"/>
  <c r="I180" i="5"/>
  <c r="I180" i="7" s="1"/>
  <c r="H180" i="5"/>
  <c r="H180" i="7" s="1"/>
  <c r="G180" i="5"/>
  <c r="G180" i="7" s="1"/>
  <c r="F180" i="5"/>
  <c r="F180" i="7" s="1"/>
  <c r="E180" i="5"/>
  <c r="D180" i="5"/>
  <c r="D180" i="7" s="1"/>
  <c r="C180" i="5"/>
  <c r="C180" i="7" s="1"/>
  <c r="B180" i="5"/>
  <c r="B180" i="7" s="1"/>
  <c r="L179" i="5"/>
  <c r="L179" i="7" s="1"/>
  <c r="J179" i="5"/>
  <c r="J179" i="7" s="1"/>
  <c r="I179" i="5"/>
  <c r="I179" i="7" s="1"/>
  <c r="H179" i="5"/>
  <c r="H179" i="7" s="1"/>
  <c r="G179" i="5"/>
  <c r="G179" i="7" s="1"/>
  <c r="F179" i="5"/>
  <c r="F179" i="7" s="1"/>
  <c r="E179" i="5"/>
  <c r="D179" i="5"/>
  <c r="D179" i="7" s="1"/>
  <c r="C179" i="5"/>
  <c r="C179" i="7" s="1"/>
  <c r="B179" i="5"/>
  <c r="B179" i="7" s="1"/>
  <c r="L178" i="5"/>
  <c r="L178" i="7" s="1"/>
  <c r="K178" i="5"/>
  <c r="K178" i="7" s="1"/>
  <c r="J178" i="5"/>
  <c r="J178" i="7" s="1"/>
  <c r="I178" i="5"/>
  <c r="I178" i="7" s="1"/>
  <c r="H178" i="5"/>
  <c r="H178" i="7" s="1"/>
  <c r="G178" i="5"/>
  <c r="G178" i="7" s="1"/>
  <c r="F178" i="5"/>
  <c r="F178" i="7" s="1"/>
  <c r="E178" i="5"/>
  <c r="E178" i="7" s="1"/>
  <c r="D178" i="5"/>
  <c r="D178" i="7" s="1"/>
  <c r="C178" i="5"/>
  <c r="C178" i="7" s="1"/>
  <c r="B178" i="5"/>
  <c r="B178" i="7" s="1"/>
  <c r="L177" i="5"/>
  <c r="L177" i="7" s="1"/>
  <c r="K177" i="5"/>
  <c r="K177" i="7" s="1"/>
  <c r="J177" i="5"/>
  <c r="J177" i="7" s="1"/>
  <c r="I177" i="5"/>
  <c r="I177" i="7" s="1"/>
  <c r="H177" i="5"/>
  <c r="H177" i="7" s="1"/>
  <c r="G177" i="5"/>
  <c r="G177" i="7" s="1"/>
  <c r="F177" i="5"/>
  <c r="F177" i="7" s="1"/>
  <c r="E177" i="5"/>
  <c r="E177" i="7" s="1"/>
  <c r="D177" i="5"/>
  <c r="D177" i="7" s="1"/>
  <c r="C177" i="5"/>
  <c r="C177" i="7" s="1"/>
  <c r="B177" i="5"/>
  <c r="B177" i="7" s="1"/>
  <c r="L176" i="5"/>
  <c r="L176" i="7" s="1"/>
  <c r="J176" i="5"/>
  <c r="J176" i="7" s="1"/>
  <c r="I176" i="5"/>
  <c r="I176" i="7" s="1"/>
  <c r="H176" i="5"/>
  <c r="H176" i="7" s="1"/>
  <c r="G176" i="5"/>
  <c r="G176" i="7" s="1"/>
  <c r="F176" i="5"/>
  <c r="F176" i="7" s="1"/>
  <c r="E176" i="5"/>
  <c r="E176" i="7" s="1"/>
  <c r="D176" i="5"/>
  <c r="D176" i="7" s="1"/>
  <c r="C176" i="5"/>
  <c r="C176" i="7" s="1"/>
  <c r="B176" i="5"/>
  <c r="B176" i="7" s="1"/>
  <c r="L175" i="5"/>
  <c r="L175" i="7" s="1"/>
  <c r="J175" i="5"/>
  <c r="J175" i="7" s="1"/>
  <c r="I175" i="5"/>
  <c r="I175" i="7" s="1"/>
  <c r="H175" i="5"/>
  <c r="H175" i="7" s="1"/>
  <c r="G175" i="5"/>
  <c r="G175" i="7" s="1"/>
  <c r="F175" i="5"/>
  <c r="F175" i="7" s="1"/>
  <c r="E175" i="5"/>
  <c r="D175" i="5"/>
  <c r="D175" i="7" s="1"/>
  <c r="C175" i="5"/>
  <c r="C175" i="7" s="1"/>
  <c r="B175" i="5"/>
  <c r="B175" i="7" s="1"/>
  <c r="L174" i="5"/>
  <c r="L174" i="7" s="1"/>
  <c r="K174" i="5"/>
  <c r="K174" i="7" s="1"/>
  <c r="J174" i="5"/>
  <c r="J174" i="7" s="1"/>
  <c r="I174" i="5"/>
  <c r="I174" i="7" s="1"/>
  <c r="H174" i="5"/>
  <c r="H174" i="7" s="1"/>
  <c r="G174" i="5"/>
  <c r="G174" i="7" s="1"/>
  <c r="F174" i="5"/>
  <c r="F174" i="7" s="1"/>
  <c r="E174" i="5"/>
  <c r="E174" i="7" s="1"/>
  <c r="D174" i="5"/>
  <c r="D174" i="7" s="1"/>
  <c r="C174" i="5"/>
  <c r="C174" i="7" s="1"/>
  <c r="B174" i="5"/>
  <c r="B174" i="7" s="1"/>
  <c r="L173" i="5"/>
  <c r="L173" i="7" s="1"/>
  <c r="K173" i="5"/>
  <c r="K173" i="7" s="1"/>
  <c r="J173" i="5"/>
  <c r="J173" i="7" s="1"/>
  <c r="I173" i="5"/>
  <c r="I173" i="7" s="1"/>
  <c r="H173" i="5"/>
  <c r="H173" i="7" s="1"/>
  <c r="G173" i="5"/>
  <c r="G173" i="7" s="1"/>
  <c r="F173" i="5"/>
  <c r="F173" i="7" s="1"/>
  <c r="E173" i="5"/>
  <c r="E173" i="7" s="1"/>
  <c r="D173" i="5"/>
  <c r="D173" i="7" s="1"/>
  <c r="C173" i="5"/>
  <c r="C173" i="7" s="1"/>
  <c r="B173" i="5"/>
  <c r="B173" i="7" s="1"/>
  <c r="L172" i="5"/>
  <c r="L172" i="7" s="1"/>
  <c r="J172" i="5"/>
  <c r="J172" i="7" s="1"/>
  <c r="I172" i="5"/>
  <c r="I172" i="7" s="1"/>
  <c r="H172" i="5"/>
  <c r="H172" i="7" s="1"/>
  <c r="G172" i="5"/>
  <c r="G172" i="7" s="1"/>
  <c r="F172" i="5"/>
  <c r="F172" i="7" s="1"/>
  <c r="E172" i="5"/>
  <c r="D172" i="5"/>
  <c r="D172" i="7" s="1"/>
  <c r="C172" i="5"/>
  <c r="C172" i="7" s="1"/>
  <c r="B172" i="5"/>
  <c r="B172" i="7" s="1"/>
  <c r="L171" i="5"/>
  <c r="L171" i="7" s="1"/>
  <c r="K171" i="5"/>
  <c r="K171" i="7" s="1"/>
  <c r="J171" i="5"/>
  <c r="J171" i="7" s="1"/>
  <c r="I171" i="5"/>
  <c r="I171" i="7" s="1"/>
  <c r="H171" i="5"/>
  <c r="H171" i="7" s="1"/>
  <c r="G171" i="5"/>
  <c r="G171" i="7" s="1"/>
  <c r="F171" i="5"/>
  <c r="F171" i="7" s="1"/>
  <c r="E171" i="5"/>
  <c r="E171" i="7" s="1"/>
  <c r="D171" i="5"/>
  <c r="D171" i="7" s="1"/>
  <c r="C171" i="5"/>
  <c r="C171" i="7" s="1"/>
  <c r="B171" i="5"/>
  <c r="B171" i="7" s="1"/>
  <c r="L170" i="5"/>
  <c r="L170" i="7" s="1"/>
  <c r="J170" i="5"/>
  <c r="J170" i="7" s="1"/>
  <c r="I170" i="5"/>
  <c r="I170" i="7" s="1"/>
  <c r="H170" i="5"/>
  <c r="H170" i="7" s="1"/>
  <c r="G170" i="5"/>
  <c r="G170" i="7" s="1"/>
  <c r="F170" i="5"/>
  <c r="F170" i="7" s="1"/>
  <c r="E170" i="5"/>
  <c r="D170" i="5"/>
  <c r="D170" i="7" s="1"/>
  <c r="C170" i="5"/>
  <c r="C170" i="7" s="1"/>
  <c r="B170" i="5"/>
  <c r="B170" i="7" s="1"/>
  <c r="L169" i="5"/>
  <c r="L169" i="7" s="1"/>
  <c r="K169" i="5"/>
  <c r="K169" i="7" s="1"/>
  <c r="J169" i="5"/>
  <c r="J169" i="7" s="1"/>
  <c r="I169" i="5"/>
  <c r="I169" i="7" s="1"/>
  <c r="H169" i="5"/>
  <c r="H169" i="7" s="1"/>
  <c r="G169" i="5"/>
  <c r="G169" i="7" s="1"/>
  <c r="F169" i="5"/>
  <c r="F169" i="7" s="1"/>
  <c r="E169" i="5"/>
  <c r="E169" i="7" s="1"/>
  <c r="D169" i="5"/>
  <c r="D169" i="7" s="1"/>
  <c r="C169" i="5"/>
  <c r="C169" i="7" s="1"/>
  <c r="B169" i="5"/>
  <c r="B169" i="7" s="1"/>
  <c r="L168" i="5"/>
  <c r="L168" i="7" s="1"/>
  <c r="K168" i="5"/>
  <c r="K168" i="7" s="1"/>
  <c r="J168" i="5"/>
  <c r="J168" i="7" s="1"/>
  <c r="I168" i="5"/>
  <c r="I168" i="7" s="1"/>
  <c r="H168" i="5"/>
  <c r="H168" i="7" s="1"/>
  <c r="G168" i="5"/>
  <c r="G168" i="7" s="1"/>
  <c r="F168" i="5"/>
  <c r="F168" i="7" s="1"/>
  <c r="E168" i="5"/>
  <c r="E168" i="7" s="1"/>
  <c r="D168" i="5"/>
  <c r="D168" i="7" s="1"/>
  <c r="C168" i="5"/>
  <c r="C168" i="7" s="1"/>
  <c r="B168" i="5"/>
  <c r="B168" i="7" s="1"/>
  <c r="L167" i="5"/>
  <c r="L167" i="7" s="1"/>
  <c r="J167" i="5"/>
  <c r="J167" i="7" s="1"/>
  <c r="I167" i="5"/>
  <c r="I167" i="7" s="1"/>
  <c r="H167" i="5"/>
  <c r="H167" i="7" s="1"/>
  <c r="G167" i="5"/>
  <c r="G167" i="7" s="1"/>
  <c r="F167" i="5"/>
  <c r="F167" i="7" s="1"/>
  <c r="E167" i="5"/>
  <c r="E167" i="7" s="1"/>
  <c r="D167" i="5"/>
  <c r="D167" i="7" s="1"/>
  <c r="C167" i="5"/>
  <c r="C167" i="7" s="1"/>
  <c r="B167" i="5"/>
  <c r="B167" i="7" s="1"/>
  <c r="L166" i="5"/>
  <c r="L166" i="7" s="1"/>
  <c r="J166" i="5"/>
  <c r="J166" i="7" s="1"/>
  <c r="I166" i="5"/>
  <c r="I166" i="7" s="1"/>
  <c r="H166" i="5"/>
  <c r="H166" i="7" s="1"/>
  <c r="G166" i="5"/>
  <c r="G166" i="7" s="1"/>
  <c r="F166" i="5"/>
  <c r="F166" i="7" s="1"/>
  <c r="E166" i="5"/>
  <c r="D166" i="5"/>
  <c r="D166" i="7" s="1"/>
  <c r="C166" i="5"/>
  <c r="C166" i="7" s="1"/>
  <c r="B166" i="5"/>
  <c r="B166" i="7" s="1"/>
  <c r="L165" i="5"/>
  <c r="L165" i="7" s="1"/>
  <c r="J165" i="5"/>
  <c r="J165" i="7" s="1"/>
  <c r="I165" i="5"/>
  <c r="I165" i="7" s="1"/>
  <c r="H165" i="5"/>
  <c r="H165" i="7" s="1"/>
  <c r="G165" i="5"/>
  <c r="G165" i="7" s="1"/>
  <c r="F165" i="5"/>
  <c r="F165" i="7" s="1"/>
  <c r="E165" i="5"/>
  <c r="D165" i="5"/>
  <c r="D165" i="7" s="1"/>
  <c r="C165" i="5"/>
  <c r="C165" i="7" s="1"/>
  <c r="B165" i="5"/>
  <c r="B165" i="7" s="1"/>
  <c r="L164" i="5"/>
  <c r="L164" i="7" s="1"/>
  <c r="K164" i="5"/>
  <c r="K164" i="7" s="1"/>
  <c r="J164" i="5"/>
  <c r="J164" i="7" s="1"/>
  <c r="I164" i="5"/>
  <c r="I164" i="7" s="1"/>
  <c r="H164" i="5"/>
  <c r="H164" i="7" s="1"/>
  <c r="G164" i="5"/>
  <c r="G164" i="7" s="1"/>
  <c r="F164" i="5"/>
  <c r="F164" i="7" s="1"/>
  <c r="E164" i="5"/>
  <c r="E164" i="7" s="1"/>
  <c r="D164" i="5"/>
  <c r="D164" i="7" s="1"/>
  <c r="C164" i="5"/>
  <c r="C164" i="7" s="1"/>
  <c r="B164" i="5"/>
  <c r="B164" i="7" s="1"/>
  <c r="L163" i="5"/>
  <c r="L163" i="7" s="1"/>
  <c r="K163" i="5"/>
  <c r="K163" i="7" s="1"/>
  <c r="J163" i="5"/>
  <c r="J163" i="7" s="1"/>
  <c r="I163" i="5"/>
  <c r="I163" i="7" s="1"/>
  <c r="H163" i="5"/>
  <c r="H163" i="7" s="1"/>
  <c r="G163" i="5"/>
  <c r="G163" i="7" s="1"/>
  <c r="F163" i="5"/>
  <c r="F163" i="7" s="1"/>
  <c r="E163" i="5"/>
  <c r="E163" i="7" s="1"/>
  <c r="D163" i="5"/>
  <c r="D163" i="7" s="1"/>
  <c r="C163" i="5"/>
  <c r="C163" i="7" s="1"/>
  <c r="B163" i="5"/>
  <c r="B163" i="7" s="1"/>
  <c r="L162" i="5"/>
  <c r="L162" i="7" s="1"/>
  <c r="K162" i="5"/>
  <c r="K162" i="7" s="1"/>
  <c r="J162" i="5"/>
  <c r="J162" i="7" s="1"/>
  <c r="I162" i="5"/>
  <c r="I162" i="7" s="1"/>
  <c r="H162" i="5"/>
  <c r="H162" i="7" s="1"/>
  <c r="G162" i="5"/>
  <c r="G162" i="7" s="1"/>
  <c r="F162" i="5"/>
  <c r="F162" i="7" s="1"/>
  <c r="E162" i="5"/>
  <c r="E162" i="7" s="1"/>
  <c r="D162" i="5"/>
  <c r="D162" i="7" s="1"/>
  <c r="C162" i="5"/>
  <c r="C162" i="7" s="1"/>
  <c r="B162" i="5"/>
  <c r="B162" i="7" s="1"/>
  <c r="L161" i="5"/>
  <c r="L161" i="7" s="1"/>
  <c r="J161" i="5"/>
  <c r="J161" i="7" s="1"/>
  <c r="I161" i="5"/>
  <c r="I161" i="7" s="1"/>
  <c r="H161" i="5"/>
  <c r="H161" i="7" s="1"/>
  <c r="G161" i="5"/>
  <c r="G161" i="7" s="1"/>
  <c r="F161" i="5"/>
  <c r="F161" i="7" s="1"/>
  <c r="E161" i="5"/>
  <c r="D161" i="5"/>
  <c r="D161" i="7" s="1"/>
  <c r="C161" i="5"/>
  <c r="C161" i="7" s="1"/>
  <c r="B161" i="5"/>
  <c r="B161" i="7" s="1"/>
  <c r="L160" i="5"/>
  <c r="L160" i="7" s="1"/>
  <c r="J160" i="5"/>
  <c r="J160" i="7" s="1"/>
  <c r="I160" i="5"/>
  <c r="I160" i="7" s="1"/>
  <c r="H160" i="5"/>
  <c r="H160" i="7" s="1"/>
  <c r="G160" i="5"/>
  <c r="G160" i="7" s="1"/>
  <c r="F160" i="5"/>
  <c r="F160" i="7" s="1"/>
  <c r="E160" i="5"/>
  <c r="E160" i="7" s="1"/>
  <c r="D160" i="5"/>
  <c r="D160" i="7" s="1"/>
  <c r="C160" i="5"/>
  <c r="C160" i="7" s="1"/>
  <c r="B160" i="5"/>
  <c r="B160" i="7" s="1"/>
  <c r="L159" i="5"/>
  <c r="L159" i="7" s="1"/>
  <c r="K159" i="5"/>
  <c r="K159" i="7" s="1"/>
  <c r="J159" i="5"/>
  <c r="J159" i="7" s="1"/>
  <c r="I159" i="5"/>
  <c r="I159" i="7" s="1"/>
  <c r="H159" i="5"/>
  <c r="H159" i="7" s="1"/>
  <c r="G159" i="5"/>
  <c r="G159" i="7" s="1"/>
  <c r="F159" i="5"/>
  <c r="F159" i="7" s="1"/>
  <c r="E159" i="5"/>
  <c r="E159" i="7" s="1"/>
  <c r="D159" i="5"/>
  <c r="D159" i="7" s="1"/>
  <c r="C159" i="5"/>
  <c r="C159" i="7" s="1"/>
  <c r="B159" i="5"/>
  <c r="B159" i="7" s="1"/>
  <c r="L158" i="5"/>
  <c r="L158" i="7" s="1"/>
  <c r="J158" i="5"/>
  <c r="J158" i="7" s="1"/>
  <c r="I158" i="5"/>
  <c r="I158" i="7" s="1"/>
  <c r="H158" i="5"/>
  <c r="H158" i="7" s="1"/>
  <c r="G158" i="5"/>
  <c r="G158" i="7" s="1"/>
  <c r="F158" i="5"/>
  <c r="F158" i="7" s="1"/>
  <c r="E158" i="5"/>
  <c r="E158" i="7" s="1"/>
  <c r="D158" i="5"/>
  <c r="D158" i="7" s="1"/>
  <c r="C158" i="5"/>
  <c r="C158" i="7" s="1"/>
  <c r="B158" i="5"/>
  <c r="B158" i="7" s="1"/>
  <c r="L157" i="5"/>
  <c r="L157" i="7" s="1"/>
  <c r="K157" i="5"/>
  <c r="K157" i="7" s="1"/>
  <c r="J157" i="5"/>
  <c r="J157" i="7" s="1"/>
  <c r="I157" i="5"/>
  <c r="I157" i="7" s="1"/>
  <c r="H157" i="5"/>
  <c r="H157" i="7" s="1"/>
  <c r="G157" i="5"/>
  <c r="G157" i="7" s="1"/>
  <c r="F157" i="5"/>
  <c r="F157" i="7" s="1"/>
  <c r="E157" i="5"/>
  <c r="E157" i="7" s="1"/>
  <c r="D157" i="5"/>
  <c r="D157" i="7" s="1"/>
  <c r="C157" i="5"/>
  <c r="C157" i="7" s="1"/>
  <c r="B157" i="5"/>
  <c r="B157" i="7" s="1"/>
  <c r="L156" i="5"/>
  <c r="L156" i="7" s="1"/>
  <c r="J156" i="5"/>
  <c r="J156" i="7" s="1"/>
  <c r="I156" i="5"/>
  <c r="I156" i="7" s="1"/>
  <c r="H156" i="5"/>
  <c r="H156" i="7" s="1"/>
  <c r="G156" i="5"/>
  <c r="G156" i="7" s="1"/>
  <c r="F156" i="5"/>
  <c r="F156" i="7" s="1"/>
  <c r="E156" i="5"/>
  <c r="D156" i="5"/>
  <c r="D156" i="7" s="1"/>
  <c r="C156" i="5"/>
  <c r="C156" i="7" s="1"/>
  <c r="B156" i="5"/>
  <c r="B156" i="7" s="1"/>
  <c r="L155" i="5"/>
  <c r="L155" i="7" s="1"/>
  <c r="J155" i="5"/>
  <c r="J155" i="7" s="1"/>
  <c r="I155" i="5"/>
  <c r="I155" i="7" s="1"/>
  <c r="H155" i="5"/>
  <c r="H155" i="7" s="1"/>
  <c r="G155" i="5"/>
  <c r="G155" i="7" s="1"/>
  <c r="F155" i="5"/>
  <c r="F155" i="7" s="1"/>
  <c r="E155" i="5"/>
  <c r="E155" i="7" s="1"/>
  <c r="D155" i="5"/>
  <c r="D155" i="7" s="1"/>
  <c r="C155" i="5"/>
  <c r="C155" i="7" s="1"/>
  <c r="B155" i="5"/>
  <c r="B155" i="7" s="1"/>
  <c r="L154" i="5"/>
  <c r="L154" i="7" s="1"/>
  <c r="K154" i="5"/>
  <c r="K154" i="7" s="1"/>
  <c r="J154" i="5"/>
  <c r="J154" i="7" s="1"/>
  <c r="I154" i="5"/>
  <c r="I154" i="7" s="1"/>
  <c r="H154" i="5"/>
  <c r="H154" i="7" s="1"/>
  <c r="G154" i="5"/>
  <c r="G154" i="7" s="1"/>
  <c r="F154" i="5"/>
  <c r="F154" i="7" s="1"/>
  <c r="E154" i="5"/>
  <c r="E154" i="7" s="1"/>
  <c r="D154" i="5"/>
  <c r="D154" i="7" s="1"/>
  <c r="C154" i="5"/>
  <c r="C154" i="7" s="1"/>
  <c r="B154" i="5"/>
  <c r="B154" i="7" s="1"/>
  <c r="L153" i="5"/>
  <c r="L153" i="7" s="1"/>
  <c r="K153" i="5"/>
  <c r="K153" i="7" s="1"/>
  <c r="J153" i="5"/>
  <c r="J153" i="7" s="1"/>
  <c r="I153" i="5"/>
  <c r="I153" i="7" s="1"/>
  <c r="H153" i="5"/>
  <c r="H153" i="7" s="1"/>
  <c r="G153" i="5"/>
  <c r="G153" i="7" s="1"/>
  <c r="F153" i="5"/>
  <c r="F153" i="7" s="1"/>
  <c r="E153" i="5"/>
  <c r="E153" i="7" s="1"/>
  <c r="D153" i="5"/>
  <c r="D153" i="7" s="1"/>
  <c r="C153" i="5"/>
  <c r="C153" i="7" s="1"/>
  <c r="B153" i="5"/>
  <c r="B153" i="7" s="1"/>
  <c r="L152" i="5"/>
  <c r="L152" i="7" s="1"/>
  <c r="J152" i="5"/>
  <c r="J152" i="7" s="1"/>
  <c r="I152" i="5"/>
  <c r="I152" i="7" s="1"/>
  <c r="H152" i="5"/>
  <c r="H152" i="7" s="1"/>
  <c r="G152" i="5"/>
  <c r="G152" i="7" s="1"/>
  <c r="F152" i="5"/>
  <c r="F152" i="7" s="1"/>
  <c r="E152" i="5"/>
  <c r="D152" i="5"/>
  <c r="D152" i="7" s="1"/>
  <c r="C152" i="5"/>
  <c r="C152" i="7" s="1"/>
  <c r="B152" i="5"/>
  <c r="B152" i="7" s="1"/>
  <c r="L151" i="5"/>
  <c r="L151" i="7" s="1"/>
  <c r="J151" i="5"/>
  <c r="J151" i="7" s="1"/>
  <c r="I151" i="5"/>
  <c r="I151" i="7" s="1"/>
  <c r="H151" i="5"/>
  <c r="H151" i="7" s="1"/>
  <c r="G151" i="5"/>
  <c r="G151" i="7" s="1"/>
  <c r="F151" i="5"/>
  <c r="F151" i="7" s="1"/>
  <c r="E151" i="5"/>
  <c r="E151" i="7" s="1"/>
  <c r="D151" i="5"/>
  <c r="D151" i="7" s="1"/>
  <c r="C151" i="5"/>
  <c r="C151" i="7" s="1"/>
  <c r="B151" i="5"/>
  <c r="B151" i="7" s="1"/>
  <c r="L150" i="5"/>
  <c r="L150" i="7" s="1"/>
  <c r="K150" i="5"/>
  <c r="K150" i="7" s="1"/>
  <c r="J150" i="5"/>
  <c r="J150" i="7" s="1"/>
  <c r="I150" i="5"/>
  <c r="I150" i="7" s="1"/>
  <c r="H150" i="5"/>
  <c r="H150" i="7" s="1"/>
  <c r="G150" i="5"/>
  <c r="G150" i="7" s="1"/>
  <c r="F150" i="5"/>
  <c r="F150" i="7" s="1"/>
  <c r="E150" i="5"/>
  <c r="E150" i="7" s="1"/>
  <c r="D150" i="5"/>
  <c r="D150" i="7" s="1"/>
  <c r="C150" i="5"/>
  <c r="C150" i="7" s="1"/>
  <c r="B150" i="5"/>
  <c r="B150" i="7" s="1"/>
  <c r="L149" i="5"/>
  <c r="L149" i="7" s="1"/>
  <c r="K149" i="5"/>
  <c r="K149" i="7" s="1"/>
  <c r="J149" i="5"/>
  <c r="J149" i="7" s="1"/>
  <c r="I149" i="5"/>
  <c r="I149" i="7" s="1"/>
  <c r="H149" i="5"/>
  <c r="H149" i="7" s="1"/>
  <c r="G149" i="5"/>
  <c r="G149" i="7" s="1"/>
  <c r="F149" i="5"/>
  <c r="F149" i="7" s="1"/>
  <c r="E149" i="5"/>
  <c r="E149" i="7" s="1"/>
  <c r="D149" i="5"/>
  <c r="D149" i="7" s="1"/>
  <c r="C149" i="5"/>
  <c r="C149" i="7" s="1"/>
  <c r="B149" i="5"/>
  <c r="B149" i="7" s="1"/>
  <c r="L148" i="5"/>
  <c r="L148" i="7" s="1"/>
  <c r="K148" i="5"/>
  <c r="K148" i="7" s="1"/>
  <c r="J148" i="5"/>
  <c r="J148" i="7" s="1"/>
  <c r="I148" i="5"/>
  <c r="I148" i="7" s="1"/>
  <c r="H148" i="5"/>
  <c r="H148" i="7" s="1"/>
  <c r="G148" i="5"/>
  <c r="G148" i="7" s="1"/>
  <c r="F148" i="5"/>
  <c r="F148" i="7" s="1"/>
  <c r="E148" i="5"/>
  <c r="E148" i="7" s="1"/>
  <c r="D148" i="5"/>
  <c r="D148" i="7" s="1"/>
  <c r="C148" i="5"/>
  <c r="C148" i="7" s="1"/>
  <c r="B148" i="5"/>
  <c r="B148" i="7" s="1"/>
  <c r="L147" i="5"/>
  <c r="L147" i="7" s="1"/>
  <c r="J147" i="5"/>
  <c r="J147" i="7" s="1"/>
  <c r="I147" i="5"/>
  <c r="I147" i="7" s="1"/>
  <c r="H147" i="5"/>
  <c r="H147" i="7" s="1"/>
  <c r="G147" i="5"/>
  <c r="G147" i="7" s="1"/>
  <c r="F147" i="5"/>
  <c r="F147" i="7" s="1"/>
  <c r="E147" i="5"/>
  <c r="D147" i="5"/>
  <c r="D147" i="7" s="1"/>
  <c r="C147" i="5"/>
  <c r="C147" i="7" s="1"/>
  <c r="B147" i="5"/>
  <c r="B147" i="7" s="1"/>
  <c r="L146" i="5"/>
  <c r="L146" i="7" s="1"/>
  <c r="J146" i="5"/>
  <c r="J146" i="7" s="1"/>
  <c r="I146" i="5"/>
  <c r="I146" i="7" s="1"/>
  <c r="H146" i="5"/>
  <c r="H146" i="7" s="1"/>
  <c r="G146" i="5"/>
  <c r="G146" i="7" s="1"/>
  <c r="F146" i="5"/>
  <c r="F146" i="7" s="1"/>
  <c r="E146" i="5"/>
  <c r="E146" i="7" s="1"/>
  <c r="D146" i="5"/>
  <c r="D146" i="7" s="1"/>
  <c r="C146" i="5"/>
  <c r="C146" i="7" s="1"/>
  <c r="B146" i="5"/>
  <c r="B146" i="7" s="1"/>
  <c r="L145" i="5"/>
  <c r="L145" i="7" s="1"/>
  <c r="K145" i="5"/>
  <c r="K145" i="7" s="1"/>
  <c r="J145" i="5"/>
  <c r="J145" i="7" s="1"/>
  <c r="I145" i="5"/>
  <c r="I145" i="7" s="1"/>
  <c r="H145" i="5"/>
  <c r="H145" i="7" s="1"/>
  <c r="G145" i="5"/>
  <c r="G145" i="7" s="1"/>
  <c r="F145" i="5"/>
  <c r="F145" i="7" s="1"/>
  <c r="E145" i="5"/>
  <c r="E145" i="7" s="1"/>
  <c r="D145" i="5"/>
  <c r="D145" i="7" s="1"/>
  <c r="C145" i="5"/>
  <c r="C145" i="7" s="1"/>
  <c r="B145" i="5"/>
  <c r="B145" i="7" s="1"/>
  <c r="L144" i="5"/>
  <c r="L144" i="7" s="1"/>
  <c r="K144" i="5"/>
  <c r="K144" i="7" s="1"/>
  <c r="J144" i="5"/>
  <c r="J144" i="7" s="1"/>
  <c r="I144" i="5"/>
  <c r="I144" i="7" s="1"/>
  <c r="H144" i="5"/>
  <c r="H144" i="7" s="1"/>
  <c r="G144" i="5"/>
  <c r="G144" i="7" s="1"/>
  <c r="F144" i="5"/>
  <c r="F144" i="7" s="1"/>
  <c r="E144" i="5"/>
  <c r="E144" i="7" s="1"/>
  <c r="D144" i="5"/>
  <c r="D144" i="7" s="1"/>
  <c r="C144" i="5"/>
  <c r="C144" i="7" s="1"/>
  <c r="B144" i="5"/>
  <c r="B144" i="7" s="1"/>
  <c r="L143" i="5"/>
  <c r="L143" i="7" s="1"/>
  <c r="K143" i="5"/>
  <c r="K143" i="7" s="1"/>
  <c r="J143" i="5"/>
  <c r="J143" i="7" s="1"/>
  <c r="I143" i="5"/>
  <c r="I143" i="7" s="1"/>
  <c r="H143" i="5"/>
  <c r="H143" i="7" s="1"/>
  <c r="G143" i="5"/>
  <c r="G143" i="7" s="1"/>
  <c r="F143" i="5"/>
  <c r="F143" i="7" s="1"/>
  <c r="E143" i="5"/>
  <c r="E143" i="7" s="1"/>
  <c r="D143" i="5"/>
  <c r="D143" i="7" s="1"/>
  <c r="C143" i="5"/>
  <c r="C143" i="7" s="1"/>
  <c r="B143" i="5"/>
  <c r="B143" i="7" s="1"/>
  <c r="L142" i="5"/>
  <c r="L142" i="7" s="1"/>
  <c r="J142" i="5"/>
  <c r="J142" i="7" s="1"/>
  <c r="I142" i="5"/>
  <c r="I142" i="7" s="1"/>
  <c r="H142" i="5"/>
  <c r="H142" i="7" s="1"/>
  <c r="G142" i="5"/>
  <c r="G142" i="7" s="1"/>
  <c r="F142" i="5"/>
  <c r="F142" i="7" s="1"/>
  <c r="E142" i="5"/>
  <c r="D142" i="5"/>
  <c r="D142" i="7" s="1"/>
  <c r="C142" i="5"/>
  <c r="C142" i="7" s="1"/>
  <c r="B142" i="5"/>
  <c r="B142" i="7" s="1"/>
  <c r="L141" i="5"/>
  <c r="L141" i="7" s="1"/>
  <c r="J141" i="5"/>
  <c r="J141" i="7" s="1"/>
  <c r="I141" i="5"/>
  <c r="I141" i="7" s="1"/>
  <c r="H141" i="5"/>
  <c r="H141" i="7" s="1"/>
  <c r="G141" i="5"/>
  <c r="G141" i="7" s="1"/>
  <c r="F141" i="5"/>
  <c r="F141" i="7" s="1"/>
  <c r="E141" i="5"/>
  <c r="E141" i="7" s="1"/>
  <c r="D141" i="5"/>
  <c r="D141" i="7" s="1"/>
  <c r="C141" i="5"/>
  <c r="C141" i="7" s="1"/>
  <c r="B141" i="5"/>
  <c r="B141" i="7" s="1"/>
  <c r="L140" i="5"/>
  <c r="L140" i="7" s="1"/>
  <c r="K140" i="5"/>
  <c r="K140" i="7" s="1"/>
  <c r="J140" i="5"/>
  <c r="J140" i="7" s="1"/>
  <c r="I140" i="5"/>
  <c r="I140" i="7" s="1"/>
  <c r="H140" i="5"/>
  <c r="H140" i="7" s="1"/>
  <c r="G140" i="5"/>
  <c r="G140" i="7" s="1"/>
  <c r="F140" i="5"/>
  <c r="F140" i="7" s="1"/>
  <c r="E140" i="5"/>
  <c r="E140" i="7" s="1"/>
  <c r="D140" i="5"/>
  <c r="D140" i="7" s="1"/>
  <c r="C140" i="5"/>
  <c r="C140" i="7" s="1"/>
  <c r="B140" i="5"/>
  <c r="B140" i="7" s="1"/>
  <c r="L139" i="5"/>
  <c r="L139" i="7" s="1"/>
  <c r="K139" i="5"/>
  <c r="K139" i="7" s="1"/>
  <c r="J139" i="5"/>
  <c r="J139" i="7" s="1"/>
  <c r="I139" i="5"/>
  <c r="I139" i="7" s="1"/>
  <c r="H139" i="5"/>
  <c r="H139" i="7" s="1"/>
  <c r="G139" i="5"/>
  <c r="G139" i="7" s="1"/>
  <c r="F139" i="5"/>
  <c r="F139" i="7" s="1"/>
  <c r="E139" i="5"/>
  <c r="E139" i="7" s="1"/>
  <c r="D139" i="5"/>
  <c r="D139" i="7" s="1"/>
  <c r="C139" i="5"/>
  <c r="C139" i="7" s="1"/>
  <c r="B139" i="5"/>
  <c r="B139" i="7" s="1"/>
  <c r="L138" i="5"/>
  <c r="L138" i="7" s="1"/>
  <c r="J138" i="5"/>
  <c r="J138" i="7" s="1"/>
  <c r="I138" i="5"/>
  <c r="I138" i="7" s="1"/>
  <c r="H138" i="5"/>
  <c r="H138" i="7" s="1"/>
  <c r="G138" i="5"/>
  <c r="G138" i="7" s="1"/>
  <c r="F138" i="5"/>
  <c r="F138" i="7" s="1"/>
  <c r="E138" i="5"/>
  <c r="E138" i="7" s="1"/>
  <c r="D138" i="5"/>
  <c r="D138" i="7" s="1"/>
  <c r="C138" i="5"/>
  <c r="C138" i="7" s="1"/>
  <c r="B138" i="5"/>
  <c r="B138" i="7" s="1"/>
  <c r="L137" i="5"/>
  <c r="L137" i="7" s="1"/>
  <c r="J137" i="5"/>
  <c r="J137" i="7" s="1"/>
  <c r="I137" i="5"/>
  <c r="I137" i="7" s="1"/>
  <c r="H137" i="5"/>
  <c r="H137" i="7" s="1"/>
  <c r="G137" i="5"/>
  <c r="G137" i="7" s="1"/>
  <c r="F137" i="5"/>
  <c r="F137" i="7" s="1"/>
  <c r="E137" i="5"/>
  <c r="E137" i="7" s="1"/>
  <c r="D137" i="5"/>
  <c r="D137" i="7" s="1"/>
  <c r="C137" i="5"/>
  <c r="C137" i="7" s="1"/>
  <c r="B137" i="5"/>
  <c r="B137" i="7" s="1"/>
  <c r="L136" i="5"/>
  <c r="L136" i="7" s="1"/>
  <c r="J136" i="5"/>
  <c r="J136" i="7" s="1"/>
  <c r="I136" i="5"/>
  <c r="I136" i="7" s="1"/>
  <c r="H136" i="5"/>
  <c r="H136" i="7" s="1"/>
  <c r="G136" i="5"/>
  <c r="G136" i="7" s="1"/>
  <c r="F136" i="5"/>
  <c r="F136" i="7" s="1"/>
  <c r="E136" i="5"/>
  <c r="E136" i="7" s="1"/>
  <c r="D136" i="5"/>
  <c r="D136" i="7" s="1"/>
  <c r="C136" i="5"/>
  <c r="C136" i="7" s="1"/>
  <c r="B136" i="5"/>
  <c r="B136" i="7" s="1"/>
  <c r="L135" i="5"/>
  <c r="L135" i="7" s="1"/>
  <c r="K135" i="5"/>
  <c r="K135" i="7" s="1"/>
  <c r="J135" i="5"/>
  <c r="J135" i="7" s="1"/>
  <c r="I135" i="5"/>
  <c r="I135" i="7" s="1"/>
  <c r="H135" i="5"/>
  <c r="H135" i="7" s="1"/>
  <c r="G135" i="5"/>
  <c r="G135" i="7" s="1"/>
  <c r="F135" i="5"/>
  <c r="F135" i="7" s="1"/>
  <c r="E135" i="5"/>
  <c r="E135" i="7" s="1"/>
  <c r="D135" i="5"/>
  <c r="D135" i="7" s="1"/>
  <c r="C135" i="5"/>
  <c r="C135" i="7" s="1"/>
  <c r="B135" i="5"/>
  <c r="B135" i="7" s="1"/>
  <c r="L134" i="5"/>
  <c r="L134" i="7" s="1"/>
  <c r="K134" i="5"/>
  <c r="K134" i="7" s="1"/>
  <c r="J134" i="5"/>
  <c r="J134" i="7" s="1"/>
  <c r="I134" i="5"/>
  <c r="I134" i="7" s="1"/>
  <c r="H134" i="5"/>
  <c r="H134" i="7" s="1"/>
  <c r="G134" i="5"/>
  <c r="G134" i="7" s="1"/>
  <c r="F134" i="5"/>
  <c r="F134" i="7" s="1"/>
  <c r="E134" i="5"/>
  <c r="E134" i="7" s="1"/>
  <c r="D134" i="5"/>
  <c r="D134" i="7" s="1"/>
  <c r="C134" i="5"/>
  <c r="C134" i="7" s="1"/>
  <c r="B134" i="5"/>
  <c r="B134" i="7" s="1"/>
  <c r="L133" i="5"/>
  <c r="L133" i="7" s="1"/>
  <c r="J133" i="5"/>
  <c r="J133" i="7" s="1"/>
  <c r="I133" i="5"/>
  <c r="I133" i="7" s="1"/>
  <c r="H133" i="5"/>
  <c r="H133" i="7" s="1"/>
  <c r="G133" i="5"/>
  <c r="G133" i="7" s="1"/>
  <c r="F133" i="5"/>
  <c r="F133" i="7" s="1"/>
  <c r="E133" i="5"/>
  <c r="D133" i="5"/>
  <c r="D133" i="7" s="1"/>
  <c r="C133" i="5"/>
  <c r="C133" i="7" s="1"/>
  <c r="B133" i="5"/>
  <c r="B133" i="7" s="1"/>
  <c r="L132" i="5"/>
  <c r="L132" i="7" s="1"/>
  <c r="J132" i="5"/>
  <c r="J132" i="7" s="1"/>
  <c r="I132" i="5"/>
  <c r="I132" i="7" s="1"/>
  <c r="H132" i="5"/>
  <c r="H132" i="7" s="1"/>
  <c r="G132" i="5"/>
  <c r="G132" i="7" s="1"/>
  <c r="F132" i="5"/>
  <c r="F132" i="7" s="1"/>
  <c r="E132" i="5"/>
  <c r="E132" i="7" s="1"/>
  <c r="D132" i="5"/>
  <c r="D132" i="7" s="1"/>
  <c r="C132" i="5"/>
  <c r="C132" i="7" s="1"/>
  <c r="B132" i="5"/>
  <c r="B132" i="7" s="1"/>
  <c r="L131" i="5"/>
  <c r="L131" i="7" s="1"/>
  <c r="K131" i="5"/>
  <c r="K131" i="7" s="1"/>
  <c r="J131" i="5"/>
  <c r="J131" i="7" s="1"/>
  <c r="I131" i="5"/>
  <c r="I131" i="7" s="1"/>
  <c r="H131" i="5"/>
  <c r="H131" i="7" s="1"/>
  <c r="G131" i="5"/>
  <c r="G131" i="7" s="1"/>
  <c r="F131" i="5"/>
  <c r="F131" i="7" s="1"/>
  <c r="E131" i="5"/>
  <c r="E131" i="7" s="1"/>
  <c r="D131" i="5"/>
  <c r="D131" i="7" s="1"/>
  <c r="C131" i="5"/>
  <c r="C131" i="7" s="1"/>
  <c r="B131" i="5"/>
  <c r="B131" i="7" s="1"/>
  <c r="L130" i="5"/>
  <c r="L130" i="7" s="1"/>
  <c r="K130" i="5"/>
  <c r="K130" i="7" s="1"/>
  <c r="J130" i="5"/>
  <c r="J130" i="7" s="1"/>
  <c r="I130" i="5"/>
  <c r="I130" i="7" s="1"/>
  <c r="H130" i="5"/>
  <c r="H130" i="7" s="1"/>
  <c r="G130" i="5"/>
  <c r="G130" i="7" s="1"/>
  <c r="F130" i="5"/>
  <c r="F130" i="7" s="1"/>
  <c r="E130" i="5"/>
  <c r="E130" i="7" s="1"/>
  <c r="D130" i="5"/>
  <c r="D130" i="7" s="1"/>
  <c r="C130" i="5"/>
  <c r="C130" i="7" s="1"/>
  <c r="B130" i="5"/>
  <c r="B130" i="7" s="1"/>
  <c r="L129" i="5"/>
  <c r="L129" i="7" s="1"/>
  <c r="K129" i="5"/>
  <c r="K129" i="7" s="1"/>
  <c r="J129" i="5"/>
  <c r="J129" i="7" s="1"/>
  <c r="I129" i="5"/>
  <c r="I129" i="7" s="1"/>
  <c r="H129" i="5"/>
  <c r="H129" i="7" s="1"/>
  <c r="G129" i="5"/>
  <c r="G129" i="7" s="1"/>
  <c r="F129" i="5"/>
  <c r="F129" i="7" s="1"/>
  <c r="E129" i="5"/>
  <c r="E129" i="7" s="1"/>
  <c r="D129" i="5"/>
  <c r="D129" i="7" s="1"/>
  <c r="C129" i="5"/>
  <c r="C129" i="7" s="1"/>
  <c r="B129" i="5"/>
  <c r="B129" i="7" s="1"/>
  <c r="L128" i="5"/>
  <c r="L128" i="7" s="1"/>
  <c r="J128" i="5"/>
  <c r="J128" i="7" s="1"/>
  <c r="I128" i="5"/>
  <c r="I128" i="7" s="1"/>
  <c r="H128" i="5"/>
  <c r="H128" i="7" s="1"/>
  <c r="G128" i="5"/>
  <c r="G128" i="7" s="1"/>
  <c r="F128" i="5"/>
  <c r="F128" i="7" s="1"/>
  <c r="E128" i="5"/>
  <c r="E128" i="7" s="1"/>
  <c r="D128" i="5"/>
  <c r="D128" i="7" s="1"/>
  <c r="C128" i="5"/>
  <c r="C128" i="7" s="1"/>
  <c r="B128" i="5"/>
  <c r="B128" i="7" s="1"/>
  <c r="L127" i="5"/>
  <c r="L127" i="7" s="1"/>
  <c r="J127" i="5"/>
  <c r="J127" i="7" s="1"/>
  <c r="I127" i="5"/>
  <c r="I127" i="7" s="1"/>
  <c r="H127" i="5"/>
  <c r="H127" i="7" s="1"/>
  <c r="G127" i="5"/>
  <c r="G127" i="7" s="1"/>
  <c r="F127" i="5"/>
  <c r="F127" i="7" s="1"/>
  <c r="E127" i="5"/>
  <c r="E127" i="7" s="1"/>
  <c r="D127" i="5"/>
  <c r="D127" i="7" s="1"/>
  <c r="C127" i="5"/>
  <c r="C127" i="7" s="1"/>
  <c r="B127" i="5"/>
  <c r="B127" i="7" s="1"/>
  <c r="L126" i="5"/>
  <c r="L126" i="7" s="1"/>
  <c r="K126" i="5"/>
  <c r="K126" i="7" s="1"/>
  <c r="J126" i="5"/>
  <c r="J126" i="7" s="1"/>
  <c r="I126" i="5"/>
  <c r="I126" i="7" s="1"/>
  <c r="H126" i="5"/>
  <c r="H126" i="7" s="1"/>
  <c r="G126" i="5"/>
  <c r="G126" i="7" s="1"/>
  <c r="F126" i="5"/>
  <c r="F126" i="7" s="1"/>
  <c r="E126" i="5"/>
  <c r="E126" i="7" s="1"/>
  <c r="D126" i="5"/>
  <c r="D126" i="7" s="1"/>
  <c r="C126" i="5"/>
  <c r="C126" i="7" s="1"/>
  <c r="B126" i="5"/>
  <c r="B126" i="7" s="1"/>
  <c r="L125" i="5"/>
  <c r="L125" i="7" s="1"/>
  <c r="K125" i="5"/>
  <c r="K125" i="7" s="1"/>
  <c r="J125" i="5"/>
  <c r="J125" i="7" s="1"/>
  <c r="I125" i="5"/>
  <c r="I125" i="7" s="1"/>
  <c r="H125" i="5"/>
  <c r="H125" i="7" s="1"/>
  <c r="G125" i="5"/>
  <c r="G125" i="7" s="1"/>
  <c r="F125" i="5"/>
  <c r="F125" i="7" s="1"/>
  <c r="E125" i="5"/>
  <c r="E125" i="7" s="1"/>
  <c r="D125" i="5"/>
  <c r="D125" i="7" s="1"/>
  <c r="C125" i="5"/>
  <c r="C125" i="7" s="1"/>
  <c r="B125" i="5"/>
  <c r="B125" i="7" s="1"/>
  <c r="L124" i="5"/>
  <c r="L124" i="7" s="1"/>
  <c r="J124" i="5"/>
  <c r="J124" i="7" s="1"/>
  <c r="I124" i="5"/>
  <c r="I124" i="7" s="1"/>
  <c r="H124" i="5"/>
  <c r="H124" i="7" s="1"/>
  <c r="G124" i="5"/>
  <c r="G124" i="7" s="1"/>
  <c r="F124" i="5"/>
  <c r="F124" i="7" s="1"/>
  <c r="E124" i="5"/>
  <c r="E124" i="7" s="1"/>
  <c r="D124" i="5"/>
  <c r="D124" i="7" s="1"/>
  <c r="C124" i="5"/>
  <c r="C124" i="7" s="1"/>
  <c r="B124" i="5"/>
  <c r="B124" i="7" s="1"/>
  <c r="L123" i="5"/>
  <c r="L123" i="7" s="1"/>
  <c r="J123" i="5"/>
  <c r="J123" i="7" s="1"/>
  <c r="I123" i="5"/>
  <c r="I123" i="7" s="1"/>
  <c r="H123" i="5"/>
  <c r="H123" i="7" s="1"/>
  <c r="G123" i="5"/>
  <c r="G123" i="7" s="1"/>
  <c r="F123" i="5"/>
  <c r="F123" i="7" s="1"/>
  <c r="E123" i="5"/>
  <c r="E123" i="7" s="1"/>
  <c r="D123" i="5"/>
  <c r="D123" i="7" s="1"/>
  <c r="C123" i="5"/>
  <c r="C123" i="7" s="1"/>
  <c r="B123" i="5"/>
  <c r="B123" i="7" s="1"/>
  <c r="L122" i="5"/>
  <c r="L122" i="7" s="1"/>
  <c r="K122" i="5"/>
  <c r="K122" i="7" s="1"/>
  <c r="J122" i="5"/>
  <c r="J122" i="7" s="1"/>
  <c r="I122" i="5"/>
  <c r="I122" i="7" s="1"/>
  <c r="H122" i="5"/>
  <c r="H122" i="7" s="1"/>
  <c r="G122" i="5"/>
  <c r="G122" i="7" s="1"/>
  <c r="F122" i="5"/>
  <c r="F122" i="7" s="1"/>
  <c r="E122" i="5"/>
  <c r="E122" i="7" s="1"/>
  <c r="D122" i="5"/>
  <c r="D122" i="7" s="1"/>
  <c r="C122" i="5"/>
  <c r="C122" i="7" s="1"/>
  <c r="B122" i="5"/>
  <c r="B122" i="7" s="1"/>
  <c r="L121" i="5"/>
  <c r="L121" i="7" s="1"/>
  <c r="K121" i="5"/>
  <c r="K121" i="7" s="1"/>
  <c r="J121" i="5"/>
  <c r="J121" i="7" s="1"/>
  <c r="I121" i="5"/>
  <c r="I121" i="7" s="1"/>
  <c r="H121" i="5"/>
  <c r="H121" i="7" s="1"/>
  <c r="G121" i="5"/>
  <c r="G121" i="7" s="1"/>
  <c r="F121" i="5"/>
  <c r="F121" i="7" s="1"/>
  <c r="E121" i="5"/>
  <c r="E121" i="7" s="1"/>
  <c r="D121" i="5"/>
  <c r="D121" i="7" s="1"/>
  <c r="C121" i="5"/>
  <c r="C121" i="7" s="1"/>
  <c r="B121" i="5"/>
  <c r="B121" i="7" s="1"/>
  <c r="L120" i="5"/>
  <c r="L120" i="7" s="1"/>
  <c r="K120" i="5"/>
  <c r="K120" i="7" s="1"/>
  <c r="J120" i="5"/>
  <c r="J120" i="7" s="1"/>
  <c r="I120" i="5"/>
  <c r="I120" i="7" s="1"/>
  <c r="H120" i="5"/>
  <c r="H120" i="7" s="1"/>
  <c r="G120" i="5"/>
  <c r="G120" i="7" s="1"/>
  <c r="F120" i="5"/>
  <c r="F120" i="7" s="1"/>
  <c r="E120" i="5"/>
  <c r="E120" i="7" s="1"/>
  <c r="D120" i="5"/>
  <c r="D120" i="7" s="1"/>
  <c r="C120" i="5"/>
  <c r="C120" i="7" s="1"/>
  <c r="B120" i="5"/>
  <c r="B120" i="7" s="1"/>
  <c r="L119" i="5"/>
  <c r="L119" i="7" s="1"/>
  <c r="J119" i="5"/>
  <c r="J119" i="7" s="1"/>
  <c r="I119" i="5"/>
  <c r="I119" i="7" s="1"/>
  <c r="H119" i="5"/>
  <c r="H119" i="7" s="1"/>
  <c r="G119" i="5"/>
  <c r="G119" i="7" s="1"/>
  <c r="F119" i="5"/>
  <c r="F119" i="7" s="1"/>
  <c r="E119" i="5"/>
  <c r="D119" i="5"/>
  <c r="D119" i="7" s="1"/>
  <c r="C119" i="5"/>
  <c r="C119" i="7" s="1"/>
  <c r="B119" i="5"/>
  <c r="B119" i="7" s="1"/>
  <c r="L118" i="5"/>
  <c r="L118" i="7" s="1"/>
  <c r="J118" i="5"/>
  <c r="J118" i="7" s="1"/>
  <c r="I118" i="5"/>
  <c r="I118" i="7" s="1"/>
  <c r="H118" i="5"/>
  <c r="H118" i="7" s="1"/>
  <c r="G118" i="5"/>
  <c r="G118" i="7" s="1"/>
  <c r="F118" i="5"/>
  <c r="F118" i="7" s="1"/>
  <c r="E118" i="5"/>
  <c r="E118" i="7" s="1"/>
  <c r="D118" i="5"/>
  <c r="D118" i="7" s="1"/>
  <c r="C118" i="5"/>
  <c r="C118" i="7" s="1"/>
  <c r="B118" i="5"/>
  <c r="B118" i="7" s="1"/>
  <c r="L117" i="5"/>
  <c r="L117" i="7" s="1"/>
  <c r="K117" i="5"/>
  <c r="K117" i="7" s="1"/>
  <c r="J117" i="5"/>
  <c r="J117" i="7" s="1"/>
  <c r="I117" i="5"/>
  <c r="I117" i="7" s="1"/>
  <c r="H117" i="5"/>
  <c r="H117" i="7" s="1"/>
  <c r="G117" i="5"/>
  <c r="G117" i="7" s="1"/>
  <c r="F117" i="5"/>
  <c r="F117" i="7" s="1"/>
  <c r="E117" i="5"/>
  <c r="E117" i="7" s="1"/>
  <c r="D117" i="5"/>
  <c r="D117" i="7" s="1"/>
  <c r="C117" i="5"/>
  <c r="C117" i="7" s="1"/>
  <c r="B117" i="5"/>
  <c r="B117" i="7" s="1"/>
  <c r="L116" i="5"/>
  <c r="L116" i="7" s="1"/>
  <c r="K116" i="5"/>
  <c r="K116" i="7" s="1"/>
  <c r="J116" i="5"/>
  <c r="J116" i="7" s="1"/>
  <c r="I116" i="5"/>
  <c r="I116" i="7" s="1"/>
  <c r="H116" i="5"/>
  <c r="H116" i="7" s="1"/>
  <c r="G116" i="5"/>
  <c r="G116" i="7" s="1"/>
  <c r="F116" i="5"/>
  <c r="F116" i="7" s="1"/>
  <c r="E116" i="5"/>
  <c r="E116" i="7" s="1"/>
  <c r="D116" i="5"/>
  <c r="D116" i="7" s="1"/>
  <c r="C116" i="5"/>
  <c r="C116" i="7" s="1"/>
  <c r="B116" i="5"/>
  <c r="B116" i="7" s="1"/>
  <c r="L115" i="5"/>
  <c r="L115" i="7" s="1"/>
  <c r="J115" i="5"/>
  <c r="J115" i="7" s="1"/>
  <c r="I115" i="5"/>
  <c r="I115" i="7" s="1"/>
  <c r="H115" i="5"/>
  <c r="H115" i="7" s="1"/>
  <c r="G115" i="5"/>
  <c r="G115" i="7" s="1"/>
  <c r="F115" i="5"/>
  <c r="F115" i="7" s="1"/>
  <c r="E115" i="5"/>
  <c r="E115" i="7" s="1"/>
  <c r="D115" i="5"/>
  <c r="D115" i="7" s="1"/>
  <c r="C115" i="5"/>
  <c r="C115" i="7" s="1"/>
  <c r="B115" i="5"/>
  <c r="B115" i="7" s="1"/>
  <c r="L114" i="5"/>
  <c r="L114" i="7" s="1"/>
  <c r="J114" i="5"/>
  <c r="J114" i="7" s="1"/>
  <c r="I114" i="5"/>
  <c r="I114" i="7" s="1"/>
  <c r="H114" i="5"/>
  <c r="H114" i="7" s="1"/>
  <c r="G114" i="5"/>
  <c r="G114" i="7" s="1"/>
  <c r="F114" i="5"/>
  <c r="F114" i="7" s="1"/>
  <c r="E114" i="5"/>
  <c r="E114" i="7" s="1"/>
  <c r="D114" i="5"/>
  <c r="D114" i="7" s="1"/>
  <c r="C114" i="5"/>
  <c r="C114" i="7" s="1"/>
  <c r="B114" i="5"/>
  <c r="B114" i="7" s="1"/>
  <c r="L113" i="5"/>
  <c r="L113" i="7" s="1"/>
  <c r="K113" i="5"/>
  <c r="K113" i="7" s="1"/>
  <c r="J113" i="5"/>
  <c r="J113" i="7" s="1"/>
  <c r="I113" i="5"/>
  <c r="I113" i="7" s="1"/>
  <c r="H113" i="5"/>
  <c r="H113" i="7" s="1"/>
  <c r="G113" i="5"/>
  <c r="G113" i="7" s="1"/>
  <c r="F113" i="5"/>
  <c r="F113" i="7" s="1"/>
  <c r="E113" i="5"/>
  <c r="E113" i="7" s="1"/>
  <c r="D113" i="5"/>
  <c r="D113" i="7" s="1"/>
  <c r="C113" i="5"/>
  <c r="C113" i="7" s="1"/>
  <c r="B113" i="5"/>
  <c r="B113" i="7" s="1"/>
  <c r="L112" i="5"/>
  <c r="L112" i="7" s="1"/>
  <c r="K112" i="5"/>
  <c r="K112" i="7" s="1"/>
  <c r="J112" i="5"/>
  <c r="J112" i="7" s="1"/>
  <c r="I112" i="5"/>
  <c r="I112" i="7" s="1"/>
  <c r="H112" i="5"/>
  <c r="H112" i="7" s="1"/>
  <c r="G112" i="5"/>
  <c r="G112" i="7" s="1"/>
  <c r="F112" i="5"/>
  <c r="F112" i="7" s="1"/>
  <c r="E112" i="5"/>
  <c r="E112" i="7" s="1"/>
  <c r="D112" i="5"/>
  <c r="D112" i="7" s="1"/>
  <c r="C112" i="5"/>
  <c r="C112" i="7" s="1"/>
  <c r="B112" i="5"/>
  <c r="B112" i="7" s="1"/>
  <c r="L111" i="5"/>
  <c r="L111" i="7" s="1"/>
  <c r="K111" i="5"/>
  <c r="K111" i="7" s="1"/>
  <c r="J111" i="5"/>
  <c r="J111" i="7" s="1"/>
  <c r="I111" i="5"/>
  <c r="I111" i="7" s="1"/>
  <c r="H111" i="5"/>
  <c r="H111" i="7" s="1"/>
  <c r="G111" i="5"/>
  <c r="G111" i="7" s="1"/>
  <c r="F111" i="5"/>
  <c r="F111" i="7" s="1"/>
  <c r="E111" i="5"/>
  <c r="E111" i="7" s="1"/>
  <c r="D111" i="5"/>
  <c r="D111" i="7" s="1"/>
  <c r="C111" i="5"/>
  <c r="C111" i="7" s="1"/>
  <c r="B111" i="5"/>
  <c r="B111" i="7" s="1"/>
  <c r="L110" i="5"/>
  <c r="L110" i="7" s="1"/>
  <c r="J110" i="5"/>
  <c r="J110" i="7" s="1"/>
  <c r="I110" i="5"/>
  <c r="I110" i="7" s="1"/>
  <c r="H110" i="5"/>
  <c r="H110" i="7" s="1"/>
  <c r="G110" i="5"/>
  <c r="G110" i="7" s="1"/>
  <c r="F110" i="5"/>
  <c r="F110" i="7" s="1"/>
  <c r="E110" i="5"/>
  <c r="E110" i="7" s="1"/>
  <c r="D110" i="5"/>
  <c r="D110" i="7" s="1"/>
  <c r="C110" i="5"/>
  <c r="C110" i="7" s="1"/>
  <c r="B110" i="5"/>
  <c r="B110" i="7" s="1"/>
  <c r="L109" i="5"/>
  <c r="L109" i="7" s="1"/>
  <c r="J109" i="5"/>
  <c r="J109" i="7" s="1"/>
  <c r="I109" i="5"/>
  <c r="I109" i="7" s="1"/>
  <c r="H109" i="5"/>
  <c r="H109" i="7" s="1"/>
  <c r="G109" i="5"/>
  <c r="G109" i="7" s="1"/>
  <c r="F109" i="5"/>
  <c r="F109" i="7" s="1"/>
  <c r="E109" i="5"/>
  <c r="E109" i="7" s="1"/>
  <c r="D109" i="5"/>
  <c r="D109" i="7" s="1"/>
  <c r="C109" i="5"/>
  <c r="C109" i="7" s="1"/>
  <c r="B109" i="5"/>
  <c r="B109" i="7" s="1"/>
  <c r="L108" i="5"/>
  <c r="L108" i="7" s="1"/>
  <c r="K108" i="5"/>
  <c r="K108" i="7" s="1"/>
  <c r="J108" i="5"/>
  <c r="J108" i="7" s="1"/>
  <c r="I108" i="5"/>
  <c r="I108" i="7" s="1"/>
  <c r="H108" i="5"/>
  <c r="H108" i="7" s="1"/>
  <c r="G108" i="5"/>
  <c r="G108" i="7" s="1"/>
  <c r="F108" i="5"/>
  <c r="F108" i="7" s="1"/>
  <c r="E108" i="5"/>
  <c r="E108" i="7" s="1"/>
  <c r="D108" i="5"/>
  <c r="D108" i="7" s="1"/>
  <c r="C108" i="5"/>
  <c r="C108" i="7" s="1"/>
  <c r="B108" i="5"/>
  <c r="B108" i="7" s="1"/>
  <c r="L107" i="5"/>
  <c r="L107" i="7" s="1"/>
  <c r="K107" i="5"/>
  <c r="K107" i="7" s="1"/>
  <c r="J107" i="5"/>
  <c r="J107" i="7" s="1"/>
  <c r="I107" i="5"/>
  <c r="I107" i="7" s="1"/>
  <c r="H107" i="5"/>
  <c r="H107" i="7" s="1"/>
  <c r="G107" i="5"/>
  <c r="G107" i="7" s="1"/>
  <c r="F107" i="5"/>
  <c r="F107" i="7" s="1"/>
  <c r="E107" i="5"/>
  <c r="E107" i="7" s="1"/>
  <c r="D107" i="5"/>
  <c r="D107" i="7" s="1"/>
  <c r="C107" i="5"/>
  <c r="C107" i="7" s="1"/>
  <c r="B107" i="5"/>
  <c r="B107" i="7" s="1"/>
  <c r="L106" i="5"/>
  <c r="L106" i="7" s="1"/>
  <c r="J106" i="5"/>
  <c r="J106" i="7" s="1"/>
  <c r="I106" i="5"/>
  <c r="I106" i="7" s="1"/>
  <c r="H106" i="5"/>
  <c r="H106" i="7" s="1"/>
  <c r="G106" i="5"/>
  <c r="G106" i="7" s="1"/>
  <c r="F106" i="5"/>
  <c r="F106" i="7" s="1"/>
  <c r="E106" i="5"/>
  <c r="E106" i="7" s="1"/>
  <c r="D106" i="5"/>
  <c r="D106" i="7" s="1"/>
  <c r="C106" i="5"/>
  <c r="C106" i="7" s="1"/>
  <c r="B106" i="5"/>
  <c r="B106" i="7" s="1"/>
  <c r="L105" i="5"/>
  <c r="L105" i="7" s="1"/>
  <c r="J105" i="5"/>
  <c r="J105" i="7" s="1"/>
  <c r="I105" i="5"/>
  <c r="I105" i="7" s="1"/>
  <c r="H105" i="5"/>
  <c r="H105" i="7" s="1"/>
  <c r="G105" i="5"/>
  <c r="G105" i="7" s="1"/>
  <c r="F105" i="5"/>
  <c r="F105" i="7" s="1"/>
  <c r="E105" i="5"/>
  <c r="D105" i="5"/>
  <c r="D105" i="7" s="1"/>
  <c r="C105" i="5"/>
  <c r="C105" i="7" s="1"/>
  <c r="B105" i="5"/>
  <c r="B105" i="7" s="1"/>
  <c r="L104" i="5"/>
  <c r="L104" i="7" s="1"/>
  <c r="K104" i="5"/>
  <c r="K104" i="7" s="1"/>
  <c r="J104" i="5"/>
  <c r="J104" i="7" s="1"/>
  <c r="I104" i="5"/>
  <c r="I104" i="7" s="1"/>
  <c r="H104" i="5"/>
  <c r="H104" i="7" s="1"/>
  <c r="G104" i="5"/>
  <c r="G104" i="7" s="1"/>
  <c r="F104" i="5"/>
  <c r="F104" i="7" s="1"/>
  <c r="E104" i="5"/>
  <c r="E104" i="7" s="1"/>
  <c r="D104" i="5"/>
  <c r="D104" i="7" s="1"/>
  <c r="C104" i="5"/>
  <c r="C104" i="7" s="1"/>
  <c r="B104" i="5"/>
  <c r="B104" i="7" s="1"/>
  <c r="L103" i="5"/>
  <c r="L103" i="7" s="1"/>
  <c r="K103" i="5"/>
  <c r="K103" i="7" s="1"/>
  <c r="J103" i="5"/>
  <c r="J103" i="7" s="1"/>
  <c r="I103" i="5"/>
  <c r="I103" i="7" s="1"/>
  <c r="H103" i="5"/>
  <c r="H103" i="7" s="1"/>
  <c r="G103" i="5"/>
  <c r="G103" i="7" s="1"/>
  <c r="F103" i="5"/>
  <c r="F103" i="7" s="1"/>
  <c r="E103" i="5"/>
  <c r="E103" i="7" s="1"/>
  <c r="D103" i="5"/>
  <c r="D103" i="7" s="1"/>
  <c r="C103" i="5"/>
  <c r="C103" i="7" s="1"/>
  <c r="B103" i="5"/>
  <c r="B103" i="7" s="1"/>
  <c r="L102" i="5"/>
  <c r="L102" i="7" s="1"/>
  <c r="K102" i="5"/>
  <c r="K102" i="7" s="1"/>
  <c r="J102" i="5"/>
  <c r="J102" i="7" s="1"/>
  <c r="I102" i="5"/>
  <c r="I102" i="7" s="1"/>
  <c r="H102" i="5"/>
  <c r="H102" i="7" s="1"/>
  <c r="G102" i="5"/>
  <c r="G102" i="7" s="1"/>
  <c r="F102" i="5"/>
  <c r="F102" i="7" s="1"/>
  <c r="E102" i="5"/>
  <c r="E102" i="7" s="1"/>
  <c r="D102" i="5"/>
  <c r="D102" i="7" s="1"/>
  <c r="C102" i="5"/>
  <c r="C102" i="7" s="1"/>
  <c r="B102" i="5"/>
  <c r="B102" i="7" s="1"/>
  <c r="L101" i="5"/>
  <c r="L101" i="7" s="1"/>
  <c r="J101" i="5"/>
  <c r="J101" i="7" s="1"/>
  <c r="I101" i="5"/>
  <c r="I101" i="7" s="1"/>
  <c r="H101" i="5"/>
  <c r="H101" i="7" s="1"/>
  <c r="G101" i="5"/>
  <c r="G101" i="7" s="1"/>
  <c r="F101" i="5"/>
  <c r="F101" i="7" s="1"/>
  <c r="E101" i="5"/>
  <c r="E101" i="7" s="1"/>
  <c r="D101" i="5"/>
  <c r="D101" i="7" s="1"/>
  <c r="C101" i="5"/>
  <c r="C101" i="7" s="1"/>
  <c r="B101" i="5"/>
  <c r="B101" i="7" s="1"/>
  <c r="L100" i="5"/>
  <c r="L100" i="7" s="1"/>
  <c r="J100" i="5"/>
  <c r="J100" i="7" s="1"/>
  <c r="I100" i="5"/>
  <c r="I100" i="7" s="1"/>
  <c r="H100" i="5"/>
  <c r="H100" i="7" s="1"/>
  <c r="G100" i="5"/>
  <c r="G100" i="7" s="1"/>
  <c r="F100" i="5"/>
  <c r="F100" i="7" s="1"/>
  <c r="E100" i="5"/>
  <c r="E100" i="7" s="1"/>
  <c r="D100" i="5"/>
  <c r="D100" i="7" s="1"/>
  <c r="C100" i="5"/>
  <c r="C100" i="7" s="1"/>
  <c r="B100" i="5"/>
  <c r="B100" i="7" s="1"/>
  <c r="L99" i="5"/>
  <c r="L99" i="7" s="1"/>
  <c r="K99" i="5"/>
  <c r="K99" i="7" s="1"/>
  <c r="J99" i="5"/>
  <c r="J99" i="7" s="1"/>
  <c r="I99" i="5"/>
  <c r="I99" i="7" s="1"/>
  <c r="H99" i="5"/>
  <c r="H99" i="7" s="1"/>
  <c r="G99" i="5"/>
  <c r="G99" i="7" s="1"/>
  <c r="F99" i="5"/>
  <c r="F99" i="7" s="1"/>
  <c r="E99" i="5"/>
  <c r="E99" i="7" s="1"/>
  <c r="D99" i="5"/>
  <c r="D99" i="7" s="1"/>
  <c r="C99" i="5"/>
  <c r="C99" i="7" s="1"/>
  <c r="B99" i="5"/>
  <c r="B99" i="7" s="1"/>
  <c r="L98" i="5"/>
  <c r="L98" i="7" s="1"/>
  <c r="K98" i="5"/>
  <c r="K98" i="7" s="1"/>
  <c r="J98" i="5"/>
  <c r="J98" i="7" s="1"/>
  <c r="I98" i="5"/>
  <c r="I98" i="7" s="1"/>
  <c r="H98" i="5"/>
  <c r="H98" i="7" s="1"/>
  <c r="G98" i="5"/>
  <c r="G98" i="7" s="1"/>
  <c r="F98" i="5"/>
  <c r="F98" i="7" s="1"/>
  <c r="E98" i="5"/>
  <c r="E98" i="7" s="1"/>
  <c r="D98" i="5"/>
  <c r="D98" i="7" s="1"/>
  <c r="C98" i="5"/>
  <c r="C98" i="7" s="1"/>
  <c r="B98" i="5"/>
  <c r="B98" i="7" s="1"/>
  <c r="L97" i="5"/>
  <c r="L97" i="7" s="1"/>
  <c r="J97" i="5"/>
  <c r="J97" i="7" s="1"/>
  <c r="I97" i="5"/>
  <c r="I97" i="7" s="1"/>
  <c r="H97" i="5"/>
  <c r="H97" i="7" s="1"/>
  <c r="G97" i="5"/>
  <c r="G97" i="7" s="1"/>
  <c r="F97" i="5"/>
  <c r="F97" i="7" s="1"/>
  <c r="E97" i="5"/>
  <c r="E97" i="7" s="1"/>
  <c r="D97" i="5"/>
  <c r="D97" i="7" s="1"/>
  <c r="C97" i="5"/>
  <c r="C97" i="7" s="1"/>
  <c r="B97" i="5"/>
  <c r="B97" i="7" s="1"/>
  <c r="L96" i="5"/>
  <c r="L96" i="7" s="1"/>
  <c r="J96" i="5"/>
  <c r="J96" i="7" s="1"/>
  <c r="I96" i="5"/>
  <c r="I96" i="7" s="1"/>
  <c r="H96" i="5"/>
  <c r="H96" i="7" s="1"/>
  <c r="G96" i="5"/>
  <c r="G96" i="7" s="1"/>
  <c r="F96" i="5"/>
  <c r="F96" i="7" s="1"/>
  <c r="E96" i="5"/>
  <c r="E96" i="7" s="1"/>
  <c r="D96" i="5"/>
  <c r="D96" i="7" s="1"/>
  <c r="C96" i="5"/>
  <c r="C96" i="7" s="1"/>
  <c r="B96" i="5"/>
  <c r="B96" i="7" s="1"/>
  <c r="L95" i="5"/>
  <c r="L95" i="7" s="1"/>
  <c r="K95" i="5"/>
  <c r="K95" i="7" s="1"/>
  <c r="J95" i="5"/>
  <c r="J95" i="7" s="1"/>
  <c r="I95" i="5"/>
  <c r="I95" i="7" s="1"/>
  <c r="H95" i="5"/>
  <c r="H95" i="7" s="1"/>
  <c r="G95" i="5"/>
  <c r="G95" i="7" s="1"/>
  <c r="F95" i="5"/>
  <c r="F95" i="7" s="1"/>
  <c r="E95" i="5"/>
  <c r="E95" i="7" s="1"/>
  <c r="D95" i="5"/>
  <c r="D95" i="7" s="1"/>
  <c r="C95" i="5"/>
  <c r="C95" i="7" s="1"/>
  <c r="B95" i="5"/>
  <c r="B95" i="7" s="1"/>
  <c r="L94" i="5"/>
  <c r="L94" i="7" s="1"/>
  <c r="K94" i="5"/>
  <c r="K94" i="7" s="1"/>
  <c r="J94" i="5"/>
  <c r="J94" i="7" s="1"/>
  <c r="I94" i="5"/>
  <c r="I94" i="7" s="1"/>
  <c r="H94" i="5"/>
  <c r="H94" i="7" s="1"/>
  <c r="G94" i="5"/>
  <c r="G94" i="7" s="1"/>
  <c r="F94" i="5"/>
  <c r="F94" i="7" s="1"/>
  <c r="E94" i="5"/>
  <c r="E94" i="7" s="1"/>
  <c r="D94" i="5"/>
  <c r="D94" i="7" s="1"/>
  <c r="C94" i="5"/>
  <c r="C94" i="7" s="1"/>
  <c r="B94" i="5"/>
  <c r="B94" i="7" s="1"/>
  <c r="L93" i="5"/>
  <c r="L93" i="7" s="1"/>
  <c r="K93" i="5"/>
  <c r="K93" i="7" s="1"/>
  <c r="J93" i="5"/>
  <c r="J93" i="7" s="1"/>
  <c r="I93" i="5"/>
  <c r="I93" i="7" s="1"/>
  <c r="H93" i="5"/>
  <c r="H93" i="7" s="1"/>
  <c r="G93" i="5"/>
  <c r="G93" i="7" s="1"/>
  <c r="F93" i="5"/>
  <c r="F93" i="7" s="1"/>
  <c r="E93" i="5"/>
  <c r="E93" i="7" s="1"/>
  <c r="D93" i="5"/>
  <c r="D93" i="7" s="1"/>
  <c r="C93" i="5"/>
  <c r="C93" i="7" s="1"/>
  <c r="B93" i="5"/>
  <c r="B93" i="7" s="1"/>
  <c r="L92" i="5"/>
  <c r="L92" i="7" s="1"/>
  <c r="J92" i="5"/>
  <c r="J92" i="7" s="1"/>
  <c r="I92" i="5"/>
  <c r="I92" i="7" s="1"/>
  <c r="H92" i="5"/>
  <c r="H92" i="7" s="1"/>
  <c r="G92" i="5"/>
  <c r="G92" i="7" s="1"/>
  <c r="F92" i="5"/>
  <c r="F92" i="7" s="1"/>
  <c r="E92" i="5"/>
  <c r="E92" i="7" s="1"/>
  <c r="D92" i="5"/>
  <c r="D92" i="7" s="1"/>
  <c r="C92" i="5"/>
  <c r="C92" i="7" s="1"/>
  <c r="B92" i="5"/>
  <c r="B92" i="7" s="1"/>
  <c r="L91" i="5"/>
  <c r="L91" i="7" s="1"/>
  <c r="J91" i="5"/>
  <c r="J91" i="7" s="1"/>
  <c r="I91" i="5"/>
  <c r="I91" i="7" s="1"/>
  <c r="H91" i="5"/>
  <c r="H91" i="7" s="1"/>
  <c r="G91" i="5"/>
  <c r="G91" i="7" s="1"/>
  <c r="F91" i="5"/>
  <c r="F91" i="7" s="1"/>
  <c r="E91" i="5"/>
  <c r="D91" i="5"/>
  <c r="D91" i="7" s="1"/>
  <c r="C91" i="5"/>
  <c r="C91" i="7" s="1"/>
  <c r="B91" i="5"/>
  <c r="B91" i="7" s="1"/>
  <c r="L90" i="5"/>
  <c r="L90" i="7" s="1"/>
  <c r="K90" i="5"/>
  <c r="K90" i="7" s="1"/>
  <c r="J90" i="5"/>
  <c r="J90" i="7" s="1"/>
  <c r="I90" i="5"/>
  <c r="I90" i="7" s="1"/>
  <c r="H90" i="5"/>
  <c r="H90" i="7" s="1"/>
  <c r="G90" i="5"/>
  <c r="G90" i="7" s="1"/>
  <c r="F90" i="5"/>
  <c r="F90" i="7" s="1"/>
  <c r="E90" i="5"/>
  <c r="E90" i="7" s="1"/>
  <c r="D90" i="5"/>
  <c r="D90" i="7" s="1"/>
  <c r="C90" i="5"/>
  <c r="C90" i="7" s="1"/>
  <c r="B90" i="5"/>
  <c r="B90" i="7" s="1"/>
  <c r="L89" i="5"/>
  <c r="L89" i="7" s="1"/>
  <c r="K89" i="5"/>
  <c r="K89" i="7" s="1"/>
  <c r="J89" i="5"/>
  <c r="J89" i="7" s="1"/>
  <c r="I89" i="5"/>
  <c r="I89" i="7" s="1"/>
  <c r="H89" i="5"/>
  <c r="H89" i="7" s="1"/>
  <c r="G89" i="5"/>
  <c r="G89" i="7" s="1"/>
  <c r="F89" i="5"/>
  <c r="F89" i="7" s="1"/>
  <c r="E89" i="5"/>
  <c r="E89" i="7" s="1"/>
  <c r="D89" i="5"/>
  <c r="D89" i="7" s="1"/>
  <c r="C89" i="5"/>
  <c r="C89" i="7" s="1"/>
  <c r="B89" i="5"/>
  <c r="B89" i="7" s="1"/>
  <c r="L88" i="5"/>
  <c r="L88" i="7" s="1"/>
  <c r="J88" i="5"/>
  <c r="J88" i="7" s="1"/>
  <c r="I88" i="5"/>
  <c r="I88" i="7" s="1"/>
  <c r="H88" i="5"/>
  <c r="H88" i="7" s="1"/>
  <c r="G88" i="5"/>
  <c r="G88" i="7" s="1"/>
  <c r="F88" i="5"/>
  <c r="F88" i="7" s="1"/>
  <c r="E88" i="5"/>
  <c r="E88" i="7" s="1"/>
  <c r="D88" i="5"/>
  <c r="D88" i="7" s="1"/>
  <c r="C88" i="5"/>
  <c r="C88" i="7" s="1"/>
  <c r="B88" i="5"/>
  <c r="B88" i="7" s="1"/>
  <c r="L87" i="5"/>
  <c r="L87" i="7" s="1"/>
  <c r="J87" i="5"/>
  <c r="J87" i="7" s="1"/>
  <c r="I87" i="5"/>
  <c r="I87" i="7" s="1"/>
  <c r="H87" i="5"/>
  <c r="H87" i="7" s="1"/>
  <c r="G87" i="5"/>
  <c r="G87" i="7" s="1"/>
  <c r="F87" i="5"/>
  <c r="F87" i="7" s="1"/>
  <c r="E87" i="5"/>
  <c r="E87" i="7" s="1"/>
  <c r="D87" i="5"/>
  <c r="D87" i="7" s="1"/>
  <c r="C87" i="5"/>
  <c r="C87" i="7" s="1"/>
  <c r="B87" i="5"/>
  <c r="B87" i="7" s="1"/>
  <c r="L86" i="5"/>
  <c r="L86" i="7" s="1"/>
  <c r="K86" i="5"/>
  <c r="K86" i="7" s="1"/>
  <c r="J86" i="5"/>
  <c r="J86" i="7" s="1"/>
  <c r="I86" i="5"/>
  <c r="I86" i="7" s="1"/>
  <c r="H86" i="5"/>
  <c r="H86" i="7" s="1"/>
  <c r="G86" i="5"/>
  <c r="G86" i="7" s="1"/>
  <c r="F86" i="5"/>
  <c r="F86" i="7" s="1"/>
  <c r="E86" i="5"/>
  <c r="E86" i="7" s="1"/>
  <c r="D86" i="5"/>
  <c r="D86" i="7" s="1"/>
  <c r="C86" i="5"/>
  <c r="C86" i="7" s="1"/>
  <c r="B86" i="5"/>
  <c r="B86" i="7" s="1"/>
  <c r="L85" i="5"/>
  <c r="L85" i="7" s="1"/>
  <c r="K85" i="5"/>
  <c r="K85" i="7" s="1"/>
  <c r="J85" i="5"/>
  <c r="J85" i="7" s="1"/>
  <c r="I85" i="5"/>
  <c r="I85" i="7" s="1"/>
  <c r="H85" i="5"/>
  <c r="H85" i="7" s="1"/>
  <c r="G85" i="5"/>
  <c r="G85" i="7" s="1"/>
  <c r="F85" i="5"/>
  <c r="F85" i="7" s="1"/>
  <c r="E85" i="5"/>
  <c r="E85" i="7" s="1"/>
  <c r="D85" i="5"/>
  <c r="D85" i="7" s="1"/>
  <c r="C85" i="5"/>
  <c r="C85" i="7" s="1"/>
  <c r="B85" i="5"/>
  <c r="B85" i="7" s="1"/>
  <c r="L84" i="5"/>
  <c r="L84" i="7" s="1"/>
  <c r="K84" i="5"/>
  <c r="K84" i="7" s="1"/>
  <c r="J84" i="5"/>
  <c r="J84" i="7" s="1"/>
  <c r="I84" i="5"/>
  <c r="I84" i="7" s="1"/>
  <c r="H84" i="5"/>
  <c r="H84" i="7" s="1"/>
  <c r="G84" i="5"/>
  <c r="G84" i="7" s="1"/>
  <c r="F84" i="5"/>
  <c r="F84" i="7" s="1"/>
  <c r="E84" i="5"/>
  <c r="E84" i="7" s="1"/>
  <c r="D84" i="5"/>
  <c r="D84" i="7" s="1"/>
  <c r="C84" i="5"/>
  <c r="C84" i="7" s="1"/>
  <c r="B84" i="5"/>
  <c r="B84" i="7" s="1"/>
  <c r="L83" i="5"/>
  <c r="L83" i="7" s="1"/>
  <c r="J83" i="5"/>
  <c r="J83" i="7" s="1"/>
  <c r="I83" i="5"/>
  <c r="I83" i="7" s="1"/>
  <c r="H83" i="5"/>
  <c r="H83" i="7" s="1"/>
  <c r="G83" i="5"/>
  <c r="G83" i="7" s="1"/>
  <c r="F83" i="5"/>
  <c r="F83" i="7" s="1"/>
  <c r="E83" i="5"/>
  <c r="E83" i="7" s="1"/>
  <c r="D83" i="5"/>
  <c r="D83" i="7" s="1"/>
  <c r="C83" i="5"/>
  <c r="C83" i="7" s="1"/>
  <c r="B83" i="5"/>
  <c r="B83" i="7" s="1"/>
  <c r="L82" i="5"/>
  <c r="L82" i="7" s="1"/>
  <c r="J82" i="5"/>
  <c r="J82" i="7" s="1"/>
  <c r="I82" i="5"/>
  <c r="I82" i="7" s="1"/>
  <c r="H82" i="5"/>
  <c r="H82" i="7" s="1"/>
  <c r="G82" i="5"/>
  <c r="G82" i="7" s="1"/>
  <c r="F82" i="5"/>
  <c r="F82" i="7" s="1"/>
  <c r="E82" i="5"/>
  <c r="E82" i="7" s="1"/>
  <c r="D82" i="5"/>
  <c r="D82" i="7" s="1"/>
  <c r="C82" i="5"/>
  <c r="C82" i="7" s="1"/>
  <c r="B82" i="5"/>
  <c r="B82" i="7" s="1"/>
  <c r="L81" i="5"/>
  <c r="L81" i="7" s="1"/>
  <c r="K81" i="5"/>
  <c r="K81" i="7" s="1"/>
  <c r="J81" i="5"/>
  <c r="J81" i="7" s="1"/>
  <c r="I81" i="5"/>
  <c r="I81" i="7" s="1"/>
  <c r="H81" i="5"/>
  <c r="H81" i="7" s="1"/>
  <c r="G81" i="5"/>
  <c r="G81" i="7" s="1"/>
  <c r="F81" i="5"/>
  <c r="F81" i="7" s="1"/>
  <c r="E81" i="5"/>
  <c r="E81" i="7" s="1"/>
  <c r="D81" i="5"/>
  <c r="D81" i="7" s="1"/>
  <c r="C81" i="5"/>
  <c r="C81" i="7" s="1"/>
  <c r="B81" i="5"/>
  <c r="B81" i="7" s="1"/>
  <c r="L80" i="5"/>
  <c r="L80" i="7" s="1"/>
  <c r="K80" i="5"/>
  <c r="K80" i="7" s="1"/>
  <c r="J80" i="5"/>
  <c r="J80" i="7" s="1"/>
  <c r="I80" i="5"/>
  <c r="I80" i="7" s="1"/>
  <c r="H80" i="5"/>
  <c r="H80" i="7" s="1"/>
  <c r="G80" i="5"/>
  <c r="G80" i="7" s="1"/>
  <c r="F80" i="5"/>
  <c r="F80" i="7" s="1"/>
  <c r="E80" i="5"/>
  <c r="E80" i="7" s="1"/>
  <c r="D80" i="5"/>
  <c r="D80" i="7" s="1"/>
  <c r="C80" i="5"/>
  <c r="C80" i="7" s="1"/>
  <c r="B80" i="5"/>
  <c r="B80" i="7" s="1"/>
  <c r="L79" i="5"/>
  <c r="L79" i="7" s="1"/>
  <c r="K79" i="5"/>
  <c r="K79" i="7" s="1"/>
  <c r="J79" i="5"/>
  <c r="J79" i="7" s="1"/>
  <c r="I79" i="5"/>
  <c r="I79" i="7" s="1"/>
  <c r="H79" i="5"/>
  <c r="H79" i="7" s="1"/>
  <c r="G79" i="5"/>
  <c r="G79" i="7" s="1"/>
  <c r="F79" i="5"/>
  <c r="F79" i="7" s="1"/>
  <c r="E79" i="5"/>
  <c r="E79" i="7" s="1"/>
  <c r="D79" i="5"/>
  <c r="D79" i="7" s="1"/>
  <c r="C79" i="5"/>
  <c r="C79" i="7" s="1"/>
  <c r="B79" i="5"/>
  <c r="B79" i="7" s="1"/>
  <c r="L78" i="5"/>
  <c r="L78" i="7" s="1"/>
  <c r="J78" i="5"/>
  <c r="J78" i="7" s="1"/>
  <c r="I78" i="5"/>
  <c r="I78" i="7" s="1"/>
  <c r="H78" i="5"/>
  <c r="H78" i="7" s="1"/>
  <c r="G78" i="5"/>
  <c r="G78" i="7" s="1"/>
  <c r="F78" i="5"/>
  <c r="F78" i="7" s="1"/>
  <c r="E78" i="5"/>
  <c r="E78" i="7" s="1"/>
  <c r="D78" i="5"/>
  <c r="D78" i="7" s="1"/>
  <c r="C78" i="5"/>
  <c r="C78" i="7" s="1"/>
  <c r="B78" i="5"/>
  <c r="B78" i="7" s="1"/>
  <c r="L77" i="5"/>
  <c r="L77" i="7" s="1"/>
  <c r="J77" i="5"/>
  <c r="J77" i="7" s="1"/>
  <c r="I77" i="5"/>
  <c r="I77" i="7" s="1"/>
  <c r="H77" i="5"/>
  <c r="H77" i="7" s="1"/>
  <c r="G77" i="5"/>
  <c r="G77" i="7" s="1"/>
  <c r="F77" i="5"/>
  <c r="F77" i="7" s="1"/>
  <c r="E77" i="5"/>
  <c r="D77" i="5"/>
  <c r="D77" i="7" s="1"/>
  <c r="C77" i="5"/>
  <c r="C77" i="7" s="1"/>
  <c r="B77" i="5"/>
  <c r="B77" i="7" s="1"/>
  <c r="L76" i="5"/>
  <c r="L76" i="7" s="1"/>
  <c r="K76" i="5"/>
  <c r="K76" i="7" s="1"/>
  <c r="J76" i="5"/>
  <c r="J76" i="7" s="1"/>
  <c r="I76" i="5"/>
  <c r="I76" i="7" s="1"/>
  <c r="H76" i="5"/>
  <c r="H76" i="7" s="1"/>
  <c r="G76" i="5"/>
  <c r="G76" i="7" s="1"/>
  <c r="F76" i="5"/>
  <c r="F76" i="7" s="1"/>
  <c r="E76" i="5"/>
  <c r="E76" i="7" s="1"/>
  <c r="D76" i="5"/>
  <c r="D76" i="7" s="1"/>
  <c r="C76" i="5"/>
  <c r="C76" i="7" s="1"/>
  <c r="B76" i="5"/>
  <c r="B76" i="7" s="1"/>
  <c r="L75" i="5"/>
  <c r="L75" i="7" s="1"/>
  <c r="K75" i="5"/>
  <c r="K75" i="7" s="1"/>
  <c r="J75" i="5"/>
  <c r="J75" i="7" s="1"/>
  <c r="I75" i="5"/>
  <c r="I75" i="7" s="1"/>
  <c r="H75" i="5"/>
  <c r="H75" i="7" s="1"/>
  <c r="G75" i="5"/>
  <c r="G75" i="7" s="1"/>
  <c r="F75" i="5"/>
  <c r="F75" i="7" s="1"/>
  <c r="E75" i="5"/>
  <c r="E75" i="7" s="1"/>
  <c r="D75" i="5"/>
  <c r="D75" i="7" s="1"/>
  <c r="C75" i="5"/>
  <c r="C75" i="7" s="1"/>
  <c r="B75" i="5"/>
  <c r="B75" i="7" s="1"/>
  <c r="L74" i="5"/>
  <c r="L74" i="7" s="1"/>
  <c r="J74" i="5"/>
  <c r="J74" i="7" s="1"/>
  <c r="I74" i="5"/>
  <c r="I74" i="7" s="1"/>
  <c r="H74" i="5"/>
  <c r="H74" i="7" s="1"/>
  <c r="G74" i="5"/>
  <c r="G74" i="7" s="1"/>
  <c r="F74" i="5"/>
  <c r="F74" i="7" s="1"/>
  <c r="E74" i="5"/>
  <c r="E74" i="7" s="1"/>
  <c r="D74" i="5"/>
  <c r="D74" i="7" s="1"/>
  <c r="C74" i="5"/>
  <c r="C74" i="7" s="1"/>
  <c r="B74" i="5"/>
  <c r="B74" i="7" s="1"/>
  <c r="L73" i="5"/>
  <c r="L73" i="7" s="1"/>
  <c r="J73" i="5"/>
  <c r="J73" i="7" s="1"/>
  <c r="I73" i="5"/>
  <c r="I73" i="7" s="1"/>
  <c r="H73" i="5"/>
  <c r="H73" i="7" s="1"/>
  <c r="G73" i="5"/>
  <c r="G73" i="7" s="1"/>
  <c r="F73" i="5"/>
  <c r="F73" i="7" s="1"/>
  <c r="E73" i="5"/>
  <c r="E73" i="7" s="1"/>
  <c r="D73" i="5"/>
  <c r="D73" i="7" s="1"/>
  <c r="C73" i="5"/>
  <c r="C73" i="7" s="1"/>
  <c r="B73" i="5"/>
  <c r="B73" i="7" s="1"/>
  <c r="L72" i="5"/>
  <c r="L72" i="7" s="1"/>
  <c r="K72" i="5"/>
  <c r="K72" i="7" s="1"/>
  <c r="J72" i="5"/>
  <c r="J72" i="7" s="1"/>
  <c r="I72" i="5"/>
  <c r="I72" i="7" s="1"/>
  <c r="H72" i="5"/>
  <c r="H72" i="7" s="1"/>
  <c r="G72" i="5"/>
  <c r="G72" i="7" s="1"/>
  <c r="F72" i="5"/>
  <c r="F72" i="7" s="1"/>
  <c r="E72" i="5"/>
  <c r="E72" i="7" s="1"/>
  <c r="D72" i="5"/>
  <c r="D72" i="7" s="1"/>
  <c r="C72" i="5"/>
  <c r="C72" i="7" s="1"/>
  <c r="B72" i="5"/>
  <c r="B72" i="7" s="1"/>
  <c r="L71" i="5"/>
  <c r="L71" i="7" s="1"/>
  <c r="K71" i="5"/>
  <c r="K71" i="7" s="1"/>
  <c r="J71" i="5"/>
  <c r="J71" i="7" s="1"/>
  <c r="I71" i="5"/>
  <c r="I71" i="7" s="1"/>
  <c r="H71" i="5"/>
  <c r="H71" i="7" s="1"/>
  <c r="G71" i="5"/>
  <c r="G71" i="7" s="1"/>
  <c r="F71" i="5"/>
  <c r="F71" i="7" s="1"/>
  <c r="E71" i="5"/>
  <c r="E71" i="7" s="1"/>
  <c r="D71" i="5"/>
  <c r="D71" i="7" s="1"/>
  <c r="C71" i="5"/>
  <c r="C71" i="7" s="1"/>
  <c r="B71" i="5"/>
  <c r="B71" i="7" s="1"/>
  <c r="L70" i="5"/>
  <c r="L70" i="7" s="1"/>
  <c r="K70" i="5"/>
  <c r="K70" i="7" s="1"/>
  <c r="J70" i="5"/>
  <c r="J70" i="7" s="1"/>
  <c r="I70" i="5"/>
  <c r="I70" i="7" s="1"/>
  <c r="H70" i="5"/>
  <c r="H70" i="7" s="1"/>
  <c r="G70" i="5"/>
  <c r="G70" i="7" s="1"/>
  <c r="F70" i="5"/>
  <c r="F70" i="7" s="1"/>
  <c r="E70" i="5"/>
  <c r="E70" i="7" s="1"/>
  <c r="D70" i="5"/>
  <c r="D70" i="7" s="1"/>
  <c r="C70" i="5"/>
  <c r="C70" i="7" s="1"/>
  <c r="B70" i="5"/>
  <c r="B70" i="7" s="1"/>
  <c r="L69" i="5"/>
  <c r="L69" i="7" s="1"/>
  <c r="J69" i="5"/>
  <c r="J69" i="7" s="1"/>
  <c r="I69" i="5"/>
  <c r="I69" i="7" s="1"/>
  <c r="H69" i="5"/>
  <c r="H69" i="7" s="1"/>
  <c r="G69" i="5"/>
  <c r="G69" i="7" s="1"/>
  <c r="F69" i="5"/>
  <c r="F69" i="7" s="1"/>
  <c r="E69" i="5"/>
  <c r="E69" i="7" s="1"/>
  <c r="D69" i="5"/>
  <c r="D69" i="7" s="1"/>
  <c r="C69" i="5"/>
  <c r="C69" i="7" s="1"/>
  <c r="B69" i="5"/>
  <c r="B69" i="7" s="1"/>
  <c r="L68" i="5"/>
  <c r="L68" i="7" s="1"/>
  <c r="J68" i="5"/>
  <c r="J68" i="7" s="1"/>
  <c r="I68" i="5"/>
  <c r="I68" i="7" s="1"/>
  <c r="H68" i="5"/>
  <c r="H68" i="7" s="1"/>
  <c r="G68" i="5"/>
  <c r="G68" i="7" s="1"/>
  <c r="F68" i="5"/>
  <c r="F68" i="7" s="1"/>
  <c r="E68" i="5"/>
  <c r="E68" i="7" s="1"/>
  <c r="D68" i="5"/>
  <c r="D68" i="7" s="1"/>
  <c r="C68" i="5"/>
  <c r="C68" i="7" s="1"/>
  <c r="B68" i="5"/>
  <c r="B68" i="7" s="1"/>
  <c r="L67" i="5"/>
  <c r="L67" i="7" s="1"/>
  <c r="K67" i="5"/>
  <c r="K67" i="7" s="1"/>
  <c r="J67" i="5"/>
  <c r="J67" i="7" s="1"/>
  <c r="I67" i="5"/>
  <c r="I67" i="7" s="1"/>
  <c r="H67" i="5"/>
  <c r="H67" i="7" s="1"/>
  <c r="G67" i="5"/>
  <c r="G67" i="7" s="1"/>
  <c r="F67" i="5"/>
  <c r="F67" i="7" s="1"/>
  <c r="E67" i="5"/>
  <c r="E67" i="7" s="1"/>
  <c r="D67" i="5"/>
  <c r="D67" i="7" s="1"/>
  <c r="C67" i="5"/>
  <c r="C67" i="7" s="1"/>
  <c r="B67" i="5"/>
  <c r="B67" i="7" s="1"/>
  <c r="L66" i="5"/>
  <c r="L66" i="7" s="1"/>
  <c r="K66" i="5"/>
  <c r="K66" i="7" s="1"/>
  <c r="J66" i="5"/>
  <c r="J66" i="7" s="1"/>
  <c r="I66" i="5"/>
  <c r="I66" i="7" s="1"/>
  <c r="H66" i="5"/>
  <c r="H66" i="7" s="1"/>
  <c r="G66" i="5"/>
  <c r="G66" i="7" s="1"/>
  <c r="F66" i="5"/>
  <c r="F66" i="7" s="1"/>
  <c r="E66" i="5"/>
  <c r="E66" i="7" s="1"/>
  <c r="D66" i="5"/>
  <c r="D66" i="7" s="1"/>
  <c r="C66" i="5"/>
  <c r="C66" i="7" s="1"/>
  <c r="B66" i="5"/>
  <c r="B66" i="7" s="1"/>
  <c r="L65" i="5"/>
  <c r="L65" i="7" s="1"/>
  <c r="J65" i="5"/>
  <c r="J65" i="7" s="1"/>
  <c r="I65" i="5"/>
  <c r="I65" i="7" s="1"/>
  <c r="H65" i="5"/>
  <c r="H65" i="7" s="1"/>
  <c r="G65" i="5"/>
  <c r="G65" i="7" s="1"/>
  <c r="F65" i="5"/>
  <c r="F65" i="7" s="1"/>
  <c r="E65" i="5"/>
  <c r="E65" i="7" s="1"/>
  <c r="D65" i="5"/>
  <c r="D65" i="7" s="1"/>
  <c r="C65" i="5"/>
  <c r="C65" i="7" s="1"/>
  <c r="B65" i="5"/>
  <c r="B65" i="7" s="1"/>
  <c r="L64" i="5"/>
  <c r="L64" i="7" s="1"/>
  <c r="J64" i="5"/>
  <c r="J64" i="7" s="1"/>
  <c r="I64" i="5"/>
  <c r="I64" i="7" s="1"/>
  <c r="H64" i="5"/>
  <c r="H64" i="7" s="1"/>
  <c r="G64" i="5"/>
  <c r="G64" i="7" s="1"/>
  <c r="F64" i="5"/>
  <c r="F64" i="7" s="1"/>
  <c r="E64" i="5"/>
  <c r="E64" i="7" s="1"/>
  <c r="D64" i="5"/>
  <c r="D64" i="7" s="1"/>
  <c r="C64" i="5"/>
  <c r="C64" i="7" s="1"/>
  <c r="B64" i="5"/>
  <c r="B64" i="7" s="1"/>
  <c r="L63" i="5"/>
  <c r="L63" i="7" s="1"/>
  <c r="K63" i="5"/>
  <c r="K63" i="7" s="1"/>
  <c r="J63" i="5"/>
  <c r="J63" i="7" s="1"/>
  <c r="I63" i="5"/>
  <c r="I63" i="7" s="1"/>
  <c r="H63" i="5"/>
  <c r="H63" i="7" s="1"/>
  <c r="G63" i="5"/>
  <c r="G63" i="7" s="1"/>
  <c r="F63" i="5"/>
  <c r="F63" i="7" s="1"/>
  <c r="E63" i="5"/>
  <c r="E63" i="7" s="1"/>
  <c r="D63" i="5"/>
  <c r="D63" i="7" s="1"/>
  <c r="C63" i="5"/>
  <c r="C63" i="7" s="1"/>
  <c r="B63" i="5"/>
  <c r="B63" i="7" s="1"/>
  <c r="L62" i="5"/>
  <c r="L62" i="7" s="1"/>
  <c r="K62" i="5"/>
  <c r="K62" i="7" s="1"/>
  <c r="J62" i="5"/>
  <c r="J62" i="7" s="1"/>
  <c r="I62" i="5"/>
  <c r="I62" i="7" s="1"/>
  <c r="H62" i="5"/>
  <c r="H62" i="7" s="1"/>
  <c r="G62" i="5"/>
  <c r="G62" i="7" s="1"/>
  <c r="F62" i="5"/>
  <c r="F62" i="7" s="1"/>
  <c r="E62" i="5"/>
  <c r="E62" i="7" s="1"/>
  <c r="D62" i="5"/>
  <c r="D62" i="7" s="1"/>
  <c r="C62" i="5"/>
  <c r="C62" i="7" s="1"/>
  <c r="B62" i="5"/>
  <c r="B62" i="7" s="1"/>
  <c r="L61" i="5"/>
  <c r="L61" i="7" s="1"/>
  <c r="K61" i="5"/>
  <c r="K61" i="7" s="1"/>
  <c r="J61" i="5"/>
  <c r="J61" i="7" s="1"/>
  <c r="I61" i="5"/>
  <c r="I61" i="7" s="1"/>
  <c r="H61" i="5"/>
  <c r="H61" i="7" s="1"/>
  <c r="G61" i="5"/>
  <c r="G61" i="7" s="1"/>
  <c r="F61" i="5"/>
  <c r="F61" i="7" s="1"/>
  <c r="E61" i="5"/>
  <c r="E61" i="7" s="1"/>
  <c r="D61" i="5"/>
  <c r="D61" i="7" s="1"/>
  <c r="C61" i="5"/>
  <c r="C61" i="7" s="1"/>
  <c r="B61" i="5"/>
  <c r="B61" i="7" s="1"/>
  <c r="L60" i="5"/>
  <c r="L60" i="7" s="1"/>
  <c r="J60" i="5"/>
  <c r="J60" i="7" s="1"/>
  <c r="I60" i="5"/>
  <c r="I60" i="7" s="1"/>
  <c r="H60" i="5"/>
  <c r="H60" i="7" s="1"/>
  <c r="G60" i="5"/>
  <c r="G60" i="7" s="1"/>
  <c r="F60" i="5"/>
  <c r="F60" i="7" s="1"/>
  <c r="E60" i="5"/>
  <c r="E60" i="7" s="1"/>
  <c r="D60" i="5"/>
  <c r="D60" i="7" s="1"/>
  <c r="C60" i="5"/>
  <c r="C60" i="7" s="1"/>
  <c r="B60" i="5"/>
  <c r="B60" i="7" s="1"/>
  <c r="L59" i="5"/>
  <c r="L59" i="7" s="1"/>
  <c r="J59" i="5"/>
  <c r="J59" i="7" s="1"/>
  <c r="I59" i="5"/>
  <c r="I59" i="7" s="1"/>
  <c r="H59" i="5"/>
  <c r="H59" i="7" s="1"/>
  <c r="G59" i="5"/>
  <c r="G59" i="7" s="1"/>
  <c r="F59" i="5"/>
  <c r="F59" i="7" s="1"/>
  <c r="E59" i="5"/>
  <c r="E59" i="7" s="1"/>
  <c r="D59" i="5"/>
  <c r="D59" i="7" s="1"/>
  <c r="C59" i="5"/>
  <c r="C59" i="7" s="1"/>
  <c r="B59" i="5"/>
  <c r="B59" i="7" s="1"/>
  <c r="L58" i="5"/>
  <c r="L58" i="7" s="1"/>
  <c r="K58" i="5"/>
  <c r="K58" i="7" s="1"/>
  <c r="J58" i="5"/>
  <c r="J58" i="7" s="1"/>
  <c r="I58" i="5"/>
  <c r="I58" i="7" s="1"/>
  <c r="H58" i="5"/>
  <c r="H58" i="7" s="1"/>
  <c r="G58" i="5"/>
  <c r="G58" i="7" s="1"/>
  <c r="F58" i="5"/>
  <c r="F58" i="7" s="1"/>
  <c r="E58" i="5"/>
  <c r="E58" i="7" s="1"/>
  <c r="D58" i="5"/>
  <c r="D58" i="7" s="1"/>
  <c r="C58" i="5"/>
  <c r="C58" i="7" s="1"/>
  <c r="B58" i="5"/>
  <c r="B58" i="7" s="1"/>
  <c r="L57" i="5"/>
  <c r="L57" i="7" s="1"/>
  <c r="K57" i="5"/>
  <c r="K57" i="7" s="1"/>
  <c r="J57" i="5"/>
  <c r="J57" i="7" s="1"/>
  <c r="I57" i="5"/>
  <c r="I57" i="7" s="1"/>
  <c r="H57" i="5"/>
  <c r="H57" i="7" s="1"/>
  <c r="G57" i="5"/>
  <c r="G57" i="7" s="1"/>
  <c r="F57" i="5"/>
  <c r="F57" i="7" s="1"/>
  <c r="E57" i="5"/>
  <c r="E57" i="7" s="1"/>
  <c r="D57" i="5"/>
  <c r="D57" i="7" s="1"/>
  <c r="C57" i="5"/>
  <c r="C57" i="7" s="1"/>
  <c r="B57" i="5"/>
  <c r="B57" i="7" s="1"/>
  <c r="L56" i="5"/>
  <c r="L56" i="7" s="1"/>
  <c r="K56" i="5"/>
  <c r="K56" i="7" s="1"/>
  <c r="J56" i="5"/>
  <c r="J56" i="7" s="1"/>
  <c r="I56" i="5"/>
  <c r="I56" i="7" s="1"/>
  <c r="H56" i="5"/>
  <c r="H56" i="7" s="1"/>
  <c r="G56" i="5"/>
  <c r="G56" i="7" s="1"/>
  <c r="F56" i="5"/>
  <c r="F56" i="7" s="1"/>
  <c r="E56" i="5"/>
  <c r="E56" i="7" s="1"/>
  <c r="D56" i="5"/>
  <c r="D56" i="7" s="1"/>
  <c r="C56" i="5"/>
  <c r="C56" i="7" s="1"/>
  <c r="B56" i="5"/>
  <c r="B56" i="7" s="1"/>
  <c r="L55" i="5"/>
  <c r="L55" i="7" s="1"/>
  <c r="J55" i="5"/>
  <c r="J55" i="7" s="1"/>
  <c r="I55" i="5"/>
  <c r="I55" i="7" s="1"/>
  <c r="H55" i="5"/>
  <c r="H55" i="7" s="1"/>
  <c r="G55" i="5"/>
  <c r="G55" i="7" s="1"/>
  <c r="F55" i="5"/>
  <c r="F55" i="7" s="1"/>
  <c r="E55" i="5"/>
  <c r="E55" i="7" s="1"/>
  <c r="D55" i="5"/>
  <c r="D55" i="7" s="1"/>
  <c r="C55" i="5"/>
  <c r="C55" i="7" s="1"/>
  <c r="B55" i="5"/>
  <c r="B55" i="7" s="1"/>
  <c r="L54" i="5"/>
  <c r="L54" i="7" s="1"/>
  <c r="J54" i="5"/>
  <c r="J54" i="7" s="1"/>
  <c r="I54" i="5"/>
  <c r="I54" i="7" s="1"/>
  <c r="H54" i="5"/>
  <c r="H54" i="7" s="1"/>
  <c r="G54" i="5"/>
  <c r="G54" i="7" s="1"/>
  <c r="F54" i="5"/>
  <c r="F54" i="7" s="1"/>
  <c r="E54" i="5"/>
  <c r="E54" i="7" s="1"/>
  <c r="D54" i="5"/>
  <c r="D54" i="7" s="1"/>
  <c r="C54" i="5"/>
  <c r="C54" i="7" s="1"/>
  <c r="B54" i="5"/>
  <c r="B54" i="7" s="1"/>
  <c r="L53" i="5"/>
  <c r="L53" i="7" s="1"/>
  <c r="K53" i="5"/>
  <c r="K53" i="7" s="1"/>
  <c r="J53" i="5"/>
  <c r="J53" i="7" s="1"/>
  <c r="I53" i="5"/>
  <c r="I53" i="7" s="1"/>
  <c r="H53" i="5"/>
  <c r="H53" i="7" s="1"/>
  <c r="G53" i="5"/>
  <c r="G53" i="7" s="1"/>
  <c r="F53" i="5"/>
  <c r="F53" i="7" s="1"/>
  <c r="E53" i="5"/>
  <c r="E53" i="7" s="1"/>
  <c r="D53" i="5"/>
  <c r="D53" i="7" s="1"/>
  <c r="C53" i="5"/>
  <c r="C53" i="7" s="1"/>
  <c r="B53" i="5"/>
  <c r="B53" i="7" s="1"/>
  <c r="L52" i="5"/>
  <c r="L52" i="7" s="1"/>
  <c r="K52" i="5"/>
  <c r="K52" i="7" s="1"/>
  <c r="J52" i="5"/>
  <c r="J52" i="7" s="1"/>
  <c r="I52" i="5"/>
  <c r="I52" i="7" s="1"/>
  <c r="H52" i="5"/>
  <c r="H52" i="7" s="1"/>
  <c r="G52" i="5"/>
  <c r="G52" i="7" s="1"/>
  <c r="F52" i="5"/>
  <c r="F52" i="7" s="1"/>
  <c r="E52" i="5"/>
  <c r="E52" i="7" s="1"/>
  <c r="D52" i="5"/>
  <c r="D52" i="7" s="1"/>
  <c r="C52" i="5"/>
  <c r="C52" i="7" s="1"/>
  <c r="B52" i="5"/>
  <c r="B52" i="7" s="1"/>
  <c r="L51" i="5"/>
  <c r="L51" i="7" s="1"/>
  <c r="J51" i="5"/>
  <c r="J51" i="7" s="1"/>
  <c r="I51" i="5"/>
  <c r="I51" i="7" s="1"/>
  <c r="H51" i="5"/>
  <c r="H51" i="7" s="1"/>
  <c r="G51" i="5"/>
  <c r="G51" i="7" s="1"/>
  <c r="F51" i="5"/>
  <c r="F51" i="7" s="1"/>
  <c r="E51" i="5"/>
  <c r="E51" i="7" s="1"/>
  <c r="D51" i="5"/>
  <c r="D51" i="7" s="1"/>
  <c r="C51" i="5"/>
  <c r="C51" i="7" s="1"/>
  <c r="B51" i="5"/>
  <c r="B51" i="7" s="1"/>
  <c r="L50" i="5"/>
  <c r="L50" i="7" s="1"/>
  <c r="J50" i="5"/>
  <c r="J50" i="7" s="1"/>
  <c r="I50" i="5"/>
  <c r="I50" i="7" s="1"/>
  <c r="H50" i="5"/>
  <c r="H50" i="7" s="1"/>
  <c r="G50" i="5"/>
  <c r="G50" i="7" s="1"/>
  <c r="F50" i="5"/>
  <c r="F50" i="7" s="1"/>
  <c r="E50" i="5"/>
  <c r="E50" i="7" s="1"/>
  <c r="D50" i="5"/>
  <c r="D50" i="7" s="1"/>
  <c r="C50" i="5"/>
  <c r="C50" i="7" s="1"/>
  <c r="B50" i="5"/>
  <c r="B50" i="7" s="1"/>
  <c r="L49" i="5"/>
  <c r="L49" i="7" s="1"/>
  <c r="K49" i="5"/>
  <c r="K49" i="7" s="1"/>
  <c r="J49" i="5"/>
  <c r="J49" i="7" s="1"/>
  <c r="I49" i="5"/>
  <c r="I49" i="7" s="1"/>
  <c r="H49" i="5"/>
  <c r="H49" i="7" s="1"/>
  <c r="G49" i="5"/>
  <c r="G49" i="7" s="1"/>
  <c r="F49" i="5"/>
  <c r="F49" i="7" s="1"/>
  <c r="E49" i="5"/>
  <c r="E49" i="7" s="1"/>
  <c r="D49" i="5"/>
  <c r="D49" i="7" s="1"/>
  <c r="C49" i="5"/>
  <c r="C49" i="7" s="1"/>
  <c r="B49" i="5"/>
  <c r="B49" i="7" s="1"/>
  <c r="L48" i="5"/>
  <c r="L48" i="7" s="1"/>
  <c r="K48" i="5"/>
  <c r="K48" i="7" s="1"/>
  <c r="J48" i="5"/>
  <c r="J48" i="7" s="1"/>
  <c r="I48" i="5"/>
  <c r="I48" i="7" s="1"/>
  <c r="H48" i="5"/>
  <c r="H48" i="7" s="1"/>
  <c r="G48" i="5"/>
  <c r="G48" i="7" s="1"/>
  <c r="F48" i="5"/>
  <c r="F48" i="7" s="1"/>
  <c r="E48" i="5"/>
  <c r="E48" i="7" s="1"/>
  <c r="D48" i="5"/>
  <c r="D48" i="7" s="1"/>
  <c r="C48" i="5"/>
  <c r="C48" i="7" s="1"/>
  <c r="B48" i="5"/>
  <c r="B48" i="7" s="1"/>
  <c r="L47" i="5"/>
  <c r="L47" i="7" s="1"/>
  <c r="K47" i="5"/>
  <c r="K47" i="7" s="1"/>
  <c r="J47" i="5"/>
  <c r="J47" i="7" s="1"/>
  <c r="I47" i="5"/>
  <c r="I47" i="7" s="1"/>
  <c r="H47" i="5"/>
  <c r="H47" i="7" s="1"/>
  <c r="G47" i="5"/>
  <c r="G47" i="7" s="1"/>
  <c r="F47" i="5"/>
  <c r="F47" i="7" s="1"/>
  <c r="E47" i="5"/>
  <c r="E47" i="7" s="1"/>
  <c r="D47" i="5"/>
  <c r="D47" i="7" s="1"/>
  <c r="C47" i="5"/>
  <c r="C47" i="7" s="1"/>
  <c r="B47" i="5"/>
  <c r="B47" i="7" s="1"/>
  <c r="L46" i="5"/>
  <c r="L46" i="7" s="1"/>
  <c r="J46" i="5"/>
  <c r="J46" i="7" s="1"/>
  <c r="I46" i="5"/>
  <c r="I46" i="7" s="1"/>
  <c r="H46" i="5"/>
  <c r="H46" i="7" s="1"/>
  <c r="G46" i="5"/>
  <c r="G46" i="7" s="1"/>
  <c r="F46" i="5"/>
  <c r="F46" i="7" s="1"/>
  <c r="E46" i="5"/>
  <c r="E46" i="7" s="1"/>
  <c r="D46" i="5"/>
  <c r="D46" i="7" s="1"/>
  <c r="C46" i="5"/>
  <c r="C46" i="7" s="1"/>
  <c r="B46" i="5"/>
  <c r="B46" i="7" s="1"/>
  <c r="L45" i="5"/>
  <c r="L45" i="7" s="1"/>
  <c r="J45" i="5"/>
  <c r="J45" i="7" s="1"/>
  <c r="I45" i="5"/>
  <c r="I45" i="7" s="1"/>
  <c r="H45" i="5"/>
  <c r="H45" i="7" s="1"/>
  <c r="G45" i="5"/>
  <c r="G45" i="7" s="1"/>
  <c r="F45" i="5"/>
  <c r="F45" i="7" s="1"/>
  <c r="E45" i="5"/>
  <c r="E45" i="7" s="1"/>
  <c r="D45" i="5"/>
  <c r="D45" i="7" s="1"/>
  <c r="C45" i="5"/>
  <c r="C45" i="7" s="1"/>
  <c r="B45" i="5"/>
  <c r="B45" i="7" s="1"/>
  <c r="L44" i="5"/>
  <c r="L44" i="7" s="1"/>
  <c r="K44" i="5"/>
  <c r="K44" i="7" s="1"/>
  <c r="J44" i="5"/>
  <c r="J44" i="7" s="1"/>
  <c r="I44" i="5"/>
  <c r="I44" i="7" s="1"/>
  <c r="H44" i="5"/>
  <c r="H44" i="7" s="1"/>
  <c r="G44" i="5"/>
  <c r="G44" i="7" s="1"/>
  <c r="F44" i="5"/>
  <c r="F44" i="7" s="1"/>
  <c r="E44" i="5"/>
  <c r="E44" i="7" s="1"/>
  <c r="D44" i="5"/>
  <c r="D44" i="7" s="1"/>
  <c r="C44" i="5"/>
  <c r="C44" i="7" s="1"/>
  <c r="B44" i="5"/>
  <c r="B44" i="7" s="1"/>
  <c r="L43" i="5"/>
  <c r="L43" i="7" s="1"/>
  <c r="K43" i="5"/>
  <c r="K43" i="7" s="1"/>
  <c r="J43" i="5"/>
  <c r="J43" i="7" s="1"/>
  <c r="I43" i="5"/>
  <c r="I43" i="7" s="1"/>
  <c r="H43" i="5"/>
  <c r="H43" i="7" s="1"/>
  <c r="G43" i="5"/>
  <c r="G43" i="7" s="1"/>
  <c r="F43" i="5"/>
  <c r="F43" i="7" s="1"/>
  <c r="E43" i="5"/>
  <c r="E43" i="7" s="1"/>
  <c r="D43" i="5"/>
  <c r="D43" i="7" s="1"/>
  <c r="C43" i="5"/>
  <c r="C43" i="7" s="1"/>
  <c r="B43" i="5"/>
  <c r="B43" i="7" s="1"/>
  <c r="L42" i="5"/>
  <c r="L42" i="7" s="1"/>
  <c r="K42" i="5"/>
  <c r="K42" i="7" s="1"/>
  <c r="J42" i="5"/>
  <c r="J42" i="7" s="1"/>
  <c r="I42" i="5"/>
  <c r="I42" i="7" s="1"/>
  <c r="H42" i="5"/>
  <c r="H42" i="7" s="1"/>
  <c r="G42" i="5"/>
  <c r="G42" i="7" s="1"/>
  <c r="F42" i="5"/>
  <c r="F42" i="7" s="1"/>
  <c r="E42" i="5"/>
  <c r="E42" i="7" s="1"/>
  <c r="D42" i="5"/>
  <c r="D42" i="7" s="1"/>
  <c r="C42" i="5"/>
  <c r="C42" i="7" s="1"/>
  <c r="B42" i="5"/>
  <c r="B42" i="7" s="1"/>
  <c r="L41" i="5"/>
  <c r="L41" i="7" s="1"/>
  <c r="J41" i="5"/>
  <c r="J41" i="7" s="1"/>
  <c r="I41" i="5"/>
  <c r="I41" i="7" s="1"/>
  <c r="H41" i="5"/>
  <c r="H41" i="7" s="1"/>
  <c r="G41" i="5"/>
  <c r="G41" i="7" s="1"/>
  <c r="F41" i="5"/>
  <c r="F41" i="7" s="1"/>
  <c r="E41" i="5"/>
  <c r="E41" i="7" s="1"/>
  <c r="D41" i="5"/>
  <c r="D41" i="7" s="1"/>
  <c r="C41" i="5"/>
  <c r="C41" i="7" s="1"/>
  <c r="B41" i="5"/>
  <c r="B41" i="7" s="1"/>
  <c r="L40" i="5"/>
  <c r="L40" i="7" s="1"/>
  <c r="J40" i="5"/>
  <c r="J40" i="7" s="1"/>
  <c r="I40" i="5"/>
  <c r="I40" i="7" s="1"/>
  <c r="H40" i="5"/>
  <c r="H40" i="7" s="1"/>
  <c r="G40" i="5"/>
  <c r="G40" i="7" s="1"/>
  <c r="F40" i="5"/>
  <c r="F40" i="7" s="1"/>
  <c r="E40" i="5"/>
  <c r="E40" i="7" s="1"/>
  <c r="D40" i="5"/>
  <c r="D40" i="7" s="1"/>
  <c r="C40" i="5"/>
  <c r="C40" i="7" s="1"/>
  <c r="B40" i="5"/>
  <c r="B40" i="7" s="1"/>
  <c r="L39" i="5"/>
  <c r="L39" i="7" s="1"/>
  <c r="K39" i="5"/>
  <c r="K39" i="7" s="1"/>
  <c r="J39" i="5"/>
  <c r="J39" i="7" s="1"/>
  <c r="I39" i="5"/>
  <c r="I39" i="7" s="1"/>
  <c r="H39" i="5"/>
  <c r="H39" i="7" s="1"/>
  <c r="G39" i="5"/>
  <c r="G39" i="7" s="1"/>
  <c r="F39" i="5"/>
  <c r="F39" i="7" s="1"/>
  <c r="E39" i="5"/>
  <c r="E39" i="7" s="1"/>
  <c r="D39" i="5"/>
  <c r="D39" i="7" s="1"/>
  <c r="C39" i="5"/>
  <c r="C39" i="7" s="1"/>
  <c r="B39" i="5"/>
  <c r="B39" i="7" s="1"/>
  <c r="L38" i="5"/>
  <c r="L38" i="7" s="1"/>
  <c r="K38" i="5"/>
  <c r="K38" i="7" s="1"/>
  <c r="J38" i="5"/>
  <c r="J38" i="7" s="1"/>
  <c r="I38" i="5"/>
  <c r="I38" i="7" s="1"/>
  <c r="H38" i="5"/>
  <c r="H38" i="7" s="1"/>
  <c r="G38" i="5"/>
  <c r="G38" i="7" s="1"/>
  <c r="F38" i="5"/>
  <c r="F38" i="7" s="1"/>
  <c r="E38" i="5"/>
  <c r="E38" i="7" s="1"/>
  <c r="D38" i="5"/>
  <c r="D38" i="7" s="1"/>
  <c r="C38" i="5"/>
  <c r="C38" i="7" s="1"/>
  <c r="B38" i="5"/>
  <c r="B38" i="7" s="1"/>
  <c r="L37" i="5"/>
  <c r="L37" i="7" s="1"/>
  <c r="J37" i="5"/>
  <c r="J37" i="7" s="1"/>
  <c r="I37" i="5"/>
  <c r="I37" i="7" s="1"/>
  <c r="H37" i="5"/>
  <c r="H37" i="7" s="1"/>
  <c r="G37" i="5"/>
  <c r="G37" i="7" s="1"/>
  <c r="F37" i="5"/>
  <c r="F37" i="7" s="1"/>
  <c r="E37" i="5"/>
  <c r="E37" i="7" s="1"/>
  <c r="D37" i="5"/>
  <c r="D37" i="7" s="1"/>
  <c r="C37" i="5"/>
  <c r="C37" i="7" s="1"/>
  <c r="B37" i="5"/>
  <c r="B37" i="7" s="1"/>
  <c r="L36" i="5"/>
  <c r="L36" i="7" s="1"/>
  <c r="J36" i="5"/>
  <c r="J36" i="7" s="1"/>
  <c r="I36" i="5"/>
  <c r="I36" i="7" s="1"/>
  <c r="H36" i="5"/>
  <c r="H36" i="7" s="1"/>
  <c r="G36" i="5"/>
  <c r="G36" i="7" s="1"/>
  <c r="F36" i="5"/>
  <c r="F36" i="7" s="1"/>
  <c r="E36" i="5"/>
  <c r="E36" i="7" s="1"/>
  <c r="D36" i="5"/>
  <c r="D36" i="7" s="1"/>
  <c r="C36" i="5"/>
  <c r="C36" i="7" s="1"/>
  <c r="B36" i="5"/>
  <c r="B36" i="7" s="1"/>
  <c r="L35" i="5"/>
  <c r="L35" i="7" s="1"/>
  <c r="K35" i="5"/>
  <c r="K35" i="7" s="1"/>
  <c r="J35" i="5"/>
  <c r="J35" i="7" s="1"/>
  <c r="I35" i="5"/>
  <c r="I35" i="7" s="1"/>
  <c r="H35" i="5"/>
  <c r="H35" i="7" s="1"/>
  <c r="G35" i="5"/>
  <c r="G35" i="7" s="1"/>
  <c r="F35" i="5"/>
  <c r="F35" i="7" s="1"/>
  <c r="E35" i="5"/>
  <c r="E35" i="7" s="1"/>
  <c r="D35" i="5"/>
  <c r="D35" i="7" s="1"/>
  <c r="C35" i="5"/>
  <c r="C35" i="7" s="1"/>
  <c r="B35" i="5"/>
  <c r="B35" i="7" s="1"/>
  <c r="L34" i="5"/>
  <c r="L34" i="7" s="1"/>
  <c r="K34" i="5"/>
  <c r="K34" i="7" s="1"/>
  <c r="J34" i="5"/>
  <c r="J34" i="7" s="1"/>
  <c r="I34" i="5"/>
  <c r="I34" i="7" s="1"/>
  <c r="H34" i="5"/>
  <c r="H34" i="7" s="1"/>
  <c r="G34" i="5"/>
  <c r="G34" i="7" s="1"/>
  <c r="F34" i="5"/>
  <c r="F34" i="7" s="1"/>
  <c r="E34" i="5"/>
  <c r="E34" i="7" s="1"/>
  <c r="D34" i="5"/>
  <c r="D34" i="7" s="1"/>
  <c r="C34" i="5"/>
  <c r="C34" i="7" s="1"/>
  <c r="B34" i="5"/>
  <c r="B34" i="7" s="1"/>
  <c r="L33" i="5"/>
  <c r="L33" i="7" s="1"/>
  <c r="K33" i="5"/>
  <c r="K33" i="7" s="1"/>
  <c r="J33" i="5"/>
  <c r="J33" i="7" s="1"/>
  <c r="I33" i="5"/>
  <c r="I33" i="7" s="1"/>
  <c r="H33" i="5"/>
  <c r="H33" i="7" s="1"/>
  <c r="G33" i="5"/>
  <c r="G33" i="7" s="1"/>
  <c r="F33" i="5"/>
  <c r="F33" i="7" s="1"/>
  <c r="E33" i="5"/>
  <c r="E33" i="7" s="1"/>
  <c r="D33" i="5"/>
  <c r="D33" i="7" s="1"/>
  <c r="C33" i="5"/>
  <c r="C33" i="7" s="1"/>
  <c r="B33" i="5"/>
  <c r="B33" i="7" s="1"/>
  <c r="L32" i="5"/>
  <c r="L32" i="7" s="1"/>
  <c r="J32" i="5"/>
  <c r="J32" i="7" s="1"/>
  <c r="I32" i="5"/>
  <c r="I32" i="7" s="1"/>
  <c r="H32" i="5"/>
  <c r="H32" i="7" s="1"/>
  <c r="G32" i="5"/>
  <c r="G32" i="7" s="1"/>
  <c r="F32" i="5"/>
  <c r="F32" i="7" s="1"/>
  <c r="E32" i="5"/>
  <c r="E32" i="7" s="1"/>
  <c r="D32" i="5"/>
  <c r="D32" i="7" s="1"/>
  <c r="C32" i="5"/>
  <c r="C32" i="7" s="1"/>
  <c r="B32" i="5"/>
  <c r="B32" i="7" s="1"/>
  <c r="L31" i="5"/>
  <c r="L31" i="7" s="1"/>
  <c r="J31" i="5"/>
  <c r="J31" i="7" s="1"/>
  <c r="I31" i="5"/>
  <c r="I31" i="7" s="1"/>
  <c r="H31" i="5"/>
  <c r="H31" i="7" s="1"/>
  <c r="G31" i="5"/>
  <c r="G31" i="7" s="1"/>
  <c r="F31" i="5"/>
  <c r="F31" i="7" s="1"/>
  <c r="E31" i="5"/>
  <c r="E31" i="7" s="1"/>
  <c r="D31" i="5"/>
  <c r="D31" i="7" s="1"/>
  <c r="C31" i="5"/>
  <c r="C31" i="7" s="1"/>
  <c r="B31" i="5"/>
  <c r="B31" i="7" s="1"/>
  <c r="L30" i="5"/>
  <c r="L30" i="7" s="1"/>
  <c r="K30" i="5"/>
  <c r="K30" i="7" s="1"/>
  <c r="J30" i="5"/>
  <c r="J30" i="7" s="1"/>
  <c r="I30" i="5"/>
  <c r="I30" i="7" s="1"/>
  <c r="H30" i="5"/>
  <c r="H30" i="7" s="1"/>
  <c r="G30" i="5"/>
  <c r="G30" i="7" s="1"/>
  <c r="F30" i="5"/>
  <c r="F30" i="7" s="1"/>
  <c r="E30" i="5"/>
  <c r="E30" i="7" s="1"/>
  <c r="D30" i="5"/>
  <c r="D30" i="7" s="1"/>
  <c r="C30" i="5"/>
  <c r="C30" i="7" s="1"/>
  <c r="B30" i="5"/>
  <c r="B30" i="7" s="1"/>
  <c r="L29" i="5"/>
  <c r="L29" i="7" s="1"/>
  <c r="K29" i="5"/>
  <c r="K29" i="7" s="1"/>
  <c r="J29" i="5"/>
  <c r="J29" i="7" s="1"/>
  <c r="I29" i="5"/>
  <c r="I29" i="7" s="1"/>
  <c r="H29" i="5"/>
  <c r="H29" i="7" s="1"/>
  <c r="G29" i="5"/>
  <c r="G29" i="7" s="1"/>
  <c r="F29" i="5"/>
  <c r="F29" i="7" s="1"/>
  <c r="E29" i="5"/>
  <c r="E29" i="7" s="1"/>
  <c r="D29" i="5"/>
  <c r="D29" i="7" s="1"/>
  <c r="C29" i="5"/>
  <c r="C29" i="7" s="1"/>
  <c r="B29" i="5"/>
  <c r="B29" i="7" s="1"/>
  <c r="L28" i="5"/>
  <c r="L28" i="7" s="1"/>
  <c r="K28" i="5"/>
  <c r="K28" i="7" s="1"/>
  <c r="J28" i="5"/>
  <c r="J28" i="7" s="1"/>
  <c r="I28" i="5"/>
  <c r="I28" i="7" s="1"/>
  <c r="H28" i="5"/>
  <c r="H28" i="7" s="1"/>
  <c r="G28" i="5"/>
  <c r="G28" i="7" s="1"/>
  <c r="F28" i="5"/>
  <c r="F28" i="7" s="1"/>
  <c r="E28" i="5"/>
  <c r="E28" i="7" s="1"/>
  <c r="D28" i="5"/>
  <c r="D28" i="7" s="1"/>
  <c r="C28" i="5"/>
  <c r="C28" i="7" s="1"/>
  <c r="B28" i="5"/>
  <c r="B28" i="7" s="1"/>
  <c r="L27" i="5"/>
  <c r="L27" i="7" s="1"/>
  <c r="J27" i="5"/>
  <c r="J27" i="7" s="1"/>
  <c r="I27" i="5"/>
  <c r="I27" i="7" s="1"/>
  <c r="H27" i="5"/>
  <c r="H27" i="7" s="1"/>
  <c r="G27" i="5"/>
  <c r="G27" i="7" s="1"/>
  <c r="F27" i="5"/>
  <c r="F27" i="7" s="1"/>
  <c r="E27" i="5"/>
  <c r="E27" i="7" s="1"/>
  <c r="D27" i="5"/>
  <c r="D27" i="7" s="1"/>
  <c r="C27" i="5"/>
  <c r="C27" i="7" s="1"/>
  <c r="B27" i="5"/>
  <c r="B27" i="7" s="1"/>
  <c r="L26" i="5"/>
  <c r="L26" i="7" s="1"/>
  <c r="J26" i="5"/>
  <c r="J26" i="7" s="1"/>
  <c r="I26" i="5"/>
  <c r="I26" i="7" s="1"/>
  <c r="H26" i="5"/>
  <c r="H26" i="7" s="1"/>
  <c r="G26" i="5"/>
  <c r="G26" i="7" s="1"/>
  <c r="F26" i="5"/>
  <c r="F26" i="7" s="1"/>
  <c r="E26" i="5"/>
  <c r="E26" i="7" s="1"/>
  <c r="D26" i="5"/>
  <c r="D26" i="7" s="1"/>
  <c r="C26" i="5"/>
  <c r="C26" i="7" s="1"/>
  <c r="B26" i="5"/>
  <c r="B26" i="7" s="1"/>
  <c r="L25" i="5"/>
  <c r="L25" i="7" s="1"/>
  <c r="K25" i="5"/>
  <c r="K25" i="7" s="1"/>
  <c r="J25" i="5"/>
  <c r="J25" i="7" s="1"/>
  <c r="I25" i="5"/>
  <c r="I25" i="7" s="1"/>
  <c r="H25" i="5"/>
  <c r="H25" i="7" s="1"/>
  <c r="G25" i="5"/>
  <c r="G25" i="7" s="1"/>
  <c r="F25" i="5"/>
  <c r="F25" i="7" s="1"/>
  <c r="E25" i="5"/>
  <c r="E25" i="7" s="1"/>
  <c r="D25" i="5"/>
  <c r="D25" i="7" s="1"/>
  <c r="C25" i="5"/>
  <c r="C25" i="7" s="1"/>
  <c r="B25" i="5"/>
  <c r="B25" i="7" s="1"/>
  <c r="L24" i="5"/>
  <c r="L24" i="7" s="1"/>
  <c r="K24" i="5"/>
  <c r="K24" i="7" s="1"/>
  <c r="J24" i="5"/>
  <c r="J24" i="7" s="1"/>
  <c r="I24" i="5"/>
  <c r="I24" i="7" s="1"/>
  <c r="H24" i="5"/>
  <c r="H24" i="7" s="1"/>
  <c r="G24" i="5"/>
  <c r="G24" i="7" s="1"/>
  <c r="F24" i="5"/>
  <c r="F24" i="7" s="1"/>
  <c r="E24" i="5"/>
  <c r="E24" i="7" s="1"/>
  <c r="D24" i="5"/>
  <c r="D24" i="7" s="1"/>
  <c r="C24" i="5"/>
  <c r="C24" i="7" s="1"/>
  <c r="B24" i="5"/>
  <c r="B24" i="7" s="1"/>
  <c r="L23" i="5"/>
  <c r="L23" i="7" s="1"/>
  <c r="J23" i="5"/>
  <c r="J23" i="7" s="1"/>
  <c r="I23" i="5"/>
  <c r="I23" i="7" s="1"/>
  <c r="H23" i="5"/>
  <c r="H23" i="7" s="1"/>
  <c r="G23" i="5"/>
  <c r="G23" i="7" s="1"/>
  <c r="F23" i="5"/>
  <c r="F23" i="7" s="1"/>
  <c r="E23" i="5"/>
  <c r="E23" i="7" s="1"/>
  <c r="D23" i="5"/>
  <c r="D23" i="7" s="1"/>
  <c r="C23" i="5"/>
  <c r="C23" i="7" s="1"/>
  <c r="B23" i="5"/>
  <c r="B23" i="7" s="1"/>
  <c r="L22" i="5"/>
  <c r="L22" i="7" s="1"/>
  <c r="J22" i="5"/>
  <c r="J22" i="7" s="1"/>
  <c r="I22" i="5"/>
  <c r="I22" i="7" s="1"/>
  <c r="H22" i="5"/>
  <c r="H22" i="7" s="1"/>
  <c r="G22" i="5"/>
  <c r="G22" i="7" s="1"/>
  <c r="F22" i="5"/>
  <c r="F22" i="7" s="1"/>
  <c r="E22" i="5"/>
  <c r="E22" i="7" s="1"/>
  <c r="D22" i="5"/>
  <c r="D22" i="7" s="1"/>
  <c r="C22" i="5"/>
  <c r="C22" i="7" s="1"/>
  <c r="B22" i="5"/>
  <c r="B22" i="7" s="1"/>
  <c r="L21" i="5"/>
  <c r="L21" i="7" s="1"/>
  <c r="K21" i="5"/>
  <c r="K21" i="7" s="1"/>
  <c r="J21" i="5"/>
  <c r="J21" i="7" s="1"/>
  <c r="I21" i="5"/>
  <c r="I21" i="7" s="1"/>
  <c r="H21" i="5"/>
  <c r="H21" i="7" s="1"/>
  <c r="G21" i="5"/>
  <c r="G21" i="7" s="1"/>
  <c r="F21" i="5"/>
  <c r="F21" i="7" s="1"/>
  <c r="E21" i="5"/>
  <c r="E21" i="7" s="1"/>
  <c r="D21" i="5"/>
  <c r="D21" i="7" s="1"/>
  <c r="C21" i="5"/>
  <c r="C21" i="7" s="1"/>
  <c r="B21" i="5"/>
  <c r="B21" i="7" s="1"/>
  <c r="L20" i="5"/>
  <c r="L20" i="7" s="1"/>
  <c r="K20" i="5"/>
  <c r="K20" i="7" s="1"/>
  <c r="J20" i="5"/>
  <c r="J20" i="7" s="1"/>
  <c r="I20" i="5"/>
  <c r="I20" i="7" s="1"/>
  <c r="H20" i="5"/>
  <c r="H20" i="7" s="1"/>
  <c r="G20" i="5"/>
  <c r="G20" i="7" s="1"/>
  <c r="F20" i="5"/>
  <c r="F20" i="7" s="1"/>
  <c r="E20" i="5"/>
  <c r="E20" i="7" s="1"/>
  <c r="D20" i="5"/>
  <c r="D20" i="7" s="1"/>
  <c r="C20" i="5"/>
  <c r="C20" i="7" s="1"/>
  <c r="B20" i="5"/>
  <c r="B20" i="7" s="1"/>
  <c r="L19" i="5"/>
  <c r="L19" i="7" s="1"/>
  <c r="K19" i="5"/>
  <c r="K19" i="7" s="1"/>
  <c r="J19" i="5"/>
  <c r="J19" i="7" s="1"/>
  <c r="I19" i="5"/>
  <c r="I19" i="7" s="1"/>
  <c r="H19" i="5"/>
  <c r="H19" i="7" s="1"/>
  <c r="G19" i="5"/>
  <c r="G19" i="7" s="1"/>
  <c r="F19" i="5"/>
  <c r="F19" i="7" s="1"/>
  <c r="E19" i="5"/>
  <c r="E19" i="7" s="1"/>
  <c r="D19" i="5"/>
  <c r="D19" i="7" s="1"/>
  <c r="C19" i="5"/>
  <c r="C19" i="7" s="1"/>
  <c r="B19" i="5"/>
  <c r="B19" i="7" s="1"/>
  <c r="L18" i="5"/>
  <c r="L18" i="7" s="1"/>
  <c r="J18" i="5"/>
  <c r="J18" i="7" s="1"/>
  <c r="I18" i="5"/>
  <c r="I18" i="7" s="1"/>
  <c r="H18" i="5"/>
  <c r="H18" i="7" s="1"/>
  <c r="G18" i="5"/>
  <c r="G18" i="7" s="1"/>
  <c r="F18" i="5"/>
  <c r="F18" i="7" s="1"/>
  <c r="E18" i="5"/>
  <c r="E18" i="7" s="1"/>
  <c r="D18" i="5"/>
  <c r="D18" i="7" s="1"/>
  <c r="C18" i="5"/>
  <c r="C18" i="7" s="1"/>
  <c r="B18" i="5"/>
  <c r="B18" i="7" s="1"/>
  <c r="L17" i="5"/>
  <c r="L17" i="7" s="1"/>
  <c r="J17" i="5"/>
  <c r="J17" i="7" s="1"/>
  <c r="I17" i="5"/>
  <c r="I17" i="7" s="1"/>
  <c r="H17" i="5"/>
  <c r="H17" i="7" s="1"/>
  <c r="G17" i="5"/>
  <c r="G17" i="7" s="1"/>
  <c r="F17" i="5"/>
  <c r="F17" i="7" s="1"/>
  <c r="E17" i="5"/>
  <c r="E17" i="7" s="1"/>
  <c r="D17" i="5"/>
  <c r="D17" i="7" s="1"/>
  <c r="C17" i="5"/>
  <c r="C17" i="7" s="1"/>
  <c r="B17" i="5"/>
  <c r="B17" i="7" s="1"/>
  <c r="L16" i="5"/>
  <c r="L16" i="7" s="1"/>
  <c r="K16" i="5"/>
  <c r="K16" i="7" s="1"/>
  <c r="J16" i="5"/>
  <c r="J16" i="7" s="1"/>
  <c r="I16" i="5"/>
  <c r="I16" i="7" s="1"/>
  <c r="H16" i="5"/>
  <c r="H16" i="7" s="1"/>
  <c r="G16" i="5"/>
  <c r="G16" i="7" s="1"/>
  <c r="F16" i="5"/>
  <c r="F16" i="7" s="1"/>
  <c r="E16" i="5"/>
  <c r="E16" i="7" s="1"/>
  <c r="D16" i="5"/>
  <c r="D16" i="7" s="1"/>
  <c r="C16" i="5"/>
  <c r="C16" i="7" s="1"/>
  <c r="B16" i="5"/>
  <c r="B16" i="7" s="1"/>
  <c r="L15" i="5"/>
  <c r="L15" i="7" s="1"/>
  <c r="K15" i="5"/>
  <c r="K15" i="7" s="1"/>
  <c r="J15" i="5"/>
  <c r="J15" i="7" s="1"/>
  <c r="I15" i="5"/>
  <c r="I15" i="7" s="1"/>
  <c r="H15" i="5"/>
  <c r="H15" i="7" s="1"/>
  <c r="G15" i="5"/>
  <c r="G15" i="7" s="1"/>
  <c r="F15" i="5"/>
  <c r="F15" i="7" s="1"/>
  <c r="E15" i="5"/>
  <c r="E15" i="7" s="1"/>
  <c r="D15" i="5"/>
  <c r="D15" i="7" s="1"/>
  <c r="C15" i="5"/>
  <c r="C15" i="7" s="1"/>
  <c r="B15" i="5"/>
  <c r="B15" i="7" s="1"/>
  <c r="L14" i="5"/>
  <c r="L14" i="7" s="1"/>
  <c r="K14" i="5"/>
  <c r="K14" i="7" s="1"/>
  <c r="J14" i="5"/>
  <c r="J14" i="7" s="1"/>
  <c r="I14" i="5"/>
  <c r="I14" i="7" s="1"/>
  <c r="H14" i="5"/>
  <c r="H14" i="7" s="1"/>
  <c r="G14" i="5"/>
  <c r="G14" i="7" s="1"/>
  <c r="F14" i="5"/>
  <c r="F14" i="7" s="1"/>
  <c r="E14" i="5"/>
  <c r="E14" i="7" s="1"/>
  <c r="D14" i="5"/>
  <c r="D14" i="7" s="1"/>
  <c r="C14" i="5"/>
  <c r="C14" i="7" s="1"/>
  <c r="B14" i="5"/>
  <c r="B14" i="7" s="1"/>
  <c r="L13" i="5"/>
  <c r="L13" i="7" s="1"/>
  <c r="J13" i="5"/>
  <c r="J13" i="7" s="1"/>
  <c r="I13" i="5"/>
  <c r="I13" i="7" s="1"/>
  <c r="H13" i="5"/>
  <c r="H13" i="7" s="1"/>
  <c r="G13" i="5"/>
  <c r="G13" i="7" s="1"/>
  <c r="F13" i="5"/>
  <c r="F13" i="7" s="1"/>
  <c r="E13" i="5"/>
  <c r="E13" i="7" s="1"/>
  <c r="D13" i="5"/>
  <c r="D13" i="7" s="1"/>
  <c r="C13" i="5"/>
  <c r="C13" i="7" s="1"/>
  <c r="B13" i="5"/>
  <c r="B13" i="7" s="1"/>
  <c r="L12" i="5"/>
  <c r="L12" i="7" s="1"/>
  <c r="J12" i="5"/>
  <c r="J12" i="7" s="1"/>
  <c r="I12" i="5"/>
  <c r="I12" i="7" s="1"/>
  <c r="H12" i="5"/>
  <c r="H12" i="7" s="1"/>
  <c r="G12" i="5"/>
  <c r="G12" i="7" s="1"/>
  <c r="F12" i="5"/>
  <c r="F12" i="7" s="1"/>
  <c r="E12" i="5"/>
  <c r="E12" i="7" s="1"/>
  <c r="D12" i="5"/>
  <c r="D12" i="7" s="1"/>
  <c r="C12" i="5"/>
  <c r="C12" i="7" s="1"/>
  <c r="B12" i="5"/>
  <c r="B12" i="7" s="1"/>
  <c r="L11" i="5"/>
  <c r="L11" i="7" s="1"/>
  <c r="K11" i="5"/>
  <c r="K11" i="7" s="1"/>
  <c r="J11" i="5"/>
  <c r="J11" i="7" s="1"/>
  <c r="I11" i="5"/>
  <c r="I11" i="7" s="1"/>
  <c r="H11" i="5"/>
  <c r="H11" i="7" s="1"/>
  <c r="G11" i="5"/>
  <c r="G11" i="7" s="1"/>
  <c r="F11" i="5"/>
  <c r="F11" i="7" s="1"/>
  <c r="E11" i="5"/>
  <c r="E11" i="7" s="1"/>
  <c r="D11" i="5"/>
  <c r="D11" i="7" s="1"/>
  <c r="C11" i="5"/>
  <c r="C11" i="7" s="1"/>
  <c r="B11" i="5"/>
  <c r="B11" i="7" s="1"/>
  <c r="L10" i="5"/>
  <c r="L10" i="7" s="1"/>
  <c r="K10" i="5"/>
  <c r="K10" i="7" s="1"/>
  <c r="J10" i="5"/>
  <c r="J10" i="7" s="1"/>
  <c r="I10" i="5"/>
  <c r="I10" i="7" s="1"/>
  <c r="H10" i="5"/>
  <c r="H10" i="7" s="1"/>
  <c r="G10" i="5"/>
  <c r="G10" i="7" s="1"/>
  <c r="F10" i="5"/>
  <c r="F10" i="7" s="1"/>
  <c r="E10" i="5"/>
  <c r="E10" i="7" s="1"/>
  <c r="D10" i="5"/>
  <c r="D10" i="7" s="1"/>
  <c r="C10" i="5"/>
  <c r="C10" i="7" s="1"/>
  <c r="B10" i="5"/>
  <c r="B10" i="7" s="1"/>
  <c r="L9" i="5"/>
  <c r="L9" i="7" s="1"/>
  <c r="J9" i="5"/>
  <c r="J9" i="7" s="1"/>
  <c r="I9" i="5"/>
  <c r="I9" i="7" s="1"/>
  <c r="H9" i="5"/>
  <c r="H9" i="7" s="1"/>
  <c r="G9" i="5"/>
  <c r="G9" i="7" s="1"/>
  <c r="F9" i="5"/>
  <c r="F9" i="7" s="1"/>
  <c r="E9" i="5"/>
  <c r="E9" i="7" s="1"/>
  <c r="D9" i="5"/>
  <c r="D9" i="7" s="1"/>
  <c r="C9" i="5"/>
  <c r="C9" i="7" s="1"/>
  <c r="B9" i="5"/>
  <c r="B9" i="7" s="1"/>
  <c r="L8" i="5"/>
  <c r="L8" i="7" s="1"/>
  <c r="J8" i="5"/>
  <c r="J8" i="7" s="1"/>
  <c r="I8" i="5"/>
  <c r="I8" i="7" s="1"/>
  <c r="H8" i="5"/>
  <c r="H8" i="7" s="1"/>
  <c r="G8" i="5"/>
  <c r="G8" i="7" s="1"/>
  <c r="F8" i="5"/>
  <c r="F8" i="7" s="1"/>
  <c r="E8" i="5"/>
  <c r="E8" i="7" s="1"/>
  <c r="D8" i="5"/>
  <c r="D8" i="7" s="1"/>
  <c r="C8" i="5"/>
  <c r="C8" i="7" s="1"/>
  <c r="B8" i="5"/>
  <c r="B8" i="7" s="1"/>
  <c r="L7" i="5"/>
  <c r="L7" i="7" s="1"/>
  <c r="K7" i="5"/>
  <c r="K7" i="7" s="1"/>
  <c r="J7" i="5"/>
  <c r="J7" i="7" s="1"/>
  <c r="I7" i="5"/>
  <c r="I7" i="7" s="1"/>
  <c r="H7" i="5"/>
  <c r="H7" i="7" s="1"/>
  <c r="G7" i="5"/>
  <c r="G7" i="7" s="1"/>
  <c r="F7" i="5"/>
  <c r="F7" i="7" s="1"/>
  <c r="E7" i="5"/>
  <c r="E7" i="7" s="1"/>
  <c r="D7" i="5"/>
  <c r="D7" i="7" s="1"/>
  <c r="C7" i="5"/>
  <c r="C7" i="7" s="1"/>
  <c r="B7" i="5"/>
  <c r="B7" i="7" s="1"/>
  <c r="L6" i="5"/>
  <c r="L6" i="7" s="1"/>
  <c r="K6" i="5"/>
  <c r="K6" i="7" s="1"/>
  <c r="J6" i="5"/>
  <c r="J6" i="7" s="1"/>
  <c r="G6" i="1" s="1"/>
  <c r="G10" i="1" s="1"/>
  <c r="I6" i="5"/>
  <c r="I6" i="7" s="1"/>
  <c r="H6" i="5"/>
  <c r="H6" i="7" s="1"/>
  <c r="G6" i="5"/>
  <c r="G6" i="7" s="1"/>
  <c r="F6" i="5"/>
  <c r="F6" i="7" s="1"/>
  <c r="E6" i="5"/>
  <c r="E6" i="7" s="1"/>
  <c r="D6" i="5"/>
  <c r="D6" i="7" s="1"/>
  <c r="C6" i="5"/>
  <c r="C6" i="7" s="1"/>
  <c r="B6" i="5"/>
  <c r="B6" i="7" s="1"/>
  <c r="L5" i="5"/>
  <c r="L5" i="7" s="1"/>
  <c r="K5" i="5"/>
  <c r="K5" i="7" s="1"/>
  <c r="J5" i="5"/>
  <c r="J5" i="7" s="1"/>
  <c r="I5" i="5"/>
  <c r="I5" i="7" s="1"/>
  <c r="H5" i="5"/>
  <c r="H5" i="7" s="1"/>
  <c r="G5" i="5"/>
  <c r="G5" i="7" s="1"/>
  <c r="F5" i="5"/>
  <c r="F5" i="7" s="1"/>
  <c r="E5" i="5"/>
  <c r="E5" i="7" s="1"/>
  <c r="D5" i="5"/>
  <c r="D5" i="7" s="1"/>
  <c r="C5" i="5"/>
  <c r="C5" i="7" s="1"/>
  <c r="B5" i="5"/>
  <c r="B5" i="7" s="1"/>
  <c r="L4" i="5"/>
  <c r="L4" i="7" s="1"/>
  <c r="J4" i="5"/>
  <c r="J4" i="7" s="1"/>
  <c r="I4" i="5"/>
  <c r="I4" i="7" s="1"/>
  <c r="H4" i="5"/>
  <c r="H4" i="7" s="1"/>
  <c r="G4" i="5"/>
  <c r="G4" i="7" s="1"/>
  <c r="F4" i="5"/>
  <c r="F4" i="7" s="1"/>
  <c r="E4" i="5"/>
  <c r="E4" i="7" s="1"/>
  <c r="D4" i="5"/>
  <c r="D4" i="7" s="1"/>
  <c r="C4" i="5"/>
  <c r="C4" i="7" s="1"/>
  <c r="B4" i="5"/>
  <c r="B4" i="7" s="1"/>
  <c r="L3" i="5"/>
  <c r="L3" i="7" s="1"/>
  <c r="J3" i="5"/>
  <c r="J3" i="7" s="1"/>
  <c r="I3" i="5"/>
  <c r="I3" i="7" s="1"/>
  <c r="H3" i="5"/>
  <c r="H3" i="7" s="1"/>
  <c r="G3" i="5"/>
  <c r="G3" i="7" s="1"/>
  <c r="F3" i="5"/>
  <c r="F3" i="7" s="1"/>
  <c r="E3" i="5"/>
  <c r="E3" i="7" s="1"/>
  <c r="D3" i="5"/>
  <c r="D3" i="7" s="1"/>
  <c r="C3" i="5"/>
  <c r="C3" i="7" s="1"/>
  <c r="B3" i="5"/>
  <c r="B3" i="7" s="1"/>
  <c r="D19" i="1" s="1"/>
  <c r="L2" i="5"/>
  <c r="L2" i="7" s="1"/>
  <c r="K2" i="5"/>
  <c r="K2" i="7" s="1"/>
  <c r="J2" i="5"/>
  <c r="J2" i="7" s="1"/>
  <c r="I2" i="5"/>
  <c r="I2" i="7" s="1"/>
  <c r="H2" i="5"/>
  <c r="H2" i="7" s="1"/>
  <c r="G2" i="5"/>
  <c r="G2" i="7" s="1"/>
  <c r="F2" i="5"/>
  <c r="F2" i="7" s="1"/>
  <c r="E2" i="5"/>
  <c r="E2" i="7" s="1"/>
  <c r="D2" i="5"/>
  <c r="D2" i="7" s="1"/>
  <c r="C2" i="5"/>
  <c r="B2" i="5"/>
  <c r="B2" i="7" s="1"/>
  <c r="B19" i="1" s="1"/>
  <c r="B91" i="1"/>
  <c r="B90" i="1"/>
  <c r="B89" i="1"/>
  <c r="B88" i="1"/>
  <c r="B10" i="1"/>
  <c r="G9" i="1"/>
  <c r="G8" i="1"/>
  <c r="G7" i="1"/>
  <c r="B6" i="1"/>
  <c r="D6" i="1" s="1"/>
  <c r="H9" i="1" l="1"/>
  <c r="H8" i="1"/>
  <c r="H6" i="1"/>
  <c r="H7" i="1"/>
  <c r="M410" i="7"/>
  <c r="N410" i="7" s="1"/>
  <c r="M508" i="7"/>
  <c r="N508" i="7"/>
  <c r="M106" i="7"/>
  <c r="N106" i="7" s="1"/>
  <c r="N160" i="7"/>
  <c r="M160" i="7"/>
  <c r="M185" i="7"/>
  <c r="N185" i="7" s="1"/>
  <c r="E894" i="7"/>
  <c r="K894" i="5"/>
  <c r="K894" i="7" s="1"/>
  <c r="N10" i="7"/>
  <c r="M10" i="7"/>
  <c r="M38" i="7"/>
  <c r="N38" i="7" s="1"/>
  <c r="E133" i="7"/>
  <c r="K133" i="5"/>
  <c r="K133" i="7" s="1"/>
  <c r="M393" i="7"/>
  <c r="N393" i="7" s="1"/>
  <c r="N14" i="7"/>
  <c r="M14" i="7"/>
  <c r="M28" i="7"/>
  <c r="N28" i="7" s="1"/>
  <c r="M227" i="7"/>
  <c r="N227" i="7"/>
  <c r="M302" i="7"/>
  <c r="N302" i="7" s="1"/>
  <c r="M323" i="7"/>
  <c r="N323" i="7"/>
  <c r="E371" i="7"/>
  <c r="K371" i="5"/>
  <c r="K371" i="7" s="1"/>
  <c r="M409" i="7"/>
  <c r="N409" i="7"/>
  <c r="N138" i="7"/>
  <c r="M138" i="7"/>
  <c r="M306" i="7"/>
  <c r="N306" i="7" s="1"/>
  <c r="M421" i="7"/>
  <c r="N421" i="7" s="1"/>
  <c r="N458" i="7"/>
  <c r="M458" i="7"/>
  <c r="M568" i="7"/>
  <c r="N568" i="7" s="1"/>
  <c r="M4" i="7"/>
  <c r="N4" i="7" s="1"/>
  <c r="K9" i="5"/>
  <c r="K9" i="7" s="1"/>
  <c r="K51" i="5"/>
  <c r="K51" i="7" s="1"/>
  <c r="N60" i="7"/>
  <c r="M60" i="7"/>
  <c r="K65" i="5"/>
  <c r="K65" i="7" s="1"/>
  <c r="M74" i="7"/>
  <c r="N74" i="7" s="1"/>
  <c r="E175" i="7"/>
  <c r="K175" i="5"/>
  <c r="K175" i="7" s="1"/>
  <c r="E200" i="7"/>
  <c r="K200" i="5"/>
  <c r="K200" i="7" s="1"/>
  <c r="M214" i="7"/>
  <c r="N214" i="7"/>
  <c r="M218" i="7"/>
  <c r="N218" i="7" s="1"/>
  <c r="E221" i="7"/>
  <c r="K221" i="5"/>
  <c r="K221" i="7" s="1"/>
  <c r="M239" i="7"/>
  <c r="N239" i="7"/>
  <c r="E250" i="7"/>
  <c r="K250" i="5"/>
  <c r="K250" i="7" s="1"/>
  <c r="M264" i="7"/>
  <c r="N264" i="7"/>
  <c r="K281" i="5"/>
  <c r="K281" i="7" s="1"/>
  <c r="M289" i="7"/>
  <c r="N289" i="7" s="1"/>
  <c r="K335" i="5"/>
  <c r="K335" i="7" s="1"/>
  <c r="M339" i="7"/>
  <c r="N339" i="7" s="1"/>
  <c r="E354" i="7"/>
  <c r="K354" i="5"/>
  <c r="K354" i="7" s="1"/>
  <c r="E362" i="7"/>
  <c r="K362" i="5"/>
  <c r="K362" i="7" s="1"/>
  <c r="E399" i="7"/>
  <c r="K399" i="5"/>
  <c r="K399" i="7" s="1"/>
  <c r="E403" i="7"/>
  <c r="K403" i="5"/>
  <c r="K403" i="7" s="1"/>
  <c r="M429" i="7"/>
  <c r="N429" i="7" s="1"/>
  <c r="K433" i="5"/>
  <c r="K433" i="7" s="1"/>
  <c r="M437" i="7"/>
  <c r="N437" i="7" s="1"/>
  <c r="E452" i="7"/>
  <c r="K452" i="5"/>
  <c r="K452" i="7" s="1"/>
  <c r="E460" i="7"/>
  <c r="K460" i="5"/>
  <c r="K460" i="7" s="1"/>
  <c r="E497" i="7"/>
  <c r="K497" i="5"/>
  <c r="K497" i="7" s="1"/>
  <c r="E501" i="7"/>
  <c r="K501" i="5"/>
  <c r="K501" i="7" s="1"/>
  <c r="N527" i="7"/>
  <c r="M527" i="7"/>
  <c r="K531" i="5"/>
  <c r="K531" i="7" s="1"/>
  <c r="M535" i="7"/>
  <c r="N535" i="7" s="1"/>
  <c r="E550" i="7"/>
  <c r="K550" i="5"/>
  <c r="K550" i="7" s="1"/>
  <c r="E558" i="7"/>
  <c r="K558" i="5"/>
  <c r="K558" i="7" s="1"/>
  <c r="E595" i="7"/>
  <c r="K595" i="5"/>
  <c r="K595" i="7" s="1"/>
  <c r="E599" i="7"/>
  <c r="K599" i="5"/>
  <c r="K599" i="7" s="1"/>
  <c r="M625" i="7"/>
  <c r="N625" i="7" s="1"/>
  <c r="M633" i="7"/>
  <c r="N633" i="7" s="1"/>
  <c r="E648" i="7"/>
  <c r="K648" i="5"/>
  <c r="K648" i="7" s="1"/>
  <c r="E656" i="7"/>
  <c r="K656" i="5"/>
  <c r="K656" i="7" s="1"/>
  <c r="E676" i="7"/>
  <c r="K676" i="5"/>
  <c r="K676" i="7" s="1"/>
  <c r="E684" i="7"/>
  <c r="K684" i="5"/>
  <c r="K684" i="7" s="1"/>
  <c r="E704" i="7"/>
  <c r="K704" i="5"/>
  <c r="K704" i="7" s="1"/>
  <c r="E712" i="7"/>
  <c r="K712" i="5"/>
  <c r="K712" i="7" s="1"/>
  <c r="E732" i="7"/>
  <c r="K732" i="5"/>
  <c r="K732" i="7" s="1"/>
  <c r="E740" i="7"/>
  <c r="K740" i="5"/>
  <c r="K740" i="7" s="1"/>
  <c r="E760" i="7"/>
  <c r="K760" i="5"/>
  <c r="K760" i="7" s="1"/>
  <c r="E768" i="7"/>
  <c r="K768" i="5"/>
  <c r="K768" i="7" s="1"/>
  <c r="E788" i="7"/>
  <c r="K788" i="5"/>
  <c r="K788" i="7" s="1"/>
  <c r="E796" i="7"/>
  <c r="K796" i="5"/>
  <c r="K796" i="7" s="1"/>
  <c r="E824" i="7"/>
  <c r="K824" i="5"/>
  <c r="K824" i="7" s="1"/>
  <c r="E852" i="7"/>
  <c r="K852" i="5"/>
  <c r="K852" i="7" s="1"/>
  <c r="M135" i="7"/>
  <c r="N135" i="7" s="1"/>
  <c r="M345" i="7"/>
  <c r="N345" i="7" s="1"/>
  <c r="M178" i="7"/>
  <c r="N178" i="7"/>
  <c r="E214" i="7"/>
  <c r="K214" i="5"/>
  <c r="K214" i="7" s="1"/>
  <c r="M228" i="7"/>
  <c r="N228" i="7"/>
  <c r="E235" i="7"/>
  <c r="K235" i="5"/>
  <c r="K235" i="7" s="1"/>
  <c r="M512" i="7"/>
  <c r="N512" i="7" s="1"/>
  <c r="M211" i="7"/>
  <c r="N211" i="7"/>
  <c r="M261" i="7"/>
  <c r="N261" i="7" s="1"/>
  <c r="M479" i="7"/>
  <c r="N479" i="7" s="1"/>
  <c r="E539" i="7"/>
  <c r="K539" i="5"/>
  <c r="K539" i="7" s="1"/>
  <c r="E600" i="7"/>
  <c r="K600" i="5"/>
  <c r="K600" i="7" s="1"/>
  <c r="M5" i="7"/>
  <c r="N5" i="7" s="1"/>
  <c r="M125" i="7"/>
  <c r="N125" i="7" s="1"/>
  <c r="M173" i="7"/>
  <c r="N173" i="7" s="1"/>
  <c r="G13" i="1"/>
  <c r="M56" i="7"/>
  <c r="N56" i="7"/>
  <c r="N79" i="7"/>
  <c r="M79" i="7"/>
  <c r="N102" i="7"/>
  <c r="M102" i="7"/>
  <c r="E105" i="7"/>
  <c r="K105" i="5"/>
  <c r="K105" i="7" s="1"/>
  <c r="M248" i="7"/>
  <c r="N248" i="7" s="1"/>
  <c r="E259" i="7"/>
  <c r="K259" i="5"/>
  <c r="K259" i="7" s="1"/>
  <c r="E284" i="7"/>
  <c r="K284" i="5"/>
  <c r="K284" i="7" s="1"/>
  <c r="M298" i="7"/>
  <c r="N298" i="7"/>
  <c r="E305" i="7"/>
  <c r="K305" i="5"/>
  <c r="K305" i="7" s="1"/>
  <c r="E334" i="7"/>
  <c r="K334" i="5"/>
  <c r="K334" i="7" s="1"/>
  <c r="E375" i="7"/>
  <c r="K375" i="5"/>
  <c r="K375" i="7" s="1"/>
  <c r="M401" i="7"/>
  <c r="N401" i="7" s="1"/>
  <c r="E424" i="7"/>
  <c r="K424" i="5"/>
  <c r="K424" i="7" s="1"/>
  <c r="E432" i="7"/>
  <c r="K432" i="5"/>
  <c r="K432" i="7" s="1"/>
  <c r="C2" i="7"/>
  <c r="D2" i="6"/>
  <c r="M9" i="7"/>
  <c r="N9" i="7" s="1"/>
  <c r="M23" i="7"/>
  <c r="N23" i="7" s="1"/>
  <c r="M51" i="7"/>
  <c r="N51" i="7" s="1"/>
  <c r="N88" i="7"/>
  <c r="M88" i="7"/>
  <c r="E91" i="7"/>
  <c r="K91" i="5"/>
  <c r="K91" i="7" s="1"/>
  <c r="M97" i="7"/>
  <c r="N97" i="7" s="1"/>
  <c r="M129" i="7"/>
  <c r="N129" i="7" s="1"/>
  <c r="M206" i="7"/>
  <c r="N206" i="7" s="1"/>
  <c r="M256" i="7"/>
  <c r="N256" i="7" s="1"/>
  <c r="E263" i="7"/>
  <c r="K263" i="5"/>
  <c r="K263" i="7" s="1"/>
  <c r="M281" i="7"/>
  <c r="N281" i="7" s="1"/>
  <c r="E292" i="7"/>
  <c r="K292" i="5"/>
  <c r="K292" i="7" s="1"/>
  <c r="M331" i="7"/>
  <c r="N331" i="7"/>
  <c r="M360" i="7"/>
  <c r="N360" i="7"/>
  <c r="N368" i="7"/>
  <c r="M368" i="7"/>
  <c r="M372" i="7"/>
  <c r="N372" i="7" s="1"/>
  <c r="M376" i="7"/>
  <c r="N376" i="7"/>
  <c r="M556" i="7"/>
  <c r="N556" i="7" s="1"/>
  <c r="N18" i="7"/>
  <c r="M18" i="7"/>
  <c r="K23" i="5"/>
  <c r="K23" i="7" s="1"/>
  <c r="K97" i="5"/>
  <c r="K97" i="7" s="1"/>
  <c r="K106" i="5"/>
  <c r="K106" i="7" s="1"/>
  <c r="K160" i="5"/>
  <c r="K160" i="7" s="1"/>
  <c r="N164" i="7"/>
  <c r="M164" i="7"/>
  <c r="N41" i="7"/>
  <c r="M41" i="7"/>
  <c r="K46" i="5"/>
  <c r="K46" i="7" s="1"/>
  <c r="M55" i="7"/>
  <c r="N55" i="7" s="1"/>
  <c r="K60" i="5"/>
  <c r="K60" i="7" s="1"/>
  <c r="N69" i="7"/>
  <c r="M69" i="7"/>
  <c r="K74" i="5"/>
  <c r="K74" i="7" s="1"/>
  <c r="N78" i="7"/>
  <c r="M78" i="7"/>
  <c r="K83" i="5"/>
  <c r="K83" i="7" s="1"/>
  <c r="K92" i="5"/>
  <c r="K92" i="7" s="1"/>
  <c r="M101" i="7"/>
  <c r="N101" i="7" s="1"/>
  <c r="M110" i="7"/>
  <c r="N110" i="7" s="1"/>
  <c r="K115" i="5"/>
  <c r="K115" i="7" s="1"/>
  <c r="K124" i="5"/>
  <c r="K124" i="7" s="1"/>
  <c r="M133" i="7"/>
  <c r="N133" i="7" s="1"/>
  <c r="K151" i="5"/>
  <c r="K151" i="7" s="1"/>
  <c r="M155" i="7"/>
  <c r="N155" i="7" s="1"/>
  <c r="M172" i="7"/>
  <c r="N172" i="7" s="1"/>
  <c r="M176" i="7"/>
  <c r="N176" i="7" s="1"/>
  <c r="E179" i="7"/>
  <c r="K179" i="5"/>
  <c r="K179" i="7" s="1"/>
  <c r="M197" i="7"/>
  <c r="N197" i="7"/>
  <c r="M201" i="7"/>
  <c r="N201" i="7" s="1"/>
  <c r="E208" i="7"/>
  <c r="K208" i="5"/>
  <c r="K208" i="7" s="1"/>
  <c r="K218" i="5"/>
  <c r="K218" i="7" s="1"/>
  <c r="M222" i="7"/>
  <c r="N222" i="7" s="1"/>
  <c r="K239" i="5"/>
  <c r="K239" i="7" s="1"/>
  <c r="M247" i="7"/>
  <c r="N247" i="7" s="1"/>
  <c r="K293" i="5"/>
  <c r="K293" i="7" s="1"/>
  <c r="M297" i="7"/>
  <c r="N297" i="7"/>
  <c r="K314" i="5"/>
  <c r="K314" i="7" s="1"/>
  <c r="M318" i="7"/>
  <c r="N318" i="7" s="1"/>
  <c r="E329" i="7"/>
  <c r="K329" i="5"/>
  <c r="K329" i="7" s="1"/>
  <c r="M351" i="7"/>
  <c r="N351" i="7"/>
  <c r="K384" i="5"/>
  <c r="K384" i="7" s="1"/>
  <c r="M388" i="7"/>
  <c r="N388" i="7" s="1"/>
  <c r="M396" i="7"/>
  <c r="N396" i="7" s="1"/>
  <c r="M400" i="7"/>
  <c r="N400" i="7"/>
  <c r="M449" i="7"/>
  <c r="N449" i="7"/>
  <c r="K482" i="5"/>
  <c r="K482" i="7" s="1"/>
  <c r="N486" i="7"/>
  <c r="M486" i="7"/>
  <c r="M494" i="7"/>
  <c r="N494" i="7" s="1"/>
  <c r="M498" i="7"/>
  <c r="N498" i="7"/>
  <c r="N547" i="7"/>
  <c r="M547" i="7"/>
  <c r="K580" i="5"/>
  <c r="K580" i="7" s="1"/>
  <c r="M584" i="7"/>
  <c r="N584" i="7"/>
  <c r="M592" i="7"/>
  <c r="N592" i="7" s="1"/>
  <c r="M596" i="7"/>
  <c r="N596" i="7" s="1"/>
  <c r="M645" i="7"/>
  <c r="N645" i="7" s="1"/>
  <c r="N661" i="7"/>
  <c r="M661" i="7"/>
  <c r="N689" i="7"/>
  <c r="M689" i="7"/>
  <c r="M717" i="7"/>
  <c r="N717" i="7" s="1"/>
  <c r="M745" i="7"/>
  <c r="N745" i="7" s="1"/>
  <c r="E880" i="7"/>
  <c r="K880" i="5"/>
  <c r="K880" i="7" s="1"/>
  <c r="E511" i="7"/>
  <c r="K511" i="5"/>
  <c r="K511" i="7" s="1"/>
  <c r="E515" i="7"/>
  <c r="K515" i="5"/>
  <c r="K515" i="7" s="1"/>
  <c r="M278" i="7"/>
  <c r="N278" i="7" s="1"/>
  <c r="N561" i="7"/>
  <c r="M561" i="7"/>
  <c r="M667" i="7"/>
  <c r="N667" i="7"/>
  <c r="M190" i="7"/>
  <c r="N190" i="7"/>
  <c r="E343" i="7"/>
  <c r="K343" i="5"/>
  <c r="K343" i="7" s="1"/>
  <c r="M169" i="7"/>
  <c r="N169" i="7" s="1"/>
  <c r="E301" i="7"/>
  <c r="K301" i="5"/>
  <c r="K301" i="7" s="1"/>
  <c r="E326" i="7"/>
  <c r="K326" i="5"/>
  <c r="K326" i="7" s="1"/>
  <c r="M344" i="7"/>
  <c r="N344" i="7" s="1"/>
  <c r="M430" i="7"/>
  <c r="N430" i="7" s="1"/>
  <c r="M442" i="7"/>
  <c r="N442" i="7"/>
  <c r="M111" i="7"/>
  <c r="N111" i="7" s="1"/>
  <c r="M120" i="7"/>
  <c r="N120" i="7" s="1"/>
  <c r="N37" i="7"/>
  <c r="M37" i="7"/>
  <c r="N65" i="7"/>
  <c r="M65" i="7"/>
  <c r="E217" i="7"/>
  <c r="K217" i="5"/>
  <c r="K217" i="7" s="1"/>
  <c r="E242" i="7"/>
  <c r="K242" i="5"/>
  <c r="K242" i="7" s="1"/>
  <c r="M260" i="7"/>
  <c r="N260" i="7"/>
  <c r="M466" i="7"/>
  <c r="N466" i="7" s="1"/>
  <c r="M470" i="7"/>
  <c r="N470" i="7"/>
  <c r="N519" i="7"/>
  <c r="M519" i="7"/>
  <c r="N564" i="7"/>
  <c r="M564" i="7"/>
  <c r="N617" i="7"/>
  <c r="M617" i="7"/>
  <c r="M32" i="7"/>
  <c r="N32" i="7" s="1"/>
  <c r="K37" i="5"/>
  <c r="K37" i="7" s="1"/>
  <c r="M46" i="7"/>
  <c r="N46" i="7" s="1"/>
  <c r="E77" i="7"/>
  <c r="K77" i="5"/>
  <c r="K77" i="7" s="1"/>
  <c r="N83" i="7"/>
  <c r="M83" i="7"/>
  <c r="K88" i="5"/>
  <c r="K88" i="7" s="1"/>
  <c r="N92" i="7"/>
  <c r="M92" i="7"/>
  <c r="N115" i="7"/>
  <c r="M115" i="7"/>
  <c r="M124" i="7"/>
  <c r="N124" i="7" s="1"/>
  <c r="K138" i="5"/>
  <c r="K138" i="7" s="1"/>
  <c r="K4" i="5"/>
  <c r="K4" i="7" s="1"/>
  <c r="M13" i="7"/>
  <c r="N13" i="7" s="1"/>
  <c r="K18" i="5"/>
  <c r="K18" i="7" s="1"/>
  <c r="M27" i="7"/>
  <c r="N27" i="7" s="1"/>
  <c r="K32" i="5"/>
  <c r="K32" i="7" s="1"/>
  <c r="M8" i="7"/>
  <c r="N8" i="7" s="1"/>
  <c r="K13" i="5"/>
  <c r="K13" i="7" s="1"/>
  <c r="M22" i="7"/>
  <c r="N22" i="7" s="1"/>
  <c r="K27" i="5"/>
  <c r="K27" i="7" s="1"/>
  <c r="M36" i="7"/>
  <c r="N36" i="7" s="1"/>
  <c r="K41" i="5"/>
  <c r="K41" i="7" s="1"/>
  <c r="M50" i="7"/>
  <c r="N50" i="7" s="1"/>
  <c r="K55" i="5"/>
  <c r="K55" i="7" s="1"/>
  <c r="M64" i="7"/>
  <c r="N64" i="7"/>
  <c r="K69" i="5"/>
  <c r="K69" i="7" s="1"/>
  <c r="K78" i="5"/>
  <c r="K78" i="7" s="1"/>
  <c r="N87" i="7"/>
  <c r="M87" i="7"/>
  <c r="N96" i="7"/>
  <c r="M96" i="7"/>
  <c r="K101" i="5"/>
  <c r="K101" i="7" s="1"/>
  <c r="K110" i="5"/>
  <c r="K110" i="7" s="1"/>
  <c r="N119" i="7"/>
  <c r="M119" i="7"/>
  <c r="N146" i="7"/>
  <c r="M146" i="7"/>
  <c r="K155" i="5"/>
  <c r="K155" i="7" s="1"/>
  <c r="N159" i="7"/>
  <c r="M159" i="7"/>
  <c r="E166" i="7"/>
  <c r="K166" i="5"/>
  <c r="K166" i="7" s="1"/>
  <c r="K176" i="5"/>
  <c r="K176" i="7" s="1"/>
  <c r="M180" i="7"/>
  <c r="N180" i="7" s="1"/>
  <c r="K197" i="5"/>
  <c r="K197" i="7" s="1"/>
  <c r="M205" i="7"/>
  <c r="N205" i="7"/>
  <c r="K251" i="5"/>
  <c r="K251" i="7" s="1"/>
  <c r="M255" i="7"/>
  <c r="N255" i="7" s="1"/>
  <c r="K272" i="5"/>
  <c r="K272" i="7" s="1"/>
  <c r="M276" i="7"/>
  <c r="N276" i="7" s="1"/>
  <c r="E287" i="7"/>
  <c r="K287" i="5"/>
  <c r="K287" i="7" s="1"/>
  <c r="E312" i="7"/>
  <c r="K312" i="5"/>
  <c r="K312" i="7" s="1"/>
  <c r="M326" i="7"/>
  <c r="N326" i="7" s="1"/>
  <c r="M330" i="7"/>
  <c r="N330" i="7"/>
  <c r="E333" i="7"/>
  <c r="K333" i="5"/>
  <c r="K333" i="7" s="1"/>
  <c r="K351" i="5"/>
  <c r="K351" i="7" s="1"/>
  <c r="M359" i="7"/>
  <c r="N359" i="7"/>
  <c r="K363" i="5"/>
  <c r="K363" i="7" s="1"/>
  <c r="M367" i="7"/>
  <c r="N367" i="7" s="1"/>
  <c r="E382" i="7"/>
  <c r="K382" i="5"/>
  <c r="K382" i="7" s="1"/>
  <c r="E390" i="7"/>
  <c r="K390" i="5"/>
  <c r="K390" i="7" s="1"/>
  <c r="E427" i="7"/>
  <c r="K427" i="5"/>
  <c r="K427" i="7" s="1"/>
  <c r="E431" i="7"/>
  <c r="K431" i="5"/>
  <c r="K431" i="7" s="1"/>
  <c r="N457" i="7"/>
  <c r="M457" i="7"/>
  <c r="K461" i="5"/>
  <c r="K461" i="7" s="1"/>
  <c r="M465" i="7"/>
  <c r="N465" i="7"/>
  <c r="E480" i="7"/>
  <c r="K480" i="5"/>
  <c r="K480" i="7" s="1"/>
  <c r="E488" i="7"/>
  <c r="K488" i="5"/>
  <c r="K488" i="7" s="1"/>
  <c r="E525" i="7"/>
  <c r="K525" i="5"/>
  <c r="K525" i="7" s="1"/>
  <c r="E529" i="7"/>
  <c r="K529" i="5"/>
  <c r="K529" i="7" s="1"/>
  <c r="N555" i="7"/>
  <c r="M555" i="7"/>
  <c r="K559" i="5"/>
  <c r="K559" i="7" s="1"/>
  <c r="M563" i="7"/>
  <c r="N563" i="7" s="1"/>
  <c r="E578" i="7"/>
  <c r="K578" i="5"/>
  <c r="K578" i="7" s="1"/>
  <c r="E586" i="7"/>
  <c r="K586" i="5"/>
  <c r="K586" i="7" s="1"/>
  <c r="E623" i="7"/>
  <c r="K623" i="5"/>
  <c r="K623" i="7" s="1"/>
  <c r="E627" i="7"/>
  <c r="K627" i="5"/>
  <c r="K627" i="7" s="1"/>
  <c r="M653" i="7"/>
  <c r="N653" i="7" s="1"/>
  <c r="M673" i="7"/>
  <c r="N673" i="7" s="1"/>
  <c r="N681" i="7"/>
  <c r="M681" i="7"/>
  <c r="N701" i="7"/>
  <c r="M701" i="7"/>
  <c r="M709" i="7"/>
  <c r="N709" i="7" s="1"/>
  <c r="M729" i="7"/>
  <c r="N729" i="7" s="1"/>
  <c r="M737" i="7"/>
  <c r="N737" i="7" s="1"/>
  <c r="M757" i="7"/>
  <c r="N757" i="7" s="1"/>
  <c r="M765" i="7"/>
  <c r="N765" i="7" s="1"/>
  <c r="N785" i="7"/>
  <c r="M785" i="7"/>
  <c r="N793" i="7"/>
  <c r="M793" i="7"/>
  <c r="M821" i="7"/>
  <c r="N821" i="7" s="1"/>
  <c r="M849" i="7"/>
  <c r="N849" i="7" s="1"/>
  <c r="M877" i="7"/>
  <c r="N877" i="7" s="1"/>
  <c r="M94" i="7"/>
  <c r="N94" i="7" s="1"/>
  <c r="M274" i="7"/>
  <c r="N274" i="7" s="1"/>
  <c r="E277" i="7"/>
  <c r="K277" i="5"/>
  <c r="K277" i="7" s="1"/>
  <c r="E368" i="7"/>
  <c r="K368" i="5"/>
  <c r="K368" i="7" s="1"/>
  <c r="E376" i="7"/>
  <c r="K376" i="5"/>
  <c r="K376" i="7" s="1"/>
  <c r="M43" i="7"/>
  <c r="N43" i="7" s="1"/>
  <c r="M71" i="7"/>
  <c r="N71" i="7" s="1"/>
  <c r="E189" i="7"/>
  <c r="K189" i="5"/>
  <c r="K189" i="7" s="1"/>
  <c r="E264" i="7"/>
  <c r="K264" i="5"/>
  <c r="K264" i="7" s="1"/>
  <c r="M365" i="7"/>
  <c r="N365" i="7" s="1"/>
  <c r="N463" i="7"/>
  <c r="M463" i="7"/>
  <c r="M500" i="7"/>
  <c r="N500" i="7" s="1"/>
  <c r="M215" i="7"/>
  <c r="N215" i="7"/>
  <c r="M311" i="7"/>
  <c r="N311" i="7"/>
  <c r="E404" i="7"/>
  <c r="K404" i="5"/>
  <c r="K404" i="7" s="1"/>
  <c r="E502" i="7"/>
  <c r="K502" i="5"/>
  <c r="K502" i="7" s="1"/>
  <c r="N143" i="7"/>
  <c r="M143" i="7"/>
  <c r="M528" i="7"/>
  <c r="N528" i="7" s="1"/>
  <c r="M540" i="7"/>
  <c r="N540" i="7" s="1"/>
  <c r="B36" i="13"/>
  <c r="M42" i="7"/>
  <c r="N42" i="7" s="1"/>
  <c r="M70" i="7"/>
  <c r="N70" i="7" s="1"/>
  <c r="M177" i="7"/>
  <c r="N177" i="7" s="1"/>
  <c r="C19" i="1"/>
  <c r="N3" i="7"/>
  <c r="M3" i="7"/>
  <c r="K8" i="5"/>
  <c r="K8" i="7" s="1"/>
  <c r="N17" i="7"/>
  <c r="M17" i="7"/>
  <c r="K22" i="5"/>
  <c r="K22" i="7" s="1"/>
  <c r="N31" i="7"/>
  <c r="M31" i="7"/>
  <c r="K36" i="5"/>
  <c r="K36" i="7" s="1"/>
  <c r="M45" i="7"/>
  <c r="N45" i="7" s="1"/>
  <c r="K50" i="5"/>
  <c r="K50" i="7" s="1"/>
  <c r="M59" i="7"/>
  <c r="N59" i="7" s="1"/>
  <c r="K64" i="5"/>
  <c r="K64" i="7" s="1"/>
  <c r="M73" i="7"/>
  <c r="N73" i="7" s="1"/>
  <c r="N82" i="7"/>
  <c r="M82" i="7"/>
  <c r="K87" i="5"/>
  <c r="K87" i="7" s="1"/>
  <c r="K96" i="5"/>
  <c r="K96" i="7" s="1"/>
  <c r="M105" i="7"/>
  <c r="N105" i="7" s="1"/>
  <c r="M123" i="7"/>
  <c r="N123" i="7" s="1"/>
  <c r="K128" i="5"/>
  <c r="K128" i="7" s="1"/>
  <c r="K137" i="5"/>
  <c r="K137" i="7" s="1"/>
  <c r="K146" i="5"/>
  <c r="K146" i="7" s="1"/>
  <c r="N150" i="7"/>
  <c r="M150" i="7"/>
  <c r="N163" i="7"/>
  <c r="M163" i="7"/>
  <c r="M167" i="7"/>
  <c r="N167" i="7" s="1"/>
  <c r="E170" i="7"/>
  <c r="K170" i="5"/>
  <c r="K170" i="7" s="1"/>
  <c r="K209" i="5"/>
  <c r="K209" i="7" s="1"/>
  <c r="M213" i="7"/>
  <c r="N213" i="7"/>
  <c r="K230" i="5"/>
  <c r="K230" i="7" s="1"/>
  <c r="M234" i="7"/>
  <c r="N234" i="7"/>
  <c r="E245" i="7"/>
  <c r="K245" i="5"/>
  <c r="K245" i="7" s="1"/>
  <c r="E270" i="7"/>
  <c r="K270" i="5"/>
  <c r="K270" i="7" s="1"/>
  <c r="M284" i="7"/>
  <c r="N284" i="7"/>
  <c r="M288" i="7"/>
  <c r="N288" i="7" s="1"/>
  <c r="E291" i="7"/>
  <c r="K291" i="5"/>
  <c r="K291" i="7" s="1"/>
  <c r="M309" i="7"/>
  <c r="N309" i="7"/>
  <c r="E320" i="7"/>
  <c r="K320" i="5"/>
  <c r="K320" i="7" s="1"/>
  <c r="M334" i="7"/>
  <c r="N334" i="7" s="1"/>
  <c r="M379" i="7"/>
  <c r="N379" i="7" s="1"/>
  <c r="K412" i="5"/>
  <c r="K412" i="7" s="1"/>
  <c r="N416" i="7"/>
  <c r="M416" i="7"/>
  <c r="M424" i="7"/>
  <c r="N424" i="7" s="1"/>
  <c r="M428" i="7"/>
  <c r="N428" i="7" s="1"/>
  <c r="N477" i="7"/>
  <c r="M477" i="7"/>
  <c r="K510" i="5"/>
  <c r="K510" i="7" s="1"/>
  <c r="N514" i="7"/>
  <c r="M514" i="7"/>
  <c r="M522" i="7"/>
  <c r="N522" i="7" s="1"/>
  <c r="M526" i="7"/>
  <c r="N526" i="7" s="1"/>
  <c r="N575" i="7"/>
  <c r="M575" i="7"/>
  <c r="K608" i="5"/>
  <c r="K608" i="7" s="1"/>
  <c r="N612" i="7"/>
  <c r="M612" i="7"/>
  <c r="M620" i="7"/>
  <c r="N620" i="7" s="1"/>
  <c r="N624" i="7"/>
  <c r="M624" i="7"/>
  <c r="E651" i="7"/>
  <c r="K651" i="5"/>
  <c r="K651" i="7" s="1"/>
  <c r="E655" i="7"/>
  <c r="K655" i="5"/>
  <c r="K655" i="7" s="1"/>
  <c r="E679" i="7"/>
  <c r="K679" i="5"/>
  <c r="K679" i="7" s="1"/>
  <c r="E683" i="7"/>
  <c r="K683" i="5"/>
  <c r="K683" i="7" s="1"/>
  <c r="E707" i="7"/>
  <c r="K707" i="5"/>
  <c r="K707" i="7" s="1"/>
  <c r="E711" i="7"/>
  <c r="K711" i="5"/>
  <c r="K711" i="7" s="1"/>
  <c r="E735" i="7"/>
  <c r="K735" i="5"/>
  <c r="K735" i="7" s="1"/>
  <c r="E739" i="7"/>
  <c r="K739" i="5"/>
  <c r="K739" i="7" s="1"/>
  <c r="E763" i="7"/>
  <c r="K763" i="5"/>
  <c r="K763" i="7" s="1"/>
  <c r="E767" i="7"/>
  <c r="K767" i="5"/>
  <c r="K767" i="7" s="1"/>
  <c r="E791" i="7"/>
  <c r="K791" i="5"/>
  <c r="K791" i="7" s="1"/>
  <c r="E795" i="7"/>
  <c r="K795" i="5"/>
  <c r="K795" i="7" s="1"/>
  <c r="E819" i="7"/>
  <c r="K819" i="5"/>
  <c r="K819" i="7" s="1"/>
  <c r="E823" i="7"/>
  <c r="K823" i="5"/>
  <c r="K823" i="7" s="1"/>
  <c r="E847" i="7"/>
  <c r="K847" i="5"/>
  <c r="K847" i="7" s="1"/>
  <c r="E851" i="7"/>
  <c r="K851" i="5"/>
  <c r="K851" i="7" s="1"/>
  <c r="E875" i="7"/>
  <c r="K875" i="5"/>
  <c r="K875" i="7" s="1"/>
  <c r="E893" i="7"/>
  <c r="K893" i="5"/>
  <c r="K893" i="7" s="1"/>
  <c r="N57" i="7"/>
  <c r="M57" i="7"/>
  <c r="M80" i="7"/>
  <c r="N80" i="7" s="1"/>
  <c r="M606" i="7"/>
  <c r="N606" i="7" s="1"/>
  <c r="M24" i="7"/>
  <c r="N24" i="7" s="1"/>
  <c r="M332" i="7"/>
  <c r="N332" i="7" s="1"/>
  <c r="E347" i="7"/>
  <c r="K347" i="5"/>
  <c r="K347" i="7" s="1"/>
  <c r="E396" i="7"/>
  <c r="K396" i="5"/>
  <c r="K396" i="7" s="1"/>
  <c r="E441" i="7"/>
  <c r="K441" i="5"/>
  <c r="K441" i="7" s="1"/>
  <c r="M134" i="7"/>
  <c r="N134" i="7" s="1"/>
  <c r="M269" i="7"/>
  <c r="N269" i="7"/>
  <c r="M348" i="7"/>
  <c r="N348" i="7"/>
  <c r="M26" i="7"/>
  <c r="N26" i="7" s="1"/>
  <c r="K31" i="5"/>
  <c r="K31" i="7" s="1"/>
  <c r="M40" i="7"/>
  <c r="N40" i="7" s="1"/>
  <c r="K45" i="5"/>
  <c r="K45" i="7" s="1"/>
  <c r="N54" i="7"/>
  <c r="M54" i="7"/>
  <c r="K59" i="5"/>
  <c r="K59" i="7" s="1"/>
  <c r="N68" i="7"/>
  <c r="M68" i="7"/>
  <c r="K73" i="5"/>
  <c r="K73" i="7" s="1"/>
  <c r="K82" i="5"/>
  <c r="K82" i="7" s="1"/>
  <c r="N91" i="7"/>
  <c r="M91" i="7"/>
  <c r="N109" i="7"/>
  <c r="M109" i="7"/>
  <c r="K114" i="5"/>
  <c r="K114" i="7" s="1"/>
  <c r="K123" i="5"/>
  <c r="K123" i="7" s="1"/>
  <c r="M141" i="7"/>
  <c r="N141" i="7" s="1"/>
  <c r="K167" i="5"/>
  <c r="K167" i="7" s="1"/>
  <c r="M171" i="7"/>
  <c r="N171" i="7" s="1"/>
  <c r="K188" i="5"/>
  <c r="K188" i="7" s="1"/>
  <c r="M192" i="7"/>
  <c r="N192" i="7" s="1"/>
  <c r="E203" i="7"/>
  <c r="K203" i="5"/>
  <c r="K203" i="7" s="1"/>
  <c r="E228" i="7"/>
  <c r="K228" i="5"/>
  <c r="K228" i="7" s="1"/>
  <c r="M242" i="7"/>
  <c r="N242" i="7"/>
  <c r="M246" i="7"/>
  <c r="N246" i="7"/>
  <c r="E249" i="7"/>
  <c r="K249" i="5"/>
  <c r="K249" i="7" s="1"/>
  <c r="M267" i="7"/>
  <c r="N267" i="7" s="1"/>
  <c r="E278" i="7"/>
  <c r="K278" i="5"/>
  <c r="K278" i="7" s="1"/>
  <c r="M292" i="7"/>
  <c r="N292" i="7" s="1"/>
  <c r="K309" i="5"/>
  <c r="K309" i="7" s="1"/>
  <c r="M317" i="7"/>
  <c r="N317" i="7"/>
  <c r="E357" i="7"/>
  <c r="K357" i="5"/>
  <c r="K357" i="7" s="1"/>
  <c r="E361" i="7"/>
  <c r="K361" i="5"/>
  <c r="K361" i="7" s="1"/>
  <c r="K379" i="5"/>
  <c r="K379" i="7" s="1"/>
  <c r="N387" i="7"/>
  <c r="M387" i="7"/>
  <c r="K391" i="5"/>
  <c r="K391" i="7" s="1"/>
  <c r="M395" i="7"/>
  <c r="N395" i="7" s="1"/>
  <c r="E410" i="7"/>
  <c r="K410" i="5"/>
  <c r="K410" i="7" s="1"/>
  <c r="E418" i="7"/>
  <c r="K418" i="5"/>
  <c r="K418" i="7" s="1"/>
  <c r="E455" i="7"/>
  <c r="K455" i="5"/>
  <c r="K455" i="7" s="1"/>
  <c r="E459" i="7"/>
  <c r="K459" i="5"/>
  <c r="K459" i="7" s="1"/>
  <c r="M485" i="7"/>
  <c r="N485" i="7" s="1"/>
  <c r="M493" i="7"/>
  <c r="N493" i="7" s="1"/>
  <c r="E508" i="7"/>
  <c r="K508" i="5"/>
  <c r="K508" i="7" s="1"/>
  <c r="E516" i="7"/>
  <c r="K516" i="5"/>
  <c r="K516" i="7" s="1"/>
  <c r="E553" i="7"/>
  <c r="K553" i="5"/>
  <c r="K553" i="7" s="1"/>
  <c r="E557" i="7"/>
  <c r="K557" i="5"/>
  <c r="K557" i="7" s="1"/>
  <c r="M583" i="7"/>
  <c r="N583" i="7" s="1"/>
  <c r="M591" i="7"/>
  <c r="N591" i="7" s="1"/>
  <c r="E606" i="7"/>
  <c r="K606" i="5"/>
  <c r="K606" i="7" s="1"/>
  <c r="E614" i="7"/>
  <c r="K614" i="5"/>
  <c r="K614" i="7" s="1"/>
  <c r="B24" i="1"/>
  <c r="N7" i="7"/>
  <c r="M7" i="7"/>
  <c r="K12" i="5"/>
  <c r="K12" i="7" s="1"/>
  <c r="M21" i="7"/>
  <c r="N21" i="7" s="1"/>
  <c r="K26" i="5"/>
  <c r="K26" i="7" s="1"/>
  <c r="N35" i="7"/>
  <c r="M35" i="7"/>
  <c r="K40" i="5"/>
  <c r="K40" i="7" s="1"/>
  <c r="M49" i="7"/>
  <c r="N49" i="7" s="1"/>
  <c r="K54" i="5"/>
  <c r="K54" i="7" s="1"/>
  <c r="N63" i="7"/>
  <c r="M63" i="7"/>
  <c r="K68" i="5"/>
  <c r="K68" i="7" s="1"/>
  <c r="M77" i="7"/>
  <c r="N77" i="7" s="1"/>
  <c r="M95" i="7"/>
  <c r="N95" i="7" s="1"/>
  <c r="K100" i="5"/>
  <c r="K100" i="7" s="1"/>
  <c r="K109" i="5"/>
  <c r="K109" i="7" s="1"/>
  <c r="M118" i="7"/>
  <c r="N118" i="7" s="1"/>
  <c r="M127" i="7"/>
  <c r="N127" i="7" s="1"/>
  <c r="K132" i="5"/>
  <c r="K132" i="7" s="1"/>
  <c r="N136" i="7"/>
  <c r="M136" i="7"/>
  <c r="K141" i="5"/>
  <c r="K141" i="7" s="1"/>
  <c r="M145" i="7"/>
  <c r="N145" i="7" s="1"/>
  <c r="M158" i="7"/>
  <c r="N158" i="7" s="1"/>
  <c r="E161" i="7"/>
  <c r="K161" i="5"/>
  <c r="K161" i="7" s="1"/>
  <c r="E186" i="7"/>
  <c r="K186" i="5"/>
  <c r="K186" i="7" s="1"/>
  <c r="M200" i="7"/>
  <c r="N200" i="7"/>
  <c r="M204" i="7"/>
  <c r="N204" i="7"/>
  <c r="E207" i="7"/>
  <c r="K207" i="5"/>
  <c r="K207" i="7" s="1"/>
  <c r="M225" i="7"/>
  <c r="N225" i="7"/>
  <c r="M229" i="7"/>
  <c r="N229" i="7"/>
  <c r="E236" i="7"/>
  <c r="K236" i="5"/>
  <c r="K236" i="7" s="1"/>
  <c r="M250" i="7"/>
  <c r="N250" i="7"/>
  <c r="K267" i="5"/>
  <c r="K267" i="7" s="1"/>
  <c r="M275" i="7"/>
  <c r="N275" i="7" s="1"/>
  <c r="K321" i="5"/>
  <c r="K321" i="7" s="1"/>
  <c r="M325" i="7"/>
  <c r="N325" i="7" s="1"/>
  <c r="K342" i="5"/>
  <c r="K342" i="7" s="1"/>
  <c r="M346" i="7"/>
  <c r="N346" i="7"/>
  <c r="M354" i="7"/>
  <c r="N354" i="7"/>
  <c r="M358" i="7"/>
  <c r="N358" i="7" s="1"/>
  <c r="M362" i="7"/>
  <c r="N362" i="7" s="1"/>
  <c r="N407" i="7"/>
  <c r="M407" i="7"/>
  <c r="K440" i="5"/>
  <c r="K440" i="7" s="1"/>
  <c r="M444" i="7"/>
  <c r="N444" i="7" s="1"/>
  <c r="M452" i="7"/>
  <c r="N452" i="7" s="1"/>
  <c r="M456" i="7"/>
  <c r="N456" i="7"/>
  <c r="M505" i="7"/>
  <c r="N505" i="7" s="1"/>
  <c r="K538" i="5"/>
  <c r="K538" i="7" s="1"/>
  <c r="N542" i="7"/>
  <c r="M542" i="7"/>
  <c r="N550" i="7"/>
  <c r="M550" i="7"/>
  <c r="N554" i="7"/>
  <c r="M554" i="7"/>
  <c r="N603" i="7"/>
  <c r="M603" i="7"/>
  <c r="K636" i="5"/>
  <c r="K636" i="7" s="1"/>
  <c r="M648" i="7"/>
  <c r="N648" i="7" s="1"/>
  <c r="M652" i="7"/>
  <c r="N652" i="7" s="1"/>
  <c r="M676" i="7"/>
  <c r="N676" i="7" s="1"/>
  <c r="M680" i="7"/>
  <c r="N680" i="7" s="1"/>
  <c r="M704" i="7"/>
  <c r="N704" i="7" s="1"/>
  <c r="M708" i="7"/>
  <c r="N708" i="7" s="1"/>
  <c r="M732" i="7"/>
  <c r="N732" i="7" s="1"/>
  <c r="M736" i="7"/>
  <c r="N736" i="7" s="1"/>
  <c r="M760" i="7"/>
  <c r="N760" i="7" s="1"/>
  <c r="M764" i="7"/>
  <c r="N764" i="7"/>
  <c r="M788" i="7"/>
  <c r="N788" i="7" s="1"/>
  <c r="M792" i="7"/>
  <c r="N792" i="7"/>
  <c r="N816" i="7"/>
  <c r="M816" i="7"/>
  <c r="M820" i="7"/>
  <c r="N820" i="7"/>
  <c r="M844" i="7"/>
  <c r="N844" i="7" s="1"/>
  <c r="M848" i="7"/>
  <c r="N848" i="7"/>
  <c r="M872" i="7"/>
  <c r="N872" i="7" s="1"/>
  <c r="M876" i="7"/>
  <c r="N876" i="7"/>
  <c r="E879" i="7"/>
  <c r="K879" i="5"/>
  <c r="K879" i="7" s="1"/>
  <c r="M20" i="7"/>
  <c r="N20" i="7" s="1"/>
  <c r="M34" i="7"/>
  <c r="N34" i="7" s="1"/>
  <c r="M112" i="7"/>
  <c r="N112" i="7" s="1"/>
  <c r="M148" i="7"/>
  <c r="N148" i="7" s="1"/>
  <c r="M98" i="7"/>
  <c r="N98" i="7" s="1"/>
  <c r="M19" i="7"/>
  <c r="N19" i="7" s="1"/>
  <c r="M33" i="7"/>
  <c r="N33" i="7" s="1"/>
  <c r="N61" i="7"/>
  <c r="M61" i="7"/>
  <c r="M93" i="7"/>
  <c r="N93" i="7" s="1"/>
  <c r="M152" i="7"/>
  <c r="N152" i="7" s="1"/>
  <c r="E180" i="7"/>
  <c r="K180" i="5"/>
  <c r="K180" i="7" s="1"/>
  <c r="M438" i="7"/>
  <c r="N438" i="7"/>
  <c r="M132" i="7"/>
  <c r="N132" i="7" s="1"/>
  <c r="C24" i="1"/>
  <c r="M2" i="7"/>
  <c r="N2" i="7" s="1"/>
  <c r="M16" i="7"/>
  <c r="N16" i="7" s="1"/>
  <c r="M30" i="7"/>
  <c r="N30" i="7" s="1"/>
  <c r="M44" i="7"/>
  <c r="N44" i="7"/>
  <c r="N58" i="7"/>
  <c r="M58" i="7"/>
  <c r="N72" i="7"/>
  <c r="M72" i="7"/>
  <c r="N81" i="7"/>
  <c r="M81" i="7"/>
  <c r="N104" i="7"/>
  <c r="M104" i="7"/>
  <c r="N113" i="7"/>
  <c r="M113" i="7"/>
  <c r="K118" i="5"/>
  <c r="K118" i="7" s="1"/>
  <c r="M122" i="7"/>
  <c r="N122" i="7" s="1"/>
  <c r="K127" i="5"/>
  <c r="K127" i="7" s="1"/>
  <c r="K136" i="5"/>
  <c r="K136" i="7" s="1"/>
  <c r="M149" i="7"/>
  <c r="N149" i="7" s="1"/>
  <c r="E152" i="7"/>
  <c r="K152" i="5"/>
  <c r="K152" i="7" s="1"/>
  <c r="K158" i="5"/>
  <c r="K158" i="7" s="1"/>
  <c r="N162" i="7"/>
  <c r="M162" i="7"/>
  <c r="E165" i="7"/>
  <c r="K165" i="5"/>
  <c r="K165" i="7" s="1"/>
  <c r="M183" i="7"/>
  <c r="N183" i="7"/>
  <c r="M187" i="7"/>
  <c r="N187" i="7"/>
  <c r="E194" i="7"/>
  <c r="K194" i="5"/>
  <c r="K194" i="7" s="1"/>
  <c r="K204" i="5"/>
  <c r="K204" i="7" s="1"/>
  <c r="M208" i="7"/>
  <c r="N208" i="7"/>
  <c r="K225" i="5"/>
  <c r="K225" i="7" s="1"/>
  <c r="M233" i="7"/>
  <c r="N233" i="7" s="1"/>
  <c r="K279" i="5"/>
  <c r="K279" i="7" s="1"/>
  <c r="M283" i="7"/>
  <c r="N283" i="7"/>
  <c r="K300" i="5"/>
  <c r="K300" i="7" s="1"/>
  <c r="M304" i="7"/>
  <c r="N304" i="7"/>
  <c r="E315" i="7"/>
  <c r="K315" i="5"/>
  <c r="K315" i="7" s="1"/>
  <c r="E340" i="7"/>
  <c r="K340" i="5"/>
  <c r="K340" i="7" s="1"/>
  <c r="E348" i="7"/>
  <c r="K348" i="5"/>
  <c r="K348" i="7" s="1"/>
  <c r="E385" i="7"/>
  <c r="K385" i="5"/>
  <c r="K385" i="7" s="1"/>
  <c r="E389" i="7"/>
  <c r="K389" i="5"/>
  <c r="K389" i="7" s="1"/>
  <c r="M415" i="7"/>
  <c r="N415" i="7" s="1"/>
  <c r="K419" i="5"/>
  <c r="K419" i="7" s="1"/>
  <c r="M423" i="7"/>
  <c r="N423" i="7"/>
  <c r="E438" i="7"/>
  <c r="K438" i="5"/>
  <c r="K438" i="7" s="1"/>
  <c r="E446" i="7"/>
  <c r="K446" i="5"/>
  <c r="K446" i="7" s="1"/>
  <c r="E483" i="7"/>
  <c r="K483" i="5"/>
  <c r="K483" i="7" s="1"/>
  <c r="E487" i="7"/>
  <c r="K487" i="5"/>
  <c r="K487" i="7" s="1"/>
  <c r="M513" i="7"/>
  <c r="N513" i="7" s="1"/>
  <c r="K517" i="5"/>
  <c r="K517" i="7" s="1"/>
  <c r="M521" i="7"/>
  <c r="N521" i="7"/>
  <c r="E536" i="7"/>
  <c r="K536" i="5"/>
  <c r="K536" i="7" s="1"/>
  <c r="E544" i="7"/>
  <c r="K544" i="5"/>
  <c r="K544" i="7" s="1"/>
  <c r="E581" i="7"/>
  <c r="K581" i="5"/>
  <c r="K581" i="7" s="1"/>
  <c r="E585" i="7"/>
  <c r="K585" i="5"/>
  <c r="K585" i="7" s="1"/>
  <c r="N611" i="7"/>
  <c r="M611" i="7"/>
  <c r="K615" i="5"/>
  <c r="K615" i="7" s="1"/>
  <c r="M619" i="7"/>
  <c r="N619" i="7" s="1"/>
  <c r="E634" i="7"/>
  <c r="K634" i="5"/>
  <c r="K634" i="7" s="1"/>
  <c r="E642" i="7"/>
  <c r="K642" i="5"/>
  <c r="K642" i="7" s="1"/>
  <c r="K664" i="5"/>
  <c r="K664" i="7" s="1"/>
  <c r="K692" i="5"/>
  <c r="K692" i="7" s="1"/>
  <c r="K720" i="5"/>
  <c r="K720" i="7" s="1"/>
  <c r="K748" i="5"/>
  <c r="K748" i="7" s="1"/>
  <c r="E147" i="7"/>
  <c r="K147" i="5"/>
  <c r="K147" i="7" s="1"/>
  <c r="E231" i="7"/>
  <c r="K231" i="5"/>
  <c r="K231" i="7" s="1"/>
  <c r="M295" i="7"/>
  <c r="N295" i="7"/>
  <c r="E306" i="7"/>
  <c r="K306" i="5"/>
  <c r="K306" i="7" s="1"/>
  <c r="M320" i="7"/>
  <c r="N320" i="7"/>
  <c r="M451" i="7"/>
  <c r="N451" i="7" s="1"/>
  <c r="E466" i="7"/>
  <c r="K466" i="5"/>
  <c r="K466" i="7" s="1"/>
  <c r="E474" i="7"/>
  <c r="K474" i="5"/>
  <c r="K474" i="7" s="1"/>
  <c r="M541" i="7"/>
  <c r="N541" i="7"/>
  <c r="E609" i="7"/>
  <c r="K609" i="5"/>
  <c r="K609" i="7" s="1"/>
  <c r="E613" i="7"/>
  <c r="K613" i="5"/>
  <c r="K613" i="7" s="1"/>
  <c r="M15" i="7"/>
  <c r="N15" i="7" s="1"/>
  <c r="M29" i="7"/>
  <c r="N29" i="7" s="1"/>
  <c r="M103" i="7"/>
  <c r="N103" i="7" s="1"/>
  <c r="M232" i="7"/>
  <c r="N232" i="7" s="1"/>
  <c r="M303" i="7"/>
  <c r="N303" i="7"/>
  <c r="M414" i="7"/>
  <c r="N414" i="7"/>
  <c r="M598" i="7"/>
  <c r="N598" i="7" s="1"/>
  <c r="M52" i="7"/>
  <c r="N52" i="7" s="1"/>
  <c r="M139" i="7"/>
  <c r="N139" i="7" s="1"/>
  <c r="E172" i="7"/>
  <c r="K172" i="5"/>
  <c r="K172" i="7" s="1"/>
  <c r="M186" i="7"/>
  <c r="N186" i="7" s="1"/>
  <c r="E193" i="7"/>
  <c r="K193" i="5"/>
  <c r="K193" i="7" s="1"/>
  <c r="M236" i="7"/>
  <c r="N236" i="7"/>
  <c r="E494" i="7"/>
  <c r="K494" i="5"/>
  <c r="K494" i="7" s="1"/>
  <c r="M577" i="7"/>
  <c r="N577" i="7"/>
  <c r="E592" i="7"/>
  <c r="K592" i="5"/>
  <c r="K592" i="7" s="1"/>
  <c r="M84" i="7"/>
  <c r="N84" i="7" s="1"/>
  <c r="N116" i="7"/>
  <c r="M116" i="7"/>
  <c r="M219" i="7"/>
  <c r="N219" i="7"/>
  <c r="M290" i="7"/>
  <c r="N290" i="7"/>
  <c r="M491" i="7"/>
  <c r="N491" i="7"/>
  <c r="M536" i="7"/>
  <c r="N536" i="7" s="1"/>
  <c r="M589" i="7"/>
  <c r="N589" i="7"/>
  <c r="K3" i="5"/>
  <c r="K3" i="7" s="1"/>
  <c r="N12" i="7"/>
  <c r="M12" i="7"/>
  <c r="K17" i="5"/>
  <c r="K17" i="7" s="1"/>
  <c r="D24" i="1"/>
  <c r="N11" i="7"/>
  <c r="M11" i="7"/>
  <c r="M25" i="7"/>
  <c r="N25" i="7" s="1"/>
  <c r="M39" i="7"/>
  <c r="N39" i="7" s="1"/>
  <c r="N53" i="7"/>
  <c r="M53" i="7"/>
  <c r="N67" i="7"/>
  <c r="M67" i="7"/>
  <c r="N90" i="7"/>
  <c r="M90" i="7"/>
  <c r="N99" i="7"/>
  <c r="M99" i="7"/>
  <c r="N108" i="7"/>
  <c r="M108" i="7"/>
  <c r="M131" i="7"/>
  <c r="N131" i="7" s="1"/>
  <c r="N153" i="7"/>
  <c r="M153" i="7"/>
  <c r="E156" i="7"/>
  <c r="K156" i="5"/>
  <c r="K156" i="7" s="1"/>
  <c r="N166" i="7"/>
  <c r="M166" i="7"/>
  <c r="M191" i="7"/>
  <c r="N191" i="7" s="1"/>
  <c r="M241" i="7"/>
  <c r="N241" i="7" s="1"/>
  <c r="M262" i="7"/>
  <c r="N262" i="7" s="1"/>
  <c r="E273" i="7"/>
  <c r="K273" i="5"/>
  <c r="K273" i="7" s="1"/>
  <c r="E298" i="7"/>
  <c r="K298" i="5"/>
  <c r="K298" i="7" s="1"/>
  <c r="M312" i="7"/>
  <c r="N312" i="7" s="1"/>
  <c r="M316" i="7"/>
  <c r="N316" i="7" s="1"/>
  <c r="E319" i="7"/>
  <c r="K319" i="5"/>
  <c r="K319" i="7" s="1"/>
  <c r="M337" i="7"/>
  <c r="N337" i="7" s="1"/>
  <c r="N374" i="7"/>
  <c r="M374" i="7"/>
  <c r="M382" i="7"/>
  <c r="N382" i="7"/>
  <c r="M386" i="7"/>
  <c r="N386" i="7" s="1"/>
  <c r="M390" i="7"/>
  <c r="N390" i="7" s="1"/>
  <c r="M435" i="7"/>
  <c r="N435" i="7" s="1"/>
  <c r="N472" i="7"/>
  <c r="M472" i="7"/>
  <c r="N480" i="7"/>
  <c r="M480" i="7"/>
  <c r="M484" i="7"/>
  <c r="N484" i="7" s="1"/>
  <c r="M533" i="7"/>
  <c r="N533" i="7" s="1"/>
  <c r="M570" i="7"/>
  <c r="N570" i="7" s="1"/>
  <c r="N578" i="7"/>
  <c r="M578" i="7"/>
  <c r="N582" i="7"/>
  <c r="M582" i="7"/>
  <c r="N631" i="7"/>
  <c r="M631" i="7"/>
  <c r="E662" i="7"/>
  <c r="K662" i="5"/>
  <c r="K662" i="7" s="1"/>
  <c r="E670" i="7"/>
  <c r="K670" i="5"/>
  <c r="K670" i="7" s="1"/>
  <c r="E690" i="7"/>
  <c r="K690" i="5"/>
  <c r="K690" i="7" s="1"/>
  <c r="E698" i="7"/>
  <c r="K698" i="5"/>
  <c r="K698" i="7" s="1"/>
  <c r="E718" i="7"/>
  <c r="K718" i="5"/>
  <c r="K718" i="7" s="1"/>
  <c r="E726" i="7"/>
  <c r="K726" i="5"/>
  <c r="K726" i="7" s="1"/>
  <c r="E746" i="7"/>
  <c r="K746" i="5"/>
  <c r="K746" i="7" s="1"/>
  <c r="E754" i="7"/>
  <c r="K754" i="5"/>
  <c r="K754" i="7" s="1"/>
  <c r="E774" i="7"/>
  <c r="K774" i="5"/>
  <c r="K774" i="7" s="1"/>
  <c r="E782" i="7"/>
  <c r="K782" i="5"/>
  <c r="K782" i="7" s="1"/>
  <c r="E802" i="7"/>
  <c r="K802" i="5"/>
  <c r="K802" i="7" s="1"/>
  <c r="E810" i="7"/>
  <c r="K810" i="5"/>
  <c r="K810" i="7" s="1"/>
  <c r="E838" i="7"/>
  <c r="K838" i="5"/>
  <c r="K838" i="7" s="1"/>
  <c r="E866" i="7"/>
  <c r="K866" i="5"/>
  <c r="K866" i="7" s="1"/>
  <c r="M647" i="7"/>
  <c r="N647" i="7" s="1"/>
  <c r="M675" i="7"/>
  <c r="N675" i="7" s="1"/>
  <c r="M703" i="7"/>
  <c r="N703" i="7" s="1"/>
  <c r="N731" i="7"/>
  <c r="M731" i="7"/>
  <c r="N759" i="7"/>
  <c r="M759" i="7"/>
  <c r="E889" i="7"/>
  <c r="K889" i="5"/>
  <c r="K889" i="7" s="1"/>
  <c r="M117" i="7"/>
  <c r="N117" i="7" s="1"/>
  <c r="M199" i="7"/>
  <c r="N199" i="7"/>
  <c r="E564" i="7"/>
  <c r="K564" i="5"/>
  <c r="K564" i="7" s="1"/>
  <c r="N639" i="7"/>
  <c r="M639" i="7"/>
  <c r="M253" i="7"/>
  <c r="N253" i="7" s="1"/>
  <c r="M659" i="7"/>
  <c r="N659" i="7" s="1"/>
  <c r="N687" i="7"/>
  <c r="M687" i="7"/>
  <c r="M715" i="7"/>
  <c r="N715" i="7"/>
  <c r="M723" i="7"/>
  <c r="N723" i="7" s="1"/>
  <c r="M743" i="7"/>
  <c r="N743" i="7"/>
  <c r="M751" i="7"/>
  <c r="N751" i="7" s="1"/>
  <c r="M771" i="7"/>
  <c r="N771" i="7" s="1"/>
  <c r="N779" i="7"/>
  <c r="M779" i="7"/>
  <c r="N799" i="7"/>
  <c r="M799" i="7"/>
  <c r="M807" i="7"/>
  <c r="N807" i="7" s="1"/>
  <c r="M835" i="7"/>
  <c r="N835" i="7"/>
  <c r="M863" i="7"/>
  <c r="N863" i="7" s="1"/>
  <c r="N48" i="7"/>
  <c r="M48" i="7"/>
  <c r="N76" i="7"/>
  <c r="M76" i="7"/>
  <c r="N85" i="7"/>
  <c r="M85" i="7"/>
  <c r="N126" i="7"/>
  <c r="M126" i="7"/>
  <c r="M270" i="7"/>
  <c r="N270" i="7"/>
  <c r="M353" i="7"/>
  <c r="N353" i="7"/>
  <c r="M549" i="7"/>
  <c r="N549" i="7" s="1"/>
  <c r="E572" i="7"/>
  <c r="K572" i="5"/>
  <c r="K572" i="7" s="1"/>
  <c r="N121" i="7"/>
  <c r="M121" i="7"/>
  <c r="N402" i="7"/>
  <c r="M402" i="7"/>
  <c r="E445" i="7"/>
  <c r="K445" i="5"/>
  <c r="K445" i="7" s="1"/>
  <c r="E543" i="7"/>
  <c r="K543" i="5"/>
  <c r="K543" i="7" s="1"/>
  <c r="M569" i="7"/>
  <c r="N569" i="7" s="1"/>
  <c r="E637" i="7"/>
  <c r="K637" i="5"/>
  <c r="K637" i="7" s="1"/>
  <c r="E641" i="7"/>
  <c r="K641" i="5"/>
  <c r="K641" i="7" s="1"/>
  <c r="N6" i="7"/>
  <c r="M6" i="7"/>
  <c r="N157" i="7"/>
  <c r="M157" i="7"/>
  <c r="E417" i="7"/>
  <c r="K417" i="5"/>
  <c r="K417" i="7" s="1"/>
  <c r="M610" i="7"/>
  <c r="N610" i="7"/>
  <c r="M695" i="7"/>
  <c r="N695" i="7" s="1"/>
  <c r="N66" i="7"/>
  <c r="M66" i="7"/>
  <c r="N89" i="7"/>
  <c r="M89" i="7"/>
  <c r="N373" i="7"/>
  <c r="M373" i="7"/>
  <c r="N381" i="7"/>
  <c r="M381" i="7"/>
  <c r="M471" i="7"/>
  <c r="N471" i="7"/>
  <c r="M47" i="7"/>
  <c r="N47" i="7"/>
  <c r="M75" i="7"/>
  <c r="N75" i="7" s="1"/>
  <c r="E119" i="7"/>
  <c r="K119" i="5"/>
  <c r="K119" i="7" s="1"/>
  <c r="M194" i="7"/>
  <c r="N194" i="7" s="1"/>
  <c r="M340" i="7"/>
  <c r="N340" i="7" s="1"/>
  <c r="N634" i="7"/>
  <c r="M634" i="7"/>
  <c r="M638" i="7"/>
  <c r="N638" i="7" s="1"/>
  <c r="E665" i="7"/>
  <c r="K665" i="5"/>
  <c r="K665" i="7" s="1"/>
  <c r="E669" i="7"/>
  <c r="K669" i="5"/>
  <c r="K669" i="7" s="1"/>
  <c r="E693" i="7"/>
  <c r="K693" i="5"/>
  <c r="K693" i="7" s="1"/>
  <c r="E697" i="7"/>
  <c r="K697" i="5"/>
  <c r="K697" i="7" s="1"/>
  <c r="E721" i="7"/>
  <c r="K721" i="5"/>
  <c r="K721" i="7" s="1"/>
  <c r="E725" i="7"/>
  <c r="K725" i="5"/>
  <c r="K725" i="7" s="1"/>
  <c r="E749" i="7"/>
  <c r="K749" i="5"/>
  <c r="K749" i="7" s="1"/>
  <c r="E753" i="7"/>
  <c r="K753" i="5"/>
  <c r="K753" i="7" s="1"/>
  <c r="E777" i="7"/>
  <c r="K777" i="5"/>
  <c r="K777" i="7" s="1"/>
  <c r="E781" i="7"/>
  <c r="K781" i="5"/>
  <c r="K781" i="7" s="1"/>
  <c r="E805" i="7"/>
  <c r="K805" i="5"/>
  <c r="K805" i="7" s="1"/>
  <c r="E809" i="7"/>
  <c r="K809" i="5"/>
  <c r="K809" i="7" s="1"/>
  <c r="E833" i="7"/>
  <c r="K833" i="5"/>
  <c r="K833" i="7" s="1"/>
  <c r="E837" i="7"/>
  <c r="K837" i="5"/>
  <c r="K837" i="7" s="1"/>
  <c r="E861" i="7"/>
  <c r="K861" i="5"/>
  <c r="K861" i="7" s="1"/>
  <c r="E865" i="7"/>
  <c r="K865" i="5"/>
  <c r="K865" i="7" s="1"/>
  <c r="N62" i="7"/>
  <c r="M62" i="7"/>
  <c r="N144" i="7"/>
  <c r="M144" i="7"/>
  <c r="M220" i="7"/>
  <c r="N220" i="7" s="1"/>
  <c r="E256" i="7"/>
  <c r="K256" i="5"/>
  <c r="K256" i="7" s="1"/>
  <c r="E413" i="7"/>
  <c r="K413" i="5"/>
  <c r="K413" i="7" s="1"/>
  <c r="M443" i="7"/>
  <c r="N443" i="7" s="1"/>
  <c r="M107" i="7"/>
  <c r="N107" i="7" s="1"/>
  <c r="N130" i="7"/>
  <c r="M130" i="7"/>
  <c r="E142" i="7"/>
  <c r="K142" i="5"/>
  <c r="K142" i="7" s="1"/>
  <c r="E222" i="7"/>
  <c r="K222" i="5"/>
  <c r="K222" i="7" s="1"/>
  <c r="E469" i="7"/>
  <c r="K469" i="5"/>
  <c r="K469" i="7" s="1"/>
  <c r="E473" i="7"/>
  <c r="K473" i="5"/>
  <c r="K473" i="7" s="1"/>
  <c r="M499" i="7"/>
  <c r="N499" i="7" s="1"/>
  <c r="M507" i="7"/>
  <c r="N507" i="7" s="1"/>
  <c r="E522" i="7"/>
  <c r="K522" i="5"/>
  <c r="K522" i="7" s="1"/>
  <c r="E530" i="7"/>
  <c r="K530" i="5"/>
  <c r="K530" i="7" s="1"/>
  <c r="E567" i="7"/>
  <c r="K567" i="5"/>
  <c r="K567" i="7" s="1"/>
  <c r="E571" i="7"/>
  <c r="K571" i="5"/>
  <c r="K571" i="7" s="1"/>
  <c r="M597" i="7"/>
  <c r="N597" i="7" s="1"/>
  <c r="M605" i="7"/>
  <c r="N605" i="7" s="1"/>
  <c r="E620" i="7"/>
  <c r="K620" i="5"/>
  <c r="K620" i="7" s="1"/>
  <c r="E628" i="7"/>
  <c r="K628" i="5"/>
  <c r="K628" i="7" s="1"/>
  <c r="N662" i="7"/>
  <c r="M662" i="7"/>
  <c r="N666" i="7"/>
  <c r="M666" i="7"/>
  <c r="M690" i="7"/>
  <c r="N690" i="7"/>
  <c r="M694" i="7"/>
  <c r="N694" i="7"/>
  <c r="M718" i="7"/>
  <c r="N718" i="7" s="1"/>
  <c r="M722" i="7"/>
  <c r="N722" i="7"/>
  <c r="N746" i="7"/>
  <c r="M746" i="7"/>
  <c r="N750" i="7"/>
  <c r="M750" i="7"/>
  <c r="M774" i="7"/>
  <c r="N774" i="7" s="1"/>
  <c r="M778" i="7"/>
  <c r="N778" i="7"/>
  <c r="M802" i="7"/>
  <c r="N802" i="7"/>
  <c r="M806" i="7"/>
  <c r="N806" i="7"/>
  <c r="M830" i="7"/>
  <c r="N830" i="7" s="1"/>
  <c r="M834" i="7"/>
  <c r="N834" i="7" s="1"/>
  <c r="N858" i="7"/>
  <c r="M858" i="7"/>
  <c r="M862" i="7"/>
  <c r="N862" i="7" s="1"/>
  <c r="M626" i="7"/>
  <c r="N626" i="7" s="1"/>
  <c r="M640" i="7"/>
  <c r="N640" i="7" s="1"/>
  <c r="M654" i="7"/>
  <c r="N654" i="7" s="1"/>
  <c r="K659" i="5"/>
  <c r="K659" i="7" s="1"/>
  <c r="M668" i="7"/>
  <c r="N668" i="7" s="1"/>
  <c r="K673" i="5"/>
  <c r="K673" i="7" s="1"/>
  <c r="N682" i="7"/>
  <c r="M682" i="7"/>
  <c r="K687" i="5"/>
  <c r="K687" i="7" s="1"/>
  <c r="N696" i="7"/>
  <c r="M696" i="7"/>
  <c r="K701" i="5"/>
  <c r="K701" i="7" s="1"/>
  <c r="M710" i="7"/>
  <c r="N710" i="7" s="1"/>
  <c r="K715" i="5"/>
  <c r="K715" i="7" s="1"/>
  <c r="M724" i="7"/>
  <c r="N724" i="7" s="1"/>
  <c r="K729" i="5"/>
  <c r="K729" i="7" s="1"/>
  <c r="N738" i="7"/>
  <c r="M738" i="7"/>
  <c r="K743" i="5"/>
  <c r="K743" i="7" s="1"/>
  <c r="M752" i="7"/>
  <c r="N752" i="7" s="1"/>
  <c r="K757" i="5"/>
  <c r="K757" i="7" s="1"/>
  <c r="M766" i="7"/>
  <c r="N766" i="7" s="1"/>
  <c r="K771" i="5"/>
  <c r="K771" i="7" s="1"/>
  <c r="M780" i="7"/>
  <c r="N780" i="7" s="1"/>
  <c r="K785" i="5"/>
  <c r="K785" i="7" s="1"/>
  <c r="M794" i="7"/>
  <c r="N794" i="7" s="1"/>
  <c r="K799" i="5"/>
  <c r="K799" i="7" s="1"/>
  <c r="M808" i="7"/>
  <c r="N808" i="7" s="1"/>
  <c r="K813" i="5"/>
  <c r="K813" i="7" s="1"/>
  <c r="N822" i="7"/>
  <c r="M822" i="7"/>
  <c r="K827" i="5"/>
  <c r="K827" i="7" s="1"/>
  <c r="N836" i="7"/>
  <c r="M836" i="7"/>
  <c r="K841" i="5"/>
  <c r="K841" i="7" s="1"/>
  <c r="M850" i="7"/>
  <c r="N850" i="7" s="1"/>
  <c r="K855" i="5"/>
  <c r="K855" i="7" s="1"/>
  <c r="M864" i="7"/>
  <c r="N864" i="7" s="1"/>
  <c r="K869" i="5"/>
  <c r="K869" i="7" s="1"/>
  <c r="N878" i="7"/>
  <c r="M878" i="7"/>
  <c r="K883" i="5"/>
  <c r="K883" i="7" s="1"/>
  <c r="K897" i="5"/>
  <c r="L902" i="5"/>
  <c r="L902" i="7" s="1"/>
  <c r="F932" i="7"/>
  <c r="L932" i="5"/>
  <c r="L932" i="7" s="1"/>
  <c r="M932" i="7" s="1"/>
  <c r="N932" i="7" s="1"/>
  <c r="N933" i="7"/>
  <c r="M933" i="7"/>
  <c r="F936" i="7"/>
  <c r="L936" i="5"/>
  <c r="L936" i="7" s="1"/>
  <c r="K937" i="5"/>
  <c r="K937" i="7" s="1"/>
  <c r="M941" i="7"/>
  <c r="N941" i="7" s="1"/>
  <c r="E944" i="7"/>
  <c r="K944" i="5"/>
  <c r="K944" i="7" s="1"/>
  <c r="L966" i="5"/>
  <c r="L966" i="7" s="1"/>
  <c r="M966" i="7" s="1"/>
  <c r="N966" i="7" s="1"/>
  <c r="L970" i="5"/>
  <c r="L970" i="7" s="1"/>
  <c r="M989" i="7"/>
  <c r="N989" i="7" s="1"/>
  <c r="K997" i="5"/>
  <c r="K997" i="7" s="1"/>
  <c r="K1017" i="5"/>
  <c r="K1017" i="7" s="1"/>
  <c r="K1021" i="5"/>
  <c r="K1021" i="7" s="1"/>
  <c r="K1025" i="5"/>
  <c r="K1025" i="7" s="1"/>
  <c r="K1033" i="5"/>
  <c r="K1033" i="7" s="1"/>
  <c r="L1037" i="5"/>
  <c r="L1037" i="7" s="1"/>
  <c r="E1043" i="7"/>
  <c r="K1043" i="5"/>
  <c r="K1043" i="7" s="1"/>
  <c r="M1044" i="7"/>
  <c r="N1044" i="7" s="1"/>
  <c r="F1047" i="7"/>
  <c r="L1047" i="5"/>
  <c r="L1047" i="7" s="1"/>
  <c r="N1060" i="7"/>
  <c r="M1060" i="7"/>
  <c r="N1064" i="7"/>
  <c r="M1064" i="7"/>
  <c r="F1067" i="7"/>
  <c r="L1067" i="5"/>
  <c r="L1067" i="7" s="1"/>
  <c r="M1067" i="7" s="1"/>
  <c r="N1067" i="7" s="1"/>
  <c r="M1068" i="7"/>
  <c r="N1068" i="7" s="1"/>
  <c r="F1071" i="7"/>
  <c r="L1071" i="5"/>
  <c r="L1071" i="7" s="1"/>
  <c r="K1072" i="5"/>
  <c r="K1072" i="7" s="1"/>
  <c r="K1076" i="5"/>
  <c r="K1076" i="7" s="1"/>
  <c r="F1090" i="7"/>
  <c r="L1090" i="5"/>
  <c r="L1090" i="7" s="1"/>
  <c r="M1102" i="7"/>
  <c r="N1102" i="7" s="1"/>
  <c r="F1119" i="7"/>
  <c r="L1119" i="5"/>
  <c r="L1119" i="7" s="1"/>
  <c r="K1131" i="5"/>
  <c r="K1131" i="7" s="1"/>
  <c r="E1154" i="7"/>
  <c r="K1154" i="5"/>
  <c r="K1154" i="7" s="1"/>
  <c r="E1168" i="7"/>
  <c r="K1168" i="5"/>
  <c r="K1168" i="7" s="1"/>
  <c r="M243" i="7"/>
  <c r="N243" i="7"/>
  <c r="M257" i="7"/>
  <c r="N257" i="7" s="1"/>
  <c r="M271" i="7"/>
  <c r="N271" i="7" s="1"/>
  <c r="M285" i="7"/>
  <c r="N285" i="7"/>
  <c r="M299" i="7"/>
  <c r="N299" i="7"/>
  <c r="M313" i="7"/>
  <c r="N313" i="7" s="1"/>
  <c r="M327" i="7"/>
  <c r="N327" i="7" s="1"/>
  <c r="M341" i="7"/>
  <c r="N341" i="7"/>
  <c r="K346" i="5"/>
  <c r="K346" i="7" s="1"/>
  <c r="M355" i="7"/>
  <c r="N355" i="7"/>
  <c r="K360" i="5"/>
  <c r="K360" i="7" s="1"/>
  <c r="M369" i="7"/>
  <c r="N369" i="7" s="1"/>
  <c r="K374" i="5"/>
  <c r="K374" i="7" s="1"/>
  <c r="M383" i="7"/>
  <c r="N383" i="7"/>
  <c r="K388" i="5"/>
  <c r="K388" i="7" s="1"/>
  <c r="N397" i="7"/>
  <c r="M397" i="7"/>
  <c r="K402" i="5"/>
  <c r="K402" i="7" s="1"/>
  <c r="N411" i="7"/>
  <c r="M411" i="7"/>
  <c r="K416" i="5"/>
  <c r="K416" i="7" s="1"/>
  <c r="N425" i="7"/>
  <c r="M425" i="7"/>
  <c r="K430" i="5"/>
  <c r="K430" i="7" s="1"/>
  <c r="M439" i="7"/>
  <c r="N439" i="7"/>
  <c r="K444" i="5"/>
  <c r="K444" i="7" s="1"/>
  <c r="M453" i="7"/>
  <c r="N453" i="7" s="1"/>
  <c r="K458" i="5"/>
  <c r="K458" i="7" s="1"/>
  <c r="N467" i="7"/>
  <c r="M467" i="7"/>
  <c r="K472" i="5"/>
  <c r="K472" i="7" s="1"/>
  <c r="N481" i="7"/>
  <c r="M481" i="7"/>
  <c r="K486" i="5"/>
  <c r="K486" i="7" s="1"/>
  <c r="N495" i="7"/>
  <c r="M495" i="7"/>
  <c r="K500" i="5"/>
  <c r="K500" i="7" s="1"/>
  <c r="M509" i="7"/>
  <c r="N509" i="7" s="1"/>
  <c r="K514" i="5"/>
  <c r="K514" i="7" s="1"/>
  <c r="N523" i="7"/>
  <c r="M523" i="7"/>
  <c r="K528" i="5"/>
  <c r="K528" i="7" s="1"/>
  <c r="M537" i="7"/>
  <c r="N537" i="7" s="1"/>
  <c r="K542" i="5"/>
  <c r="K542" i="7" s="1"/>
  <c r="M551" i="7"/>
  <c r="N551" i="7" s="1"/>
  <c r="K556" i="5"/>
  <c r="K556" i="7" s="1"/>
  <c r="M565" i="7"/>
  <c r="N565" i="7" s="1"/>
  <c r="K570" i="5"/>
  <c r="K570" i="7" s="1"/>
  <c r="M579" i="7"/>
  <c r="N579" i="7" s="1"/>
  <c r="K584" i="5"/>
  <c r="K584" i="7" s="1"/>
  <c r="M593" i="7"/>
  <c r="N593" i="7" s="1"/>
  <c r="K598" i="5"/>
  <c r="K598" i="7" s="1"/>
  <c r="N607" i="7"/>
  <c r="M607" i="7"/>
  <c r="K612" i="5"/>
  <c r="K612" i="7" s="1"/>
  <c r="N621" i="7"/>
  <c r="M621" i="7"/>
  <c r="K626" i="5"/>
  <c r="K626" i="7" s="1"/>
  <c r="M635" i="7"/>
  <c r="N635" i="7" s="1"/>
  <c r="K640" i="5"/>
  <c r="K640" i="7" s="1"/>
  <c r="M649" i="7"/>
  <c r="N649" i="7" s="1"/>
  <c r="K654" i="5"/>
  <c r="K654" i="7" s="1"/>
  <c r="N663" i="7"/>
  <c r="M663" i="7"/>
  <c r="K668" i="5"/>
  <c r="K668" i="7" s="1"/>
  <c r="N677" i="7"/>
  <c r="M677" i="7"/>
  <c r="K682" i="5"/>
  <c r="K682" i="7" s="1"/>
  <c r="M691" i="7"/>
  <c r="N691" i="7" s="1"/>
  <c r="K696" i="5"/>
  <c r="K696" i="7" s="1"/>
  <c r="M705" i="7"/>
  <c r="N705" i="7" s="1"/>
  <c r="K710" i="5"/>
  <c r="K710" i="7" s="1"/>
  <c r="N719" i="7"/>
  <c r="M719" i="7"/>
  <c r="K724" i="5"/>
  <c r="K724" i="7" s="1"/>
  <c r="M733" i="7"/>
  <c r="N733" i="7"/>
  <c r="K738" i="5"/>
  <c r="K738" i="7" s="1"/>
  <c r="M747" i="7"/>
  <c r="N747" i="7"/>
  <c r="K752" i="5"/>
  <c r="K752" i="7" s="1"/>
  <c r="M761" i="7"/>
  <c r="N761" i="7"/>
  <c r="K766" i="5"/>
  <c r="K766" i="7" s="1"/>
  <c r="M775" i="7"/>
  <c r="N775" i="7" s="1"/>
  <c r="K780" i="5"/>
  <c r="K780" i="7" s="1"/>
  <c r="M789" i="7"/>
  <c r="N789" i="7" s="1"/>
  <c r="K794" i="5"/>
  <c r="K794" i="7" s="1"/>
  <c r="M803" i="7"/>
  <c r="N803" i="7" s="1"/>
  <c r="K808" i="5"/>
  <c r="K808" i="7" s="1"/>
  <c r="N817" i="7"/>
  <c r="M817" i="7"/>
  <c r="K822" i="5"/>
  <c r="K822" i="7" s="1"/>
  <c r="M831" i="7"/>
  <c r="N831" i="7" s="1"/>
  <c r="K836" i="5"/>
  <c r="K836" i="7" s="1"/>
  <c r="N845" i="7"/>
  <c r="M845" i="7"/>
  <c r="K850" i="5"/>
  <c r="K850" i="7" s="1"/>
  <c r="N859" i="7"/>
  <c r="M859" i="7"/>
  <c r="K864" i="5"/>
  <c r="K864" i="7" s="1"/>
  <c r="N873" i="7"/>
  <c r="M873" i="7"/>
  <c r="F908" i="7"/>
  <c r="L908" i="5"/>
  <c r="L908" i="7" s="1"/>
  <c r="N909" i="7"/>
  <c r="M909" i="7"/>
  <c r="E912" i="7"/>
  <c r="K912" i="5"/>
  <c r="K912" i="7" s="1"/>
  <c r="F924" i="7"/>
  <c r="L924" i="5"/>
  <c r="L924" i="7" s="1"/>
  <c r="M924" i="7" s="1"/>
  <c r="N924" i="7" s="1"/>
  <c r="M961" i="7"/>
  <c r="N961" i="7"/>
  <c r="F964" i="7"/>
  <c r="L964" i="5"/>
  <c r="L964" i="7" s="1"/>
  <c r="M965" i="7"/>
  <c r="N965" i="7" s="1"/>
  <c r="E968" i="7"/>
  <c r="K968" i="5"/>
  <c r="K968" i="7" s="1"/>
  <c r="E972" i="7"/>
  <c r="K972" i="5"/>
  <c r="K972" i="7" s="1"/>
  <c r="M1013" i="7"/>
  <c r="N1013" i="7" s="1"/>
  <c r="N1036" i="7"/>
  <c r="M1036" i="7"/>
  <c r="M1040" i="7"/>
  <c r="N1040" i="7" s="1"/>
  <c r="F1043" i="7"/>
  <c r="L1043" i="5"/>
  <c r="L1043" i="7" s="1"/>
  <c r="M1043" i="7" s="1"/>
  <c r="N1043" i="7" s="1"/>
  <c r="N1087" i="7"/>
  <c r="M1087" i="7"/>
  <c r="M1098" i="7"/>
  <c r="N1098" i="7" s="1"/>
  <c r="E1108" i="7"/>
  <c r="K1108" i="5"/>
  <c r="K1108" i="7" s="1"/>
  <c r="E1126" i="7"/>
  <c r="K1126" i="5"/>
  <c r="K1126" i="7" s="1"/>
  <c r="E1140" i="7"/>
  <c r="K1140" i="5"/>
  <c r="K1140" i="7" s="1"/>
  <c r="F1202" i="7"/>
  <c r="L1202" i="5"/>
  <c r="L1202" i="7" s="1"/>
  <c r="M1202" i="7" s="1"/>
  <c r="N1202" i="7" s="1"/>
  <c r="N140" i="7"/>
  <c r="M140" i="7"/>
  <c r="M154" i="7"/>
  <c r="N154" i="7" s="1"/>
  <c r="N168" i="7"/>
  <c r="M168" i="7"/>
  <c r="M182" i="7"/>
  <c r="N182" i="7" s="1"/>
  <c r="M196" i="7"/>
  <c r="N196" i="7"/>
  <c r="M210" i="7"/>
  <c r="N210" i="7"/>
  <c r="M224" i="7"/>
  <c r="N224" i="7" s="1"/>
  <c r="M238" i="7"/>
  <c r="N238" i="7" s="1"/>
  <c r="M252" i="7"/>
  <c r="N252" i="7"/>
  <c r="M266" i="7"/>
  <c r="N266" i="7" s="1"/>
  <c r="M280" i="7"/>
  <c r="N280" i="7" s="1"/>
  <c r="M294" i="7"/>
  <c r="N294" i="7"/>
  <c r="M308" i="7"/>
  <c r="N308" i="7"/>
  <c r="M322" i="7"/>
  <c r="N322" i="7" s="1"/>
  <c r="M336" i="7"/>
  <c r="N336" i="7" s="1"/>
  <c r="M350" i="7"/>
  <c r="N350" i="7"/>
  <c r="M364" i="7"/>
  <c r="N364" i="7" s="1"/>
  <c r="N378" i="7"/>
  <c r="M378" i="7"/>
  <c r="M392" i="7"/>
  <c r="N392" i="7" s="1"/>
  <c r="M406" i="7"/>
  <c r="N406" i="7" s="1"/>
  <c r="M420" i="7"/>
  <c r="N420" i="7" s="1"/>
  <c r="M434" i="7"/>
  <c r="N434" i="7" s="1"/>
  <c r="M448" i="7"/>
  <c r="N448" i="7"/>
  <c r="M462" i="7"/>
  <c r="N462" i="7" s="1"/>
  <c r="N476" i="7"/>
  <c r="M476" i="7"/>
  <c r="M490" i="7"/>
  <c r="N490" i="7" s="1"/>
  <c r="M504" i="7"/>
  <c r="N504" i="7"/>
  <c r="M518" i="7"/>
  <c r="N518" i="7" s="1"/>
  <c r="M532" i="7"/>
  <c r="N532" i="7" s="1"/>
  <c r="M546" i="7"/>
  <c r="N546" i="7"/>
  <c r="M560" i="7"/>
  <c r="N560" i="7" s="1"/>
  <c r="N574" i="7"/>
  <c r="M574" i="7"/>
  <c r="M588" i="7"/>
  <c r="N588" i="7" s="1"/>
  <c r="M602" i="7"/>
  <c r="N602" i="7" s="1"/>
  <c r="N616" i="7"/>
  <c r="M616" i="7"/>
  <c r="N630" i="7"/>
  <c r="M630" i="7"/>
  <c r="M644" i="7"/>
  <c r="N644" i="7" s="1"/>
  <c r="M658" i="7"/>
  <c r="N658" i="7" s="1"/>
  <c r="N672" i="7"/>
  <c r="M672" i="7"/>
  <c r="M686" i="7"/>
  <c r="N686" i="7"/>
  <c r="M700" i="7"/>
  <c r="N700" i="7"/>
  <c r="N714" i="7"/>
  <c r="M714" i="7"/>
  <c r="N728" i="7"/>
  <c r="M728" i="7"/>
  <c r="M742" i="7"/>
  <c r="N742" i="7" s="1"/>
  <c r="N756" i="7"/>
  <c r="M756" i="7"/>
  <c r="N770" i="7"/>
  <c r="M770" i="7"/>
  <c r="M784" i="7"/>
  <c r="N784" i="7"/>
  <c r="M798" i="7"/>
  <c r="N798" i="7" s="1"/>
  <c r="M812" i="7"/>
  <c r="N812" i="7" s="1"/>
  <c r="N826" i="7"/>
  <c r="M826" i="7"/>
  <c r="M840" i="7"/>
  <c r="N840" i="7" s="1"/>
  <c r="N854" i="7"/>
  <c r="M854" i="7"/>
  <c r="N868" i="7"/>
  <c r="M868" i="7"/>
  <c r="M913" i="7"/>
  <c r="N913" i="7" s="1"/>
  <c r="E916" i="7"/>
  <c r="K916" i="5"/>
  <c r="K916" i="7" s="1"/>
  <c r="N929" i="7"/>
  <c r="M929" i="7"/>
  <c r="N957" i="7"/>
  <c r="M957" i="7"/>
  <c r="E1015" i="7"/>
  <c r="K1015" i="5"/>
  <c r="K1015" i="7" s="1"/>
  <c r="N1016" i="7"/>
  <c r="M1016" i="7"/>
  <c r="M1032" i="7"/>
  <c r="N1032" i="7" s="1"/>
  <c r="N1056" i="7"/>
  <c r="M1056" i="7"/>
  <c r="E1058" i="7"/>
  <c r="K1058" i="5"/>
  <c r="K1058" i="7" s="1"/>
  <c r="F1093" i="7"/>
  <c r="L1093" i="5"/>
  <c r="L1093" i="7" s="1"/>
  <c r="M1116" i="7"/>
  <c r="N1116" i="7" s="1"/>
  <c r="M1130" i="7"/>
  <c r="N1130" i="7" s="1"/>
  <c r="N1137" i="7"/>
  <c r="M1137" i="7"/>
  <c r="M1151" i="7"/>
  <c r="N1151" i="7" s="1"/>
  <c r="E1164" i="7"/>
  <c r="K1164" i="5"/>
  <c r="K1164" i="7" s="1"/>
  <c r="E1174" i="7"/>
  <c r="K1174" i="5"/>
  <c r="K1174" i="7" s="1"/>
  <c r="F1205" i="7"/>
  <c r="L1205" i="5"/>
  <c r="L1205" i="7" s="1"/>
  <c r="L901" i="5"/>
  <c r="L901" i="7" s="1"/>
  <c r="M901" i="7" s="1"/>
  <c r="N901" i="7" s="1"/>
  <c r="L905" i="5"/>
  <c r="L905" i="7" s="1"/>
  <c r="M905" i="7" s="1"/>
  <c r="N905" i="7" s="1"/>
  <c r="F916" i="7"/>
  <c r="L916" i="5"/>
  <c r="L916" i="7" s="1"/>
  <c r="M916" i="7" s="1"/>
  <c r="N916" i="7" s="1"/>
  <c r="E987" i="7"/>
  <c r="K987" i="5"/>
  <c r="K987" i="7" s="1"/>
  <c r="N988" i="7"/>
  <c r="M988" i="7"/>
  <c r="F991" i="7"/>
  <c r="L991" i="5"/>
  <c r="L991" i="7" s="1"/>
  <c r="M1004" i="7"/>
  <c r="N1004" i="7" s="1"/>
  <c r="M1008" i="7"/>
  <c r="N1008" i="7" s="1"/>
  <c r="F1015" i="7"/>
  <c r="L1015" i="5"/>
  <c r="L1015" i="7" s="1"/>
  <c r="F1019" i="7"/>
  <c r="L1019" i="5"/>
  <c r="L1019" i="7" s="1"/>
  <c r="M1020" i="7"/>
  <c r="N1020" i="7" s="1"/>
  <c r="E1046" i="7"/>
  <c r="K1046" i="5"/>
  <c r="K1046" i="7" s="1"/>
  <c r="M1059" i="7"/>
  <c r="N1059" i="7"/>
  <c r="F1062" i="7"/>
  <c r="L1062" i="5"/>
  <c r="L1062" i="7" s="1"/>
  <c r="M1063" i="7"/>
  <c r="N1063" i="7"/>
  <c r="E1066" i="7"/>
  <c r="K1066" i="5"/>
  <c r="K1066" i="7" s="1"/>
  <c r="E1070" i="7"/>
  <c r="K1070" i="5"/>
  <c r="K1070" i="7" s="1"/>
  <c r="N1101" i="7"/>
  <c r="M1101" i="7"/>
  <c r="F1104" i="7"/>
  <c r="L1104" i="5"/>
  <c r="L1104" i="7" s="1"/>
  <c r="M1105" i="7"/>
  <c r="N1105" i="7"/>
  <c r="M1123" i="7"/>
  <c r="N1123" i="7" s="1"/>
  <c r="F1136" i="7"/>
  <c r="L1136" i="5"/>
  <c r="L1136" i="7" s="1"/>
  <c r="F1150" i="7"/>
  <c r="L1150" i="5"/>
  <c r="L1150" i="7" s="1"/>
  <c r="E1160" i="7"/>
  <c r="K1160" i="5"/>
  <c r="K1160" i="7" s="1"/>
  <c r="F1164" i="7"/>
  <c r="L1164" i="5"/>
  <c r="L1164" i="7" s="1"/>
  <c r="M1199" i="7"/>
  <c r="N1199" i="7"/>
  <c r="E1221" i="7"/>
  <c r="K1221" i="5"/>
  <c r="K1221" i="7" s="1"/>
  <c r="E903" i="7"/>
  <c r="K903" i="5"/>
  <c r="E931" i="7"/>
  <c r="K931" i="5"/>
  <c r="K931" i="7" s="1"/>
  <c r="L935" i="5"/>
  <c r="L935" i="7" s="1"/>
  <c r="F935" i="7"/>
  <c r="M936" i="7"/>
  <c r="N936" i="7" s="1"/>
  <c r="M980" i="7"/>
  <c r="N980" i="7" s="1"/>
  <c r="M984" i="7"/>
  <c r="N984" i="7"/>
  <c r="F987" i="7"/>
  <c r="L987" i="5"/>
  <c r="L987" i="7" s="1"/>
  <c r="M987" i="7" s="1"/>
  <c r="N987" i="7" s="1"/>
  <c r="M1000" i="7"/>
  <c r="N1000" i="7" s="1"/>
  <c r="M1012" i="7"/>
  <c r="N1012" i="7"/>
  <c r="E1034" i="7"/>
  <c r="K1034" i="5"/>
  <c r="K1034" i="7" s="1"/>
  <c r="M1035" i="7"/>
  <c r="N1035" i="7"/>
  <c r="E1038" i="7"/>
  <c r="K1038" i="5"/>
  <c r="K1038" i="7" s="1"/>
  <c r="M1039" i="7"/>
  <c r="N1039" i="7" s="1"/>
  <c r="E1042" i="7"/>
  <c r="K1042" i="5"/>
  <c r="K1042" i="7" s="1"/>
  <c r="M1071" i="7"/>
  <c r="N1071" i="7"/>
  <c r="E1085" i="7"/>
  <c r="K1085" i="5"/>
  <c r="K1085" i="7" s="1"/>
  <c r="M1086" i="7"/>
  <c r="N1086" i="7" s="1"/>
  <c r="F1089" i="7"/>
  <c r="L1089" i="5"/>
  <c r="L1089" i="7" s="1"/>
  <c r="M1090" i="7"/>
  <c r="N1090" i="7" s="1"/>
  <c r="F1096" i="7"/>
  <c r="L1096" i="5"/>
  <c r="L1096" i="7" s="1"/>
  <c r="M1097" i="7"/>
  <c r="N1097" i="7" s="1"/>
  <c r="F1160" i="7"/>
  <c r="L1160" i="5"/>
  <c r="L1160" i="7" s="1"/>
  <c r="M1182" i="7"/>
  <c r="N1182" i="7"/>
  <c r="E1184" i="7"/>
  <c r="K1184" i="5"/>
  <c r="K1184" i="7" s="1"/>
  <c r="M181" i="7"/>
  <c r="N181" i="7"/>
  <c r="M195" i="7"/>
  <c r="N195" i="7"/>
  <c r="M209" i="7"/>
  <c r="N209" i="7" s="1"/>
  <c r="M223" i="7"/>
  <c r="N223" i="7"/>
  <c r="M237" i="7"/>
  <c r="N237" i="7"/>
  <c r="M251" i="7"/>
  <c r="N251" i="7"/>
  <c r="M265" i="7"/>
  <c r="N265" i="7"/>
  <c r="M279" i="7"/>
  <c r="N279" i="7"/>
  <c r="M293" i="7"/>
  <c r="N293" i="7"/>
  <c r="M307" i="7"/>
  <c r="N307" i="7" s="1"/>
  <c r="M321" i="7"/>
  <c r="N321" i="7"/>
  <c r="M335" i="7"/>
  <c r="N335" i="7"/>
  <c r="M349" i="7"/>
  <c r="N349" i="7"/>
  <c r="M363" i="7"/>
  <c r="N363" i="7"/>
  <c r="M377" i="7"/>
  <c r="N377" i="7" s="1"/>
  <c r="M391" i="7"/>
  <c r="N391" i="7" s="1"/>
  <c r="N405" i="7"/>
  <c r="M405" i="7"/>
  <c r="M419" i="7"/>
  <c r="N419" i="7" s="1"/>
  <c r="M433" i="7"/>
  <c r="N433" i="7" s="1"/>
  <c r="M447" i="7"/>
  <c r="N447" i="7" s="1"/>
  <c r="M461" i="7"/>
  <c r="N461" i="7" s="1"/>
  <c r="M475" i="7"/>
  <c r="N475" i="7" s="1"/>
  <c r="M489" i="7"/>
  <c r="N489" i="7" s="1"/>
  <c r="N503" i="7"/>
  <c r="M503" i="7"/>
  <c r="M517" i="7"/>
  <c r="N517" i="7" s="1"/>
  <c r="M531" i="7"/>
  <c r="N531" i="7" s="1"/>
  <c r="M545" i="7"/>
  <c r="N545" i="7" s="1"/>
  <c r="M559" i="7"/>
  <c r="N559" i="7"/>
  <c r="M573" i="7"/>
  <c r="N573" i="7" s="1"/>
  <c r="M587" i="7"/>
  <c r="N587" i="7"/>
  <c r="N601" i="7"/>
  <c r="M601" i="7"/>
  <c r="M615" i="7"/>
  <c r="N615" i="7"/>
  <c r="M629" i="7"/>
  <c r="N629" i="7"/>
  <c r="M643" i="7"/>
  <c r="N643" i="7" s="1"/>
  <c r="M657" i="7"/>
  <c r="N657" i="7"/>
  <c r="M671" i="7"/>
  <c r="N671" i="7" s="1"/>
  <c r="M685" i="7"/>
  <c r="N685" i="7" s="1"/>
  <c r="N699" i="7"/>
  <c r="M699" i="7"/>
  <c r="M713" i="7"/>
  <c r="N713" i="7"/>
  <c r="M727" i="7"/>
  <c r="N727" i="7"/>
  <c r="M741" i="7"/>
  <c r="N741" i="7" s="1"/>
  <c r="M755" i="7"/>
  <c r="N755" i="7" s="1"/>
  <c r="M769" i="7"/>
  <c r="N769" i="7" s="1"/>
  <c r="M783" i="7"/>
  <c r="N783" i="7" s="1"/>
  <c r="N797" i="7"/>
  <c r="M797" i="7"/>
  <c r="M811" i="7"/>
  <c r="N811" i="7"/>
  <c r="K816" i="5"/>
  <c r="K816" i="7" s="1"/>
  <c r="M825" i="7"/>
  <c r="N825" i="7"/>
  <c r="K830" i="5"/>
  <c r="K830" i="7" s="1"/>
  <c r="M839" i="7"/>
  <c r="N839" i="7" s="1"/>
  <c r="K844" i="5"/>
  <c r="K844" i="7" s="1"/>
  <c r="N853" i="7"/>
  <c r="M853" i="7"/>
  <c r="K858" i="5"/>
  <c r="K858" i="7" s="1"/>
  <c r="N867" i="7"/>
  <c r="M867" i="7"/>
  <c r="K872" i="5"/>
  <c r="K872" i="7" s="1"/>
  <c r="M881" i="7"/>
  <c r="N881" i="7" s="1"/>
  <c r="K886" i="5"/>
  <c r="K886" i="7" s="1"/>
  <c r="K900" i="5"/>
  <c r="K904" i="5"/>
  <c r="L907" i="5"/>
  <c r="L907" i="7" s="1"/>
  <c r="F907" i="7"/>
  <c r="M908" i="7"/>
  <c r="N908" i="7" s="1"/>
  <c r="N920" i="7"/>
  <c r="M920" i="7"/>
  <c r="F931" i="7"/>
  <c r="L931" i="5"/>
  <c r="L931" i="7" s="1"/>
  <c r="M931" i="7" s="1"/>
  <c r="N931" i="7" s="1"/>
  <c r="L940" i="5"/>
  <c r="L940" i="7" s="1"/>
  <c r="N944" i="7"/>
  <c r="M944" i="7"/>
  <c r="M956" i="7"/>
  <c r="N956" i="7" s="1"/>
  <c r="F959" i="7"/>
  <c r="L959" i="5"/>
  <c r="L959" i="7" s="1"/>
  <c r="M959" i="7" s="1"/>
  <c r="N959" i="7" s="1"/>
  <c r="F963" i="7"/>
  <c r="L963" i="5"/>
  <c r="L963" i="7" s="1"/>
  <c r="M964" i="7"/>
  <c r="N964" i="7" s="1"/>
  <c r="M976" i="7"/>
  <c r="N976" i="7" s="1"/>
  <c r="L1000" i="5"/>
  <c r="L1000" i="7" s="1"/>
  <c r="L1028" i="5"/>
  <c r="L1028" i="7" s="1"/>
  <c r="M1028" i="7" s="1"/>
  <c r="N1028" i="7" s="1"/>
  <c r="F1030" i="7"/>
  <c r="L1030" i="5"/>
  <c r="L1030" i="7" s="1"/>
  <c r="N1031" i="7"/>
  <c r="M1031" i="7"/>
  <c r="F1034" i="7"/>
  <c r="L1034" i="5"/>
  <c r="L1034" i="7" s="1"/>
  <c r="M1034" i="7" s="1"/>
  <c r="N1034" i="7" s="1"/>
  <c r="F1038" i="7"/>
  <c r="L1038" i="5"/>
  <c r="L1038" i="7" s="1"/>
  <c r="M1055" i="7"/>
  <c r="N1055" i="7" s="1"/>
  <c r="M1082" i="7"/>
  <c r="N1082" i="7" s="1"/>
  <c r="F1085" i="7"/>
  <c r="L1085" i="5"/>
  <c r="L1085" i="7" s="1"/>
  <c r="E1128" i="7"/>
  <c r="K1128" i="5"/>
  <c r="K1128" i="7" s="1"/>
  <c r="M1157" i="7"/>
  <c r="N1157" i="7"/>
  <c r="L1182" i="5"/>
  <c r="L1182" i="7" s="1"/>
  <c r="F1194" i="7"/>
  <c r="L1194" i="5"/>
  <c r="L1194" i="7" s="1"/>
  <c r="M1194" i="7" s="1"/>
  <c r="N1194" i="7" s="1"/>
  <c r="E1214" i="7"/>
  <c r="K1214" i="5"/>
  <c r="K1214" i="7" s="1"/>
  <c r="M972" i="7"/>
  <c r="N972" i="7" s="1"/>
  <c r="E982" i="7"/>
  <c r="K982" i="5"/>
  <c r="K982" i="7" s="1"/>
  <c r="M1003" i="7"/>
  <c r="N1003" i="7" s="1"/>
  <c r="F1006" i="7"/>
  <c r="L1006" i="5"/>
  <c r="L1006" i="7" s="1"/>
  <c r="M1007" i="7"/>
  <c r="N1007" i="7" s="1"/>
  <c r="E1010" i="7"/>
  <c r="K1010" i="5"/>
  <c r="K1010" i="7" s="1"/>
  <c r="F1022" i="7"/>
  <c r="L1022" i="5"/>
  <c r="L1022" i="7" s="1"/>
  <c r="M1078" i="7"/>
  <c r="N1078" i="7" s="1"/>
  <c r="E1099" i="7"/>
  <c r="K1099" i="5"/>
  <c r="K1099" i="7" s="1"/>
  <c r="M1100" i="7"/>
  <c r="N1100" i="7" s="1"/>
  <c r="F1107" i="7"/>
  <c r="L1107" i="5"/>
  <c r="L1107" i="7" s="1"/>
  <c r="F1156" i="7"/>
  <c r="L1156" i="5"/>
  <c r="L1156" i="7" s="1"/>
  <c r="K1157" i="5"/>
  <c r="K1157" i="7" s="1"/>
  <c r="F1170" i="7"/>
  <c r="L1170" i="5"/>
  <c r="L1170" i="7" s="1"/>
  <c r="F1201" i="7"/>
  <c r="L1201" i="5"/>
  <c r="L1201" i="7" s="1"/>
  <c r="N773" i="7"/>
  <c r="M773" i="7"/>
  <c r="M787" i="7"/>
  <c r="N787" i="7" s="1"/>
  <c r="N801" i="7"/>
  <c r="M801" i="7"/>
  <c r="M815" i="7"/>
  <c r="N815" i="7" s="1"/>
  <c r="M829" i="7"/>
  <c r="N829" i="7" s="1"/>
  <c r="N843" i="7"/>
  <c r="M843" i="7"/>
  <c r="N857" i="7"/>
  <c r="M857" i="7"/>
  <c r="N871" i="7"/>
  <c r="M871" i="7"/>
  <c r="K890" i="5"/>
  <c r="K890" i="7" s="1"/>
  <c r="L912" i="5"/>
  <c r="L912" i="7" s="1"/>
  <c r="E926" i="7"/>
  <c r="K926" i="5"/>
  <c r="K926" i="7" s="1"/>
  <c r="L928" i="5"/>
  <c r="L928" i="7" s="1"/>
  <c r="M928" i="7" s="1"/>
  <c r="N928" i="7" s="1"/>
  <c r="M947" i="7"/>
  <c r="N947" i="7" s="1"/>
  <c r="F950" i="7"/>
  <c r="L950" i="5"/>
  <c r="L950" i="7" s="1"/>
  <c r="M950" i="7" s="1"/>
  <c r="N950" i="7" s="1"/>
  <c r="E954" i="7"/>
  <c r="K954" i="5"/>
  <c r="K954" i="7" s="1"/>
  <c r="L956" i="5"/>
  <c r="L956" i="7" s="1"/>
  <c r="L968" i="5"/>
  <c r="L968" i="7" s="1"/>
  <c r="L972" i="5"/>
  <c r="L972" i="7" s="1"/>
  <c r="F978" i="7"/>
  <c r="L978" i="5"/>
  <c r="L978" i="7" s="1"/>
  <c r="K986" i="5"/>
  <c r="K986" i="7" s="1"/>
  <c r="E986" i="7"/>
  <c r="K995" i="5"/>
  <c r="K995" i="7" s="1"/>
  <c r="M999" i="7"/>
  <c r="N999" i="7"/>
  <c r="K1003" i="5"/>
  <c r="K1003" i="7" s="1"/>
  <c r="K1007" i="5"/>
  <c r="K1007" i="7" s="1"/>
  <c r="E1014" i="7"/>
  <c r="K1014" i="5"/>
  <c r="K1014" i="7" s="1"/>
  <c r="M1015" i="7"/>
  <c r="N1015" i="7" s="1"/>
  <c r="K1023" i="5"/>
  <c r="K1023" i="7" s="1"/>
  <c r="M1027" i="7"/>
  <c r="N1027" i="7" s="1"/>
  <c r="M1074" i="7"/>
  <c r="N1074" i="7" s="1"/>
  <c r="E1080" i="7"/>
  <c r="K1080" i="5"/>
  <c r="K1080" i="7" s="1"/>
  <c r="L1082" i="5"/>
  <c r="L1082" i="7" s="1"/>
  <c r="K1093" i="5"/>
  <c r="K1093" i="7" s="1"/>
  <c r="F1099" i="7"/>
  <c r="L1099" i="5"/>
  <c r="L1099" i="7" s="1"/>
  <c r="K1100" i="5"/>
  <c r="K1100" i="7" s="1"/>
  <c r="F1103" i="7"/>
  <c r="L1103" i="5"/>
  <c r="L1103" i="7" s="1"/>
  <c r="M1104" i="7"/>
  <c r="N1104" i="7" s="1"/>
  <c r="L1140" i="5"/>
  <c r="L1140" i="7" s="1"/>
  <c r="F1149" i="7"/>
  <c r="L1149" i="5"/>
  <c r="L1149" i="7" s="1"/>
  <c r="F1207" i="7"/>
  <c r="L1207" i="5"/>
  <c r="L1207" i="7" s="1"/>
  <c r="F1217" i="7"/>
  <c r="L1217" i="5"/>
  <c r="L1217" i="7" s="1"/>
  <c r="N404" i="7"/>
  <c r="M404" i="7"/>
  <c r="N418" i="7"/>
  <c r="M418" i="7"/>
  <c r="N432" i="7"/>
  <c r="M432" i="7"/>
  <c r="M446" i="7"/>
  <c r="N446" i="7" s="1"/>
  <c r="N460" i="7"/>
  <c r="M460" i="7"/>
  <c r="M474" i="7"/>
  <c r="N474" i="7"/>
  <c r="M488" i="7"/>
  <c r="N488" i="7" s="1"/>
  <c r="M502" i="7"/>
  <c r="N502" i="7" s="1"/>
  <c r="M516" i="7"/>
  <c r="N516" i="7" s="1"/>
  <c r="N530" i="7"/>
  <c r="M530" i="7"/>
  <c r="M544" i="7"/>
  <c r="N544" i="7"/>
  <c r="M558" i="7"/>
  <c r="N558" i="7" s="1"/>
  <c r="M572" i="7"/>
  <c r="N572" i="7"/>
  <c r="M586" i="7"/>
  <c r="N586" i="7" s="1"/>
  <c r="N600" i="7"/>
  <c r="M600" i="7"/>
  <c r="M614" i="7"/>
  <c r="N614" i="7" s="1"/>
  <c r="N628" i="7"/>
  <c r="M628" i="7"/>
  <c r="M642" i="7"/>
  <c r="N642" i="7" s="1"/>
  <c r="N656" i="7"/>
  <c r="M656" i="7"/>
  <c r="M670" i="7"/>
  <c r="N670" i="7"/>
  <c r="M684" i="7"/>
  <c r="N684" i="7" s="1"/>
  <c r="M698" i="7"/>
  <c r="N698" i="7" s="1"/>
  <c r="N712" i="7"/>
  <c r="M712" i="7"/>
  <c r="N726" i="7"/>
  <c r="M726" i="7"/>
  <c r="M740" i="7"/>
  <c r="N740" i="7" s="1"/>
  <c r="N754" i="7"/>
  <c r="M754" i="7"/>
  <c r="M768" i="7"/>
  <c r="N768" i="7" s="1"/>
  <c r="M782" i="7"/>
  <c r="N782" i="7" s="1"/>
  <c r="N796" i="7"/>
  <c r="M796" i="7"/>
  <c r="M810" i="7"/>
  <c r="N810" i="7" s="1"/>
  <c r="M824" i="7"/>
  <c r="N824" i="7" s="1"/>
  <c r="M838" i="7"/>
  <c r="N838" i="7" s="1"/>
  <c r="N852" i="7"/>
  <c r="M852" i="7"/>
  <c r="M866" i="7"/>
  <c r="N866" i="7" s="1"/>
  <c r="M880" i="7"/>
  <c r="N880" i="7" s="1"/>
  <c r="K899" i="5"/>
  <c r="M919" i="7"/>
  <c r="N919" i="7" s="1"/>
  <c r="F922" i="7"/>
  <c r="L922" i="5"/>
  <c r="L922" i="7" s="1"/>
  <c r="E930" i="7"/>
  <c r="K930" i="5"/>
  <c r="K930" i="7" s="1"/>
  <c r="M943" i="7"/>
  <c r="N943" i="7" s="1"/>
  <c r="M955" i="7"/>
  <c r="N955" i="7" s="1"/>
  <c r="E958" i="7"/>
  <c r="K958" i="5"/>
  <c r="K958" i="7" s="1"/>
  <c r="M975" i="7"/>
  <c r="N975" i="7"/>
  <c r="K983" i="5"/>
  <c r="K983" i="7" s="1"/>
  <c r="K991" i="5"/>
  <c r="K991" i="7" s="1"/>
  <c r="E993" i="7"/>
  <c r="K993" i="5"/>
  <c r="K993" i="7" s="1"/>
  <c r="F1014" i="7"/>
  <c r="L1014" i="5"/>
  <c r="L1014" i="7" s="1"/>
  <c r="K1019" i="5"/>
  <c r="K1019" i="7" s="1"/>
  <c r="L1023" i="5"/>
  <c r="L1023" i="7" s="1"/>
  <c r="M1070" i="7"/>
  <c r="N1070" i="7" s="1"/>
  <c r="M1081" i="7"/>
  <c r="N1081" i="7" s="1"/>
  <c r="E1084" i="7"/>
  <c r="K1084" i="5"/>
  <c r="K1084" i="7" s="1"/>
  <c r="M1096" i="7"/>
  <c r="N1096" i="7" s="1"/>
  <c r="M1111" i="7"/>
  <c r="N1111" i="7" s="1"/>
  <c r="F1152" i="7"/>
  <c r="L1152" i="5"/>
  <c r="L1152" i="7" s="1"/>
  <c r="M1153" i="7"/>
  <c r="N1153" i="7" s="1"/>
  <c r="M1167" i="7"/>
  <c r="N1167" i="7" s="1"/>
  <c r="F1197" i="7"/>
  <c r="L1197" i="5"/>
  <c r="L1197" i="7" s="1"/>
  <c r="N147" i="7"/>
  <c r="M147" i="7"/>
  <c r="M161" i="7"/>
  <c r="N161" i="7" s="1"/>
  <c r="M175" i="7"/>
  <c r="N175" i="7" s="1"/>
  <c r="M189" i="7"/>
  <c r="N189" i="7"/>
  <c r="M203" i="7"/>
  <c r="N203" i="7"/>
  <c r="M217" i="7"/>
  <c r="N217" i="7"/>
  <c r="M231" i="7"/>
  <c r="N231" i="7"/>
  <c r="M245" i="7"/>
  <c r="N245" i="7" s="1"/>
  <c r="M259" i="7"/>
  <c r="N259" i="7"/>
  <c r="M273" i="7"/>
  <c r="N273" i="7"/>
  <c r="M287" i="7"/>
  <c r="N287" i="7"/>
  <c r="M301" i="7"/>
  <c r="N301" i="7"/>
  <c r="M315" i="7"/>
  <c r="N315" i="7"/>
  <c r="M329" i="7"/>
  <c r="N329" i="7"/>
  <c r="M343" i="7"/>
  <c r="N343" i="7" s="1"/>
  <c r="M357" i="7"/>
  <c r="N357" i="7"/>
  <c r="M371" i="7"/>
  <c r="N371" i="7" s="1"/>
  <c r="M385" i="7"/>
  <c r="N385" i="7" s="1"/>
  <c r="M399" i="7"/>
  <c r="N399" i="7" s="1"/>
  <c r="M413" i="7"/>
  <c r="N413" i="7"/>
  <c r="M427" i="7"/>
  <c r="N427" i="7" s="1"/>
  <c r="M441" i="7"/>
  <c r="N441" i="7" s="1"/>
  <c r="M455" i="7"/>
  <c r="N455" i="7" s="1"/>
  <c r="M469" i="7"/>
  <c r="N469" i="7"/>
  <c r="M483" i="7"/>
  <c r="N483" i="7" s="1"/>
  <c r="M497" i="7"/>
  <c r="N497" i="7" s="1"/>
  <c r="M511" i="7"/>
  <c r="N511" i="7"/>
  <c r="M525" i="7"/>
  <c r="N525" i="7"/>
  <c r="M539" i="7"/>
  <c r="N539" i="7" s="1"/>
  <c r="M553" i="7"/>
  <c r="N553" i="7" s="1"/>
  <c r="M567" i="7"/>
  <c r="N567" i="7" s="1"/>
  <c r="M581" i="7"/>
  <c r="N581" i="7" s="1"/>
  <c r="M595" i="7"/>
  <c r="N595" i="7" s="1"/>
  <c r="M609" i="7"/>
  <c r="N609" i="7"/>
  <c r="M623" i="7"/>
  <c r="N623" i="7" s="1"/>
  <c r="N637" i="7"/>
  <c r="M637" i="7"/>
  <c r="M651" i="7"/>
  <c r="N651" i="7"/>
  <c r="M665" i="7"/>
  <c r="N665" i="7" s="1"/>
  <c r="M679" i="7"/>
  <c r="N679" i="7"/>
  <c r="M693" i="7"/>
  <c r="N693" i="7" s="1"/>
  <c r="M707" i="7"/>
  <c r="N707" i="7" s="1"/>
  <c r="M721" i="7"/>
  <c r="N721" i="7"/>
  <c r="N735" i="7"/>
  <c r="M735" i="7"/>
  <c r="M749" i="7"/>
  <c r="N749" i="7" s="1"/>
  <c r="M763" i="7"/>
  <c r="N763" i="7"/>
  <c r="M777" i="7"/>
  <c r="N777" i="7"/>
  <c r="M791" i="7"/>
  <c r="N791" i="7"/>
  <c r="M805" i="7"/>
  <c r="N805" i="7" s="1"/>
  <c r="M819" i="7"/>
  <c r="N819" i="7" s="1"/>
  <c r="N833" i="7"/>
  <c r="M833" i="7"/>
  <c r="M847" i="7"/>
  <c r="N847" i="7" s="1"/>
  <c r="M861" i="7"/>
  <c r="N861" i="7" s="1"/>
  <c r="M875" i="7"/>
  <c r="N875" i="7" s="1"/>
  <c r="K919" i="5"/>
  <c r="K919" i="7" s="1"/>
  <c r="K923" i="5"/>
  <c r="K923" i="7" s="1"/>
  <c r="K927" i="5"/>
  <c r="K927" i="7" s="1"/>
  <c r="K935" i="5"/>
  <c r="K935" i="7" s="1"/>
  <c r="L939" i="5"/>
  <c r="L939" i="7" s="1"/>
  <c r="L951" i="5"/>
  <c r="L951" i="7" s="1"/>
  <c r="M951" i="7" s="1"/>
  <c r="N951" i="7" s="1"/>
  <c r="K955" i="5"/>
  <c r="K955" i="7" s="1"/>
  <c r="M971" i="7"/>
  <c r="N971" i="7" s="1"/>
  <c r="L979" i="5"/>
  <c r="L979" i="7" s="1"/>
  <c r="M979" i="7" s="1"/>
  <c r="N979" i="7" s="1"/>
  <c r="L983" i="5"/>
  <c r="L983" i="7" s="1"/>
  <c r="M983" i="7" s="1"/>
  <c r="N983" i="7" s="1"/>
  <c r="E989" i="7"/>
  <c r="K989" i="5"/>
  <c r="K989" i="7" s="1"/>
  <c r="M994" i="7"/>
  <c r="N994" i="7" s="1"/>
  <c r="E1001" i="7"/>
  <c r="K1001" i="5"/>
  <c r="K1001" i="7" s="1"/>
  <c r="M1002" i="7"/>
  <c r="N1002" i="7"/>
  <c r="L1011" i="5"/>
  <c r="L1011" i="7" s="1"/>
  <c r="M1011" i="7" s="1"/>
  <c r="N1011" i="7" s="1"/>
  <c r="E1029" i="7"/>
  <c r="K1029" i="5"/>
  <c r="K1029" i="7" s="1"/>
  <c r="M1030" i="7"/>
  <c r="N1030" i="7" s="1"/>
  <c r="F1033" i="7"/>
  <c r="L1033" i="5"/>
  <c r="L1033" i="7" s="1"/>
  <c r="L1050" i="5"/>
  <c r="L1050" i="7" s="1"/>
  <c r="L1066" i="5"/>
  <c r="L1066" i="7" s="1"/>
  <c r="L1070" i="5"/>
  <c r="L1070" i="7" s="1"/>
  <c r="F1076" i="7"/>
  <c r="L1076" i="5"/>
  <c r="L1076" i="7" s="1"/>
  <c r="M1077" i="7"/>
  <c r="N1077" i="7" s="1"/>
  <c r="N1085" i="7"/>
  <c r="M1085" i="7"/>
  <c r="K1089" i="5"/>
  <c r="K1089" i="7" s="1"/>
  <c r="E1091" i="7"/>
  <c r="K1091" i="5"/>
  <c r="K1091" i="7" s="1"/>
  <c r="E1113" i="7"/>
  <c r="K1113" i="5"/>
  <c r="K1113" i="7" s="1"/>
  <c r="M1114" i="7"/>
  <c r="N1114" i="7" s="1"/>
  <c r="M1125" i="7"/>
  <c r="N1125" i="7"/>
  <c r="M1139" i="7"/>
  <c r="N1139" i="7" s="1"/>
  <c r="M1204" i="7"/>
  <c r="N1204" i="7" s="1"/>
  <c r="E2" i="6"/>
  <c r="N86" i="7"/>
  <c r="M86" i="7"/>
  <c r="M100" i="7"/>
  <c r="N100" i="7" s="1"/>
  <c r="M114" i="7"/>
  <c r="N114" i="7" s="1"/>
  <c r="N128" i="7"/>
  <c r="M128" i="7"/>
  <c r="N142" i="7"/>
  <c r="M142" i="7"/>
  <c r="N156" i="7"/>
  <c r="M156" i="7"/>
  <c r="M170" i="7"/>
  <c r="N170" i="7" s="1"/>
  <c r="M184" i="7"/>
  <c r="N184" i="7" s="1"/>
  <c r="M198" i="7"/>
  <c r="N198" i="7"/>
  <c r="M212" i="7"/>
  <c r="N212" i="7"/>
  <c r="M226" i="7"/>
  <c r="N226" i="7" s="1"/>
  <c r="M240" i="7"/>
  <c r="N240" i="7" s="1"/>
  <c r="M254" i="7"/>
  <c r="N254" i="7" s="1"/>
  <c r="M268" i="7"/>
  <c r="N268" i="7"/>
  <c r="M282" i="7"/>
  <c r="N282" i="7" s="1"/>
  <c r="M296" i="7"/>
  <c r="N296" i="7"/>
  <c r="M310" i="7"/>
  <c r="N310" i="7"/>
  <c r="M324" i="7"/>
  <c r="N324" i="7" s="1"/>
  <c r="M338" i="7"/>
  <c r="N338" i="7" s="1"/>
  <c r="M352" i="7"/>
  <c r="N352" i="7" s="1"/>
  <c r="M366" i="7"/>
  <c r="N366" i="7"/>
  <c r="M380" i="7"/>
  <c r="N380" i="7" s="1"/>
  <c r="M394" i="7"/>
  <c r="N394" i="7"/>
  <c r="M408" i="7"/>
  <c r="N408" i="7" s="1"/>
  <c r="N422" i="7"/>
  <c r="M422" i="7"/>
  <c r="N436" i="7"/>
  <c r="M436" i="7"/>
  <c r="M450" i="7"/>
  <c r="N450" i="7" s="1"/>
  <c r="M464" i="7"/>
  <c r="N464" i="7" s="1"/>
  <c r="N478" i="7"/>
  <c r="M478" i="7"/>
  <c r="M492" i="7"/>
  <c r="N492" i="7" s="1"/>
  <c r="M506" i="7"/>
  <c r="N506" i="7" s="1"/>
  <c r="N520" i="7"/>
  <c r="M520" i="7"/>
  <c r="N534" i="7"/>
  <c r="M534" i="7"/>
  <c r="M548" i="7"/>
  <c r="N548" i="7" s="1"/>
  <c r="M562" i="7"/>
  <c r="N562" i="7" s="1"/>
  <c r="N576" i="7"/>
  <c r="M576" i="7"/>
  <c r="M590" i="7"/>
  <c r="N590" i="7" s="1"/>
  <c r="M604" i="7"/>
  <c r="N604" i="7"/>
  <c r="N618" i="7"/>
  <c r="M618" i="7"/>
  <c r="N632" i="7"/>
  <c r="M632" i="7"/>
  <c r="N646" i="7"/>
  <c r="M646" i="7"/>
  <c r="M660" i="7"/>
  <c r="N660" i="7" s="1"/>
  <c r="N674" i="7"/>
  <c r="M674" i="7"/>
  <c r="M688" i="7"/>
  <c r="N688" i="7" s="1"/>
  <c r="M702" i="7"/>
  <c r="N702" i="7" s="1"/>
  <c r="N716" i="7"/>
  <c r="M716" i="7"/>
  <c r="N730" i="7"/>
  <c r="M730" i="7"/>
  <c r="M744" i="7"/>
  <c r="N744" i="7" s="1"/>
  <c r="M758" i="7"/>
  <c r="N758" i="7" s="1"/>
  <c r="M772" i="7"/>
  <c r="N772" i="7" s="1"/>
  <c r="M786" i="7"/>
  <c r="N786" i="7"/>
  <c r="M800" i="7"/>
  <c r="N800" i="7"/>
  <c r="N814" i="7"/>
  <c r="M814" i="7"/>
  <c r="N828" i="7"/>
  <c r="M828" i="7"/>
  <c r="N842" i="7"/>
  <c r="M842" i="7"/>
  <c r="M856" i="7"/>
  <c r="N856" i="7"/>
  <c r="N870" i="7"/>
  <c r="M870" i="7"/>
  <c r="K907" i="5"/>
  <c r="K907" i="7" s="1"/>
  <c r="K911" i="5"/>
  <c r="K911" i="7" s="1"/>
  <c r="M915" i="7"/>
  <c r="N915" i="7" s="1"/>
  <c r="L923" i="5"/>
  <c r="L923" i="7" s="1"/>
  <c r="M923" i="7" s="1"/>
  <c r="N923" i="7" s="1"/>
  <c r="L927" i="5"/>
  <c r="L927" i="7" s="1"/>
  <c r="M927" i="7" s="1"/>
  <c r="N927" i="7" s="1"/>
  <c r="M938" i="7"/>
  <c r="N938" i="7" s="1"/>
  <c r="E945" i="7"/>
  <c r="K945" i="5"/>
  <c r="K945" i="7" s="1"/>
  <c r="M946" i="7"/>
  <c r="N946" i="7"/>
  <c r="E981" i="7"/>
  <c r="K981" i="5"/>
  <c r="K981" i="7" s="1"/>
  <c r="N990" i="7"/>
  <c r="M990" i="7"/>
  <c r="F1001" i="7"/>
  <c r="L1001" i="5"/>
  <c r="L1001" i="7" s="1"/>
  <c r="M1001" i="7" s="1"/>
  <c r="N1001" i="7" s="1"/>
  <c r="K1002" i="5"/>
  <c r="K1002" i="7" s="1"/>
  <c r="F1005" i="7"/>
  <c r="L1005" i="5"/>
  <c r="L1005" i="7" s="1"/>
  <c r="M1006" i="7"/>
  <c r="N1006" i="7" s="1"/>
  <c r="M1018" i="7"/>
  <c r="N1018" i="7" s="1"/>
  <c r="M1022" i="7"/>
  <c r="N1022" i="7" s="1"/>
  <c r="F1029" i="7"/>
  <c r="L1029" i="5"/>
  <c r="L1029" i="7" s="1"/>
  <c r="M1029" i="7" s="1"/>
  <c r="N1029" i="7" s="1"/>
  <c r="K1030" i="5"/>
  <c r="K1030" i="7" s="1"/>
  <c r="F1048" i="7"/>
  <c r="L1048" i="5"/>
  <c r="L1048" i="7" s="1"/>
  <c r="M1048" i="7" s="1"/>
  <c r="N1048" i="7" s="1"/>
  <c r="E1052" i="7"/>
  <c r="K1052" i="5"/>
  <c r="K1052" i="7" s="1"/>
  <c r="L1054" i="5"/>
  <c r="L1054" i="7" s="1"/>
  <c r="M1073" i="7"/>
  <c r="N1073" i="7" s="1"/>
  <c r="L1081" i="5"/>
  <c r="L1081" i="7" s="1"/>
  <c r="E1087" i="7"/>
  <c r="K1087" i="5"/>
  <c r="K1087" i="7" s="1"/>
  <c r="E1127" i="7"/>
  <c r="K1127" i="5"/>
  <c r="K1127" i="7" s="1"/>
  <c r="F1145" i="7"/>
  <c r="L1145" i="5"/>
  <c r="L1145" i="7" s="1"/>
  <c r="M1146" i="7"/>
  <c r="N1146" i="7" s="1"/>
  <c r="L1184" i="5"/>
  <c r="L1184" i="7" s="1"/>
  <c r="E1226" i="7"/>
  <c r="K1226" i="5"/>
  <c r="K1226" i="7" s="1"/>
  <c r="M137" i="7"/>
  <c r="N137" i="7" s="1"/>
  <c r="M151" i="7"/>
  <c r="N151" i="7" s="1"/>
  <c r="M165" i="7"/>
  <c r="N165" i="7" s="1"/>
  <c r="M179" i="7"/>
  <c r="N179" i="7" s="1"/>
  <c r="K184" i="5"/>
  <c r="K184" i="7" s="1"/>
  <c r="M193" i="7"/>
  <c r="N193" i="7"/>
  <c r="K198" i="5"/>
  <c r="K198" i="7" s="1"/>
  <c r="M207" i="7"/>
  <c r="N207" i="7"/>
  <c r="K212" i="5"/>
  <c r="K212" i="7" s="1"/>
  <c r="M221" i="7"/>
  <c r="N221" i="7" s="1"/>
  <c r="K226" i="5"/>
  <c r="K226" i="7" s="1"/>
  <c r="M235" i="7"/>
  <c r="N235" i="7"/>
  <c r="K240" i="5"/>
  <c r="K240" i="7" s="1"/>
  <c r="M249" i="7"/>
  <c r="N249" i="7" s="1"/>
  <c r="K254" i="5"/>
  <c r="K254" i="7" s="1"/>
  <c r="M263" i="7"/>
  <c r="N263" i="7"/>
  <c r="K268" i="5"/>
  <c r="K268" i="7" s="1"/>
  <c r="M277" i="7"/>
  <c r="N277" i="7" s="1"/>
  <c r="K282" i="5"/>
  <c r="K282" i="7" s="1"/>
  <c r="M291" i="7"/>
  <c r="N291" i="7"/>
  <c r="K296" i="5"/>
  <c r="K296" i="7" s="1"/>
  <c r="M305" i="7"/>
  <c r="N305" i="7"/>
  <c r="K310" i="5"/>
  <c r="K310" i="7" s="1"/>
  <c r="M319" i="7"/>
  <c r="N319" i="7"/>
  <c r="K324" i="5"/>
  <c r="K324" i="7" s="1"/>
  <c r="M333" i="7"/>
  <c r="N333" i="7"/>
  <c r="K338" i="5"/>
  <c r="K338" i="7" s="1"/>
  <c r="M347" i="7"/>
  <c r="N347" i="7"/>
  <c r="K352" i="5"/>
  <c r="K352" i="7" s="1"/>
  <c r="M361" i="7"/>
  <c r="N361" i="7" s="1"/>
  <c r="K366" i="5"/>
  <c r="K366" i="7" s="1"/>
  <c r="M375" i="7"/>
  <c r="N375" i="7" s="1"/>
  <c r="K380" i="5"/>
  <c r="K380" i="7" s="1"/>
  <c r="M389" i="7"/>
  <c r="N389" i="7" s="1"/>
  <c r="K394" i="5"/>
  <c r="K394" i="7" s="1"/>
  <c r="M403" i="7"/>
  <c r="N403" i="7" s="1"/>
  <c r="K408" i="5"/>
  <c r="K408" i="7" s="1"/>
  <c r="N417" i="7"/>
  <c r="M417" i="7"/>
  <c r="K422" i="5"/>
  <c r="K422" i="7" s="1"/>
  <c r="M431" i="7"/>
  <c r="N431" i="7"/>
  <c r="K436" i="5"/>
  <c r="K436" i="7" s="1"/>
  <c r="N445" i="7"/>
  <c r="M445" i="7"/>
  <c r="K450" i="5"/>
  <c r="K450" i="7" s="1"/>
  <c r="M459" i="7"/>
  <c r="N459" i="7"/>
  <c r="K464" i="5"/>
  <c r="K464" i="7" s="1"/>
  <c r="N473" i="7"/>
  <c r="M473" i="7"/>
  <c r="K478" i="5"/>
  <c r="K478" i="7" s="1"/>
  <c r="M487" i="7"/>
  <c r="N487" i="7" s="1"/>
  <c r="K492" i="5"/>
  <c r="K492" i="7" s="1"/>
  <c r="M501" i="7"/>
  <c r="N501" i="7" s="1"/>
  <c r="K506" i="5"/>
  <c r="K506" i="7" s="1"/>
  <c r="M515" i="7"/>
  <c r="N515" i="7" s="1"/>
  <c r="K520" i="5"/>
  <c r="K520" i="7" s="1"/>
  <c r="M529" i="7"/>
  <c r="N529" i="7" s="1"/>
  <c r="K534" i="5"/>
  <c r="K534" i="7" s="1"/>
  <c r="M543" i="7"/>
  <c r="N543" i="7" s="1"/>
  <c r="K548" i="5"/>
  <c r="K548" i="7" s="1"/>
  <c r="N557" i="7"/>
  <c r="M557" i="7"/>
  <c r="K562" i="5"/>
  <c r="K562" i="7" s="1"/>
  <c r="N571" i="7"/>
  <c r="M571" i="7"/>
  <c r="K576" i="5"/>
  <c r="K576" i="7" s="1"/>
  <c r="M585" i="7"/>
  <c r="N585" i="7" s="1"/>
  <c r="K590" i="5"/>
  <c r="K590" i="7" s="1"/>
  <c r="M599" i="7"/>
  <c r="N599" i="7"/>
  <c r="K604" i="5"/>
  <c r="K604" i="7" s="1"/>
  <c r="N613" i="7"/>
  <c r="M613" i="7"/>
  <c r="K618" i="5"/>
  <c r="K618" i="7" s="1"/>
  <c r="M627" i="7"/>
  <c r="N627" i="7"/>
  <c r="K632" i="5"/>
  <c r="K632" i="7" s="1"/>
  <c r="N641" i="7"/>
  <c r="M641" i="7"/>
  <c r="K646" i="5"/>
  <c r="K646" i="7" s="1"/>
  <c r="M655" i="7"/>
  <c r="N655" i="7" s="1"/>
  <c r="K660" i="5"/>
  <c r="K660" i="7" s="1"/>
  <c r="N669" i="7"/>
  <c r="M669" i="7"/>
  <c r="K674" i="5"/>
  <c r="K674" i="7" s="1"/>
  <c r="M683" i="7"/>
  <c r="N683" i="7"/>
  <c r="K688" i="5"/>
  <c r="K688" i="7" s="1"/>
  <c r="M697" i="7"/>
  <c r="N697" i="7" s="1"/>
  <c r="K702" i="5"/>
  <c r="K702" i="7" s="1"/>
  <c r="M711" i="7"/>
  <c r="N711" i="7" s="1"/>
  <c r="K716" i="5"/>
  <c r="K716" i="7" s="1"/>
  <c r="M725" i="7"/>
  <c r="N725" i="7" s="1"/>
  <c r="K730" i="5"/>
  <c r="K730" i="7" s="1"/>
  <c r="M739" i="7"/>
  <c r="N739" i="7" s="1"/>
  <c r="K744" i="5"/>
  <c r="K744" i="7" s="1"/>
  <c r="N753" i="7"/>
  <c r="M753" i="7"/>
  <c r="K758" i="5"/>
  <c r="K758" i="7" s="1"/>
  <c r="M767" i="7"/>
  <c r="N767" i="7" s="1"/>
  <c r="K772" i="5"/>
  <c r="K772" i="7" s="1"/>
  <c r="M781" i="7"/>
  <c r="N781" i="7"/>
  <c r="K786" i="5"/>
  <c r="K786" i="7" s="1"/>
  <c r="M795" i="7"/>
  <c r="N795" i="7" s="1"/>
  <c r="K800" i="5"/>
  <c r="K800" i="7" s="1"/>
  <c r="N809" i="7"/>
  <c r="M809" i="7"/>
  <c r="K814" i="5"/>
  <c r="K814" i="7" s="1"/>
  <c r="M823" i="7"/>
  <c r="N823" i="7"/>
  <c r="K828" i="5"/>
  <c r="K828" i="7" s="1"/>
  <c r="N837" i="7"/>
  <c r="M837" i="7"/>
  <c r="K842" i="5"/>
  <c r="K842" i="7" s="1"/>
  <c r="M851" i="7"/>
  <c r="N851" i="7" s="1"/>
  <c r="K856" i="5"/>
  <c r="K856" i="7" s="1"/>
  <c r="N865" i="7"/>
  <c r="M865" i="7"/>
  <c r="K870" i="5"/>
  <c r="K870" i="7" s="1"/>
  <c r="M879" i="7"/>
  <c r="N879" i="7" s="1"/>
  <c r="K884" i="5"/>
  <c r="K884" i="7" s="1"/>
  <c r="K898" i="5"/>
  <c r="L911" i="5"/>
  <c r="L911" i="7" s="1"/>
  <c r="E917" i="7"/>
  <c r="K917" i="5"/>
  <c r="K917" i="7" s="1"/>
  <c r="M918" i="7"/>
  <c r="N918" i="7"/>
  <c r="N934" i="7"/>
  <c r="M934" i="7"/>
  <c r="F945" i="7"/>
  <c r="L945" i="5"/>
  <c r="L945" i="7" s="1"/>
  <c r="M945" i="7" s="1"/>
  <c r="N945" i="7" s="1"/>
  <c r="K946" i="5"/>
  <c r="K946" i="7" s="1"/>
  <c r="F949" i="7"/>
  <c r="L949" i="5"/>
  <c r="L949" i="7" s="1"/>
  <c r="L967" i="5"/>
  <c r="L967" i="7" s="1"/>
  <c r="E973" i="7"/>
  <c r="K973" i="5"/>
  <c r="K973" i="7" s="1"/>
  <c r="N974" i="7"/>
  <c r="M974" i="7"/>
  <c r="E977" i="7"/>
  <c r="K977" i="5"/>
  <c r="K977" i="7" s="1"/>
  <c r="N978" i="7"/>
  <c r="M978" i="7"/>
  <c r="K1006" i="5"/>
  <c r="K1006" i="7" s="1"/>
  <c r="M1045" i="7"/>
  <c r="N1045" i="7" s="1"/>
  <c r="M1053" i="7"/>
  <c r="N1053" i="7" s="1"/>
  <c r="E1056" i="7"/>
  <c r="K1056" i="5"/>
  <c r="K1056" i="7" s="1"/>
  <c r="M1069" i="7"/>
  <c r="N1069" i="7" s="1"/>
  <c r="M1088" i="7"/>
  <c r="N1088" i="7" s="1"/>
  <c r="L1092" i="5"/>
  <c r="L1092" i="7" s="1"/>
  <c r="M1092" i="7" s="1"/>
  <c r="N1092" i="7" s="1"/>
  <c r="K1107" i="5"/>
  <c r="K1107" i="7" s="1"/>
  <c r="E1116" i="7"/>
  <c r="K1116" i="5"/>
  <c r="K1116" i="7" s="1"/>
  <c r="K1121" i="5"/>
  <c r="K1121" i="7" s="1"/>
  <c r="F1134" i="7"/>
  <c r="L1134" i="5"/>
  <c r="L1134" i="7" s="1"/>
  <c r="M1134" i="7" s="1"/>
  <c r="N1134" i="7" s="1"/>
  <c r="E1141" i="7"/>
  <c r="K1141" i="5"/>
  <c r="K1141" i="7" s="1"/>
  <c r="M1142" i="7"/>
  <c r="N1142" i="7" s="1"/>
  <c r="F1148" i="7"/>
  <c r="L1148" i="5"/>
  <c r="L1148" i="7" s="1"/>
  <c r="E1165" i="7"/>
  <c r="K1165" i="5"/>
  <c r="K1165" i="7" s="1"/>
  <c r="E1172" i="7"/>
  <c r="K1172" i="5"/>
  <c r="K1172" i="7" s="1"/>
  <c r="E1206" i="7"/>
  <c r="K1206" i="5"/>
  <c r="K1206" i="7" s="1"/>
  <c r="M174" i="7"/>
  <c r="N174" i="7" s="1"/>
  <c r="M188" i="7"/>
  <c r="N188" i="7"/>
  <c r="M202" i="7"/>
  <c r="N202" i="7" s="1"/>
  <c r="M216" i="7"/>
  <c r="N216" i="7" s="1"/>
  <c r="M230" i="7"/>
  <c r="N230" i="7" s="1"/>
  <c r="M244" i="7"/>
  <c r="N244" i="7"/>
  <c r="M258" i="7"/>
  <c r="N258" i="7" s="1"/>
  <c r="M272" i="7"/>
  <c r="N272" i="7"/>
  <c r="M286" i="7"/>
  <c r="N286" i="7"/>
  <c r="M300" i="7"/>
  <c r="N300" i="7" s="1"/>
  <c r="M314" i="7"/>
  <c r="N314" i="7" s="1"/>
  <c r="M328" i="7"/>
  <c r="N328" i="7" s="1"/>
  <c r="M342" i="7"/>
  <c r="N342" i="7"/>
  <c r="M356" i="7"/>
  <c r="N356" i="7" s="1"/>
  <c r="M370" i="7"/>
  <c r="N370" i="7" s="1"/>
  <c r="M384" i="7"/>
  <c r="N384" i="7"/>
  <c r="M398" i="7"/>
  <c r="N398" i="7" s="1"/>
  <c r="N412" i="7"/>
  <c r="M412" i="7"/>
  <c r="N426" i="7"/>
  <c r="M426" i="7"/>
  <c r="M440" i="7"/>
  <c r="N440" i="7" s="1"/>
  <c r="M454" i="7"/>
  <c r="N454" i="7" s="1"/>
  <c r="M468" i="7"/>
  <c r="N468" i="7" s="1"/>
  <c r="M482" i="7"/>
  <c r="N482" i="7" s="1"/>
  <c r="N496" i="7"/>
  <c r="M496" i="7"/>
  <c r="N510" i="7"/>
  <c r="M510" i="7"/>
  <c r="N524" i="7"/>
  <c r="M524" i="7"/>
  <c r="M538" i="7"/>
  <c r="N538" i="7" s="1"/>
  <c r="M552" i="7"/>
  <c r="N552" i="7" s="1"/>
  <c r="M566" i="7"/>
  <c r="N566" i="7"/>
  <c r="M580" i="7"/>
  <c r="N580" i="7" s="1"/>
  <c r="N594" i="7"/>
  <c r="M594" i="7"/>
  <c r="N608" i="7"/>
  <c r="M608" i="7"/>
  <c r="M622" i="7"/>
  <c r="N622" i="7" s="1"/>
  <c r="M636" i="7"/>
  <c r="N636" i="7" s="1"/>
  <c r="M650" i="7"/>
  <c r="N650" i="7" s="1"/>
  <c r="M664" i="7"/>
  <c r="N664" i="7" s="1"/>
  <c r="M678" i="7"/>
  <c r="N678" i="7" s="1"/>
  <c r="N692" i="7"/>
  <c r="M692" i="7"/>
  <c r="M706" i="7"/>
  <c r="N706" i="7" s="1"/>
  <c r="N720" i="7"/>
  <c r="M720" i="7"/>
  <c r="M734" i="7"/>
  <c r="N734" i="7"/>
  <c r="M748" i="7"/>
  <c r="N748" i="7" s="1"/>
  <c r="M762" i="7"/>
  <c r="N762" i="7" s="1"/>
  <c r="M776" i="7"/>
  <c r="N776" i="7" s="1"/>
  <c r="N790" i="7"/>
  <c r="M790" i="7"/>
  <c r="N804" i="7"/>
  <c r="M804" i="7"/>
  <c r="N818" i="7"/>
  <c r="M818" i="7"/>
  <c r="M832" i="7"/>
  <c r="N832" i="7"/>
  <c r="N846" i="7"/>
  <c r="M846" i="7"/>
  <c r="M860" i="7"/>
  <c r="N860" i="7"/>
  <c r="M874" i="7"/>
  <c r="N874" i="7" s="1"/>
  <c r="N902" i="7"/>
  <c r="M902" i="7"/>
  <c r="N906" i="7"/>
  <c r="M906" i="7"/>
  <c r="M910" i="7"/>
  <c r="N910" i="7" s="1"/>
  <c r="F917" i="7"/>
  <c r="L917" i="5"/>
  <c r="L917" i="7" s="1"/>
  <c r="M917" i="7" s="1"/>
  <c r="N917" i="7" s="1"/>
  <c r="K918" i="5"/>
  <c r="K918" i="7" s="1"/>
  <c r="F921" i="7"/>
  <c r="L921" i="5"/>
  <c r="L921" i="7" s="1"/>
  <c r="M922" i="7"/>
  <c r="N922" i="7"/>
  <c r="K934" i="5"/>
  <c r="K934" i="7" s="1"/>
  <c r="L938" i="5"/>
  <c r="L938" i="7" s="1"/>
  <c r="L946" i="5"/>
  <c r="L946" i="7" s="1"/>
  <c r="K950" i="5"/>
  <c r="K950" i="7" s="1"/>
  <c r="M962" i="7"/>
  <c r="N962" i="7"/>
  <c r="F969" i="7"/>
  <c r="L969" i="5"/>
  <c r="L969" i="7" s="1"/>
  <c r="M969" i="7" s="1"/>
  <c r="N969" i="7" s="1"/>
  <c r="N970" i="7"/>
  <c r="M970" i="7"/>
  <c r="F973" i="7"/>
  <c r="L973" i="5"/>
  <c r="L973" i="7" s="1"/>
  <c r="M973" i="7" s="1"/>
  <c r="N973" i="7" s="1"/>
  <c r="K974" i="5"/>
  <c r="K974" i="7" s="1"/>
  <c r="F977" i="7"/>
  <c r="L977" i="5"/>
  <c r="L977" i="7" s="1"/>
  <c r="K978" i="5"/>
  <c r="K978" i="7" s="1"/>
  <c r="L982" i="5"/>
  <c r="L982" i="7" s="1"/>
  <c r="M986" i="7"/>
  <c r="N986" i="7"/>
  <c r="E996" i="7"/>
  <c r="K996" i="5"/>
  <c r="K996" i="7" s="1"/>
  <c r="L998" i="5"/>
  <c r="L998" i="7" s="1"/>
  <c r="M998" i="7" s="1"/>
  <c r="N998" i="7" s="1"/>
  <c r="M1014" i="7"/>
  <c r="N1014" i="7" s="1"/>
  <c r="E1024" i="7"/>
  <c r="K1024" i="5"/>
  <c r="K1024" i="7" s="1"/>
  <c r="L1026" i="5"/>
  <c r="L1026" i="7" s="1"/>
  <c r="M1026" i="7" s="1"/>
  <c r="N1026" i="7" s="1"/>
  <c r="N1041" i="7"/>
  <c r="M1041" i="7"/>
  <c r="K1045" i="5"/>
  <c r="K1045" i="7" s="1"/>
  <c r="L1049" i="5"/>
  <c r="L1049" i="7" s="1"/>
  <c r="M1049" i="7" s="1"/>
  <c r="N1049" i="7" s="1"/>
  <c r="K1053" i="5"/>
  <c r="K1053" i="7" s="1"/>
  <c r="E1079" i="7"/>
  <c r="K1079" i="5"/>
  <c r="K1079" i="7" s="1"/>
  <c r="K1088" i="5"/>
  <c r="K1088" i="7" s="1"/>
  <c r="K1103" i="5"/>
  <c r="K1103" i="7" s="1"/>
  <c r="E1123" i="7"/>
  <c r="K1123" i="5"/>
  <c r="K1123" i="7" s="1"/>
  <c r="K1135" i="5"/>
  <c r="K1135" i="7" s="1"/>
  <c r="F1141" i="7"/>
  <c r="L1141" i="5"/>
  <c r="L1141" i="7" s="1"/>
  <c r="M1141" i="7" s="1"/>
  <c r="N1141" i="7" s="1"/>
  <c r="K1149" i="5"/>
  <c r="K1149" i="7" s="1"/>
  <c r="M813" i="7"/>
  <c r="N813" i="7" s="1"/>
  <c r="N827" i="7"/>
  <c r="M827" i="7"/>
  <c r="M841" i="7"/>
  <c r="N841" i="7"/>
  <c r="N855" i="7"/>
  <c r="M855" i="7"/>
  <c r="M869" i="7"/>
  <c r="N869" i="7"/>
  <c r="K906" i="5"/>
  <c r="K906" i="7" s="1"/>
  <c r="M914" i="7"/>
  <c r="N914" i="7" s="1"/>
  <c r="L926" i="5"/>
  <c r="L926" i="7" s="1"/>
  <c r="M930" i="7"/>
  <c r="N930" i="7"/>
  <c r="E936" i="7"/>
  <c r="K936" i="5"/>
  <c r="K936" i="7" s="1"/>
  <c r="M937" i="7"/>
  <c r="N937" i="7" s="1"/>
  <c r="E940" i="7"/>
  <c r="K940" i="5"/>
  <c r="K940" i="7" s="1"/>
  <c r="L942" i="5"/>
  <c r="L942" i="7" s="1"/>
  <c r="M942" i="7" s="1"/>
  <c r="N942" i="7" s="1"/>
  <c r="L954" i="5"/>
  <c r="L954" i="7" s="1"/>
  <c r="M958" i="7"/>
  <c r="N958" i="7"/>
  <c r="K962" i="5"/>
  <c r="K962" i="7" s="1"/>
  <c r="L974" i="5"/>
  <c r="L974" i="7" s="1"/>
  <c r="L986" i="5"/>
  <c r="L986" i="7" s="1"/>
  <c r="F992" i="7"/>
  <c r="L992" i="5"/>
  <c r="L992" i="7" s="1"/>
  <c r="M992" i="7" s="1"/>
  <c r="N992" i="7" s="1"/>
  <c r="M993" i="7"/>
  <c r="N993" i="7" s="1"/>
  <c r="N1017" i="7"/>
  <c r="M1017" i="7"/>
  <c r="F1020" i="7"/>
  <c r="L1020" i="5"/>
  <c r="L1020" i="7" s="1"/>
  <c r="M1021" i="7"/>
  <c r="N1021" i="7" s="1"/>
  <c r="M1025" i="7"/>
  <c r="N1025" i="7" s="1"/>
  <c r="E1028" i="7"/>
  <c r="K1028" i="5"/>
  <c r="K1028" i="7" s="1"/>
  <c r="K1037" i="5"/>
  <c r="K1037" i="7" s="1"/>
  <c r="E1071" i="7"/>
  <c r="K1071" i="5"/>
  <c r="K1071" i="7" s="1"/>
  <c r="M1072" i="7"/>
  <c r="N1072" i="7" s="1"/>
  <c r="E1075" i="7"/>
  <c r="K1075" i="5"/>
  <c r="K1075" i="7" s="1"/>
  <c r="L1080" i="5"/>
  <c r="L1080" i="7" s="1"/>
  <c r="N1084" i="7"/>
  <c r="M1084" i="7"/>
  <c r="L1095" i="5"/>
  <c r="L1095" i="7" s="1"/>
  <c r="F1105" i="7"/>
  <c r="L1105" i="5"/>
  <c r="L1105" i="7" s="1"/>
  <c r="M1106" i="7"/>
  <c r="N1106" i="7" s="1"/>
  <c r="K1117" i="5"/>
  <c r="K1117" i="7" s="1"/>
  <c r="M1138" i="7"/>
  <c r="N1138" i="7" s="1"/>
  <c r="F1161" i="7"/>
  <c r="L1161" i="5"/>
  <c r="L1161" i="7" s="1"/>
  <c r="M1161" i="7" s="1"/>
  <c r="N1161" i="7" s="1"/>
  <c r="N1200" i="7"/>
  <c r="M1200" i="7"/>
  <c r="M1143" i="7"/>
  <c r="N1143" i="7"/>
  <c r="F1146" i="7"/>
  <c r="L1146" i="5"/>
  <c r="L1146" i="7" s="1"/>
  <c r="M1147" i="7"/>
  <c r="N1147" i="7"/>
  <c r="E1150" i="7"/>
  <c r="K1150" i="5"/>
  <c r="K1150" i="7" s="1"/>
  <c r="N1168" i="7"/>
  <c r="M1168" i="7"/>
  <c r="F1183" i="7"/>
  <c r="L1183" i="5"/>
  <c r="L1183" i="7" s="1"/>
  <c r="M1183" i="7" s="1"/>
  <c r="N1183" i="7" s="1"/>
  <c r="F1187" i="7"/>
  <c r="L1187" i="5"/>
  <c r="L1187" i="7" s="1"/>
  <c r="M1241" i="7"/>
  <c r="N1241" i="7" s="1"/>
  <c r="F1244" i="7"/>
  <c r="L1244" i="5"/>
  <c r="L1244" i="7" s="1"/>
  <c r="E1248" i="7"/>
  <c r="K1248" i="5"/>
  <c r="K1248" i="7" s="1"/>
  <c r="L1250" i="5"/>
  <c r="L1250" i="7" s="1"/>
  <c r="M1266" i="7"/>
  <c r="N1266" i="7" s="1"/>
  <c r="K1270" i="5"/>
  <c r="K1270" i="7" s="1"/>
  <c r="M1278" i="7"/>
  <c r="N1278" i="7" s="1"/>
  <c r="F1281" i="7"/>
  <c r="L1281" i="5"/>
  <c r="L1281" i="7" s="1"/>
  <c r="K1282" i="5"/>
  <c r="K1282" i="7" s="1"/>
  <c r="F1285" i="7"/>
  <c r="L1285" i="5"/>
  <c r="L1285" i="7" s="1"/>
  <c r="M1286" i="7"/>
  <c r="N1286" i="7" s="1"/>
  <c r="L1303" i="5"/>
  <c r="L1303" i="7" s="1"/>
  <c r="L1315" i="5"/>
  <c r="L1315" i="7" s="1"/>
  <c r="K1319" i="5"/>
  <c r="K1319" i="7" s="1"/>
  <c r="M1339" i="7"/>
  <c r="N1339" i="7"/>
  <c r="F1342" i="7"/>
  <c r="L1342" i="5"/>
  <c r="L1342" i="7" s="1"/>
  <c r="M1342" i="7" s="1"/>
  <c r="N1342" i="7" s="1"/>
  <c r="M1343" i="7"/>
  <c r="N1343" i="7" s="1"/>
  <c r="E1346" i="7"/>
  <c r="K1346" i="5"/>
  <c r="K1346" i="7" s="1"/>
  <c r="L1348" i="5"/>
  <c r="L1348" i="7" s="1"/>
  <c r="M1364" i="7"/>
  <c r="N1364" i="7" s="1"/>
  <c r="K1368" i="5"/>
  <c r="K1368" i="7" s="1"/>
  <c r="M1376" i="7"/>
  <c r="N1376" i="7" s="1"/>
  <c r="F1379" i="7"/>
  <c r="L1379" i="5"/>
  <c r="L1379" i="7" s="1"/>
  <c r="K1380" i="5"/>
  <c r="K1380" i="7" s="1"/>
  <c r="F1383" i="7"/>
  <c r="L1383" i="5"/>
  <c r="L1383" i="7" s="1"/>
  <c r="E1407" i="7"/>
  <c r="K1407" i="5"/>
  <c r="K1407" i="7" s="1"/>
  <c r="M1408" i="7"/>
  <c r="N1408" i="7" s="1"/>
  <c r="N1424" i="7"/>
  <c r="M1424" i="7"/>
  <c r="M1432" i="7"/>
  <c r="N1432" i="7" s="1"/>
  <c r="F1435" i="7"/>
  <c r="L1435" i="5"/>
  <c r="L1435" i="7" s="1"/>
  <c r="M1435" i="7" s="1"/>
  <c r="N1435" i="7" s="1"/>
  <c r="F1439" i="7"/>
  <c r="L1439" i="5"/>
  <c r="L1439" i="7" s="1"/>
  <c r="E1514" i="7"/>
  <c r="K1514" i="5"/>
  <c r="K1514" i="7" s="1"/>
  <c r="M1515" i="7"/>
  <c r="N1515" i="7" s="1"/>
  <c r="E1518" i="7"/>
  <c r="K1518" i="5"/>
  <c r="K1518" i="7" s="1"/>
  <c r="M1526" i="7"/>
  <c r="N1526" i="7" s="1"/>
  <c r="E1211" i="7"/>
  <c r="K1211" i="5"/>
  <c r="K1211" i="7" s="1"/>
  <c r="M1212" i="7"/>
  <c r="N1212" i="7" s="1"/>
  <c r="M1237" i="7"/>
  <c r="N1237" i="7" s="1"/>
  <c r="M1249" i="7"/>
  <c r="N1249" i="7" s="1"/>
  <c r="E1252" i="7"/>
  <c r="K1252" i="5"/>
  <c r="K1252" i="7" s="1"/>
  <c r="M1298" i="7"/>
  <c r="N1298" i="7" s="1"/>
  <c r="M1302" i="7"/>
  <c r="N1302" i="7" s="1"/>
  <c r="E1309" i="7"/>
  <c r="K1309" i="5"/>
  <c r="K1309" i="7" s="1"/>
  <c r="M1310" i="7"/>
  <c r="N1310" i="7"/>
  <c r="M1335" i="7"/>
  <c r="N1335" i="7"/>
  <c r="M1347" i="7"/>
  <c r="N1347" i="7"/>
  <c r="E1350" i="7"/>
  <c r="K1350" i="5"/>
  <c r="K1350" i="7" s="1"/>
  <c r="M1396" i="7"/>
  <c r="N1396" i="7" s="1"/>
  <c r="M1400" i="7"/>
  <c r="N1400" i="7"/>
  <c r="F1407" i="7"/>
  <c r="L1407" i="5"/>
  <c r="L1407" i="7" s="1"/>
  <c r="M1407" i="7" s="1"/>
  <c r="N1407" i="7" s="1"/>
  <c r="F1411" i="7"/>
  <c r="L1411" i="5"/>
  <c r="L1411" i="7" s="1"/>
  <c r="M1448" i="7"/>
  <c r="N1448" i="7" s="1"/>
  <c r="E1454" i="7"/>
  <c r="K1454" i="5"/>
  <c r="K1454" i="7" s="1"/>
  <c r="M1455" i="7"/>
  <c r="N1455" i="7" s="1"/>
  <c r="E1458" i="7"/>
  <c r="K1458" i="5"/>
  <c r="K1458" i="7" s="1"/>
  <c r="E1462" i="7"/>
  <c r="K1462" i="5"/>
  <c r="K1462" i="7" s="1"/>
  <c r="E1481" i="7"/>
  <c r="K1481" i="5"/>
  <c r="K1481" i="7" s="1"/>
  <c r="F1514" i="7"/>
  <c r="L1514" i="5"/>
  <c r="L1514" i="7" s="1"/>
  <c r="F1518" i="7"/>
  <c r="L1518" i="5"/>
  <c r="L1518" i="7" s="1"/>
  <c r="F1543" i="7"/>
  <c r="L1543" i="5"/>
  <c r="L1543" i="7" s="1"/>
  <c r="M1544" i="7"/>
  <c r="N1544" i="7" s="1"/>
  <c r="M1110" i="7"/>
  <c r="N1110" i="7" s="1"/>
  <c r="F1113" i="7"/>
  <c r="L1113" i="5"/>
  <c r="L1113" i="7" s="1"/>
  <c r="M1113" i="7" s="1"/>
  <c r="N1113" i="7" s="1"/>
  <c r="K1114" i="5"/>
  <c r="K1114" i="7" s="1"/>
  <c r="F1117" i="7"/>
  <c r="L1117" i="5"/>
  <c r="L1117" i="7" s="1"/>
  <c r="L1135" i="5"/>
  <c r="L1135" i="7" s="1"/>
  <c r="L1147" i="5"/>
  <c r="L1147" i="7" s="1"/>
  <c r="K1151" i="5"/>
  <c r="K1151" i="7" s="1"/>
  <c r="M1171" i="7"/>
  <c r="N1171" i="7"/>
  <c r="F1174" i="7"/>
  <c r="L1174" i="5"/>
  <c r="L1174" i="7" s="1"/>
  <c r="M1174" i="7" s="1"/>
  <c r="N1174" i="7" s="1"/>
  <c r="M1175" i="7"/>
  <c r="N1175" i="7"/>
  <c r="E1178" i="7"/>
  <c r="K1178" i="5"/>
  <c r="K1178" i="7" s="1"/>
  <c r="L1180" i="5"/>
  <c r="L1180" i="7" s="1"/>
  <c r="M1180" i="7" s="1"/>
  <c r="N1180" i="7" s="1"/>
  <c r="M1196" i="7"/>
  <c r="N1196" i="7" s="1"/>
  <c r="M1208" i="7"/>
  <c r="N1208" i="7" s="1"/>
  <c r="F1211" i="7"/>
  <c r="L1211" i="5"/>
  <c r="L1211" i="7" s="1"/>
  <c r="K1212" i="5"/>
  <c r="K1212" i="7" s="1"/>
  <c r="F1215" i="7"/>
  <c r="L1215" i="5"/>
  <c r="L1215" i="7" s="1"/>
  <c r="L1233" i="5"/>
  <c r="L1233" i="7" s="1"/>
  <c r="L1245" i="5"/>
  <c r="L1245" i="7" s="1"/>
  <c r="M1245" i="7" s="1"/>
  <c r="N1245" i="7" s="1"/>
  <c r="K1249" i="5"/>
  <c r="K1249" i="7" s="1"/>
  <c r="N1269" i="7"/>
  <c r="M1269" i="7"/>
  <c r="F1272" i="7"/>
  <c r="L1272" i="5"/>
  <c r="L1272" i="7" s="1"/>
  <c r="M1273" i="7"/>
  <c r="N1273" i="7"/>
  <c r="E1276" i="7"/>
  <c r="K1276" i="5"/>
  <c r="K1276" i="7" s="1"/>
  <c r="L1278" i="5"/>
  <c r="L1278" i="7" s="1"/>
  <c r="M1294" i="7"/>
  <c r="N1294" i="7" s="1"/>
  <c r="K1298" i="5"/>
  <c r="K1298" i="7" s="1"/>
  <c r="M1306" i="7"/>
  <c r="N1306" i="7" s="1"/>
  <c r="F1309" i="7"/>
  <c r="L1309" i="5"/>
  <c r="L1309" i="7" s="1"/>
  <c r="K1310" i="5"/>
  <c r="K1310" i="7" s="1"/>
  <c r="F1313" i="7"/>
  <c r="L1313" i="5"/>
  <c r="L1313" i="7" s="1"/>
  <c r="M1314" i="7"/>
  <c r="N1314" i="7" s="1"/>
  <c r="L1331" i="5"/>
  <c r="L1331" i="7" s="1"/>
  <c r="L1343" i="5"/>
  <c r="L1343" i="7" s="1"/>
  <c r="K1347" i="5"/>
  <c r="K1347" i="7" s="1"/>
  <c r="M1367" i="7"/>
  <c r="N1367" i="7"/>
  <c r="F1370" i="7"/>
  <c r="L1370" i="5"/>
  <c r="L1370" i="7" s="1"/>
  <c r="M1371" i="7"/>
  <c r="N1371" i="7" s="1"/>
  <c r="E1374" i="7"/>
  <c r="K1374" i="5"/>
  <c r="K1374" i="7" s="1"/>
  <c r="M1392" i="7"/>
  <c r="N1392" i="7" s="1"/>
  <c r="M1404" i="7"/>
  <c r="N1404" i="7" s="1"/>
  <c r="N1420" i="7"/>
  <c r="M1420" i="7"/>
  <c r="E1426" i="7"/>
  <c r="K1426" i="5"/>
  <c r="K1426" i="7" s="1"/>
  <c r="N1427" i="7"/>
  <c r="M1427" i="7"/>
  <c r="E1430" i="7"/>
  <c r="K1430" i="5"/>
  <c r="K1430" i="7" s="1"/>
  <c r="F1450" i="7"/>
  <c r="L1450" i="5"/>
  <c r="L1450" i="7" s="1"/>
  <c r="N1451" i="7"/>
  <c r="M1451" i="7"/>
  <c r="F1454" i="7"/>
  <c r="L1454" i="5"/>
  <c r="L1454" i="7" s="1"/>
  <c r="E1477" i="7"/>
  <c r="K1477" i="5"/>
  <c r="K1477" i="7" s="1"/>
  <c r="M1478" i="7"/>
  <c r="N1478" i="7" s="1"/>
  <c r="E1499" i="7"/>
  <c r="K1499" i="5"/>
  <c r="K1499" i="7" s="1"/>
  <c r="F1510" i="7"/>
  <c r="L1510" i="5"/>
  <c r="L1510" i="7" s="1"/>
  <c r="M1510" i="7" s="1"/>
  <c r="N1510" i="7" s="1"/>
  <c r="N1511" i="7"/>
  <c r="M1511" i="7"/>
  <c r="E1528" i="7"/>
  <c r="K1528" i="5"/>
  <c r="K1528" i="7" s="1"/>
  <c r="M1529" i="7"/>
  <c r="N1529" i="7" s="1"/>
  <c r="E1532" i="7"/>
  <c r="K1532" i="5"/>
  <c r="K1532" i="7" s="1"/>
  <c r="M1460" i="7"/>
  <c r="N1460" i="7" s="1"/>
  <c r="M1179" i="7"/>
  <c r="N1179" i="7" s="1"/>
  <c r="E1182" i="7"/>
  <c r="K1182" i="5"/>
  <c r="K1182" i="7" s="1"/>
  <c r="M1228" i="7"/>
  <c r="N1228" i="7" s="1"/>
  <c r="M1232" i="7"/>
  <c r="N1232" i="7" s="1"/>
  <c r="E1239" i="7"/>
  <c r="K1239" i="5"/>
  <c r="K1239" i="7" s="1"/>
  <c r="M1240" i="7"/>
  <c r="N1240" i="7" s="1"/>
  <c r="M1265" i="7"/>
  <c r="N1265" i="7" s="1"/>
  <c r="M1277" i="7"/>
  <c r="N1277" i="7" s="1"/>
  <c r="E1280" i="7"/>
  <c r="K1280" i="5"/>
  <c r="K1280" i="7" s="1"/>
  <c r="N1326" i="7"/>
  <c r="M1326" i="7"/>
  <c r="M1330" i="7"/>
  <c r="N1330" i="7" s="1"/>
  <c r="E1337" i="7"/>
  <c r="K1337" i="5"/>
  <c r="K1337" i="7" s="1"/>
  <c r="M1338" i="7"/>
  <c r="N1338" i="7"/>
  <c r="M1363" i="7"/>
  <c r="N1363" i="7" s="1"/>
  <c r="M1375" i="7"/>
  <c r="N1375" i="7" s="1"/>
  <c r="E1378" i="7"/>
  <c r="K1378" i="5"/>
  <c r="K1378" i="7" s="1"/>
  <c r="F1422" i="7"/>
  <c r="L1422" i="5"/>
  <c r="L1422" i="7" s="1"/>
  <c r="M1423" i="7"/>
  <c r="N1423" i="7"/>
  <c r="F1426" i="7"/>
  <c r="L1426" i="5"/>
  <c r="L1426" i="7" s="1"/>
  <c r="E1434" i="7"/>
  <c r="K1434" i="5"/>
  <c r="K1434" i="7" s="1"/>
  <c r="F1442" i="7"/>
  <c r="L1442" i="5"/>
  <c r="L1442" i="7" s="1"/>
  <c r="N1489" i="7"/>
  <c r="M1489" i="7"/>
  <c r="E1495" i="7"/>
  <c r="K1495" i="5"/>
  <c r="K1495" i="7" s="1"/>
  <c r="M1507" i="7"/>
  <c r="N1507" i="7"/>
  <c r="E1524" i="7"/>
  <c r="K1524" i="5"/>
  <c r="K1524" i="7" s="1"/>
  <c r="M1525" i="7"/>
  <c r="N1525" i="7" s="1"/>
  <c r="F1528" i="7"/>
  <c r="L1528" i="5"/>
  <c r="L1528" i="7" s="1"/>
  <c r="F1532" i="7"/>
  <c r="L1532" i="5"/>
  <c r="L1532" i="7" s="1"/>
  <c r="N1236" i="7"/>
  <c r="M1236" i="7"/>
  <c r="F1239" i="7"/>
  <c r="L1239" i="5"/>
  <c r="L1239" i="7" s="1"/>
  <c r="M1239" i="7" s="1"/>
  <c r="N1239" i="7" s="1"/>
  <c r="F1243" i="7"/>
  <c r="L1243" i="5"/>
  <c r="L1243" i="7" s="1"/>
  <c r="M1244" i="7"/>
  <c r="N1244" i="7" s="1"/>
  <c r="M1281" i="7"/>
  <c r="N1281" i="7"/>
  <c r="N1297" i="7"/>
  <c r="M1297" i="7"/>
  <c r="F1300" i="7"/>
  <c r="L1300" i="5"/>
  <c r="L1300" i="7" s="1"/>
  <c r="M1301" i="7"/>
  <c r="N1301" i="7" s="1"/>
  <c r="E1304" i="7"/>
  <c r="K1304" i="5"/>
  <c r="K1304" i="7" s="1"/>
  <c r="F1337" i="7"/>
  <c r="L1337" i="5"/>
  <c r="L1337" i="7" s="1"/>
  <c r="F1341" i="7"/>
  <c r="L1341" i="5"/>
  <c r="L1341" i="7" s="1"/>
  <c r="N1379" i="7"/>
  <c r="M1379" i="7"/>
  <c r="M1395" i="7"/>
  <c r="N1395" i="7"/>
  <c r="L1398" i="5"/>
  <c r="L1398" i="7" s="1"/>
  <c r="F1398" i="7"/>
  <c r="E1402" i="7"/>
  <c r="K1402" i="5"/>
  <c r="K1402" i="7" s="1"/>
  <c r="F1414" i="7"/>
  <c r="L1414" i="5"/>
  <c r="L1414" i="7" s="1"/>
  <c r="N1447" i="7"/>
  <c r="N1474" i="7"/>
  <c r="M1474" i="7"/>
  <c r="E1491" i="7"/>
  <c r="K1491" i="5"/>
  <c r="K1491" i="7" s="1"/>
  <c r="M1492" i="7"/>
  <c r="N1492" i="7"/>
  <c r="F1495" i="7"/>
  <c r="L1495" i="5"/>
  <c r="L1495" i="7" s="1"/>
  <c r="E1520" i="7"/>
  <c r="K1520" i="5"/>
  <c r="K1520" i="7" s="1"/>
  <c r="F1524" i="7"/>
  <c r="L1524" i="5"/>
  <c r="L1524" i="7" s="1"/>
  <c r="M1540" i="7"/>
  <c r="N1540" i="7" s="1"/>
  <c r="N1109" i="7"/>
  <c r="M1109" i="7"/>
  <c r="E1112" i="7"/>
  <c r="K1112" i="5"/>
  <c r="K1112" i="7" s="1"/>
  <c r="L1126" i="5"/>
  <c r="L1126" i="7" s="1"/>
  <c r="M1126" i="7" s="1"/>
  <c r="N1126" i="7" s="1"/>
  <c r="L1142" i="5"/>
  <c r="L1142" i="7" s="1"/>
  <c r="K1146" i="5"/>
  <c r="K1146" i="7" s="1"/>
  <c r="M1158" i="7"/>
  <c r="N1158" i="7" s="1"/>
  <c r="N1162" i="7"/>
  <c r="M1162" i="7"/>
  <c r="E1169" i="7"/>
  <c r="K1169" i="5"/>
  <c r="K1169" i="7" s="1"/>
  <c r="N1170" i="7"/>
  <c r="M1170" i="7"/>
  <c r="L1179" i="5"/>
  <c r="L1179" i="7" s="1"/>
  <c r="K1187" i="5"/>
  <c r="K1187" i="7" s="1"/>
  <c r="K1191" i="5"/>
  <c r="K1191" i="7" s="1"/>
  <c r="M1195" i="7"/>
  <c r="N1195" i="7"/>
  <c r="K1199" i="5"/>
  <c r="K1199" i="7" s="1"/>
  <c r="K1203" i="5"/>
  <c r="K1203" i="7" s="1"/>
  <c r="M1207" i="7"/>
  <c r="N1207" i="7" s="1"/>
  <c r="E1210" i="7"/>
  <c r="K1210" i="5"/>
  <c r="K1210" i="7" s="1"/>
  <c r="L1224" i="5"/>
  <c r="L1224" i="7" s="1"/>
  <c r="M1224" i="7" s="1"/>
  <c r="N1224" i="7" s="1"/>
  <c r="K1244" i="5"/>
  <c r="K1244" i="7" s="1"/>
  <c r="N1256" i="7"/>
  <c r="M1256" i="7"/>
  <c r="E1267" i="7"/>
  <c r="K1267" i="5"/>
  <c r="K1267" i="7" s="1"/>
  <c r="M1293" i="7"/>
  <c r="N1293" i="7" s="1"/>
  <c r="E1308" i="7"/>
  <c r="K1308" i="5"/>
  <c r="K1308" i="7" s="1"/>
  <c r="L1322" i="5"/>
  <c r="L1322" i="7" s="1"/>
  <c r="M1322" i="7" s="1"/>
  <c r="N1322" i="7" s="1"/>
  <c r="M1354" i="7"/>
  <c r="N1354" i="7" s="1"/>
  <c r="N1358" i="7"/>
  <c r="M1358" i="7"/>
  <c r="E1365" i="7"/>
  <c r="K1365" i="5"/>
  <c r="K1365" i="7" s="1"/>
  <c r="M1366" i="7"/>
  <c r="N1366" i="7" s="1"/>
  <c r="K1387" i="5"/>
  <c r="K1387" i="7" s="1"/>
  <c r="M1391" i="7"/>
  <c r="N1391" i="7" s="1"/>
  <c r="K1395" i="5"/>
  <c r="K1395" i="7" s="1"/>
  <c r="K1399" i="5"/>
  <c r="K1399" i="7" s="1"/>
  <c r="N1403" i="7"/>
  <c r="M1403" i="7"/>
  <c r="E1406" i="7"/>
  <c r="K1406" i="5"/>
  <c r="K1406" i="7" s="1"/>
  <c r="K1415" i="5"/>
  <c r="K1415" i="7" s="1"/>
  <c r="M1419" i="7"/>
  <c r="N1419" i="7" s="1"/>
  <c r="L1431" i="5"/>
  <c r="L1431" i="7" s="1"/>
  <c r="M1431" i="7" s="1"/>
  <c r="N1431" i="7" s="1"/>
  <c r="K1439" i="5"/>
  <c r="K1439" i="7" s="1"/>
  <c r="L1443" i="5"/>
  <c r="L1443" i="7" s="1"/>
  <c r="L1485" i="5"/>
  <c r="L1485" i="7" s="1"/>
  <c r="F1491" i="7"/>
  <c r="L1491" i="5"/>
  <c r="L1491" i="7" s="1"/>
  <c r="M1503" i="7"/>
  <c r="N1503" i="7" s="1"/>
  <c r="E1513" i="7"/>
  <c r="K1513" i="5"/>
  <c r="K1513" i="7" s="1"/>
  <c r="M1521" i="7"/>
  <c r="N1521" i="7" s="1"/>
  <c r="E1542" i="7"/>
  <c r="K1542" i="5"/>
  <c r="K1542" i="7" s="1"/>
  <c r="N1543" i="7"/>
  <c r="M1543" i="7"/>
  <c r="F1075" i="7"/>
  <c r="L1075" i="5"/>
  <c r="L1075" i="7" s="1"/>
  <c r="M1076" i="7"/>
  <c r="N1076" i="7"/>
  <c r="K1109" i="5"/>
  <c r="K1109" i="7" s="1"/>
  <c r="M1129" i="7"/>
  <c r="N1129" i="7"/>
  <c r="F1132" i="7"/>
  <c r="L1132" i="5"/>
  <c r="L1132" i="7" s="1"/>
  <c r="M1133" i="7"/>
  <c r="N1133" i="7"/>
  <c r="E1136" i="7"/>
  <c r="K1136" i="5"/>
  <c r="K1136" i="7" s="1"/>
  <c r="L1138" i="5"/>
  <c r="L1138" i="7" s="1"/>
  <c r="M1154" i="7"/>
  <c r="N1154" i="7" s="1"/>
  <c r="K1158" i="5"/>
  <c r="K1158" i="7" s="1"/>
  <c r="N1166" i="7"/>
  <c r="M1166" i="7"/>
  <c r="F1169" i="7"/>
  <c r="L1169" i="5"/>
  <c r="L1169" i="7" s="1"/>
  <c r="K1170" i="5"/>
  <c r="K1170" i="7" s="1"/>
  <c r="F1173" i="7"/>
  <c r="L1173" i="5"/>
  <c r="L1173" i="7" s="1"/>
  <c r="L1191" i="5"/>
  <c r="L1191" i="7" s="1"/>
  <c r="L1203" i="5"/>
  <c r="L1203" i="7" s="1"/>
  <c r="M1203" i="7" s="1"/>
  <c r="N1203" i="7" s="1"/>
  <c r="K1207" i="5"/>
  <c r="K1207" i="7" s="1"/>
  <c r="N1211" i="7"/>
  <c r="M1211" i="7"/>
  <c r="N1227" i="7"/>
  <c r="M1227" i="7"/>
  <c r="F1230" i="7"/>
  <c r="L1230" i="5"/>
  <c r="L1230" i="7" s="1"/>
  <c r="M1231" i="7"/>
  <c r="N1231" i="7" s="1"/>
  <c r="E1234" i="7"/>
  <c r="K1234" i="5"/>
  <c r="K1234" i="7" s="1"/>
  <c r="L1236" i="5"/>
  <c r="L1236" i="7" s="1"/>
  <c r="L1248" i="5"/>
  <c r="L1248" i="7" s="1"/>
  <c r="M1252" i="7"/>
  <c r="N1252" i="7" s="1"/>
  <c r="K1256" i="5"/>
  <c r="K1256" i="7" s="1"/>
  <c r="M1264" i="7"/>
  <c r="N1264" i="7" s="1"/>
  <c r="F1267" i="7"/>
  <c r="L1267" i="5"/>
  <c r="L1267" i="7" s="1"/>
  <c r="K1268" i="5"/>
  <c r="K1268" i="7" s="1"/>
  <c r="F1271" i="7"/>
  <c r="L1271" i="5"/>
  <c r="L1271" i="7" s="1"/>
  <c r="M1272" i="7"/>
  <c r="N1272" i="7" s="1"/>
  <c r="L1289" i="5"/>
  <c r="L1289" i="7" s="1"/>
  <c r="L1301" i="5"/>
  <c r="L1301" i="7" s="1"/>
  <c r="K1305" i="5"/>
  <c r="K1305" i="7" s="1"/>
  <c r="M1309" i="7"/>
  <c r="N1309" i="7" s="1"/>
  <c r="M1325" i="7"/>
  <c r="N1325" i="7" s="1"/>
  <c r="F1328" i="7"/>
  <c r="L1328" i="5"/>
  <c r="L1328" i="7" s="1"/>
  <c r="M1329" i="7"/>
  <c r="N1329" i="7"/>
  <c r="E1332" i="7"/>
  <c r="K1332" i="5"/>
  <c r="K1332" i="7" s="1"/>
  <c r="L1334" i="5"/>
  <c r="L1334" i="7" s="1"/>
  <c r="M1334" i="7" s="1"/>
  <c r="N1334" i="7" s="1"/>
  <c r="L1346" i="5"/>
  <c r="L1346" i="7" s="1"/>
  <c r="N1350" i="7"/>
  <c r="M1350" i="7"/>
  <c r="K1354" i="5"/>
  <c r="K1354" i="7" s="1"/>
  <c r="M1362" i="7"/>
  <c r="N1362" i="7" s="1"/>
  <c r="F1365" i="7"/>
  <c r="L1365" i="5"/>
  <c r="L1365" i="7" s="1"/>
  <c r="K1366" i="5"/>
  <c r="K1366" i="7" s="1"/>
  <c r="F1369" i="7"/>
  <c r="L1369" i="5"/>
  <c r="L1369" i="7" s="1"/>
  <c r="M1369" i="7" s="1"/>
  <c r="N1369" i="7" s="1"/>
  <c r="M1370" i="7"/>
  <c r="N1370" i="7"/>
  <c r="L1387" i="5"/>
  <c r="L1387" i="7" s="1"/>
  <c r="L1399" i="5"/>
  <c r="L1399" i="7" s="1"/>
  <c r="M1399" i="7" s="1"/>
  <c r="N1399" i="7" s="1"/>
  <c r="K1403" i="5"/>
  <c r="K1403" i="7" s="1"/>
  <c r="F1406" i="7"/>
  <c r="L1406" i="5"/>
  <c r="L1406" i="7" s="1"/>
  <c r="M1406" i="7" s="1"/>
  <c r="N1406" i="7" s="1"/>
  <c r="K1411" i="5"/>
  <c r="K1411" i="7" s="1"/>
  <c r="L1415" i="5"/>
  <c r="L1415" i="7" s="1"/>
  <c r="F1453" i="7"/>
  <c r="L1453" i="5"/>
  <c r="L1453" i="7" s="1"/>
  <c r="M1454" i="7"/>
  <c r="N1454" i="7" s="1"/>
  <c r="N1462" i="7"/>
  <c r="M1462" i="7"/>
  <c r="E1472" i="7"/>
  <c r="K1472" i="5"/>
  <c r="K1472" i="7" s="1"/>
  <c r="M1488" i="7"/>
  <c r="N1488" i="7" s="1"/>
  <c r="E1505" i="7"/>
  <c r="K1505" i="5"/>
  <c r="K1505" i="7" s="1"/>
  <c r="E1509" i="7"/>
  <c r="K1509" i="5"/>
  <c r="K1509" i="7" s="1"/>
  <c r="F1513" i="7"/>
  <c r="L1513" i="5"/>
  <c r="L1513" i="7" s="1"/>
  <c r="E1527" i="7"/>
  <c r="K1527" i="5"/>
  <c r="K1527" i="7" s="1"/>
  <c r="F1542" i="7"/>
  <c r="L1542" i="5"/>
  <c r="L1542" i="7" s="1"/>
  <c r="M1186" i="7"/>
  <c r="N1186" i="7" s="1"/>
  <c r="N1190" i="7"/>
  <c r="M1190" i="7"/>
  <c r="E1197" i="7"/>
  <c r="K1197" i="5"/>
  <c r="K1197" i="7" s="1"/>
  <c r="K1215" i="5"/>
  <c r="K1215" i="7" s="1"/>
  <c r="K1219" i="5"/>
  <c r="K1219" i="7" s="1"/>
  <c r="M1223" i="7"/>
  <c r="N1223" i="7" s="1"/>
  <c r="K1227" i="5"/>
  <c r="K1227" i="7" s="1"/>
  <c r="K1231" i="5"/>
  <c r="K1231" i="7" s="1"/>
  <c r="E1238" i="7"/>
  <c r="K1238" i="5"/>
  <c r="K1238" i="7" s="1"/>
  <c r="L1260" i="5"/>
  <c r="L1260" i="7" s="1"/>
  <c r="M1260" i="7" s="1"/>
  <c r="N1260" i="7" s="1"/>
  <c r="L1268" i="5"/>
  <c r="L1268" i="7" s="1"/>
  <c r="M1268" i="7" s="1"/>
  <c r="N1268" i="7" s="1"/>
  <c r="K1272" i="5"/>
  <c r="K1272" i="7" s="1"/>
  <c r="M1284" i="7"/>
  <c r="N1284" i="7" s="1"/>
  <c r="M1288" i="7"/>
  <c r="N1288" i="7" s="1"/>
  <c r="E1295" i="7"/>
  <c r="K1295" i="5"/>
  <c r="K1295" i="7" s="1"/>
  <c r="L1305" i="5"/>
  <c r="L1305" i="7" s="1"/>
  <c r="M1305" i="7" s="1"/>
  <c r="N1305" i="7" s="1"/>
  <c r="K1313" i="5"/>
  <c r="K1313" i="7" s="1"/>
  <c r="K1317" i="5"/>
  <c r="K1317" i="7" s="1"/>
  <c r="M1321" i="7"/>
  <c r="N1321" i="7" s="1"/>
  <c r="K1325" i="5"/>
  <c r="K1325" i="7" s="1"/>
  <c r="K1329" i="5"/>
  <c r="K1329" i="7" s="1"/>
  <c r="M1333" i="7"/>
  <c r="N1333" i="7" s="1"/>
  <c r="E1336" i="7"/>
  <c r="K1336" i="5"/>
  <c r="K1336" i="7" s="1"/>
  <c r="M1382" i="7"/>
  <c r="N1382" i="7" s="1"/>
  <c r="M1386" i="7"/>
  <c r="N1386" i="7" s="1"/>
  <c r="E1393" i="7"/>
  <c r="K1393" i="5"/>
  <c r="K1393" i="7" s="1"/>
  <c r="M1394" i="7"/>
  <c r="N1394" i="7" s="1"/>
  <c r="E1421" i="7"/>
  <c r="K1421" i="5"/>
  <c r="K1421" i="7" s="1"/>
  <c r="M1422" i="7"/>
  <c r="N1422" i="7" s="1"/>
  <c r="F1425" i="7"/>
  <c r="L1425" i="5"/>
  <c r="L1425" i="7" s="1"/>
  <c r="M1426" i="7"/>
  <c r="N1426" i="7" s="1"/>
  <c r="F1449" i="7"/>
  <c r="L1449" i="5"/>
  <c r="L1449" i="7" s="1"/>
  <c r="K1450" i="5"/>
  <c r="K1450" i="7" s="1"/>
  <c r="F1468" i="7"/>
  <c r="L1468" i="5"/>
  <c r="L1468" i="7" s="1"/>
  <c r="M1473" i="7"/>
  <c r="N1473" i="7" s="1"/>
  <c r="E1476" i="7"/>
  <c r="K1476" i="5"/>
  <c r="K1476" i="7" s="1"/>
  <c r="M1484" i="7"/>
  <c r="N1484" i="7" s="1"/>
  <c r="E1494" i="7"/>
  <c r="K1494" i="5"/>
  <c r="K1494" i="7" s="1"/>
  <c r="F1505" i="7"/>
  <c r="L1505" i="5"/>
  <c r="L1505" i="7" s="1"/>
  <c r="K1506" i="5"/>
  <c r="K1506" i="7" s="1"/>
  <c r="F1509" i="7"/>
  <c r="L1509" i="5"/>
  <c r="L1509" i="7" s="1"/>
  <c r="K1510" i="5"/>
  <c r="K1510" i="7" s="1"/>
  <c r="N1255" i="7"/>
  <c r="M1255" i="7"/>
  <c r="F1258" i="7"/>
  <c r="L1258" i="5"/>
  <c r="L1258" i="7" s="1"/>
  <c r="M1259" i="7"/>
  <c r="N1259" i="7"/>
  <c r="E1262" i="7"/>
  <c r="K1262" i="5"/>
  <c r="K1262" i="7" s="1"/>
  <c r="L1276" i="5"/>
  <c r="L1276" i="7" s="1"/>
  <c r="M1292" i="7"/>
  <c r="N1292" i="7" s="1"/>
  <c r="F1295" i="7"/>
  <c r="L1295" i="5"/>
  <c r="L1295" i="7" s="1"/>
  <c r="F1299" i="7"/>
  <c r="L1299" i="5"/>
  <c r="L1299" i="7" s="1"/>
  <c r="N1300" i="7"/>
  <c r="M1300" i="7"/>
  <c r="M1337" i="7"/>
  <c r="N1337" i="7" s="1"/>
  <c r="M1353" i="7"/>
  <c r="N1353" i="7"/>
  <c r="F1356" i="7"/>
  <c r="L1356" i="5"/>
  <c r="L1356" i="7" s="1"/>
  <c r="M1357" i="7"/>
  <c r="N1357" i="7"/>
  <c r="E1360" i="7"/>
  <c r="K1360" i="5"/>
  <c r="K1360" i="7" s="1"/>
  <c r="F1393" i="7"/>
  <c r="L1393" i="5"/>
  <c r="L1393" i="7" s="1"/>
  <c r="M1393" i="7" s="1"/>
  <c r="N1393" i="7" s="1"/>
  <c r="F1397" i="7"/>
  <c r="L1397" i="5"/>
  <c r="L1397" i="7" s="1"/>
  <c r="N1398" i="7"/>
  <c r="M1398" i="7"/>
  <c r="M1410" i="7"/>
  <c r="N1410" i="7" s="1"/>
  <c r="M1414" i="7"/>
  <c r="N1414" i="7" s="1"/>
  <c r="F1421" i="7"/>
  <c r="L1421" i="5"/>
  <c r="L1421" i="7" s="1"/>
  <c r="L1430" i="5"/>
  <c r="L1430" i="7" s="1"/>
  <c r="M1430" i="7" s="1"/>
  <c r="N1430" i="7" s="1"/>
  <c r="M1465" i="7"/>
  <c r="N1465" i="7" s="1"/>
  <c r="F1476" i="7"/>
  <c r="L1476" i="5"/>
  <c r="L1476" i="7" s="1"/>
  <c r="M1476" i="7" s="1"/>
  <c r="N1476" i="7" s="1"/>
  <c r="L1499" i="5"/>
  <c r="L1499" i="7" s="1"/>
  <c r="M1499" i="7" s="1"/>
  <c r="N1499" i="7" s="1"/>
  <c r="F1501" i="7"/>
  <c r="L1501" i="5"/>
  <c r="L1501" i="7" s="1"/>
  <c r="M1502" i="7"/>
  <c r="N1502" i="7" s="1"/>
  <c r="L1506" i="5"/>
  <c r="L1506" i="7" s="1"/>
  <c r="M1506" i="7" s="1"/>
  <c r="N1506" i="7" s="1"/>
  <c r="M1517" i="7"/>
  <c r="N1517" i="7" s="1"/>
  <c r="E1523" i="7"/>
  <c r="K1523" i="5"/>
  <c r="K1523" i="7" s="1"/>
  <c r="M1524" i="7"/>
  <c r="N1524" i="7"/>
  <c r="L1198" i="5"/>
  <c r="L1198" i="7" s="1"/>
  <c r="M1198" i="7" s="1"/>
  <c r="N1198" i="7" s="1"/>
  <c r="K1202" i="5"/>
  <c r="K1202" i="7" s="1"/>
  <c r="N1214" i="7"/>
  <c r="M1214" i="7"/>
  <c r="E1225" i="7"/>
  <c r="K1225" i="5"/>
  <c r="K1225" i="7" s="1"/>
  <c r="M1226" i="7"/>
  <c r="N1226" i="7" s="1"/>
  <c r="L1235" i="5"/>
  <c r="L1235" i="7" s="1"/>
  <c r="M1235" i="7" s="1"/>
  <c r="N1235" i="7" s="1"/>
  <c r="K1243" i="5"/>
  <c r="K1243" i="7" s="1"/>
  <c r="K1247" i="5"/>
  <c r="K1247" i="7" s="1"/>
  <c r="N1251" i="7"/>
  <c r="M1251" i="7"/>
  <c r="K1255" i="5"/>
  <c r="K1255" i="7" s="1"/>
  <c r="K1259" i="5"/>
  <c r="K1259" i="7" s="1"/>
  <c r="E1266" i="7"/>
  <c r="K1266" i="5"/>
  <c r="K1266" i="7" s="1"/>
  <c r="L1280" i="5"/>
  <c r="L1280" i="7" s="1"/>
  <c r="M1280" i="7" s="1"/>
  <c r="N1280" i="7" s="1"/>
  <c r="L1288" i="5"/>
  <c r="L1288" i="7" s="1"/>
  <c r="L1296" i="5"/>
  <c r="L1296" i="7" s="1"/>
  <c r="M1296" i="7" s="1"/>
  <c r="N1296" i="7" s="1"/>
  <c r="K1300" i="5"/>
  <c r="K1300" i="7" s="1"/>
  <c r="M1312" i="7"/>
  <c r="N1312" i="7" s="1"/>
  <c r="E1323" i="7"/>
  <c r="K1323" i="5"/>
  <c r="K1323" i="7" s="1"/>
  <c r="M1324" i="7"/>
  <c r="N1324" i="7" s="1"/>
  <c r="L1333" i="5"/>
  <c r="L1333" i="7" s="1"/>
  <c r="K1341" i="5"/>
  <c r="K1341" i="7" s="1"/>
  <c r="K1345" i="5"/>
  <c r="K1345" i="7" s="1"/>
  <c r="M1349" i="7"/>
  <c r="N1349" i="7" s="1"/>
  <c r="K1353" i="5"/>
  <c r="K1353" i="7" s="1"/>
  <c r="K1357" i="5"/>
  <c r="K1357" i="7" s="1"/>
  <c r="E1364" i="7"/>
  <c r="K1364" i="5"/>
  <c r="K1364" i="7" s="1"/>
  <c r="L1378" i="5"/>
  <c r="L1378" i="7" s="1"/>
  <c r="M1378" i="7" s="1"/>
  <c r="N1378" i="7" s="1"/>
  <c r="L1386" i="5"/>
  <c r="L1386" i="7" s="1"/>
  <c r="L1394" i="5"/>
  <c r="L1394" i="7" s="1"/>
  <c r="K1398" i="5"/>
  <c r="K1398" i="7" s="1"/>
  <c r="K1410" i="5"/>
  <c r="K1410" i="7" s="1"/>
  <c r="L1434" i="5"/>
  <c r="L1434" i="7" s="1"/>
  <c r="M1434" i="7" s="1"/>
  <c r="N1434" i="7" s="1"/>
  <c r="E1444" i="7"/>
  <c r="K1444" i="5"/>
  <c r="K1444" i="7" s="1"/>
  <c r="L1446" i="5"/>
  <c r="L1446" i="7" s="1"/>
  <c r="M1446" i="7" s="1"/>
  <c r="N1446" i="7" s="1"/>
  <c r="M1461" i="7"/>
  <c r="N1461" i="7" s="1"/>
  <c r="L1469" i="5"/>
  <c r="L1469" i="7" s="1"/>
  <c r="M1469" i="7" s="1"/>
  <c r="N1469" i="7" s="1"/>
  <c r="E1486" i="7"/>
  <c r="K1486" i="5"/>
  <c r="K1486" i="7" s="1"/>
  <c r="E1490" i="7"/>
  <c r="K1490" i="5"/>
  <c r="K1490" i="7" s="1"/>
  <c r="M1491" i="7"/>
  <c r="N1491" i="7" s="1"/>
  <c r="E1519" i="7"/>
  <c r="K1519" i="5"/>
  <c r="K1519" i="7" s="1"/>
  <c r="E1094" i="7"/>
  <c r="K1094" i="5"/>
  <c r="K1094" i="7" s="1"/>
  <c r="L1108" i="5"/>
  <c r="L1108" i="7" s="1"/>
  <c r="M1112" i="7"/>
  <c r="N1112" i="7" s="1"/>
  <c r="M1124" i="7"/>
  <c r="N1124" i="7"/>
  <c r="F1127" i="7"/>
  <c r="L1127" i="5"/>
  <c r="L1127" i="7" s="1"/>
  <c r="M1127" i="7" s="1"/>
  <c r="N1127" i="7" s="1"/>
  <c r="F1131" i="7"/>
  <c r="L1131" i="5"/>
  <c r="L1131" i="7" s="1"/>
  <c r="M1132" i="7"/>
  <c r="N1132" i="7" s="1"/>
  <c r="M1169" i="7"/>
  <c r="N1169" i="7"/>
  <c r="N1185" i="7"/>
  <c r="M1185" i="7"/>
  <c r="F1188" i="7"/>
  <c r="L1188" i="5"/>
  <c r="L1188" i="7" s="1"/>
  <c r="M1188" i="7" s="1"/>
  <c r="N1188" i="7" s="1"/>
  <c r="M1189" i="7"/>
  <c r="N1189" i="7"/>
  <c r="E1192" i="7"/>
  <c r="K1192" i="5"/>
  <c r="K1192" i="7" s="1"/>
  <c r="L1206" i="5"/>
  <c r="L1206" i="7" s="1"/>
  <c r="M1206" i="7" s="1"/>
  <c r="N1206" i="7" s="1"/>
  <c r="F1225" i="7"/>
  <c r="L1225" i="5"/>
  <c r="L1225" i="7" s="1"/>
  <c r="M1225" i="7" s="1"/>
  <c r="N1225" i="7" s="1"/>
  <c r="F1229" i="7"/>
  <c r="L1229" i="5"/>
  <c r="L1229" i="7" s="1"/>
  <c r="N1230" i="7"/>
  <c r="M1230" i="7"/>
  <c r="L1247" i="5"/>
  <c r="L1247" i="7" s="1"/>
  <c r="M1247" i="7" s="1"/>
  <c r="N1247" i="7" s="1"/>
  <c r="L1259" i="5"/>
  <c r="L1259" i="7" s="1"/>
  <c r="K1263" i="5"/>
  <c r="K1263" i="7" s="1"/>
  <c r="N1267" i="7"/>
  <c r="M1267" i="7"/>
  <c r="M1283" i="7"/>
  <c r="N1283" i="7" s="1"/>
  <c r="F1286" i="7"/>
  <c r="L1286" i="5"/>
  <c r="L1286" i="7" s="1"/>
  <c r="E1290" i="7"/>
  <c r="K1290" i="5"/>
  <c r="K1290" i="7" s="1"/>
  <c r="L1292" i="5"/>
  <c r="L1292" i="7" s="1"/>
  <c r="L1304" i="5"/>
  <c r="L1304" i="7" s="1"/>
  <c r="K1312" i="5"/>
  <c r="K1312" i="7" s="1"/>
  <c r="F1323" i="7"/>
  <c r="L1323" i="5"/>
  <c r="L1323" i="7" s="1"/>
  <c r="M1323" i="7" s="1"/>
  <c r="N1323" i="7" s="1"/>
  <c r="K1324" i="5"/>
  <c r="K1324" i="7" s="1"/>
  <c r="F1327" i="7"/>
  <c r="L1327" i="5"/>
  <c r="L1327" i="7" s="1"/>
  <c r="M1328" i="7"/>
  <c r="N1328" i="7" s="1"/>
  <c r="L1345" i="5"/>
  <c r="L1345" i="7" s="1"/>
  <c r="M1345" i="7" s="1"/>
  <c r="L1357" i="5"/>
  <c r="L1357" i="7" s="1"/>
  <c r="K1361" i="5"/>
  <c r="K1361" i="7" s="1"/>
  <c r="M1365" i="7"/>
  <c r="N1365" i="7"/>
  <c r="M1381" i="7"/>
  <c r="N1381" i="7"/>
  <c r="F1384" i="7"/>
  <c r="L1384" i="5"/>
  <c r="L1384" i="7" s="1"/>
  <c r="M1384" i="7" s="1"/>
  <c r="N1384" i="7" s="1"/>
  <c r="E1388" i="7"/>
  <c r="K1388" i="5"/>
  <c r="K1388" i="7" s="1"/>
  <c r="L1390" i="5"/>
  <c r="L1390" i="7" s="1"/>
  <c r="M1390" i="7" s="1"/>
  <c r="N1390" i="7" s="1"/>
  <c r="E1416" i="7"/>
  <c r="K1416" i="5"/>
  <c r="K1416" i="7" s="1"/>
  <c r="L1418" i="5"/>
  <c r="L1418" i="7" s="1"/>
  <c r="M1418" i="7" s="1"/>
  <c r="N1418" i="7" s="1"/>
  <c r="M1437" i="7"/>
  <c r="N1437" i="7"/>
  <c r="F1440" i="7"/>
  <c r="L1440" i="5"/>
  <c r="L1440" i="7" s="1"/>
  <c r="M1440" i="7" s="1"/>
  <c r="N1440" i="7" s="1"/>
  <c r="M1445" i="7"/>
  <c r="N1445" i="7"/>
  <c r="E1448" i="7"/>
  <c r="K1448" i="5"/>
  <c r="K1448" i="7" s="1"/>
  <c r="E1471" i="7"/>
  <c r="K1471" i="5"/>
  <c r="K1471" i="7" s="1"/>
  <c r="K1480" i="5"/>
  <c r="K1480" i="7" s="1"/>
  <c r="E1482" i="7"/>
  <c r="K1482" i="5"/>
  <c r="K1482" i="7" s="1"/>
  <c r="M1483" i="7"/>
  <c r="N1483" i="7" s="1"/>
  <c r="F1486" i="7"/>
  <c r="L1486" i="5"/>
  <c r="L1486" i="7" s="1"/>
  <c r="K1487" i="5"/>
  <c r="K1487" i="7" s="1"/>
  <c r="F1490" i="7"/>
  <c r="L1490" i="5"/>
  <c r="L1490" i="7" s="1"/>
  <c r="N1498" i="7"/>
  <c r="M1498" i="7"/>
  <c r="L1520" i="5"/>
  <c r="L1520" i="7" s="1"/>
  <c r="M1520" i="7" s="1"/>
  <c r="N1520" i="7" s="1"/>
  <c r="M948" i="7"/>
  <c r="N948" i="7" s="1"/>
  <c r="N952" i="7"/>
  <c r="M952" i="7"/>
  <c r="E959" i="7"/>
  <c r="K959" i="5"/>
  <c r="K959" i="7" s="1"/>
  <c r="M960" i="7"/>
  <c r="N960" i="7" s="1"/>
  <c r="N985" i="7"/>
  <c r="M985" i="7"/>
  <c r="M997" i="7"/>
  <c r="N997" i="7" s="1"/>
  <c r="E1000" i="7"/>
  <c r="K1000" i="5"/>
  <c r="K1000" i="7" s="1"/>
  <c r="M1046" i="7"/>
  <c r="N1046" i="7" s="1"/>
  <c r="N1050" i="7"/>
  <c r="M1050" i="7"/>
  <c r="E1057" i="7"/>
  <c r="K1057" i="5"/>
  <c r="K1057" i="7" s="1"/>
  <c r="M1058" i="7"/>
  <c r="N1058" i="7" s="1"/>
  <c r="M1083" i="7"/>
  <c r="N1083" i="7" s="1"/>
  <c r="M1095" i="7"/>
  <c r="N1095" i="7" s="1"/>
  <c r="E1098" i="7"/>
  <c r="K1098" i="5"/>
  <c r="K1098" i="7" s="1"/>
  <c r="L1112" i="5"/>
  <c r="L1112" i="7" s="1"/>
  <c r="L1120" i="5"/>
  <c r="L1120" i="7" s="1"/>
  <c r="M1120" i="7" s="1"/>
  <c r="N1120" i="7" s="1"/>
  <c r="L1128" i="5"/>
  <c r="L1128" i="7" s="1"/>
  <c r="M1128" i="7" s="1"/>
  <c r="N1128" i="7" s="1"/>
  <c r="K1132" i="5"/>
  <c r="K1132" i="7" s="1"/>
  <c r="M1144" i="7"/>
  <c r="N1144" i="7"/>
  <c r="M1148" i="7"/>
  <c r="N1148" i="7" s="1"/>
  <c r="E1155" i="7"/>
  <c r="K1155" i="5"/>
  <c r="K1155" i="7" s="1"/>
  <c r="M1156" i="7"/>
  <c r="N1156" i="7"/>
  <c r="L1165" i="5"/>
  <c r="L1165" i="7" s="1"/>
  <c r="M1165" i="7" s="1"/>
  <c r="N1165" i="7" s="1"/>
  <c r="K1173" i="5"/>
  <c r="K1173" i="7" s="1"/>
  <c r="K1177" i="5"/>
  <c r="K1177" i="7" s="1"/>
  <c r="M1181" i="7"/>
  <c r="N1181" i="7" s="1"/>
  <c r="K1185" i="5"/>
  <c r="K1185" i="7" s="1"/>
  <c r="K1189" i="5"/>
  <c r="K1189" i="7" s="1"/>
  <c r="N1193" i="7"/>
  <c r="E1196" i="7"/>
  <c r="K1196" i="5"/>
  <c r="K1196" i="7" s="1"/>
  <c r="L1210" i="5"/>
  <c r="L1210" i="7" s="1"/>
  <c r="M1210" i="7" s="1"/>
  <c r="N1210" i="7" s="1"/>
  <c r="L1218" i="5"/>
  <c r="L1218" i="7" s="1"/>
  <c r="M1218" i="7" s="1"/>
  <c r="N1218" i="7" s="1"/>
  <c r="L1226" i="5"/>
  <c r="L1226" i="7" s="1"/>
  <c r="K1230" i="5"/>
  <c r="K1230" i="7" s="1"/>
  <c r="M1242" i="7"/>
  <c r="N1242" i="7" s="1"/>
  <c r="M1246" i="7"/>
  <c r="N1246" i="7" s="1"/>
  <c r="E1253" i="7"/>
  <c r="K1253" i="5"/>
  <c r="K1253" i="7" s="1"/>
  <c r="N1254" i="7"/>
  <c r="L1263" i="5"/>
  <c r="L1263" i="7" s="1"/>
  <c r="M1263" i="7" s="1"/>
  <c r="N1263" i="7" s="1"/>
  <c r="K1271" i="5"/>
  <c r="K1271" i="7" s="1"/>
  <c r="K1275" i="5"/>
  <c r="K1275" i="7" s="1"/>
  <c r="M1279" i="7"/>
  <c r="N1279" i="7" s="1"/>
  <c r="K1283" i="5"/>
  <c r="K1283" i="7" s="1"/>
  <c r="K1287" i="5"/>
  <c r="K1287" i="7" s="1"/>
  <c r="M1291" i="7"/>
  <c r="N1291" i="7" s="1"/>
  <c r="E1294" i="7"/>
  <c r="K1294" i="5"/>
  <c r="K1294" i="7" s="1"/>
  <c r="L1308" i="5"/>
  <c r="L1308" i="7" s="1"/>
  <c r="M1308" i="7" s="1"/>
  <c r="N1308" i="7" s="1"/>
  <c r="L1316" i="5"/>
  <c r="L1316" i="7" s="1"/>
  <c r="M1316" i="7" s="1"/>
  <c r="N1316" i="7" s="1"/>
  <c r="L1324" i="5"/>
  <c r="L1324" i="7" s="1"/>
  <c r="K1328" i="5"/>
  <c r="K1328" i="7" s="1"/>
  <c r="M1340" i="7"/>
  <c r="N1340" i="7" s="1"/>
  <c r="M1344" i="7"/>
  <c r="N1344" i="7" s="1"/>
  <c r="E1351" i="7"/>
  <c r="K1351" i="5"/>
  <c r="K1351" i="7" s="1"/>
  <c r="L1361" i="5"/>
  <c r="L1361" i="7" s="1"/>
  <c r="M1361" i="7" s="1"/>
  <c r="N1361" i="7" s="1"/>
  <c r="K1369" i="5"/>
  <c r="K1369" i="7" s="1"/>
  <c r="K1373" i="5"/>
  <c r="K1373" i="7" s="1"/>
  <c r="M1377" i="7"/>
  <c r="N1377" i="7" s="1"/>
  <c r="K1381" i="5"/>
  <c r="K1381" i="7" s="1"/>
  <c r="K1385" i="5"/>
  <c r="K1385" i="7" s="1"/>
  <c r="M1409" i="7"/>
  <c r="N1409" i="7"/>
  <c r="F1412" i="7"/>
  <c r="L1412" i="5"/>
  <c r="L1412" i="7" s="1"/>
  <c r="M1412" i="7" s="1"/>
  <c r="N1412" i="7" s="1"/>
  <c r="M1417" i="7"/>
  <c r="N1417" i="7"/>
  <c r="E1420" i="7"/>
  <c r="K1420" i="5"/>
  <c r="K1420" i="7" s="1"/>
  <c r="K1429" i="5"/>
  <c r="K1429" i="7" s="1"/>
  <c r="M1433" i="7"/>
  <c r="N1433" i="7"/>
  <c r="K1437" i="5"/>
  <c r="K1437" i="7" s="1"/>
  <c r="K1441" i="5"/>
  <c r="K1441" i="7" s="1"/>
  <c r="K1445" i="5"/>
  <c r="K1445" i="7" s="1"/>
  <c r="M1449" i="7"/>
  <c r="N1449" i="7" s="1"/>
  <c r="L1457" i="5"/>
  <c r="L1457" i="7" s="1"/>
  <c r="E1463" i="7"/>
  <c r="K1463" i="5"/>
  <c r="K1463" i="7" s="1"/>
  <c r="E1467" i="7"/>
  <c r="K1467" i="5"/>
  <c r="K1467" i="7" s="1"/>
  <c r="M1468" i="7"/>
  <c r="N1468" i="7"/>
  <c r="E1478" i="7"/>
  <c r="K1478" i="5"/>
  <c r="K1478" i="7" s="1"/>
  <c r="F1482" i="7"/>
  <c r="L1482" i="5"/>
  <c r="L1482" i="7" s="1"/>
  <c r="M1482" i="7" s="1"/>
  <c r="N1482" i="7" s="1"/>
  <c r="L1487" i="5"/>
  <c r="L1487" i="7" s="1"/>
  <c r="M1487" i="7" s="1"/>
  <c r="N1487" i="7" s="1"/>
  <c r="N1516" i="7"/>
  <c r="M1516" i="7"/>
  <c r="E1533" i="7"/>
  <c r="K1533" i="5"/>
  <c r="K1533" i="7" s="1"/>
  <c r="M1534" i="7"/>
  <c r="N1534" i="7" s="1"/>
  <c r="E1537" i="7"/>
  <c r="K1537" i="5"/>
  <c r="K1537" i="7" s="1"/>
  <c r="F1541" i="7"/>
  <c r="L1541" i="5"/>
  <c r="L1541" i="7" s="1"/>
  <c r="M1541" i="7" s="1"/>
  <c r="N1541" i="7" s="1"/>
  <c r="N1042" i="7"/>
  <c r="M1042" i="7"/>
  <c r="N1054" i="7"/>
  <c r="M1054" i="7"/>
  <c r="F1057" i="7"/>
  <c r="L1057" i="5"/>
  <c r="L1057" i="7" s="1"/>
  <c r="M1057" i="7" s="1"/>
  <c r="N1057" i="7" s="1"/>
  <c r="F1061" i="7"/>
  <c r="L1061" i="5"/>
  <c r="L1061" i="7" s="1"/>
  <c r="N1062" i="7"/>
  <c r="M1062" i="7"/>
  <c r="L1079" i="5"/>
  <c r="L1079" i="7" s="1"/>
  <c r="L1091" i="5"/>
  <c r="L1091" i="7" s="1"/>
  <c r="M1091" i="7" s="1"/>
  <c r="N1091" i="7" s="1"/>
  <c r="K1095" i="5"/>
  <c r="K1095" i="7" s="1"/>
  <c r="M1099" i="7"/>
  <c r="N1099" i="7" s="1"/>
  <c r="M1115" i="7"/>
  <c r="N1115" i="7" s="1"/>
  <c r="F1118" i="7"/>
  <c r="L1118" i="5"/>
  <c r="L1118" i="7" s="1"/>
  <c r="M1118" i="7" s="1"/>
  <c r="N1118" i="7" s="1"/>
  <c r="M1119" i="7"/>
  <c r="N1119" i="7" s="1"/>
  <c r="E1122" i="7"/>
  <c r="K1122" i="5"/>
  <c r="K1122" i="7" s="1"/>
  <c r="L1124" i="5"/>
  <c r="L1124" i="7" s="1"/>
  <c r="M1140" i="7"/>
  <c r="N1140" i="7" s="1"/>
  <c r="K1144" i="5"/>
  <c r="K1144" i="7" s="1"/>
  <c r="M1152" i="7"/>
  <c r="N1152" i="7" s="1"/>
  <c r="F1155" i="7"/>
  <c r="L1155" i="5"/>
  <c r="L1155" i="7" s="1"/>
  <c r="M1155" i="7" s="1"/>
  <c r="N1155" i="7" s="1"/>
  <c r="K1156" i="5"/>
  <c r="K1156" i="7" s="1"/>
  <c r="F1159" i="7"/>
  <c r="L1159" i="5"/>
  <c r="L1159" i="7" s="1"/>
  <c r="M1160" i="7"/>
  <c r="N1160" i="7" s="1"/>
  <c r="L1177" i="5"/>
  <c r="L1177" i="7" s="1"/>
  <c r="M1177" i="7" s="1"/>
  <c r="N1177" i="7" s="1"/>
  <c r="L1189" i="5"/>
  <c r="L1189" i="7" s="1"/>
  <c r="K1193" i="5"/>
  <c r="K1193" i="7" s="1"/>
  <c r="M1197" i="7"/>
  <c r="N1197" i="7" s="1"/>
  <c r="M1213" i="7"/>
  <c r="N1213" i="7" s="1"/>
  <c r="F1216" i="7"/>
  <c r="L1216" i="5"/>
  <c r="L1216" i="7" s="1"/>
  <c r="M1216" i="7" s="1"/>
  <c r="N1216" i="7" s="1"/>
  <c r="M1217" i="7"/>
  <c r="N1217" i="7"/>
  <c r="E1220" i="7"/>
  <c r="K1220" i="5"/>
  <c r="K1220" i="7" s="1"/>
  <c r="L1222" i="5"/>
  <c r="L1222" i="7" s="1"/>
  <c r="M1222" i="7" s="1"/>
  <c r="N1222" i="7" s="1"/>
  <c r="L1234" i="5"/>
  <c r="L1234" i="7" s="1"/>
  <c r="M1234" i="7" s="1"/>
  <c r="N1234" i="7" s="1"/>
  <c r="K1242" i="5"/>
  <c r="K1242" i="7" s="1"/>
  <c r="M1250" i="7"/>
  <c r="N1250" i="7" s="1"/>
  <c r="F1253" i="7"/>
  <c r="L1253" i="5"/>
  <c r="L1253" i="7" s="1"/>
  <c r="M1253" i="7" s="1"/>
  <c r="N1253" i="7" s="1"/>
  <c r="K1254" i="5"/>
  <c r="K1254" i="7" s="1"/>
  <c r="F1257" i="7"/>
  <c r="L1257" i="5"/>
  <c r="L1257" i="7" s="1"/>
  <c r="M1258" i="7"/>
  <c r="N1258" i="7" s="1"/>
  <c r="L1275" i="5"/>
  <c r="L1275" i="7" s="1"/>
  <c r="M1275" i="7" s="1"/>
  <c r="N1275" i="7" s="1"/>
  <c r="L1287" i="5"/>
  <c r="L1287" i="7" s="1"/>
  <c r="M1287" i="7" s="1"/>
  <c r="N1287" i="7" s="1"/>
  <c r="K1291" i="5"/>
  <c r="K1291" i="7" s="1"/>
  <c r="M1295" i="7"/>
  <c r="N1295" i="7" s="1"/>
  <c r="M1311" i="7"/>
  <c r="N1311" i="7" s="1"/>
  <c r="F1314" i="7"/>
  <c r="L1314" i="5"/>
  <c r="L1314" i="7" s="1"/>
  <c r="M1315" i="7"/>
  <c r="N1315" i="7" s="1"/>
  <c r="E1318" i="7"/>
  <c r="K1318" i="5"/>
  <c r="K1318" i="7" s="1"/>
  <c r="L1320" i="5"/>
  <c r="L1320" i="7" s="1"/>
  <c r="M1320" i="7" s="1"/>
  <c r="N1320" i="7" s="1"/>
  <c r="L1332" i="5"/>
  <c r="L1332" i="7" s="1"/>
  <c r="M1332" i="7" s="1"/>
  <c r="N1332" i="7" s="1"/>
  <c r="K1340" i="5"/>
  <c r="K1340" i="7" s="1"/>
  <c r="M1348" i="7"/>
  <c r="N1348" i="7" s="1"/>
  <c r="F1351" i="7"/>
  <c r="L1351" i="5"/>
  <c r="L1351" i="7" s="1"/>
  <c r="M1351" i="7" s="1"/>
  <c r="N1351" i="7" s="1"/>
  <c r="K1352" i="5"/>
  <c r="K1352" i="7" s="1"/>
  <c r="F1355" i="7"/>
  <c r="L1355" i="5"/>
  <c r="L1355" i="7" s="1"/>
  <c r="M1356" i="7"/>
  <c r="N1356" i="7" s="1"/>
  <c r="L1373" i="5"/>
  <c r="L1373" i="7" s="1"/>
  <c r="M1373" i="7" s="1"/>
  <c r="N1373" i="7" s="1"/>
  <c r="L1385" i="5"/>
  <c r="L1385" i="7" s="1"/>
  <c r="M1385" i="7" s="1"/>
  <c r="N1385" i="7" s="1"/>
  <c r="K1389" i="5"/>
  <c r="K1389" i="7" s="1"/>
  <c r="K1409" i="5"/>
  <c r="K1409" i="7" s="1"/>
  <c r="K1413" i="5"/>
  <c r="K1413" i="7" s="1"/>
  <c r="K1417" i="5"/>
  <c r="K1417" i="7" s="1"/>
  <c r="N1421" i="7"/>
  <c r="M1421" i="7"/>
  <c r="K1425" i="5"/>
  <c r="K1425" i="7" s="1"/>
  <c r="L1429" i="5"/>
  <c r="L1429" i="7" s="1"/>
  <c r="L1441" i="5"/>
  <c r="L1441" i="7" s="1"/>
  <c r="M1441" i="7" s="1"/>
  <c r="N1441" i="7" s="1"/>
  <c r="M1456" i="7"/>
  <c r="N1456" i="7" s="1"/>
  <c r="F1459" i="7"/>
  <c r="L1459" i="5"/>
  <c r="L1459" i="7" s="1"/>
  <c r="M1459" i="7" s="1"/>
  <c r="N1459" i="7" s="1"/>
  <c r="F1463" i="7"/>
  <c r="L1463" i="5"/>
  <c r="L1463" i="7" s="1"/>
  <c r="M1463" i="7" s="1"/>
  <c r="N1463" i="7" s="1"/>
  <c r="K1464" i="5"/>
  <c r="K1464" i="7" s="1"/>
  <c r="F1467" i="7"/>
  <c r="L1467" i="5"/>
  <c r="L1467" i="7" s="1"/>
  <c r="M1467" i="7" s="1"/>
  <c r="N1467" i="7" s="1"/>
  <c r="K1468" i="5"/>
  <c r="K1468" i="7" s="1"/>
  <c r="L1472" i="5"/>
  <c r="L1472" i="7" s="1"/>
  <c r="M1479" i="7"/>
  <c r="N1479" i="7" s="1"/>
  <c r="L1483" i="5"/>
  <c r="L1483" i="7" s="1"/>
  <c r="F1504" i="7"/>
  <c r="L1504" i="5"/>
  <c r="L1504" i="7" s="1"/>
  <c r="M1504" i="7" s="1"/>
  <c r="N1504" i="7" s="1"/>
  <c r="F1533" i="7"/>
  <c r="L1533" i="5"/>
  <c r="L1533" i="7" s="1"/>
  <c r="M1533" i="7" s="1"/>
  <c r="N1533" i="7" s="1"/>
  <c r="K1534" i="5"/>
  <c r="K1534" i="7" s="1"/>
  <c r="F1537" i="7"/>
  <c r="L1537" i="5"/>
  <c r="L1537" i="7" s="1"/>
  <c r="K1538" i="5"/>
  <c r="K1538" i="7" s="1"/>
  <c r="M1172" i="7"/>
  <c r="N1172" i="7" s="1"/>
  <c r="M1176" i="7"/>
  <c r="N1176" i="7" s="1"/>
  <c r="E1183" i="7"/>
  <c r="K1183" i="5"/>
  <c r="K1183" i="7" s="1"/>
  <c r="M1184" i="7"/>
  <c r="N1184" i="7"/>
  <c r="L1193" i="5"/>
  <c r="L1193" i="7" s="1"/>
  <c r="M1193" i="7" s="1"/>
  <c r="K1201" i="5"/>
  <c r="K1201" i="7" s="1"/>
  <c r="M1209" i="7"/>
  <c r="N1209" i="7" s="1"/>
  <c r="K1213" i="5"/>
  <c r="K1213" i="7" s="1"/>
  <c r="K1217" i="5"/>
  <c r="K1217" i="7" s="1"/>
  <c r="M1221" i="7"/>
  <c r="N1221" i="7" s="1"/>
  <c r="E1224" i="7"/>
  <c r="K1224" i="5"/>
  <c r="K1224" i="7" s="1"/>
  <c r="L1238" i="5"/>
  <c r="L1238" i="7" s="1"/>
  <c r="M1238" i="7" s="1"/>
  <c r="N1238" i="7" s="1"/>
  <c r="L1246" i="5"/>
  <c r="L1246" i="7" s="1"/>
  <c r="L1254" i="5"/>
  <c r="L1254" i="7" s="1"/>
  <c r="M1254" i="7" s="1"/>
  <c r="K1258" i="5"/>
  <c r="K1258" i="7" s="1"/>
  <c r="M1270" i="7"/>
  <c r="N1270" i="7" s="1"/>
  <c r="M1274" i="7"/>
  <c r="N1274" i="7" s="1"/>
  <c r="E1281" i="7"/>
  <c r="K1281" i="5"/>
  <c r="K1281" i="7" s="1"/>
  <c r="M1282" i="7"/>
  <c r="N1282" i="7" s="1"/>
  <c r="L1291" i="5"/>
  <c r="L1291" i="7" s="1"/>
  <c r="K1299" i="5"/>
  <c r="K1299" i="7" s="1"/>
  <c r="K1303" i="5"/>
  <c r="K1303" i="7" s="1"/>
  <c r="M1307" i="7"/>
  <c r="N1307" i="7" s="1"/>
  <c r="K1311" i="5"/>
  <c r="K1311" i="7" s="1"/>
  <c r="K1315" i="5"/>
  <c r="K1315" i="7" s="1"/>
  <c r="M1319" i="7"/>
  <c r="N1319" i="7" s="1"/>
  <c r="E1322" i="7"/>
  <c r="K1322" i="5"/>
  <c r="K1322" i="7" s="1"/>
  <c r="L1336" i="5"/>
  <c r="L1336" i="7" s="1"/>
  <c r="M1336" i="7" s="1"/>
  <c r="N1336" i="7" s="1"/>
  <c r="L1344" i="5"/>
  <c r="L1344" i="7" s="1"/>
  <c r="L1352" i="5"/>
  <c r="L1352" i="7" s="1"/>
  <c r="M1352" i="7" s="1"/>
  <c r="N1352" i="7" s="1"/>
  <c r="K1356" i="5"/>
  <c r="K1356" i="7" s="1"/>
  <c r="N1368" i="7"/>
  <c r="M1368" i="7"/>
  <c r="M1372" i="7"/>
  <c r="N1372" i="7" s="1"/>
  <c r="E1379" i="7"/>
  <c r="K1379" i="5"/>
  <c r="K1379" i="7" s="1"/>
  <c r="N1380" i="7"/>
  <c r="M1380" i="7"/>
  <c r="L1389" i="5"/>
  <c r="L1389" i="7" s="1"/>
  <c r="K1397" i="5"/>
  <c r="K1397" i="7" s="1"/>
  <c r="K1401" i="5"/>
  <c r="K1401" i="7" s="1"/>
  <c r="M1405" i="7"/>
  <c r="N1405" i="7" s="1"/>
  <c r="L1413" i="5"/>
  <c r="L1413" i="7" s="1"/>
  <c r="M1413" i="7" s="1"/>
  <c r="N1413" i="7" s="1"/>
  <c r="L1417" i="5"/>
  <c r="L1417" i="7" s="1"/>
  <c r="M1428" i="7"/>
  <c r="N1428" i="7"/>
  <c r="E1435" i="7"/>
  <c r="K1435" i="5"/>
  <c r="K1435" i="7" s="1"/>
  <c r="M1436" i="7"/>
  <c r="N1436" i="7" s="1"/>
  <c r="M1452" i="7"/>
  <c r="N1452" i="7" s="1"/>
  <c r="L1464" i="5"/>
  <c r="L1464" i="7" s="1"/>
  <c r="M1464" i="7" s="1"/>
  <c r="N1464" i="7" s="1"/>
  <c r="F1496" i="7"/>
  <c r="L1496" i="5"/>
  <c r="L1496" i="7" s="1"/>
  <c r="M1496" i="7" s="1"/>
  <c r="N1496" i="7" s="1"/>
  <c r="N1497" i="7"/>
  <c r="M1497" i="7"/>
  <c r="F1500" i="7"/>
  <c r="L1500" i="5"/>
  <c r="L1500" i="7" s="1"/>
  <c r="K1501" i="5"/>
  <c r="K1501" i="7" s="1"/>
  <c r="M1530" i="7"/>
  <c r="N1530" i="7" s="1"/>
  <c r="M995" i="7"/>
  <c r="N995" i="7" s="1"/>
  <c r="F1538" i="7"/>
  <c r="L1538" i="5"/>
  <c r="L1538" i="7" s="1"/>
  <c r="M1538" i="7" s="1"/>
  <c r="N1538" i="7" s="1"/>
  <c r="M1539" i="7"/>
  <c r="N1539" i="7" s="1"/>
  <c r="M1389" i="7"/>
  <c r="N1389" i="7"/>
  <c r="E1392" i="7"/>
  <c r="K1392" i="5"/>
  <c r="K1392" i="7" s="1"/>
  <c r="M1438" i="7"/>
  <c r="N1438" i="7" s="1"/>
  <c r="M1442" i="7"/>
  <c r="N1442" i="7" s="1"/>
  <c r="E1449" i="7"/>
  <c r="K1449" i="5"/>
  <c r="K1449" i="7" s="1"/>
  <c r="M1450" i="7"/>
  <c r="N1450" i="7" s="1"/>
  <c r="M1475" i="7"/>
  <c r="N1475" i="7" s="1"/>
  <c r="E1485" i="7"/>
  <c r="K1485" i="5"/>
  <c r="K1485" i="7" s="1"/>
  <c r="E1500" i="7"/>
  <c r="K1500" i="5"/>
  <c r="K1500" i="7" s="1"/>
  <c r="M1501" i="7"/>
  <c r="N1501" i="7" s="1"/>
  <c r="E1504" i="7"/>
  <c r="K1504" i="5"/>
  <c r="K1504" i="7" s="1"/>
  <c r="M1505" i="7"/>
  <c r="N1505" i="7" s="1"/>
  <c r="F1519" i="7"/>
  <c r="L1519" i="5"/>
  <c r="L1519" i="7" s="1"/>
  <c r="M1519" i="7" s="1"/>
  <c r="N1519" i="7" s="1"/>
  <c r="F1523" i="7"/>
  <c r="L1523" i="5"/>
  <c r="L1523" i="7" s="1"/>
  <c r="M1523" i="7" s="1"/>
  <c r="N1523" i="7" s="1"/>
  <c r="M1535" i="7"/>
  <c r="N1535" i="7"/>
  <c r="E1545" i="7"/>
  <c r="K1545" i="5"/>
  <c r="K1545" i="7" s="1"/>
  <c r="F1545" i="7"/>
  <c r="L1545" i="5"/>
  <c r="L1545" i="7" s="1"/>
  <c r="M1545" i="7" s="1"/>
  <c r="N1545" i="7" s="1"/>
  <c r="M1466" i="7"/>
  <c r="N1466" i="7" s="1"/>
  <c r="N1470" i="7"/>
  <c r="M1470" i="7"/>
  <c r="F1477" i="7"/>
  <c r="L1477" i="5"/>
  <c r="L1477" i="7" s="1"/>
  <c r="M1477" i="7" s="1"/>
  <c r="N1477" i="7" s="1"/>
  <c r="F1481" i="7"/>
  <c r="L1481" i="5"/>
  <c r="L1481" i="7" s="1"/>
  <c r="M1481" i="7" s="1"/>
  <c r="N1481" i="7" s="1"/>
  <c r="M1493" i="7"/>
  <c r="N1493" i="7"/>
  <c r="M1512" i="7"/>
  <c r="N1512" i="7" s="1"/>
  <c r="M1531" i="7"/>
  <c r="N1531" i="7" s="1"/>
  <c r="E1541" i="7"/>
  <c r="K1541" i="5"/>
  <c r="K1541" i="7" s="1"/>
  <c r="N1542" i="7"/>
  <c r="M1542" i="7"/>
  <c r="M912" i="7"/>
  <c r="N912" i="7" s="1"/>
  <c r="M926" i="7"/>
  <c r="N926" i="7" s="1"/>
  <c r="M940" i="7"/>
  <c r="N940" i="7" s="1"/>
  <c r="M954" i="7"/>
  <c r="N954" i="7" s="1"/>
  <c r="M968" i="7"/>
  <c r="N968" i="7"/>
  <c r="M982" i="7"/>
  <c r="N982" i="7" s="1"/>
  <c r="M996" i="7"/>
  <c r="N996" i="7" s="1"/>
  <c r="M1010" i="7"/>
  <c r="N1010" i="7" s="1"/>
  <c r="M1024" i="7"/>
  <c r="N1024" i="7" s="1"/>
  <c r="M1038" i="7"/>
  <c r="N1038" i="7" s="1"/>
  <c r="M1052" i="7"/>
  <c r="N1052" i="7" s="1"/>
  <c r="M1066" i="7"/>
  <c r="N1066" i="7" s="1"/>
  <c r="M1080" i="7"/>
  <c r="N1080" i="7" s="1"/>
  <c r="M1094" i="7"/>
  <c r="N1094" i="7" s="1"/>
  <c r="M1108" i="7"/>
  <c r="N1108" i="7" s="1"/>
  <c r="M1122" i="7"/>
  <c r="N1122" i="7"/>
  <c r="M1136" i="7"/>
  <c r="N1136" i="7" s="1"/>
  <c r="M1150" i="7"/>
  <c r="N1150" i="7" s="1"/>
  <c r="M1164" i="7"/>
  <c r="N1164" i="7"/>
  <c r="M1178" i="7"/>
  <c r="N1178" i="7"/>
  <c r="N1192" i="7"/>
  <c r="M1192" i="7"/>
  <c r="M1220" i="7"/>
  <c r="N1220" i="7" s="1"/>
  <c r="M1262" i="7"/>
  <c r="N1262" i="7" s="1"/>
  <c r="M1276" i="7"/>
  <c r="N1276" i="7" s="1"/>
  <c r="M1290" i="7"/>
  <c r="N1290" i="7" s="1"/>
  <c r="M1304" i="7"/>
  <c r="N1304" i="7" s="1"/>
  <c r="M1318" i="7"/>
  <c r="N1318" i="7" s="1"/>
  <c r="N1346" i="7"/>
  <c r="M1346" i="7"/>
  <c r="N1360" i="7"/>
  <c r="M1360" i="7"/>
  <c r="M1374" i="7"/>
  <c r="N1374" i="7" s="1"/>
  <c r="M1388" i="7"/>
  <c r="N1388" i="7" s="1"/>
  <c r="M1402" i="7"/>
  <c r="N1402" i="7" s="1"/>
  <c r="M1416" i="7"/>
  <c r="N1416" i="7" s="1"/>
  <c r="N1444" i="7"/>
  <c r="M1444" i="7"/>
  <c r="N1458" i="7"/>
  <c r="M1458" i="7"/>
  <c r="M1472" i="7"/>
  <c r="N1472" i="7" s="1"/>
  <c r="M1486" i="7"/>
  <c r="N1486" i="7"/>
  <c r="M1500" i="7"/>
  <c r="N1500" i="7" s="1"/>
  <c r="M1514" i="7"/>
  <c r="N1514" i="7" s="1"/>
  <c r="M1528" i="7"/>
  <c r="N1528" i="7" s="1"/>
  <c r="M907" i="7"/>
  <c r="M921" i="7"/>
  <c r="N921" i="7" s="1"/>
  <c r="M935" i="7"/>
  <c r="N935" i="7"/>
  <c r="M949" i="7"/>
  <c r="N949" i="7"/>
  <c r="M963" i="7"/>
  <c r="N963" i="7" s="1"/>
  <c r="M977" i="7"/>
  <c r="N977" i="7"/>
  <c r="M991" i="7"/>
  <c r="N991" i="7"/>
  <c r="M1005" i="7"/>
  <c r="N1005" i="7" s="1"/>
  <c r="M1019" i="7"/>
  <c r="N1019" i="7" s="1"/>
  <c r="M1033" i="7"/>
  <c r="N1033" i="7" s="1"/>
  <c r="M1047" i="7"/>
  <c r="N1047" i="7"/>
  <c r="M1061" i="7"/>
  <c r="N1061" i="7" s="1"/>
  <c r="M1075" i="7"/>
  <c r="N1075" i="7"/>
  <c r="M1089" i="7"/>
  <c r="N1089" i="7" s="1"/>
  <c r="M1103" i="7"/>
  <c r="N1103" i="7" s="1"/>
  <c r="M1117" i="7"/>
  <c r="N1117" i="7" s="1"/>
  <c r="M1131" i="7"/>
  <c r="N1131" i="7" s="1"/>
  <c r="M1145" i="7"/>
  <c r="N1145" i="7" s="1"/>
  <c r="M1159" i="7"/>
  <c r="N1159" i="7" s="1"/>
  <c r="M1173" i="7"/>
  <c r="N1173" i="7" s="1"/>
  <c r="M1187" i="7"/>
  <c r="N1187" i="7"/>
  <c r="M1201" i="7"/>
  <c r="N1201" i="7"/>
  <c r="M1215" i="7"/>
  <c r="N1215" i="7" s="1"/>
  <c r="M1229" i="7"/>
  <c r="N1229" i="7" s="1"/>
  <c r="M1243" i="7"/>
  <c r="N1243" i="7"/>
  <c r="N1257" i="7"/>
  <c r="M1257" i="7"/>
  <c r="M1271" i="7"/>
  <c r="N1271" i="7" s="1"/>
  <c r="M1285" i="7"/>
  <c r="N1285" i="7" s="1"/>
  <c r="M1299" i="7"/>
  <c r="N1299" i="7"/>
  <c r="M1313" i="7"/>
  <c r="N1313" i="7" s="1"/>
  <c r="M1327" i="7"/>
  <c r="N1327" i="7" s="1"/>
  <c r="M1341" i="7"/>
  <c r="N1341" i="7" s="1"/>
  <c r="N1355" i="7"/>
  <c r="M1355" i="7"/>
  <c r="M1383" i="7"/>
  <c r="N1383" i="7" s="1"/>
  <c r="M1397" i="7"/>
  <c r="N1397" i="7" s="1"/>
  <c r="M1411" i="7"/>
  <c r="N1411" i="7" s="1"/>
  <c r="M1425" i="7"/>
  <c r="N1425" i="7" s="1"/>
  <c r="M1439" i="7"/>
  <c r="N1439" i="7" s="1"/>
  <c r="M1453" i="7"/>
  <c r="N1453" i="7" s="1"/>
  <c r="M1495" i="7"/>
  <c r="N1495" i="7"/>
  <c r="M1509" i="7"/>
  <c r="N1509" i="7" s="1"/>
  <c r="M1537" i="7"/>
  <c r="N1537" i="7" s="1"/>
  <c r="M1248" i="7"/>
  <c r="N1248" i="7" s="1"/>
  <c r="M1490" i="7"/>
  <c r="N1490" i="7" s="1"/>
  <c r="N1518" i="7"/>
  <c r="M1518" i="7"/>
  <c r="M1532" i="7"/>
  <c r="N1532" i="7" s="1"/>
  <c r="M911" i="7"/>
  <c r="N911" i="7" s="1"/>
  <c r="M925" i="7"/>
  <c r="N925" i="7" s="1"/>
  <c r="N939" i="7"/>
  <c r="M939" i="7"/>
  <c r="M953" i="7"/>
  <c r="N953" i="7" s="1"/>
  <c r="M967" i="7"/>
  <c r="N967" i="7" s="1"/>
  <c r="N981" i="7"/>
  <c r="M981" i="7"/>
  <c r="M1009" i="7"/>
  <c r="N1009" i="7" s="1"/>
  <c r="M1023" i="7"/>
  <c r="N1023" i="7" s="1"/>
  <c r="M1037" i="7"/>
  <c r="N1037" i="7" s="1"/>
  <c r="N1051" i="7"/>
  <c r="M1051" i="7"/>
  <c r="M1065" i="7"/>
  <c r="N1065" i="7" s="1"/>
  <c r="M1079" i="7"/>
  <c r="N1079" i="7" s="1"/>
  <c r="N1093" i="7"/>
  <c r="M1093" i="7"/>
  <c r="N1107" i="7"/>
  <c r="M1107" i="7"/>
  <c r="M1121" i="7"/>
  <c r="N1121" i="7" s="1"/>
  <c r="M1135" i="7"/>
  <c r="N1135" i="7" s="1"/>
  <c r="N1149" i="7"/>
  <c r="M1149" i="7"/>
  <c r="M1163" i="7"/>
  <c r="N1163" i="7"/>
  <c r="N1191" i="7"/>
  <c r="M1191" i="7"/>
  <c r="N1205" i="7"/>
  <c r="M1205" i="7"/>
  <c r="M1219" i="7"/>
  <c r="N1219" i="7" s="1"/>
  <c r="M1233" i="7"/>
  <c r="N1233" i="7"/>
  <c r="M1261" i="7"/>
  <c r="N1261" i="7"/>
  <c r="N1289" i="7"/>
  <c r="M1289" i="7"/>
  <c r="N1303" i="7"/>
  <c r="M1303" i="7"/>
  <c r="M1317" i="7"/>
  <c r="N1317" i="7" s="1"/>
  <c r="M1331" i="7"/>
  <c r="N1331" i="7" s="1"/>
  <c r="N1345" i="7"/>
  <c r="M1359" i="7"/>
  <c r="N1359" i="7"/>
  <c r="M1387" i="7"/>
  <c r="N1387" i="7" s="1"/>
  <c r="N1401" i="7"/>
  <c r="M1401" i="7"/>
  <c r="M1415" i="7"/>
  <c r="N1415" i="7"/>
  <c r="M1429" i="7"/>
  <c r="N1429" i="7" s="1"/>
  <c r="N1443" i="7"/>
  <c r="M1443" i="7"/>
  <c r="M1457" i="7"/>
  <c r="N1457" i="7" s="1"/>
  <c r="M1471" i="7"/>
  <c r="N1471" i="7" s="1"/>
  <c r="M1485" i="7"/>
  <c r="N1485" i="7" s="1"/>
  <c r="M1513" i="7"/>
  <c r="N1513" i="7" s="1"/>
  <c r="M1527" i="7"/>
  <c r="N1527" i="7"/>
  <c r="M1480" i="7"/>
  <c r="N1480" i="7"/>
  <c r="M1494" i="7"/>
  <c r="N1494" i="7" s="1"/>
  <c r="M1508" i="7"/>
  <c r="N1508" i="7" s="1"/>
  <c r="N1522" i="7"/>
  <c r="M1522" i="7"/>
  <c r="M1536" i="7"/>
  <c r="N1536" i="7" s="1"/>
  <c r="N907" i="7"/>
  <c r="B35" i="13"/>
  <c r="H2" i="6" l="1"/>
  <c r="G2" i="6"/>
  <c r="B9" i="1" s="1"/>
  <c r="D9" i="1" s="1"/>
  <c r="K897" i="7"/>
  <c r="L897" i="5"/>
  <c r="L897" i="7" s="1"/>
  <c r="M897" i="7" s="1"/>
  <c r="N897" i="7" s="1"/>
  <c r="K903" i="7"/>
  <c r="L903" i="5"/>
  <c r="L903" i="7" s="1"/>
  <c r="M903" i="7" s="1"/>
  <c r="N903" i="7" s="1"/>
  <c r="K899" i="7"/>
  <c r="L899" i="5"/>
  <c r="L899" i="7" s="1"/>
  <c r="M899" i="7" s="1"/>
  <c r="N899" i="7" s="1"/>
  <c r="K904" i="7"/>
  <c r="L904" i="5"/>
  <c r="L904" i="7" s="1"/>
  <c r="M904" i="7" s="1"/>
  <c r="N904" i="7" s="1"/>
  <c r="K900" i="7"/>
  <c r="L900" i="5"/>
  <c r="L900" i="7" s="1"/>
  <c r="M900" i="7" s="1"/>
  <c r="N900" i="7" s="1"/>
  <c r="H10" i="1"/>
  <c r="K898" i="7"/>
  <c r="L898" i="5"/>
  <c r="L898" i="7" s="1"/>
  <c r="M898" i="7" s="1"/>
  <c r="N898" i="7" s="1"/>
  <c r="N891" i="7"/>
  <c r="M891" i="7"/>
  <c r="L891" i="7"/>
  <c r="L891" i="5"/>
  <c r="N887" i="7"/>
  <c r="M887" i="7"/>
  <c r="L887" i="7"/>
  <c r="L887" i="5"/>
  <c r="N894" i="7"/>
  <c r="M894" i="7"/>
  <c r="L894" i="7"/>
  <c r="L894" i="5"/>
  <c r="G16" i="1"/>
  <c r="G15" i="1"/>
  <c r="L884" i="5"/>
  <c r="L884" i="7"/>
  <c r="M884" i="7"/>
  <c r="N884" i="7"/>
  <c r="N885" i="7"/>
  <c r="M885" i="7"/>
  <c r="L885" i="7"/>
  <c r="L885" i="5"/>
  <c r="N886" i="7"/>
  <c r="M886" i="7"/>
  <c r="L886" i="7"/>
  <c r="L886" i="5"/>
  <c r="L896" i="5"/>
  <c r="L896" i="7"/>
  <c r="M896" i="7"/>
  <c r="N896" i="7"/>
  <c r="L895" i="5"/>
  <c r="L895" i="7"/>
  <c r="M895" i="7"/>
  <c r="N895" i="7"/>
  <c r="L889" i="5"/>
  <c r="L889" i="7"/>
  <c r="M889" i="7"/>
  <c r="N889" i="7"/>
  <c r="D8" i="1"/>
  <c r="B8" i="1"/>
  <c r="B7" i="1"/>
  <c r="M882" i="7"/>
  <c r="N882" i="7"/>
  <c r="N888" i="7"/>
  <c r="M888" i="7"/>
  <c r="L888" i="7"/>
  <c r="L888" i="5"/>
  <c r="L890" i="5"/>
  <c r="L890" i="7"/>
  <c r="M890" i="7"/>
  <c r="N890" i="7"/>
  <c r="L883" i="5"/>
  <c r="L883" i="7"/>
  <c r="M883" i="7"/>
  <c r="N883" i="7"/>
  <c r="L882" i="5"/>
  <c r="L882" i="7"/>
  <c r="G14" i="1"/>
  <c r="L892" i="5"/>
  <c r="L892" i="7"/>
  <c r="M892" i="7"/>
  <c r="N892" i="7"/>
  <c r="L893" i="5"/>
  <c r="L893" i="7"/>
  <c r="M893" i="7"/>
  <c r="N893" i="7"/>
</calcChain>
</file>

<file path=xl/sharedStrings.xml><?xml version="1.0" encoding="utf-8"?>
<sst xmlns="http://schemas.openxmlformats.org/spreadsheetml/2006/main" count="22696" uniqueCount="5706">
  <si>
    <t>통합 이커머스 매출 및 재고 관리 시스템 (Mini-ERP)</t>
  </si>
  <si>
    <t>📊 주요 KPI</t>
  </si>
  <si>
    <t>📊 채널별 성과</t>
  </si>
  <si>
    <t>지표</t>
  </si>
  <si>
    <t>금액/값</t>
  </si>
  <si>
    <t>목표</t>
  </si>
  <si>
    <t>상태</t>
  </si>
  <si>
    <t>채널</t>
  </si>
  <si>
    <t>매출액</t>
  </si>
  <si>
    <t>비중</t>
  </si>
  <si>
    <t>총 매출액 (VAT제외)</t>
  </si>
  <si>
    <t>SK스토아</t>
  </si>
  <si>
    <t>공헌이익</t>
  </si>
  <si>
    <t>네이버</t>
  </si>
  <si>
    <t>공헌이익률</t>
  </si>
  <si>
    <t>쿠팡</t>
  </si>
  <si>
    <t>재고 알람 건수</t>
  </si>
  <si>
    <t>0건</t>
  </si>
  <si>
    <t>카카오+리씨크</t>
  </si>
  <si>
    <t>총 판매건수</t>
  </si>
  <si>
    <t>-</t>
  </si>
  <si>
    <t>합계</t>
  </si>
  <si>
    <t>데이터 기간</t>
  </si>
  <si>
    <t>2026-02-04 ~ 2026-02-05</t>
  </si>
  <si>
    <t>데이터 흐름</t>
  </si>
  <si>
    <t>금액</t>
  </si>
  <si>
    <t>📅 기간별 매출 조회</t>
  </si>
  <si>
    <t>1단계: 매출(VAT제외)</t>
  </si>
  <si>
    <t>2단계: 변동비(총원가)</t>
  </si>
  <si>
    <t>조회 기간 선택</t>
  </si>
  <si>
    <t>일별</t>
  </si>
  <si>
    <t>3단계: 공헌이익</t>
  </si>
  <si>
    <t>매출 - 변동비</t>
  </si>
  <si>
    <t>조회할 날짜 입력</t>
  </si>
  <si>
    <t>(예: 20260204)</t>
  </si>
  <si>
    <t>일별 매출</t>
  </si>
  <si>
    <t>건수</t>
  </si>
  <si>
    <t>월별</t>
  </si>
  <si>
    <t>조회할 월 입력</t>
  </si>
  <si>
    <t>(예: 202602)</t>
  </si>
  <si>
    <t>월별 매출</t>
  </si>
  <si>
    <t>2026-02</t>
  </si>
  <si>
    <t>Layer</t>
  </si>
  <si>
    <t>Component</t>
  </si>
  <si>
    <t>Description</t>
  </si>
  <si>
    <t>1. 입력층</t>
  </si>
  <si>
    <t>Raw_SK</t>
  </si>
  <si>
    <t>채널 원본 데이터 (CSV/Excel 직접 입력)</t>
  </si>
  <si>
    <t>Product_Master</t>
  </si>
  <si>
    <t>자사 SKU, 원가, 재고 마스터</t>
  </si>
  <si>
    <t>Channel_Mapping</t>
  </si>
  <si>
    <t>채널코드 ↔ 자사SKU 매핑 테이블</t>
  </si>
  <si>
    <t>2. 처리층</t>
  </si>
  <si>
    <t>Normalized_Data</t>
  </si>
  <si>
    <t>표준 스키마로 정규화 (VLOOKUP 자동 매핑)</t>
  </si>
  <si>
    <t>Inventory_Status</t>
  </si>
  <si>
    <t>재고 차감 엔진 (SUMIF 기반)</t>
  </si>
  <si>
    <t>PnL_Analysis</t>
  </si>
  <si>
    <t>손익 계산 엔진 (공헌이익/영업이익)</t>
  </si>
  <si>
    <t>3. 출력층</t>
  </si>
  <si>
    <t>Dashboard</t>
  </si>
  <si>
    <t>KPI 시각화 및 알람</t>
  </si>
  <si>
    <t>Reports</t>
  </si>
  <si>
    <t>채널별/SKU별 분석 리포트</t>
  </si>
  <si>
    <t>🚀 확장 가이드</t>
  </si>
  <si>
    <t>확장 항목</t>
  </si>
  <si>
    <t>구현 방법</t>
  </si>
  <si>
    <t>난이도</t>
  </si>
  <si>
    <t>네이버/쿠팡 추가</t>
  </si>
  <si>
    <t>1) Raw_Naver, Raw_Coupang 시트 생성</t>
  </si>
  <si>
    <t>⭐ 쉬움</t>
  </si>
  <si>
    <t>2) Channel_Mapping에 해당 채널 코드 추가</t>
  </si>
  <si>
    <t>3) Normalized_Data 수식에서 해당 시트 참조 추가</t>
  </si>
  <si>
    <t>Power Query 자동화</t>
  </si>
  <si>
    <t>폴더 감시 → 자동 데이터 로드 구현</t>
  </si>
  <si>
    <t>⭐⭐ 중간</t>
  </si>
  <si>
    <t>VBA 버튼 추가</t>
  </si>
  <si>
    <t>"데이터 새로고침" 버튼으로 전체 갱신</t>
  </si>
  <si>
    <t>차트/피벗 추가</t>
  </si>
  <si>
    <t>PnL_Analysis 데이터로 차트/피벗테이블 생성</t>
  </si>
  <si>
    <t>✅ 시스템 구축 완료</t>
  </si>
  <si>
    <t>구축된 기능</t>
  </si>
  <si>
    <t>비고</t>
  </si>
  <si>
    <t>✓ 제품 마스터 데이터</t>
  </si>
  <si>
    <t>✅ 완료</t>
  </si>
  <si>
    <t>10개 샘플 SKU 등록됨</t>
  </si>
  <si>
    <t>✓ 채널 매핑 시스템</t>
  </si>
  <si>
    <t>SK스토아 5개 상품 매핑됨</t>
  </si>
  <si>
    <t>✓ 데이터 정규화 엔진</t>
  </si>
  <si>
    <t>VLOOKUP 기반 자동 변환</t>
  </si>
  <si>
    <t>✓ 재고 관리 시스템</t>
  </si>
  <si>
    <t>실시간 차감 및 알람 기능</t>
  </si>
  <si>
    <t>✓ P&amp;L 분석 엔진</t>
  </si>
  <si>
    <t>공헌이익/영업이익 자동계산</t>
  </si>
  <si>
    <t>✓ KPI 대시보드</t>
  </si>
  <si>
    <t>매출, 이익률, 재고알람 표시</t>
  </si>
  <si>
    <t>✓ 사용 가이드 문서</t>
  </si>
  <si>
    <t>단계별 가이드 및 수식 설명</t>
  </si>
  <si>
    <t>📊 현재 시스템 상태 (샘플 데이터 기준)</t>
  </si>
  <si>
    <t>항목</t>
  </si>
  <si>
    <t>수량/금액</t>
  </si>
  <si>
    <t>설명</t>
  </si>
  <si>
    <t>🔍 빠른 참조</t>
  </si>
  <si>
    <t>등록된 SKU</t>
  </si>
  <si>
    <t>10개</t>
  </si>
  <si>
    <t>제품마스터에 등록</t>
  </si>
  <si>
    <t>클릭하면 해당 시트로 이동:</t>
  </si>
  <si>
    <t>매핑된 상품</t>
  </si>
  <si>
    <t>5개</t>
  </si>
  <si>
    <t>SK스토아 → 자사SKU 매핑</t>
  </si>
  <si>
    <t>→ 제품마스터</t>
  </si>
  <si>
    <t>SKU 관리</t>
  </si>
  <si>
    <t>처리된 주문</t>
  </si>
  <si>
    <t>실제 SK스토아 데이터</t>
  </si>
  <si>
    <t>→ 원본데이터_SK</t>
  </si>
  <si>
    <t>데이터 입력</t>
  </si>
  <si>
    <t>총 매출액</t>
  </si>
  <si>
    <t>실정산금액 기준</t>
  </si>
  <si>
    <t>→ 재고현황</t>
  </si>
  <si>
    <t>재고 확인</t>
  </si>
  <si>
    <t>총 공헌이익</t>
  </si>
  <si>
    <t>매출 - 원가</t>
  </si>
  <si>
    <t>→ 손익분석</t>
  </si>
  <si>
    <t>손익 분석</t>
  </si>
  <si>
    <t>이익 / 매출</t>
  </si>
  <si>
    <t>🎉 시스템이 한국어로 완전히 변환되었습니다! 현재 실제 SK스토아 데이터 599건이 처리 중입니다.</t>
  </si>
  <si>
    <t>자사 SKU</t>
  </si>
  <si>
    <t>제품명</t>
  </si>
  <si>
    <t>카테고리</t>
  </si>
  <si>
    <t>매입원가</t>
  </si>
  <si>
    <t>기초재고</t>
  </si>
  <si>
    <t>안전재고</t>
  </si>
  <si>
    <t>물류사</t>
  </si>
  <si>
    <t>브랜드</t>
  </si>
  <si>
    <t>출시일</t>
  </si>
  <si>
    <t>중량</t>
  </si>
  <si>
    <t>보관온도</t>
  </si>
  <si>
    <t>소비기한</t>
  </si>
  <si>
    <t>식품유형</t>
  </si>
  <si>
    <t>면/과세</t>
  </si>
  <si>
    <t>품목바코드</t>
  </si>
  <si>
    <t>제조원가</t>
  </si>
  <si>
    <t>로얄티</t>
  </si>
  <si>
    <t>상품원가</t>
  </si>
  <si>
    <t>유통전문판매원</t>
  </si>
  <si>
    <t>제조사</t>
  </si>
  <si>
    <t>물류지</t>
  </si>
  <si>
    <t>발주리드타임</t>
  </si>
  <si>
    <t>입수</t>
  </si>
  <si>
    <t>적재수/1PLT</t>
  </si>
  <si>
    <t>제품규격_가로</t>
  </si>
  <si>
    <t>제품규격_세로</t>
  </si>
  <si>
    <t>제품규격_높이</t>
  </si>
  <si>
    <t>MOQ</t>
  </si>
  <si>
    <t>SKU001</t>
  </si>
  <si>
    <t>[워커힐] 시그니처 양념갈비 300G</t>
  </si>
  <si>
    <t>양념육</t>
  </si>
  <si>
    <t>주식회사 정인</t>
  </si>
  <si>
    <t>워커힐</t>
  </si>
  <si>
    <t>01월 30일</t>
  </si>
  <si>
    <t>300g</t>
  </si>
  <si>
    <t>냉동</t>
  </si>
  <si>
    <t>제조일로부터 1년</t>
  </si>
  <si>
    <t>양념육(비살균제품)</t>
  </si>
  <si>
    <t>과세</t>
  </si>
  <si>
    <t>SK네트웍스ⓚSC워커힐</t>
  </si>
  <si>
    <t>주식회사 미더스</t>
  </si>
  <si>
    <t>4주</t>
  </si>
  <si>
    <t>채널명</t>
  </si>
  <si>
    <t>채널상품코드</t>
  </si>
  <si>
    <t>채널상품명</t>
  </si>
  <si>
    <t>자사SKU</t>
  </si>
  <si>
    <t>세트수량 (1세트당 SKU 개수)</t>
  </si>
  <si>
    <t>매핑일자</t>
  </si>
  <si>
    <t>📝 세트 수량 설명</t>
  </si>
  <si>
    <t>[워커힐]워커힐 고메 시그니처 양념 본갈비 8팩</t>
  </si>
  <si>
    <t>예시:</t>
  </si>
  <si>
    <t>SK스토아에서 1세트 판매 = 자샊SKU 8개 소비</t>
  </si>
  <si>
    <t>설정:</t>
  </si>
  <si>
    <t>E열에 8 입력</t>
  </si>
  <si>
    <t>[워커힐]워커힐 시그니처 양념 본갈비 4팩</t>
  </si>
  <si>
    <t>결과:</t>
  </si>
  <si>
    <t>채널에서 2세트 판매 → 재고 16개 차감</t>
  </si>
  <si>
    <t>쿠팡_미지정</t>
  </si>
  <si>
    <t>워커힐 시그니처 양념 본갈비 300g</t>
  </si>
  <si>
    <t>A1</t>
  </si>
  <si>
    <t>워커힐 시그니처 양념 본갈비 300g, 1개</t>
  </si>
  <si>
    <t>채널별 판매 수수료율 입력</t>
  </si>
  <si>
    <t>1 (단품 판매)</t>
  </si>
  <si>
    <t>A2</t>
  </si>
  <si>
    <t>워커힐 시그니처 양념 본갈비 300g, 2개</t>
  </si>
  <si>
    <t>파란색 = 사용자 입력 필수</t>
  </si>
  <si>
    <t>1세트당 포함된 SKU 개수 입력</t>
  </si>
  <si>
    <t>카카오</t>
  </si>
  <si>
    <t>⚠️ 주의:</t>
  </si>
  <si>
    <t>파란색 = 수동 입력 필수</t>
  </si>
  <si>
    <t>리씽크</t>
  </si>
  <si>
    <t>워커힐 본갈비 3+1 최초❤️5만원대! 총1.2kg</t>
  </si>
  <si>
    <t>워커힐 본갈비 추가구매</t>
  </si>
  <si>
    <t>쿠팡(기본)</t>
  </si>
  <si>
    <t>DEFAULT</t>
  </si>
  <si>
    <t>워커힐 시그니처 양념 본갈비 300g (기본)</t>
  </si>
  <si>
    <t>No</t>
  </si>
  <si>
    <t>업체코드</t>
  </si>
  <si>
    <t>업체명</t>
  </si>
  <si>
    <t>주문번호</t>
  </si>
  <si>
    <t>고객명</t>
  </si>
  <si>
    <t>상품코드</t>
  </si>
  <si>
    <t>소싱매체</t>
  </si>
  <si>
    <t>상품명</t>
  </si>
  <si>
    <t>단품코드</t>
  </si>
  <si>
    <t>단품명</t>
  </si>
  <si>
    <t>결제방법</t>
  </si>
  <si>
    <t>과세여부</t>
  </si>
  <si>
    <t>완료일</t>
  </si>
  <si>
    <t>배송상태</t>
  </si>
  <si>
    <t>판매가</t>
  </si>
  <si>
    <t>매입가</t>
  </si>
  <si>
    <t>배송수량</t>
  </si>
  <si>
    <t>할인프로모션(업체)</t>
  </si>
  <si>
    <t>쿠폰할인(업체)</t>
  </si>
  <si>
    <t>ARS할인(업체)</t>
  </si>
  <si>
    <t>일시불할인(업체)</t>
  </si>
  <si>
    <t>등급할인(업체)</t>
  </si>
  <si>
    <t>수수료율</t>
  </si>
  <si>
    <t>할인프로모션(당사)</t>
  </si>
  <si>
    <t>쿠폰할인(당사)</t>
  </si>
  <si>
    <t>ARS할인(당사)</t>
  </si>
  <si>
    <t>일시불할인(당사)</t>
  </si>
  <si>
    <t>등급할인(당사)</t>
  </si>
  <si>
    <t>판매가 기준 주문금액</t>
  </si>
  <si>
    <t>매입가 기준 주문금액</t>
  </si>
  <si>
    <t>업체프로모션</t>
  </si>
  <si>
    <t>당사프로모션</t>
  </si>
  <si>
    <t>고객결제금액</t>
  </si>
  <si>
    <t>벤더사지급대금</t>
  </si>
  <si>
    <t>위수탁수수료(공급가)</t>
  </si>
  <si>
    <t>위수탁수수료(세액)</t>
  </si>
  <si>
    <t>위수탁수수료(합계)</t>
  </si>
  <si>
    <t>1</t>
  </si>
  <si>
    <t>133329</t>
  </si>
  <si>
    <t>주식회사 로가온</t>
  </si>
  <si>
    <t>20260204818446</t>
  </si>
  <si>
    <t>이*진</t>
  </si>
  <si>
    <t>58481090</t>
  </si>
  <si>
    <t>방송</t>
  </si>
  <si>
    <t>001</t>
  </si>
  <si>
    <t>없음</t>
  </si>
  <si>
    <t>신용카드</t>
  </si>
  <si>
    <t>2026-02-06</t>
  </si>
  <si>
    <t>배송완료</t>
  </si>
  <si>
    <t>2</t>
  </si>
  <si>
    <t>20260204842609</t>
  </si>
  <si>
    <t>이*희</t>
  </si>
  <si>
    <t>3</t>
  </si>
  <si>
    <t>20260205994554</t>
  </si>
  <si>
    <t>유*진</t>
  </si>
  <si>
    <t>회수확정</t>
  </si>
  <si>
    <t>4</t>
  </si>
  <si>
    <t>5</t>
  </si>
  <si>
    <t>20260205974443</t>
  </si>
  <si>
    <t>최*민</t>
  </si>
  <si>
    <t>58999583</t>
  </si>
  <si>
    <t>6</t>
  </si>
  <si>
    <t>20260204816757</t>
  </si>
  <si>
    <t>최*수</t>
  </si>
  <si>
    <t>7</t>
  </si>
  <si>
    <t>20260204838783</t>
  </si>
  <si>
    <t>주*</t>
  </si>
  <si>
    <t>8</t>
  </si>
  <si>
    <t>20260205993814</t>
  </si>
  <si>
    <t>김*원</t>
  </si>
  <si>
    <t>2026-02-07</t>
  </si>
  <si>
    <t>9</t>
  </si>
  <si>
    <t>20260205994105</t>
  </si>
  <si>
    <t>유*정</t>
  </si>
  <si>
    <t>10</t>
  </si>
  <si>
    <t>20260205995257</t>
  </si>
  <si>
    <t>박*옥</t>
  </si>
  <si>
    <t>11</t>
  </si>
  <si>
    <t>20260205993931</t>
  </si>
  <si>
    <t>정*석</t>
  </si>
  <si>
    <t>12</t>
  </si>
  <si>
    <t>20260205992438</t>
  </si>
  <si>
    <t>김*자</t>
  </si>
  <si>
    <t>13</t>
  </si>
  <si>
    <t>20260205992964</t>
  </si>
  <si>
    <t>송*영</t>
  </si>
  <si>
    <t>14</t>
  </si>
  <si>
    <t>20260205995526</t>
  </si>
  <si>
    <t>임*희</t>
  </si>
  <si>
    <t>15</t>
  </si>
  <si>
    <t>20260205995622</t>
  </si>
  <si>
    <t>김*재</t>
  </si>
  <si>
    <t>16</t>
  </si>
  <si>
    <t>20260205997344</t>
  </si>
  <si>
    <t>최*숙</t>
  </si>
  <si>
    <t>17</t>
  </si>
  <si>
    <t>20260205995265</t>
  </si>
  <si>
    <t>임*아</t>
  </si>
  <si>
    <t>18</t>
  </si>
  <si>
    <t>20260205994047</t>
  </si>
  <si>
    <t>이*연</t>
  </si>
  <si>
    <t>19</t>
  </si>
  <si>
    <t>20260205995035</t>
  </si>
  <si>
    <t>곽*숙</t>
  </si>
  <si>
    <t>20</t>
  </si>
  <si>
    <t>20260205994804</t>
  </si>
  <si>
    <t>정*자</t>
  </si>
  <si>
    <t>21</t>
  </si>
  <si>
    <t>20260205993699</t>
  </si>
  <si>
    <t>박*임</t>
  </si>
  <si>
    <t>22</t>
  </si>
  <si>
    <t>20260205995624</t>
  </si>
  <si>
    <t>무통장입금</t>
  </si>
  <si>
    <t>23</t>
  </si>
  <si>
    <t>20260205994327</t>
  </si>
  <si>
    <t>정*희</t>
  </si>
  <si>
    <t>24</t>
  </si>
  <si>
    <t>20260205994708</t>
  </si>
  <si>
    <t>안*희</t>
  </si>
  <si>
    <t>25</t>
  </si>
  <si>
    <t>20260205994944</t>
  </si>
  <si>
    <t>목*선</t>
  </si>
  <si>
    <t>26</t>
  </si>
  <si>
    <t>20260205993006</t>
  </si>
  <si>
    <t>박*화</t>
  </si>
  <si>
    <t>27</t>
  </si>
  <si>
    <t>20260205993208</t>
  </si>
  <si>
    <t>김*학</t>
  </si>
  <si>
    <t>28</t>
  </si>
  <si>
    <t>20260205994165</t>
  </si>
  <si>
    <t>박*우</t>
  </si>
  <si>
    <t>29</t>
  </si>
  <si>
    <t>20260205994774</t>
  </si>
  <si>
    <t>이*순</t>
  </si>
  <si>
    <t>30</t>
  </si>
  <si>
    <t>20260205993002</t>
  </si>
  <si>
    <t>정*숙</t>
  </si>
  <si>
    <t>31</t>
  </si>
  <si>
    <t>20260205995233</t>
  </si>
  <si>
    <t>남*오</t>
  </si>
  <si>
    <t>32</t>
  </si>
  <si>
    <t>20260205995590</t>
  </si>
  <si>
    <t>김*서</t>
  </si>
  <si>
    <t>33</t>
  </si>
  <si>
    <t>20260205994071</t>
  </si>
  <si>
    <t>34</t>
  </si>
  <si>
    <t>20260205995236</t>
  </si>
  <si>
    <t>김*희</t>
  </si>
  <si>
    <t>35</t>
  </si>
  <si>
    <t>20260205992736</t>
  </si>
  <si>
    <t>36</t>
  </si>
  <si>
    <t>20260205993184</t>
  </si>
  <si>
    <t>이*란</t>
  </si>
  <si>
    <t>37</t>
  </si>
  <si>
    <t>20260205994068</t>
  </si>
  <si>
    <t>박*자</t>
  </si>
  <si>
    <t>38</t>
  </si>
  <si>
    <t>20260205994704</t>
  </si>
  <si>
    <t>39</t>
  </si>
  <si>
    <t>20260205993640</t>
  </si>
  <si>
    <t>김*연</t>
  </si>
  <si>
    <t>40</t>
  </si>
  <si>
    <t>20260205994989</t>
  </si>
  <si>
    <t>권*이</t>
  </si>
  <si>
    <t>41</t>
  </si>
  <si>
    <t>20260205993988</t>
  </si>
  <si>
    <t>전*생</t>
  </si>
  <si>
    <t>42</t>
  </si>
  <si>
    <t>20260205995073</t>
  </si>
  <si>
    <t>배*자</t>
  </si>
  <si>
    <t>43</t>
  </si>
  <si>
    <t>20260205993674</t>
  </si>
  <si>
    <t>김*옥</t>
  </si>
  <si>
    <t>44</t>
  </si>
  <si>
    <t>20260205993680</t>
  </si>
  <si>
    <t>추*숙</t>
  </si>
  <si>
    <t>45</t>
  </si>
  <si>
    <t>20260205993664</t>
  </si>
  <si>
    <t>윤*미</t>
  </si>
  <si>
    <t>46</t>
  </si>
  <si>
    <t>20260205993052</t>
  </si>
  <si>
    <t>박*정</t>
  </si>
  <si>
    <t>47</t>
  </si>
  <si>
    <t>20260205995037</t>
  </si>
  <si>
    <t>김*남</t>
  </si>
  <si>
    <t>48</t>
  </si>
  <si>
    <t>20260205995009</t>
  </si>
  <si>
    <t>이*은</t>
  </si>
  <si>
    <t>49</t>
  </si>
  <si>
    <t>20260205994035</t>
  </si>
  <si>
    <t>이*애</t>
  </si>
  <si>
    <t>50</t>
  </si>
  <si>
    <t>20260205995023</t>
  </si>
  <si>
    <t>천*숙</t>
  </si>
  <si>
    <t>51</t>
  </si>
  <si>
    <t>20260205994048</t>
  </si>
  <si>
    <t>최*미</t>
  </si>
  <si>
    <t>52</t>
  </si>
  <si>
    <t>20260205993215</t>
  </si>
  <si>
    <t>53</t>
  </si>
  <si>
    <t>20260205993380</t>
  </si>
  <si>
    <t>허*숙</t>
  </si>
  <si>
    <t>54</t>
  </si>
  <si>
    <t>20260205995874</t>
  </si>
  <si>
    <t>임*정</t>
  </si>
  <si>
    <t>55</t>
  </si>
  <si>
    <t>20260205995155</t>
  </si>
  <si>
    <t>이*화</t>
  </si>
  <si>
    <t>56</t>
  </si>
  <si>
    <t>20260205994376</t>
  </si>
  <si>
    <t>정*옥</t>
  </si>
  <si>
    <t>57</t>
  </si>
  <si>
    <t>20260205994564</t>
  </si>
  <si>
    <t>양*순</t>
  </si>
  <si>
    <t>58</t>
  </si>
  <si>
    <t>20260205994614</t>
  </si>
  <si>
    <t>이*</t>
  </si>
  <si>
    <t>59</t>
  </si>
  <si>
    <t>20260205993698</t>
  </si>
  <si>
    <t>백*영</t>
  </si>
  <si>
    <t>60</t>
  </si>
  <si>
    <t>20260205992804</t>
  </si>
  <si>
    <t>권*숙</t>
  </si>
  <si>
    <t>61</t>
  </si>
  <si>
    <t>20260205992800</t>
  </si>
  <si>
    <t>오*근</t>
  </si>
  <si>
    <t>62</t>
  </si>
  <si>
    <t>20260205994317</t>
  </si>
  <si>
    <t>63</t>
  </si>
  <si>
    <t>20260205992772</t>
  </si>
  <si>
    <t>박*숙</t>
  </si>
  <si>
    <t>64</t>
  </si>
  <si>
    <t>20260205995383</t>
  </si>
  <si>
    <t>이*정</t>
  </si>
  <si>
    <t>65</t>
  </si>
  <si>
    <t>20260205994159</t>
  </si>
  <si>
    <t>남*숙</t>
  </si>
  <si>
    <t>66</t>
  </si>
  <si>
    <t>20260205994198</t>
  </si>
  <si>
    <t>안*자</t>
  </si>
  <si>
    <t>67</t>
  </si>
  <si>
    <t>20260205994768</t>
  </si>
  <si>
    <t>나*숙</t>
  </si>
  <si>
    <t>68</t>
  </si>
  <si>
    <t>20260205994818</t>
  </si>
  <si>
    <t>오*화</t>
  </si>
  <si>
    <t>69</t>
  </si>
  <si>
    <t>20260205992872</t>
  </si>
  <si>
    <t>여*주</t>
  </si>
  <si>
    <t>70</t>
  </si>
  <si>
    <t>20260205995552</t>
  </si>
  <si>
    <t>연*자</t>
  </si>
  <si>
    <t>71</t>
  </si>
  <si>
    <t>20260205995516</t>
  </si>
  <si>
    <t>72</t>
  </si>
  <si>
    <t>20260205994953</t>
  </si>
  <si>
    <t>최*이</t>
  </si>
  <si>
    <t>73</t>
  </si>
  <si>
    <t>20260205995058</t>
  </si>
  <si>
    <t>박*영</t>
  </si>
  <si>
    <t>74</t>
  </si>
  <si>
    <t>20260205995012</t>
  </si>
  <si>
    <t>이*자</t>
  </si>
  <si>
    <t>75</t>
  </si>
  <si>
    <t>20260205993890</t>
  </si>
  <si>
    <t>민*기</t>
  </si>
  <si>
    <t>76</t>
  </si>
  <si>
    <t>20260205993358</t>
  </si>
  <si>
    <t>박*순</t>
  </si>
  <si>
    <t>77</t>
  </si>
  <si>
    <t>20260205992456</t>
  </si>
  <si>
    <t>김*순</t>
  </si>
  <si>
    <t>78</t>
  </si>
  <si>
    <t>20260205993113</t>
  </si>
  <si>
    <t>김*일</t>
  </si>
  <si>
    <t>79</t>
  </si>
  <si>
    <t>20260205995687</t>
  </si>
  <si>
    <t>김*곤</t>
  </si>
  <si>
    <t>80</t>
  </si>
  <si>
    <t>20260205995005</t>
  </si>
  <si>
    <t>81</t>
  </si>
  <si>
    <t>20260205992457</t>
  </si>
  <si>
    <t>82</t>
  </si>
  <si>
    <t>20260205992975</t>
  </si>
  <si>
    <t>조*영</t>
  </si>
  <si>
    <t>83</t>
  </si>
  <si>
    <t>20260205994074</t>
  </si>
  <si>
    <t>김*병</t>
  </si>
  <si>
    <t>84</t>
  </si>
  <si>
    <t>20260205996186</t>
  </si>
  <si>
    <t>차*자</t>
  </si>
  <si>
    <t>85</t>
  </si>
  <si>
    <t>20260205993929</t>
  </si>
  <si>
    <t>유*균</t>
  </si>
  <si>
    <t>86</t>
  </si>
  <si>
    <t>20260205992859</t>
  </si>
  <si>
    <t>조*상</t>
  </si>
  <si>
    <t>87</t>
  </si>
  <si>
    <t>20260205995584</t>
  </si>
  <si>
    <t>88</t>
  </si>
  <si>
    <t>20260205995161</t>
  </si>
  <si>
    <t>김*배</t>
  </si>
  <si>
    <t>89</t>
  </si>
  <si>
    <t>20260205995658</t>
  </si>
  <si>
    <t>김*선</t>
  </si>
  <si>
    <t>90</t>
  </si>
  <si>
    <t>20260205995042</t>
  </si>
  <si>
    <t>최*옥</t>
  </si>
  <si>
    <t>91</t>
  </si>
  <si>
    <t>20260205994885</t>
  </si>
  <si>
    <t>임*해</t>
  </si>
  <si>
    <t>92</t>
  </si>
  <si>
    <t>20260205993437</t>
  </si>
  <si>
    <t>신*건</t>
  </si>
  <si>
    <t>93</t>
  </si>
  <si>
    <t>20260205993036</t>
  </si>
  <si>
    <t>김*</t>
  </si>
  <si>
    <t>94</t>
  </si>
  <si>
    <t>20260205995472</t>
  </si>
  <si>
    <t>심*경</t>
  </si>
  <si>
    <t>95</t>
  </si>
  <si>
    <t>20260205992483</t>
  </si>
  <si>
    <t>김*지</t>
  </si>
  <si>
    <t>96</t>
  </si>
  <si>
    <t>20260205995325</t>
  </si>
  <si>
    <t>한*윤</t>
  </si>
  <si>
    <t>97</t>
  </si>
  <si>
    <t>20260205992634</t>
  </si>
  <si>
    <t>한*례</t>
  </si>
  <si>
    <t>98</t>
  </si>
  <si>
    <t>20260205994152</t>
  </si>
  <si>
    <t>99</t>
  </si>
  <si>
    <t>20260205995109</t>
  </si>
  <si>
    <t>김*주</t>
  </si>
  <si>
    <t>100</t>
  </si>
  <si>
    <t>20260205994273</t>
  </si>
  <si>
    <t>장*주</t>
  </si>
  <si>
    <t>101</t>
  </si>
  <si>
    <t>20260205995097</t>
  </si>
  <si>
    <t>차*의</t>
  </si>
  <si>
    <t>102</t>
  </si>
  <si>
    <t>20260205995180</t>
  </si>
  <si>
    <t>노*희</t>
  </si>
  <si>
    <t>103</t>
  </si>
  <si>
    <t>20260205992870</t>
  </si>
  <si>
    <t>회*애</t>
  </si>
  <si>
    <t>104</t>
  </si>
  <si>
    <t>20260205992940</t>
  </si>
  <si>
    <t>백*진</t>
  </si>
  <si>
    <t>105</t>
  </si>
  <si>
    <t>20260205993059</t>
  </si>
  <si>
    <t>김*화</t>
  </si>
  <si>
    <t>106</t>
  </si>
  <si>
    <t>20260205993112</t>
  </si>
  <si>
    <t>안*옥</t>
  </si>
  <si>
    <t>107</t>
  </si>
  <si>
    <t>20260205993255</t>
  </si>
  <si>
    <t>김*경</t>
  </si>
  <si>
    <t>108</t>
  </si>
  <si>
    <t>20260205996361</t>
  </si>
  <si>
    <t>임*은</t>
  </si>
  <si>
    <t>109</t>
  </si>
  <si>
    <t>20260205993934</t>
  </si>
  <si>
    <t>서*의</t>
  </si>
  <si>
    <t>110</t>
  </si>
  <si>
    <t>20260205994400</t>
  </si>
  <si>
    <t>문*숙</t>
  </si>
  <si>
    <t>111</t>
  </si>
  <si>
    <t>20260205994653</t>
  </si>
  <si>
    <t>김*덕</t>
  </si>
  <si>
    <t>112</t>
  </si>
  <si>
    <t>20260205993867</t>
  </si>
  <si>
    <t>이*경</t>
  </si>
  <si>
    <t>113</t>
  </si>
  <si>
    <t>20260205993852</t>
  </si>
  <si>
    <t>김*애</t>
  </si>
  <si>
    <t>114</t>
  </si>
  <si>
    <t>20260205992712</t>
  </si>
  <si>
    <t>조*숙</t>
  </si>
  <si>
    <t>115</t>
  </si>
  <si>
    <t>20260205993266</t>
  </si>
  <si>
    <t>116</t>
  </si>
  <si>
    <t>20260205994296</t>
  </si>
  <si>
    <t>장*순</t>
  </si>
  <si>
    <t>117</t>
  </si>
  <si>
    <t>20260205994429</t>
  </si>
  <si>
    <t>윤*숙</t>
  </si>
  <si>
    <t>118</t>
  </si>
  <si>
    <t>20260205993269</t>
  </si>
  <si>
    <t>이*주</t>
  </si>
  <si>
    <t>119</t>
  </si>
  <si>
    <t>20260205992567</t>
  </si>
  <si>
    <t>120</t>
  </si>
  <si>
    <t>20260205993710</t>
  </si>
  <si>
    <t>홍*숙</t>
  </si>
  <si>
    <t>121</t>
  </si>
  <si>
    <t>20260205995307</t>
  </si>
  <si>
    <t>유*숙</t>
  </si>
  <si>
    <t>122</t>
  </si>
  <si>
    <t>20260205995613</t>
  </si>
  <si>
    <t>최*희</t>
  </si>
  <si>
    <t>123</t>
  </si>
  <si>
    <t>20260205002375</t>
  </si>
  <si>
    <t>정*순</t>
  </si>
  <si>
    <t>124</t>
  </si>
  <si>
    <t>20260205994008</t>
  </si>
  <si>
    <t>옥*화</t>
  </si>
  <si>
    <t>125</t>
  </si>
  <si>
    <t>20260205993800</t>
  </si>
  <si>
    <t>126</t>
  </si>
  <si>
    <t>20260206644091</t>
  </si>
  <si>
    <t>127</t>
  </si>
  <si>
    <t>20260205995701</t>
  </si>
  <si>
    <t>김*현</t>
  </si>
  <si>
    <t>128</t>
  </si>
  <si>
    <t>20260205995459</t>
  </si>
  <si>
    <t>문*완</t>
  </si>
  <si>
    <t>129</t>
  </si>
  <si>
    <t>130</t>
  </si>
  <si>
    <t>20260205005766</t>
  </si>
  <si>
    <t>131</t>
  </si>
  <si>
    <t>20260205995598</t>
  </si>
  <si>
    <t>김*미</t>
  </si>
  <si>
    <t>132</t>
  </si>
  <si>
    <t>20260205994093</t>
  </si>
  <si>
    <t>고*두</t>
  </si>
  <si>
    <t>133</t>
  </si>
  <si>
    <t>20260205994741</t>
  </si>
  <si>
    <t>134</t>
  </si>
  <si>
    <t>20260205993823</t>
  </si>
  <si>
    <t>135</t>
  </si>
  <si>
    <t>20260205993746</t>
  </si>
  <si>
    <t>최*교</t>
  </si>
  <si>
    <t>136</t>
  </si>
  <si>
    <t>20260205993743</t>
  </si>
  <si>
    <t>박*희</t>
  </si>
  <si>
    <t>137</t>
  </si>
  <si>
    <t>20260205993518</t>
  </si>
  <si>
    <t>김*아</t>
  </si>
  <si>
    <t>138</t>
  </si>
  <si>
    <t>20260205993886</t>
  </si>
  <si>
    <t>139</t>
  </si>
  <si>
    <t>20260205993347</t>
  </si>
  <si>
    <t>정*교</t>
  </si>
  <si>
    <t>140</t>
  </si>
  <si>
    <t>20260205992569</t>
  </si>
  <si>
    <t>전*원</t>
  </si>
  <si>
    <t>141</t>
  </si>
  <si>
    <t>20260205992662</t>
  </si>
  <si>
    <t>김*동</t>
  </si>
  <si>
    <t>142</t>
  </si>
  <si>
    <t>20260205993291</t>
  </si>
  <si>
    <t>운*</t>
  </si>
  <si>
    <t>143</t>
  </si>
  <si>
    <t>20260205995260</t>
  </si>
  <si>
    <t>김*영</t>
  </si>
  <si>
    <t>144</t>
  </si>
  <si>
    <t>20260205995397</t>
  </si>
  <si>
    <t>양*경</t>
  </si>
  <si>
    <t>145</t>
  </si>
  <si>
    <t>20260205997063</t>
  </si>
  <si>
    <t>고*숙</t>
  </si>
  <si>
    <t>146</t>
  </si>
  <si>
    <t>20260205994666</t>
  </si>
  <si>
    <t>147</t>
  </si>
  <si>
    <t>20260206628960</t>
  </si>
  <si>
    <t>148</t>
  </si>
  <si>
    <t>20260205995524</t>
  </si>
  <si>
    <t>고*애</t>
  </si>
  <si>
    <t>149</t>
  </si>
  <si>
    <t>20260205994107</t>
  </si>
  <si>
    <t>송*근</t>
  </si>
  <si>
    <t>150</t>
  </si>
  <si>
    <t>20260205995032</t>
  </si>
  <si>
    <t>강*순</t>
  </si>
  <si>
    <t>151</t>
  </si>
  <si>
    <t>20260205995095</t>
  </si>
  <si>
    <t>152</t>
  </si>
  <si>
    <t>20260205994275</t>
  </si>
  <si>
    <t>김*름</t>
  </si>
  <si>
    <t>153</t>
  </si>
  <si>
    <t>20260205994238</t>
  </si>
  <si>
    <t>강*란</t>
  </si>
  <si>
    <t>154</t>
  </si>
  <si>
    <t>20260206629059</t>
  </si>
  <si>
    <t>문*호</t>
  </si>
  <si>
    <t>155</t>
  </si>
  <si>
    <t>20260205997716</t>
  </si>
  <si>
    <t>156</t>
  </si>
  <si>
    <t>20260205994854</t>
  </si>
  <si>
    <t>157</t>
  </si>
  <si>
    <t>20260205995046</t>
  </si>
  <si>
    <t>이*임</t>
  </si>
  <si>
    <t>158</t>
  </si>
  <si>
    <t>20260205992812</t>
  </si>
  <si>
    <t>라*자</t>
  </si>
  <si>
    <t>159</t>
  </si>
  <si>
    <t>20260205993048</t>
  </si>
  <si>
    <t>한*선</t>
  </si>
  <si>
    <t>160</t>
  </si>
  <si>
    <t>20260205993092</t>
  </si>
  <si>
    <t>최*일</t>
  </si>
  <si>
    <t>161</t>
  </si>
  <si>
    <t>20260205993598</t>
  </si>
  <si>
    <t>강*숙</t>
  </si>
  <si>
    <t>162</t>
  </si>
  <si>
    <t>20260205995045</t>
  </si>
  <si>
    <t>정*임</t>
  </si>
  <si>
    <t>163</t>
  </si>
  <si>
    <t>20260205993918</t>
  </si>
  <si>
    <t>164</t>
  </si>
  <si>
    <t>20260205995159</t>
  </si>
  <si>
    <t>165</t>
  </si>
  <si>
    <t>20260205995312</t>
  </si>
  <si>
    <t>이*숙</t>
  </si>
  <si>
    <t>166</t>
  </si>
  <si>
    <t>20260205994825</t>
  </si>
  <si>
    <t>조*선</t>
  </si>
  <si>
    <t>167</t>
  </si>
  <si>
    <t>20260205994949</t>
  </si>
  <si>
    <t>윤*호</t>
  </si>
  <si>
    <t>168</t>
  </si>
  <si>
    <t>20260205994979</t>
  </si>
  <si>
    <t>169</t>
  </si>
  <si>
    <t>20260205993513</t>
  </si>
  <si>
    <t>이*헌</t>
  </si>
  <si>
    <t>170</t>
  </si>
  <si>
    <t>20260205995604</t>
  </si>
  <si>
    <t>171</t>
  </si>
  <si>
    <t>20260205995517</t>
  </si>
  <si>
    <t>신*연</t>
  </si>
  <si>
    <t>172</t>
  </si>
  <si>
    <t>20260205995098</t>
  </si>
  <si>
    <t>조*임</t>
  </si>
  <si>
    <t>173</t>
  </si>
  <si>
    <t>20260205994449</t>
  </si>
  <si>
    <t>손*숙</t>
  </si>
  <si>
    <t>174</t>
  </si>
  <si>
    <t>20260205993692</t>
  </si>
  <si>
    <t>문*훈</t>
  </si>
  <si>
    <t>175</t>
  </si>
  <si>
    <t>20260205994013</t>
  </si>
  <si>
    <t>176</t>
  </si>
  <si>
    <t>20260205993305</t>
  </si>
  <si>
    <t>177</t>
  </si>
  <si>
    <t>20260205992338</t>
  </si>
  <si>
    <t>조*이</t>
  </si>
  <si>
    <t>178</t>
  </si>
  <si>
    <t>20260205992763</t>
  </si>
  <si>
    <t>179</t>
  </si>
  <si>
    <t>20260205992914</t>
  </si>
  <si>
    <t>180</t>
  </si>
  <si>
    <t>20260205992756</t>
  </si>
  <si>
    <t>오*선</t>
  </si>
  <si>
    <t>181</t>
  </si>
  <si>
    <t>20260205993968</t>
  </si>
  <si>
    <t>182</t>
  </si>
  <si>
    <t>20260205994732</t>
  </si>
  <si>
    <t>183</t>
  </si>
  <si>
    <t>20260205994658</t>
  </si>
  <si>
    <t>송*경</t>
  </si>
  <si>
    <t>184</t>
  </si>
  <si>
    <t>20260205994878</t>
  </si>
  <si>
    <t>185</t>
  </si>
  <si>
    <t>20260205996662</t>
  </si>
  <si>
    <t>손*정</t>
  </si>
  <si>
    <t>186</t>
  </si>
  <si>
    <t>20260205994173</t>
  </si>
  <si>
    <t>채*옥</t>
  </si>
  <si>
    <t>187</t>
  </si>
  <si>
    <t>20260205992741</t>
  </si>
  <si>
    <t>188</t>
  </si>
  <si>
    <t>20260205992734</t>
  </si>
  <si>
    <t>189</t>
  </si>
  <si>
    <t>20260205992797</t>
  </si>
  <si>
    <t>정*현</t>
  </si>
  <si>
    <t>190</t>
  </si>
  <si>
    <t>20260205994648</t>
  </si>
  <si>
    <t>주*옥</t>
  </si>
  <si>
    <t>191</t>
  </si>
  <si>
    <t>20260205995119</t>
  </si>
  <si>
    <t>192</t>
  </si>
  <si>
    <t>20260205994118</t>
  </si>
  <si>
    <t>정*련</t>
  </si>
  <si>
    <t>193</t>
  </si>
  <si>
    <t>194</t>
  </si>
  <si>
    <t>195</t>
  </si>
  <si>
    <t>20260205994226</t>
  </si>
  <si>
    <t>송*자</t>
  </si>
  <si>
    <t>196</t>
  </si>
  <si>
    <t>20260205995392</t>
  </si>
  <si>
    <t>197</t>
  </si>
  <si>
    <t>20260205994445</t>
  </si>
  <si>
    <t>임*옥</t>
  </si>
  <si>
    <t>198</t>
  </si>
  <si>
    <t>20260205994636</t>
  </si>
  <si>
    <t>199</t>
  </si>
  <si>
    <t>20260205993543</t>
  </si>
  <si>
    <t>길*영</t>
  </si>
  <si>
    <t>200</t>
  </si>
  <si>
    <t>20260205994834</t>
  </si>
  <si>
    <t>우*희</t>
  </si>
  <si>
    <t>201</t>
  </si>
  <si>
    <t>20260205993877</t>
  </si>
  <si>
    <t>박*하</t>
  </si>
  <si>
    <t>202</t>
  </si>
  <si>
    <t>20260205993908</t>
  </si>
  <si>
    <t>나*규</t>
  </si>
  <si>
    <t>203</t>
  </si>
  <si>
    <t>20260205993875</t>
  </si>
  <si>
    <t>홍*연</t>
  </si>
  <si>
    <t>204</t>
  </si>
  <si>
    <t>20260205993960</t>
  </si>
  <si>
    <t>제*희</t>
  </si>
  <si>
    <t>205</t>
  </si>
  <si>
    <t>20260205992628</t>
  </si>
  <si>
    <t>206</t>
  </si>
  <si>
    <t>20260205992776</t>
  </si>
  <si>
    <t>207</t>
  </si>
  <si>
    <t>208</t>
  </si>
  <si>
    <t>20260205992904</t>
  </si>
  <si>
    <t>문*자</t>
  </si>
  <si>
    <t>209</t>
  </si>
  <si>
    <t>20260205992898</t>
  </si>
  <si>
    <t>210</t>
  </si>
  <si>
    <t>20260205993183</t>
  </si>
  <si>
    <t>211</t>
  </si>
  <si>
    <t>20260205993148</t>
  </si>
  <si>
    <t>이*인</t>
  </si>
  <si>
    <t>212</t>
  </si>
  <si>
    <t>20260205993058</t>
  </si>
  <si>
    <t>박*남</t>
  </si>
  <si>
    <t>213</t>
  </si>
  <si>
    <t>20260205996079</t>
  </si>
  <si>
    <t>백*희</t>
  </si>
  <si>
    <t>214</t>
  </si>
  <si>
    <t>20260205993619</t>
  </si>
  <si>
    <t>215</t>
  </si>
  <si>
    <t>20260205994384</t>
  </si>
  <si>
    <t>이*나</t>
  </si>
  <si>
    <t>216</t>
  </si>
  <si>
    <t>20260205994642</t>
  </si>
  <si>
    <t>노*자</t>
  </si>
  <si>
    <t>217</t>
  </si>
  <si>
    <t>20260205993790</t>
  </si>
  <si>
    <t>김*정</t>
  </si>
  <si>
    <t>218</t>
  </si>
  <si>
    <t>20260205993178</t>
  </si>
  <si>
    <t>노*배</t>
  </si>
  <si>
    <t>219</t>
  </si>
  <si>
    <t>20260205995500</t>
  </si>
  <si>
    <t>국*자</t>
  </si>
  <si>
    <t>220</t>
  </si>
  <si>
    <t>20260205995571</t>
  </si>
  <si>
    <t>윤*은</t>
  </si>
  <si>
    <t>221</t>
  </si>
  <si>
    <t>20260205994980</t>
  </si>
  <si>
    <t>강*기</t>
  </si>
  <si>
    <t>222</t>
  </si>
  <si>
    <t>20260205992733</t>
  </si>
  <si>
    <t>권*순</t>
  </si>
  <si>
    <t>223</t>
  </si>
  <si>
    <t>20260205992956</t>
  </si>
  <si>
    <t>장*숙</t>
  </si>
  <si>
    <t>224</t>
  </si>
  <si>
    <t>20260205994593</t>
  </si>
  <si>
    <t>225</t>
  </si>
  <si>
    <t>20260205994146</t>
  </si>
  <si>
    <t>이*옥</t>
  </si>
  <si>
    <t>226</t>
  </si>
  <si>
    <t>20260205993672</t>
  </si>
  <si>
    <t>김*겸</t>
  </si>
  <si>
    <t>227</t>
  </si>
  <si>
    <t>20260205994792</t>
  </si>
  <si>
    <t>김*훈</t>
  </si>
  <si>
    <t>228</t>
  </si>
  <si>
    <t>20260205994934</t>
  </si>
  <si>
    <t>정*남</t>
  </si>
  <si>
    <t>229</t>
  </si>
  <si>
    <t>20260205993519</t>
  </si>
  <si>
    <t>230</t>
  </si>
  <si>
    <t>20260205992372</t>
  </si>
  <si>
    <t>231</t>
  </si>
  <si>
    <t>20260205994821</t>
  </si>
  <si>
    <t>박*련</t>
  </si>
  <si>
    <t>232</t>
  </si>
  <si>
    <t>20260205994969</t>
  </si>
  <si>
    <t>이*섭</t>
  </si>
  <si>
    <t>233</t>
  </si>
  <si>
    <t>20260205994017</t>
  </si>
  <si>
    <t>박*선</t>
  </si>
  <si>
    <t>234</t>
  </si>
  <si>
    <t>20260205994011</t>
  </si>
  <si>
    <t>235</t>
  </si>
  <si>
    <t>20260205994772</t>
  </si>
  <si>
    <t>이*휘</t>
  </si>
  <si>
    <t>236</t>
  </si>
  <si>
    <t>20260205994841</t>
  </si>
  <si>
    <t>237</t>
  </si>
  <si>
    <t>20260205993648</t>
  </si>
  <si>
    <t>한*은</t>
  </si>
  <si>
    <t>238</t>
  </si>
  <si>
    <t>20260205992386</t>
  </si>
  <si>
    <t>239</t>
  </si>
  <si>
    <t>20260205995406</t>
  </si>
  <si>
    <t>김*숙</t>
  </si>
  <si>
    <t>240</t>
  </si>
  <si>
    <t>20260205993902</t>
  </si>
  <si>
    <t>신*영</t>
  </si>
  <si>
    <t>241</t>
  </si>
  <si>
    <t>20260205995112</t>
  </si>
  <si>
    <t>Z*********G</t>
  </si>
  <si>
    <t>242</t>
  </si>
  <si>
    <t>20260205992636</t>
  </si>
  <si>
    <t>장*애</t>
  </si>
  <si>
    <t>243</t>
  </si>
  <si>
    <t>20260205993892</t>
  </si>
  <si>
    <t>김*안</t>
  </si>
  <si>
    <t>244</t>
  </si>
  <si>
    <t>20260205994997</t>
  </si>
  <si>
    <t>장*정</t>
  </si>
  <si>
    <t>245</t>
  </si>
  <si>
    <t>20260205993878</t>
  </si>
  <si>
    <t>유*자</t>
  </si>
  <si>
    <t>246</t>
  </si>
  <si>
    <t>20260205993394</t>
  </si>
  <si>
    <t>윤*자</t>
  </si>
  <si>
    <t>247</t>
  </si>
  <si>
    <t>20260205993490</t>
  </si>
  <si>
    <t>남*순</t>
  </si>
  <si>
    <t>248</t>
  </si>
  <si>
    <t>20260205992805</t>
  </si>
  <si>
    <t>김*기</t>
  </si>
  <si>
    <t>249</t>
  </si>
  <si>
    <t>20260205993167</t>
  </si>
  <si>
    <t>가*은</t>
  </si>
  <si>
    <t>250</t>
  </si>
  <si>
    <t>20260206639164</t>
  </si>
  <si>
    <t>251</t>
  </si>
  <si>
    <t>20260205994965</t>
  </si>
  <si>
    <t>이*석</t>
  </si>
  <si>
    <t>252</t>
  </si>
  <si>
    <t>20260205995226</t>
  </si>
  <si>
    <t>이*지</t>
  </si>
  <si>
    <t>253</t>
  </si>
  <si>
    <t>20260205995451</t>
  </si>
  <si>
    <t>나*윤</t>
  </si>
  <si>
    <t>254</t>
  </si>
  <si>
    <t>20260205995408</t>
  </si>
  <si>
    <t>유*순</t>
  </si>
  <si>
    <t>255</t>
  </si>
  <si>
    <t>20260205995252</t>
  </si>
  <si>
    <t>256</t>
  </si>
  <si>
    <t>20260205995543</t>
  </si>
  <si>
    <t>257</t>
  </si>
  <si>
    <t>20260205995557</t>
  </si>
  <si>
    <t>박*직</t>
  </si>
  <si>
    <t>258</t>
  </si>
  <si>
    <t>20260205995144</t>
  </si>
  <si>
    <t>정*선</t>
  </si>
  <si>
    <t>259</t>
  </si>
  <si>
    <t>20260205993754</t>
  </si>
  <si>
    <t>260</t>
  </si>
  <si>
    <t>261</t>
  </si>
  <si>
    <t>20260205994833</t>
  </si>
  <si>
    <t>모*숙</t>
  </si>
  <si>
    <t>262</t>
  </si>
  <si>
    <t>20260205994879</t>
  </si>
  <si>
    <t>우*화</t>
  </si>
  <si>
    <t>263</t>
  </si>
  <si>
    <t>20260205994922</t>
  </si>
  <si>
    <t>강*임</t>
  </si>
  <si>
    <t>264</t>
  </si>
  <si>
    <t>20260205993720</t>
  </si>
  <si>
    <t>박*애</t>
  </si>
  <si>
    <t>265</t>
  </si>
  <si>
    <t>20260205993936</t>
  </si>
  <si>
    <t>정*경</t>
  </si>
  <si>
    <t>266</t>
  </si>
  <si>
    <t>20260205993350</t>
  </si>
  <si>
    <t>267</t>
  </si>
  <si>
    <t>20260205992637</t>
  </si>
  <si>
    <t>268</t>
  </si>
  <si>
    <t>20260205992663</t>
  </si>
  <si>
    <t>전*순</t>
  </si>
  <si>
    <t>269</t>
  </si>
  <si>
    <t>20260205992791</t>
  </si>
  <si>
    <t>270</t>
  </si>
  <si>
    <t>20260205992861</t>
  </si>
  <si>
    <t>271</t>
  </si>
  <si>
    <t>20260205993182</t>
  </si>
  <si>
    <t>반*희</t>
  </si>
  <si>
    <t>272</t>
  </si>
  <si>
    <t>20260205993222</t>
  </si>
  <si>
    <t>권*태</t>
  </si>
  <si>
    <t>273</t>
  </si>
  <si>
    <t>20260205993549</t>
  </si>
  <si>
    <t>김*천</t>
  </si>
  <si>
    <t>274</t>
  </si>
  <si>
    <t>20260205992690</t>
  </si>
  <si>
    <t>275</t>
  </si>
  <si>
    <t>20260205995551</t>
  </si>
  <si>
    <t>변*섭</t>
  </si>
  <si>
    <t>276</t>
  </si>
  <si>
    <t>20260205995626</t>
  </si>
  <si>
    <t>277</t>
  </si>
  <si>
    <t>20260205996241</t>
  </si>
  <si>
    <t>278</t>
  </si>
  <si>
    <t>20260205994016</t>
  </si>
  <si>
    <t>신*준</t>
  </si>
  <si>
    <t>279</t>
  </si>
  <si>
    <t>20260205994157</t>
  </si>
  <si>
    <t>양*옥</t>
  </si>
  <si>
    <t>280</t>
  </si>
  <si>
    <t>20260205995268</t>
  </si>
  <si>
    <t>281</t>
  </si>
  <si>
    <t>20260205994486</t>
  </si>
  <si>
    <t>282</t>
  </si>
  <si>
    <t>20260205994744</t>
  </si>
  <si>
    <t>이*혜</t>
  </si>
  <si>
    <t>283</t>
  </si>
  <si>
    <t>20260205992679</t>
  </si>
  <si>
    <t>강*자</t>
  </si>
  <si>
    <t>284</t>
  </si>
  <si>
    <t>20260205992794</t>
  </si>
  <si>
    <t>285</t>
  </si>
  <si>
    <t>286</t>
  </si>
  <si>
    <t>20260205992738</t>
  </si>
  <si>
    <t>287</t>
  </si>
  <si>
    <t>20260205992986</t>
  </si>
  <si>
    <t>임*자</t>
  </si>
  <si>
    <t>288</t>
  </si>
  <si>
    <t>20260205995135</t>
  </si>
  <si>
    <t>289</t>
  </si>
  <si>
    <t>20260205995051</t>
  </si>
  <si>
    <t>김*성</t>
  </si>
  <si>
    <t>290</t>
  </si>
  <si>
    <t>20260205995178</t>
  </si>
  <si>
    <t>김*수</t>
  </si>
  <si>
    <t>291</t>
  </si>
  <si>
    <t>20260205995310</t>
  </si>
  <si>
    <t>유*하</t>
  </si>
  <si>
    <t>292</t>
  </si>
  <si>
    <t>20260205994627</t>
  </si>
  <si>
    <t>293</t>
  </si>
  <si>
    <t>20260205992706</t>
  </si>
  <si>
    <t>294</t>
  </si>
  <si>
    <t>20260205992897</t>
  </si>
  <si>
    <t>295</t>
  </si>
  <si>
    <t>20260205994669</t>
  </si>
  <si>
    <t>296</t>
  </si>
  <si>
    <t>20260205993830</t>
  </si>
  <si>
    <t>오*혜</t>
  </si>
  <si>
    <t>297</t>
  </si>
  <si>
    <t>298</t>
  </si>
  <si>
    <t>20260205993426</t>
  </si>
  <si>
    <t>조*복</t>
  </si>
  <si>
    <t>299</t>
  </si>
  <si>
    <t>20260205993231</t>
  </si>
  <si>
    <t>성*순</t>
  </si>
  <si>
    <t>300</t>
  </si>
  <si>
    <t>20260205995033</t>
  </si>
  <si>
    <t>301</t>
  </si>
  <si>
    <t>20260205994734</t>
  </si>
  <si>
    <t>봉*종</t>
  </si>
  <si>
    <t>302</t>
  </si>
  <si>
    <t>20260205005878</t>
  </si>
  <si>
    <t>장*영</t>
  </si>
  <si>
    <t>303</t>
  </si>
  <si>
    <t>20260205002209</t>
  </si>
  <si>
    <t>304</t>
  </si>
  <si>
    <t>20260205994403</t>
  </si>
  <si>
    <t>조*춘</t>
  </si>
  <si>
    <t>305</t>
  </si>
  <si>
    <t>20260205993716</t>
  </si>
  <si>
    <t>김*생</t>
  </si>
  <si>
    <t>306</t>
  </si>
  <si>
    <t>20260205994897</t>
  </si>
  <si>
    <t>손*선</t>
  </si>
  <si>
    <t>307</t>
  </si>
  <si>
    <t>20260205995346</t>
  </si>
  <si>
    <t>308</t>
  </si>
  <si>
    <t>20260205994059</t>
  </si>
  <si>
    <t xml:space="preserve">김** </t>
  </si>
  <si>
    <t>309</t>
  </si>
  <si>
    <t>20260205994147</t>
  </si>
  <si>
    <t>나*양</t>
  </si>
  <si>
    <t>310</t>
  </si>
  <si>
    <t>20260205993758</t>
  </si>
  <si>
    <t>박*상</t>
  </si>
  <si>
    <t>311</t>
  </si>
  <si>
    <t>20260205994158</t>
  </si>
  <si>
    <t>312</t>
  </si>
  <si>
    <t>313</t>
  </si>
  <si>
    <t>20260205993463</t>
  </si>
  <si>
    <t>김*민</t>
  </si>
  <si>
    <t>314</t>
  </si>
  <si>
    <t>20260205994122</t>
  </si>
  <si>
    <t>315</t>
  </si>
  <si>
    <t>20260205995057</t>
  </si>
  <si>
    <t>하*연</t>
  </si>
  <si>
    <t>316</t>
  </si>
  <si>
    <t>20260205994528</t>
  </si>
  <si>
    <t>317</t>
  </si>
  <si>
    <t>20260205993913</t>
  </si>
  <si>
    <t>김*은</t>
  </si>
  <si>
    <t>318</t>
  </si>
  <si>
    <t>20260205994535</t>
  </si>
  <si>
    <t>박*현</t>
  </si>
  <si>
    <t>319</t>
  </si>
  <si>
    <t>20260205994836</t>
  </si>
  <si>
    <t>320</t>
  </si>
  <si>
    <t>20260205994447</t>
  </si>
  <si>
    <t>321</t>
  </si>
  <si>
    <t>20260205995071</t>
  </si>
  <si>
    <t>최*용</t>
  </si>
  <si>
    <t>322</t>
  </si>
  <si>
    <t>20260205994350</t>
  </si>
  <si>
    <t>이*용</t>
  </si>
  <si>
    <t>323</t>
  </si>
  <si>
    <t>20260205992509</t>
  </si>
  <si>
    <t>문*현</t>
  </si>
  <si>
    <t>324</t>
  </si>
  <si>
    <t>20260205995352</t>
  </si>
  <si>
    <t>325</t>
  </si>
  <si>
    <t>20260205995384</t>
  </si>
  <si>
    <t>326</t>
  </si>
  <si>
    <t>20260205994156</t>
  </si>
  <si>
    <t>327</t>
  </si>
  <si>
    <t>20260205995064</t>
  </si>
  <si>
    <t>최*자</t>
  </si>
  <si>
    <t>328</t>
  </si>
  <si>
    <t>20260205995094</t>
  </si>
  <si>
    <t>329</t>
  </si>
  <si>
    <t>20260205995405</t>
  </si>
  <si>
    <t>김*래</t>
  </si>
  <si>
    <t>330</t>
  </si>
  <si>
    <t>20260205995039</t>
  </si>
  <si>
    <t>심*정</t>
  </si>
  <si>
    <t>331</t>
  </si>
  <si>
    <t>20260205994153</t>
  </si>
  <si>
    <t>332</t>
  </si>
  <si>
    <t>20260205994151</t>
  </si>
  <si>
    <t>이*영</t>
  </si>
  <si>
    <t>333</t>
  </si>
  <si>
    <t>20260205994805</t>
  </si>
  <si>
    <t>334</t>
  </si>
  <si>
    <t>20260205993562</t>
  </si>
  <si>
    <t>정*아</t>
  </si>
  <si>
    <t>335</t>
  </si>
  <si>
    <t>20260205992492</t>
  </si>
  <si>
    <t>마*숙</t>
  </si>
  <si>
    <t>336</t>
  </si>
  <si>
    <t>20260205992669</t>
  </si>
  <si>
    <t>337</t>
  </si>
  <si>
    <t>20260205993173</t>
  </si>
  <si>
    <t>신*선</t>
  </si>
  <si>
    <t>338</t>
  </si>
  <si>
    <t>20260205995345</t>
  </si>
  <si>
    <t>339</t>
  </si>
  <si>
    <t>20260205994889</t>
  </si>
  <si>
    <t>송*미</t>
  </si>
  <si>
    <t>340</t>
  </si>
  <si>
    <t>341</t>
  </si>
  <si>
    <t>20260205994040</t>
  </si>
  <si>
    <t>342</t>
  </si>
  <si>
    <t>20260205995186</t>
  </si>
  <si>
    <t>주*순</t>
  </si>
  <si>
    <t>343</t>
  </si>
  <si>
    <t>20260205995299</t>
  </si>
  <si>
    <t>전*일</t>
  </si>
  <si>
    <t>344</t>
  </si>
  <si>
    <t>20260205995316</t>
  </si>
  <si>
    <t>345</t>
  </si>
  <si>
    <t>20260205994533</t>
  </si>
  <si>
    <t>346</t>
  </si>
  <si>
    <t>20260205993733</t>
  </si>
  <si>
    <t>이*원</t>
  </si>
  <si>
    <t>347</t>
  </si>
  <si>
    <t>20260205994835</t>
  </si>
  <si>
    <t>고*화</t>
  </si>
  <si>
    <t>348</t>
  </si>
  <si>
    <t>20260205994754</t>
  </si>
  <si>
    <t>박*동</t>
  </si>
  <si>
    <t>349</t>
  </si>
  <si>
    <t>20260205993550</t>
  </si>
  <si>
    <t>350</t>
  </si>
  <si>
    <t>20260205992544</t>
  </si>
  <si>
    <t>김*년</t>
  </si>
  <si>
    <t>351</t>
  </si>
  <si>
    <t>20260205992696</t>
  </si>
  <si>
    <t>352</t>
  </si>
  <si>
    <t>20260205992743</t>
  </si>
  <si>
    <t>353</t>
  </si>
  <si>
    <t>20260205992739</t>
  </si>
  <si>
    <t>354</t>
  </si>
  <si>
    <t>20260205992862</t>
  </si>
  <si>
    <t>김*진</t>
  </si>
  <si>
    <t>355</t>
  </si>
  <si>
    <t>20260205993211</t>
  </si>
  <si>
    <t>356</t>
  </si>
  <si>
    <t>20260205993118</t>
  </si>
  <si>
    <t>357</t>
  </si>
  <si>
    <t>20260205993605</t>
  </si>
  <si>
    <t>358</t>
  </si>
  <si>
    <t>20260205995566</t>
  </si>
  <si>
    <t>신*애</t>
  </si>
  <si>
    <t>359</t>
  </si>
  <si>
    <t>20260205995554</t>
  </si>
  <si>
    <t>이*미</t>
  </si>
  <si>
    <t>360</t>
  </si>
  <si>
    <t>20260205995721</t>
  </si>
  <si>
    <t>박*근</t>
  </si>
  <si>
    <t>361</t>
  </si>
  <si>
    <t>20260205995702</t>
  </si>
  <si>
    <t>362</t>
  </si>
  <si>
    <t>20260205994054</t>
  </si>
  <si>
    <t>한*남</t>
  </si>
  <si>
    <t>363</t>
  </si>
  <si>
    <t>20260205995169</t>
  </si>
  <si>
    <t>오*희</t>
  </si>
  <si>
    <t>364</t>
  </si>
  <si>
    <t>20260205995271</t>
  </si>
  <si>
    <t>서*정</t>
  </si>
  <si>
    <t>365</t>
  </si>
  <si>
    <t>20260205994328</t>
  </si>
  <si>
    <t>한*심</t>
  </si>
  <si>
    <t>366</t>
  </si>
  <si>
    <t>20260205994951</t>
  </si>
  <si>
    <t>조*원</t>
  </si>
  <si>
    <t>367</t>
  </si>
  <si>
    <t>20260205994702</t>
  </si>
  <si>
    <t>윤*연</t>
  </si>
  <si>
    <t>368</t>
  </si>
  <si>
    <t>20260205994682</t>
  </si>
  <si>
    <t>정*영</t>
  </si>
  <si>
    <t>369</t>
  </si>
  <si>
    <t>20260205994827</t>
  </si>
  <si>
    <t>장*옥</t>
  </si>
  <si>
    <t>370</t>
  </si>
  <si>
    <t>20260205993834</t>
  </si>
  <si>
    <t>371</t>
  </si>
  <si>
    <t>20260205994440</t>
  </si>
  <si>
    <t>박*연</t>
  </si>
  <si>
    <t>372</t>
  </si>
  <si>
    <t>20260205002208</t>
  </si>
  <si>
    <t>373</t>
  </si>
  <si>
    <t>20260205995362</t>
  </si>
  <si>
    <t>374</t>
  </si>
  <si>
    <t>20260205993973</t>
  </si>
  <si>
    <t>375</t>
  </si>
  <si>
    <t>20260205994109</t>
  </si>
  <si>
    <t>하*숙</t>
  </si>
  <si>
    <t>376</t>
  </si>
  <si>
    <t>20260205995200</t>
  </si>
  <si>
    <t>377</t>
  </si>
  <si>
    <t>20260205994357</t>
  </si>
  <si>
    <t>심*견</t>
  </si>
  <si>
    <t>378</t>
  </si>
  <si>
    <t>20260205994598</t>
  </si>
  <si>
    <t>조*남</t>
  </si>
  <si>
    <t>379</t>
  </si>
  <si>
    <t>20260205993542</t>
  </si>
  <si>
    <t>고*자</t>
  </si>
  <si>
    <t>380</t>
  </si>
  <si>
    <t>381</t>
  </si>
  <si>
    <t>382</t>
  </si>
  <si>
    <t>20260205994942</t>
  </si>
  <si>
    <t>안*정</t>
  </si>
  <si>
    <t>383</t>
  </si>
  <si>
    <t>20260205994610</t>
  </si>
  <si>
    <t>384</t>
  </si>
  <si>
    <t>20260205992392</t>
  </si>
  <si>
    <t>나*인</t>
  </si>
  <si>
    <t>385</t>
  </si>
  <si>
    <t>20260205993376</t>
  </si>
  <si>
    <t>강*영</t>
  </si>
  <si>
    <t>386</t>
  </si>
  <si>
    <t>20260205995534</t>
  </si>
  <si>
    <t>황*하</t>
  </si>
  <si>
    <t>387</t>
  </si>
  <si>
    <t>20260205992635</t>
  </si>
  <si>
    <t>김*련</t>
  </si>
  <si>
    <t>388</t>
  </si>
  <si>
    <t>20260205993273</t>
  </si>
  <si>
    <t>389</t>
  </si>
  <si>
    <t>20260205993601</t>
  </si>
  <si>
    <t>김*석</t>
  </si>
  <si>
    <t>390</t>
  </si>
  <si>
    <t>20260205995425</t>
  </si>
  <si>
    <t>391</t>
  </si>
  <si>
    <t>20260205995563</t>
  </si>
  <si>
    <t>안*경</t>
  </si>
  <si>
    <t>392</t>
  </si>
  <si>
    <t>20260205994033</t>
  </si>
  <si>
    <t>서*환</t>
  </si>
  <si>
    <t>393</t>
  </si>
  <si>
    <t>20260205994274</t>
  </si>
  <si>
    <t>강*회</t>
  </si>
  <si>
    <t>394</t>
  </si>
  <si>
    <t>20260205993726</t>
  </si>
  <si>
    <t>원*연</t>
  </si>
  <si>
    <t>395</t>
  </si>
  <si>
    <t>20260205993741</t>
  </si>
  <si>
    <t>고*진</t>
  </si>
  <si>
    <t>396</t>
  </si>
  <si>
    <t>20260205992788</t>
  </si>
  <si>
    <t>윤*식</t>
  </si>
  <si>
    <t>397</t>
  </si>
  <si>
    <t>20260205993377</t>
  </si>
  <si>
    <t>398</t>
  </si>
  <si>
    <t>20260205002373</t>
  </si>
  <si>
    <t>399</t>
  </si>
  <si>
    <t>20260205993491</t>
  </si>
  <si>
    <t>400</t>
  </si>
  <si>
    <t>20260205993677</t>
  </si>
  <si>
    <t>조*순</t>
  </si>
  <si>
    <t>401</t>
  </si>
  <si>
    <t>20260205992889</t>
  </si>
  <si>
    <t>정*은</t>
  </si>
  <si>
    <t>402</t>
  </si>
  <si>
    <t>20260205995396</t>
  </si>
  <si>
    <t>장*희</t>
  </si>
  <si>
    <t>403</t>
  </si>
  <si>
    <t>20260205994136</t>
  </si>
  <si>
    <t>김*이</t>
  </si>
  <si>
    <t>404</t>
  </si>
  <si>
    <t>20260205994291</t>
  </si>
  <si>
    <t>405</t>
  </si>
  <si>
    <t>20260205994309</t>
  </si>
  <si>
    <t>박*건</t>
  </si>
  <si>
    <t>406</t>
  </si>
  <si>
    <t>20260205995304</t>
  </si>
  <si>
    <t>조*희</t>
  </si>
  <si>
    <t>407</t>
  </si>
  <si>
    <t>20260205994179</t>
  </si>
  <si>
    <t>408</t>
  </si>
  <si>
    <t>20260205993164</t>
  </si>
  <si>
    <t>지*애</t>
  </si>
  <si>
    <t>409</t>
  </si>
  <si>
    <t>20260205995833</t>
  </si>
  <si>
    <t>410</t>
  </si>
  <si>
    <t>20260205994119</t>
  </si>
  <si>
    <t>양*화</t>
  </si>
  <si>
    <t>411</t>
  </si>
  <si>
    <t>20260205993950</t>
  </si>
  <si>
    <t>조*화</t>
  </si>
  <si>
    <t>412</t>
  </si>
  <si>
    <t>20260205993318</t>
  </si>
  <si>
    <t>413</t>
  </si>
  <si>
    <t>20260205992582</t>
  </si>
  <si>
    <t>414</t>
  </si>
  <si>
    <t>20260205993262</t>
  </si>
  <si>
    <t>강*덕</t>
  </si>
  <si>
    <t>415</t>
  </si>
  <si>
    <t>20260205994495</t>
  </si>
  <si>
    <t>서*희</t>
  </si>
  <si>
    <t>416</t>
  </si>
  <si>
    <t>20260205995261</t>
  </si>
  <si>
    <t>417</t>
  </si>
  <si>
    <t>20260205994416</t>
  </si>
  <si>
    <t>김*준</t>
  </si>
  <si>
    <t>418</t>
  </si>
  <si>
    <t>20260205994123</t>
  </si>
  <si>
    <t>황*경</t>
  </si>
  <si>
    <t>419</t>
  </si>
  <si>
    <t>20260205993773</t>
  </si>
  <si>
    <t>420</t>
  </si>
  <si>
    <t>20260205993527</t>
  </si>
  <si>
    <t>421</t>
  </si>
  <si>
    <t>20260205993977</t>
  </si>
  <si>
    <t>422</t>
  </si>
  <si>
    <t>20260205993559</t>
  </si>
  <si>
    <t>신*자</t>
  </si>
  <si>
    <t>423</t>
  </si>
  <si>
    <t>20260205992777</t>
  </si>
  <si>
    <t>남**예</t>
  </si>
  <si>
    <t>424</t>
  </si>
  <si>
    <t>20260205992824</t>
  </si>
  <si>
    <t>유*희</t>
  </si>
  <si>
    <t>425</t>
  </si>
  <si>
    <t>20260205993046</t>
  </si>
  <si>
    <t>한*숙</t>
  </si>
  <si>
    <t>426</t>
  </si>
  <si>
    <t>20260205993001</t>
  </si>
  <si>
    <t>홍*향</t>
  </si>
  <si>
    <t>427</t>
  </si>
  <si>
    <t>20260205993000</t>
  </si>
  <si>
    <t>홍*순</t>
  </si>
  <si>
    <t>428</t>
  </si>
  <si>
    <t>20260205993784</t>
  </si>
  <si>
    <t>천*영</t>
  </si>
  <si>
    <t>429</t>
  </si>
  <si>
    <t>20260205995541</t>
  </si>
  <si>
    <t>천*구</t>
  </si>
  <si>
    <t>430</t>
  </si>
  <si>
    <t>20260205995287</t>
  </si>
  <si>
    <t>431</t>
  </si>
  <si>
    <t>20260205994452</t>
  </si>
  <si>
    <t>432</t>
  </si>
  <si>
    <t>20260205994705</t>
  </si>
  <si>
    <t>433</t>
  </si>
  <si>
    <t>20260205995017</t>
  </si>
  <si>
    <t>434</t>
  </si>
  <si>
    <t>20260205995647</t>
  </si>
  <si>
    <t>L********N</t>
  </si>
  <si>
    <t>435</t>
  </si>
  <si>
    <t>20260205998293</t>
  </si>
  <si>
    <t>한*희</t>
  </si>
  <si>
    <t>436</t>
  </si>
  <si>
    <t>20260206633008</t>
  </si>
  <si>
    <t>임*빈</t>
  </si>
  <si>
    <t>59163204</t>
  </si>
  <si>
    <t>437</t>
  </si>
  <si>
    <t>20260205995006</t>
  </si>
  <si>
    <t>구*환</t>
  </si>
  <si>
    <t>2026-02-08</t>
  </si>
  <si>
    <t>438</t>
  </si>
  <si>
    <t>20260205992912</t>
  </si>
  <si>
    <t>정*구</t>
  </si>
  <si>
    <t>439</t>
  </si>
  <si>
    <t>20260208259331</t>
  </si>
  <si>
    <t>2026-02-10</t>
  </si>
  <si>
    <t>440</t>
  </si>
  <si>
    <t>20260208260475</t>
  </si>
  <si>
    <t>441</t>
  </si>
  <si>
    <t>20260207158331</t>
  </si>
  <si>
    <t>442</t>
  </si>
  <si>
    <t>20260208229524</t>
  </si>
  <si>
    <t>신*하</t>
  </si>
  <si>
    <t>443</t>
  </si>
  <si>
    <t>20260208244830</t>
  </si>
  <si>
    <t>444</t>
  </si>
  <si>
    <t>20260207151522</t>
  </si>
  <si>
    <t>445</t>
  </si>
  <si>
    <t>20260210360594</t>
  </si>
  <si>
    <t>446</t>
  </si>
  <si>
    <t>20260207150468</t>
  </si>
  <si>
    <t>유*기</t>
  </si>
  <si>
    <t>447</t>
  </si>
  <si>
    <t>20260209873932</t>
  </si>
  <si>
    <t>448</t>
  </si>
  <si>
    <t>20260206659552</t>
  </si>
  <si>
    <t>449</t>
  </si>
  <si>
    <t>20260206651056</t>
  </si>
  <si>
    <t>이*훈</t>
  </si>
  <si>
    <t>450</t>
  </si>
  <si>
    <t>20260207124110</t>
  </si>
  <si>
    <t>최*영</t>
  </si>
  <si>
    <t>451</t>
  </si>
  <si>
    <t>20260208259329</t>
  </si>
  <si>
    <t>452</t>
  </si>
  <si>
    <t>20260207150472</t>
  </si>
  <si>
    <t>453</t>
  </si>
  <si>
    <t>20260207147250</t>
  </si>
  <si>
    <t>454</t>
  </si>
  <si>
    <t>20260207147257</t>
  </si>
  <si>
    <t>455</t>
  </si>
  <si>
    <t>20260208260735</t>
  </si>
  <si>
    <t>456</t>
  </si>
  <si>
    <t>20260207117865</t>
  </si>
  <si>
    <t>457</t>
  </si>
  <si>
    <t>20260205994815</t>
  </si>
  <si>
    <t>송*희</t>
  </si>
  <si>
    <t>458</t>
  </si>
  <si>
    <t>20260203309850</t>
  </si>
  <si>
    <t>선**국</t>
  </si>
  <si>
    <t>459</t>
  </si>
  <si>
    <t>20260207151170</t>
  </si>
  <si>
    <t>이*민</t>
  </si>
  <si>
    <t>460</t>
  </si>
  <si>
    <t>20260205992935</t>
  </si>
  <si>
    <t>461</t>
  </si>
  <si>
    <t>20260205994829</t>
  </si>
  <si>
    <t>462</t>
  </si>
  <si>
    <t>20260205994617</t>
  </si>
  <si>
    <t>463</t>
  </si>
  <si>
    <t>20260205995024</t>
  </si>
  <si>
    <t>464</t>
  </si>
  <si>
    <t>20260203309978</t>
  </si>
  <si>
    <t>이*우</t>
  </si>
  <si>
    <t>465</t>
  </si>
  <si>
    <t>20260205994069</t>
  </si>
  <si>
    <t>하*순</t>
  </si>
  <si>
    <t>466</t>
  </si>
  <si>
    <t>20260208250075</t>
  </si>
  <si>
    <t>천*자</t>
  </si>
  <si>
    <t>467</t>
  </si>
  <si>
    <t>20260205994926</t>
  </si>
  <si>
    <t>구*대</t>
  </si>
  <si>
    <t>468</t>
  </si>
  <si>
    <t>20260205993624</t>
  </si>
  <si>
    <t>박*은</t>
  </si>
  <si>
    <t>469</t>
  </si>
  <si>
    <t>20260205993757</t>
  </si>
  <si>
    <t>470</t>
  </si>
  <si>
    <t>20260205994369</t>
  </si>
  <si>
    <t>471</t>
  </si>
  <si>
    <t>20260206641134</t>
  </si>
  <si>
    <t>472</t>
  </si>
  <si>
    <t>20260208251315</t>
  </si>
  <si>
    <t>우*자</t>
  </si>
  <si>
    <t>473</t>
  </si>
  <si>
    <t>20260205994412</t>
  </si>
  <si>
    <t>474</t>
  </si>
  <si>
    <t>475</t>
  </si>
  <si>
    <t>20260206650034</t>
  </si>
  <si>
    <t>476</t>
  </si>
  <si>
    <t>20260208250982</t>
  </si>
  <si>
    <t>권*자</t>
  </si>
  <si>
    <t>477</t>
  </si>
  <si>
    <t>20260207149611</t>
  </si>
  <si>
    <t>478</t>
  </si>
  <si>
    <t>20260209883427</t>
  </si>
  <si>
    <t>2026-02-11</t>
  </si>
  <si>
    <t>479</t>
  </si>
  <si>
    <t>20260210360516</t>
  </si>
  <si>
    <t>송*순</t>
  </si>
  <si>
    <t>480</t>
  </si>
  <si>
    <t>481</t>
  </si>
  <si>
    <t>20260209904260</t>
  </si>
  <si>
    <t>482</t>
  </si>
  <si>
    <t>20260209896967</t>
  </si>
  <si>
    <t>483</t>
  </si>
  <si>
    <t>20260209898425</t>
  </si>
  <si>
    <t>한*현</t>
  </si>
  <si>
    <t>484</t>
  </si>
  <si>
    <t>20260208247573</t>
  </si>
  <si>
    <t>485</t>
  </si>
  <si>
    <t>20260209919611</t>
  </si>
  <si>
    <t>문*기</t>
  </si>
  <si>
    <t>486</t>
  </si>
  <si>
    <t>20260205995605</t>
  </si>
  <si>
    <t>487</t>
  </si>
  <si>
    <t>20260209889552</t>
  </si>
  <si>
    <t>한*환</t>
  </si>
  <si>
    <t>488</t>
  </si>
  <si>
    <t>20260205993840</t>
  </si>
  <si>
    <t>489</t>
  </si>
  <si>
    <t>20260205992722</t>
  </si>
  <si>
    <t>490</t>
  </si>
  <si>
    <t>20260210347699</t>
  </si>
  <si>
    <t>성*선</t>
  </si>
  <si>
    <t>491</t>
  </si>
  <si>
    <t>20260205995560</t>
  </si>
  <si>
    <t>문*례</t>
  </si>
  <si>
    <t>492</t>
  </si>
  <si>
    <t>20260205994523</t>
  </si>
  <si>
    <t>백*자</t>
  </si>
  <si>
    <t>493</t>
  </si>
  <si>
    <t>20260209898048</t>
  </si>
  <si>
    <t>전*건</t>
  </si>
  <si>
    <t>494</t>
  </si>
  <si>
    <t>20260210361668</t>
  </si>
  <si>
    <t>2026-02-12</t>
  </si>
  <si>
    <t>495</t>
  </si>
  <si>
    <t>20260210361308</t>
  </si>
  <si>
    <t>강*모</t>
  </si>
  <si>
    <t>496</t>
  </si>
  <si>
    <t>20260210361311</t>
  </si>
  <si>
    <t>497</t>
  </si>
  <si>
    <t>20260210361344</t>
  </si>
  <si>
    <t>498</t>
  </si>
  <si>
    <t>20260210361574</t>
  </si>
  <si>
    <t>499</t>
  </si>
  <si>
    <t>20260210361598</t>
  </si>
  <si>
    <t>500</t>
  </si>
  <si>
    <t>20260210361706</t>
  </si>
  <si>
    <t>501</t>
  </si>
  <si>
    <t>20260210361759</t>
  </si>
  <si>
    <t>백*숙</t>
  </si>
  <si>
    <t>502</t>
  </si>
  <si>
    <t>20260210361684</t>
  </si>
  <si>
    <t>503</t>
  </si>
  <si>
    <t>20260210361910</t>
  </si>
  <si>
    <t>방*임</t>
  </si>
  <si>
    <t>504</t>
  </si>
  <si>
    <t>20260210362507</t>
  </si>
  <si>
    <t>심*옥</t>
  </si>
  <si>
    <t>505</t>
  </si>
  <si>
    <t>20260210360232</t>
  </si>
  <si>
    <t>라*정</t>
  </si>
  <si>
    <t>506</t>
  </si>
  <si>
    <t>20260210361309</t>
  </si>
  <si>
    <t>최*림</t>
  </si>
  <si>
    <t>507</t>
  </si>
  <si>
    <t>20260210361341</t>
  </si>
  <si>
    <t>508</t>
  </si>
  <si>
    <t>20260210361405</t>
  </si>
  <si>
    <t>509</t>
  </si>
  <si>
    <t>20260210361631</t>
  </si>
  <si>
    <t>510</t>
  </si>
  <si>
    <t>20260210360257</t>
  </si>
  <si>
    <t>황*재</t>
  </si>
  <si>
    <t>511</t>
  </si>
  <si>
    <t>20260210361115</t>
  </si>
  <si>
    <t>장*미</t>
  </si>
  <si>
    <t>512</t>
  </si>
  <si>
    <t>20260210361265</t>
  </si>
  <si>
    <t>노*숙</t>
  </si>
  <si>
    <t>513</t>
  </si>
  <si>
    <t>20260210360560</t>
  </si>
  <si>
    <t>514</t>
  </si>
  <si>
    <t>20260210360583</t>
  </si>
  <si>
    <t>515</t>
  </si>
  <si>
    <t>20260210361670</t>
  </si>
  <si>
    <t>박*경</t>
  </si>
  <si>
    <t>516</t>
  </si>
  <si>
    <t>20260210361580</t>
  </si>
  <si>
    <t>517</t>
  </si>
  <si>
    <t>20260210361782</t>
  </si>
  <si>
    <t>518</t>
  </si>
  <si>
    <t>20260210360838</t>
  </si>
  <si>
    <t>519</t>
  </si>
  <si>
    <t>20260210360168</t>
  </si>
  <si>
    <t>520</t>
  </si>
  <si>
    <t>20260210360212</t>
  </si>
  <si>
    <t>521</t>
  </si>
  <si>
    <t>20260210360219</t>
  </si>
  <si>
    <t>522</t>
  </si>
  <si>
    <t>20260210361329</t>
  </si>
  <si>
    <t>523</t>
  </si>
  <si>
    <t>20260210361022</t>
  </si>
  <si>
    <t>나*옥</t>
  </si>
  <si>
    <t>524</t>
  </si>
  <si>
    <t>20260210361294</t>
  </si>
  <si>
    <t>심*향</t>
  </si>
  <si>
    <t>525</t>
  </si>
  <si>
    <t>20260210361453</t>
  </si>
  <si>
    <t>526</t>
  </si>
  <si>
    <t>20260210361516</t>
  </si>
  <si>
    <t>송*현</t>
  </si>
  <si>
    <t>527</t>
  </si>
  <si>
    <t>20260210361966</t>
  </si>
  <si>
    <t>주*숙</t>
  </si>
  <si>
    <t>528</t>
  </si>
  <si>
    <t>20260210362057</t>
  </si>
  <si>
    <t>529</t>
  </si>
  <si>
    <t>20260210360761</t>
  </si>
  <si>
    <t>530</t>
  </si>
  <si>
    <t>20260210361026</t>
  </si>
  <si>
    <t>531</t>
  </si>
  <si>
    <t>20260210361068</t>
  </si>
  <si>
    <t>양*자</t>
  </si>
  <si>
    <t>532</t>
  </si>
  <si>
    <t>20260210361681</t>
  </si>
  <si>
    <t>533</t>
  </si>
  <si>
    <t>20260210362071</t>
  </si>
  <si>
    <t>도*순</t>
  </si>
  <si>
    <t>534</t>
  </si>
  <si>
    <t>20260210360245</t>
  </si>
  <si>
    <t>윤*순</t>
  </si>
  <si>
    <t>535</t>
  </si>
  <si>
    <t>20260210360461</t>
  </si>
  <si>
    <t>신*성</t>
  </si>
  <si>
    <t>536</t>
  </si>
  <si>
    <t>20260210360338</t>
  </si>
  <si>
    <t>537</t>
  </si>
  <si>
    <t>20260210361293</t>
  </si>
  <si>
    <t>538</t>
  </si>
  <si>
    <t>20260210361484</t>
  </si>
  <si>
    <t>임*순</t>
  </si>
  <si>
    <t>539</t>
  </si>
  <si>
    <t>20260210361723</t>
  </si>
  <si>
    <t>육*수</t>
  </si>
  <si>
    <t>540</t>
  </si>
  <si>
    <t>20260210361843</t>
  </si>
  <si>
    <t>백*실</t>
  </si>
  <si>
    <t>541</t>
  </si>
  <si>
    <t>20260210361131</t>
  </si>
  <si>
    <t>한*옥</t>
  </si>
  <si>
    <t>542</t>
  </si>
  <si>
    <t>20260210361526</t>
  </si>
  <si>
    <t>최*순</t>
  </si>
  <si>
    <t>543</t>
  </si>
  <si>
    <t>20260210360438</t>
  </si>
  <si>
    <t>544</t>
  </si>
  <si>
    <t>20260210361764</t>
  </si>
  <si>
    <t>이*호</t>
  </si>
  <si>
    <t>545</t>
  </si>
  <si>
    <t>20260210361158</t>
  </si>
  <si>
    <t>546</t>
  </si>
  <si>
    <t>20260210360710</t>
  </si>
  <si>
    <t>유*</t>
  </si>
  <si>
    <t>547</t>
  </si>
  <si>
    <t>20260210361717</t>
  </si>
  <si>
    <t>서*자</t>
  </si>
  <si>
    <t>548</t>
  </si>
  <si>
    <t>20260210362658</t>
  </si>
  <si>
    <t>이*실</t>
  </si>
  <si>
    <t>549</t>
  </si>
  <si>
    <t>20260210360971</t>
  </si>
  <si>
    <t>550</t>
  </si>
  <si>
    <t>20260210360957</t>
  </si>
  <si>
    <t>이*울</t>
  </si>
  <si>
    <t>551</t>
  </si>
  <si>
    <t>20260210362164</t>
  </si>
  <si>
    <t>552</t>
  </si>
  <si>
    <t>20260210362189</t>
  </si>
  <si>
    <t>고*성</t>
  </si>
  <si>
    <t>553</t>
  </si>
  <si>
    <t>20260210360419</t>
  </si>
  <si>
    <t>엄*숙</t>
  </si>
  <si>
    <t>554</t>
  </si>
  <si>
    <t>20260210361724</t>
  </si>
  <si>
    <t>555</t>
  </si>
  <si>
    <t>20260210360288</t>
  </si>
  <si>
    <t>556</t>
  </si>
  <si>
    <t>20260210361616</t>
  </si>
  <si>
    <t>557</t>
  </si>
  <si>
    <t>20260210361828</t>
  </si>
  <si>
    <t>최*회</t>
  </si>
  <si>
    <t>558</t>
  </si>
  <si>
    <t>20260210361688</t>
  </si>
  <si>
    <t>559</t>
  </si>
  <si>
    <t>20260210361789</t>
  </si>
  <si>
    <t>병*희</t>
  </si>
  <si>
    <t>560</t>
  </si>
  <si>
    <t>20260210360385</t>
  </si>
  <si>
    <t>방*래</t>
  </si>
  <si>
    <t>561</t>
  </si>
  <si>
    <t>20260210361225</t>
  </si>
  <si>
    <t>정*정</t>
  </si>
  <si>
    <t>562</t>
  </si>
  <si>
    <t>20260210360980</t>
  </si>
  <si>
    <t>박*열</t>
  </si>
  <si>
    <t>563</t>
  </si>
  <si>
    <t>20260210360551</t>
  </si>
  <si>
    <t>하*희</t>
  </si>
  <si>
    <t>564</t>
  </si>
  <si>
    <t>20260210361462</t>
  </si>
  <si>
    <t>이*엽</t>
  </si>
  <si>
    <t>565</t>
  </si>
  <si>
    <t>20260210360692</t>
  </si>
  <si>
    <t>566</t>
  </si>
  <si>
    <t>20260210361797</t>
  </si>
  <si>
    <t>홍*화</t>
  </si>
  <si>
    <t>567</t>
  </si>
  <si>
    <t>20260210361781</t>
  </si>
  <si>
    <t>568</t>
  </si>
  <si>
    <t>20260210361934</t>
  </si>
  <si>
    <t>송*령</t>
  </si>
  <si>
    <t>569</t>
  </si>
  <si>
    <t>20260210361402</t>
  </si>
  <si>
    <t>570</t>
  </si>
  <si>
    <t>20260210360997</t>
  </si>
  <si>
    <t>571</t>
  </si>
  <si>
    <t>20260210361134</t>
  </si>
  <si>
    <t>임*주</t>
  </si>
  <si>
    <t>572</t>
  </si>
  <si>
    <t>20260210362141</t>
  </si>
  <si>
    <t>박*주</t>
  </si>
  <si>
    <t>573</t>
  </si>
  <si>
    <t>20260210362293</t>
  </si>
  <si>
    <t>574</t>
  </si>
  <si>
    <t>20260210360398</t>
  </si>
  <si>
    <t>575</t>
  </si>
  <si>
    <t>20260210361270</t>
  </si>
  <si>
    <t>576</t>
  </si>
  <si>
    <t>20260210361324</t>
  </si>
  <si>
    <t>안*영</t>
  </si>
  <si>
    <t>577</t>
  </si>
  <si>
    <t>20260210361350</t>
  </si>
  <si>
    <t>홍*아</t>
  </si>
  <si>
    <t>578</t>
  </si>
  <si>
    <t>20260210360281</t>
  </si>
  <si>
    <t>579</t>
  </si>
  <si>
    <t>20260210361461</t>
  </si>
  <si>
    <t>580</t>
  </si>
  <si>
    <t>20260210361504</t>
  </si>
  <si>
    <t>강*준</t>
  </si>
  <si>
    <t>581</t>
  </si>
  <si>
    <t>20260210361566</t>
  </si>
  <si>
    <t>582</t>
  </si>
  <si>
    <t>20260210361903</t>
  </si>
  <si>
    <t>심*주</t>
  </si>
  <si>
    <t>583</t>
  </si>
  <si>
    <t>20260210361968</t>
  </si>
  <si>
    <t>이*하</t>
  </si>
  <si>
    <t>584</t>
  </si>
  <si>
    <t>20260210361727</t>
  </si>
  <si>
    <t>지*훈</t>
  </si>
  <si>
    <t>585</t>
  </si>
  <si>
    <t>20260210362163</t>
  </si>
  <si>
    <t>전*식</t>
  </si>
  <si>
    <t>586</t>
  </si>
  <si>
    <t>20260210360760</t>
  </si>
  <si>
    <t>강*화</t>
  </si>
  <si>
    <t>587</t>
  </si>
  <si>
    <t>20260210361126</t>
  </si>
  <si>
    <t>588</t>
  </si>
  <si>
    <t>20260210361312</t>
  </si>
  <si>
    <t>589</t>
  </si>
  <si>
    <t>20260210361447</t>
  </si>
  <si>
    <t>590</t>
  </si>
  <si>
    <t>20260210361487</t>
  </si>
  <si>
    <t>강*성</t>
  </si>
  <si>
    <t>591</t>
  </si>
  <si>
    <t>20260210361437</t>
  </si>
  <si>
    <t>592</t>
  </si>
  <si>
    <t>20260210361980</t>
  </si>
  <si>
    <t>593</t>
  </si>
  <si>
    <t>20260210361671</t>
  </si>
  <si>
    <t>594</t>
  </si>
  <si>
    <t>20260210361805</t>
  </si>
  <si>
    <t>595</t>
  </si>
  <si>
    <t>20260210361070</t>
  </si>
  <si>
    <t>596</t>
  </si>
  <si>
    <t>20260210361609</t>
  </si>
  <si>
    <t>변*영</t>
  </si>
  <si>
    <t>597</t>
  </si>
  <si>
    <t>20260210361990</t>
  </si>
  <si>
    <t>조*민</t>
  </si>
  <si>
    <t>598</t>
  </si>
  <si>
    <t>20260210361401</t>
  </si>
  <si>
    <t>윤*진</t>
  </si>
  <si>
    <t>599</t>
  </si>
  <si>
    <t>20260210360406</t>
  </si>
  <si>
    <t>심*임</t>
  </si>
  <si>
    <t>600</t>
  </si>
  <si>
    <t>20260210361356</t>
  </si>
  <si>
    <t>송*수</t>
  </si>
  <si>
    <t>601</t>
  </si>
  <si>
    <t>20260210360454</t>
  </si>
  <si>
    <t>602</t>
  </si>
  <si>
    <t>20260210360688</t>
  </si>
  <si>
    <t>603</t>
  </si>
  <si>
    <t>20260210361042</t>
  </si>
  <si>
    <t>604</t>
  </si>
  <si>
    <t>20260210360204</t>
  </si>
  <si>
    <t>605</t>
  </si>
  <si>
    <t>20260210360435</t>
  </si>
  <si>
    <t>심*점</t>
  </si>
  <si>
    <t>606</t>
  </si>
  <si>
    <t>20260210360324</t>
  </si>
  <si>
    <t>박*진</t>
  </si>
  <si>
    <t>607</t>
  </si>
  <si>
    <t>20260210361911</t>
  </si>
  <si>
    <t>조*미</t>
  </si>
  <si>
    <t>608</t>
  </si>
  <si>
    <t>20260210360246</t>
  </si>
  <si>
    <t>609</t>
  </si>
  <si>
    <t>20260210361622</t>
  </si>
  <si>
    <t>610</t>
  </si>
  <si>
    <t>20260210361123</t>
  </si>
  <si>
    <t>오*순</t>
  </si>
  <si>
    <t>611</t>
  </si>
  <si>
    <t>20260210361987</t>
  </si>
  <si>
    <t>612</t>
  </si>
  <si>
    <t>20260210360357</t>
  </si>
  <si>
    <t>홍*혜</t>
  </si>
  <si>
    <t>613</t>
  </si>
  <si>
    <t>20260210361780</t>
  </si>
  <si>
    <t>614</t>
  </si>
  <si>
    <t>20260210362100</t>
  </si>
  <si>
    <t>곽*채</t>
  </si>
  <si>
    <t>615</t>
  </si>
  <si>
    <t>20260210362228</t>
  </si>
  <si>
    <t>최*성</t>
  </si>
  <si>
    <t>616</t>
  </si>
  <si>
    <t>20260210362212</t>
  </si>
  <si>
    <t>원*경</t>
  </si>
  <si>
    <t>617</t>
  </si>
  <si>
    <t>20260210360287</t>
  </si>
  <si>
    <t>최*송</t>
  </si>
  <si>
    <t>618</t>
  </si>
  <si>
    <t>20260210361930</t>
  </si>
  <si>
    <t>619</t>
  </si>
  <si>
    <t>20260210360895</t>
  </si>
  <si>
    <t>리*련</t>
  </si>
  <si>
    <t>620</t>
  </si>
  <si>
    <t>20260210362231</t>
  </si>
  <si>
    <t>최*선</t>
  </si>
  <si>
    <t>621</t>
  </si>
  <si>
    <t>20260210360226</t>
  </si>
  <si>
    <t>622</t>
  </si>
  <si>
    <t>20260210361153</t>
  </si>
  <si>
    <t>623</t>
  </si>
  <si>
    <t>20260210360972</t>
  </si>
  <si>
    <t>한*길</t>
  </si>
  <si>
    <t>624</t>
  </si>
  <si>
    <t>20260210360094</t>
  </si>
  <si>
    <t>625</t>
  </si>
  <si>
    <t>20260210360523</t>
  </si>
  <si>
    <t>김*라</t>
  </si>
  <si>
    <t>626</t>
  </si>
  <si>
    <t>20260210360229</t>
  </si>
  <si>
    <t>627</t>
  </si>
  <si>
    <t>20260205993517</t>
  </si>
  <si>
    <t>이*태</t>
  </si>
  <si>
    <t>628</t>
  </si>
  <si>
    <t>20260210361686</t>
  </si>
  <si>
    <t>윤*갑</t>
  </si>
  <si>
    <t>629</t>
  </si>
  <si>
    <t>20260210362230</t>
  </si>
  <si>
    <t>김*홍</t>
  </si>
  <si>
    <t>630</t>
  </si>
  <si>
    <t>20260210362386</t>
  </si>
  <si>
    <t>장*녀</t>
  </si>
  <si>
    <t>631</t>
  </si>
  <si>
    <t>20260210360765</t>
  </si>
  <si>
    <t>최*금</t>
  </si>
  <si>
    <t>632</t>
  </si>
  <si>
    <t>20260210362168</t>
  </si>
  <si>
    <t>633</t>
  </si>
  <si>
    <t>20260210362117</t>
  </si>
  <si>
    <t>634</t>
  </si>
  <si>
    <t>20260210360966</t>
  </si>
  <si>
    <t>강*원</t>
  </si>
  <si>
    <t>635</t>
  </si>
  <si>
    <t>20260210360823</t>
  </si>
  <si>
    <t>636</t>
  </si>
  <si>
    <t>20260210361576</t>
  </si>
  <si>
    <t>637</t>
  </si>
  <si>
    <t>20260210360962</t>
  </si>
  <si>
    <t>638</t>
  </si>
  <si>
    <t>20260210361691</t>
  </si>
  <si>
    <t>639</t>
  </si>
  <si>
    <t>20260210362134</t>
  </si>
  <si>
    <t>차*용</t>
  </si>
  <si>
    <t>640</t>
  </si>
  <si>
    <t>20260210361690</t>
  </si>
  <si>
    <t>주*화</t>
  </si>
  <si>
    <t>641</t>
  </si>
  <si>
    <t>20260210361261</t>
  </si>
  <si>
    <t>642</t>
  </si>
  <si>
    <t>20260210361855</t>
  </si>
  <si>
    <t>간*관</t>
  </si>
  <si>
    <t>643</t>
  </si>
  <si>
    <t>20260210360736</t>
  </si>
  <si>
    <t>644</t>
  </si>
  <si>
    <t>20260205994812</t>
  </si>
  <si>
    <t>박*심</t>
  </si>
  <si>
    <t>645</t>
  </si>
  <si>
    <t>20260210360424</t>
  </si>
  <si>
    <t>손*자</t>
  </si>
  <si>
    <t>646</t>
  </si>
  <si>
    <t>20260210361466</t>
  </si>
  <si>
    <t>조*정</t>
  </si>
  <si>
    <t>647</t>
  </si>
  <si>
    <t>20260210360877</t>
  </si>
  <si>
    <t>648</t>
  </si>
  <si>
    <t>20260210361967</t>
  </si>
  <si>
    <t>윤*화</t>
  </si>
  <si>
    <t>649</t>
  </si>
  <si>
    <t>20260210361778</t>
  </si>
  <si>
    <t>김*하</t>
  </si>
  <si>
    <t>650</t>
  </si>
  <si>
    <t>20260210360506</t>
  </si>
  <si>
    <t>651</t>
  </si>
  <si>
    <t>20260210361822</t>
  </si>
  <si>
    <t>장*혜</t>
  </si>
  <si>
    <t>652</t>
  </si>
  <si>
    <t>20260211862060</t>
  </si>
  <si>
    <t>653</t>
  </si>
  <si>
    <t>20260210361524</t>
  </si>
  <si>
    <t>최*봉</t>
  </si>
  <si>
    <t>654</t>
  </si>
  <si>
    <t>20260210361369</t>
  </si>
  <si>
    <t>655</t>
  </si>
  <si>
    <t>20260210361570</t>
  </si>
  <si>
    <t>656</t>
  </si>
  <si>
    <t>20260210361915</t>
  </si>
  <si>
    <t>657</t>
  </si>
  <si>
    <t>20260210362058</t>
  </si>
  <si>
    <t>658</t>
  </si>
  <si>
    <t>20260210364113</t>
  </si>
  <si>
    <t>659</t>
  </si>
  <si>
    <t>20260210366124</t>
  </si>
  <si>
    <t>660</t>
  </si>
  <si>
    <t>20260210360947</t>
  </si>
  <si>
    <t>661</t>
  </si>
  <si>
    <t>20260210360328</t>
  </si>
  <si>
    <t>662</t>
  </si>
  <si>
    <t>20260210360456</t>
  </si>
  <si>
    <t>한*주</t>
  </si>
  <si>
    <t>663</t>
  </si>
  <si>
    <t>20260210362454</t>
  </si>
  <si>
    <t>서*영</t>
  </si>
  <si>
    <t>664</t>
  </si>
  <si>
    <t>20260210360934</t>
  </si>
  <si>
    <t>송*고</t>
  </si>
  <si>
    <t>665</t>
  </si>
  <si>
    <t>20260210360296</t>
  </si>
  <si>
    <t>양*희</t>
  </si>
  <si>
    <t>666</t>
  </si>
  <si>
    <t>20260210362146</t>
  </si>
  <si>
    <t>667</t>
  </si>
  <si>
    <t>20260210360233</t>
  </si>
  <si>
    <t>668</t>
  </si>
  <si>
    <t>20260210361754</t>
  </si>
  <si>
    <t>669</t>
  </si>
  <si>
    <t>20260210361587</t>
  </si>
  <si>
    <t>670</t>
  </si>
  <si>
    <t>20260210361077</t>
  </si>
  <si>
    <t>671</t>
  </si>
  <si>
    <t>20260210360396</t>
  </si>
  <si>
    <t>672</t>
  </si>
  <si>
    <t>20260210360400</t>
  </si>
  <si>
    <t>황*월</t>
  </si>
  <si>
    <t>673</t>
  </si>
  <si>
    <t>20260210360481</t>
  </si>
  <si>
    <t>674</t>
  </si>
  <si>
    <t>20260210360563</t>
  </si>
  <si>
    <t>675</t>
  </si>
  <si>
    <t>20260210360427</t>
  </si>
  <si>
    <t>손*원</t>
  </si>
  <si>
    <t>676</t>
  </si>
  <si>
    <t>20260210361451</t>
  </si>
  <si>
    <t>677</t>
  </si>
  <si>
    <t>20260210361038</t>
  </si>
  <si>
    <t>678</t>
  </si>
  <si>
    <t>20260210360291</t>
  </si>
  <si>
    <t>679</t>
  </si>
  <si>
    <t>20260210361335</t>
  </si>
  <si>
    <t>현*희</t>
  </si>
  <si>
    <t>680</t>
  </si>
  <si>
    <t>20260210361495</t>
  </si>
  <si>
    <t>진*윤</t>
  </si>
  <si>
    <t>681</t>
  </si>
  <si>
    <t>20260210361579</t>
  </si>
  <si>
    <t>김*해</t>
  </si>
  <si>
    <t>682</t>
  </si>
  <si>
    <t>20260210362044</t>
  </si>
  <si>
    <t>박*덕</t>
  </si>
  <si>
    <t>683</t>
  </si>
  <si>
    <t>20260210360670</t>
  </si>
  <si>
    <t>684</t>
  </si>
  <si>
    <t>20260210360241</t>
  </si>
  <si>
    <t>685</t>
  </si>
  <si>
    <t>20260210361564</t>
  </si>
  <si>
    <t>강*지</t>
  </si>
  <si>
    <t>686</t>
  </si>
  <si>
    <t>20260210361948</t>
  </si>
  <si>
    <t>남*정</t>
  </si>
  <si>
    <t>687</t>
  </si>
  <si>
    <t>20260210361019</t>
  </si>
  <si>
    <t>한*연</t>
  </si>
  <si>
    <t>688</t>
  </si>
  <si>
    <t>20260210361847</t>
  </si>
  <si>
    <t>689</t>
  </si>
  <si>
    <t>20260210362019</t>
  </si>
  <si>
    <t>임*영</t>
  </si>
  <si>
    <t>690</t>
  </si>
  <si>
    <t>20260210362206</t>
  </si>
  <si>
    <t>고*녀</t>
  </si>
  <si>
    <t>691</t>
  </si>
  <si>
    <t>20260210361041</t>
  </si>
  <si>
    <t>나*련</t>
  </si>
  <si>
    <t>692</t>
  </si>
  <si>
    <t>20260210361683</t>
  </si>
  <si>
    <t>구*희</t>
  </si>
  <si>
    <t>693</t>
  </si>
  <si>
    <t>20260210361352</t>
  </si>
  <si>
    <t>김*임</t>
  </si>
  <si>
    <t>694</t>
  </si>
  <si>
    <t>20260210361525</t>
  </si>
  <si>
    <t>695</t>
  </si>
  <si>
    <t>20260210361011</t>
  </si>
  <si>
    <t>박*식</t>
  </si>
  <si>
    <t>696</t>
  </si>
  <si>
    <t>20260210361551</t>
  </si>
  <si>
    <t>697</t>
  </si>
  <si>
    <t>20260210361861</t>
  </si>
  <si>
    <t>698</t>
  </si>
  <si>
    <t>20260210361346</t>
  </si>
  <si>
    <t>699</t>
  </si>
  <si>
    <t>20260210361491</t>
  </si>
  <si>
    <t>700</t>
  </si>
  <si>
    <t>20260210362075</t>
  </si>
  <si>
    <t>701</t>
  </si>
  <si>
    <t>20260210362158</t>
  </si>
  <si>
    <t>정*래</t>
  </si>
  <si>
    <t>702</t>
  </si>
  <si>
    <t>20260210360596</t>
  </si>
  <si>
    <t>703</t>
  </si>
  <si>
    <t>20260210360302</t>
  </si>
  <si>
    <t>704</t>
  </si>
  <si>
    <t>20260210360928</t>
  </si>
  <si>
    <t>구*자</t>
  </si>
  <si>
    <t>705</t>
  </si>
  <si>
    <t>20260210360937</t>
  </si>
  <si>
    <t>706</t>
  </si>
  <si>
    <t>20260210360976</t>
  </si>
  <si>
    <t>서*란</t>
  </si>
  <si>
    <t>707</t>
  </si>
  <si>
    <t>20260210360392</t>
  </si>
  <si>
    <t>708</t>
  </si>
  <si>
    <t>20260210361319</t>
  </si>
  <si>
    <t>하*자</t>
  </si>
  <si>
    <t>709</t>
  </si>
  <si>
    <t>20260210361317</t>
  </si>
  <si>
    <t>710</t>
  </si>
  <si>
    <t>20260210361357</t>
  </si>
  <si>
    <t>박*생</t>
  </si>
  <si>
    <t>711</t>
  </si>
  <si>
    <t>20260210360557</t>
  </si>
  <si>
    <t>712</t>
  </si>
  <si>
    <t>20260210361392</t>
  </si>
  <si>
    <t>이*아</t>
  </si>
  <si>
    <t>713</t>
  </si>
  <si>
    <t>20260210361499</t>
  </si>
  <si>
    <t>714</t>
  </si>
  <si>
    <t>20260210360664</t>
  </si>
  <si>
    <t>715</t>
  </si>
  <si>
    <t>20260210361611</t>
  </si>
  <si>
    <t>차*윤</t>
  </si>
  <si>
    <t>716</t>
  </si>
  <si>
    <t>20260210361659</t>
  </si>
  <si>
    <t>717</t>
  </si>
  <si>
    <t>20260210361936</t>
  </si>
  <si>
    <t>우*훈</t>
  </si>
  <si>
    <t>718</t>
  </si>
  <si>
    <t>20260210362041</t>
  </si>
  <si>
    <t>719</t>
  </si>
  <si>
    <t>20260210362161</t>
  </si>
  <si>
    <t>장*복</t>
  </si>
  <si>
    <t>720</t>
  </si>
  <si>
    <t>20260210360981</t>
  </si>
  <si>
    <t>721</t>
  </si>
  <si>
    <t>20260210360090</t>
  </si>
  <si>
    <t>성*례</t>
  </si>
  <si>
    <t>722</t>
  </si>
  <si>
    <t>20260210360250</t>
  </si>
  <si>
    <t>723</t>
  </si>
  <si>
    <t>20260210360422</t>
  </si>
  <si>
    <t>우*성</t>
  </si>
  <si>
    <t>724</t>
  </si>
  <si>
    <t>20260210360428</t>
  </si>
  <si>
    <t>725</t>
  </si>
  <si>
    <t>20260210361274</t>
  </si>
  <si>
    <t>726</t>
  </si>
  <si>
    <t>20260210361271</t>
  </si>
  <si>
    <t>727</t>
  </si>
  <si>
    <t>20260210360545</t>
  </si>
  <si>
    <t>728</t>
  </si>
  <si>
    <t>20260210360564</t>
  </si>
  <si>
    <t>방*미</t>
  </si>
  <si>
    <t>729</t>
  </si>
  <si>
    <t>20260210360718</t>
  </si>
  <si>
    <t>730</t>
  </si>
  <si>
    <t>20260210361907</t>
  </si>
  <si>
    <t>731</t>
  </si>
  <si>
    <t>20260210361763</t>
  </si>
  <si>
    <t>김*리</t>
  </si>
  <si>
    <t>732</t>
  </si>
  <si>
    <t>20260210361537</t>
  </si>
  <si>
    <t>733</t>
  </si>
  <si>
    <t>20260210362086</t>
  </si>
  <si>
    <t>정*윤</t>
  </si>
  <si>
    <t>734</t>
  </si>
  <si>
    <t>20260210360468</t>
  </si>
  <si>
    <t>한*민</t>
  </si>
  <si>
    <t>735</t>
  </si>
  <si>
    <t>20260210360549</t>
  </si>
  <si>
    <t>736</t>
  </si>
  <si>
    <t>20260210360555</t>
  </si>
  <si>
    <t>737</t>
  </si>
  <si>
    <t>20260210361541</t>
  </si>
  <si>
    <t>신*은</t>
  </si>
  <si>
    <t>738</t>
  </si>
  <si>
    <t>20260210361534</t>
  </si>
  <si>
    <t>739</t>
  </si>
  <si>
    <t>20260210360682</t>
  </si>
  <si>
    <t>740</t>
  </si>
  <si>
    <t>20260210361794</t>
  </si>
  <si>
    <t>황*희</t>
  </si>
  <si>
    <t>741</t>
  </si>
  <si>
    <t>20260210361965</t>
  </si>
  <si>
    <t>742</t>
  </si>
  <si>
    <t>20260210362013</t>
  </si>
  <si>
    <t>743</t>
  </si>
  <si>
    <t>20260210360694</t>
  </si>
  <si>
    <t>744</t>
  </si>
  <si>
    <t>20260210361989</t>
  </si>
  <si>
    <t>손*영</t>
  </si>
  <si>
    <t>745</t>
  </si>
  <si>
    <t>20260210362685</t>
  </si>
  <si>
    <t>746</t>
  </si>
  <si>
    <t>20260210369877</t>
  </si>
  <si>
    <t>747</t>
  </si>
  <si>
    <t>20260210364014</t>
  </si>
  <si>
    <t>748</t>
  </si>
  <si>
    <t>20260210361013</t>
  </si>
  <si>
    <t>749</t>
  </si>
  <si>
    <t>20260210360886</t>
  </si>
  <si>
    <t>조*석</t>
  </si>
  <si>
    <t>750</t>
  </si>
  <si>
    <t>20260210360902</t>
  </si>
  <si>
    <t>751</t>
  </si>
  <si>
    <t>20260210361527</t>
  </si>
  <si>
    <t>엄*자</t>
  </si>
  <si>
    <t>752</t>
  </si>
  <si>
    <t>20260210360785</t>
  </si>
  <si>
    <t>753</t>
  </si>
  <si>
    <t>20260210360903</t>
  </si>
  <si>
    <t>이*현</t>
  </si>
  <si>
    <t>754</t>
  </si>
  <si>
    <t>20260210360818</t>
  </si>
  <si>
    <t>755</t>
  </si>
  <si>
    <t>20260210361184</t>
  </si>
  <si>
    <t>756</t>
  </si>
  <si>
    <t>20260210360436</t>
  </si>
  <si>
    <t>주*산</t>
  </si>
  <si>
    <t>757</t>
  </si>
  <si>
    <t>20260210361793</t>
  </si>
  <si>
    <t>김*혁</t>
  </si>
  <si>
    <t>758</t>
  </si>
  <si>
    <t>20260210361964</t>
  </si>
  <si>
    <t>759</t>
  </si>
  <si>
    <t>20260210361971</t>
  </si>
  <si>
    <t>760</t>
  </si>
  <si>
    <t>20260210360781</t>
  </si>
  <si>
    <t>조*진</t>
  </si>
  <si>
    <t>761</t>
  </si>
  <si>
    <t>20260210361080</t>
  </si>
  <si>
    <t>762</t>
  </si>
  <si>
    <t>20260210361198</t>
  </si>
  <si>
    <t>763</t>
  </si>
  <si>
    <t>20260210361300</t>
  </si>
  <si>
    <t>764</t>
  </si>
  <si>
    <t>20260210360466</t>
  </si>
  <si>
    <t>김*금</t>
  </si>
  <si>
    <t>765</t>
  </si>
  <si>
    <t>20260210360681</t>
  </si>
  <si>
    <t>766</t>
  </si>
  <si>
    <t>20260210361731</t>
  </si>
  <si>
    <t>767</t>
  </si>
  <si>
    <t>20260210361854</t>
  </si>
  <si>
    <t>김*혜</t>
  </si>
  <si>
    <t>768</t>
  </si>
  <si>
    <t>20260210362118</t>
  </si>
  <si>
    <t>송*인</t>
  </si>
  <si>
    <t>769</t>
  </si>
  <si>
    <t>20260210360847</t>
  </si>
  <si>
    <t>770</t>
  </si>
  <si>
    <t>20260210360648</t>
  </si>
  <si>
    <t>차*희</t>
  </si>
  <si>
    <t>771</t>
  </si>
  <si>
    <t>20260210360890</t>
  </si>
  <si>
    <t>772</t>
  </si>
  <si>
    <t>20260210360922</t>
  </si>
  <si>
    <t>유*분</t>
  </si>
  <si>
    <t>773</t>
  </si>
  <si>
    <t>20260210361100</t>
  </si>
  <si>
    <t>백*혜</t>
  </si>
  <si>
    <t>774</t>
  </si>
  <si>
    <t>20260210361163</t>
  </si>
  <si>
    <t>775</t>
  </si>
  <si>
    <t>20260210360249</t>
  </si>
  <si>
    <t>776</t>
  </si>
  <si>
    <t>20260210360429</t>
  </si>
  <si>
    <t>최*현</t>
  </si>
  <si>
    <t>777</t>
  </si>
  <si>
    <t>20260210361277</t>
  </si>
  <si>
    <t>추*옥</t>
  </si>
  <si>
    <t>778</t>
  </si>
  <si>
    <t>20260210361301</t>
  </si>
  <si>
    <t>779</t>
  </si>
  <si>
    <t>20260210360542</t>
  </si>
  <si>
    <t>오*석</t>
  </si>
  <si>
    <t>780</t>
  </si>
  <si>
    <t>20260210361360</t>
  </si>
  <si>
    <t>방*현</t>
  </si>
  <si>
    <t>781</t>
  </si>
  <si>
    <t>20260210361536</t>
  </si>
  <si>
    <t>진*순</t>
  </si>
  <si>
    <t>782</t>
  </si>
  <si>
    <t>20260210361726</t>
  </si>
  <si>
    <t>783</t>
  </si>
  <si>
    <t>20260210361322</t>
  </si>
  <si>
    <t>황*수</t>
  </si>
  <si>
    <t>784</t>
  </si>
  <si>
    <t>20260210361734</t>
  </si>
  <si>
    <t>785</t>
  </si>
  <si>
    <t>20260210361697</t>
  </si>
  <si>
    <t>송*이</t>
  </si>
  <si>
    <t>786</t>
  </si>
  <si>
    <t>20260210361959</t>
  </si>
  <si>
    <t>787</t>
  </si>
  <si>
    <t>20260210361974</t>
  </si>
  <si>
    <t>박*인</t>
  </si>
  <si>
    <t>788</t>
  </si>
  <si>
    <t>20260210362007</t>
  </si>
  <si>
    <t>789</t>
  </si>
  <si>
    <t>20260210360828</t>
  </si>
  <si>
    <t>790</t>
  </si>
  <si>
    <t>20260210360893</t>
  </si>
  <si>
    <t>791</t>
  </si>
  <si>
    <t>20260210360092</t>
  </si>
  <si>
    <t>김*엽</t>
  </si>
  <si>
    <t>792</t>
  </si>
  <si>
    <t>20260210360272</t>
  </si>
  <si>
    <t>793</t>
  </si>
  <si>
    <t>20260210361097</t>
  </si>
  <si>
    <t>794</t>
  </si>
  <si>
    <t>20260210360282</t>
  </si>
  <si>
    <t>795</t>
  </si>
  <si>
    <t>20260210361403</t>
  </si>
  <si>
    <t>796</t>
  </si>
  <si>
    <t>20260210360433</t>
  </si>
  <si>
    <t>797</t>
  </si>
  <si>
    <t>20260210361474</t>
  </si>
  <si>
    <t>김*림</t>
  </si>
  <si>
    <t>798</t>
  </si>
  <si>
    <t>20260210360656</t>
  </si>
  <si>
    <t>정*혜</t>
  </si>
  <si>
    <t>799</t>
  </si>
  <si>
    <t>20260210361500</t>
  </si>
  <si>
    <t>안*순</t>
  </si>
  <si>
    <t>800</t>
  </si>
  <si>
    <t>20260210360722</t>
  </si>
  <si>
    <t>801</t>
  </si>
  <si>
    <t>20260210361757</t>
  </si>
  <si>
    <t>802</t>
  </si>
  <si>
    <t>20260210360526</t>
  </si>
  <si>
    <t>문*은</t>
  </si>
  <si>
    <t>803</t>
  </si>
  <si>
    <t>20260210361758</t>
  </si>
  <si>
    <t>박*란</t>
  </si>
  <si>
    <t>804</t>
  </si>
  <si>
    <t>20260210361268</t>
  </si>
  <si>
    <t>805</t>
  </si>
  <si>
    <t>20260210361522</t>
  </si>
  <si>
    <t>806</t>
  </si>
  <si>
    <t>20260210362264</t>
  </si>
  <si>
    <t>807</t>
  </si>
  <si>
    <t>20260210360898</t>
  </si>
  <si>
    <t>808</t>
  </si>
  <si>
    <t>20260210360968</t>
  </si>
  <si>
    <t>809</t>
  </si>
  <si>
    <t>20260210361315</t>
  </si>
  <si>
    <t>정*칠</t>
  </si>
  <si>
    <t>810</t>
  </si>
  <si>
    <t>20260210364732</t>
  </si>
  <si>
    <t>811</t>
  </si>
  <si>
    <t>20260210361752</t>
  </si>
  <si>
    <t>812</t>
  </si>
  <si>
    <t>20260210361404</t>
  </si>
  <si>
    <t>813</t>
  </si>
  <si>
    <t>20260210361750</t>
  </si>
  <si>
    <t>장*진</t>
  </si>
  <si>
    <t>814</t>
  </si>
  <si>
    <t>20260210361384</t>
  </si>
  <si>
    <t>815</t>
  </si>
  <si>
    <t>816</t>
  </si>
  <si>
    <t>20260210360899</t>
  </si>
  <si>
    <t>817</t>
  </si>
  <si>
    <t>20260210360206</t>
  </si>
  <si>
    <t>818</t>
  </si>
  <si>
    <t>20260210360674</t>
  </si>
  <si>
    <t>819</t>
  </si>
  <si>
    <t>20260210361998</t>
  </si>
  <si>
    <t>한*자</t>
  </si>
  <si>
    <t>820</t>
  </si>
  <si>
    <t>20260210362210</t>
  </si>
  <si>
    <t>임*애</t>
  </si>
  <si>
    <t>821</t>
  </si>
  <si>
    <t>20260210361648</t>
  </si>
  <si>
    <t>822</t>
  </si>
  <si>
    <t>20260210361577</t>
  </si>
  <si>
    <t>823</t>
  </si>
  <si>
    <t>20260210361256</t>
  </si>
  <si>
    <t>824</t>
  </si>
  <si>
    <t>20260210361264</t>
  </si>
  <si>
    <t>김*세</t>
  </si>
  <si>
    <t>825</t>
  </si>
  <si>
    <t>20260210360518</t>
  </si>
  <si>
    <t>826</t>
  </si>
  <si>
    <t>20260210361362</t>
  </si>
  <si>
    <t>827</t>
  </si>
  <si>
    <t>20260210361601</t>
  </si>
  <si>
    <t>828</t>
  </si>
  <si>
    <t>20260210361654</t>
  </si>
  <si>
    <t>829</t>
  </si>
  <si>
    <t>20260210360588</t>
  </si>
  <si>
    <t>830</t>
  </si>
  <si>
    <t>20260210361176</t>
  </si>
  <si>
    <t>신*숙</t>
  </si>
  <si>
    <t>831</t>
  </si>
  <si>
    <t>20260210362003</t>
  </si>
  <si>
    <t>윤*근</t>
  </si>
  <si>
    <t>832</t>
  </si>
  <si>
    <t>20260210360969</t>
  </si>
  <si>
    <t>833</t>
  </si>
  <si>
    <t>20260210361596</t>
  </si>
  <si>
    <t>834</t>
  </si>
  <si>
    <t>20260210361138</t>
  </si>
  <si>
    <t>함*희</t>
  </si>
  <si>
    <t>835</t>
  </si>
  <si>
    <t>20260210361906</t>
  </si>
  <si>
    <t>김*춘</t>
  </si>
  <si>
    <t>836</t>
  </si>
  <si>
    <t>20260210360875</t>
  </si>
  <si>
    <t>837</t>
  </si>
  <si>
    <t>20260210360271</t>
  </si>
  <si>
    <t>박*수</t>
  </si>
  <si>
    <t>838</t>
  </si>
  <si>
    <t>20260210360371</t>
  </si>
  <si>
    <t>839</t>
  </si>
  <si>
    <t>20260210361908</t>
  </si>
  <si>
    <t>840</t>
  </si>
  <si>
    <t>20260210360177</t>
  </si>
  <si>
    <t>우*민</t>
  </si>
  <si>
    <t>841</t>
  </si>
  <si>
    <t>20260210360979</t>
  </si>
  <si>
    <t>842</t>
  </si>
  <si>
    <t>20260210361530</t>
  </si>
  <si>
    <t>남**선</t>
  </si>
  <si>
    <t>843</t>
  </si>
  <si>
    <t>20260210361628</t>
  </si>
  <si>
    <t>844</t>
  </si>
  <si>
    <t>20260210360293</t>
  </si>
  <si>
    <t>홍*상</t>
  </si>
  <si>
    <t>845</t>
  </si>
  <si>
    <t>20260210361554</t>
  </si>
  <si>
    <t>846</t>
  </si>
  <si>
    <t>20260210360720</t>
  </si>
  <si>
    <t>847</t>
  </si>
  <si>
    <t>20260210360283</t>
  </si>
  <si>
    <t>848</t>
  </si>
  <si>
    <t>20260210361227</t>
  </si>
  <si>
    <t>최*주</t>
  </si>
  <si>
    <t>849</t>
  </si>
  <si>
    <t>20260210367975</t>
  </si>
  <si>
    <t>850</t>
  </si>
  <si>
    <t>20260205994463</t>
  </si>
  <si>
    <t>최*경</t>
  </si>
  <si>
    <t>851</t>
  </si>
  <si>
    <t>20260210360499</t>
  </si>
  <si>
    <t>홍*희</t>
  </si>
  <si>
    <t>852</t>
  </si>
  <si>
    <t>20260210361304</t>
  </si>
  <si>
    <t>853</t>
  </si>
  <si>
    <t>20260210361296</t>
  </si>
  <si>
    <t>854</t>
  </si>
  <si>
    <t>20260210361578</t>
  </si>
  <si>
    <t>855</t>
  </si>
  <si>
    <t>20260210360604</t>
  </si>
  <si>
    <t>856</t>
  </si>
  <si>
    <t>20260210361837</t>
  </si>
  <si>
    <t>857</t>
  </si>
  <si>
    <t>858</t>
  </si>
  <si>
    <t>20260210360558</t>
  </si>
  <si>
    <t>허*자</t>
  </si>
  <si>
    <t>859</t>
  </si>
  <si>
    <t>20260210360940</t>
  </si>
  <si>
    <t>조*창</t>
  </si>
  <si>
    <t>860</t>
  </si>
  <si>
    <t>861</t>
  </si>
  <si>
    <t>20260210360612</t>
  </si>
  <si>
    <t>862</t>
  </si>
  <si>
    <t>20260210361645</t>
  </si>
  <si>
    <t>863</t>
  </si>
  <si>
    <t>20260210362008</t>
  </si>
  <si>
    <t>손*화</t>
  </si>
  <si>
    <t>864</t>
  </si>
  <si>
    <t>20260210360697</t>
  </si>
  <si>
    <t>865</t>
  </si>
  <si>
    <t>20260210362079</t>
  </si>
  <si>
    <t>866</t>
  </si>
  <si>
    <t>20260210361307</t>
  </si>
  <si>
    <t>이*재</t>
  </si>
  <si>
    <t>867</t>
  </si>
  <si>
    <t>20260210360709</t>
  </si>
  <si>
    <t>배*영</t>
  </si>
  <si>
    <t>868</t>
  </si>
  <si>
    <t>20260210361913</t>
  </si>
  <si>
    <t>869</t>
  </si>
  <si>
    <t>20260210360756</t>
  </si>
  <si>
    <t>문*수</t>
  </si>
  <si>
    <t>870</t>
  </si>
  <si>
    <t>20260210361263</t>
  </si>
  <si>
    <t>강*은</t>
  </si>
  <si>
    <t>871</t>
  </si>
  <si>
    <t>20260210361539</t>
  </si>
  <si>
    <t>872</t>
  </si>
  <si>
    <t>20260210361940</t>
  </si>
  <si>
    <t>873</t>
  </si>
  <si>
    <t>20260210362078</t>
  </si>
  <si>
    <t>윤*애</t>
  </si>
  <si>
    <t>874</t>
  </si>
  <si>
    <t>20260210361721</t>
  </si>
  <si>
    <t>875</t>
  </si>
  <si>
    <t>20260210361178</t>
  </si>
  <si>
    <t>상*식</t>
  </si>
  <si>
    <t>876</t>
  </si>
  <si>
    <t>20260210360216</t>
  </si>
  <si>
    <t>877</t>
  </si>
  <si>
    <t>20260210360543</t>
  </si>
  <si>
    <t>강*희</t>
  </si>
  <si>
    <t>878</t>
  </si>
  <si>
    <t>20260210361735</t>
  </si>
  <si>
    <t>879</t>
  </si>
  <si>
    <t>20260210360908</t>
  </si>
  <si>
    <t>송*호</t>
  </si>
  <si>
    <t>2026-02-13</t>
  </si>
  <si>
    <t>880</t>
  </si>
  <si>
    <t>20260210342835</t>
  </si>
  <si>
    <t>판매채널</t>
  </si>
  <si>
    <t>주문일</t>
  </si>
  <si>
    <t>세트수량</t>
  </si>
  <si>
    <t>판매수량</t>
  </si>
  <si>
    <t>총판매가</t>
  </si>
  <si>
    <t>실정산금액</t>
  </si>
  <si>
    <t>원가</t>
  </si>
  <si>
    <t>총원가</t>
  </si>
  <si>
    <t>누적판매</t>
  </si>
  <si>
    <t>현재고</t>
  </si>
  <si>
    <t>재고상태</t>
  </si>
  <si>
    <t>발주수량</t>
  </si>
  <si>
    <t>📦 재고 관리 로직</t>
  </si>
  <si>
    <t>현재고:</t>
  </si>
  <si>
    <t>기초재고 - 누적소비수량</t>
  </si>
  <si>
    <t>누적판매:</t>
  </si>
  <si>
    <t>정규화데이터에서 실제 SKU 소비수량 합계</t>
  </si>
  <si>
    <t>(세트수량 반영됨)</t>
  </si>
  <si>
    <t>재고상태:</t>
  </si>
  <si>
    <t>현재고 &lt; 안전재고</t>
  </si>
  <si>
    <t>⚠️ 발주필요</t>
  </si>
  <si>
    <t>⚡ 주의</t>
  </si>
  <si>
    <t>현재고 &lt; 안전재고×1.5</t>
  </si>
  <si>
    <t>✅ 정상</t>
  </si>
  <si>
    <t>그 외 정상 재고</t>
  </si>
  <si>
    <t>발주수량:</t>
  </si>
  <si>
    <t>안전재고의 3배까지 발주</t>
  </si>
  <si>
    <t>사용법:</t>
  </si>
  <si>
    <t>(현재고 부족 시)</t>
  </si>
  <si>
    <t>A2:H2를 아래로 복사하면 모든 SKU 자동 계산</t>
  </si>
  <si>
    <t>VAT제외금액</t>
  </si>
  <si>
    <t>공헌이익율</t>
  </si>
  <si>
    <t>물류사명</t>
  </si>
  <si>
    <t>택배비</t>
  </si>
  <si>
    <t>보관료(1.2%)</t>
  </si>
  <si>
    <t>작업료(포장)</t>
  </si>
  <si>
    <t>아이스박스/박스</t>
  </si>
  <si>
    <t>아이스팩</t>
  </si>
  <si>
    <t>보냉비닐</t>
  </si>
  <si>
    <t>드라이아이스</t>
  </si>
  <si>
    <t>OPP테이프</t>
  </si>
  <si>
    <t>최종수정일</t>
  </si>
  <si>
    <t>정인</t>
  </si>
  <si>
    <t>현재 사용 중</t>
  </si>
  <si>
    <t>📌 사용 안내</t>
  </si>
  <si>
    <t>파란색 숫자</t>
  </si>
  <si>
    <t>사용자가 수정 가능한 항목</t>
  </si>
  <si>
    <t>💡 계산 방식</t>
  </si>
  <si>
    <t>총 물류비</t>
  </si>
  <si>
    <t>택배비 + 작업료 + 아이스박스 + 아이스팩 + 보냉비닐 + 드라이아이스 + OPP테이프</t>
  </si>
  <si>
    <t>번호</t>
  </si>
  <si>
    <t>묶음배송번호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</si>
  <si>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</si>
  <si>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</si>
  <si>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</si>
  <si>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</si>
  <si>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</si>
  <si>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</si>
  <si>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</si>
  <si>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</si>
  <si>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</si>
  <si>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</si>
  <si>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</si>
  <si>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</si>
  <si>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</si>
  <si>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</si>
  <si>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</si>
  <si>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</si>
  <si>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</si>
  <si>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</si>
  <si>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</si>
  <si>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</si>
  <si>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</si>
  <si>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</si>
  <si>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</si>
  <si>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</si>
  <si>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</si>
  <si>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</si>
  <si>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</si>
  <si>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</si>
  <si>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</si>
  <si>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</si>
  <si>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</si>
  <si>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</si>
  <si>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</si>
  <si>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</si>
  <si>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</si>
  <si>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</si>
  <si>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한진택배</t>
  </si>
  <si>
    <t>분리배송불가</t>
  </si>
  <si>
    <t>300g 1개</t>
  </si>
  <si>
    <t>워커힐 시그니처 양념 본갈비 300g, 1개 (1개 300g)</t>
  </si>
  <si>
    <t>워커힐 시그니처 양념 본갈비 300g,300g 1개</t>
  </si>
  <si>
    <t>무료</t>
  </si>
  <si>
    <t>이정례</t>
  </si>
  <si>
    <t>0502-4122-2717</t>
  </si>
  <si>
    <t>경기도 김포시 월곶면 용강로57번길 31-5 1층</t>
  </si>
  <si>
    <t>문 앞</t>
  </si>
  <si>
    <t>안드로이드앱</t>
  </si>
  <si>
    <t>판매자 배송</t>
  </si>
  <si>
    <t>서은경</t>
  </si>
  <si>
    <t>0502-1697-1836</t>
  </si>
  <si>
    <t>서울특별시 동대문구 한천로37길 33 래미안 엘파인 아파트, 108동 1103호 ( 답십리동, 래미안엘파인아파트 )</t>
  </si>
  <si>
    <t>아이폰앱</t>
  </si>
  <si>
    <t>이미숙</t>
  </si>
  <si>
    <t>0502-5119-6719</t>
  </si>
  <si>
    <t>충청남도 천안시 서북구 공원로 196 103동2002호 ( 불당동, 펜타포트 )</t>
  </si>
  <si>
    <t>김원정</t>
  </si>
  <si>
    <t>0502-5175-0051</t>
  </si>
  <si>
    <t>강원특별자치도 삼척시 건지동 173 건지주공아파트 106동 906호</t>
  </si>
  <si>
    <t>300g 2개</t>
  </si>
  <si>
    <t>워커힐 시그니처 양념 본갈비 300g, 2개 (2개 300g)</t>
  </si>
  <si>
    <t>워커힐 시그니처 양념 본갈비 300g,300g 2개</t>
  </si>
  <si>
    <t>최복임</t>
  </si>
  <si>
    <t>0502-5169-1516</t>
  </si>
  <si>
    <t>서울특별시 도봉구 해등로 118 2동 207호(상아1차 @) ( 창동, 상아1차아파트 )</t>
  </si>
  <si>
    <t>300g 4개</t>
  </si>
  <si>
    <t>워커힐 시그니처 양념 본갈비 300g, 4개 (4개 300g)</t>
  </si>
  <si>
    <t>워커힐 시그니처 양념 본갈비 300g,300g 4개</t>
  </si>
  <si>
    <t>최명신</t>
  </si>
  <si>
    <t>0504-1889-4017</t>
  </si>
  <si>
    <t>서울특별시 구로구 구로동 1263 신도림롯데아파트 108동 901호</t>
  </si>
  <si>
    <t>함미자</t>
  </si>
  <si>
    <t>0504-2720-8765</t>
  </si>
  <si>
    <t>서울특별시 강동구 아리수로97길 20 강일리버507동901호 ( 강일동, 강일리버파크5단지아파트 )</t>
  </si>
  <si>
    <t>송현근</t>
  </si>
  <si>
    <t>0502-5003-2593</t>
  </si>
  <si>
    <t>서울특별시 용산구 유엔빌리지길 94 조이하우스 B101호(B1F) 엘레베이터 타시고 지하1층입니다. ( 한남동 )</t>
  </si>
  <si>
    <t>PC웹</t>
  </si>
  <si>
    <t>박영애</t>
  </si>
  <si>
    <t>0502-1688-7274</t>
  </si>
  <si>
    <t>서울특별시 마포구 성산동 13-21 예림아너스빌 301호</t>
  </si>
  <si>
    <t>장경남</t>
  </si>
  <si>
    <t>0502-1585-1491</t>
  </si>
  <si>
    <t>경기도 고양시 일산동구 장항동 877 호수마을3단지아파트 314동902호</t>
  </si>
  <si>
    <t>이은신</t>
  </si>
  <si>
    <t>0502-1811-1690</t>
  </si>
  <si>
    <t>경기도 안양시 동안구 동편로 80 동편마을204동1004호 ( 관양동, 동편마을2단지 )</t>
  </si>
  <si>
    <t>도착전에 연락바랍니다  수고하세요</t>
  </si>
  <si>
    <t>조현경</t>
  </si>
  <si>
    <t>0504-1314-8287</t>
  </si>
  <si>
    <t>서울 송파구 잠실4동 파크리오아파트 115동204호</t>
  </si>
  <si>
    <t>이인숙</t>
  </si>
  <si>
    <t>0504-3476-6324</t>
  </si>
  <si>
    <t>경기도 고양시 일산동구 장항동 호수마을 푸르지오 102동2104호</t>
  </si>
  <si>
    <t>직접 받고 부재 시 문 앞</t>
  </si>
  <si>
    <t>황복연</t>
  </si>
  <si>
    <t>0504-3494-0413</t>
  </si>
  <si>
    <t>서울특별시 종로구 부암동 245-1 1층(배송은2층자동문 들어와서 오른쪽 3번택배함에 요청)</t>
  </si>
  <si>
    <t>2층자동문 들어와서 오른쪽 3번택배함에 넣어주세요.</t>
  </si>
  <si>
    <t>김성옥</t>
  </si>
  <si>
    <t>0504-3431-5415</t>
  </si>
  <si>
    <t>서울특별시 영등포구 당산동2가 16-1 대우아파트 101동1710호</t>
  </si>
  <si>
    <t>상품주문번호</t>
  </si>
  <si>
    <t>배송속성</t>
  </si>
  <si>
    <t>풀필먼트사(주문 기준)</t>
  </si>
  <si>
    <t>택배사(주문 기준)</t>
  </si>
  <si>
    <t>배송방법(구매자 요청)</t>
  </si>
  <si>
    <t>배송방법</t>
  </si>
  <si>
    <t>송장번호</t>
  </si>
  <si>
    <t>발송일</t>
  </si>
  <si>
    <t>구매자명</t>
  </si>
  <si>
    <t>구매자ID</t>
  </si>
  <si>
    <t>수취인명</t>
  </si>
  <si>
    <t>주문상태</t>
  </si>
  <si>
    <t>주문세부상태</t>
  </si>
  <si>
    <t>수량클레임 여부</t>
  </si>
  <si>
    <t>결제일</t>
  </si>
  <si>
    <t>상품번호</t>
  </si>
  <si>
    <t>상품종류</t>
  </si>
  <si>
    <t>반품안심케어</t>
  </si>
  <si>
    <t>멤버십N배송</t>
  </si>
  <si>
    <t>옵션정보</t>
  </si>
  <si>
    <t>옵션관리코드</t>
  </si>
  <si>
    <t>수량</t>
  </si>
  <si>
    <t>옵션가격</t>
  </si>
  <si>
    <t>상품가격</t>
  </si>
  <si>
    <t>최종 상품별 할인액</t>
  </si>
  <si>
    <t>최초 상품별 할인액</t>
  </si>
  <si>
    <t>판매자 부담 할인액</t>
  </si>
  <si>
    <t>최종 상품별 총 주문금액</t>
  </si>
  <si>
    <t>최초 상품별 총 주문금액</t>
  </si>
  <si>
    <t>사은품</t>
  </si>
  <si>
    <t>발주확인일</t>
  </si>
  <si>
    <t>발송기한</t>
  </si>
  <si>
    <t>발송처리일</t>
  </si>
  <si>
    <t>송장출력일</t>
  </si>
  <si>
    <t>배송비 형태</t>
  </si>
  <si>
    <t>배송비 묶음번호</t>
  </si>
  <si>
    <t>배송비 유형</t>
  </si>
  <si>
    <t>배송비 합계</t>
  </si>
  <si>
    <t>제주/도서 추가배송비</t>
  </si>
  <si>
    <t>배송비 할인액</t>
  </si>
  <si>
    <t>판매자 상품코드</t>
  </si>
  <si>
    <t>판매자 내부코드1</t>
  </si>
  <si>
    <t>판매자 내부코드2</t>
  </si>
  <si>
    <t>수취인연락처1</t>
  </si>
  <si>
    <t>수취인연락처2</t>
  </si>
  <si>
    <t>통합배송지</t>
  </si>
  <si>
    <t>기본배송지</t>
  </si>
  <si>
    <t>상세배송지</t>
  </si>
  <si>
    <t>구매자연락처</t>
  </si>
  <si>
    <t>출고지</t>
  </si>
  <si>
    <t>결제수단</t>
  </si>
  <si>
    <t>네이버페이 주문관리 수수료</t>
  </si>
  <si>
    <t>매출연동 수수료</t>
  </si>
  <si>
    <t>정산예정금액</t>
  </si>
  <si>
    <t>개인통관고유부호</t>
  </si>
  <si>
    <t>주문일시</t>
  </si>
  <si>
    <t>배송희망일</t>
  </si>
  <si>
    <t>구독신청회차</t>
  </si>
  <si>
    <t>구독진행회차</t>
  </si>
  <si>
    <t>구독배송희망일</t>
  </si>
  <si>
    <t>배송태그 유형</t>
  </si>
  <si>
    <t>출입방법 유형</t>
  </si>
  <si>
    <t>출입방법 내용</t>
  </si>
  <si>
    <t>수령위치 유형</t>
  </si>
  <si>
    <t>수령위치 내용</t>
  </si>
  <si>
    <t>일반배송</t>
  </si>
  <si>
    <t>택배,등기,소포</t>
  </si>
  <si>
    <t>스마트스토어</t>
  </si>
  <si>
    <t>이진우</t>
  </si>
  <si>
    <t>jinu****</t>
  </si>
  <si>
    <t>발송대기</t>
  </si>
  <si>
    <t>발주확인</t>
  </si>
  <si>
    <t>N</t>
  </si>
  <si>
    <t>PC</t>
  </si>
  <si>
    <t>단일상품</t>
  </si>
  <si>
    <t>비대상</t>
  </si>
  <si>
    <t>조건부무료</t>
  </si>
  <si>
    <t>010-4516-7881</t>
  </si>
  <si>
    <t>서울특별시 구로구 구로동로47길 24 (구로동, 구로중앙하이츠아파트) 102-906</t>
  </si>
  <si>
    <t>서울특별시 구로구 구로동로47길 24 (구로동, 구로중앙하이츠아파트)</t>
  </si>
  <si>
    <t>102-906</t>
  </si>
  <si>
    <t>(10318) 경기도 고양시 일산동구 동국로245번길 53</t>
  </si>
  <si>
    <t>신용카드 간편결제</t>
  </si>
  <si>
    <t>선우동국</t>
  </si>
  <si>
    <t>alei****</t>
  </si>
  <si>
    <t>010-3090-6765</t>
  </si>
  <si>
    <t>서울특별시 동대문구 사가정로 190 (전농동, 전농우성아파트) 3동 1103호</t>
  </si>
  <si>
    <t>서울특별시 동대문구 사가정로 190 (전농동, 전농우성아파트)</t>
  </si>
  <si>
    <t>3동 1103호</t>
  </si>
  <si>
    <t>dmsr*****</t>
  </si>
  <si>
    <t>MOBILE</t>
  </si>
  <si>
    <t>010-7470-6174</t>
  </si>
  <si>
    <t>서울특별시 동대문구 한천로37길 33 (답십리동, 래미안엘파인아파트) 108동 1103호</t>
  </si>
  <si>
    <t>서울특별시 동대문구 한천로37길 33 (답십리동, 래미안엘파인아파트)</t>
  </si>
  <si>
    <t>108동 1103호</t>
  </si>
  <si>
    <t>현정화</t>
  </si>
  <si>
    <t>kk****</t>
  </si>
  <si>
    <t>010-8718-8985</t>
  </si>
  <si>
    <t>경기도 고양시 덕양구 대덕산로 21 (덕은동, DMC자이 더 포레리버뷰) 104동 804호</t>
  </si>
  <si>
    <t>경기도 고양시 덕양구 대덕산로 21 (덕은동, DMC자이 더 포레리버뷰)</t>
  </si>
  <si>
    <t>104동 804호</t>
  </si>
  <si>
    <t>결제번호</t>
  </si>
  <si>
    <t>배송지/수신자정보 입력일</t>
  </si>
  <si>
    <t>채널상품번호</t>
  </si>
  <si>
    <t>옵션</t>
  </si>
  <si>
    <t>택배사코드</t>
  </si>
  <si>
    <t>수령인명</t>
  </si>
  <si>
    <t>수령인연락처1</t>
  </si>
  <si>
    <t>하이픈포함 수령인연락처1</t>
  </si>
  <si>
    <t>수령인연락처2</t>
  </si>
  <si>
    <t>하이픈포함 수령인연락처2</t>
  </si>
  <si>
    <t>배송지주소</t>
  </si>
  <si>
    <t>타입</t>
  </si>
  <si>
    <t>발송예정일</t>
  </si>
  <si>
    <t>배송지연출고일</t>
  </si>
  <si>
    <t>상품금액</t>
  </si>
  <si>
    <t>옵션금액</t>
  </si>
  <si>
    <t>판매자할인금액</t>
  </si>
  <si>
    <t>판매자쿠폰할인금액</t>
  </si>
  <si>
    <t>정산기준금액</t>
  </si>
  <si>
    <t>기본수수료</t>
  </si>
  <si>
    <t>노출추가수수료</t>
  </si>
  <si>
    <t>추천리워드수수료</t>
  </si>
  <si>
    <t>수수료할인금액</t>
  </si>
  <si>
    <t>모델명</t>
  </si>
  <si>
    <t>판매자상품번호</t>
  </si>
  <si>
    <t>옵션코드</t>
  </si>
  <si>
    <t>최초배송비번호</t>
  </si>
  <si>
    <t>배송비지불방법</t>
  </si>
  <si>
    <t>기본배송비 유형</t>
  </si>
  <si>
    <t>기본배송비 금액</t>
  </si>
  <si>
    <t>도서산간 추가 배송비 금액</t>
  </si>
  <si>
    <t>유입경로</t>
  </si>
  <si>
    <t>톡딜여부</t>
  </si>
  <si>
    <t>상품유형</t>
  </si>
  <si>
    <t xml:space="preserve">biz판매여부 </t>
  </si>
  <si>
    <t>301 배송 준비 중</t>
  </si>
  <si>
    <t>택배배송</t>
  </si>
  <si>
    <t>서O경</t>
  </si>
  <si>
    <t>서울 동대문구 한천로33길 11 (답십리동, 래미안엘파인아파트) 108동 1103호</t>
  </si>
  <si>
    <t>톡스토어</t>
  </si>
  <si>
    <t>선불</t>
  </si>
  <si>
    <t>조건부 무료</t>
  </si>
  <si>
    <t>톡딜</t>
  </si>
  <si>
    <t>배송</t>
  </si>
  <si>
    <t>이O아</t>
  </si>
  <si>
    <t>010-7558-1194</t>
  </si>
  <si>
    <t>충북 충주시 염밭로 22 (용산동, 남산동일하이빌) 110-603</t>
  </si>
  <si>
    <t>010-4178-6174</t>
  </si>
  <si>
    <t>서울 동대문구 한천로33길 11 (답십리동, 래미안엘파인아파트) 래미안엘파인108동1103호</t>
  </si>
  <si>
    <t>오O미</t>
  </si>
  <si>
    <t>010-4713-0595</t>
  </si>
  <si>
    <t>충북 충주시 지현천변2길 27-1 (지현동, 태영하이츠타운2차) 8동201호</t>
  </si>
  <si>
    <t>유O옥</t>
  </si>
  <si>
    <t>010-3329-2563</t>
  </si>
  <si>
    <t>서울 강서구 강서로18가길 7-15 (화곡동, 이수아트빌) 이수아트빌 503호</t>
  </si>
  <si>
    <t>주문자명</t>
  </si>
  <si>
    <t>주문자연락처</t>
  </si>
  <si>
    <t>주문자휴대폰</t>
  </si>
  <si>
    <t>수령인</t>
  </si>
  <si>
    <t>수령인연락처</t>
  </si>
  <si>
    <t>수령인휴대폰</t>
  </si>
  <si>
    <t>전체주소(도로명)</t>
  </si>
  <si>
    <t>전체주소(지번)</t>
  </si>
  <si>
    <t>(추가) 옵션</t>
  </si>
  <si>
    <t>(추가) 정산금액</t>
  </si>
  <si>
    <t>공급가</t>
  </si>
  <si>
    <t>보낼수량</t>
  </si>
  <si>
    <t>사용자메모</t>
  </si>
  <si>
    <t>상품고유번호</t>
  </si>
  <si>
    <t>출고상품번호</t>
  </si>
  <si>
    <t>보낸수량</t>
  </si>
  <si>
    <t>정산금액</t>
  </si>
  <si>
    <t>매출(vat-)</t>
  </si>
  <si>
    <t>발주일자</t>
  </si>
  <si>
    <t>편경화</t>
  </si>
  <si>
    <t>010-6268-4062</t>
  </si>
  <si>
    <t>경기 안양시 만안구 안양천서로 357 안양역한양수자인리버파크 101동 2404호</t>
  </si>
  <si>
    <t>워커힐 본갈비 3+1 최초❤️5만원대! 총1.2kg✨호텔특제 양념갈비 8인분 (✨1인분 7,375원꼴! / [300g,2인분] x 총 4팩  / ✨초이스등급 본갈비 / ❣️워커힐 특제 비법소스)</t>
  </si>
  <si>
    <t>✨1인분 7,375원꼴! / [300g,2인분] x 총 4팩  / ✨초이스등급 본갈비 / ❣️워커힐 특제 비법소스)</t>
  </si>
  <si>
    <t>OPT-2474637-2720942</t>
  </si>
  <si>
    <t>CJ대한통운</t>
  </si>
  <si>
    <t>정희순</t>
  </si>
  <si>
    <t>010-8509-1977</t>
  </si>
  <si>
    <t>부산 남구 전포대로20번길 15 102동 2402호</t>
  </si>
  <si>
    <t>문 앞에 놔주세요.</t>
  </si>
  <si>
    <t>OPT-2474614-2720917</t>
  </si>
  <si>
    <t>서경수</t>
  </si>
  <si>
    <t>010-3268-6326</t>
  </si>
  <si>
    <t>인천광역시 서구 봉오재1로 49 (신현동, 루원시티루에블리) 806동2203호</t>
  </si>
  <si>
    <t>OPT-2474611-2720914</t>
  </si>
  <si>
    <t>유경태</t>
  </si>
  <si>
    <t>010-7104-8919</t>
  </si>
  <si>
    <t>서울 은평구 갈현로1길 31 103동701호</t>
  </si>
  <si>
    <t>OPT-2474591-2720893</t>
  </si>
  <si>
    <t>김남희</t>
  </si>
  <si>
    <t>010-5018-5129</t>
  </si>
  <si>
    <t>충남 서산시 부춘2로 47 대림동신아파트 202동1308호</t>
  </si>
  <si>
    <t>OPT-2474590-2720892</t>
  </si>
  <si>
    <t>노 도빈</t>
  </si>
  <si>
    <t>010-5095-3185</t>
  </si>
  <si>
    <t>서울특별시 강남구 선릉로 221 (도곡동, 도곡렉슬아파트) 212동 201호</t>
  </si>
  <si>
    <t>OPT-2474583-2720885</t>
  </si>
  <si>
    <t>김인경</t>
  </si>
  <si>
    <t>010-4276-8831</t>
  </si>
  <si>
    <t>경기도 성남시 분당구 백현로 105 (수내동) B동 1601</t>
  </si>
  <si>
    <t>OPT-2474579-2720881</t>
  </si>
  <si>
    <t>김성민</t>
  </si>
  <si>
    <t>010-2499-3939</t>
  </si>
  <si>
    <t>010-2799-5539</t>
  </si>
  <si>
    <t>서울 광진구 아차산로76길 31 102동805호(광장동, 광나루현대아파트)</t>
  </si>
  <si>
    <t>문앞</t>
  </si>
  <si>
    <t>OPT-2474568-2720870</t>
  </si>
  <si>
    <t>신현정</t>
  </si>
  <si>
    <t>010-8395-9816</t>
  </si>
  <si>
    <t>서울 중랑구 동일로 752 중화한신아파트 105동2106호</t>
  </si>
  <si>
    <t>OPT-2474500-2720801</t>
  </si>
  <si>
    <t>zzangbc</t>
  </si>
  <si>
    <t>010-8931-5099</t>
  </si>
  <si>
    <t>전북특별자치도 김제시 남북3길 10 오베르힐1201</t>
  </si>
  <si>
    <t>문앞에 놔주시고 문자주세요</t>
  </si>
  <si>
    <t>OPT-2474485-2720782</t>
  </si>
  <si>
    <t>오경숙</t>
  </si>
  <si>
    <t>010-9052-5262</t>
  </si>
  <si>
    <t>전북특별자치도 완주군 소양면 신교응암길 95-28 단독주택</t>
  </si>
  <si>
    <t>OPT-2474476-2720770</t>
  </si>
  <si>
    <t>김민정</t>
  </si>
  <si>
    <t>010-9995-6948</t>
  </si>
  <si>
    <t>경기 수원시 권선구 권광로 55 122동1104호</t>
  </si>
  <si>
    <t>OPT-2474473-2720767</t>
  </si>
  <si>
    <t>eunhee</t>
  </si>
  <si>
    <t>010-5642-1975</t>
  </si>
  <si>
    <t>경기 이천시 대월면 대산로288번길 72 카페드르와</t>
  </si>
  <si>
    <t>OPT-2474470-2720764</t>
  </si>
  <si>
    <t>김민경</t>
  </si>
  <si>
    <t>010-9319-4939</t>
  </si>
  <si>
    <t>서울특별시 구로구 부일로 927 (궁동, 궁동 우남푸르미아아파트) 101동 503호</t>
  </si>
  <si>
    <t>OPT-2474469-2720763</t>
  </si>
  <si>
    <t>구동욱</t>
  </si>
  <si>
    <t>010-9479-1804</t>
  </si>
  <si>
    <t>대구 달서구 한실로 117 309동703호</t>
  </si>
  <si>
    <t>OPT-2474466-2720760</t>
  </si>
  <si>
    <t>지희</t>
  </si>
  <si>
    <t>010-6359-8751</t>
  </si>
  <si>
    <t>경기 파주시 하우고개길 183 104-101</t>
  </si>
  <si>
    <t>OPT-2474457-2720749</t>
  </si>
  <si>
    <t>김동길</t>
  </si>
  <si>
    <t>010-9919-7804</t>
  </si>
  <si>
    <t>대구광역시 동구 금강로16길 17-8 (신서동) 201호</t>
  </si>
  <si>
    <t>OPT-2474448-2720740</t>
  </si>
  <si>
    <t>예지</t>
  </si>
  <si>
    <t>010-4321-4906</t>
  </si>
  <si>
    <t>충남 천안시 서북구 오성8길 8 코지빌 403호</t>
  </si>
  <si>
    <t>OPT-2474438-2720728</t>
  </si>
  <si>
    <t>고종희</t>
  </si>
  <si>
    <t>010-3266-0597</t>
  </si>
  <si>
    <t>서울특별시 은평구 통일로 796 (불광동, 북한산 힐스테이트7차) 108동 202호</t>
  </si>
  <si>
    <t>OPT-2474427-2720716</t>
  </si>
  <si>
    <t>김진수</t>
  </si>
  <si>
    <t>010-4145-7149</t>
  </si>
  <si>
    <t>충남 보령시 명천로 106 105동 905호</t>
  </si>
  <si>
    <t>OPT-2474425-2720714</t>
  </si>
  <si>
    <t>김승환</t>
  </si>
  <si>
    <t>010-7920-5186</t>
  </si>
  <si>
    <t>엄순덕</t>
  </si>
  <si>
    <t>010-7702-2826</t>
  </si>
  <si>
    <t>강원특별자치도 원주시 지정면 조엄로 391 130동 1402호</t>
  </si>
  <si>
    <t>OPT-2474423-2720712</t>
  </si>
  <si>
    <t>신정민</t>
  </si>
  <si>
    <t>010-8918-6118</t>
  </si>
  <si>
    <t>jmin</t>
  </si>
  <si>
    <t>경기 성남시 분당구 판교대장로5길 58 1107동 1301호</t>
  </si>
  <si>
    <t>OPT-2474421-2720710</t>
  </si>
  <si>
    <t>황인아</t>
  </si>
  <si>
    <t>010-9107-3089</t>
  </si>
  <si>
    <t>서울 마포구 상암산로1길 92 701동 701호</t>
  </si>
  <si>
    <t>OPT-2474418-2720707</t>
  </si>
  <si>
    <t>김호종</t>
  </si>
  <si>
    <t>010-4611-1343</t>
  </si>
  <si>
    <t>경기도 용인시 수지구 손곡로 67 (동천동, 수진마을 우미 이노스빌) 301-106</t>
  </si>
  <si>
    <t>OPT-2474417-2720706</t>
  </si>
  <si>
    <t>김교욱</t>
  </si>
  <si>
    <t>010-9402-9909</t>
  </si>
  <si>
    <t>경기 용인시 수지구 동천로153번길 7 1102동 602호</t>
  </si>
  <si>
    <t>OPT-2474412-2720701</t>
  </si>
  <si>
    <t>문효진</t>
  </si>
  <si>
    <t>010-3382-1494</t>
  </si>
  <si>
    <t>서울 강동구 고덕로 333 118동 2102호</t>
  </si>
  <si>
    <t>문앞 배송후 문자부탁드립니다</t>
  </si>
  <si>
    <t>OPT-2474407-2720696</t>
  </si>
  <si>
    <t>Yumi Chun</t>
  </si>
  <si>
    <t>010-9011-3805</t>
  </si>
  <si>
    <t>경기 용인시 수지구 용구대로 2720 105동 1206호</t>
  </si>
  <si>
    <t>OPT-2474405-2720694</t>
  </si>
  <si>
    <t>임국찬</t>
  </si>
  <si>
    <t>010-5503-6926</t>
  </si>
  <si>
    <t>박순자</t>
  </si>
  <si>
    <t>전남 함평군 학교면 선암길 28-8 집앞</t>
  </si>
  <si>
    <t>대문 안쪽 집앞에 부탁드립니다</t>
  </si>
  <si>
    <t>OPT-2474398-2720685</t>
  </si>
  <si>
    <t>친절한 재무코치 희순</t>
  </si>
  <si>
    <t>010-9346-2780</t>
  </si>
  <si>
    <t>부산 수영구 광안해변로307번길 37 101호</t>
  </si>
  <si>
    <t>현관문안쪽두세요</t>
  </si>
  <si>
    <t>OPT-2474395-2720682</t>
  </si>
  <si>
    <t>코코넛</t>
  </si>
  <si>
    <t>010-7531-0337</t>
  </si>
  <si>
    <t>서울특별시 송파구 위례송파로 123 (거여동, 포레나송파) 1707동 603호</t>
  </si>
  <si>
    <t>드라이스 아이스 빵빵하게 부탁드립니다.</t>
  </si>
  <si>
    <t>OPT-2474394-2720681</t>
  </si>
  <si>
    <t>조종원</t>
  </si>
  <si>
    <t>010-3837-3626</t>
  </si>
  <si>
    <t>경남 양산시 동면 금오16길 65 경남 양산시 동면 금오16길65,106동2401호(남양산이편한세상1차)</t>
  </si>
  <si>
    <t>OPT-2474387-2720672</t>
  </si>
  <si>
    <t>최수연</t>
  </si>
  <si>
    <t>010-9984-1481</t>
  </si>
  <si>
    <t>서울 성북구 서경로 28 102동 1001호</t>
  </si>
  <si>
    <t>OPT-2474385-2720670</t>
  </si>
  <si>
    <t>Harry”</t>
  </si>
  <si>
    <t>010-8868-1996</t>
  </si>
  <si>
    <t>경기 성남시 분당구 판교백현로 38 101동 1201호</t>
  </si>
  <si>
    <t>OPT-2474381-2720665</t>
  </si>
  <si>
    <t>박진혁</t>
  </si>
  <si>
    <t>010-9158-3106</t>
  </si>
  <si>
    <t>경기 수원시 영통구 광교호수공원로 277 110동 4603호</t>
  </si>
  <si>
    <t>OPT-2474377-2720661</t>
  </si>
  <si>
    <t>구자봉</t>
  </si>
  <si>
    <t>010-3067-1884</t>
  </si>
  <si>
    <t>서울 강동구 고덕로 360 아르테온 아파트 323동705호</t>
  </si>
  <si>
    <t>아르테온 아파트 323동705호</t>
  </si>
  <si>
    <t>OPT-2474376-2720660</t>
  </si>
  <si>
    <t>이명열</t>
  </si>
  <si>
    <t>010-2730-5221</t>
  </si>
  <si>
    <t>명열</t>
  </si>
  <si>
    <t>경기 용인시 수지구 동천로135번길 21 1310-802</t>
  </si>
  <si>
    <t>OPT-2474370-2720653</t>
  </si>
  <si>
    <t>장효숙</t>
  </si>
  <si>
    <t>010-4733-0806</t>
  </si>
  <si>
    <t>장석경</t>
  </si>
  <si>
    <t>010-8419-0367</t>
  </si>
  <si>
    <t>제주특별자치도 제주시 과원로 11 부영2차 204동 910호</t>
  </si>
  <si>
    <t>OPT-2474362-2720644</t>
  </si>
  <si>
    <t>Jin 김현진</t>
  </si>
  <si>
    <t>010-4880-9223</t>
  </si>
  <si>
    <t>서울 서초구 남부순환로 2311-12 105-1901(방배래미안아트힐아파트)</t>
  </si>
  <si>
    <t>OPT-2474361-2720643</t>
  </si>
  <si>
    <t>단빈 송병선</t>
  </si>
  <si>
    <t>010-5360-4696</t>
  </si>
  <si>
    <t>송병선</t>
  </si>
  <si>
    <t>경기 부천시 원미구 부흥로 102 한아름한국아파트 1538동 103호</t>
  </si>
  <si>
    <t>OPT-2474355-2720635</t>
  </si>
  <si>
    <t>Jeeyoung</t>
  </si>
  <si>
    <t>010-9097-7084</t>
  </si>
  <si>
    <t>경기 의왕시 내손중앙로 11 1110-2504</t>
  </si>
  <si>
    <t>OPT-2474350-2720629</t>
  </si>
  <si>
    <t>제민맘짱</t>
  </si>
  <si>
    <t>010-4427-5129</t>
  </si>
  <si>
    <t>충청남도 천안시 서북구 한들3로 100 (백석동, 백석마을아이파크아파트) 114동 402호</t>
  </si>
  <si>
    <t>OPT-2474349-2720628</t>
  </si>
  <si>
    <t>chungyoul</t>
  </si>
  <si>
    <t>010-6360-8033</t>
  </si>
  <si>
    <t>서울특별시 마포구 월드컵로 338 (상암동, 상암월드컵파크 3단지) 309동301호</t>
  </si>
  <si>
    <t>OPT-2474341-2720620</t>
  </si>
  <si>
    <t>곽규환</t>
  </si>
  <si>
    <t>010-6389-1775</t>
  </si>
  <si>
    <t>경기도 성남시 분당구 판교대장로5길 20 (대장동, 판교 풍경채 어바니티 5단지) 502동 1003호</t>
  </si>
  <si>
    <t>OPT-2474340-2720619</t>
  </si>
  <si>
    <t>손민기(칡소)</t>
  </si>
  <si>
    <t>010-5217-7255</t>
  </si>
  <si>
    <t>경기 성남시 수정구 수정로 2 103동 706호(수진동,삼정그린뷰아파트)</t>
  </si>
  <si>
    <t>OPT-2474338-2720617</t>
  </si>
  <si>
    <t>최복식</t>
  </si>
  <si>
    <t>010-3198-2621</t>
  </si>
  <si>
    <t>부산광역시 기장군 정관읍 정관5로 12 (동원로얄듀크2차아파트) 214동 1705호</t>
  </si>
  <si>
    <t>OPT-2474337-2720616</t>
  </si>
  <si>
    <t>jihyun</t>
  </si>
  <si>
    <t>010-8501-9350</t>
  </si>
  <si>
    <t>부산광역시 동래구 명륜로 170 (명륜동, 명륜아이파크1단지) 107동 802호</t>
  </si>
  <si>
    <t>OPT-2474335-2720614</t>
  </si>
  <si>
    <t>이순분</t>
  </si>
  <si>
    <t>010-7135-4709</t>
  </si>
  <si>
    <t>인천광역시 부평구 아트센터로 118 (십정동, 동암신동아아파트) 신동아104동205호</t>
  </si>
  <si>
    <t>OPT-2474334-2720613</t>
  </si>
  <si>
    <t>시냇가에 심은 나무처럼~</t>
  </si>
  <si>
    <t>010-3412-0497</t>
  </si>
  <si>
    <t>서울 동작구 성대로 164 상도푸르지오클라베뉴  106동905호</t>
  </si>
  <si>
    <t>OPT-2474332-2720611</t>
  </si>
  <si>
    <t>WJ</t>
  </si>
  <si>
    <t>010-8602-5630</t>
  </si>
  <si>
    <t>경기 고양시 일산서구 킨텍스로 240 106동 2201호</t>
  </si>
  <si>
    <t>OPT-2474319-2720594</t>
  </si>
  <si>
    <t>이정희martha</t>
  </si>
  <si>
    <t>010-4538-2572</t>
  </si>
  <si>
    <t>인천광역시 강화군 강화읍 강화대로 96-1 (강화씨앤블루빌) 2동 18호</t>
  </si>
  <si>
    <t>삼프로 홍보 보고 주문해요</t>
  </si>
  <si>
    <t>OPT-2474316-2720591</t>
  </si>
  <si>
    <t>김지혜 / jumjum__2</t>
  </si>
  <si>
    <t>010-4274-7225</t>
  </si>
  <si>
    <t>경기 의왕시 내손순환로 8 202동 403호</t>
  </si>
  <si>
    <t>OPT-2474314-2720589</t>
  </si>
  <si>
    <t>김은영</t>
  </si>
  <si>
    <t>010-4991-3103</t>
  </si>
  <si>
    <t>경남 김해시 장유로 500 103동3603호</t>
  </si>
  <si>
    <t>OPT-2474311-2720586</t>
  </si>
  <si>
    <t>노영신</t>
  </si>
  <si>
    <t>010-3371-3214</t>
  </si>
  <si>
    <t>서울 강서구 강서로56나길 37 307동 603호</t>
  </si>
  <si>
    <t>OPT-2474308-2720583</t>
  </si>
  <si>
    <t>박보경</t>
  </si>
  <si>
    <t>010-4180-0848</t>
  </si>
  <si>
    <t>대전 유성구 지족로190번길 36 102동604호</t>
  </si>
  <si>
    <t>OPT-2474304-2720579</t>
  </si>
  <si>
    <t>신혜순</t>
  </si>
  <si>
    <t>010-6401-4459</t>
  </si>
  <si>
    <t>경기도 수원시 영통구 영통로200번길 112 (망포동, 영통 SK VIEW) 102동 1503호</t>
  </si>
  <si>
    <t>OPT-2474303-2720578</t>
  </si>
  <si>
    <t>곽민지(Hailey)</t>
  </si>
  <si>
    <t>010-8945-6652</t>
  </si>
  <si>
    <t>곽판수님</t>
  </si>
  <si>
    <t>010-4555-7150</t>
  </si>
  <si>
    <t>부산 사하구 다대로 473 113-405</t>
  </si>
  <si>
    <t>문앞에 놔주세요</t>
  </si>
  <si>
    <t>OPT-2474298-2720573</t>
  </si>
  <si>
    <t>박정훈</t>
  </si>
  <si>
    <t>010-6733-7558</t>
  </si>
  <si>
    <t>인천광역시 남동구 구월로60번길 5 (간석동) 이한팔라티움 301호</t>
  </si>
  <si>
    <t>OPT-2474293-2720567</t>
  </si>
  <si>
    <t>경기 성남시 분당구 수내로 148 114-3002</t>
  </si>
  <si>
    <t>OPT-2474287-2720559</t>
  </si>
  <si>
    <t>민이</t>
  </si>
  <si>
    <t>010-5758-6251</t>
  </si>
  <si>
    <t>김종민</t>
  </si>
  <si>
    <t>충북 청주시 청원구 오창읍 오창중앙로 105 908동 804호</t>
  </si>
  <si>
    <t>OPT-2474286-2720558</t>
  </si>
  <si>
    <t>오희웅</t>
  </si>
  <si>
    <t>010-2338-7174</t>
  </si>
  <si>
    <t>010-5529-7174</t>
  </si>
  <si>
    <t>경기 부천시 소사구 은성로37번길 61 3층</t>
  </si>
  <si>
    <t>3층 안쪽에 넣어주세요</t>
  </si>
  <si>
    <t>OPT-2474282-2720554</t>
  </si>
  <si>
    <t>류임식</t>
  </si>
  <si>
    <t>010-9038-2398</t>
  </si>
  <si>
    <t>강동현</t>
  </si>
  <si>
    <t>010-9302-2134</t>
  </si>
  <si>
    <t>부산 강서구 명지오션시티1로 155 105동 202호</t>
  </si>
  <si>
    <t>OPT-2474281-2720553</t>
  </si>
  <si>
    <t>김한영</t>
  </si>
  <si>
    <t>010-9947-6428</t>
  </si>
  <si>
    <t>서울특별시 노원구 덕릉로77길 5 (중계동, 벽산아파트) 101동 1403호</t>
  </si>
  <si>
    <t>OPT-2474276-2720546</t>
  </si>
  <si>
    <t>유정희</t>
  </si>
  <si>
    <t>010-3220-0063</t>
  </si>
  <si>
    <t>경기도 양주시 옥정서로1길 60 (옥정동, e편한세상 옥정 더퍼스트) 1501-104</t>
  </si>
  <si>
    <t>OPT-2474274-2720544</t>
  </si>
  <si>
    <t>여영찬</t>
  </si>
  <si>
    <t>010-4880-0685</t>
  </si>
  <si>
    <t>서울특별시 강남구 논현로 209 (도곡동, 경남아파트) 104동 105호</t>
  </si>
  <si>
    <t>OPT-2474273-2720543</t>
  </si>
  <si>
    <t>강유정</t>
  </si>
  <si>
    <t>010-5094-7257</t>
  </si>
  <si>
    <t>부산 사하구 다대로 381 삼환2차 101동 1402호</t>
  </si>
  <si>
    <t>배송전 안내문자 요청드림</t>
  </si>
  <si>
    <t>OPT-2474272-2720542</t>
  </si>
  <si>
    <t>성영아</t>
  </si>
  <si>
    <t>010-4691-0932</t>
  </si>
  <si>
    <t>서울 동대문구 답십리로 130 304동902호</t>
  </si>
  <si>
    <t>OPT-2474270-2720540</t>
  </si>
  <si>
    <t>차은경</t>
  </si>
  <si>
    <t>010-4118-3866</t>
  </si>
  <si>
    <t>서울 서초구 동산로10길 13 이설하이츠빌라 203호</t>
  </si>
  <si>
    <t>OPT-2474269-2720539</t>
  </si>
  <si>
    <t>이현호</t>
  </si>
  <si>
    <t>010-8939-0299</t>
  </si>
  <si>
    <t>이현정</t>
  </si>
  <si>
    <t>010-3699-7964</t>
  </si>
  <si>
    <t>경기 평택시 안중읍 안현로서7길 9 201동 1301호</t>
  </si>
  <si>
    <t>OPT-2474268-2720538</t>
  </si>
  <si>
    <t>선화</t>
  </si>
  <si>
    <t>010-7544-5398</t>
  </si>
  <si>
    <t>인천 중구 흰바위로 249 239-802</t>
  </si>
  <si>
    <t>OPT-2474266-2720536</t>
  </si>
  <si>
    <t>조영훈</t>
  </si>
  <si>
    <t>010-9088-8007</t>
  </si>
  <si>
    <t>경기 용인시 처인구 명지로116번길 9-70 명지엘펜하임 103-604</t>
  </si>
  <si>
    <t>문앞, 전화</t>
  </si>
  <si>
    <t>OPT-2474263-2720533</t>
  </si>
  <si>
    <t>서울 성북구 솔샘로 120 122동 604호</t>
  </si>
  <si>
    <t>OPT-2474262-2720532</t>
  </si>
  <si>
    <t>김수이</t>
  </si>
  <si>
    <t>010-7600-4839</t>
  </si>
  <si>
    <t>경기 화성시 10용사2길 38 301</t>
  </si>
  <si>
    <t>OPT-2474259-2720529</t>
  </si>
  <si>
    <t>임용식</t>
  </si>
  <si>
    <t>010-3459-3122</t>
  </si>
  <si>
    <t>경기 수원시 영통구 봉영로 1620 102동 2301호</t>
  </si>
  <si>
    <t>문앞에 놓아주시고 문자주세요</t>
  </si>
  <si>
    <t>OPT-2474257-2720527</t>
  </si>
  <si>
    <t>권우석</t>
  </si>
  <si>
    <t>010-2692-8622</t>
  </si>
  <si>
    <t>추정미</t>
  </si>
  <si>
    <t>010-2520-6161</t>
  </si>
  <si>
    <t>서울 서초구 사평대로 142 신반포궁전아파트 1동306호</t>
  </si>
  <si>
    <t>OPT-2474252-2720522</t>
  </si>
  <si>
    <t>김연희</t>
  </si>
  <si>
    <t>010-4415-1588</t>
  </si>
  <si>
    <t>인천광역시 서구 이음2로 90 (당하동, 우미린 파크뷰 2단지) 201동 2304호</t>
  </si>
  <si>
    <t>OPT-2474251-2720521</t>
  </si>
  <si>
    <t>정희</t>
  </si>
  <si>
    <t>010-7444-9867</t>
  </si>
  <si>
    <t>충남 당진시 송악읍 틀모시로 768-38 305동301호</t>
  </si>
  <si>
    <t>OPT-2474250-2720520</t>
  </si>
  <si>
    <t>장하선</t>
  </si>
  <si>
    <t>010-2263-4795</t>
  </si>
  <si>
    <t>경기 평택시 상서재로 80 506-2504</t>
  </si>
  <si>
    <t>OPT-2474248-2720518</t>
  </si>
  <si>
    <t>진경안 (징카)</t>
  </si>
  <si>
    <t>010-2609-8728</t>
  </si>
  <si>
    <t>서울 강남구 역삼로 306 105-803</t>
  </si>
  <si>
    <t>OPT-2474246-2720516</t>
  </si>
  <si>
    <t>신현준</t>
  </si>
  <si>
    <t>010-7412-9077</t>
  </si>
  <si>
    <t>경기 성남시 수정구 수정로170번길 20-8 1층</t>
  </si>
  <si>
    <t>OPT-2474245-2720515</t>
  </si>
  <si>
    <t>전혜진</t>
  </si>
  <si>
    <t>010-3151-0372</t>
  </si>
  <si>
    <t>서울특별시 종로구 경교장길 35 (평동, 경희궁자이 3단지) 303동1506호</t>
  </si>
  <si>
    <t>OPT-2474240-2720510</t>
  </si>
  <si>
    <t>jung</t>
  </si>
  <si>
    <t>010-9181-5414</t>
  </si>
  <si>
    <t>임정</t>
  </si>
  <si>
    <t>경기 광명시 양지로 16 광명역 써밋103-604</t>
  </si>
  <si>
    <t>OPT-2474234-2720503</t>
  </si>
  <si>
    <t>홍성호</t>
  </si>
  <si>
    <t>010-8995-0281</t>
  </si>
  <si>
    <t>경기도 안산시 상록구 해양5로 17 (사동, 그랑시티자이 2차) 203동 3003호</t>
  </si>
  <si>
    <t>OPT-2474233-2720502</t>
  </si>
  <si>
    <t>레오</t>
  </si>
  <si>
    <t>010-3129-3165</t>
  </si>
  <si>
    <t>서울특별시 강남구 선릉로 120 (대치동, 개포1,2차우성아파트) 7동 1503호</t>
  </si>
  <si>
    <t>OPT-2474232-2720501</t>
  </si>
  <si>
    <t>류경아</t>
  </si>
  <si>
    <t>010-9301-3583</t>
  </si>
  <si>
    <t>경남 창녕군 창녕읍 조산서재골로 69-3 104동403호010  9301  3583</t>
  </si>
  <si>
    <t>배송 전 안내문자주세요</t>
  </si>
  <si>
    <t>OPT-2474230-2720499</t>
  </si>
  <si>
    <t>허경란</t>
  </si>
  <si>
    <t>010-6567-4263</t>
  </si>
  <si>
    <t>전북특별자치도 전주시 완산구 송정로 42-8 1층</t>
  </si>
  <si>
    <t>대문안 1층 계단위에 올려주세요</t>
  </si>
  <si>
    <t>OPT-2474229-2720498</t>
  </si>
  <si>
    <t>김미자</t>
  </si>
  <si>
    <t>010-4713-2179</t>
  </si>
  <si>
    <t>허원</t>
  </si>
  <si>
    <t>010-5536-3020</t>
  </si>
  <si>
    <t>경남 김해시 율하5로 46 109-1204</t>
  </si>
  <si>
    <t>OPT-2474228-2720497</t>
  </si>
  <si>
    <t>종윤</t>
  </si>
  <si>
    <t>010-3565-6861</t>
  </si>
  <si>
    <t>충남 아산시 배방읍 설화고길2번길 3-7 2층</t>
  </si>
  <si>
    <t>배송전 연락주세요</t>
  </si>
  <si>
    <t>OPT-2474227-2720496</t>
  </si>
  <si>
    <t>이현우</t>
  </si>
  <si>
    <t>010-4507-9876</t>
  </si>
  <si>
    <t>경남 하동군 금성면 회목길 58 103동 502호</t>
  </si>
  <si>
    <t>대문앞에 놓아주세요</t>
  </si>
  <si>
    <t>OPT-2474226-2720495</t>
  </si>
  <si>
    <t>김봉여</t>
  </si>
  <si>
    <t>010-6789-8686</t>
  </si>
  <si>
    <t>서울 은평구 연서로27길 11-9 타미 에코빌 602호</t>
  </si>
  <si>
    <t>문앞에</t>
  </si>
  <si>
    <t>OPT-2474224-2720493</t>
  </si>
  <si>
    <t>JEONG 근자</t>
  </si>
  <si>
    <t>010-5467-2931</t>
  </si>
  <si>
    <t>경기 수원시 영통구 매영로310번길 27 651동902호</t>
  </si>
  <si>
    <t>OPT-2474222-2720490</t>
  </si>
  <si>
    <t>(예정)</t>
  </si>
  <si>
    <t>010-4295-3200</t>
  </si>
  <si>
    <t>경기 화성시 동탄구 동탄기흥로353번길 76 1631동 207호</t>
  </si>
  <si>
    <t>OPT-2474220-2720488</t>
  </si>
  <si>
    <t>박미정</t>
  </si>
  <si>
    <t>010-2300-5662</t>
  </si>
  <si>
    <t>010-4313-5662</t>
  </si>
  <si>
    <t>경기 고양시 덕양구 오금2로 26 201동402호</t>
  </si>
  <si>
    <t>OPT-2474219-2720487</t>
  </si>
  <si>
    <t>이대영</t>
  </si>
  <si>
    <t>010-3043-1632</t>
  </si>
  <si>
    <t>경기 수원시 장안구 금당로39번길 34 211동1403호</t>
  </si>
  <si>
    <t>OPT-2474218-2720486</t>
  </si>
  <si>
    <t>쭈니향기(현자 김)</t>
  </si>
  <si>
    <t>010-4757-8078</t>
  </si>
  <si>
    <t>경기 용인시 수지구 성복2로 158 605동202호(lg빌리지6차)</t>
  </si>
  <si>
    <t>OPT-2474217-2720485</t>
  </si>
  <si>
    <t>김소정</t>
  </si>
  <si>
    <t>010-8872-3470</t>
  </si>
  <si>
    <t>서울 강남구 광평로10길 15 101-202</t>
  </si>
  <si>
    <t>OPT-2474215-2720483</t>
  </si>
  <si>
    <t>차은영</t>
  </si>
  <si>
    <t>010-2358-8874</t>
  </si>
  <si>
    <t>인천광역시 계양구 계산새로 108 (계산동, 은행마을강북.삼보아파트) 403동1502호</t>
  </si>
  <si>
    <t>문앞배송</t>
  </si>
  <si>
    <t>OPT-2474214-2720482</t>
  </si>
  <si>
    <t>임희규</t>
  </si>
  <si>
    <t>010-2551-3537</t>
  </si>
  <si>
    <t>서울특별시 송파구 올림픽로 99 (잠실동, 잠실엘스) 129동 1601호</t>
  </si>
  <si>
    <t>OPT-2474212-2720480</t>
  </si>
  <si>
    <t>김범준</t>
  </si>
  <si>
    <t>010-5484-9644</t>
  </si>
  <si>
    <t>Bumjoon Kim</t>
  </si>
  <si>
    <t>서울 은평구 수색로 200 103동 303호</t>
  </si>
  <si>
    <t>OPT-2474210-2720478</t>
  </si>
  <si>
    <t>최희</t>
  </si>
  <si>
    <t>010-5156-6560</t>
  </si>
  <si>
    <t>서울특별시 동작구 장승배기로11가길 11 (상도동, 상도파크자이) 101-1403</t>
  </si>
  <si>
    <t>OPT-2474211-2720479</t>
  </si>
  <si>
    <t>전명경</t>
  </si>
  <si>
    <t>010-5556-5716</t>
  </si>
  <si>
    <t>경기 고양시 덕양구 화중로 219 118동 404호</t>
  </si>
  <si>
    <t>감사합니다</t>
  </si>
  <si>
    <t>OPT-2474206-2720473</t>
  </si>
  <si>
    <t>김동민</t>
  </si>
  <si>
    <t>010-5037-4286</t>
  </si>
  <si>
    <t>김송제</t>
  </si>
  <si>
    <t>010-9049-0476</t>
  </si>
  <si>
    <t>경기 광주시 태봉로13번길 6 상가2층 미진세탁</t>
  </si>
  <si>
    <t>맛있게드세요!(경덕&amp;동민)</t>
  </si>
  <si>
    <t>OPT-2474205-2720472</t>
  </si>
  <si>
    <t>이여빈</t>
  </si>
  <si>
    <t>010-8863-6984</t>
  </si>
  <si>
    <t>전북특별자치도 전주시 완산구 홍산로 77 211동204호(우미린더프레스티지)</t>
  </si>
  <si>
    <t>문앞에 놓아주세요</t>
  </si>
  <si>
    <t>OPT-2474202-2720469</t>
  </si>
  <si>
    <t>장성원</t>
  </si>
  <si>
    <t>010-3481-3465</t>
  </si>
  <si>
    <t>010-2593-0906</t>
  </si>
  <si>
    <t>전남 목포시 산정로 165-1 모락모락떡집 4층</t>
  </si>
  <si>
    <t>4층 문 앞에 부탁드립니다</t>
  </si>
  <si>
    <t>OPT-2474200-2720467</t>
  </si>
  <si>
    <t>오용석</t>
  </si>
  <si>
    <t>010-7191-3771</t>
  </si>
  <si>
    <t>경기 남양주시 다산중앙로82번길 12 5310-1703</t>
  </si>
  <si>
    <t>OPT-2474199-2720466</t>
  </si>
  <si>
    <t>김현진</t>
  </si>
  <si>
    <t>010-4703-1188</t>
  </si>
  <si>
    <t>경기 포천시 내촌면 포천로 63-7 가운데 큰창고</t>
  </si>
  <si>
    <t>주말은 사람 없어요.</t>
  </si>
  <si>
    <t>OPT-2474197-2720464</t>
  </si>
  <si>
    <t>이은희</t>
  </si>
  <si>
    <t>010-6551-4162</t>
  </si>
  <si>
    <t>경기 하남시 미사강변대로 270 707-1803</t>
  </si>
  <si>
    <t>OPT-2474196-2720463</t>
  </si>
  <si>
    <t>33년만의 80승</t>
  </si>
  <si>
    <t>010-3318-2976</t>
  </si>
  <si>
    <t>류주현</t>
  </si>
  <si>
    <t>인천광역시 연수구 송도과학로51번길 136 (송도동, 송도 캐슬&amp;amp;해모로) 210-102</t>
  </si>
  <si>
    <t>OPT-2474195-2720462</t>
  </si>
  <si>
    <t>이순덕</t>
  </si>
  <si>
    <t>010-9185-2905</t>
  </si>
  <si>
    <t>서울특별시 강동구 고덕로 131 (암사동, 강동 롯데캐슬퍼스트아파트) 136동1701호</t>
  </si>
  <si>
    <t>OPT-2474192-2720459</t>
  </si>
  <si>
    <t>배수정</t>
  </si>
  <si>
    <t>010-7108-3332</t>
  </si>
  <si>
    <t>서울특별시 중랑구 망우로 223-8 (중화동, 미영리치타운102) 1401호</t>
  </si>
  <si>
    <t>OPT-2474193-2720460</t>
  </si>
  <si>
    <t>김경은</t>
  </si>
  <si>
    <t>010-3273-9870</t>
  </si>
  <si>
    <t>강원특별자치도 춘천시 지석로 67 201동 501호</t>
  </si>
  <si>
    <t>OPT-2474191-2720458</t>
  </si>
  <si>
    <t>이정민</t>
  </si>
  <si>
    <t>010-9271-5244</t>
  </si>
  <si>
    <t>경기도 남양주시 다산중앙로146번길 7 (다산동, 다산롯데캐슬) 2206-2503호</t>
  </si>
  <si>
    <t>OPT-2474190-2720457</t>
  </si>
  <si>
    <t>소잉랩 베로 구미애</t>
  </si>
  <si>
    <t>010-7475-5610</t>
  </si>
  <si>
    <t>서울 동작구 동작대로29길 91 208동동 706호</t>
  </si>
  <si>
    <t>문앞에 놓아주세요. 감사합니다.</t>
  </si>
  <si>
    <t>OPT-2474186-2720453</t>
  </si>
  <si>
    <t>이상현</t>
  </si>
  <si>
    <t>010-8171-3411</t>
  </si>
  <si>
    <t>경기도 용인시 수지구 상현로 30-10 (상현동, 광교상떼빌파크뷰) 4808-201</t>
  </si>
  <si>
    <t>OPT-2474187-2720454</t>
  </si>
  <si>
    <t>권수경</t>
  </si>
  <si>
    <t>010-5280-2553</t>
  </si>
  <si>
    <t>경남 김해시 대청로210번길 13 904동201호</t>
  </si>
  <si>
    <t>OPT-2474185-2720452</t>
  </si>
  <si>
    <t>김영회</t>
  </si>
  <si>
    <t>010-5478-1299</t>
  </si>
  <si>
    <t>서울특별시 서대문구 통일로 395 (홍제동, 홍제 센트럴 IPARK) 108/1601</t>
  </si>
  <si>
    <t>OPT-2474184-2720451</t>
  </si>
  <si>
    <t>류문식</t>
  </si>
  <si>
    <t>010-9250-9947</t>
  </si>
  <si>
    <t xml:space="preserve">울산 남구 두왕로34번길 42 104동1502호 </t>
  </si>
  <si>
    <t>OPT-2474183-2720450</t>
  </si>
  <si>
    <t>손호희</t>
  </si>
  <si>
    <t>010-7452-0121</t>
  </si>
  <si>
    <t>손상철</t>
  </si>
  <si>
    <t>010-2560-7715</t>
  </si>
  <si>
    <t>경북 영주시 가흥로 345-27 401동 1101호</t>
  </si>
  <si>
    <t>OPT-2474182-2720449</t>
  </si>
  <si>
    <t>우지안</t>
  </si>
  <si>
    <t>010-8897-7574</t>
  </si>
  <si>
    <t>서울 강남구 밤고개로23길 20-14 102호</t>
  </si>
  <si>
    <t>OPT-2474181-2720448</t>
  </si>
  <si>
    <t>김미애</t>
  </si>
  <si>
    <t>010-6490-1227</t>
  </si>
  <si>
    <t>전북특별자치도 전주시 완산구 장승배기로 398 101동801호</t>
  </si>
  <si>
    <t>부재시 문 앞에</t>
  </si>
  <si>
    <t>OPT-2474179-2720446</t>
  </si>
  <si>
    <t>서영민</t>
  </si>
  <si>
    <t>010-4906-7992</t>
  </si>
  <si>
    <t>경기도 용인시 기흥구 사은로84번길 10 (보라동, 용인 보라 효성해링턴플레이스) 106동701호</t>
  </si>
  <si>
    <t>OPT-2474178-2720445</t>
  </si>
  <si>
    <t>박영미</t>
  </si>
  <si>
    <t>010-3110-2474</t>
  </si>
  <si>
    <t>서울특별시 노원구 노해로 508 (상계동, 상계주공6단지아파트) 618-102호</t>
  </si>
  <si>
    <t>OPT-2474176-2720443</t>
  </si>
  <si>
    <t>임명희</t>
  </si>
  <si>
    <t>010-3226-1378</t>
  </si>
  <si>
    <t>대전 서구 구봉산북로 52 2차 207-303</t>
  </si>
  <si>
    <t>OPT-2474175-2720442</t>
  </si>
  <si>
    <t>정진영</t>
  </si>
  <si>
    <t>010-5564-8600</t>
  </si>
  <si>
    <t>경기 의정부시 시민로179번길 10 203동  501호</t>
  </si>
  <si>
    <t>OPT-2474174-2720441</t>
  </si>
  <si>
    <t>김진희</t>
  </si>
  <si>
    <t>010-8979-0151</t>
  </si>
  <si>
    <t>경기도 성남시 수정구 수정로 319 (신흥동, 산성역포레스티아아파트) 133동805호</t>
  </si>
  <si>
    <t>OPT-2474173-2720440</t>
  </si>
  <si>
    <t>신문우</t>
  </si>
  <si>
    <t>010-3425-2192</t>
  </si>
  <si>
    <t>충북 청주시 청원구 오창읍 오창중앙로 94 807동 1005호</t>
  </si>
  <si>
    <t>OPT-2474171-2720438</t>
  </si>
  <si>
    <t>유익종</t>
  </si>
  <si>
    <t>010-2085-3390</t>
  </si>
  <si>
    <t>대구광역시 달서구 장산남로 33 (용산동, 용산롯데캐슬그랜드) 111동1402</t>
  </si>
  <si>
    <t>OPT-2474170-2720437</t>
  </si>
  <si>
    <t>우경미</t>
  </si>
  <si>
    <t>010-4309-3737</t>
  </si>
  <si>
    <t>인천 부평구 영성중로 16 505동1103호</t>
  </si>
  <si>
    <t>부재시 문앞에두세요</t>
  </si>
  <si>
    <t>OPT-2474166-2720433</t>
  </si>
  <si>
    <t>우연</t>
  </si>
  <si>
    <t>010-6479-0261</t>
  </si>
  <si>
    <t>정우연</t>
  </si>
  <si>
    <t>서울 은평구 갈현로 263 5층</t>
  </si>
  <si>
    <t>문앞에 놓아 주세요</t>
  </si>
  <si>
    <t>OPT-2474164-2720431</t>
  </si>
  <si>
    <t>지현미</t>
  </si>
  <si>
    <t>010-4408-5742</t>
  </si>
  <si>
    <t>충북 충주시 호암수청1로 13 104동 1504호</t>
  </si>
  <si>
    <t>OPT-2474163-2720430</t>
  </si>
  <si>
    <t>홍수오</t>
  </si>
  <si>
    <t>010-4595-6327</t>
  </si>
  <si>
    <t>충남 천안시 서북구 봉서산1길 35 114-102</t>
  </si>
  <si>
    <t>OPT-2474161-2720428</t>
  </si>
  <si>
    <t>백선정</t>
  </si>
  <si>
    <t>010-5000-5266</t>
  </si>
  <si>
    <t>경기도 안양시 만안구 경수대로 1184 (안양동, 디아망) 디아망 1502호</t>
  </si>
  <si>
    <t>현관,  종+2580</t>
  </si>
  <si>
    <t>OPT-2474159-2720426</t>
  </si>
  <si>
    <t>현숙(민정♡연정)</t>
  </si>
  <si>
    <t>010-6327-5437</t>
  </si>
  <si>
    <t>경기도 안양시 동안구 안양천동로 162 (비산동, 비산힐스테이트아파트) 비산힐스테이트 107동1202호</t>
  </si>
  <si>
    <t>OPT-2474158-2720425</t>
  </si>
  <si>
    <t>김갑민</t>
  </si>
  <si>
    <t>010-9447-1354</t>
  </si>
  <si>
    <t>충남 아산시 남부로8번길 46-11 .</t>
  </si>
  <si>
    <t>OPT-2474157-2720424</t>
  </si>
  <si>
    <t>홍현용</t>
  </si>
  <si>
    <t>010-5348-0400</t>
  </si>
  <si>
    <t>경기 화성시 수노을1로 108 306동501호</t>
  </si>
  <si>
    <t>OPT-2474154-2720421</t>
  </si>
  <si>
    <t>이수진</t>
  </si>
  <si>
    <t>010-8992-7590</t>
  </si>
  <si>
    <t>경기도 성남시 분당구 이매로 160 (이매동, 이매동연립주택 베스티아3차) 301동 101호</t>
  </si>
  <si>
    <t>OPT-2474153-2720420</t>
  </si>
  <si>
    <t>김법희</t>
  </si>
  <si>
    <t>010-2656-2491</t>
  </si>
  <si>
    <t>경기 수원시 영통구 태장로36번길 36 201동 2203호</t>
  </si>
  <si>
    <t>OPT-2474152-2720419</t>
  </si>
  <si>
    <t>Amber</t>
  </si>
  <si>
    <t>010-9992-3343</t>
  </si>
  <si>
    <t>충남 아산시 못마루로 139 1006동 2404호</t>
  </si>
  <si>
    <t>OPT-2474151-2720418</t>
  </si>
  <si>
    <t>김상오</t>
  </si>
  <si>
    <t>010-4317-7022</t>
  </si>
  <si>
    <t>충청남도 천안시 서북구 불당13길 2 (불당동) 302호</t>
  </si>
  <si>
    <t>OPT-2474150-2720417</t>
  </si>
  <si>
    <t>고우열</t>
  </si>
  <si>
    <t>010-3427-3509</t>
  </si>
  <si>
    <t>대전 유성구 배울2로 78 612동 1402호</t>
  </si>
  <si>
    <t>OPT-2474149-2720416</t>
  </si>
  <si>
    <t>박윤주</t>
  </si>
  <si>
    <t>010-7133-8869</t>
  </si>
  <si>
    <t>부산 북구 화명신도시로 70 109-2005</t>
  </si>
  <si>
    <t>OPT-2474147-2720414</t>
  </si>
  <si>
    <t>박경희</t>
  </si>
  <si>
    <t>010-2630-1228</t>
  </si>
  <si>
    <t>서울특별시 양천구 목동중앙서로 37 (목동, 목동금호어울림아파트) 105동104호</t>
  </si>
  <si>
    <t>OPT-2474146-2720413</t>
  </si>
  <si>
    <t>Kim Kwanghan</t>
  </si>
  <si>
    <t>010-8863-1686</t>
  </si>
  <si>
    <t>경기도 용인시 기흥구 언남로29번길 34 (언남동, 더포레타운하우스) 104동402호</t>
  </si>
  <si>
    <t>OPT-2474145-2720412</t>
  </si>
  <si>
    <t>박정섭</t>
  </si>
  <si>
    <t>010-3587-8023</t>
  </si>
  <si>
    <t>부산 해운대구 대천로103번길 47 대림1차 108동 603호</t>
  </si>
  <si>
    <t>OPT-2474144-2720411</t>
  </si>
  <si>
    <t>김미연</t>
  </si>
  <si>
    <t>010-8373-0665</t>
  </si>
  <si>
    <t>서울특별시 강남구 논현로154길 12 (신사동, 압구정 아인빌) 102호</t>
  </si>
  <si>
    <t>OPT-2474143-2720410</t>
  </si>
  <si>
    <t>임해창</t>
  </si>
  <si>
    <t>010-9019-3195</t>
  </si>
  <si>
    <t>서울특별시 송파구 올림픽로 435 (신천동, 파크리오) 223동 501호</t>
  </si>
  <si>
    <t>OPT-2474142-2720409</t>
  </si>
  <si>
    <t>주일이당!</t>
  </si>
  <si>
    <t>010-5309-5340</t>
  </si>
  <si>
    <t>경상북도 안동시 송현길 154-16 (송현동, 송현2차삼성명가타운) 202동 405호</t>
  </si>
  <si>
    <t>OPT-2474140-2720407</t>
  </si>
  <si>
    <t>신유파파</t>
  </si>
  <si>
    <t>010-9530-6942</t>
  </si>
  <si>
    <t>서울 용산구 청파로 213 A동 1302호</t>
  </si>
  <si>
    <t>OPT-2474139-2720406</t>
  </si>
  <si>
    <t>김정현</t>
  </si>
  <si>
    <t>010-3442-3310</t>
  </si>
  <si>
    <t>인천 서구 이음6로 33 3203-802</t>
  </si>
  <si>
    <t>OPT-2474138-2720405</t>
  </si>
  <si>
    <t>이경미</t>
  </si>
  <si>
    <t>010-4247-9396</t>
  </si>
  <si>
    <t>부산광역시 부산진구 진남로 455 (전포동, e편한세상 시민공원 1단지) 113동 402호</t>
  </si>
  <si>
    <t>OPT-2474137-2720404</t>
  </si>
  <si>
    <t>전지현❤️</t>
  </si>
  <si>
    <t>010-7721-6531</t>
  </si>
  <si>
    <t>부산광역시 동래구 안남로 79 (안락동, 강변뜨란채) 106동 204호</t>
  </si>
  <si>
    <t>OPT-2474136-2720403</t>
  </si>
  <si>
    <t>박선혜</t>
  </si>
  <si>
    <t>010-2848-0070</t>
  </si>
  <si>
    <t>010-5508-7504</t>
  </si>
  <si>
    <t>울산 남구 남부순환도로29번길 36 고운말언어치료실</t>
  </si>
  <si>
    <t>OPT-2474127-2720393</t>
  </si>
  <si>
    <t>이성계</t>
  </si>
  <si>
    <t>010-9371-9979</t>
  </si>
  <si>
    <t>인천 부평구 부영로166번길 16 창보아파트 101동 1706호</t>
  </si>
  <si>
    <t>OPT-2474119-2720385</t>
  </si>
  <si>
    <t>고국진</t>
  </si>
  <si>
    <t>010-3639-5450</t>
  </si>
  <si>
    <t>제주특별자치도 제주시 아연로 51 (연동) 파인그로브 101동 402호</t>
  </si>
  <si>
    <t>OPT-2474109-2720374</t>
  </si>
  <si>
    <t>오인주</t>
  </si>
  <si>
    <t>010-5557-1492</t>
  </si>
  <si>
    <t>송춘자님</t>
  </si>
  <si>
    <t>010-5612-8933</t>
  </si>
  <si>
    <t>전북특별자치도 익산시 동서로16길 13-10 동서로 16길 13-1</t>
  </si>
  <si>
    <t>OPT-2474107-2720372</t>
  </si>
  <si>
    <t>배재이</t>
  </si>
  <si>
    <t>010-3717-7025</t>
  </si>
  <si>
    <t>경기 시흥시 배곧3로 27-7 713-404</t>
  </si>
  <si>
    <t>OPT-2474103-2720368</t>
  </si>
  <si>
    <t>최숙현</t>
  </si>
  <si>
    <t>010-2840-1956</t>
  </si>
  <si>
    <t>부산 동구 충장대로 160 협성마리나 A동6001호</t>
  </si>
  <si>
    <t>OPT-2474102-2720367</t>
  </si>
  <si>
    <t>박윤영</t>
  </si>
  <si>
    <t>010-9719-9942</t>
  </si>
  <si>
    <t>경기도 광주시 행정타운로69번길 36-6 (송정동, 송정낙원 포레시티) 103동102호</t>
  </si>
  <si>
    <t>OPT-2474094-2720359</t>
  </si>
  <si>
    <t>ro</t>
  </si>
  <si>
    <t>010-9105-7514</t>
  </si>
  <si>
    <t>경기 김포시 고촌읍 상미1로 7 208-301</t>
  </si>
  <si>
    <t>OPT-2474092-2720357</t>
  </si>
  <si>
    <t>김보경</t>
  </si>
  <si>
    <t>010-8562-0056</t>
  </si>
  <si>
    <t>경상북도 포항시 북구 학전로 103 (두호동, 우방하이츠) 포항시 북구 학전로 103  우방하이츠101동605호</t>
  </si>
  <si>
    <t>OPT-2474089-2720352</t>
  </si>
  <si>
    <t>010-3069-6373</t>
  </si>
  <si>
    <t>경북 예천군 호명읍 새움3로 7 경북도청아이파크아파트 104동 502호</t>
  </si>
  <si>
    <t>OPT-2474085-2720348</t>
  </si>
  <si>
    <t>이진숙</t>
  </si>
  <si>
    <t>010-8250-4588</t>
  </si>
  <si>
    <t>이노경</t>
  </si>
  <si>
    <t>010-4333-3327</t>
  </si>
  <si>
    <t>전남 구례군 간전면 중평길 3 (886-1)</t>
  </si>
  <si>
    <t>OPT-2474084-2720347</t>
  </si>
  <si>
    <t>조은구</t>
  </si>
  <si>
    <t>010-2291-4335</t>
  </si>
  <si>
    <t>서울 서초구 고무래로 89 101동 1901호</t>
  </si>
  <si>
    <t>OPT-2474074-2720336</t>
  </si>
  <si>
    <t>문장혁  행복한 나</t>
  </si>
  <si>
    <t>010-2373-8634</t>
  </si>
  <si>
    <t>경기 고양시 일산동구 경의로 375-93 3층</t>
  </si>
  <si>
    <t>OPT-2474071-2720332</t>
  </si>
  <si>
    <t>현</t>
  </si>
  <si>
    <t>010-4657-3897</t>
  </si>
  <si>
    <t>전남 순천시 해룡면 장선배기길 298 104동 1304호</t>
  </si>
  <si>
    <t>배송후 문자 남겨 주세요~~</t>
  </si>
  <si>
    <t>OPT-2474069-2720330</t>
  </si>
  <si>
    <t>윤기환</t>
  </si>
  <si>
    <t>010-5329-9911</t>
  </si>
  <si>
    <t>경기도 용인시 수지구 동천로63번길 10 (동천동, 동천마을현대2차홈타운) 209동1601호</t>
  </si>
  <si>
    <t>OPT-2474068-2720329</t>
  </si>
  <si>
    <t>김상섭</t>
  </si>
  <si>
    <t>010-4427-1977</t>
  </si>
  <si>
    <t>경기도 성남시 수정구 위례광장로 19 (창곡동) 지하1층 위례파크 사우나</t>
  </si>
  <si>
    <t>OPT-2474058-2720318</t>
  </si>
  <si>
    <t>김태형</t>
  </si>
  <si>
    <t>010-8614-1525</t>
  </si>
  <si>
    <t>전남 여수시 박람회길 61 112동 1501호</t>
  </si>
  <si>
    <t>OPT-2474057-2720317</t>
  </si>
  <si>
    <t>문태훈</t>
  </si>
  <si>
    <t>010-9073-9699</t>
  </si>
  <si>
    <t>010-4193-9699</t>
  </si>
  <si>
    <t>경기 군포시 고산로643번길 10 1156동402호</t>
  </si>
  <si>
    <t>OPT-2474055-2720315</t>
  </si>
  <si>
    <t>김복운</t>
  </si>
  <si>
    <t>010-7360-6593</t>
  </si>
  <si>
    <t>경기 파주시 한울로 100 603동1803호</t>
  </si>
  <si>
    <t>OPT-2474053-2720312</t>
  </si>
  <si>
    <t>최명희 엘리사벳</t>
  </si>
  <si>
    <t>010-5244-3580</t>
  </si>
  <si>
    <t>강원특별자치도 속초시 청대로 210 102동 1401호</t>
  </si>
  <si>
    <t>OPT-2474052-2720311</t>
  </si>
  <si>
    <t>임태순</t>
  </si>
  <si>
    <t>010-9187-0406</t>
  </si>
  <si>
    <t>경기도 수원시 영통구 청명북로 33 (영통동, 청명마을삼성아파트) 438-802</t>
  </si>
  <si>
    <t>OPT-2474051-2720310</t>
  </si>
  <si>
    <t>이성철</t>
  </si>
  <si>
    <t>010-2809-5088</t>
  </si>
  <si>
    <t>서울 영등포구 여의대로6길 17 공작아파트 D동102호</t>
  </si>
  <si>
    <t>배송비 문자 주세요</t>
  </si>
  <si>
    <t>OPT-2474047-2720306</t>
  </si>
  <si>
    <t>정연수</t>
  </si>
  <si>
    <t>010-6395-7611</t>
  </si>
  <si>
    <t>서울 송파구 양재대로 1218 올림픽선수촌아파트 128동 1903호</t>
  </si>
  <si>
    <t>OPT-2474046-2720305</t>
  </si>
  <si>
    <t>Rebekah.Kim</t>
  </si>
  <si>
    <t>010-9937-0424</t>
  </si>
  <si>
    <t>경기 수원시 영통구 망포로84번길 10 305-202</t>
  </si>
  <si>
    <t>배송 전 연락주세요</t>
  </si>
  <si>
    <t>OPT-2474044-2720303</t>
  </si>
  <si>
    <t>이은광</t>
  </si>
  <si>
    <t>010-4366-6778</t>
  </si>
  <si>
    <t>충청남도 천안시 서북구 충무로 5-16 (쌍용동, 쌍용동일하이빌아파트) 107동1202호</t>
  </si>
  <si>
    <t>OPT-2474043-2720302</t>
  </si>
  <si>
    <t>신충태</t>
  </si>
  <si>
    <t>010-9797-4481</t>
  </si>
  <si>
    <t>서울 광진구 광나루로56길 32 구의현대2단지 210동 2102호</t>
  </si>
  <si>
    <t>문 앞 배송 부탁합니다.</t>
  </si>
  <si>
    <t>OPT-2474039-2720298</t>
  </si>
  <si>
    <t>여덕수</t>
  </si>
  <si>
    <t>010-7670-8224</t>
  </si>
  <si>
    <t>서울 광진구 자양로23나길 26 명진아트빌 502호</t>
  </si>
  <si>
    <t>OPT-2474038-2720297</t>
  </si>
  <si>
    <t>김광훈</t>
  </si>
  <si>
    <t>010-4718-3587</t>
  </si>
  <si>
    <t>010-2231-3587</t>
  </si>
  <si>
    <t>경기 고양시 덕양구 화정로 27 602동602호</t>
  </si>
  <si>
    <t>OPT-2474034-2720293</t>
  </si>
  <si>
    <t>위주아</t>
  </si>
  <si>
    <t>010-9737-1728</t>
  </si>
  <si>
    <t>경기 안양시 동안구 학의로408번길 13 117동 2105호</t>
  </si>
  <si>
    <t>OPT-2474031-2720288</t>
  </si>
  <si>
    <t>김향원(호놀)</t>
  </si>
  <si>
    <t>010-6686-2747</t>
  </si>
  <si>
    <t>서울 서대문구 연희로4길 24 5층(공동현관비번 종2658)</t>
  </si>
  <si>
    <t>OPT-2474028-2720285</t>
  </si>
  <si>
    <t>이혜정dani</t>
  </si>
  <si>
    <t>010-6209-2676</t>
  </si>
  <si>
    <t>경기도 고양시 일산동구 일산로 205 (마두동, 백마마을2단지아파트) 207동802호</t>
  </si>
  <si>
    <t>OPT-2474025-2720281</t>
  </si>
  <si>
    <t>길상규</t>
  </si>
  <si>
    <t>010-8624-2030</t>
  </si>
  <si>
    <t>광주 서구 금호운천길 83 상무푸르지오 103동 1301호</t>
  </si>
  <si>
    <t>OPT-2474023-2720279</t>
  </si>
  <si>
    <t>정상수(서진파파)</t>
  </si>
  <si>
    <t>010-8847-6716</t>
  </si>
  <si>
    <t>경기 의왕시 백운중앙로 46 107동 1301호</t>
  </si>
  <si>
    <t>OPT-2474022-2720278</t>
  </si>
  <si>
    <t>서보우</t>
  </si>
  <si>
    <t>010-6421-9142</t>
  </si>
  <si>
    <t>충청북도 청주시 상당구 호미로 2 (동남지구 대성베르힐2차) 208동404호</t>
  </si>
  <si>
    <t>OPT-2474021-2720277</t>
  </si>
  <si>
    <t>노유정</t>
  </si>
  <si>
    <t>010-3119-3693</t>
  </si>
  <si>
    <t>광주 서구 학생독립로9번길 8 101동509호</t>
  </si>
  <si>
    <t>OPT-2474020-2720276</t>
  </si>
  <si>
    <t>김진훈</t>
  </si>
  <si>
    <t>010-9997-8001</t>
  </si>
  <si>
    <t>경기 용인시 수지구 성복2로 126 307동 102호</t>
  </si>
  <si>
    <t>OPT-2474017-2720273</t>
  </si>
  <si>
    <t>고기봉</t>
  </si>
  <si>
    <t>010-5659-9711</t>
  </si>
  <si>
    <t>경기 하남시 위례중앙로 215 6413동2504호</t>
  </si>
  <si>
    <t>OPT-2474015-2720271</t>
  </si>
  <si>
    <t>ㆍ한봉우</t>
  </si>
  <si>
    <t>010-2909-2051</t>
  </si>
  <si>
    <t>서울 노원구 섬밭로 139 풍림아파트 110동 1901호</t>
  </si>
  <si>
    <t>OPT-2474014-2720270</t>
  </si>
  <si>
    <t>이은한</t>
  </si>
  <si>
    <t>010-3993-7537</t>
  </si>
  <si>
    <t>경기도 양평군 양평읍 마유산로 33 (더샵양평리버포레) 101동301호</t>
  </si>
  <si>
    <t>OPT-2474013-2720269</t>
  </si>
  <si>
    <t>엄성운</t>
  </si>
  <si>
    <t>010-8433-4900</t>
  </si>
  <si>
    <t>서울 은평구 통일로 796 101동 503호</t>
  </si>
  <si>
    <t>문앞에 부탁드려요</t>
  </si>
  <si>
    <t>OPT-2474008-2720264</t>
  </si>
  <si>
    <t>쑥이</t>
  </si>
  <si>
    <t>010-4552-1392</t>
  </si>
  <si>
    <t>윤숙희</t>
  </si>
  <si>
    <t>010-9227-0806</t>
  </si>
  <si>
    <t>경남 함안군 칠북면 검단4길 31 1층</t>
  </si>
  <si>
    <t>OPT-2474009-2720265</t>
  </si>
  <si>
    <t>하성운</t>
  </si>
  <si>
    <t>010-3582-7933</t>
  </si>
  <si>
    <t>경남 창원시 마산회원구 석전서1길 12-19 1층</t>
  </si>
  <si>
    <t>OPT-2474007-2720263</t>
  </si>
  <si>
    <t>김지숙</t>
  </si>
  <si>
    <t>010-4614-0480</t>
  </si>
  <si>
    <t>인천 부평구 경인로 1110 이도엘리브 1002호</t>
  </si>
  <si>
    <t>집앞에 두고 가세요 감사합니다</t>
  </si>
  <si>
    <t>OPT-2474006-2720262</t>
  </si>
  <si>
    <t>김성중</t>
  </si>
  <si>
    <t>010-5505-1410</t>
  </si>
  <si>
    <t>대구광역시 수성구 청수로 261 (황금동, 캐슬골드파크 4단지) 1412동 1103호</t>
  </si>
  <si>
    <t>OPT-2474004-2720260</t>
  </si>
  <si>
    <t>고남숙</t>
  </si>
  <si>
    <t>010-4592-2993</t>
  </si>
  <si>
    <t>충청북도 청주시 흥덕구 서경로12번길 2 (가경동) 301호</t>
  </si>
  <si>
    <t>OPT-2474003-2720259</t>
  </si>
  <si>
    <t>이수혜</t>
  </si>
  <si>
    <t>010-8029-7307</t>
  </si>
  <si>
    <t>김령아</t>
  </si>
  <si>
    <t>010-5716-5251</t>
  </si>
  <si>
    <t>경기 하남시 미사강변중앙로 190 1036호</t>
  </si>
  <si>
    <t>OPT-2473998-2720254</t>
  </si>
  <si>
    <t>이태우</t>
  </si>
  <si>
    <t>010-9158-2606</t>
  </si>
  <si>
    <t>서울 강남구 광평로47길 17 702-203</t>
  </si>
  <si>
    <t>OPT-2473997-2720253</t>
  </si>
  <si>
    <t>최현우</t>
  </si>
  <si>
    <t>010-2922-7778</t>
  </si>
  <si>
    <t>서울 성북구 화랑로13길 69 102호</t>
  </si>
  <si>
    <t>OPT-2473996-2720252</t>
  </si>
  <si>
    <t>심지혜</t>
  </si>
  <si>
    <t>010-6488-1443</t>
  </si>
  <si>
    <t>서울 송파구 백제고분로22길 34-14 301호</t>
  </si>
  <si>
    <t>OPT-2473994-2720250</t>
  </si>
  <si>
    <t>목연수</t>
  </si>
  <si>
    <t>010-3238-1873</t>
  </si>
  <si>
    <t>서울 용산구 효창원로8길 16 101동 302호</t>
  </si>
  <si>
    <t>OPT-2473992-2720248</t>
  </si>
  <si>
    <t>온누리</t>
  </si>
  <si>
    <t>010-2867-4643</t>
  </si>
  <si>
    <t>전북특별자치도 전주시 완산구 효천중앙로 50 (효자동2가, 리버클래스) 306동 1104호</t>
  </si>
  <si>
    <t>OPT-2473991-2720247</t>
  </si>
  <si>
    <t>김지연</t>
  </si>
  <si>
    <t>010-8527-9943</t>
  </si>
  <si>
    <t>부산 강서구 명지오션시티10로 16 211-103</t>
  </si>
  <si>
    <t>OPT-2473990-2720246</t>
  </si>
  <si>
    <t>명화석</t>
  </si>
  <si>
    <t>010-6349-3689</t>
  </si>
  <si>
    <t>.명화석</t>
  </si>
  <si>
    <t>충북 청주시 상당구 월운로 116 동남힐데스하임 107동802호</t>
  </si>
  <si>
    <t>OPT-2473989-2720245</t>
  </si>
  <si>
    <t>김가림</t>
  </si>
  <si>
    <t>010-6761-5251</t>
  </si>
  <si>
    <t>서울 중랑구 면목로54길 44 301호</t>
  </si>
  <si>
    <t>OPT-2473988-2720244</t>
  </si>
  <si>
    <t>이제신</t>
  </si>
  <si>
    <t>010-3338-3924</t>
  </si>
  <si>
    <t>광주광역시 남구 효천2로 1 (임암동, 시티프라디움 아파트) 105동 805호</t>
  </si>
  <si>
    <t>OPT-2473985-2720241</t>
  </si>
  <si>
    <t>김태근</t>
  </si>
  <si>
    <t>010-2809-0006</t>
  </si>
  <si>
    <t>서울 영등포구 선유서로 116 양평역월드메르디앙아파트 101동 306호</t>
  </si>
  <si>
    <t>OPT-2473982-2720238</t>
  </si>
  <si>
    <t>김재현</t>
  </si>
  <si>
    <t>010-9007-4353</t>
  </si>
  <si>
    <t>경기도 성남시 분당구 불정로 219 (한솔마을청구아파트) 113동1601호</t>
  </si>
  <si>
    <t>OPT-2473975-2720231</t>
  </si>
  <si>
    <t>강성진</t>
  </si>
  <si>
    <t>010-4855-3990</t>
  </si>
  <si>
    <t>광주 북구 우치로537번길 10 동아 103동 104호</t>
  </si>
  <si>
    <t>OPT-2473970-2720224</t>
  </si>
  <si>
    <t>김종숙</t>
  </si>
  <si>
    <t>010-5505-7798</t>
  </si>
  <si>
    <t>경기 안양시 만안구 안양천서로 249 115동1505호</t>
  </si>
  <si>
    <t>OPT-2473946-2720196</t>
  </si>
  <si>
    <t>이승은</t>
  </si>
  <si>
    <t>010-9772-0830</t>
  </si>
  <si>
    <t>서울 양천구 목동서로 280 810-404</t>
  </si>
  <si>
    <t>문앞에두세요</t>
  </si>
  <si>
    <t>OPT-2473924-2720171</t>
  </si>
  <si>
    <t>김태흥</t>
  </si>
  <si>
    <t>010-9543-6676</t>
  </si>
  <si>
    <t>대구 달서구 장산남로 33 용산롯데캐슬그랜드 109동2307호</t>
  </si>
  <si>
    <t>OPT-2473897-2720141</t>
  </si>
  <si>
    <t>권민수_Indonesia</t>
  </si>
  <si>
    <t>010-3782-6732</t>
  </si>
  <si>
    <t>서남순</t>
  </si>
  <si>
    <t>010-5477-3264</t>
  </si>
  <si>
    <t>서울 광진구 능동로30길 39 2층</t>
  </si>
  <si>
    <t>2층 현관 앞에 두시고 전화 주세요</t>
  </si>
  <si>
    <t>OPT-2473884-2720128</t>
  </si>
  <si>
    <t>이혜영</t>
  </si>
  <si>
    <t>010-5070-2378</t>
  </si>
  <si>
    <t>경기 남양주시 덕송2로10번길 27-2 302호</t>
  </si>
  <si>
    <t>OPT-2473852-2720095</t>
  </si>
  <si>
    <t>오은숙</t>
  </si>
  <si>
    <t>010-7536-3669</t>
  </si>
  <si>
    <t>대전 유성구 엑스포로 448 엑스포아파트109동304호</t>
  </si>
  <si>
    <t>집앞배송</t>
  </si>
  <si>
    <t>OPT-2473723-2719953</t>
  </si>
  <si>
    <t>김 연 경</t>
  </si>
  <si>
    <t>010-2046-2940</t>
  </si>
  <si>
    <t>서울 구로구 남부순환로 775 푸르지오아파트 103동 2001호</t>
  </si>
  <si>
    <t>OPT-2473710-2719935</t>
  </si>
  <si>
    <t>정재호</t>
  </si>
  <si>
    <t>010-3720-9452</t>
  </si>
  <si>
    <t>경기 성남시 분당구 판교로 20 103동 1702호</t>
  </si>
  <si>
    <t>OPT-2473700-2719925</t>
  </si>
  <si>
    <t>강효진</t>
  </si>
  <si>
    <t>010-3691-6905</t>
  </si>
  <si>
    <t>서울 강서구 등촌로 163 122-403</t>
  </si>
  <si>
    <t>OPT-2473690-2719915</t>
  </si>
  <si>
    <t>한성국</t>
  </si>
  <si>
    <t>010-9771-0129</t>
  </si>
  <si>
    <t>서울특별시 동작구 상도로 346-1 (상도동, 힐스테이트 상도 센트럴파크) 116동 1405호</t>
  </si>
  <si>
    <t>OPT-2473679-2719903</t>
  </si>
  <si>
    <t>이동</t>
  </si>
  <si>
    <t>010-4654-2663</t>
  </si>
  <si>
    <t>이선화</t>
  </si>
  <si>
    <t>010-4635-2663</t>
  </si>
  <si>
    <t>서울 동대문구 이문로 120 이문아이파크자이오피스텔 100-1424</t>
  </si>
  <si>
    <t>OPT-2473673-2719896</t>
  </si>
  <si>
    <t>한희정</t>
  </si>
  <si>
    <t>010-2633-4717</t>
  </si>
  <si>
    <t>부산 남구 석포로 128 2층 아이비치과</t>
  </si>
  <si>
    <t>OPT-2473625-2719843</t>
  </si>
  <si>
    <t>김정수</t>
  </si>
  <si>
    <t>010-8706-2748</t>
  </si>
  <si>
    <t>김종열</t>
  </si>
  <si>
    <t>010-2506-0225</t>
  </si>
  <si>
    <t>경북 성주군 용암면 운용로 1044 2층</t>
  </si>
  <si>
    <t>이월생 010-3493-0603</t>
  </si>
  <si>
    <t>OPT-2473603-2719817</t>
  </si>
  <si>
    <t>원미애</t>
  </si>
  <si>
    <t>010-3776-7136</t>
  </si>
  <si>
    <t>경기 김포시 김포한강11로 275 309동2102호  롯데캐슬</t>
  </si>
  <si>
    <t>OPT-2473587-2719800</t>
  </si>
  <si>
    <t>최성우</t>
  </si>
  <si>
    <t>010-2656-9682</t>
  </si>
  <si>
    <t>서울 성동구 매봉길 50 123동 1201호</t>
  </si>
  <si>
    <t>OPT-2473550-2719760</t>
  </si>
  <si>
    <t>김영수</t>
  </si>
  <si>
    <t>010-3372-5622</t>
  </si>
  <si>
    <t>경기도 남양주시 사릉로452번길 3 (동성아파트) 동성아파트102동1106호</t>
  </si>
  <si>
    <t>OPT-2473544-2719753</t>
  </si>
  <si>
    <t>김현우</t>
  </si>
  <si>
    <t>010-3419-0242</t>
  </si>
  <si>
    <t>김미미</t>
  </si>
  <si>
    <t>010-9823-0302</t>
  </si>
  <si>
    <t>서울 송파구 올림픽로 135 237동 2501호</t>
  </si>
  <si>
    <t>OPT-2473503-2719711</t>
  </si>
  <si>
    <t>녹산 (sbw)</t>
  </si>
  <si>
    <t>OPT-2473500-2719708</t>
  </si>
  <si>
    <t>충남 홍성군 홍북읍 신대로 54 106동 2601호</t>
  </si>
  <si>
    <t>OPT-2473394-2719584</t>
  </si>
  <si>
    <t>김재성</t>
  </si>
  <si>
    <t>010-5068-1144</t>
  </si>
  <si>
    <t>서울 광진구 동일로70길 32 202호</t>
  </si>
  <si>
    <t>OPT-2473376-2719558</t>
  </si>
  <si>
    <t>정명진</t>
  </si>
  <si>
    <t>010-6382-1918</t>
  </si>
  <si>
    <t>서울특별시 성북구 종암로24가길 80 (종암동, 래미안라센트) 109동 1002호</t>
  </si>
  <si>
    <t>워커힐 본갈비 3+1 최초❤️5만원대! 총1.2kg✨호텔특제 양념갈비 8인분 (✨1인분 7,375원꼴! / [300g,2인분] x 총 4팩  / ✨초이스등급 본갈비 / ❣️워커힐 특제 비법소스) ([추가구매할인] 본갈비 2팩 더! (+20,000원))</t>
  </si>
  <si>
    <t>✨1인분 7,375원꼴! / [300g,2인분] x 총 4팩  / ✨초이스등급 본갈비 / ❣️워커힐 특제 비법소스) ([추가구매할인] 본갈비 2팩 더! (+20,000원))</t>
  </si>
  <si>
    <t>&lt;span style='color:red'&gt;연결상품&lt;/span&gt;</t>
  </si>
  <si>
    <t>SUB-2474633-306901</t>
  </si>
  <si>
    <t>이치우</t>
  </si>
  <si>
    <t>010-7546-3173</t>
  </si>
  <si>
    <t>경기도 화성시 동탄대로시범길 53 (청계동, 동탄역시범대원칸타빌아파트) 1452동1901호</t>
  </si>
  <si>
    <t>SUB-2474615-306899</t>
  </si>
  <si>
    <t>김보삼</t>
  </si>
  <si>
    <t>010-3638-8184</t>
  </si>
  <si>
    <t>서울특별시 강북구 한천로130가길 12-12 (번동) 2층</t>
  </si>
  <si>
    <t>SUB-2474608-306898</t>
  </si>
  <si>
    <t>신길수</t>
  </si>
  <si>
    <t>010-5465-5404</t>
  </si>
  <si>
    <t>서울 강동구 고덕로 333 146동 1206호</t>
  </si>
  <si>
    <t>SUB-2474456-306893</t>
  </si>
  <si>
    <t>최혜령</t>
  </si>
  <si>
    <t>010-2574-8739</t>
  </si>
  <si>
    <t>광주 북구 청계로 13 103-304</t>
  </si>
  <si>
    <t>SUB-2474419-306891</t>
  </si>
  <si>
    <t>정유선</t>
  </si>
  <si>
    <t>010-2266-7510</t>
  </si>
  <si>
    <t>서울 강서구 초록마을로 176 2동603호</t>
  </si>
  <si>
    <t>SUB-2474399-306889</t>
  </si>
  <si>
    <t>최디나</t>
  </si>
  <si>
    <t>010-4696-5879</t>
  </si>
  <si>
    <t>서울 강남구 삼성로51길 37 109-1505</t>
  </si>
  <si>
    <t>SUB-2474348-306885</t>
  </si>
  <si>
    <t>윤종철</t>
  </si>
  <si>
    <t>010-3165-0970</t>
  </si>
  <si>
    <t>경기 남양주시 와부읍 덕소로2번길 39 107동 1502호</t>
  </si>
  <si>
    <t>SUB-2474323-306884</t>
  </si>
  <si>
    <t>날개</t>
  </si>
  <si>
    <t>010-5822-7576</t>
  </si>
  <si>
    <t>경기 수원시 영통구 중부대로448번길 28 205동 1705호</t>
  </si>
  <si>
    <t>SUB-2474320-306882</t>
  </si>
  <si>
    <t>오성훈</t>
  </si>
  <si>
    <t>010-3943-3304</t>
  </si>
  <si>
    <t>경기 남양주시 별내3로 23 4404동 802호</t>
  </si>
  <si>
    <t>SUB-2474317-306881</t>
  </si>
  <si>
    <t>한상호</t>
  </si>
  <si>
    <t>010-5693-4023</t>
  </si>
  <si>
    <t>인천 부평구 마장로 121 현대아파트 304동705호</t>
  </si>
  <si>
    <t>SUB-2474280-306880</t>
  </si>
  <si>
    <t>오현방</t>
  </si>
  <si>
    <t>010-3229-5076</t>
  </si>
  <si>
    <t>이진영 선생님</t>
  </si>
  <si>
    <t>010-2877-8271</t>
  </si>
  <si>
    <t>경기 고양시 덕양구 성신로 77 햇빛마을 1815동 103호</t>
  </si>
  <si>
    <t>SUB-2474265-306879</t>
  </si>
  <si>
    <t>이길용</t>
  </si>
  <si>
    <t>010-9082-7231</t>
  </si>
  <si>
    <t>경기 남양주시 다산지금로16번길 88 7102-2401</t>
  </si>
  <si>
    <t>SUB-2474244-306878</t>
  </si>
  <si>
    <t>sunny</t>
  </si>
  <si>
    <t>010-2210-0532</t>
  </si>
  <si>
    <t>경기 성남시 분당구 정자일로213번길 19 201동 1604호</t>
  </si>
  <si>
    <t>SUB-2474238-306877</t>
  </si>
  <si>
    <t>곽윤탁</t>
  </si>
  <si>
    <t>010-3824-5300</t>
  </si>
  <si>
    <t>대구 중구 명덕로 241 101-1002</t>
  </si>
  <si>
    <t>SUB-2474231-306876</t>
  </si>
  <si>
    <t>sun</t>
  </si>
  <si>
    <t>010-6313-0649</t>
  </si>
  <si>
    <t>경기 과천시 광창로 56-1 Sy골드빌 103동201호</t>
  </si>
  <si>
    <t>문앞에 놔 주세요</t>
  </si>
  <si>
    <t>SUB-2474221-306875</t>
  </si>
  <si>
    <t>김옥희</t>
  </si>
  <si>
    <t>010-3816-6266</t>
  </si>
  <si>
    <t>대구 수성구 들안로 360 105 동  2601호</t>
  </si>
  <si>
    <t>SUB-2474209-306874</t>
  </si>
  <si>
    <t>이정기</t>
  </si>
  <si>
    <t>010-4228-9956</t>
  </si>
  <si>
    <t>한대천</t>
  </si>
  <si>
    <t>경기도 화성시 동탄지성로 150-12 (동탄능동마을 주공아파트) 721동804호</t>
  </si>
  <si>
    <t>SUB-2474204-306873</t>
  </si>
  <si>
    <t>패랭이(김혜영)</t>
  </si>
  <si>
    <t>010-4784-4705</t>
  </si>
  <si>
    <t>경기도 고양시 일산동구 호수로 606 (장항동) B동1511호</t>
  </si>
  <si>
    <t>SUB-2474194-306872</t>
  </si>
  <si>
    <t>김종현</t>
  </si>
  <si>
    <t>010-3859-1863</t>
  </si>
  <si>
    <t>부산광역시 수영구 광안로 12 (광안동, 광안동에스케이뷰) 103동1101호</t>
  </si>
  <si>
    <t>SUB-2474155-306870</t>
  </si>
  <si>
    <t>최지영</t>
  </si>
  <si>
    <t>010-5209-1004</t>
  </si>
  <si>
    <t>서울 강남구 도곡로57길 12 역삼2차아이파크 103동1203호</t>
  </si>
  <si>
    <t>SUB-2474125-306869</t>
  </si>
  <si>
    <t>조상준</t>
  </si>
  <si>
    <t>010-5260-0855</t>
  </si>
  <si>
    <t>경기 성남시 수정구 위례동로 15 5710동 202호</t>
  </si>
  <si>
    <t>SUB-2474067-306866</t>
  </si>
  <si>
    <t>禎源</t>
  </si>
  <si>
    <t>010-4023-8815</t>
  </si>
  <si>
    <t>전남 무안군 일로읍 오룡중앙동로 37 102동902호</t>
  </si>
  <si>
    <t>SUB-2474059-306865</t>
  </si>
  <si>
    <t>이정균</t>
  </si>
  <si>
    <t>010-5300-1745</t>
  </si>
  <si>
    <t>충북 증평군 증평읍 초중4길 57 블루힐 402호</t>
  </si>
  <si>
    <t>SUB-2474030-306864</t>
  </si>
  <si>
    <t>최광열</t>
  </si>
  <si>
    <t>010-8826-2979</t>
  </si>
  <si>
    <t>대전 중구 동서대로1322번길 107 1층 나무대문안</t>
  </si>
  <si>
    <t>SUB-2474002-306863</t>
  </si>
  <si>
    <t>구양회</t>
  </si>
  <si>
    <t>010-5211-4758</t>
  </si>
  <si>
    <t>서울 동작구 동작대로19길 24 302호</t>
  </si>
  <si>
    <t>SUB-2473986-306862</t>
  </si>
  <si>
    <t>박범우</t>
  </si>
  <si>
    <t>010-3363-1864</t>
  </si>
  <si>
    <t>세종특별자치시 해밀2로 78 (해밀동) 시그니메종빌리지 103동 103호</t>
  </si>
  <si>
    <t>SUB-2473984-306861</t>
  </si>
  <si>
    <t>서영석</t>
  </si>
  <si>
    <t>010-9348-4430</t>
  </si>
  <si>
    <t>경기 용인시 수지구 성복2로76번길 31 101동404호</t>
  </si>
  <si>
    <t>SUB-2473898-306857</t>
  </si>
  <si>
    <t>김윤상</t>
  </si>
  <si>
    <t>010-2048-5904</t>
  </si>
  <si>
    <t>경기 고양시 일산동구 숲속마을1로 87 501동101호</t>
  </si>
  <si>
    <t>SUB-2473863-306855</t>
  </si>
  <si>
    <t>구용주</t>
  </si>
  <si>
    <t>010-3235-2685</t>
  </si>
  <si>
    <t>경기 고양시 일산동구 무궁화로75번길 15 211-303</t>
  </si>
  <si>
    <t>SUB-2473750-306851</t>
  </si>
  <si>
    <t>윤혁</t>
  </si>
  <si>
    <t>010-9891-2535</t>
  </si>
  <si>
    <t>인천 남동구 선수촌로 8 803동404호</t>
  </si>
  <si>
    <t>SUB-2473683-306845</t>
  </si>
  <si>
    <t>함동진</t>
  </si>
  <si>
    <t>010-9648-6001</t>
  </si>
  <si>
    <t>함수민</t>
  </si>
  <si>
    <t>010-4733-1490</t>
  </si>
  <si>
    <t>서울 강동구 양재대로122길 34 가동 202호</t>
  </si>
  <si>
    <t>OPT-2474188-2720455</t>
  </si>
  <si>
    <t>박희연</t>
  </si>
  <si>
    <t>010-3717-4702</t>
  </si>
  <si>
    <t>서울 광진구 뚝섬로 467 105동2805호</t>
  </si>
  <si>
    <t>OPT-2474390-2720676</t>
  </si>
  <si>
    <t>김대성</t>
  </si>
  <si>
    <t>010-5526-0803</t>
  </si>
  <si>
    <t>윤용강</t>
  </si>
  <si>
    <t>010-6257-3828</t>
  </si>
  <si>
    <t>경기 용인시 기흥구 연원로42번길 2 벽산아파트 113동 2004호</t>
  </si>
  <si>
    <t>OPT-2474638-2720943</t>
  </si>
  <si>
    <t>박연풍</t>
  </si>
  <si>
    <t>010-2354-0899</t>
  </si>
  <si>
    <t>서울특별시 용산구 회나무로 64 (이태원동, 언트플러스(피지대사관)) F동 202호 (라마라마꽃집 건물 3층)</t>
  </si>
  <si>
    <t>OPT-2474639-2720944</t>
  </si>
  <si>
    <t>이범설</t>
  </si>
  <si>
    <t>010-6343-6701</t>
  </si>
  <si>
    <t>경기도 부천시 소사구 경인로26번길 22 (송내동, 송내 자이) 송내자이102동1501호</t>
  </si>
  <si>
    <t>OPT-2474656-2720962</t>
  </si>
  <si>
    <t>ky kim</t>
  </si>
  <si>
    <t>010-2405-7787</t>
  </si>
  <si>
    <t>서울 동대문구 장안벚꽃로 167 202 동 1201호</t>
  </si>
  <si>
    <t>OPT-2474662-2720968</t>
  </si>
  <si>
    <t>신중배</t>
  </si>
  <si>
    <t>010-9017-1258</t>
  </si>
  <si>
    <t>서울 성북구 정릉로34길 26-2 2층</t>
  </si>
  <si>
    <t>OPT-2474671-2720979</t>
  </si>
  <si>
    <t>최은아</t>
  </si>
  <si>
    <t>010-7633-1716</t>
  </si>
  <si>
    <t>경북 경주시 불국신택지3길 13 디멘션커피</t>
  </si>
  <si>
    <t>OPT-2474694-2721003</t>
  </si>
  <si>
    <t>한영순</t>
  </si>
  <si>
    <t>010-9332-2966</t>
  </si>
  <si>
    <t>경기도 수원시 영통구 웰빙타운로 70 (이의동, 광교 호반베르디움) 8707동1502호</t>
  </si>
  <si>
    <t>OPT-2474696-2721005</t>
  </si>
  <si>
    <t>쭈잉</t>
  </si>
  <si>
    <t>010-7511-6740</t>
  </si>
  <si>
    <t>인천광역시 남동구 구월로 192 (구월동, 힐스테이트롯데캐슬골드1단지아파트) 1114동 1002호</t>
  </si>
  <si>
    <t>OPT-2474701-2721010</t>
  </si>
  <si>
    <t>백경흠</t>
  </si>
  <si>
    <t>010-4248-3453</t>
  </si>
  <si>
    <t>서울특별시 동대문구 외대역동로 36 (휘경동, 동양2차아파트) 202동 1101호</t>
  </si>
  <si>
    <t>OPT-2474714-2721024</t>
  </si>
  <si>
    <t>꼬마야랑</t>
  </si>
  <si>
    <t>010-7110-9243</t>
  </si>
  <si>
    <t>경기 평택시 동막길 55-25 돌계단집</t>
  </si>
  <si>
    <t>OPT-2474718-2721028</t>
  </si>
  <si>
    <t>서재원</t>
  </si>
  <si>
    <t>010-2325-0175</t>
  </si>
  <si>
    <t>경기 용인시 수지구 신봉2로 72 222동 504호</t>
  </si>
  <si>
    <t>OPT-2474719-2721029</t>
  </si>
  <si>
    <t>손기덕</t>
  </si>
  <si>
    <t>010-5096-8717</t>
  </si>
  <si>
    <t>김정엽</t>
  </si>
  <si>
    <t>010-4933-7213</t>
  </si>
  <si>
    <t>부산 서구 대티로 159 106동 601호</t>
  </si>
  <si>
    <t>OPT-2474728-2721038</t>
  </si>
  <si>
    <t>김민수</t>
  </si>
  <si>
    <t>010-8705-3653</t>
  </si>
  <si>
    <t>부산 부산진구 가야대로 701 611호</t>
  </si>
  <si>
    <t>OPT-2474731-2721041</t>
  </si>
  <si>
    <t>호수마을지기</t>
  </si>
  <si>
    <t>010-3149-0549</t>
  </si>
  <si>
    <t>이경석</t>
  </si>
  <si>
    <t>경기 용인시 수지구 고기로45번길 40-18 205동 1104호</t>
  </si>
  <si>
    <t>문앞에 두시면 고맙습니다</t>
  </si>
  <si>
    <t>OPT-2474732-2721042</t>
  </si>
  <si>
    <t>박현수</t>
  </si>
  <si>
    <t>010-7301-0849</t>
  </si>
  <si>
    <t>송용미</t>
  </si>
  <si>
    <t>010-4191-8416</t>
  </si>
  <si>
    <t>서울 서초구 언남길 47 501호</t>
  </si>
  <si>
    <t>OPT-2474739-2721050</t>
  </si>
  <si>
    <t>ParkSungHm</t>
  </si>
  <si>
    <t>010-9050-1364</t>
  </si>
  <si>
    <t>경기 부천시 원미구 계남로 128 상가 지하1층 중동세탁</t>
  </si>
  <si>
    <t>OPT-2474747-2721058</t>
  </si>
  <si>
    <t>이영신</t>
  </si>
  <si>
    <t>010-7508-3692</t>
  </si>
  <si>
    <t>인천 부평구 부평대로165번길 102-8 113동 202호</t>
  </si>
  <si>
    <t>OPT-2474748-2721059</t>
  </si>
  <si>
    <t>신만규</t>
  </si>
  <si>
    <t>010-6413-3751</t>
  </si>
  <si>
    <t>서울 성북구 성북로6가길 23 504호</t>
  </si>
  <si>
    <t>OPT-2474750-2721061</t>
  </si>
  <si>
    <t>노현주</t>
  </si>
  <si>
    <t>010-3702-1424</t>
  </si>
  <si>
    <t>경기 의정부시 용민로 442 1504동 1204호</t>
  </si>
  <si>
    <t>OPT-2474755-2721066</t>
  </si>
  <si>
    <t>김중우</t>
  </si>
  <si>
    <t>010-2385-5246</t>
  </si>
  <si>
    <t>박원모 대표</t>
  </si>
  <si>
    <t>010-8339-8041</t>
  </si>
  <si>
    <t>서울 서초구 서운로19길 22 서초월드오피스텔 907호</t>
  </si>
  <si>
    <t>OPT-2474772-2721083</t>
  </si>
  <si>
    <t>요니 (LEE yoo yeon)</t>
  </si>
  <si>
    <t>010-6331-9470</t>
  </si>
  <si>
    <t>경기 용인시 수지구 수풍로23번길 35 112동 405호</t>
  </si>
  <si>
    <t>OPT-2474784-2721096</t>
  </si>
  <si>
    <t>김현지</t>
  </si>
  <si>
    <t>010-5606-9866</t>
  </si>
  <si>
    <t>경기 파주시 산내로 90 1209-803</t>
  </si>
  <si>
    <t>OPT-2474801-2721114</t>
  </si>
  <si>
    <t>안창순</t>
  </si>
  <si>
    <t>010-9038-2610</t>
  </si>
  <si>
    <t>경기 용인시 수지구 동천로 18 풍림아파트 201동803호</t>
  </si>
  <si>
    <t>OPT-2474816-2721140</t>
  </si>
  <si>
    <t>김지현</t>
  </si>
  <si>
    <t>010-2125-0504</t>
  </si>
  <si>
    <t>충청북도 청주시 청원구 오창읍 과학산업3로 216 (오창반도유보라퍼스티지) 오창반도유보라 104동 104호</t>
  </si>
  <si>
    <t>OPT-2474828-2721153</t>
  </si>
  <si>
    <t>지니</t>
  </si>
  <si>
    <t>010-2350-9981</t>
  </si>
  <si>
    <t>경기도 파주시 문산읍 문향로 22 (한진아파트) 1동808호</t>
  </si>
  <si>
    <t>OPT-2474838-2721164</t>
  </si>
  <si>
    <t>성준용</t>
  </si>
  <si>
    <t>010-2172-4136</t>
  </si>
  <si>
    <t>서울 강북구 오현로25가길 51 202호</t>
  </si>
  <si>
    <t>OPT-2474847-2721173</t>
  </si>
  <si>
    <t>도대회</t>
  </si>
  <si>
    <t>010-2567-3455</t>
  </si>
  <si>
    <t>경기 성남시 분당구 미금로 215 802-1304</t>
  </si>
  <si>
    <t>OPT-2474863-2721190</t>
  </si>
  <si>
    <t>이시원</t>
  </si>
  <si>
    <t>010-6210-7733</t>
  </si>
  <si>
    <t>서울특별시 관악구 구암길 76 (관악드림타운아파트) 147동 215호</t>
  </si>
  <si>
    <t>서울특별시 관악구 봉천동 1712-1 관악드림타운아파트 147동 215호</t>
  </si>
  <si>
    <t>OPT-2474871-2721198</t>
  </si>
  <si>
    <t>윤은경</t>
  </si>
  <si>
    <t>010-8976-4659</t>
  </si>
  <si>
    <t>서울 금천구 시흥대로 291 금천롯데캐슬골드파크3차 305동 1005호</t>
  </si>
  <si>
    <t>OPT-2474903-2721232</t>
  </si>
  <si>
    <t>jin</t>
  </si>
  <si>
    <t>010-9116-5578</t>
  </si>
  <si>
    <t>부산 해운대구 대천로 187 103동 1501호</t>
  </si>
  <si>
    <t>OPT-2474908-2721237</t>
  </si>
  <si>
    <t>이친구 귀엽구만</t>
  </si>
  <si>
    <t>010-7788-8108</t>
  </si>
  <si>
    <t>서울 노원구 덕릉로 595 102동 2108호</t>
  </si>
  <si>
    <t>OPT-2474923-2721252</t>
  </si>
  <si>
    <t>지금주</t>
  </si>
  <si>
    <t>010-6776-7609</t>
  </si>
  <si>
    <t>대구 달서구 선원로 171 105동 109호</t>
  </si>
  <si>
    <t>배송전 문자주세요</t>
  </si>
  <si>
    <t>OPT-2474980-2721314</t>
  </si>
  <si>
    <t>박시훈</t>
  </si>
  <si>
    <t>010-3123-9684</t>
  </si>
  <si>
    <t>경상남도 창원시 마산합포구 문화북2길 50 단독주택</t>
  </si>
  <si>
    <t>부재시 파란작은대문안</t>
  </si>
  <si>
    <t>OPT-2474995-2721331</t>
  </si>
  <si>
    <t>김수연</t>
  </si>
  <si>
    <t>010-4114-0389</t>
  </si>
  <si>
    <t>경기 성남시 수정구 수정로 288 201동 1103호</t>
  </si>
  <si>
    <t>OPT-2475093-2721437</t>
  </si>
  <si>
    <t>김주영(종문맘)</t>
  </si>
  <si>
    <t>010-2585-9290</t>
  </si>
  <si>
    <t>서울 서초구 방배로 21 103-1801</t>
  </si>
  <si>
    <t>OPT-2475102-2721447</t>
  </si>
  <si>
    <t>한연신</t>
  </si>
  <si>
    <t>010-3056-7369</t>
  </si>
  <si>
    <t>서울 서대문구 독립문공원길 17 극동아파트 113-102</t>
  </si>
  <si>
    <t>OPT-2475103-2721448</t>
  </si>
  <si>
    <t>박혜련</t>
  </si>
  <si>
    <t>010-4749-9087</t>
  </si>
  <si>
    <t>서울 강남구 역삼로 306 103-1403</t>
  </si>
  <si>
    <t>OPT-2475104-2721449</t>
  </si>
  <si>
    <t>백옥련</t>
  </si>
  <si>
    <t>010-2224-7782</t>
  </si>
  <si>
    <t>서울 광진구 구의강변로3가길 39 703동 1807호</t>
  </si>
  <si>
    <t>OPT-2475106-2721451</t>
  </si>
  <si>
    <t>김정은</t>
  </si>
  <si>
    <t>010-8874-1159</t>
  </si>
  <si>
    <t>인천 연수구 컨벤시아대로42번길 77 906동 1002호</t>
  </si>
  <si>
    <t>OPT-2475109-2721454</t>
  </si>
  <si>
    <t>정순실</t>
  </si>
  <si>
    <t>010-5268-3252</t>
  </si>
  <si>
    <t>정의석</t>
  </si>
  <si>
    <t>010-9181-4418</t>
  </si>
  <si>
    <t>서울 중랑구 용마산로 670 206동2401호</t>
  </si>
  <si>
    <t>OPT-2475110-2721455</t>
  </si>
  <si>
    <t>서울특별시 강동구 아리수로93길 40 (강일동, 강일리버파크3단지아파트) 308동807호</t>
  </si>
  <si>
    <t>OPT-2475115-2721460</t>
  </si>
  <si>
    <t>플로라</t>
  </si>
  <si>
    <t>010-5428-7634</t>
  </si>
  <si>
    <t>인천 남동구 구월로 65 현대홈타운 109동 702호</t>
  </si>
  <si>
    <t>OPT-2475117-2721462</t>
  </si>
  <si>
    <t>문영숙</t>
  </si>
  <si>
    <t>010-6255-0975</t>
  </si>
  <si>
    <t>경기도 의정부시 용현로 118 (민락동, 송산센트럴아파트) 705동303호</t>
  </si>
  <si>
    <t>OPT-2475119-2721464</t>
  </si>
  <si>
    <t>이정은</t>
  </si>
  <si>
    <t>010-9082-6153</t>
  </si>
  <si>
    <t>경기 파주시 가람로116번길 130 710동1101호</t>
  </si>
  <si>
    <t>OPT-2475121-2721466</t>
  </si>
  <si>
    <t>김민균</t>
  </si>
  <si>
    <t>010-8393-8303</t>
  </si>
  <si>
    <t>제주특별자치도 제주시 원노형2길 29-2 802호</t>
  </si>
  <si>
    <t>현관비번 열쇠2765열쇠</t>
  </si>
  <si>
    <t>OPT-2475123-2721468</t>
  </si>
  <si>
    <t>유연주</t>
  </si>
  <si>
    <t>010-7152-8850</t>
  </si>
  <si>
    <t>경기 남양주시 천마산로 65 116동 1703호</t>
  </si>
  <si>
    <t>OPT-2475128-2721473</t>
  </si>
  <si>
    <t>임수진</t>
  </si>
  <si>
    <t>010-2258-2347</t>
  </si>
  <si>
    <t>오영란</t>
  </si>
  <si>
    <t>010-6749-8922</t>
  </si>
  <si>
    <t>강원특별자치도 양구군 양구읍 중앙길 68 형제방아</t>
  </si>
  <si>
    <t>OPT-2475130-2721475</t>
  </si>
  <si>
    <t>김규형</t>
  </si>
  <si>
    <t>010-4365-7999</t>
  </si>
  <si>
    <t>경기 용인시 기흥구 중부대로788번길 15 205-704</t>
  </si>
  <si>
    <t>부재시 현관앞에</t>
  </si>
  <si>
    <t>OPT-2475131-2721476</t>
  </si>
  <si>
    <t>코스모스</t>
  </si>
  <si>
    <t>010-7536-6575</t>
  </si>
  <si>
    <t>경기 화성시 수노을중앙로 293 1003동 903호</t>
  </si>
  <si>
    <t>OPT-2475136-2721482</t>
  </si>
  <si>
    <t>정경옥</t>
  </si>
  <si>
    <t>010-7722-8062</t>
  </si>
  <si>
    <t>경기 안양시 만안구 연현로79번길 84 엘지빌리지 301동201호</t>
  </si>
  <si>
    <t>배송전 미리 문자 남겨 주세요</t>
  </si>
  <si>
    <t>OPT-2475141-2721487</t>
  </si>
  <si>
    <t>SJ.Park</t>
  </si>
  <si>
    <t>010-8889-0961</t>
  </si>
  <si>
    <t>유상심</t>
  </si>
  <si>
    <t>010-4426-0963</t>
  </si>
  <si>
    <t>전남 광양시 금영로 16 201동1303호</t>
  </si>
  <si>
    <t>OPT-2475146-2721492</t>
  </si>
  <si>
    <t>한선진</t>
  </si>
  <si>
    <t>010-2877-2095</t>
  </si>
  <si>
    <t>서울 강동구 양재대로 1300 올림픽파크포레온 313동1801호</t>
  </si>
  <si>
    <t>OPT-2475151-2721498</t>
  </si>
  <si>
    <t>신화수</t>
  </si>
  <si>
    <t>010-9487-5442</t>
  </si>
  <si>
    <t>경기도 과천시 과천대로 12 (갈현동) 오르투스 103동1205호</t>
  </si>
  <si>
    <t>OPT-2475159-2721507</t>
  </si>
  <si>
    <t>이성행</t>
  </si>
  <si>
    <t>010-6471-6921</t>
  </si>
  <si>
    <t>충남 당진시 신평면 소창길 20 단독주택</t>
  </si>
  <si>
    <t>OPT-2475160-2721508</t>
  </si>
  <si>
    <t>sehhee</t>
  </si>
  <si>
    <t>010-5404-1416</t>
  </si>
  <si>
    <t>경기 고양시 일산동구 위시티3로 111 202동3201호</t>
  </si>
  <si>
    <t>OPT-2475166-2721515</t>
  </si>
  <si>
    <t>이동석</t>
  </si>
  <si>
    <t>010-9981-0102</t>
  </si>
  <si>
    <t>서울 성동구 무학로 33 106동704호</t>
  </si>
  <si>
    <t>문앞에 부탁드립니다</t>
  </si>
  <si>
    <t>OPT-2475181-2721530</t>
  </si>
  <si>
    <t>이명아</t>
  </si>
  <si>
    <t>010-5885-2349</t>
  </si>
  <si>
    <t>제주특별자치도 서귀포시 안덕면 평화로319번길 145 145</t>
  </si>
  <si>
    <t>OPT-2475185-2721534</t>
  </si>
  <si>
    <t>박광수</t>
  </si>
  <si>
    <t>010-9272-2101</t>
  </si>
  <si>
    <t>경기 시흥시 중심상가로 106 104-304</t>
  </si>
  <si>
    <t>OPT-2475189-2721539</t>
  </si>
  <si>
    <t>김 효신</t>
  </si>
  <si>
    <t>010-8228-4100</t>
  </si>
  <si>
    <t>인천 서구 청라루비로144번길 16 201호</t>
  </si>
  <si>
    <t>OPT-2475194-2721544</t>
  </si>
  <si>
    <t>김효정</t>
  </si>
  <si>
    <t>010-2795-0740</t>
  </si>
  <si>
    <t>경기 광명시 소하로 162 701동 1001호</t>
  </si>
  <si>
    <t>OPT-2475207-2721557</t>
  </si>
  <si>
    <t>서울 금천구 한내로 62 한신아파트 8동 706호</t>
  </si>
  <si>
    <t>OPT-2475211-2721561</t>
  </si>
  <si>
    <t>이경숙</t>
  </si>
  <si>
    <t>010-2284-7047</t>
  </si>
  <si>
    <t>경기 고양시 덕양구 화신로 106 2412-303</t>
  </si>
  <si>
    <t>OPT-2475223-2721574</t>
  </si>
  <si>
    <t>여선경</t>
  </si>
  <si>
    <t>010-8829-9787</t>
  </si>
  <si>
    <t>주진형</t>
  </si>
  <si>
    <t>010-8162-4389</t>
  </si>
  <si>
    <t>서울 강서구 양천로71가길 22 101동 1502호</t>
  </si>
  <si>
    <t>OPT-2475227-2721578</t>
  </si>
  <si>
    <t>이장현</t>
  </si>
  <si>
    <t>010-2724-2503</t>
  </si>
  <si>
    <t>서울 강남구 자곡로 101 611동 803호</t>
  </si>
  <si>
    <t>OPT-2475238-2721589</t>
  </si>
  <si>
    <t>김근호</t>
  </si>
  <si>
    <t>010-5214-4569</t>
  </si>
  <si>
    <t>김자옥</t>
  </si>
  <si>
    <t>010-6238-9265</t>
  </si>
  <si>
    <t>전남 나주시 봉황면 봉황로 632 착한푸드</t>
  </si>
  <si>
    <t>OPT-2475243-2721595</t>
  </si>
  <si>
    <t>은서채</t>
  </si>
  <si>
    <t>010-8906-4814</t>
  </si>
  <si>
    <t>경기 광명시 디지털로 63 1208동902호</t>
  </si>
  <si>
    <t>OPT-2475253-2721606</t>
  </si>
  <si>
    <t>한진숙</t>
  </si>
  <si>
    <t>010-8661-5244</t>
  </si>
  <si>
    <t>제주특별자치도 제주시 화삼로 167 307동1002호</t>
  </si>
  <si>
    <t>OPT-2475257-2721610</t>
  </si>
  <si>
    <t>김민우</t>
  </si>
  <si>
    <t>010-7143-6786</t>
  </si>
  <si>
    <t>경기도 용인시 수지구 만현로 25 (상현동, 만현마을롯데캐슬아파트) 103동 101호</t>
  </si>
  <si>
    <t>OPT-2475282-2721637</t>
  </si>
  <si>
    <t>재유니</t>
  </si>
  <si>
    <t>010-9389-1942</t>
  </si>
  <si>
    <t>유여사</t>
  </si>
  <si>
    <t>010-9907-1942</t>
  </si>
  <si>
    <t>경기 수원시 장안구 창훈로 30 104동 302호</t>
  </si>
  <si>
    <t>OPT-2475285-2721640</t>
  </si>
  <si>
    <t>윤동진</t>
  </si>
  <si>
    <t>010-2690-0523</t>
  </si>
  <si>
    <t>대구 달서구 학산로 15 102동 1007호</t>
  </si>
  <si>
    <t>OPT-2475293-2721648</t>
  </si>
  <si>
    <t>김준형</t>
  </si>
  <si>
    <t>010-3772-1244</t>
  </si>
  <si>
    <t>광주 남구 봉선중앙로 46 105동 1106호</t>
  </si>
  <si>
    <t>OPT-2475301-2721656</t>
  </si>
  <si>
    <t>김태윤</t>
  </si>
  <si>
    <t>010-2644-3452</t>
  </si>
  <si>
    <t>제주특별자치도 제주시 연동4길 6-11 해모로루민 201동802호</t>
  </si>
  <si>
    <t>OPT-2475311-2721666</t>
  </si>
  <si>
    <t>잔디</t>
  </si>
  <si>
    <t>010-5153-9722</t>
  </si>
  <si>
    <t>경기 의정부시 장곡로596번길 18 108-1801</t>
  </si>
  <si>
    <t>OPT-2475315-2721671</t>
  </si>
  <si>
    <t>무창</t>
  </si>
  <si>
    <t>010-7242-2396</t>
  </si>
  <si>
    <t>경기 부천시 소사구 경인로26번길 22 송내자이 108동 1902호</t>
  </si>
  <si>
    <t>부재시 문앞에 부탁드려요</t>
  </si>
  <si>
    <t>OPT-2475322-2721679</t>
  </si>
  <si>
    <t>조영순</t>
  </si>
  <si>
    <t>010-9269-3817</t>
  </si>
  <si>
    <t>경기 김포시 김포한강8로 173-88 603동1002호</t>
  </si>
  <si>
    <t>OPT-2475335-2721694</t>
  </si>
  <si>
    <t>하성수</t>
  </si>
  <si>
    <t>010-3711-3165</t>
  </si>
  <si>
    <t>서울특별시 도봉구 덕릉로59바길 37-5 (창동) 창2동585-27호</t>
  </si>
  <si>
    <t>OPT-2475336-2721695</t>
  </si>
  <si>
    <t>권혁천</t>
  </si>
  <si>
    <t>010-3360-5919</t>
  </si>
  <si>
    <t>경기 광명시 광덕산로 26 광명 두산위브트레지움 101동 1203호</t>
  </si>
  <si>
    <t>OPT-2475374-2721735</t>
  </si>
  <si>
    <t>홍진옥</t>
  </si>
  <si>
    <t>010-3331-1992</t>
  </si>
  <si>
    <t>제주특별자치도 제주시 기와4길 14-16 효성해링턴코트 2차202동202호</t>
  </si>
  <si>
    <t>OPT-2475388-2721749</t>
  </si>
  <si>
    <t>전태우</t>
  </si>
  <si>
    <t>010-5332-6288</t>
  </si>
  <si>
    <t>서울 중구 청구로1길 23 104동 902호</t>
  </si>
  <si>
    <t>문 앞에 두고 연락 부탁드립니다.</t>
  </si>
  <si>
    <t>OPT-2475410-2721772</t>
  </si>
  <si>
    <t>김진오</t>
  </si>
  <si>
    <t>010-2081-8759</t>
  </si>
  <si>
    <t>대구 달성군 다사읍 서재로12길 41-16 102동 208호</t>
  </si>
  <si>
    <t>OPT-2475416-2721778</t>
  </si>
  <si>
    <t>이윤배</t>
  </si>
  <si>
    <t>010-8751-7518</t>
  </si>
  <si>
    <t>주은정</t>
  </si>
  <si>
    <t>010-2974-1512</t>
  </si>
  <si>
    <t>대전 서구 도안동로 183 1503동1303호</t>
  </si>
  <si>
    <t>OPT-2475432-2721794</t>
  </si>
  <si>
    <t>정현~</t>
  </si>
  <si>
    <t>010-5320-4406</t>
  </si>
  <si>
    <t>서울 관악구 신림동3길 30 7층</t>
  </si>
  <si>
    <t>공동현관9403#</t>
  </si>
  <si>
    <t>OPT-2475458-2721821</t>
  </si>
  <si>
    <t>정대규</t>
  </si>
  <si>
    <t>010-3739-0296</t>
  </si>
  <si>
    <t>서울특별시 송파구 송파대로8길 42 (장지동, 송파파인타운12단지) 1201동 201호</t>
  </si>
  <si>
    <t>OPT-2475465-2721828</t>
  </si>
  <si>
    <t>김강미</t>
  </si>
  <si>
    <t>010-5213-4358</t>
  </si>
  <si>
    <t>세종특별자치시 대평로 80 해들마을6단지 604동 2702호</t>
  </si>
  <si>
    <t>배송시 문자메세지</t>
  </si>
  <si>
    <t>OPT-2475499-2721864</t>
  </si>
  <si>
    <t>백종민</t>
  </si>
  <si>
    <t>010-2234-1481</t>
  </si>
  <si>
    <t>김용자</t>
  </si>
  <si>
    <t>010-7724-6701</t>
  </si>
  <si>
    <t>전남 고흥군 풍양면 하림길 63-3 1층</t>
  </si>
  <si>
    <t>OPT-2475517-2721885</t>
  </si>
  <si>
    <t>James Jongmin Baek</t>
  </si>
  <si>
    <t>서울 양천구 목동동로 130 1427동 606호</t>
  </si>
  <si>
    <t>OPT-2475519-2721887</t>
  </si>
  <si>
    <t>윤</t>
  </si>
  <si>
    <t>010-9979-3438</t>
  </si>
  <si>
    <t>경기도 이천시 부발읍 경충대로2050번길 15-44 (현대성우오스타3단지) 현대성우3단지 302-1203</t>
  </si>
  <si>
    <t>문앞에 놔주세요 감사합니다</t>
  </si>
  <si>
    <t>OPT-2475572-2721941</t>
  </si>
  <si>
    <t>송은미</t>
  </si>
  <si>
    <t>010-9930-2687</t>
  </si>
  <si>
    <t>경기 광명시 성채로 37 413동101호</t>
  </si>
  <si>
    <t>OPT-2475579-2721948</t>
  </si>
  <si>
    <t>김주순</t>
  </si>
  <si>
    <t>010-9530-7132</t>
  </si>
  <si>
    <t>경기 용인시 수지구 성복2로 10 성복역 롯데캐슬 골드타운 111동1006호</t>
  </si>
  <si>
    <t>OPT-2475586-2721955</t>
  </si>
  <si>
    <t>김형진</t>
  </si>
  <si>
    <t>010-5254-3824</t>
  </si>
  <si>
    <t>서울 양천구 목동동로 130 1413-1104</t>
  </si>
  <si>
    <t>OPT-2475594-2721963</t>
  </si>
  <si>
    <t>이남희</t>
  </si>
  <si>
    <t>010-9019-6340</t>
  </si>
  <si>
    <t>김광석</t>
  </si>
  <si>
    <t>010-5069-7341</t>
  </si>
  <si>
    <t xml:space="preserve">경기 남양주시 와부읍 덕소로 286 105동1702호 </t>
  </si>
  <si>
    <t>OPT-2475599-2721968</t>
  </si>
  <si>
    <t>이혜원</t>
  </si>
  <si>
    <t>010-9064-3284</t>
  </si>
  <si>
    <t>강원특별자치도 춘천시 지석로 97 103동1005호</t>
  </si>
  <si>
    <t>OPT-2475644-2722015</t>
  </si>
  <si>
    <t>숙영</t>
  </si>
  <si>
    <t>010-9804-2981</t>
  </si>
  <si>
    <t>대전 중구 계백로1615번길 34 115-1904</t>
  </si>
  <si>
    <t>OPT-2475649-2722020</t>
  </si>
  <si>
    <t>Angel</t>
  </si>
  <si>
    <t>010-3261-1038</t>
  </si>
  <si>
    <t>충남 아산시 권곡로 47 더샵퍼스트타워아파트104동702호</t>
  </si>
  <si>
    <t>OPT-2475658-2722029</t>
  </si>
  <si>
    <t>김경희</t>
  </si>
  <si>
    <t>010-9149-8778</t>
  </si>
  <si>
    <t>서울 강남구 광평로10길 6 106동 306호</t>
  </si>
  <si>
    <t>OPT-2475659-2722030</t>
  </si>
  <si>
    <t>최필규01052712158</t>
  </si>
  <si>
    <t>010-5271-2158</t>
  </si>
  <si>
    <t>인천 계양구 하느재로 15 103동404호</t>
  </si>
  <si>
    <t>OPT-2475673-2722045</t>
  </si>
  <si>
    <t>김영규</t>
  </si>
  <si>
    <t>010-3877-3300</t>
  </si>
  <si>
    <t>부산 남구 분포로 111 140동1002호</t>
  </si>
  <si>
    <t>OPT-2475680-2722053</t>
  </si>
  <si>
    <t>최애란</t>
  </si>
  <si>
    <t>010-9401-3639</t>
  </si>
  <si>
    <t>대전 유성구 은구비남로 34 804동1402호</t>
  </si>
  <si>
    <t>OPT-2475688-2722062</t>
  </si>
  <si>
    <t>김태훈</t>
  </si>
  <si>
    <t>010-2976-2927</t>
  </si>
  <si>
    <t>서울 중랑구 상봉로15길 41 B동 201호</t>
  </si>
  <si>
    <t>OPT-2475704-2722085</t>
  </si>
  <si>
    <t>충남 당진시 고대면 항곡로 279-46 1층</t>
  </si>
  <si>
    <t>OPT-2475709-2722091</t>
  </si>
  <si>
    <t>류지숙</t>
  </si>
  <si>
    <t>010-2576-4061</t>
  </si>
  <si>
    <t>울산 북구 제내3길 6-10 예담빌 2동 401호</t>
  </si>
  <si>
    <t>OPT-2475765-2722151</t>
  </si>
  <si>
    <t>lee sunsuk</t>
  </si>
  <si>
    <t>010-4253-7165</t>
  </si>
  <si>
    <t>서울 성동구 둘레15길 7 청구강변 101동203호</t>
  </si>
  <si>
    <t>OPT-2475814-2722203</t>
  </si>
  <si>
    <t>김재욱</t>
  </si>
  <si>
    <t>010-5546-5595</t>
  </si>
  <si>
    <t>김찬이</t>
  </si>
  <si>
    <t>서울 서초구 신반포로15길 19 103-1103</t>
  </si>
  <si>
    <t>OPT-2475858-2722251</t>
  </si>
  <si>
    <t>서울 강남구 압구정로 313 43-603</t>
  </si>
  <si>
    <t>OPT-2475873-2722267</t>
  </si>
  <si>
    <t>아현맘</t>
  </si>
  <si>
    <t>010-6285-6400</t>
  </si>
  <si>
    <t>경기 과천시 별양로 164 706동1201호</t>
  </si>
  <si>
    <t>OPT-2475913-2722307</t>
  </si>
  <si>
    <t>추정희</t>
  </si>
  <si>
    <t>010-8034-9332</t>
  </si>
  <si>
    <t>울산 중구 약사로 25 306동504호</t>
  </si>
  <si>
    <t>OPT-2475917-2722311</t>
  </si>
  <si>
    <t>강성용</t>
  </si>
  <si>
    <t>010-9929-5789</t>
  </si>
  <si>
    <t>경상남도 거제시 양정5길 36 (양정동, 거제아이파크1차) 106동1303호</t>
  </si>
  <si>
    <t>OPT-2475925-2722322</t>
  </si>
  <si>
    <t>유금자</t>
  </si>
  <si>
    <t>010-8841-4743</t>
  </si>
  <si>
    <t>경기 시흥시 장현순환로 58 호반1203동802호</t>
  </si>
  <si>
    <t>OPT-2475936-2722333</t>
  </si>
  <si>
    <t>김계남</t>
  </si>
  <si>
    <t>010-4133-2257</t>
  </si>
  <si>
    <t>경기 하남시 위례순환로 270 위례그린파크 푸르지오 6501동801호</t>
  </si>
  <si>
    <t>부재시 문앞에 두고 가주세요</t>
  </si>
  <si>
    <t>OPT-2476107-2722512</t>
  </si>
  <si>
    <t>최진호</t>
  </si>
  <si>
    <t>010-9416-7526</t>
  </si>
  <si>
    <t>서울 성북구 한천로 713 506-1704</t>
  </si>
  <si>
    <t>OPT-2476121-2722526</t>
  </si>
  <si>
    <t>최순자</t>
  </si>
  <si>
    <t>010-2202-0747</t>
  </si>
  <si>
    <t>010-2286-0747</t>
  </si>
  <si>
    <t>강원특별자치도 원주시 배울로 154 116동 503호</t>
  </si>
  <si>
    <t>OPT-2476181-2722596</t>
  </si>
  <si>
    <t>010-9007-7000</t>
  </si>
  <si>
    <t>경기 수원시 권선구 망포로 14 210-1104</t>
  </si>
  <si>
    <t>OPT-2476182-2722597</t>
  </si>
  <si>
    <t>손연선</t>
  </si>
  <si>
    <t>010-4217-3182</t>
  </si>
  <si>
    <t>이종성</t>
  </si>
  <si>
    <t>043-847-3901</t>
  </si>
  <si>
    <t>충북 충주시 금제1길 5 1동1002호</t>
  </si>
  <si>
    <t>현관앞에 배송해주세요.</t>
  </si>
  <si>
    <t>SUB-2474836-306911</t>
  </si>
  <si>
    <t>최해주</t>
  </si>
  <si>
    <t>010-2540-9617</t>
  </si>
  <si>
    <t>서울 강남구 언주로 202 109동 604호</t>
  </si>
  <si>
    <t>SUB-2474882-306913</t>
  </si>
  <si>
    <t>김성대</t>
  </si>
  <si>
    <t>010-6384-3119</t>
  </si>
  <si>
    <t>서울특별시 영등포구 도신로 68 (신길동, 신길우성아파트) 103동903호</t>
  </si>
  <si>
    <t>SUB-2475186-306922</t>
  </si>
  <si>
    <t>엄지유</t>
  </si>
  <si>
    <t>010-2286-9979</t>
  </si>
  <si>
    <t>경기도 여주시 점동면 한밭들길 31-2 1층</t>
  </si>
  <si>
    <t>SUB-2475259-306925</t>
  </si>
  <si>
    <t>안경</t>
  </si>
  <si>
    <t>010-7583-1609</t>
  </si>
  <si>
    <t>대구 동구 입석로1길 32-2 루비5차 301호</t>
  </si>
  <si>
    <t>SUB-2475290-306927</t>
  </si>
  <si>
    <t>경기 화성시 동탄구 동탄순환대로17길 15 서희스타힐스 2421동1904호</t>
  </si>
  <si>
    <t>SUB-2475295-306929</t>
  </si>
  <si>
    <t>010-5635-5464</t>
  </si>
  <si>
    <t>최기정</t>
  </si>
  <si>
    <t>경기 구리시 장자대로111번길 11 201동 1506호</t>
  </si>
  <si>
    <t>SUB-2475405-306933</t>
  </si>
  <si>
    <t>양은성</t>
  </si>
  <si>
    <t>010-7612-7674</t>
  </si>
  <si>
    <t>서울 마포구 마포대로 115-8 104동 907호</t>
  </si>
  <si>
    <t>SUB-2475590-306938</t>
  </si>
  <si>
    <t>An_Teon</t>
  </si>
  <si>
    <t>010-3264-3082</t>
  </si>
  <si>
    <t>서울 마포구 대흥로24길 41 1층 상가안</t>
  </si>
  <si>
    <t>SUB-2475728-306947</t>
  </si>
  <si>
    <t>권오경</t>
  </si>
  <si>
    <t>010-9859-8500</t>
  </si>
  <si>
    <t>경기도 수원시 장안구 수성로339번길 14-37 (정자동) 401호</t>
  </si>
  <si>
    <t>SUB-2475941-306960</t>
  </si>
  <si>
    <t>이나래</t>
  </si>
  <si>
    <t>010-3381-8921</t>
  </si>
  <si>
    <t>경기 안양시 만안구 안양천서로 249 111-104</t>
  </si>
  <si>
    <t>공동현관문 104#1234</t>
  </si>
  <si>
    <t>SUB-2476162-306968</t>
  </si>
  <si>
    <t>cha</t>
  </si>
  <si>
    <t>010-2048-6133</t>
  </si>
  <si>
    <t>서울 송파구 오금로32길 14 송파 래미안아파트 110동703호</t>
  </si>
  <si>
    <t>OPT-2479440-2726054</t>
  </si>
  <si>
    <t>WB</t>
  </si>
  <si>
    <t>010-9168-7889</t>
  </si>
  <si>
    <t>김석진</t>
  </si>
  <si>
    <t>서울특별시 강남구 선릉로 221 (도곡동, 도곡렉슬아파트) 406-301</t>
  </si>
  <si>
    <t>OPT-2479142-2725748</t>
  </si>
  <si>
    <t>은영</t>
  </si>
  <si>
    <t>010-4541-7076</t>
  </si>
  <si>
    <t>이영호</t>
  </si>
  <si>
    <t>010-2094-2405</t>
  </si>
  <si>
    <t>경기 평택시 청북읍 안청로4길 42 104동602호</t>
  </si>
  <si>
    <t>설명절 연휴이전 배송 부탁드립니다 꼭!!</t>
  </si>
  <si>
    <t>OPT-2478930-2725532</t>
  </si>
  <si>
    <t>권광열</t>
  </si>
  <si>
    <t>010-2913-9995</t>
  </si>
  <si>
    <t>경기 화성시 봉담읍 와우로34번길 11 108동 802호</t>
  </si>
  <si>
    <t>OPT-2478903-2725503</t>
  </si>
  <si>
    <t>KY</t>
  </si>
  <si>
    <t>010-7126-3389</t>
  </si>
  <si>
    <t>강원특별자치도 속초시 청호로 22 102-903</t>
  </si>
  <si>
    <t>OPT-2478886-2725485</t>
  </si>
  <si>
    <t>서지수</t>
  </si>
  <si>
    <t>010-2959-0757</t>
  </si>
  <si>
    <t>서울특별시 서대문구 연희로41길 162 (홍은동, 홍은동동아아파트) 동아빌라 101호</t>
  </si>
  <si>
    <t>OPT-2478871-2725469</t>
  </si>
  <si>
    <t>엄병철</t>
  </si>
  <si>
    <t>010-4371-6531</t>
  </si>
  <si>
    <t>울산 중구 고복수길 11 302호</t>
  </si>
  <si>
    <t>OPT-2478683-2725265</t>
  </si>
  <si>
    <t>성향아  85097608</t>
  </si>
  <si>
    <t>010-8509-7608</t>
  </si>
  <si>
    <t>서울 광진구 아차산로27길 19-7 2층</t>
  </si>
  <si>
    <t>OPT-2478669-2725251</t>
  </si>
  <si>
    <t>예닮이명희</t>
  </si>
  <si>
    <t>010-6268-0657</t>
  </si>
  <si>
    <t>서울 성북구 돌곶이로8다길 6-9 석관동 62-16</t>
  </si>
  <si>
    <t>OPT-2478575-2725150</t>
  </si>
  <si>
    <t>Sophia</t>
  </si>
  <si>
    <t>010-2051-2576</t>
  </si>
  <si>
    <t>경기도 용인시 수지구 신봉2로 26 (신봉마을엘지자이1차아파트) 113동 1403호</t>
  </si>
  <si>
    <t>OPT-2478562-2725137</t>
  </si>
  <si>
    <t>도융남</t>
  </si>
  <si>
    <t>대구 중구 남산로13길 17 보성황실 106동 1205호</t>
  </si>
  <si>
    <t>OPT-2478560-2725135</t>
  </si>
  <si>
    <t>김현식</t>
  </si>
  <si>
    <t>010-5418-1975</t>
  </si>
  <si>
    <t>경기 양주시 옥정로7길 34 214동3001호</t>
  </si>
  <si>
    <t>OPT-2478552-2725127</t>
  </si>
  <si>
    <t>OPT-2478543-2725117</t>
  </si>
  <si>
    <t>주영지</t>
  </si>
  <si>
    <t>010-2350-6785</t>
  </si>
  <si>
    <t>경기도 용인시 처인구 한터로275번길 40 (고림동, 예원마을코아루아파트) 101동1503호</t>
  </si>
  <si>
    <t>OPT-2478516-2725090</t>
  </si>
  <si>
    <t>김경원</t>
  </si>
  <si>
    <t>010-6359-5362</t>
  </si>
  <si>
    <t>서울 강동구 천중로9길 50 304호</t>
  </si>
  <si>
    <t>OPT-2478513-2725087</t>
  </si>
  <si>
    <t>윤여훈</t>
  </si>
  <si>
    <t>010-7209-7422</t>
  </si>
  <si>
    <t>충청남도 공주시 우금티로 704 (덕성그린타운) 102동 604호</t>
  </si>
  <si>
    <t>OPT-2478487-2725058</t>
  </si>
  <si>
    <t>박경환</t>
  </si>
  <si>
    <t>010-5082-7442</t>
  </si>
  <si>
    <t>전라남도 장성군 삼계면 능성로 548 (상무아파트) 210동403호</t>
  </si>
  <si>
    <t>OPT-2478434-2725005</t>
  </si>
  <si>
    <t>Ssuny(황인선)</t>
  </si>
  <si>
    <t>010-6214-5190</t>
  </si>
  <si>
    <t>황인선</t>
  </si>
  <si>
    <t>서울 성북구 종암로25길 30 102동 1801호</t>
  </si>
  <si>
    <t>OPT-2478409-2724979</t>
  </si>
  <si>
    <t>정선호</t>
  </si>
  <si>
    <t>010-4392-5685</t>
  </si>
  <si>
    <t>이영희</t>
  </si>
  <si>
    <t>010-7322-5685</t>
  </si>
  <si>
    <t>서울 광진구 답십리로76길 10 302호</t>
  </si>
  <si>
    <t>OPT-2478384-2724947</t>
  </si>
  <si>
    <t>김민영</t>
  </si>
  <si>
    <t>010-6768-0699</t>
  </si>
  <si>
    <t>경기 군포시 군포로 109 101동1402호</t>
  </si>
  <si>
    <t>OPT-2478377-2724940</t>
  </si>
  <si>
    <t>강동윤</t>
  </si>
  <si>
    <t>010-3833-6277</t>
  </si>
  <si>
    <t>서울 동작구 동작대로29길 118 501동 1310호(신동아아파트, 사당동)</t>
  </si>
  <si>
    <t>배송저 연락요망</t>
  </si>
  <si>
    <t>OPT-2478297-2724859</t>
  </si>
  <si>
    <t>이재호(ihad)</t>
  </si>
  <si>
    <t>010-2019-1173</t>
  </si>
  <si>
    <t>경기 광주시 장지3길 51 304</t>
  </si>
  <si>
    <t>OPT-2478296-2724858</t>
  </si>
  <si>
    <t>최수빈</t>
  </si>
  <si>
    <t>010-3078-9712</t>
  </si>
  <si>
    <t>강원특별자치도 춘천시 충열로 32 108동1005호</t>
  </si>
  <si>
    <t>현관 #1005 /3817</t>
  </si>
  <si>
    <t>OPT-2478282-2724843</t>
  </si>
  <si>
    <t>김현혜</t>
  </si>
  <si>
    <t>010-5577-4403</t>
  </si>
  <si>
    <t>경남 의령군 용덕면 덕암로4길 39 1층</t>
  </si>
  <si>
    <t>OPT-2478198-2724743</t>
  </si>
  <si>
    <t>정재필</t>
  </si>
  <si>
    <t>010-6242-2804</t>
  </si>
  <si>
    <t>나지연</t>
  </si>
  <si>
    <t>010-3778-2204</t>
  </si>
  <si>
    <t>경기 시흥시 배곧1로 27-16 한라 208동 1404호</t>
  </si>
  <si>
    <t>OPT-2478184-2724729</t>
  </si>
  <si>
    <t>양원호</t>
  </si>
  <si>
    <t>010-3639-7438</t>
  </si>
  <si>
    <t>제주특별자치도 제주시 애월읍 광령8길 47 1층</t>
  </si>
  <si>
    <t>OPT-2478180-2724725</t>
  </si>
  <si>
    <t>이은정</t>
  </si>
  <si>
    <t>010-3479-0723</t>
  </si>
  <si>
    <t>함원준</t>
  </si>
  <si>
    <t>010-2858-7887</t>
  </si>
  <si>
    <t>경기 고양시 일산동구 무궁화로 7-63 438호</t>
  </si>
  <si>
    <t>OPT-2478171-2724716</t>
  </si>
  <si>
    <t>이재원</t>
  </si>
  <si>
    <t>010-3674-9762</t>
  </si>
  <si>
    <t>경기 고양시 덕양구 대덕산로 20 107-2005</t>
  </si>
  <si>
    <t>OPT-2478167-2724712</t>
  </si>
  <si>
    <t>박영희</t>
  </si>
  <si>
    <t>010-8879-6257</t>
  </si>
  <si>
    <t>이점복</t>
  </si>
  <si>
    <t>010-3438-6257</t>
  </si>
  <si>
    <t>대구 서구 당산로 324 8동 207호</t>
  </si>
  <si>
    <t>OPT-2478140-2724684</t>
  </si>
  <si>
    <t>유성훈</t>
  </si>
  <si>
    <t>010-8488-7777</t>
  </si>
  <si>
    <t>서울 강남구 영동대로112길 67 동일파크스위트 903호</t>
  </si>
  <si>
    <t>OPT-2478126-2724670</t>
  </si>
  <si>
    <t>JM•SW</t>
  </si>
  <si>
    <t>010-3144-0215</t>
  </si>
  <si>
    <t>경기 수원시 영통구 대학로 98 8107동1304호</t>
  </si>
  <si>
    <t>OPT-2478121-2724665</t>
  </si>
  <si>
    <t>010-9288-7004</t>
  </si>
  <si>
    <t>경기 부천시 소사구 송내대로33번길 48-3 1층</t>
  </si>
  <si>
    <t>OPT-2478110-2724653</t>
  </si>
  <si>
    <t>이상혁</t>
  </si>
  <si>
    <t>010-6389-4568</t>
  </si>
  <si>
    <t>경기 동두천시 거북마루로 64 대방샤인힐 703동1404호</t>
  </si>
  <si>
    <t>OPT-2478101-2724644</t>
  </si>
  <si>
    <t>김준영</t>
  </si>
  <si>
    <t>010-3738-7587</t>
  </si>
  <si>
    <t>경기 화성시 동탄구 동탄신리천로5길 43 3862동 1403호</t>
  </si>
  <si>
    <t>OPT-2478099-2724642</t>
  </si>
  <si>
    <t>정미진</t>
  </si>
  <si>
    <t>010-3666-2136</t>
  </si>
  <si>
    <t>경기 남양주시 미금로57번길 20 713동 1101호 다산리버펠리체</t>
  </si>
  <si>
    <t>OPT-2478098-2724641</t>
  </si>
  <si>
    <t>이상희</t>
  </si>
  <si>
    <t>010-9509-9328</t>
  </si>
  <si>
    <t>부산 사상구 학감대로49번길 15 구학마을아파트101동501호</t>
  </si>
  <si>
    <t>현관문앞에 놓아주세요</t>
  </si>
  <si>
    <t>OPT-2478096-2724639</t>
  </si>
  <si>
    <t>유상현</t>
  </si>
  <si>
    <t>010-4656-6562</t>
  </si>
  <si>
    <t>충북 청주시 흥덕구 짐대로 6 벽산A 102-1203</t>
  </si>
  <si>
    <t>OPT-2478084-2724627</t>
  </si>
  <si>
    <t>김홍현</t>
  </si>
  <si>
    <t>010-6327-3251</t>
  </si>
  <si>
    <t>서울 양천구 신정로 300 501동 603호</t>
  </si>
  <si>
    <t>OPT-2478013-2724553</t>
  </si>
  <si>
    <t>나성희</t>
  </si>
  <si>
    <t>010-6444-8506</t>
  </si>
  <si>
    <t>경기도 광주시 태재로 20-15 (이편한세상태재1단지) 107동 1301호</t>
  </si>
  <si>
    <t>OPT-2478008-2724548</t>
  </si>
  <si>
    <t>장연옥</t>
  </si>
  <si>
    <t>010-2694-0823</t>
  </si>
  <si>
    <t>충청북도 청주시 서원구 용호로15번길 21 (성화동) 용호빌301호</t>
  </si>
  <si>
    <t>OPT-2477994-2724534</t>
  </si>
  <si>
    <t>강유진</t>
  </si>
  <si>
    <t>010-2747-0904</t>
  </si>
  <si>
    <t>강동휘</t>
  </si>
  <si>
    <t>010-9391-6536</t>
  </si>
  <si>
    <t>서울 강서구 강서로 348 우장산힐스테이트A 137동 702호</t>
  </si>
  <si>
    <t>배송 도착전 문자 연락부탁드립니다</t>
  </si>
  <si>
    <t>OPT-2477802-2724328</t>
  </si>
  <si>
    <t>곽지원</t>
  </si>
  <si>
    <t>010-8717-3402</t>
  </si>
  <si>
    <t>서울특별시 도봉구 도봉로110다길 51 (창동, 태영창동데시앙) 109동 1601호</t>
  </si>
  <si>
    <t>OPT-2477789-2724315</t>
  </si>
  <si>
    <t>고현민</t>
  </si>
  <si>
    <t>010-2867-3960</t>
  </si>
  <si>
    <t>고정래</t>
  </si>
  <si>
    <t>010-3645-4393</t>
  </si>
  <si>
    <t>전남 나주시 남평읍 남평3로 21 단독주택</t>
  </si>
  <si>
    <t>부재 시 대문 앞에 보관 부탁 드립니다.</t>
  </si>
  <si>
    <t>OPT-2477648-2724158</t>
  </si>
  <si>
    <t>이수원</t>
  </si>
  <si>
    <t>010-8723-3053</t>
  </si>
  <si>
    <t>남병옥</t>
  </si>
  <si>
    <t>010-4532-5041</t>
  </si>
  <si>
    <t>경북 영덕군 축산면 도곡길 23 구 141번지</t>
  </si>
  <si>
    <t>부재시 전화부탁드립니다</t>
  </si>
  <si>
    <t>OPT-2477647-2724157</t>
  </si>
  <si>
    <t>전광현</t>
  </si>
  <si>
    <t>010-2791-0479</t>
  </si>
  <si>
    <t>경기도 의정부시 용현로 111 (민락동, 송산푸르지오) 101-1203</t>
  </si>
  <si>
    <t>OPT-2477621-2724131</t>
  </si>
  <si>
    <t>이경희</t>
  </si>
  <si>
    <t>010-7227-6658</t>
  </si>
  <si>
    <t>임정애</t>
  </si>
  <si>
    <t>010-6650-7110</t>
  </si>
  <si>
    <t>전북특별자치도 완주군 용진읍 용흥시천길 30-1 시천마을</t>
  </si>
  <si>
    <t>OPT-2477601-2724111</t>
  </si>
  <si>
    <t>박귀숙</t>
  </si>
  <si>
    <t>010-9005-1031</t>
  </si>
  <si>
    <t>박병국</t>
  </si>
  <si>
    <t>010-2138-1160</t>
  </si>
  <si>
    <t>서울 도봉구 도봉로123길 39-10 정원파크빌 401호</t>
  </si>
  <si>
    <t>OPT-2477582-2724087</t>
  </si>
  <si>
    <t>이선주</t>
  </si>
  <si>
    <t>010-9093-0413</t>
  </si>
  <si>
    <t>김종심</t>
  </si>
  <si>
    <t>010-2763-4242</t>
  </si>
  <si>
    <t>전북특별자치도 부안군 위도면 진리안길 32 집앞</t>
  </si>
  <si>
    <t>OPT-2477573-2724077</t>
  </si>
  <si>
    <t>박병완</t>
  </si>
  <si>
    <t>010-9274-5923</t>
  </si>
  <si>
    <t>경기 용인시 기흥구 흥덕2로 126 현대 힐스테이트아파트 701동 602호</t>
  </si>
  <si>
    <t>OPT-2477572-2724076</t>
  </si>
  <si>
    <t>심영선</t>
  </si>
  <si>
    <t>010-9039-7820</t>
  </si>
  <si>
    <t>서울 강남구 삼성로85길 11 101동 1601호</t>
  </si>
  <si>
    <t>OPT-2477561-2724064</t>
  </si>
  <si>
    <t>김지영</t>
  </si>
  <si>
    <t>010-4457-0246</t>
  </si>
  <si>
    <t>서울 동작구 신대방3길 28 2층</t>
  </si>
  <si>
    <t>벨눌러 주시고 문앞에 놓아 주세요.</t>
  </si>
  <si>
    <t>OPT-2477524-2724027</t>
  </si>
  <si>
    <t>김민아</t>
  </si>
  <si>
    <t>010-2213-7524</t>
  </si>
  <si>
    <t>서울특별시 도봉구 시루봉로6길 53 (쌍문동, 쌍문동현대아파트) 201동1503호</t>
  </si>
  <si>
    <t>OPT-2477517-2724020</t>
  </si>
  <si>
    <t>010-9077-4273</t>
  </si>
  <si>
    <t>이훈민</t>
  </si>
  <si>
    <t>010-7444-5590</t>
  </si>
  <si>
    <t>광주 서구 눌재로 470 시내버스차고지 사무동 3층</t>
  </si>
  <si>
    <t>짬이 잘 안나서 직접 인사못드리고 감사의 마음 전합니다. 전화기 보내주셔서 감사해요!</t>
  </si>
  <si>
    <t>OPT-2477504-2724007</t>
  </si>
  <si>
    <t>김유경</t>
  </si>
  <si>
    <t>010-8446-8313</t>
  </si>
  <si>
    <t>경기도 안산시 상록구 광덕산1로 39-20 302호</t>
  </si>
  <si>
    <t>OPT-2477500-2724003</t>
  </si>
  <si>
    <t>이형래</t>
  </si>
  <si>
    <t>010-3800-4194</t>
  </si>
  <si>
    <t>이상준</t>
  </si>
  <si>
    <t>010-5438-4194</t>
  </si>
  <si>
    <t>경북 포항시 남구 구룡포읍 호미로449번길 229 끝집농장</t>
  </si>
  <si>
    <t>OPT-2477478-2723981</t>
  </si>
  <si>
    <t>김성욱.   The King &amp; I</t>
  </si>
  <si>
    <t>010-9091-8282</t>
  </si>
  <si>
    <t>남혜린</t>
  </si>
  <si>
    <t>010-4773-5001</t>
  </si>
  <si>
    <t xml:space="preserve">경남 창원시 진해구 충장로 361 2층 육내과 </t>
  </si>
  <si>
    <t>OPT-2477374-2723871</t>
  </si>
  <si>
    <t>박명희</t>
  </si>
  <si>
    <t>010-4786-9484</t>
  </si>
  <si>
    <t>경남 창원시 진해구 해원로 45 114-604</t>
  </si>
  <si>
    <t>OPT-2477370-2723867</t>
  </si>
  <si>
    <t>벅영미</t>
  </si>
  <si>
    <t>010-7156-6545</t>
  </si>
  <si>
    <t xml:space="preserve">경남 창원시 진해구 태백서로45번길 3 102동801호 </t>
  </si>
  <si>
    <t>OPT-2477367-2723864</t>
  </si>
  <si>
    <t>김용겸</t>
  </si>
  <si>
    <t>010-8703-4479</t>
  </si>
  <si>
    <t>충남 천안시 동남구 순천향4길 50 2층 모임방다방</t>
  </si>
  <si>
    <t>OPT-2477354-2723851</t>
  </si>
  <si>
    <t>홍승민</t>
  </si>
  <si>
    <t>010-5684-7858</t>
  </si>
  <si>
    <t>서울 영등포구 63로 45 6동21호</t>
  </si>
  <si>
    <t>OPT-2477348-2723844</t>
  </si>
  <si>
    <t>정희경</t>
  </si>
  <si>
    <t>010-8845-7683</t>
  </si>
  <si>
    <t>충북 충주시 염밭로 22 106동1406호(용산동,남산동일하이빌)</t>
  </si>
  <si>
    <t>OPT-2477345-2723841</t>
  </si>
  <si>
    <t>이상진</t>
  </si>
  <si>
    <t>010-3739-6455</t>
  </si>
  <si>
    <t>김연주</t>
  </si>
  <si>
    <t>010-3358-6455</t>
  </si>
  <si>
    <t>서울 마포구 백범로37길 12 102동 2104호</t>
  </si>
  <si>
    <t>OPT-2477324-2723818</t>
  </si>
  <si>
    <t>정하연</t>
  </si>
  <si>
    <t>010-6790-8939</t>
  </si>
  <si>
    <t>전남 화순군 화순읍 광덕로 204 부영아파트 506동 304호</t>
  </si>
  <si>
    <t>OPT-2477296-2723790</t>
  </si>
  <si>
    <t>태하맘</t>
  </si>
  <si>
    <t>010-6559-8885</t>
  </si>
  <si>
    <t>울산광역시 동구 서부로 51 (서부동, 신영 울산 지웰시티 자이 2단지) 206동 402호</t>
  </si>
  <si>
    <t>OPT-2477244-2723733</t>
  </si>
  <si>
    <t>경기 평택시 포승읍 여술로43번길 18 203동702호</t>
  </si>
  <si>
    <t>OPT-2477238-2723727</t>
  </si>
  <si>
    <t>이광호</t>
  </si>
  <si>
    <t>010-5555-2440</t>
  </si>
  <si>
    <t>대구광역시 동구 안심로73길 22 (신서 롯데캐슬레전드) 101~1809</t>
  </si>
  <si>
    <t>OPT-2477208-2723693</t>
  </si>
  <si>
    <t>정광석</t>
  </si>
  <si>
    <t>010-5510-4678</t>
  </si>
  <si>
    <t>김장환</t>
  </si>
  <si>
    <t>010-3872-6502</t>
  </si>
  <si>
    <t>부산 북구 화명신도시로 194 103동 803호</t>
  </si>
  <si>
    <t>OPT-2477172-2723656</t>
  </si>
  <si>
    <t>010-3369-1680</t>
  </si>
  <si>
    <t>박영심</t>
  </si>
  <si>
    <t>010-4609-8775</t>
  </si>
  <si>
    <t>서울 강서구 방화대로21길 73 국제방아간</t>
  </si>
  <si>
    <t>OPT-2477169-2723653</t>
  </si>
  <si>
    <t>손민기</t>
  </si>
  <si>
    <t>손용현</t>
  </si>
  <si>
    <t>010-9373-1422</t>
  </si>
  <si>
    <t>대전 유성구 엑스포로151번길 19 B동506호</t>
  </si>
  <si>
    <t>OPT-2477125-2723609</t>
  </si>
  <si>
    <t>서연의</t>
  </si>
  <si>
    <t>010-5720-1064</t>
  </si>
  <si>
    <t>대전 서구 둔산북로 215 12동501호 가람아파트</t>
  </si>
  <si>
    <t>OPT-2477107-2723591</t>
  </si>
  <si>
    <t>JOY</t>
  </si>
  <si>
    <t>010-4609-9533</t>
  </si>
  <si>
    <t>광주 광산구 수완로73번길 40 602동1103호</t>
  </si>
  <si>
    <t>OPT-2477106-2723590</t>
  </si>
  <si>
    <t>이희백</t>
  </si>
  <si>
    <t>010-5553-8731</t>
  </si>
  <si>
    <t>경상북도 영천시 자양면 배양골길 36-3 36-3</t>
  </si>
  <si>
    <t>OPT-2477087-2723570</t>
  </si>
  <si>
    <t>jiNa</t>
  </si>
  <si>
    <t>010-5624-8834</t>
  </si>
  <si>
    <t>경기 과천시 별양로 110 623-205</t>
  </si>
  <si>
    <t>OPT-2477064-2723545</t>
  </si>
  <si>
    <t>김경숙 미카엘라</t>
  </si>
  <si>
    <t>010-3238-9741</t>
  </si>
  <si>
    <t>경기도 김포시 고촌읍 고송로 17 (숲속마을대우아파트) 105-1302</t>
  </si>
  <si>
    <t>OPT-2477056-2723537</t>
  </si>
  <si>
    <t>김형일</t>
  </si>
  <si>
    <t>010-2867-5977</t>
  </si>
  <si>
    <t>서울 서초구 서초중앙로29길 28 306-1207</t>
  </si>
  <si>
    <t>OPT-2477038-2723519</t>
  </si>
  <si>
    <t>형종</t>
  </si>
  <si>
    <t>010-8605-9000</t>
  </si>
  <si>
    <t>광주광역시 서구 화개중앙로 116 (금호동, 이지더원아파트) 101809</t>
  </si>
  <si>
    <t>OPT-2477032-2723513</t>
  </si>
  <si>
    <t>인생은 속도가 아니라 방향이다</t>
  </si>
  <si>
    <t>010-3041-6666</t>
  </si>
  <si>
    <t>부산 동래구 아시아드대로181번가길 88 제일아트빌 201호</t>
  </si>
  <si>
    <t>배송 후 연락주세요</t>
  </si>
  <si>
    <t>OPT-2477029-2723510</t>
  </si>
  <si>
    <t>천성수</t>
  </si>
  <si>
    <t>010-4802-2758</t>
  </si>
  <si>
    <t>천수빈</t>
  </si>
  <si>
    <t>010-4017-0282</t>
  </si>
  <si>
    <t>대구 북구 칠곡중앙대로 434 103동603호</t>
  </si>
  <si>
    <t>OPT-2477028-2723509</t>
  </si>
  <si>
    <t>민주현</t>
  </si>
  <si>
    <t>010-9034-1349</t>
  </si>
  <si>
    <t>서울 영등포구 영등포로 206 신한드림빌 205호</t>
  </si>
  <si>
    <t>OPT-2477023-2723502</t>
  </si>
  <si>
    <t>권혁균</t>
  </si>
  <si>
    <t>010-5151-7221</t>
  </si>
  <si>
    <t>권호준</t>
  </si>
  <si>
    <t>010-2324-8727</t>
  </si>
  <si>
    <t>경기 성남시 분당구 서현로 177 105동 1304호</t>
  </si>
  <si>
    <t>OPT-2477021-2723500</t>
  </si>
  <si>
    <t>권호웅</t>
  </si>
  <si>
    <t>010-3318-3030</t>
  </si>
  <si>
    <t>경기 안성시 석정2길 13-8 신원아침도시 105동 601호</t>
  </si>
  <si>
    <t>OPT-2477018-2723497</t>
  </si>
  <si>
    <t>HJ</t>
  </si>
  <si>
    <t>010-9207-7067</t>
  </si>
  <si>
    <t>서화정</t>
  </si>
  <si>
    <t>서울 영등포구 도신로62길 23 202호</t>
  </si>
  <si>
    <t>배송전 연락 바랍니다</t>
  </si>
  <si>
    <t>OPT-2477006-2723485</t>
  </si>
  <si>
    <t>僧行什麽(한산)</t>
  </si>
  <si>
    <t>010-7773-0773</t>
  </si>
  <si>
    <t>우성제(한산)</t>
  </si>
  <si>
    <t>서울 강북구 삼양로87길 24-4 1층</t>
  </si>
  <si>
    <t>인증샷</t>
  </si>
  <si>
    <t>OPT-2476979-2723453</t>
  </si>
  <si>
    <t>서울 마포구 독막로42길 5 101동 1402호</t>
  </si>
  <si>
    <t>OPT-2476974-2723447</t>
  </si>
  <si>
    <t>김명이</t>
  </si>
  <si>
    <t>010-3012-9861</t>
  </si>
  <si>
    <t>김성자</t>
  </si>
  <si>
    <t>010-2004-1645</t>
  </si>
  <si>
    <t>서울 중랑구 공릉로18길 59 브라운스톤태릉아파트 102동 1506호</t>
  </si>
  <si>
    <t>집앞에 놓아주세요</t>
  </si>
  <si>
    <t>OPT-2476965-2723435</t>
  </si>
  <si>
    <t>신민영</t>
  </si>
  <si>
    <t>010-6605-7701</t>
  </si>
  <si>
    <t>경상남도 진주시 에나로175번길 11 (충무공동, 혁신도시중흥에스-클래스센트럴시티4단지) 401/1703</t>
  </si>
  <si>
    <t>OPT-2476953-2723420</t>
  </si>
  <si>
    <t>조민정</t>
  </si>
  <si>
    <t>010-4585-6999</t>
  </si>
  <si>
    <t>서울 송파구 양재대로 1218 107-1501</t>
  </si>
  <si>
    <t>OPT-2476935-2723402</t>
  </si>
  <si>
    <t>황영숙</t>
  </si>
  <si>
    <t>010-9460-3105</t>
  </si>
  <si>
    <t>강원특별자치도 강릉시 연당길 89 (초당동아트피아아파트) 511호</t>
  </si>
  <si>
    <t>OPT-2476860-2723320</t>
  </si>
  <si>
    <t>이정현</t>
  </si>
  <si>
    <t>010-6653-3316</t>
  </si>
  <si>
    <t>서울특별시 광진구 뚝섬로46길 33 (자양동) 401호</t>
  </si>
  <si>
    <t>OPT-2476855-2723315</t>
  </si>
  <si>
    <t>한길례</t>
  </si>
  <si>
    <t>010-2974-0815</t>
  </si>
  <si>
    <t>경기 용인시 기흥구 기흥역로58번길 10 205-3302</t>
  </si>
  <si>
    <t>OPT-2476848-2723308</t>
  </si>
  <si>
    <t>오진완</t>
  </si>
  <si>
    <t>010-5320-6474</t>
  </si>
  <si>
    <t>서울특별시 성동구 매봉길 50 (옥수동, 이편한세상옥수파크힐스) 104동 905호</t>
  </si>
  <si>
    <t>OPT-2476846-2723305</t>
  </si>
  <si>
    <t>용인조군.조현우</t>
  </si>
  <si>
    <t>010-5411-5690</t>
  </si>
  <si>
    <t>경기 평택시 현신2길 33-48 풀하우스 402호</t>
  </si>
  <si>
    <t>OPT-2476843-2723302</t>
  </si>
  <si>
    <t>forest</t>
  </si>
  <si>
    <t>010-4730-3120</t>
  </si>
  <si>
    <t>경기 의정부시 장곡로226번길 83 107동2003호</t>
  </si>
  <si>
    <t>OPT-2476840-2723299</t>
  </si>
  <si>
    <t>010-3726-2595</t>
  </si>
  <si>
    <t>전라남도 여수시 여서로 304 (여서동, 경남1차아파트) 105동903호</t>
  </si>
  <si>
    <t>OPT-2476809-2723265</t>
  </si>
  <si>
    <t>정철윤</t>
  </si>
  <si>
    <t>010-7424-7845</t>
  </si>
  <si>
    <t>한현숙</t>
  </si>
  <si>
    <t>010-9639-7845</t>
  </si>
  <si>
    <t>광주 서구 상무공원로 92 치평동 상무대주1차  103동 1210호</t>
  </si>
  <si>
    <t>OPT-2476796-2723252</t>
  </si>
  <si>
    <t>이란아</t>
  </si>
  <si>
    <t>010-7305-7786</t>
  </si>
  <si>
    <t>전북특별자치도 전주시 완산구 안행2길 14 (삼천동1가, 안행현대아파트) 101동1104호</t>
  </si>
  <si>
    <t>OPT-2476794-2723249</t>
  </si>
  <si>
    <t>박지현</t>
  </si>
  <si>
    <t>010-7380-9690</t>
  </si>
  <si>
    <t>이은주</t>
  </si>
  <si>
    <t>010-2772-4072</t>
  </si>
  <si>
    <t xml:space="preserve">경기 시흥시 정왕천로389번길 17-1 3층 </t>
  </si>
  <si>
    <t>OPT-2476789-2723244</t>
  </si>
  <si>
    <t>ᆢㆍ소나무</t>
  </si>
  <si>
    <t>010-5180-4372</t>
  </si>
  <si>
    <t>서울 성북구 화랑로13길 79-4 하월곡동  101호</t>
  </si>
  <si>
    <t>OPT-2476788-2723243</t>
  </si>
  <si>
    <t>최진희</t>
  </si>
  <si>
    <t>010-6361-5227</t>
  </si>
  <si>
    <t>경기도 수원시 장안구 만석로 29 (천천동, 비단마을현대성우.우방아파트) 716동 1206호</t>
  </si>
  <si>
    <t>OPT-2476784-2723239</t>
  </si>
  <si>
    <t>박종은</t>
  </si>
  <si>
    <t>010-3411-9946</t>
  </si>
  <si>
    <t>김경애</t>
  </si>
  <si>
    <t>010-2353-3799</t>
  </si>
  <si>
    <t>충북 충주시 동수5길 12 102호</t>
  </si>
  <si>
    <t>배송전 연락바랍니다</t>
  </si>
  <si>
    <t>OPT-2476780-2723235</t>
  </si>
  <si>
    <t>유종석</t>
  </si>
  <si>
    <t>010-8336-3614</t>
  </si>
  <si>
    <t>경기도 용인시 처인구 남사읍 한숲로 123 (e편한세상 용인 한숲시티) 308동 1804호</t>
  </si>
  <si>
    <t>OPT-2476779-2723234</t>
  </si>
  <si>
    <t>김윤미</t>
  </si>
  <si>
    <t>010-9053-8285</t>
  </si>
  <si>
    <t>서울 광진구 능동로 165-1 화양동 프라하임 505호</t>
  </si>
  <si>
    <t>OPT-2476778-2723233</t>
  </si>
  <si>
    <t>송미진(승환승원맘)</t>
  </si>
  <si>
    <t>010-3541-4734</t>
  </si>
  <si>
    <t>서울 강동구 양재대로 1300 302-3404</t>
  </si>
  <si>
    <t>OPT-2476771-2723226</t>
  </si>
  <si>
    <t>심정보</t>
  </si>
  <si>
    <t>010-3608-2508</t>
  </si>
  <si>
    <t>광주 북구 설죽로 515 메디팜일곡큰사랑약국</t>
  </si>
  <si>
    <t>OPT-2476767-2723222</t>
  </si>
  <si>
    <t>홍성표</t>
  </si>
  <si>
    <t>010-2634-2378</t>
  </si>
  <si>
    <t>경기도 용인시 수지구 신봉1로 112-2 (신봉동, 신봉마을 엘지빌리지5차) 513동 1404호</t>
  </si>
  <si>
    <t>OPT-2476764-2723218</t>
  </si>
  <si>
    <t>이주화</t>
  </si>
  <si>
    <t>010-9929-9958</t>
  </si>
  <si>
    <t>경북 경주시 강변로 540 e편한세상 102동 1304호</t>
  </si>
  <si>
    <t>OPT-2476758-2723212</t>
  </si>
  <si>
    <t>박상미</t>
  </si>
  <si>
    <t>010-9259-1577</t>
  </si>
  <si>
    <t>경기도 성남시 분당구 판교대장로7길 69 (대장동, 판교 퍼스트힐 푸르지오 1단지) 101동 1603호</t>
  </si>
  <si>
    <t>OPT-2476736-2723188</t>
  </si>
  <si>
    <t>박진우</t>
  </si>
  <si>
    <t>010-9136-6935</t>
  </si>
  <si>
    <t>서울특별시 은평구 녹번로1길 23-9 (녹번동, 대림에코빌) 601호</t>
  </si>
  <si>
    <t>OPT-2476727-2723178</t>
  </si>
  <si>
    <t>김주희</t>
  </si>
  <si>
    <t>010-8934-7637</t>
  </si>
  <si>
    <t>경기도 남양주시 불암로 337 (별내동, 남양주별내 유승 한내들) 5101-1502</t>
  </si>
  <si>
    <t>OPT-2476725-2723176</t>
  </si>
  <si>
    <t>구승관</t>
  </si>
  <si>
    <t>010-4754-5178</t>
  </si>
  <si>
    <t>김춘례</t>
  </si>
  <si>
    <t>010-2611-5178</t>
  </si>
  <si>
    <t>경기 남양주시 별내면 청학로68번길 24 408동 903호</t>
  </si>
  <si>
    <t>OPT-2476704-2723155</t>
  </si>
  <si>
    <t>양종선</t>
  </si>
  <si>
    <t>010-8565-2555</t>
  </si>
  <si>
    <t>경기도 안산시 단원구 당곡로 33 (고잔동) 102-1906</t>
  </si>
  <si>
    <t>OPT-2476693-2723143</t>
  </si>
  <si>
    <t>김선희</t>
  </si>
  <si>
    <t>010-2593-8868</t>
  </si>
  <si>
    <t>서울특별시 노원구 동일로242라길 21-11 (상계동, 비콘드림힐아파트) 201-302</t>
  </si>
  <si>
    <t>OPT-2476662-2723110</t>
  </si>
  <si>
    <t>박재형</t>
  </si>
  <si>
    <t>010-2142-1756</t>
  </si>
  <si>
    <t>인천 남동구 인주대로591번길 94 위너스타워 703호</t>
  </si>
  <si>
    <t>OPT-2476652-2723100</t>
  </si>
  <si>
    <t>조성곤</t>
  </si>
  <si>
    <t>010-5334-1883</t>
  </si>
  <si>
    <t>경기 하남시 위례순환로 270 6504동1402호</t>
  </si>
  <si>
    <t>OPT-2476651-2723099</t>
  </si>
  <si>
    <t>김정태</t>
  </si>
  <si>
    <t>010-2735-1076</t>
  </si>
  <si>
    <t>서울 성북구 낙산길 255 보문동3가이편한세상 대림.@  106동603호</t>
  </si>
  <si>
    <t>OPT-2476648-2723096</t>
  </si>
  <si>
    <t>오정욱</t>
  </si>
  <si>
    <t>010-9665-6365</t>
  </si>
  <si>
    <t>부산광역시 동래구 복천로5번길 31 (복천동, 동래복천현대아파트) 102동 503호</t>
  </si>
  <si>
    <t>문 앞에 놓아 주세요</t>
  </si>
  <si>
    <t>OPT-2476642-2723090</t>
  </si>
  <si>
    <t>Anna</t>
  </si>
  <si>
    <t>010-5378-6493</t>
  </si>
  <si>
    <t>서울 광진구 뚝섬로 467 롯데캐슬리버파크시그니처 103-2605</t>
  </si>
  <si>
    <t>OPT-2476641-2723089</t>
  </si>
  <si>
    <t>오분선</t>
  </si>
  <si>
    <t>010-6234-1228</t>
  </si>
  <si>
    <t>경남 거제시 국산로 191 자이온더퍼스트아파트102동1102호</t>
  </si>
  <si>
    <t>OPT-2476633-2723076</t>
  </si>
  <si>
    <t>현숙</t>
  </si>
  <si>
    <t>010-3381-6930</t>
  </si>
  <si>
    <t>경기 파주시 해솔로 20 411-2003</t>
  </si>
  <si>
    <t>OPT-2476631-2723073</t>
  </si>
  <si>
    <t>장미</t>
  </si>
  <si>
    <t>010-8670-9057</t>
  </si>
  <si>
    <t>서울특별시 광진구 뚝섬로30가길 5-13 (자양동) 2층자양동</t>
  </si>
  <si>
    <t>오렌지색작은대문열고2층 펜스안쪽에 넣어주세요</t>
  </si>
  <si>
    <t>OPT-2476630-2723072</t>
  </si>
  <si>
    <t>TAEYEON</t>
  </si>
  <si>
    <t>010-8274-3357</t>
  </si>
  <si>
    <t>서울특별시 동대문구 이문로12길 3-10 (이문동, 래미안이문2차아파트) 101동 702호</t>
  </si>
  <si>
    <t>OPT-2476626-2723068</t>
  </si>
  <si>
    <t>조주연</t>
  </si>
  <si>
    <t>010-2701-4331</t>
  </si>
  <si>
    <t>서울 강남구 도곡로 404 101동 603호</t>
  </si>
  <si>
    <t>OPT-2476624-2723066</t>
  </si>
  <si>
    <t>한정희</t>
  </si>
  <si>
    <t>010-5240-0014</t>
  </si>
  <si>
    <t>서울특별시 성북구 길음로 16 (길음동, 길음뉴타운) 612동 202호</t>
  </si>
  <si>
    <t>OPT-2476622-2723064</t>
  </si>
  <si>
    <t>김태영</t>
  </si>
  <si>
    <t>010-2080-8837</t>
  </si>
  <si>
    <t>경기 남양주시 식송1로 216 301호</t>
  </si>
  <si>
    <t>OPT-2476621-2723063</t>
  </si>
  <si>
    <t>신연성</t>
  </si>
  <si>
    <t>010-3228-1330</t>
  </si>
  <si>
    <t>경기도 성남시 분당구 양현로 138 (이매동, 이매촌진흥아파트) 진흥아파트802동402호</t>
  </si>
  <si>
    <t>OPT-2476499-2722932</t>
  </si>
  <si>
    <t>김의원</t>
  </si>
  <si>
    <t>010-4842-2311</t>
  </si>
  <si>
    <t>서울 강동구 아리수로93길 40 308동 706호</t>
  </si>
  <si>
    <t>OPT-2476497-2722930</t>
  </si>
  <si>
    <t>조장연</t>
  </si>
  <si>
    <t>010-5252-0816</t>
  </si>
  <si>
    <t>이미화</t>
  </si>
  <si>
    <t>010-3735-6633</t>
  </si>
  <si>
    <t>경기 군포시 번영로 403 503동 1502호</t>
  </si>
  <si>
    <t>OPT-2476486-2722917</t>
  </si>
  <si>
    <t>이범하</t>
  </si>
  <si>
    <t>010-8955-6904</t>
  </si>
  <si>
    <t>경기도 성남시 분당구 판교대장로5길 19 (대장동, 힐스테이트 판교 엘포레 A4BL) 401-502</t>
  </si>
  <si>
    <t>OPT-2476479-2722910</t>
  </si>
  <si>
    <t>hyein park</t>
  </si>
  <si>
    <t>010-7121-3248</t>
  </si>
  <si>
    <t>류지현</t>
  </si>
  <si>
    <t>010-6538-6934</t>
  </si>
  <si>
    <t>경기 용인시 기흥구 죽전로27번길 14-8 3층  302호</t>
  </si>
  <si>
    <t>OPT-2476435-2722865</t>
  </si>
  <si>
    <t>박승구</t>
  </si>
  <si>
    <t>서울 금천구 독산로78가길 20 401호</t>
  </si>
  <si>
    <t>OPT-2476429-2722859</t>
  </si>
  <si>
    <t>임도형</t>
  </si>
  <si>
    <t>인천 서구 청라라임로 40 134동 1304호</t>
  </si>
  <si>
    <t>OPT-2476426-2722856</t>
  </si>
  <si>
    <t>song</t>
  </si>
  <si>
    <t>010-7477-1598</t>
  </si>
  <si>
    <t>이영애</t>
  </si>
  <si>
    <t>대전 서구 둔산로 201 국화아파트 105동 1202호</t>
  </si>
  <si>
    <t>OPT-2476421-2722850</t>
  </si>
  <si>
    <t>010-5604-9638</t>
  </si>
  <si>
    <t>광주 서구 풍암순환로 82 남양삼능 103~1406</t>
  </si>
  <si>
    <t>OPT-2476420-2722849</t>
  </si>
  <si>
    <t>조성근</t>
  </si>
  <si>
    <t>010-4227-8733</t>
  </si>
  <si>
    <t>서울 강동구 아리수로94길 19 610동101호</t>
  </si>
  <si>
    <t>OPT-2476416-2722845</t>
  </si>
  <si>
    <t>이현희</t>
  </si>
  <si>
    <t>010-7376-7629</t>
  </si>
  <si>
    <t>010-6397-2567</t>
  </si>
  <si>
    <t>경기 의정부시 동일로 397 장암주공2단지 212동 1404호</t>
  </si>
  <si>
    <t>OPT-2476412-2722841</t>
  </si>
  <si>
    <t>한승원</t>
  </si>
  <si>
    <t>010-3793-0103</t>
  </si>
  <si>
    <t>서울 용산구 이촌로 324-10 2동506호</t>
  </si>
  <si>
    <t>대문앞에 놓아 주세요</t>
  </si>
  <si>
    <t>OPT-2476410-2722839</t>
  </si>
  <si>
    <t>박은미</t>
  </si>
  <si>
    <t>010-9633-4969</t>
  </si>
  <si>
    <t>서울 금천구 가산디지털1로 119 B동 811호</t>
  </si>
  <si>
    <t>OPT-2476396-2722824</t>
  </si>
  <si>
    <t>정병진</t>
  </si>
  <si>
    <t>010-2973-8283</t>
  </si>
  <si>
    <t>광주 북구 중문로 55 301동707호</t>
  </si>
  <si>
    <t>OPT-2476387-2722815</t>
  </si>
  <si>
    <t>양수준</t>
  </si>
  <si>
    <t>010-9786-0801</t>
  </si>
  <si>
    <t>경기 광주시 능평로30번길 30-11 303호</t>
  </si>
  <si>
    <t>OPT-2476380-2722808</t>
  </si>
  <si>
    <t>쁠루 jack.lee</t>
  </si>
  <si>
    <t>010-3239-1905</t>
  </si>
  <si>
    <t>서울특별시 금천구 벚꽃로 100 (독산동, 독산역 롯데캐슬) 101동203호</t>
  </si>
  <si>
    <t>OPT-2476325-2722749</t>
  </si>
  <si>
    <t>고소영</t>
  </si>
  <si>
    <t>010-5105-1731</t>
  </si>
  <si>
    <t>경기 수원시 영통구 영통로 232 두산우성한신 아파트 824동1604호</t>
  </si>
  <si>
    <t>OPT-2476277-2722697</t>
  </si>
  <si>
    <t>박정화</t>
  </si>
  <si>
    <t>010-6287-8323</t>
  </si>
  <si>
    <t>경기 남양주시 도농로17번길 17-15 202호 공통현관 열쇠4321종</t>
  </si>
  <si>
    <t>OPT-2476269-2722689</t>
  </si>
  <si>
    <t>김홍진(outdoor)</t>
  </si>
  <si>
    <t>010-2024-4024</t>
  </si>
  <si>
    <t>010-5313-1268</t>
  </si>
  <si>
    <t>강원특별자치도 원주시 흥업면 남원로 52-25 103동 1103호</t>
  </si>
  <si>
    <t>OPT-2476236-2722654</t>
  </si>
  <si>
    <t>김동순</t>
  </si>
  <si>
    <t>010-8895-6674</t>
  </si>
  <si>
    <t>강원특별자치도 춘천시 우두1길 70 (우두동, 춘천우두이지더원시그니처) 106동 602호</t>
  </si>
  <si>
    <t>OPT-2476216-2722634</t>
  </si>
  <si>
    <t>윤한성</t>
  </si>
  <si>
    <t>010-2566-8627</t>
  </si>
  <si>
    <t>01-2566-8627</t>
  </si>
  <si>
    <t>울산 중구 남외로 60 207동506호</t>
  </si>
  <si>
    <t>OPT-2476205-2722623</t>
  </si>
  <si>
    <t>최규삼</t>
  </si>
  <si>
    <t>010-9120-7426</t>
  </si>
  <si>
    <t>최규광</t>
  </si>
  <si>
    <t>010-3569-9963</t>
  </si>
  <si>
    <t>울산 남구 은월로40번길 8 울산남구은월로40번길8대륙2차102동908호</t>
  </si>
  <si>
    <t>OPT-2475736-2722120</t>
  </si>
  <si>
    <t>최청순</t>
  </si>
  <si>
    <t>010-4534-8986</t>
  </si>
  <si>
    <t>경기 고양시 덕양구 충장로 118-30 샘터마을206동1101호</t>
  </si>
  <si>
    <t>OPT-2475735-2722119</t>
  </si>
  <si>
    <t>은주련</t>
  </si>
  <si>
    <t>010-8993-4179</t>
  </si>
  <si>
    <t>경기도 성남시 수정구 위례광장로 70 (창곡동, 위례 아트리버 푸르지오 1단지) 101동801호</t>
  </si>
  <si>
    <t>OPT-2475674-2722046</t>
  </si>
  <si>
    <t>박용준</t>
  </si>
  <si>
    <t>010-8726-0536</t>
  </si>
  <si>
    <t>박병노</t>
  </si>
  <si>
    <t>010-4612-6820</t>
  </si>
  <si>
    <t>서울 서대문구 통일로34길 43 110동 204호</t>
  </si>
  <si>
    <t>롯데택배</t>
  </si>
  <si>
    <t>OPT-2479247-2725857</t>
  </si>
  <si>
    <t>윤홍내</t>
  </si>
  <si>
    <t>010-8996-6318</t>
  </si>
  <si>
    <t>대전 중구 목동로 37 107동302호</t>
  </si>
  <si>
    <t>설전에 배송부탁드립니다</t>
  </si>
  <si>
    <t>OPT-2479153-2725759</t>
  </si>
  <si>
    <t>김효연</t>
  </si>
  <si>
    <t>010-6252-6149</t>
  </si>
  <si>
    <t>서울 서초구 방배중앙로15길 39 201호</t>
  </si>
  <si>
    <t>OPT-2478994-2725598</t>
  </si>
  <si>
    <t>신용조</t>
  </si>
  <si>
    <t>010-3587-6781</t>
  </si>
  <si>
    <t>부산광역시 수영구 황령대로473번길 15 (남천동, 남천 엑슬루타워) 101동3004호</t>
  </si>
  <si>
    <t>SUB-2478510-307130</t>
  </si>
  <si>
    <t>뿌꾸엄마</t>
  </si>
  <si>
    <t>010-9448-2098</t>
  </si>
  <si>
    <t>부산 수영구 수영로 754 104동2703호</t>
  </si>
  <si>
    <t>SUB-2478413-307120</t>
  </si>
  <si>
    <t>이정춘</t>
  </si>
  <si>
    <t>010-3682-2934</t>
  </si>
  <si>
    <t>전북특별자치도 전주시 완산구 안행로 175 (중화산동1가, 현대1차아파트) 103동504호</t>
  </si>
  <si>
    <t>SUB-2478329-307113</t>
  </si>
  <si>
    <t>안은수</t>
  </si>
  <si>
    <t>010-9797-3266</t>
  </si>
  <si>
    <t>경기 화성시 동탄순환대로20길 69 2255/102</t>
  </si>
  <si>
    <t>SUB-2478319-307108</t>
  </si>
  <si>
    <t>송연아</t>
  </si>
  <si>
    <t>010-9500-4702</t>
  </si>
  <si>
    <t>전남 여수시 여문2로 54-26 코아루수 107동 901호</t>
  </si>
  <si>
    <t>SUB-2478287-307107</t>
  </si>
  <si>
    <t>조호성</t>
  </si>
  <si>
    <t>010-5670-1436</t>
  </si>
  <si>
    <t>서울 강서구 강서로 348 105동 203호</t>
  </si>
  <si>
    <t>SUB-2478170-307097</t>
  </si>
  <si>
    <t>김상목</t>
  </si>
  <si>
    <t>010-8772-2942</t>
  </si>
  <si>
    <t>경기 하남시 미사강변동로 100 104동2702호</t>
  </si>
  <si>
    <t>SUB-2478144-307094</t>
  </si>
  <si>
    <t>SUB-2478142-307093</t>
  </si>
  <si>
    <t>떡써는 석봉</t>
  </si>
  <si>
    <t>010-8696-3141</t>
  </si>
  <si>
    <t>강원특별자치도 강릉시 가작로 78 (교동, 강릉 교동(1)주공아파트) 106동 804호</t>
  </si>
  <si>
    <t>SUB-2477719-307075</t>
  </si>
  <si>
    <t>SUB-2477717-307074</t>
  </si>
  <si>
    <t>j ha</t>
  </si>
  <si>
    <t>서울특별시 구로구 신도림로 16 (신도림동, 신도림 대림아파트) 506-1001</t>
  </si>
  <si>
    <t>SUB-2477599-307064</t>
  </si>
  <si>
    <t>010-5342-6321</t>
  </si>
  <si>
    <t>서울 강남구 광평로10길 15 상록수아파트 205동306호</t>
  </si>
  <si>
    <t>도착전 문자주세요</t>
  </si>
  <si>
    <t>SUB-2477593-307063</t>
  </si>
  <si>
    <t>최윤석(Miguel) 한국톡</t>
  </si>
  <si>
    <t>010-9623-8395</t>
  </si>
  <si>
    <t>최상재</t>
  </si>
  <si>
    <t>010-3725-6432</t>
  </si>
  <si>
    <t>경기 용인시 수지구 만현로 127 두산위브아파트802동702호</t>
  </si>
  <si>
    <t>SUB-2477539-307058</t>
  </si>
  <si>
    <t>이철수</t>
  </si>
  <si>
    <t>010-9780-9579</t>
  </si>
  <si>
    <t>경기 고양시 일산서구 주엽로 161 동아아파트 809동 1902호</t>
  </si>
  <si>
    <t>SUB-2477436-307052</t>
  </si>
  <si>
    <t>김세영</t>
  </si>
  <si>
    <t>010-3402-9330</t>
  </si>
  <si>
    <t>010-5161-9330</t>
  </si>
  <si>
    <t>서울 동대문구 장한로22길 20-16 301호</t>
  </si>
  <si>
    <t>SUB-2477334-307044</t>
  </si>
  <si>
    <t>SUB-2477013-307027</t>
  </si>
  <si>
    <t>황진원</t>
  </si>
  <si>
    <t>010-8314-3521</t>
  </si>
  <si>
    <t>경기도 안양시 동안구 귀인로 210 (귀인마을현대홈타운) 201동 1501호</t>
  </si>
  <si>
    <t>SUB-2476906-307020</t>
  </si>
  <si>
    <t>이건진</t>
  </si>
  <si>
    <t>010-2409-0245</t>
  </si>
  <si>
    <t>강원특별자치도 원주시 관설안길 10 302호</t>
  </si>
  <si>
    <t>SUB-2476875-307018</t>
  </si>
  <si>
    <t>이영복</t>
  </si>
  <si>
    <t>010-7731-3470</t>
  </si>
  <si>
    <t>서울 강남구 도곡로78길 22 108동2106호</t>
  </si>
  <si>
    <t>SUB-2476829-307016</t>
  </si>
  <si>
    <t>김성준</t>
  </si>
  <si>
    <t>010-9903-9635</t>
  </si>
  <si>
    <t>경기 성남시 중원구 둔촌대로127번길 6-12 3층</t>
  </si>
  <si>
    <t>SUB-2476799-307011</t>
  </si>
  <si>
    <t>이풍수</t>
  </si>
  <si>
    <t>010-3709-3838</t>
  </si>
  <si>
    <t>경기 성남시 중원구 제일로63번길 8-5 104호/대문옆 우측에, 작은문으로 들어서면 계단위에104호 보입니다.</t>
  </si>
  <si>
    <t>배송전 미리 연락주십시요.</t>
  </si>
  <si>
    <t>SUB-2476792-307010</t>
  </si>
  <si>
    <t>jhp</t>
  </si>
  <si>
    <t>SUB-2476754-307009</t>
  </si>
  <si>
    <t>박은주</t>
  </si>
  <si>
    <t>010-9087-2813</t>
  </si>
  <si>
    <t>김선기</t>
  </si>
  <si>
    <t>010-9099-4123</t>
  </si>
  <si>
    <t>경기 과천시 매봉로 29 매일해오름</t>
  </si>
  <si>
    <t>SUB-2476742-307008</t>
  </si>
  <si>
    <t>스키마</t>
  </si>
  <si>
    <t>010-8927-7284</t>
  </si>
  <si>
    <t>경기 성남시 분당구 정자일로 55 107-1302호</t>
  </si>
  <si>
    <t>SUB-2476610-307002</t>
  </si>
  <si>
    <t>010-9098-7077</t>
  </si>
  <si>
    <t>인천광역시 미추홀구 염전로 414 (주안동, 주안역 센트레빌) 107동 1601호</t>
  </si>
  <si>
    <t>SUB-2476519-306995</t>
  </si>
  <si>
    <t>성신여대 방산고 새로운시작! 힘차게!</t>
  </si>
  <si>
    <t>010-3236-8155</t>
  </si>
  <si>
    <t>배경률</t>
  </si>
  <si>
    <t>서울특별시 송파구 송이로19길 4-8 (가락동) 5층</t>
  </si>
  <si>
    <t>부재시 문앞에 두시기 바랍니다~</t>
  </si>
  <si>
    <t>SUB-2476390-306983</t>
  </si>
  <si>
    <t>배수현</t>
  </si>
  <si>
    <t>010-8028-8155</t>
  </si>
  <si>
    <t xml:space="preserve">충남 천안시 동남구 일봉로 110 삼성쉐르빌 104동1002호 </t>
  </si>
  <si>
    <t>SUB-2476386-306982</t>
  </si>
  <si>
    <t>임남정</t>
  </si>
  <si>
    <t>010-9008-8516</t>
  </si>
  <si>
    <t>인천광역시 동구 방축로23번길 38 (송현동) 우복기계</t>
  </si>
  <si>
    <t>평일배송바람. 직장주소임</t>
  </si>
  <si>
    <t>SUB-2476343-306979</t>
  </si>
  <si>
    <t>이보미</t>
  </si>
  <si>
    <t>010-6688-8064</t>
  </si>
  <si>
    <t>서울특별시 마포구 토정로 158 (하중동, 한강밤섬자이) 102-503</t>
  </si>
  <si>
    <t>OPT-2481555-2728241</t>
  </si>
  <si>
    <t>조우진</t>
  </si>
  <si>
    <t>010-4317-1205</t>
  </si>
  <si>
    <t>경기 부천시 원미구 장말로 137 1622동 1502호 (상동,사랑마을청구아파트)</t>
  </si>
  <si>
    <t>OPT-2481126-2727807</t>
  </si>
  <si>
    <t>임지연</t>
  </si>
  <si>
    <t>010-9874-5774</t>
  </si>
  <si>
    <t>경기도 고양시 덕양구 중앙로558번길 57 (행신동, 햇빛마을18단지아파트) 1823동1904 호</t>
  </si>
  <si>
    <t>OPT-2481090-2727770</t>
  </si>
  <si>
    <t>과거가 현재를 도울 수 있는가</t>
  </si>
  <si>
    <t>010-4946-3095</t>
  </si>
  <si>
    <t>인천 계양구 안남로 560 206동402호</t>
  </si>
  <si>
    <t>부재시 문앞에 놔두세요</t>
  </si>
  <si>
    <t>OPT-2480801-2727479</t>
  </si>
  <si>
    <t>이창용</t>
  </si>
  <si>
    <t>010-3901-7252</t>
  </si>
  <si>
    <t>김경심</t>
  </si>
  <si>
    <t>010-9470-1586</t>
  </si>
  <si>
    <t>전남 보성군 벌교읍 홍암로 123-6 901호</t>
  </si>
  <si>
    <t>베송전 연락주세요</t>
  </si>
  <si>
    <t>OPT-2480536-2727201</t>
  </si>
  <si>
    <t>송광</t>
  </si>
  <si>
    <t>010-5943-0688</t>
  </si>
  <si>
    <t>인천 연수구 원인재로 56 106동 601호</t>
  </si>
  <si>
    <t>OPT-2480408-2727069</t>
  </si>
  <si>
    <t>지인천</t>
  </si>
  <si>
    <t>010-5833-5211</t>
  </si>
  <si>
    <t>전북특별자치도 전주시 완산구 새터로 60 201동 702호</t>
  </si>
  <si>
    <t>집앞현관문앞에놔둬주세요</t>
  </si>
  <si>
    <t>OPT-2480405-2727066</t>
  </si>
  <si>
    <t>ㄱ.정원욱</t>
  </si>
  <si>
    <t>010-4712-3231</t>
  </si>
  <si>
    <t>경기 수원시 영통구 효원로 363 131동406호</t>
  </si>
  <si>
    <t>OPT-2480388-2727049</t>
  </si>
  <si>
    <t>이남기</t>
  </si>
  <si>
    <t>010-2831-0209</t>
  </si>
  <si>
    <t>경기 의정부시 상금로 36 107동 202호</t>
  </si>
  <si>
    <t>OPT-2480344-2727003</t>
  </si>
  <si>
    <t>그린비</t>
  </si>
  <si>
    <t>010-5518-4256</t>
  </si>
  <si>
    <t>서울 성동구 독서당로 344 힐스테이트 서울숲리버 104동 503호</t>
  </si>
  <si>
    <t>OPT-2480306-2726965</t>
  </si>
  <si>
    <t>허성규</t>
  </si>
  <si>
    <t>010-9968-2641</t>
  </si>
  <si>
    <t>서울 마포구 대흥로4길 20 402호</t>
  </si>
  <si>
    <t>OPT-2480285-2726944</t>
  </si>
  <si>
    <t>김재완</t>
  </si>
  <si>
    <t>010-2039-8186</t>
  </si>
  <si>
    <t>경남 김해시 분성로 14 일동한신 127동 901호</t>
  </si>
  <si>
    <t>문 앞에 놔둬주세요~</t>
  </si>
  <si>
    <t>OPT-2480211-2726868</t>
  </si>
  <si>
    <t>윤용필</t>
  </si>
  <si>
    <t>010-9509-4577</t>
  </si>
  <si>
    <t>윤용</t>
  </si>
  <si>
    <t>010-5697-1359</t>
  </si>
  <si>
    <t>세종특별자치시 누리로 59 첫마을5단지 515동402호</t>
  </si>
  <si>
    <t>OPT-2480111-2726760</t>
  </si>
  <si>
    <t>주연희</t>
  </si>
  <si>
    <t>010-3242-4367</t>
  </si>
  <si>
    <t>경기도 안양시 동안구 관평로 68 (평촌동, 꿈마을한신아파트) 706동 501호</t>
  </si>
  <si>
    <t>OPT-2480104-2726753</t>
  </si>
  <si>
    <t>정수</t>
  </si>
  <si>
    <t>010-6551-1589</t>
  </si>
  <si>
    <t>경기 고양시 일산동구 하늘마을1로 25 511동 1404호</t>
  </si>
  <si>
    <t>OPT-2480095-2726744</t>
  </si>
  <si>
    <t>김대환</t>
  </si>
  <si>
    <t>010-7756-8315</t>
  </si>
  <si>
    <t>이기례</t>
  </si>
  <si>
    <t>010-4079-3900</t>
  </si>
  <si>
    <t>서울 영등포구 디지털로 420 101동 202호</t>
  </si>
  <si>
    <t>OPT-2479634-2726259</t>
  </si>
  <si>
    <t>김태원</t>
  </si>
  <si>
    <t>서울 마포구 백범로 178 B동603호</t>
  </si>
  <si>
    <t>OPT-2479629-2726254</t>
  </si>
  <si>
    <t>최현수</t>
  </si>
  <si>
    <t>010-6550-6972</t>
  </si>
  <si>
    <t>경남 거제시 거제면 내간2길 56 경로당 옆집</t>
  </si>
  <si>
    <t>OPT-2479581-2726205</t>
  </si>
  <si>
    <t>김문호</t>
  </si>
  <si>
    <t>010-2488-5534</t>
  </si>
  <si>
    <t>서울 마포구 마포대로1길 21 마포대림1차 102동802호</t>
  </si>
  <si>
    <t>OPT-2479557-2726175</t>
  </si>
  <si>
    <t>윤병준</t>
  </si>
  <si>
    <t>010-3746-0811</t>
  </si>
  <si>
    <t>강원도 횡성군 갑천로807번길 12-30 (상대리 467)</t>
  </si>
  <si>
    <t>현관 문앞에 놓아주세요.</t>
  </si>
  <si>
    <t>OPT-2479539-2726156</t>
  </si>
  <si>
    <t>선한 영향력!</t>
  </si>
  <si>
    <t>010-2354-8749</t>
  </si>
  <si>
    <t>양혁승</t>
  </si>
  <si>
    <t>부산 금정구 서곡로 27-2 2층 목양실</t>
  </si>
  <si>
    <t>빠른 배송 바랍니다.</t>
  </si>
  <si>
    <t>OPT-2479516-2726133</t>
  </si>
  <si>
    <t>JIYOUNG BONG</t>
  </si>
  <si>
    <t>010-5682-6322</t>
  </si>
  <si>
    <t>경기도 군포시 수리산로 40 (산본동, 한양수리아파트) 808-2101</t>
  </si>
  <si>
    <t>OPT-2479471-2726088</t>
  </si>
  <si>
    <t>이경원</t>
  </si>
  <si>
    <t>010-8167-2100</t>
  </si>
  <si>
    <t>대구 동구 파계로116길 40 전원주택</t>
  </si>
  <si>
    <t>OPT-2478181-2724726</t>
  </si>
  <si>
    <t>정창모</t>
  </si>
  <si>
    <t>010-3726-3870</t>
  </si>
  <si>
    <t xml:space="preserve">서울 강남구 압구정로29길 71 31동 602호 압구정동 현대아파트 </t>
  </si>
  <si>
    <t>OPT-2478151-2724696</t>
  </si>
  <si>
    <t>신선섭  Shin, Seon-Seop</t>
  </si>
  <si>
    <t>010-9009-1252</t>
  </si>
  <si>
    <t>백수인</t>
  </si>
  <si>
    <t>010-8545-9739</t>
  </si>
  <si>
    <t xml:space="preserve">경기 평택시 평택로 17 롯데 인벤스 스카이 아파트 104동804호 </t>
  </si>
  <si>
    <t>OPT-2477448-2723949</t>
  </si>
  <si>
    <t>김정미</t>
  </si>
  <si>
    <t>010-2468-3528</t>
  </si>
  <si>
    <t>경남 창원시 마산회원구 용마로 142 102동 705호</t>
  </si>
  <si>
    <t>OPT-2477368-2723865</t>
  </si>
  <si>
    <t>오인영</t>
  </si>
  <si>
    <t>010-3787-4119</t>
  </si>
  <si>
    <t>오승열</t>
  </si>
  <si>
    <t>010-5236-2156</t>
  </si>
  <si>
    <t>경기 시흥시 서울대학로278번길 43-7 1738호</t>
  </si>
  <si>
    <t>OPT-2477053-2723534</t>
  </si>
  <si>
    <t>최규수</t>
  </si>
  <si>
    <t>010-2248-0261</t>
  </si>
  <si>
    <t>충남 서산시 갈산8길 144-9 전원주택</t>
  </si>
  <si>
    <t>충남 서산시 갈산동 864-9 전원주택</t>
  </si>
  <si>
    <t>OPT-2475737-2722121</t>
  </si>
  <si>
    <t>010-5264-4149</t>
  </si>
  <si>
    <t>경기 안양시 만안구 병목안로130번길 18-8 102동 501호</t>
  </si>
  <si>
    <t>경기 안양시 만안구 안양동 973-8 102동 501호</t>
  </si>
  <si>
    <t>OPT-2475734-2722118</t>
  </si>
  <si>
    <t>consolation</t>
  </si>
  <si>
    <t>010-9144-6961</t>
  </si>
  <si>
    <t>김애자</t>
  </si>
  <si>
    <t>010-3574-0852</t>
  </si>
  <si>
    <t>부산 해운대구 청사포로 12 sk뷰 아파트 116동 104호</t>
  </si>
  <si>
    <t>OPT-2474471-2720765</t>
  </si>
  <si>
    <t>박용근</t>
  </si>
  <si>
    <t>010-2697-3624</t>
  </si>
  <si>
    <t>010-5112-3624</t>
  </si>
  <si>
    <t>서울특별시 송파구 거마로 56 (송파시그니처롯데캐슬) 113동 801호</t>
  </si>
  <si>
    <t>서울특별시 송파구 거여동 697 송파시그니처롯데캐슬 113동 801호</t>
  </si>
  <si>
    <t>OPT-2482163-2728855</t>
  </si>
  <si>
    <t>OPT-2482148-2728840</t>
  </si>
  <si>
    <t>이재희</t>
  </si>
  <si>
    <t>010-4578-0078</t>
  </si>
  <si>
    <t>경상북도 경주시 안강읍 칠평남길 25 (대흥강변타운아파트) 306호</t>
  </si>
  <si>
    <t>OPT-2482130-2728822</t>
  </si>
  <si>
    <t>이재근</t>
  </si>
  <si>
    <t>010-8029-8803</t>
  </si>
  <si>
    <t>010-8994-3336</t>
  </si>
  <si>
    <t>경기 용인시 수지구 용구대로2771번길 66 수지벽산 2단지 206동 1502호</t>
  </si>
  <si>
    <t>OPT-2482100-2728792</t>
  </si>
  <si>
    <t>배주환</t>
  </si>
  <si>
    <t>010-7170-0108</t>
  </si>
  <si>
    <t>서울특별시 송파구 양재대로 1218 (방이동, 올림픽선수기자촌아파트) 314동 402호</t>
  </si>
  <si>
    <t>OPT-2481669-2728355</t>
  </si>
  <si>
    <t>최진영</t>
  </si>
  <si>
    <t>010-2002-1543</t>
  </si>
  <si>
    <t>서울 구로구 개봉로17마길 17-23 한백아트리움 401호</t>
  </si>
  <si>
    <t>OPT-2480358-2727018</t>
  </si>
  <si>
    <t>문금희</t>
  </si>
  <si>
    <t>010-5676-4535</t>
  </si>
  <si>
    <t>오상우</t>
  </si>
  <si>
    <t>010-8757-7185</t>
  </si>
  <si>
    <t>전북특별자치도 익산시 무왕로16길 26 103동 1303호</t>
  </si>
  <si>
    <t>OPT-2480099-2726748</t>
  </si>
  <si>
    <t>문경길</t>
  </si>
  <si>
    <t>010-5383-9599</t>
  </si>
  <si>
    <t>서울 영등포구 대방천로14길 32 305동 206호</t>
  </si>
  <si>
    <t>OPT-2480092-2726741</t>
  </si>
  <si>
    <t>정서연</t>
  </si>
  <si>
    <t>010-5645-7768</t>
  </si>
  <si>
    <t>충청북도 제천시 하소로1안길 8-2 (하소동) 서연세탁소</t>
  </si>
  <si>
    <t>OPT-2480013-2726655</t>
  </si>
  <si>
    <t>동건!</t>
  </si>
  <si>
    <t>010-3802-1224</t>
  </si>
  <si>
    <t>김동건</t>
  </si>
  <si>
    <t>서울 서대문구 연희로 377 102동 902호</t>
  </si>
  <si>
    <t>OPT-2479643-2726268</t>
  </si>
  <si>
    <t>정철수</t>
  </si>
  <si>
    <t>010-7579-5678</t>
  </si>
  <si>
    <t>경기도 안양시 동안구 흥안대로223번길 47 (호계동, 샘마을대우,한양아파트) 샘마을 한양아파트 119동 502호</t>
  </si>
  <si>
    <t>SUB-2480711-307328</t>
  </si>
  <si>
    <t>김수형</t>
  </si>
  <si>
    <t>010-8948-5299</t>
  </si>
  <si>
    <t>서울 강동구 진황도로61길 7 101동 402호</t>
  </si>
  <si>
    <t>SUB-2480409-307302</t>
  </si>
  <si>
    <t>김신실</t>
  </si>
  <si>
    <t>010-7747-2176</t>
  </si>
  <si>
    <t>서울 강동구 올림픽로 659 530호</t>
  </si>
  <si>
    <t>SUB-2480073-307267</t>
  </si>
  <si>
    <t>ㆍ</t>
  </si>
  <si>
    <t>SUB-2479687-307232</t>
  </si>
  <si>
    <t>배소현</t>
  </si>
  <si>
    <t>010-5623-9929</t>
  </si>
  <si>
    <t>서울 강북구 도봉로96가길 24-6 부강훼밀리 D동 201호</t>
  </si>
  <si>
    <t>서울 강북구 번동 469-108 부강훼밀리 D동 201호</t>
  </si>
  <si>
    <t>SUB-2476384-306981</t>
  </si>
  <si>
    <t>이삼례</t>
  </si>
  <si>
    <t>010-3367-6275</t>
  </si>
  <si>
    <t>서울 종로구 통일로 246-20 무악현대아파트 109-1603</t>
  </si>
  <si>
    <t>벨 눌러 주시고 문 앞에 놓아 주세요.</t>
  </si>
  <si>
    <t>OPT-2483865-2730654</t>
  </si>
  <si>
    <t>박한성</t>
  </si>
  <si>
    <t>010-6630-0722</t>
  </si>
  <si>
    <t>경기도 남양주시 별내5로 22 (별내동, 별빛마을3단지) 3305동 1203호</t>
  </si>
  <si>
    <t>OPT-2483850-2730639</t>
  </si>
  <si>
    <t>이성하</t>
  </si>
  <si>
    <t>010-8588-9055</t>
  </si>
  <si>
    <t>경북 경주시 봉황로 128-12 다은빌502</t>
  </si>
  <si>
    <t>(묶음배송)</t>
  </si>
  <si>
    <t>OPT-2483644-2730424</t>
  </si>
  <si>
    <t>뮤즈플랫폼(김종훈)</t>
  </si>
  <si>
    <t>010-5143-5032</t>
  </si>
  <si>
    <t>이태훈</t>
  </si>
  <si>
    <t>010-9071-0504</t>
  </si>
  <si>
    <t>서울 강북구 도봉로45길 34-7 토암하이빌 302호</t>
  </si>
  <si>
    <t>OPT-2483198-2729968</t>
  </si>
  <si>
    <t>신용호</t>
  </si>
  <si>
    <t>010-3045-0749</t>
  </si>
  <si>
    <t>서울 마포구 독막로 266 태영아파트 114-205</t>
  </si>
  <si>
    <t>OPT-2483197-2729967</t>
  </si>
  <si>
    <t>김종훈</t>
  </si>
  <si>
    <t>김연배</t>
  </si>
  <si>
    <t>010-8839-4829</t>
  </si>
  <si>
    <t>경기 하남시 미사강변대로 95 센트럴 자이아파트 108-601</t>
  </si>
  <si>
    <t>OPT-2483196-2729966</t>
  </si>
  <si>
    <t>박찬길</t>
  </si>
  <si>
    <t>010-3748-6268</t>
  </si>
  <si>
    <t>경기 고양시 일산서구 대산로 141 407-303</t>
  </si>
  <si>
    <t>OPT-2483194-2729964</t>
  </si>
  <si>
    <t>한향임</t>
  </si>
  <si>
    <t>010-4549-9122</t>
  </si>
  <si>
    <t>경상남도 산청군 오부면 오동로 632-24 ㆍ</t>
  </si>
  <si>
    <t>OPT-2482968-2729716</t>
  </si>
  <si>
    <t>홍태양</t>
  </si>
  <si>
    <t>010-4735-7498</t>
  </si>
  <si>
    <t>울산 남구 삼호로 68 105-1804</t>
  </si>
  <si>
    <t>OPT-2482791-2729525</t>
  </si>
  <si>
    <t>임한별</t>
  </si>
  <si>
    <t>010-6240-9191</t>
  </si>
  <si>
    <t>임상혁</t>
  </si>
  <si>
    <t>010-3628-1079</t>
  </si>
  <si>
    <t>전남 목포시 정의로 30 108호 법무사 이달호 사무소</t>
  </si>
  <si>
    <t>OPT-2482452-2729169</t>
  </si>
  <si>
    <t>지원</t>
  </si>
  <si>
    <t>010-6348-1910</t>
  </si>
  <si>
    <t>경기도 남양주시 순화궁로 384 (별내동, 대원 칸타빌) 2405동901호</t>
  </si>
  <si>
    <t>OPT-2482300-2729001</t>
  </si>
  <si>
    <t>010-6366-1539</t>
  </si>
  <si>
    <t>경기 의정부시 녹양로62번길 12 104동 2101호  녹양힐스테이트</t>
  </si>
  <si>
    <t>배송전 문자 후에 문앞에 두세요.</t>
  </si>
  <si>
    <t>OPT-2482213-2728910</t>
  </si>
  <si>
    <t>안창원</t>
  </si>
  <si>
    <t>010-3465-6411</t>
  </si>
  <si>
    <t>서울특별시 송파구 올림픽로 99 (잠실동, 잠실엘스) 145동 2601호</t>
  </si>
  <si>
    <t>OPT-2482199-2728895</t>
  </si>
  <si>
    <t>안경환</t>
  </si>
  <si>
    <t>010-2070-4744</t>
  </si>
  <si>
    <t>서울특별시 동대문구 외대역동로1길 60-3 (휘경동, 휘경 해모로 프레스티지) 104동 302호</t>
  </si>
  <si>
    <t>OPT-2483837-2730626</t>
  </si>
  <si>
    <t>김선아</t>
  </si>
  <si>
    <t>010-4050-8209</t>
  </si>
  <si>
    <t>010-4244-2047</t>
  </si>
  <si>
    <t>서울 관악구 봉천로35길 20-5 2층</t>
  </si>
  <si>
    <t>2층 문앞에 놓아주세요.  출입구비번 6999*</t>
  </si>
  <si>
    <t>OPT-2483686-2730468</t>
  </si>
  <si>
    <t>이선민</t>
  </si>
  <si>
    <t>010-2658-4190</t>
  </si>
  <si>
    <t>최정자</t>
  </si>
  <si>
    <t>충북 제천시 청풍호로10길 53 104동 301호</t>
  </si>
  <si>
    <t>OPT-2483670-2730451</t>
  </si>
  <si>
    <t>김기성</t>
  </si>
  <si>
    <t>010-3282-9288</t>
  </si>
  <si>
    <t>경기도 용인시 기흥구 구성로 90 (언남동, 삼성래미안2차아파트) 208-201</t>
  </si>
  <si>
    <t>OPT-2483331-2730104</t>
  </si>
  <si>
    <t>김태복</t>
  </si>
  <si>
    <t>010-3581-5219</t>
  </si>
  <si>
    <t>경기 광명시 광이로 49 104동 1501호</t>
  </si>
  <si>
    <t>OPT-2483122-2729882</t>
  </si>
  <si>
    <t>김주태</t>
  </si>
  <si>
    <t>010-9238-3943</t>
  </si>
  <si>
    <t>010-5420-1308</t>
  </si>
  <si>
    <t>충남 부여군 충화면 가화로38번길 8 가화로 38번길 8</t>
  </si>
  <si>
    <t>OPT-2483077-2729833</t>
  </si>
  <si>
    <t>한서현</t>
  </si>
  <si>
    <t>010-3997-7569</t>
  </si>
  <si>
    <t>서울 노원구 덕릉로71길 30 102동2104호</t>
  </si>
  <si>
    <t>OPT-2483035-2729785</t>
  </si>
  <si>
    <t>정미경</t>
  </si>
  <si>
    <t>010-7266-6720</t>
  </si>
  <si>
    <t>박창민</t>
  </si>
  <si>
    <t>010-2995-6720</t>
  </si>
  <si>
    <t>경기 화성시 동탄구 동탄기흥로257번나길 24-11 5층</t>
  </si>
  <si>
    <t>OPT-2483021-2729771</t>
  </si>
  <si>
    <t>강경희</t>
  </si>
  <si>
    <t>010-5206-0448</t>
  </si>
  <si>
    <t>강종수</t>
  </si>
  <si>
    <t>010-8788-0864</t>
  </si>
  <si>
    <t>경북 구미시 선산읍 조남로 183 단독주택</t>
  </si>
  <si>
    <t>OPT-2482909-2729655</t>
  </si>
  <si>
    <t>정미영</t>
  </si>
  <si>
    <t>010-3494-0043</t>
  </si>
  <si>
    <t>경북 구미시 옥성면 하농소길 17-5 단독주택</t>
  </si>
  <si>
    <t>OPT-2482906-2729651</t>
  </si>
  <si>
    <t>현식 수빈맘</t>
  </si>
  <si>
    <t>010-8895-3503</t>
  </si>
  <si>
    <t>서울특별시 마포구 광성로 17 (신수동, 신촌숲아이파크) 101동 605호</t>
  </si>
  <si>
    <t>OPT-2482705-2729431</t>
  </si>
  <si>
    <t>윤성빈</t>
  </si>
  <si>
    <t>010-6297-3857</t>
  </si>
  <si>
    <t>충북 청주시 서원구 수곡로 88 101동 808호</t>
  </si>
  <si>
    <t>OPT-2482234-2728931</t>
  </si>
  <si>
    <t>이준용</t>
  </si>
  <si>
    <t>010-7450-1104</t>
  </si>
  <si>
    <t>서울특별시 동작구 남부순환로267길 20 (사당동) 101호</t>
  </si>
  <si>
    <t>SUB-2483575-307439</t>
  </si>
  <si>
    <t>강소엽</t>
  </si>
  <si>
    <t>010-3289-6364</t>
  </si>
  <si>
    <t>경기 광명시 소하로 162 715-1502</t>
  </si>
  <si>
    <t>SUB-2483165-307412</t>
  </si>
  <si>
    <t>옥수수</t>
  </si>
  <si>
    <t>010-2523-4622</t>
  </si>
  <si>
    <t>백정옥</t>
  </si>
  <si>
    <t>경상북도 포항시 북구 성실로 55 (장성동, 현진에버빌1단지아파트) 104동802</t>
  </si>
  <si>
    <t>SUB-2483141-307406</t>
  </si>
  <si>
    <t>윤정남</t>
  </si>
  <si>
    <t>010-9348-0212</t>
  </si>
  <si>
    <t>경기도 파주시 한빛로 20 (야당동, 롯데캐슬 파크타운 Ⅱ) 405동 701호</t>
  </si>
  <si>
    <t>SUB-2483059-307401</t>
  </si>
  <si>
    <t>이일용</t>
  </si>
  <si>
    <t>010-7494-1234</t>
  </si>
  <si>
    <t>충남 천안시 서북구 성정로 75 102동106호</t>
  </si>
  <si>
    <t>SUB-2482959-307395</t>
  </si>
  <si>
    <t>이민주</t>
  </si>
  <si>
    <t>010-2634-0783</t>
  </si>
  <si>
    <t>전북특별자치도 전주시 완산구 태평2길 22 (태평동, 태평SKVIEW아파트) 106동 701호</t>
  </si>
  <si>
    <t>SUB-2482410-307370</t>
  </si>
  <si>
    <t>서울폰</t>
  </si>
  <si>
    <t>010-9456-9298</t>
  </si>
  <si>
    <t>서울 관악구 청룡16길 43 이편한 세상 서울대입구 2단지 205동404호</t>
  </si>
  <si>
    <t>문앞배송부탁드립니다</t>
  </si>
  <si>
    <t>SUB-2482209-307358</t>
  </si>
  <si>
    <t>📖 시스템 가이드 &amp; 사용 설명서</t>
  </si>
  <si>
    <t>📊 데이터 흐름도</t>
  </si>
  <si>
    <t>단계</t>
  </si>
  <si>
    <t>작업</t>
  </si>
  <si>
    <t>시트</t>
  </si>
  <si>
    <t>1. 판매 데이터 입력</t>
  </si>
  <si>
    <t>원본데이터_SK 시트에 SK스토아 정산서 복사-붙여넣기</t>
  </si>
  <si>
    <t>원본데이터_SK</t>
  </si>
  <si>
    <t>2. 정규화</t>
  </si>
  <si>
    <t>모든 채널 데이터를 통합 형식으로 변환</t>
  </si>
  <si>
    <t>정규화데이터</t>
  </si>
  <si>
    <t>3. 채널-SKU 매핑</t>
  </si>
  <si>
    <t>채널 상품코드 → 자사SKU 연결</t>
  </si>
  <si>
    <t>채널매핑</t>
  </si>
  <si>
    <t>4. 원가 조회</t>
  </si>
  <si>
    <t>SKU별 매입원가 찾기</t>
  </si>
  <si>
    <t>제품마스터</t>
  </si>
  <si>
    <t>5. 손익 계산</t>
  </si>
  <si>
    <t>매출, 원가, 공헌이익 자동 계산</t>
  </si>
  <si>
    <t>손익분석</t>
  </si>
  <si>
    <t>6. 재고 관리</t>
  </si>
  <si>
    <t>기초재고 - 누적 판매량</t>
  </si>
  <si>
    <t>재고현황</t>
  </si>
  <si>
    <t>7. 대시보드 표시</t>
  </si>
  <si>
    <t>주요 KPI 및 채널별 성과 시각화</t>
  </si>
  <si>
    <t>대시보드</t>
  </si>
  <si>
    <t>📁 시트 구조 설명</t>
  </si>
  <si>
    <t>시트명</t>
  </si>
  <si>
    <t>용도</t>
  </si>
  <si>
    <t>주요 컨럼</t>
  </si>
  <si>
    <t>시스템 가이드 및 주요 지표</t>
  </si>
  <si>
    <t>KPI, 기간별 조회, 채널 성과</t>
  </si>
  <si>
    <t>자사 SKU 마스터 데이터</t>
  </si>
  <si>
    <t>자사SKU, 제품명, 매입원가, 기초재고, 안전재고</t>
  </si>
  <si>
    <t>채널별 상품코드 ↔ 자샊SKU 매핑</t>
  </si>
  <si>
    <t>채널명, 채널상품코드, 자사SKU</t>
  </si>
  <si>
    <t>SK스토아 원본 데이터</t>
  </si>
  <si>
    <t>완료일, 단품코드, 배송수량, 벤더사지급대금</t>
  </si>
  <si>
    <t>모든 채널 데이터 통합</t>
  </si>
  <si>
    <t>판매채널, 주문번호, 자사SKU, 수럁, 금액</t>
  </si>
  <si>
    <t>현재고 및 발주 알람</t>
  </si>
  <si>
    <t>SKU, 현재고, 안전재고, 발주상태</t>
  </si>
  <si>
    <t>거래별 수익성 분석</t>
  </si>
  <si>
    <t>매출, 원가, 공헌이익, 공헌이익률</t>
  </si>
  <si>
    <t>채널별 원본 시트</t>
  </si>
  <si>
    <t>쿠팡, 네이버, 카카오, 리써크</t>
  </si>
  <si>
    <t>각 채널별 원본 데이터</t>
  </si>
  <si>
    <t>🔧 핵심 수식 가이드</t>
  </si>
  <si>
    <t>핵심 수식</t>
  </si>
  <si>
    <t>예시</t>
  </si>
  <si>
    <t>채널코드→자사SKU</t>
  </si>
  <si>
    <t>매핑 테이블에서 자사SKU 찾기</t>
  </si>
  <si>
    <t>매입원가 찾기</t>
  </si>
  <si>
    <t>SKU별 매입원가 조회</t>
  </si>
  <si>
    <t>공헌이익 계산</t>
  </si>
  <si>
    <t>현재고 계산</t>
  </si>
  <si>
    <t>누적 판매량만큼 차감</t>
  </si>
  <si>
    <t>채널별 매출</t>
  </si>
  <si>
    <t>채널별 집계</t>
  </si>
  <si>
    <t>기간별 조회</t>
  </si>
  <si>
    <t>주문번호로 날짜 필터링</t>
  </si>
  <si>
    <t>색상 규칙</t>
  </si>
  <si>
    <t>파란색 텍스트</t>
  </si>
  <si>
    <t>하드코딩 입력값 (사용자가 변경)</t>
  </si>
  <si>
    <t>⚠️ 주의사항</t>
  </si>
  <si>
    <t>1. 매출액 계산 기준</t>
  </si>
  <si>
    <t>VAT제외금액 (J열) 사용</t>
  </si>
  <si>
    <t>실정산금액(I열) 사용 금지!</t>
  </si>
  <si>
    <t>2. 반품 처리</t>
  </si>
  <si>
    <t>음수 수량으로 포함</t>
  </si>
  <si>
    <t>제외하지 않음</t>
  </si>
  <si>
    <t>3. 벤더 수수료</t>
  </si>
  <si>
    <t>제품코드 58481090에만 2% 적용</t>
  </si>
  <si>
    <t>손익분석 시트 K열 확인</t>
  </si>
  <si>
    <t>4. 공헌이익</t>
  </si>
  <si>
    <t>고정비는 제외됨</t>
  </si>
  <si>
    <t>5. 정규화데이터</t>
  </si>
  <si>
    <t>모든 분석의 기초</t>
  </si>
  <si>
    <t>수정 시 모든 지표에 영향</t>
  </si>
  <si>
    <t>6. 주문번호 형식</t>
  </si>
  <si>
    <t>14자리 (YYYYMMDD + 6자리)</t>
  </si>
  <si>
    <t>예: 20260204818446</t>
  </si>
  <si>
    <t>7. 카카오+리써크</t>
  </si>
  <si>
    <t>통합 표시</t>
  </si>
  <si>
    <t>두 채널 합산하여 표시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</si>
</sst>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\-#,##0"/>
    <numFmt numFmtId="177" formatCode="0.0%"/>
    <numFmt numFmtId="178" formatCode="0&quot;건&quot;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rgb="FFFFFFFF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11"/>
      <color rgb="FFFF6B00"/>
      <name val="맑은 고딕"/>
      <family val="2"/>
      <charset val="129"/>
      <scheme val="minor"/>
    </font>
    <font>
      <sz val="11"/>
      <color rgb="FF008000"/>
      <name val="맑은 고딕"/>
      <family val="2"/>
      <charset val="129"/>
      <scheme val="minor"/>
    </font>
    <font>
      <b/>
      <sz val="9"/>
      <color indexed="8"/>
      <name val="굴림"/>
      <family val="3"/>
      <charset val="129"/>
    </font>
    <font>
      <sz val="10"/>
      <color indexed="8"/>
      <name val="굴림"/>
      <family val="3"/>
      <charset val="129"/>
    </font>
    <font>
      <b/>
      <sz val="11"/>
      <color rgb="FF0000FF"/>
      <name val="맑은 고딕"/>
      <family val="2"/>
      <charset val="129"/>
      <scheme val="minor"/>
    </font>
    <font>
      <b/>
      <sz val="12"/>
      <color rgb="FF0000FF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b/>
      <sz val="10"/>
      <color rgb="FF008000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71">
    <xf numFmtId="0" fontId="0" fillId="0" borderId="0" xfId="0">
      <alignment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3" fontId="0" fillId="0" borderId="0" xfId="0" applyNumberFormat="1">
      <alignment vertical="center"/>
    </xf>
    <xf numFmtId="3" fontId="0" fillId="3" borderId="0" xfId="0" applyNumberFormat="1" applyFill="1">
      <alignment vertical="center"/>
    </xf>
    <xf numFmtId="0" fontId="5" fillId="4" borderId="0" xfId="0" applyFont="1" applyFill="1">
      <alignment vertical="center"/>
    </xf>
    <xf numFmtId="0" fontId="5" fillId="4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0" fontId="0" fillId="9" borderId="0" xfId="0" applyFill="1">
      <alignment vertical="center"/>
    </xf>
    <xf numFmtId="3" fontId="0" fillId="9" borderId="0" xfId="0" applyNumberFormat="1" applyFill="1">
      <alignment vertical="center"/>
    </xf>
    <xf numFmtId="0" fontId="8" fillId="10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9" fillId="0" borderId="0" xfId="0" applyFont="1">
      <alignment vertical="center"/>
    </xf>
    <xf numFmtId="0" fontId="5" fillId="11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left" vertical="center" wrapText="1"/>
    </xf>
    <xf numFmtId="176" fontId="13" fillId="0" borderId="1" xfId="0" applyNumberFormat="1" applyFont="1" applyBorder="1" applyAlignment="1">
      <alignment horizontal="right" vertical="center" wrapText="1"/>
    </xf>
    <xf numFmtId="3" fontId="2" fillId="0" borderId="0" xfId="0" applyNumberFormat="1" applyFont="1">
      <alignment vertical="center"/>
    </xf>
    <xf numFmtId="177" fontId="0" fillId="0" borderId="0" xfId="0" applyNumberFormat="1">
      <alignment vertical="center"/>
    </xf>
    <xf numFmtId="3" fontId="2" fillId="3" borderId="0" xfId="0" applyNumberFormat="1" applyFont="1" applyFill="1">
      <alignment vertical="center"/>
    </xf>
    <xf numFmtId="0" fontId="2" fillId="6" borderId="0" xfId="0" applyFont="1" applyFill="1" applyAlignment="1">
      <alignment horizontal="center" vertical="center"/>
    </xf>
    <xf numFmtId="3" fontId="6" fillId="0" borderId="0" xfId="0" applyNumberFormat="1" applyFont="1">
      <alignment vertical="center"/>
    </xf>
    <xf numFmtId="14" fontId="0" fillId="0" borderId="0" xfId="0" applyNumberFormat="1">
      <alignment vertical="center"/>
    </xf>
    <xf numFmtId="1" fontId="6" fillId="0" borderId="0" xfId="0" applyNumberFormat="1" applyFont="1">
      <alignment vertical="center"/>
    </xf>
    <xf numFmtId="0" fontId="9" fillId="3" borderId="0" xfId="0" applyFont="1" applyFill="1">
      <alignment vertical="center"/>
    </xf>
    <xf numFmtId="0" fontId="5" fillId="7" borderId="0" xfId="0" applyFont="1" applyFill="1" applyAlignment="1">
      <alignment horizontal="center" vertical="center"/>
    </xf>
    <xf numFmtId="177" fontId="2" fillId="3" borderId="0" xfId="0" applyNumberFormat="1" applyFont="1" applyFill="1">
      <alignment vertical="center"/>
    </xf>
    <xf numFmtId="0" fontId="14" fillId="3" borderId="0" xfId="0" applyFont="1" applyFill="1">
      <alignment vertical="center"/>
    </xf>
    <xf numFmtId="0" fontId="5" fillId="9" borderId="0" xfId="0" applyFont="1" applyFill="1" applyAlignment="1">
      <alignment horizontal="center" vertical="center"/>
    </xf>
    <xf numFmtId="10" fontId="6" fillId="0" borderId="0" xfId="0" applyNumberFormat="1" applyFont="1">
      <alignment vertical="center"/>
    </xf>
    <xf numFmtId="0" fontId="15" fillId="3" borderId="0" xfId="0" applyFont="1" applyFill="1">
      <alignment vertical="center"/>
    </xf>
    <xf numFmtId="0" fontId="14" fillId="0" borderId="0" xfId="0" applyFont="1">
      <alignment vertical="center"/>
    </xf>
    <xf numFmtId="0" fontId="7" fillId="8" borderId="0" xfId="0" applyFont="1" applyFill="1">
      <alignment vertical="center"/>
    </xf>
    <xf numFmtId="0" fontId="16" fillId="13" borderId="0" xfId="0" applyFont="1" applyFill="1">
      <alignment vertical="center"/>
    </xf>
    <xf numFmtId="0" fontId="19" fillId="0" borderId="0" xfId="0" applyFont="1">
      <alignment vertical="center"/>
    </xf>
    <xf numFmtId="0" fontId="20" fillId="6" borderId="0" xfId="0" applyFont="1" applyFill="1">
      <alignment vertical="center"/>
    </xf>
    <xf numFmtId="0" fontId="20" fillId="8" borderId="0" xfId="0" applyFont="1" applyFill="1">
      <alignment vertical="center"/>
    </xf>
    <xf numFmtId="3" fontId="19" fillId="0" borderId="0" xfId="0" applyNumberFormat="1" applyFont="1">
      <alignment vertical="center"/>
    </xf>
    <xf numFmtId="0" fontId="20" fillId="3" borderId="0" xfId="0" applyFont="1" applyFill="1">
      <alignment vertical="center"/>
    </xf>
    <xf numFmtId="0" fontId="20" fillId="0" borderId="0" xfId="0" applyFont="1">
      <alignment vertical="center"/>
    </xf>
    <xf numFmtId="177" fontId="19" fillId="3" borderId="0" xfId="0" applyNumberFormat="1" applyFont="1" applyFill="1">
      <alignment vertical="center"/>
    </xf>
    <xf numFmtId="0" fontId="20" fillId="12" borderId="0" xfId="0" applyFont="1" applyFill="1">
      <alignment vertical="center"/>
    </xf>
    <xf numFmtId="0" fontId="20" fillId="10" borderId="0" xfId="0" applyFont="1" applyFill="1">
      <alignment vertical="center"/>
    </xf>
    <xf numFmtId="0" fontId="21" fillId="0" borderId="0" xfId="1" quotePrefix="1" applyFont="1">
      <alignment vertical="center"/>
    </xf>
    <xf numFmtId="178" fontId="19" fillId="0" borderId="0" xfId="0" applyNumberFormat="1" applyFont="1">
      <alignment vertical="center"/>
    </xf>
    <xf numFmtId="3" fontId="19" fillId="3" borderId="0" xfId="0" applyNumberFormat="1" applyFont="1" applyFill="1">
      <alignment vertical="center"/>
    </xf>
    <xf numFmtId="22" fontId="0" fillId="0" borderId="0" xfId="0" applyNumberFormat="1">
      <alignment vertical="center"/>
    </xf>
    <xf numFmtId="0" fontId="0" fillId="3" borderId="0" xfId="0" applyFill="1">
      <alignment vertical="center"/>
    </xf>
    <xf numFmtId="177" fontId="2" fillId="0" borderId="0" xfId="0" applyNumberFormat="1" applyFont="1">
      <alignment vertical="center"/>
    </xf>
    <xf numFmtId="0" fontId="0" fillId="8" borderId="0" xfId="0" applyFill="1">
      <alignment vertical="center"/>
    </xf>
    <xf numFmtId="0" fontId="8" fillId="7" borderId="0" xfId="0" applyFont="1" applyFill="1" applyAlignment="1">
      <alignment horizontal="center" vertical="center"/>
    </xf>
    <xf numFmtId="0" fontId="5" fillId="2" borderId="0" xfId="0" applyFont="1" applyFill="1">
      <alignment vertical="center"/>
    </xf>
    <xf numFmtId="0" fontId="2" fillId="6" borderId="0" xfId="0" applyFont="1" applyFill="1">
      <alignment vertical="center"/>
    </xf>
    <xf numFmtId="3" fontId="0" fillId="8" borderId="0" xfId="0" applyNumberFormat="1" applyFill="1">
      <alignment vertical="center"/>
    </xf>
    <xf numFmtId="177" fontId="6" fillId="0" borderId="0" xfId="0" applyNumberFormat="1" applyFont="1">
      <alignment vertical="center"/>
    </xf>
    <xf numFmtId="0" fontId="2" fillId="8" borderId="0" xfId="0" applyFont="1" applyFill="1">
      <alignment vertical="center"/>
    </xf>
    <xf numFmtId="3" fontId="2" fillId="8" borderId="0" xfId="0" applyNumberFormat="1" applyFont="1" applyFill="1">
      <alignment vertical="center"/>
    </xf>
    <xf numFmtId="177" fontId="2" fillId="8" borderId="0" xfId="0" applyNumberFormat="1" applyFont="1" applyFill="1">
      <alignment vertical="center"/>
    </xf>
    <xf numFmtId="0" fontId="5" fillId="5" borderId="0" xfId="0" applyFont="1" applyFill="1">
      <alignment vertical="center"/>
    </xf>
    <xf numFmtId="0" fontId="17" fillId="2" borderId="0" xfId="0" applyFont="1" applyFill="1" applyAlignment="1">
      <alignment horizontal="center" vertical="center"/>
    </xf>
    <xf numFmtId="0" fontId="0" fillId="0" borderId="0" xfId="0" applyAlignment="1"/>
    <xf numFmtId="0" fontId="23" fillId="14" borderId="0" xfId="0" applyFont="1" applyFill="1" applyAlignment="1">
      <alignment horizontal="center" vertical="center"/>
    </xf>
    <xf numFmtId="0" fontId="18" fillId="4" borderId="0" xfId="0" applyFont="1" applyFill="1">
      <alignment vertical="center"/>
    </xf>
    <xf numFmtId="0" fontId="19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8" fillId="2" borderId="0" xfId="0" applyFont="1" applyFill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showGridLines="0" workbookViewId="0">
      <selection activeCell="F24" sqref="F24"/>
    </sheetView>
  </sheetViews>
  <sheetFormatPr defaultRowHeight="13.5" x14ac:dyDescent="0.3"/>
  <cols>
    <col min="1" max="1" width="17" style="38" customWidth="1"/>
    <col min="2" max="5" width="25" style="38" customWidth="1"/>
    <col min="6" max="6" width="34" style="38" bestFit="1" customWidth="1"/>
    <col min="7" max="8" width="25" style="38" customWidth="1"/>
    <col min="9" max="9" width="9" style="38" customWidth="1"/>
    <col min="10" max="16384" width="9" style="38"/>
  </cols>
  <sheetData>
    <row r="1" spans="1:8" ht="17.25" customHeight="1" x14ac:dyDescent="0.3">
      <c r="A1" s="54" t="s">
        <v>0</v>
      </c>
      <c r="B1"/>
      <c r="C1"/>
      <c r="D1"/>
      <c r="E1"/>
      <c r="F1"/>
      <c r="G1"/>
      <c r="H1"/>
    </row>
    <row r="2" spans="1:8" ht="16.5" customHeight="1" x14ac:dyDescent="0.3">
      <c r="A2"/>
      <c r="B2"/>
      <c r="C2"/>
      <c r="D2"/>
      <c r="E2"/>
      <c r="F2"/>
      <c r="G2"/>
      <c r="H2"/>
    </row>
    <row r="3" spans="1:8" ht="16.5" customHeight="1" x14ac:dyDescent="0.3">
      <c r="A3" s="55" t="s">
        <v>1</v>
      </c>
      <c r="B3"/>
      <c r="C3"/>
      <c r="D3"/>
      <c r="E3"/>
      <c r="F3" s="55" t="s">
        <v>2</v>
      </c>
      <c r="G3"/>
      <c r="H3"/>
    </row>
    <row r="4" spans="1:8" ht="16.5" customHeight="1" x14ac:dyDescent="0.3">
      <c r="A4"/>
      <c r="B4"/>
      <c r="C4"/>
      <c r="D4"/>
      <c r="E4"/>
      <c r="F4"/>
      <c r="G4"/>
      <c r="H4"/>
    </row>
    <row r="5" spans="1:8" ht="16.5" customHeight="1" x14ac:dyDescent="0.3">
      <c r="A5" s="24" t="s">
        <v>3</v>
      </c>
      <c r="B5" s="24" t="s">
        <v>4</v>
      </c>
      <c r="C5" s="24" t="s">
        <v>5</v>
      </c>
      <c r="D5" s="24" t="s">
        <v>6</v>
      </c>
      <c r="E5"/>
      <c r="F5" s="24" t="s">
        <v>7</v>
      </c>
      <c r="G5" s="24" t="s">
        <v>8</v>
      </c>
      <c r="H5" s="24" t="s">
        <v>9</v>
      </c>
    </row>
    <row r="6" spans="1:8" ht="16.5" customHeight="1" x14ac:dyDescent="0.3">
      <c r="A6" s="7" t="s">
        <v>10</v>
      </c>
      <c r="B6" s="3">
        <f>SUM(손익분석!J:J)</f>
        <v>108213626</v>
      </c>
      <c r="C6" s="25">
        <v>50000000</v>
      </c>
      <c r="D6" t="str">
        <f>IF(B6&gt;=C6,"✅ 달성","🔺 미달")</f>
        <v>✅ 달성</v>
      </c>
      <c r="E6"/>
      <c r="F6" s="7" t="s">
        <v>11</v>
      </c>
      <c r="G6" s="3">
        <f>SUMIF(손익분석!A:A,"SK스토아",손익분석!J:J)</f>
        <v>72552080</v>
      </c>
      <c r="H6" s="22">
        <f>IF($G$10=0,0,G6/$G$10)</f>
        <v>0.98606171392374087</v>
      </c>
    </row>
    <row r="7" spans="1:8" ht="16.5" customHeight="1" x14ac:dyDescent="0.3">
      <c r="A7" s="7" t="s">
        <v>12</v>
      </c>
      <c r="B7" s="57" t="str">
        <f ca="1">SUM(손익분석!M:M)</f>
        <v/>
      </c>
      <c r="C7"/>
      <c r="D7"/>
      <c r="E7"/>
      <c r="F7" s="7" t="s">
        <v>13</v>
      </c>
      <c r="G7" s="3">
        <f>SUMIF(손익분석!A:A,"네이버",손익분석!J:J)</f>
        <v>96546</v>
      </c>
      <c r="H7" s="22">
        <f>IF($G$10=0,0,G7/$G$10)</f>
        <v>1.3121651954359061E-3</v>
      </c>
    </row>
    <row r="8" spans="1:8" ht="16.5" customHeight="1" x14ac:dyDescent="0.3">
      <c r="A8" s="7" t="s">
        <v>14</v>
      </c>
      <c r="B8" s="22" t="str">
        <f ca="1">IF(B6=0,0,B7/B6)</f>
        <v/>
      </c>
      <c r="C8" s="58">
        <v>0.1</v>
      </c>
      <c r="D8" t="str">
        <f ca="1">IF(B8&gt;=C8,"✅ 달성","🔺 미달")</f>
        <v/>
      </c>
      <c r="E8"/>
      <c r="F8" s="7" t="s">
        <v>15</v>
      </c>
      <c r="G8" s="3">
        <f>SUMIF(손익분석!A:A,"쿠팡",손익분석!J:J)</f>
        <v>776300</v>
      </c>
      <c r="H8" s="22">
        <f>IF($G$10=0,0,G8/$G$10)</f>
        <v>1.0550761722048493E-2</v>
      </c>
    </row>
    <row r="9" spans="1:8" ht="16.5" customHeight="1" x14ac:dyDescent="0.3">
      <c r="A9" s="7" t="s">
        <v>16</v>
      </c>
      <c r="B9" s="12">
        <f>COUNTIF(재고현황!G:G,"*발주필요*")</f>
        <v>0</v>
      </c>
      <c r="C9" s="2" t="s">
        <v>17</v>
      </c>
      <c r="D9" t="str">
        <f>IF(B9=0,"✅ 정상","⚠️ 확인필요")</f>
        <v>✅ 정상</v>
      </c>
      <c r="E9"/>
      <c r="F9" s="7" t="s">
        <v>18</v>
      </c>
      <c r="G9" s="3">
        <f>SUMIF(손익분석!A:A,"카카오",손익분석!J:J)+SUMIF(손익분석!A:A,"리씨크",손익분석!J:J)</f>
        <v>152700</v>
      </c>
      <c r="H9" s="22">
        <f>IF($G$10=0,0,G9/$G$10)</f>
        <v>2.0753591587747071E-3</v>
      </c>
    </row>
    <row r="10" spans="1:8" ht="16.5" customHeight="1" x14ac:dyDescent="0.3">
      <c r="A10" s="7" t="s">
        <v>19</v>
      </c>
      <c r="B10" s="3">
        <f>COUNTA(정규화데이터!A:A)-1</f>
        <v>1544</v>
      </c>
      <c r="C10" t="s">
        <v>20</v>
      </c>
      <c r="D10"/>
      <c r="E10"/>
      <c r="F10" s="7" t="s">
        <v>21</v>
      </c>
      <c r="G10" s="23">
        <f>SUM(G6:G9)</f>
        <v>73577626</v>
      </c>
      <c r="H10" s="30">
        <f>SUM(H6:H9)</f>
        <v>0.99999999999999989</v>
      </c>
    </row>
    <row r="11" spans="1:8" ht="16.5" customHeight="1" x14ac:dyDescent="0.3">
      <c r="A11" s="7" t="s">
        <v>22</v>
      </c>
      <c r="B11" t="s">
        <v>23</v>
      </c>
      <c r="C11"/>
      <c r="D11"/>
      <c r="E11"/>
      <c r="F11" s="59" t="s">
        <v>24</v>
      </c>
      <c r="G11" s="59" t="s">
        <v>25</v>
      </c>
      <c r="H11"/>
    </row>
    <row r="12" spans="1:8" ht="16.5" customHeight="1" x14ac:dyDescent="0.3">
      <c r="A12"/>
      <c r="B12"/>
      <c r="C12"/>
      <c r="D12"/>
      <c r="E12"/>
      <c r="F12"/>
      <c r="G12"/>
      <c r="H12"/>
    </row>
    <row r="13" spans="1:8" ht="16.5" customHeight="1" x14ac:dyDescent="0.3">
      <c r="A13" s="5" t="s">
        <v>26</v>
      </c>
      <c r="B13"/>
      <c r="C13"/>
      <c r="D13"/>
      <c r="E13"/>
      <c r="F13" s="7" t="s">
        <v>27</v>
      </c>
      <c r="G13" s="3">
        <f>SUM(손익분석!J:J)</f>
        <v>108213626</v>
      </c>
      <c r="H13"/>
    </row>
    <row r="14" spans="1:8" ht="16.5" customHeight="1" x14ac:dyDescent="0.3">
      <c r="A14"/>
      <c r="B14"/>
      <c r="C14"/>
      <c r="D14"/>
      <c r="E14"/>
      <c r="F14" s="7" t="s">
        <v>28</v>
      </c>
      <c r="G14" s="3" t="str">
        <f ca="1">SUM(손익분석!L:L)</f>
        <v/>
      </c>
      <c r="H14"/>
    </row>
    <row r="15" spans="1:8" ht="16.5" customHeight="1" x14ac:dyDescent="0.3">
      <c r="A15" s="59" t="s">
        <v>29</v>
      </c>
      <c r="B15" s="59" t="s">
        <v>30</v>
      </c>
      <c r="C15"/>
      <c r="D15"/>
      <c r="E15"/>
      <c r="F15" s="59" t="s">
        <v>31</v>
      </c>
      <c r="G15" s="60" t="str">
        <f ca="1">SUM(손익분석!M:M)</f>
        <v/>
      </c>
      <c r="H15" s="53" t="s">
        <v>32</v>
      </c>
    </row>
    <row r="16" spans="1:8" ht="16.5" customHeight="1" x14ac:dyDescent="0.3">
      <c r="A16" s="7" t="s">
        <v>33</v>
      </c>
      <c r="B16" s="27">
        <v>20260210</v>
      </c>
      <c r="C16" t="s">
        <v>34</v>
      </c>
      <c r="D16"/>
      <c r="E16"/>
      <c r="F16" s="59" t="s">
        <v>14</v>
      </c>
      <c r="G16" s="61" t="str">
        <f ca="1">IF(G13=0,0,G15/G13)</f>
        <v/>
      </c>
      <c r="H16"/>
    </row>
    <row r="17" spans="1:8" ht="16.5" customHeight="1" x14ac:dyDescent="0.3">
      <c r="A17"/>
      <c r="B17"/>
      <c r="C17"/>
      <c r="D17"/>
      <c r="E17"/>
      <c r="F17"/>
      <c r="G17"/>
      <c r="H17"/>
    </row>
    <row r="18" spans="1:8" ht="16.5" customHeight="1" x14ac:dyDescent="0.3">
      <c r="A18" s="56" t="s">
        <v>35</v>
      </c>
      <c r="B18" s="56" t="s">
        <v>25</v>
      </c>
      <c r="C18" s="56" t="s">
        <v>36</v>
      </c>
      <c r="D18" s="56" t="s">
        <v>12</v>
      </c>
      <c r="E18"/>
      <c r="F18"/>
      <c r="G18"/>
      <c r="H18"/>
    </row>
    <row r="19" spans="1:8" ht="16.5" customHeight="1" x14ac:dyDescent="0.3">
      <c r="A19" s="26">
        <v>46057</v>
      </c>
      <c r="B19" s="3">
        <f>SUMIFS(손익분석!J:J,손익분석!B:B,"&gt;="&amp;B16&amp;"000000",손익분석!B:B,"&lt;="&amp;B16&amp;"999999")</f>
        <v>0</v>
      </c>
      <c r="C19" s="3">
        <f>COUNTIFS(손익분석!B:B,"&gt;="&amp;B16&amp;"000000",손익분석!B:B,"&lt;="&amp;B16&amp;"999999")</f>
        <v>0</v>
      </c>
      <c r="D19" s="3">
        <f>SUMIFS(손익분석!M:M,손익분석!B:B,"&gt;="&amp;B16&amp;"000000",손익분석!B:B,"&lt;="&amp;B16&amp;"999999")</f>
        <v>0</v>
      </c>
      <c r="E19"/>
      <c r="F19"/>
      <c r="G19"/>
      <c r="H19"/>
    </row>
    <row r="20" spans="1:8" ht="16.5" customHeight="1" x14ac:dyDescent="0.3">
      <c r="A20"/>
      <c r="B20"/>
      <c r="C20"/>
      <c r="D20"/>
      <c r="E20"/>
      <c r="F20"/>
      <c r="G20"/>
      <c r="H20"/>
    </row>
    <row r="21" spans="1:8" ht="16.5" customHeight="1" x14ac:dyDescent="0.3">
      <c r="A21" s="59" t="s">
        <v>29</v>
      </c>
      <c r="B21" s="59" t="s">
        <v>37</v>
      </c>
      <c r="C21"/>
      <c r="D21"/>
      <c r="E21"/>
      <c r="F21"/>
      <c r="G21"/>
      <c r="H21"/>
    </row>
    <row r="22" spans="1:8" ht="16.5" customHeight="1" x14ac:dyDescent="0.3">
      <c r="A22" s="7" t="s">
        <v>38</v>
      </c>
      <c r="B22" s="27">
        <v>202602</v>
      </c>
      <c r="C22" t="s">
        <v>39</v>
      </c>
      <c r="D22"/>
      <c r="E22"/>
      <c r="F22"/>
      <c r="G22"/>
      <c r="H22"/>
    </row>
    <row r="23" spans="1:8" ht="16.5" customHeight="1" x14ac:dyDescent="0.3">
      <c r="A23" s="56" t="s">
        <v>40</v>
      </c>
      <c r="B23" s="56" t="s">
        <v>25</v>
      </c>
      <c r="C23" s="56" t="s">
        <v>36</v>
      </c>
      <c r="D23" s="56" t="s">
        <v>12</v>
      </c>
      <c r="E23"/>
      <c r="F23"/>
      <c r="G23"/>
      <c r="H23"/>
    </row>
    <row r="24" spans="1:8" ht="16.5" customHeight="1" x14ac:dyDescent="0.3">
      <c r="A24" t="s">
        <v>41</v>
      </c>
      <c r="B24" s="3">
        <f>SUMIFS(손익분석!J:J,손익분석!B:B,"&gt;="&amp;B22&amp;"00000000",손익분석!B:B,"&lt;="&amp;B22&amp;"99999999")</f>
        <v>0</v>
      </c>
      <c r="C24" s="3">
        <f>COUNTIFS(손익분석!B:B,"&gt;="&amp;B22&amp;"00000000",손익분석!B:B,"&lt;="&amp;B22&amp;"99999999")</f>
        <v>0</v>
      </c>
      <c r="D24" s="3">
        <f>SUMIFS(손익분석!M:M,손익분석!B:B,"&gt;="&amp;B22&amp;"00000000",손익분석!B:B,"&lt;="&amp;B22&amp;"99999999")</f>
        <v>0</v>
      </c>
      <c r="E24"/>
      <c r="F24"/>
      <c r="G24"/>
      <c r="H24"/>
    </row>
    <row r="25" spans="1:8" ht="16.5" customHeight="1" x14ac:dyDescent="0.3">
      <c r="A25"/>
      <c r="B25"/>
      <c r="C25"/>
      <c r="D25"/>
      <c r="E25"/>
      <c r="F25"/>
      <c r="G25"/>
      <c r="H25"/>
    </row>
    <row r="26" spans="1:8" ht="16.5" customHeight="1" x14ac:dyDescent="0.3">
      <c r="A26"/>
      <c r="B26"/>
      <c r="C26"/>
      <c r="D26"/>
      <c r="E26"/>
      <c r="F26"/>
      <c r="G26"/>
      <c r="H26"/>
    </row>
    <row r="27" spans="1:8" ht="16.5" customHeight="1" x14ac:dyDescent="0.3">
      <c r="A27"/>
      <c r="B27"/>
      <c r="C27"/>
      <c r="D27"/>
      <c r="E27"/>
      <c r="F27"/>
      <c r="G27"/>
      <c r="H27"/>
    </row>
    <row r="28" spans="1:8" ht="16.5" customHeight="1" x14ac:dyDescent="0.3">
      <c r="A28"/>
      <c r="B28"/>
      <c r="C28"/>
      <c r="D28"/>
      <c r="E28"/>
      <c r="F28"/>
      <c r="G28"/>
      <c r="H28"/>
    </row>
    <row r="29" spans="1:8" ht="16.5" customHeight="1" x14ac:dyDescent="0.3">
      <c r="A29"/>
      <c r="B29"/>
      <c r="C29"/>
      <c r="D29"/>
      <c r="E29"/>
      <c r="F29"/>
      <c r="G29"/>
      <c r="H29"/>
    </row>
    <row r="30" spans="1:8" ht="16.5" customHeight="1" x14ac:dyDescent="0.3">
      <c r="A30"/>
      <c r="B30"/>
      <c r="C30"/>
      <c r="D30"/>
      <c r="E30"/>
      <c r="F30"/>
      <c r="G30"/>
      <c r="H30"/>
    </row>
    <row r="31" spans="1:8" ht="16.5" customHeight="1" x14ac:dyDescent="0.3">
      <c r="A31"/>
      <c r="B31"/>
      <c r="C31"/>
      <c r="D31"/>
      <c r="E31"/>
      <c r="F31"/>
      <c r="G31"/>
      <c r="H31"/>
    </row>
    <row r="32" spans="1:8" ht="16.5" customHeight="1" x14ac:dyDescent="0.3">
      <c r="A32"/>
      <c r="B32"/>
      <c r="C32"/>
      <c r="D32"/>
      <c r="E32"/>
      <c r="F32"/>
      <c r="G32"/>
      <c r="H32"/>
    </row>
    <row r="33" spans="1:8" ht="16.5" customHeight="1" x14ac:dyDescent="0.3">
      <c r="A33"/>
      <c r="B33"/>
      <c r="C33"/>
      <c r="D33"/>
      <c r="E33"/>
      <c r="F33"/>
      <c r="G33"/>
      <c r="H33"/>
    </row>
    <row r="34" spans="1:8" ht="16.5" customHeight="1" x14ac:dyDescent="0.3">
      <c r="A34"/>
      <c r="B34"/>
      <c r="C34"/>
      <c r="D34"/>
      <c r="E34"/>
      <c r="F34"/>
      <c r="G34"/>
      <c r="H34"/>
    </row>
    <row r="35" spans="1:8" ht="16.5" customHeight="1" x14ac:dyDescent="0.3">
      <c r="A35"/>
      <c r="B35"/>
      <c r="C35"/>
      <c r="D35"/>
      <c r="E35"/>
      <c r="F35"/>
      <c r="G35"/>
      <c r="H35"/>
    </row>
    <row r="36" spans="1:8" ht="16.5" customHeight="1" x14ac:dyDescent="0.3">
      <c r="A36"/>
      <c r="B36"/>
      <c r="C36"/>
      <c r="D36"/>
      <c r="E36"/>
      <c r="F36"/>
      <c r="G36"/>
      <c r="H36"/>
    </row>
    <row r="37" spans="1:8" ht="16.5" customHeight="1" x14ac:dyDescent="0.3">
      <c r="A37"/>
      <c r="B37"/>
      <c r="C37"/>
      <c r="D37"/>
      <c r="E37"/>
      <c r="F37"/>
      <c r="G37"/>
      <c r="H37"/>
    </row>
    <row r="38" spans="1:8" ht="16.5" customHeight="1" x14ac:dyDescent="0.3">
      <c r="A38"/>
      <c r="B38"/>
      <c r="C38"/>
      <c r="D38"/>
      <c r="E38"/>
      <c r="F38"/>
      <c r="G38"/>
      <c r="H38"/>
    </row>
    <row r="39" spans="1:8" ht="16.5" customHeight="1" x14ac:dyDescent="0.3">
      <c r="A39"/>
      <c r="B39"/>
      <c r="C39"/>
      <c r="D39"/>
      <c r="E39"/>
      <c r="F39"/>
      <c r="G39"/>
      <c r="H39"/>
    </row>
    <row r="40" spans="1:8" ht="16.5" customHeight="1" x14ac:dyDescent="0.3">
      <c r="A40"/>
      <c r="B40"/>
      <c r="C40"/>
      <c r="D40"/>
      <c r="E40"/>
      <c r="F40"/>
      <c r="G40"/>
      <c r="H40"/>
    </row>
    <row r="41" spans="1:8" ht="16.5" customHeight="1" x14ac:dyDescent="0.3">
      <c r="A41"/>
      <c r="B41"/>
      <c r="C41"/>
      <c r="D41"/>
      <c r="E41"/>
      <c r="F41"/>
      <c r="G41"/>
      <c r="H41"/>
    </row>
    <row r="42" spans="1:8" ht="16.5" customHeight="1" x14ac:dyDescent="0.3">
      <c r="A42"/>
      <c r="B42"/>
      <c r="C42"/>
      <c r="D42"/>
      <c r="E42"/>
      <c r="F42"/>
      <c r="G42"/>
      <c r="H42"/>
    </row>
    <row r="43" spans="1:8" ht="16.5" customHeight="1" x14ac:dyDescent="0.3">
      <c r="A43"/>
      <c r="B43"/>
      <c r="C43"/>
      <c r="D43"/>
      <c r="E43"/>
      <c r="F43"/>
      <c r="G43"/>
      <c r="H43"/>
    </row>
    <row r="44" spans="1:8" ht="16.5" customHeight="1" x14ac:dyDescent="0.3">
      <c r="A44"/>
      <c r="B44"/>
      <c r="C44"/>
      <c r="D44"/>
      <c r="E44"/>
      <c r="F44"/>
      <c r="G44"/>
      <c r="H44"/>
    </row>
    <row r="45" spans="1:8" ht="16.5" customHeight="1" x14ac:dyDescent="0.3">
      <c r="A45"/>
      <c r="B45"/>
      <c r="C45"/>
      <c r="D45"/>
      <c r="E45"/>
      <c r="F45"/>
      <c r="G45"/>
      <c r="H45"/>
    </row>
    <row r="46" spans="1:8" ht="16.5" customHeight="1" x14ac:dyDescent="0.3">
      <c r="A46"/>
      <c r="B46"/>
      <c r="C46"/>
      <c r="D46"/>
      <c r="E46"/>
      <c r="F46"/>
      <c r="G46"/>
      <c r="H46"/>
    </row>
    <row r="47" spans="1:8" ht="16.5" customHeight="1" x14ac:dyDescent="0.3">
      <c r="A47"/>
      <c r="B47"/>
      <c r="C47"/>
      <c r="D47"/>
      <c r="E47"/>
      <c r="F47"/>
      <c r="G47"/>
      <c r="H47"/>
    </row>
    <row r="48" spans="1:8" ht="16.5" customHeight="1" x14ac:dyDescent="0.3">
      <c r="A48"/>
      <c r="B48"/>
      <c r="C48"/>
      <c r="D48"/>
      <c r="E48"/>
      <c r="F48"/>
      <c r="G48"/>
      <c r="H48"/>
    </row>
    <row r="49" spans="1:8" ht="16.5" customHeight="1" x14ac:dyDescent="0.3">
      <c r="A49"/>
      <c r="B49"/>
      <c r="C49"/>
      <c r="D49"/>
      <c r="E49"/>
      <c r="F49"/>
      <c r="G49"/>
      <c r="H49"/>
    </row>
    <row r="50" spans="1:8" ht="16.5" customHeight="1" x14ac:dyDescent="0.3">
      <c r="A50"/>
      <c r="B50"/>
      <c r="C50"/>
      <c r="D50"/>
      <c r="E50"/>
      <c r="F50"/>
      <c r="G50"/>
      <c r="H50"/>
    </row>
    <row r="52" spans="1:8" x14ac:dyDescent="0.3">
      <c r="A52" s="39" t="s">
        <v>42</v>
      </c>
      <c r="B52" s="39" t="s">
        <v>43</v>
      </c>
      <c r="C52" s="39" t="s">
        <v>44</v>
      </c>
    </row>
    <row r="53" spans="1:8" x14ac:dyDescent="0.3">
      <c r="A53" s="42" t="s">
        <v>45</v>
      </c>
      <c r="B53" s="38" t="s">
        <v>46</v>
      </c>
      <c r="C53" s="38" t="s">
        <v>47</v>
      </c>
    </row>
    <row r="54" spans="1:8" x14ac:dyDescent="0.3">
      <c r="B54" s="38" t="s">
        <v>48</v>
      </c>
      <c r="C54" s="38" t="s">
        <v>49</v>
      </c>
    </row>
    <row r="55" spans="1:8" x14ac:dyDescent="0.3">
      <c r="B55" s="38" t="s">
        <v>50</v>
      </c>
      <c r="C55" s="38" t="s">
        <v>51</v>
      </c>
    </row>
    <row r="56" spans="1:8" x14ac:dyDescent="0.3">
      <c r="A56" s="40" t="s">
        <v>52</v>
      </c>
      <c r="B56" s="38" t="s">
        <v>53</v>
      </c>
      <c r="C56" s="38" t="s">
        <v>54</v>
      </c>
    </row>
    <row r="57" spans="1:8" x14ac:dyDescent="0.3">
      <c r="B57" s="38" t="s">
        <v>55</v>
      </c>
      <c r="C57" s="38" t="s">
        <v>56</v>
      </c>
    </row>
    <row r="58" spans="1:8" x14ac:dyDescent="0.3">
      <c r="B58" s="38" t="s">
        <v>57</v>
      </c>
      <c r="C58" s="38" t="s">
        <v>58</v>
      </c>
    </row>
    <row r="59" spans="1:8" x14ac:dyDescent="0.3">
      <c r="A59" s="45" t="s">
        <v>59</v>
      </c>
      <c r="B59" s="38" t="s">
        <v>60</v>
      </c>
      <c r="C59" s="38" t="s">
        <v>61</v>
      </c>
    </row>
    <row r="60" spans="1:8" x14ac:dyDescent="0.3">
      <c r="B60" s="38" t="s">
        <v>62</v>
      </c>
      <c r="C60" s="38" t="s">
        <v>63</v>
      </c>
    </row>
    <row r="62" spans="1:8" x14ac:dyDescent="0.3">
      <c r="A62" s="66" t="s">
        <v>64</v>
      </c>
      <c r="B62" s="67"/>
      <c r="C62" s="67"/>
      <c r="D62" s="67"/>
      <c r="E62" s="67"/>
      <c r="F62" s="67"/>
      <c r="G62" s="67"/>
      <c r="H62" s="67"/>
    </row>
    <row r="64" spans="1:8" x14ac:dyDescent="0.3">
      <c r="A64" s="40" t="s">
        <v>65</v>
      </c>
      <c r="B64" s="40" t="s">
        <v>66</v>
      </c>
      <c r="C64" s="40" t="s">
        <v>67</v>
      </c>
    </row>
    <row r="65" spans="1:8" x14ac:dyDescent="0.3">
      <c r="A65" s="38" t="s">
        <v>68</v>
      </c>
      <c r="B65" s="38" t="s">
        <v>69</v>
      </c>
      <c r="C65" s="38" t="s">
        <v>70</v>
      </c>
    </row>
    <row r="66" spans="1:8" x14ac:dyDescent="0.3">
      <c r="B66" s="38" t="s">
        <v>71</v>
      </c>
    </row>
    <row r="67" spans="1:8" x14ac:dyDescent="0.3">
      <c r="B67" s="38" t="s">
        <v>72</v>
      </c>
    </row>
    <row r="68" spans="1:8" x14ac:dyDescent="0.3">
      <c r="A68" s="38" t="s">
        <v>73</v>
      </c>
      <c r="B68" s="38" t="s">
        <v>74</v>
      </c>
      <c r="C68" s="38" t="s">
        <v>75</v>
      </c>
    </row>
    <row r="69" spans="1:8" x14ac:dyDescent="0.3">
      <c r="A69" s="38" t="s">
        <v>76</v>
      </c>
      <c r="B69" s="38" t="s">
        <v>77</v>
      </c>
      <c r="C69" s="38" t="s">
        <v>75</v>
      </c>
    </row>
    <row r="70" spans="1:8" x14ac:dyDescent="0.3">
      <c r="A70" s="38" t="s">
        <v>78</v>
      </c>
      <c r="B70" s="38" t="s">
        <v>79</v>
      </c>
      <c r="C70" s="38" t="s">
        <v>70</v>
      </c>
    </row>
    <row r="72" spans="1:8" x14ac:dyDescent="0.3">
      <c r="A72" s="69" t="s">
        <v>80</v>
      </c>
      <c r="B72" s="67"/>
      <c r="C72" s="67"/>
      <c r="D72" s="67"/>
      <c r="E72" s="67"/>
      <c r="F72" s="67"/>
      <c r="G72" s="67"/>
      <c r="H72" s="67"/>
    </row>
    <row r="74" spans="1:8" x14ac:dyDescent="0.3">
      <c r="A74" s="40" t="s">
        <v>81</v>
      </c>
      <c r="B74" s="40" t="s">
        <v>6</v>
      </c>
      <c r="C74" s="40" t="s">
        <v>82</v>
      </c>
    </row>
    <row r="75" spans="1:8" x14ac:dyDescent="0.3">
      <c r="A75" s="38" t="s">
        <v>83</v>
      </c>
      <c r="B75" s="38" t="s">
        <v>84</v>
      </c>
      <c r="C75" s="38" t="s">
        <v>85</v>
      </c>
    </row>
    <row r="76" spans="1:8" x14ac:dyDescent="0.3">
      <c r="A76" s="38" t="s">
        <v>86</v>
      </c>
      <c r="B76" s="38" t="s">
        <v>84</v>
      </c>
      <c r="C76" s="38" t="s">
        <v>87</v>
      </c>
    </row>
    <row r="77" spans="1:8" x14ac:dyDescent="0.3">
      <c r="A77" s="38" t="s">
        <v>88</v>
      </c>
      <c r="B77" s="38" t="s">
        <v>84</v>
      </c>
      <c r="C77" s="38" t="s">
        <v>89</v>
      </c>
    </row>
    <row r="78" spans="1:8" x14ac:dyDescent="0.3">
      <c r="A78" s="38" t="s">
        <v>90</v>
      </c>
      <c r="B78" s="38" t="s">
        <v>84</v>
      </c>
      <c r="C78" s="38" t="s">
        <v>91</v>
      </c>
    </row>
    <row r="79" spans="1:8" x14ac:dyDescent="0.3">
      <c r="A79" s="38" t="s">
        <v>92</v>
      </c>
      <c r="B79" s="38" t="s">
        <v>84</v>
      </c>
      <c r="C79" s="38" t="s">
        <v>93</v>
      </c>
    </row>
    <row r="80" spans="1:8" x14ac:dyDescent="0.3">
      <c r="A80" s="38" t="s">
        <v>94</v>
      </c>
      <c r="B80" s="38" t="s">
        <v>84</v>
      </c>
      <c r="C80" s="38" t="s">
        <v>95</v>
      </c>
    </row>
    <row r="81" spans="1:8" x14ac:dyDescent="0.3">
      <c r="A81" s="38" t="s">
        <v>96</v>
      </c>
      <c r="B81" s="38" t="s">
        <v>84</v>
      </c>
      <c r="C81" s="38" t="s">
        <v>97</v>
      </c>
    </row>
    <row r="83" spans="1:8" x14ac:dyDescent="0.3">
      <c r="A83" s="70" t="s">
        <v>98</v>
      </c>
      <c r="B83" s="67"/>
      <c r="C83" s="67"/>
      <c r="D83" s="67"/>
      <c r="E83" s="67"/>
      <c r="F83" s="67"/>
      <c r="G83" s="67"/>
      <c r="H83" s="67"/>
    </row>
    <row r="85" spans="1:8" x14ac:dyDescent="0.3">
      <c r="A85" s="39" t="s">
        <v>99</v>
      </c>
      <c r="B85" s="39" t="s">
        <v>100</v>
      </c>
      <c r="C85" s="39" t="s">
        <v>101</v>
      </c>
      <c r="F85" s="46" t="s">
        <v>102</v>
      </c>
    </row>
    <row r="86" spans="1:8" x14ac:dyDescent="0.3">
      <c r="A86" s="38" t="s">
        <v>103</v>
      </c>
      <c r="B86" s="38" t="s">
        <v>104</v>
      </c>
      <c r="C86" s="38" t="s">
        <v>105</v>
      </c>
      <c r="F86" s="43" t="s">
        <v>106</v>
      </c>
    </row>
    <row r="87" spans="1:8" x14ac:dyDescent="0.3">
      <c r="A87" s="38" t="s">
        <v>107</v>
      </c>
      <c r="B87" s="38" t="s">
        <v>108</v>
      </c>
      <c r="C87" s="38" t="s">
        <v>109</v>
      </c>
      <c r="F87" s="47" t="s">
        <v>110</v>
      </c>
      <c r="G87" s="38" t="s">
        <v>111</v>
      </c>
    </row>
    <row r="88" spans="1:8" x14ac:dyDescent="0.3">
      <c r="A88" s="38" t="s">
        <v>112</v>
      </c>
      <c r="B88" s="48">
        <f>COUNTA(원본데이터_SK!A:A)-1</f>
        <v>880</v>
      </c>
      <c r="C88" s="38" t="s">
        <v>113</v>
      </c>
      <c r="F88" s="47" t="s">
        <v>114</v>
      </c>
      <c r="G88" s="38" t="s">
        <v>115</v>
      </c>
    </row>
    <row r="89" spans="1:8" x14ac:dyDescent="0.3">
      <c r="A89" s="38" t="s">
        <v>116</v>
      </c>
      <c r="B89" s="41" t="str">
        <f>손익분석!B596</f>
        <v>20260210361070</v>
      </c>
      <c r="C89" s="38" t="s">
        <v>117</v>
      </c>
      <c r="F89" s="47" t="s">
        <v>118</v>
      </c>
      <c r="G89" s="38" t="s">
        <v>119</v>
      </c>
    </row>
    <row r="90" spans="1:8" x14ac:dyDescent="0.3">
      <c r="A90" s="38" t="s">
        <v>120</v>
      </c>
      <c r="B90" s="49" t="str">
        <f>손익분석!B598</f>
        <v>20260210361990</v>
      </c>
      <c r="C90" s="38" t="s">
        <v>121</v>
      </c>
      <c r="F90" s="47" t="s">
        <v>122</v>
      </c>
      <c r="G90" s="38" t="s">
        <v>123</v>
      </c>
    </row>
    <row r="91" spans="1:8" x14ac:dyDescent="0.3">
      <c r="A91" s="38" t="s">
        <v>14</v>
      </c>
      <c r="B91" s="44" t="str">
        <f>손익분석!C598</f>
        <v>2026-02-12</v>
      </c>
      <c r="C91" s="38" t="s">
        <v>124</v>
      </c>
    </row>
    <row r="92" spans="1:8" x14ac:dyDescent="0.3">
      <c r="A92" s="68" t="s">
        <v>125</v>
      </c>
      <c r="B92" s="67"/>
      <c r="C92" s="67"/>
      <c r="D92" s="67"/>
      <c r="E92" s="67"/>
      <c r="F92" s="67"/>
      <c r="G92" s="67"/>
      <c r="H92" s="67"/>
    </row>
  </sheetData>
  <mergeCells count="4">
    <mergeCell ref="A62:H62"/>
    <mergeCell ref="A92:H92"/>
    <mergeCell ref="A72:H72"/>
    <mergeCell ref="A83:H83"/>
  </mergeCells>
  <phoneticPr fontId="3" type="noConversion"/>
  <hyperlinks>
    <hyperlink ref="F87" location="'제품마스터'!A1" tooltip="제품마스터 시트로 이동" display="'제품마스터'!A1" xr:uid="{00000000-0004-0000-0000-000000000000}"/>
    <hyperlink ref="F88" location="'원본데이터_SK'!A1" tooltip="원본데이터_SK 시트로 이동" display="'원본데이터_SK'!A1" xr:uid="{00000000-0004-0000-0000-000001000000}"/>
    <hyperlink ref="F89" location="'재고현황'!A1" tooltip="재고현황 시트로 이동" display="'재고현황'!A1" xr:uid="{00000000-0004-0000-0000-000002000000}"/>
    <hyperlink ref="F90" location="'손익분석'!A1" tooltip="손익분석 시트로 이동" display="'손익분석'!A1" xr:uid="{00000000-0004-0000-0000-000003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"/>
  <sheetViews>
    <sheetView showGridLines="0" workbookViewId="0">
      <selection activeCell="G16" sqref="G16"/>
    </sheetView>
  </sheetViews>
  <sheetFormatPr defaultRowHeight="16.5" x14ac:dyDescent="0.3"/>
  <cols>
    <col min="1" max="1" width="13.625" style="64" customWidth="1"/>
    <col min="2" max="2" width="31.75" style="64" bestFit="1" customWidth="1"/>
    <col min="3" max="7" width="20" style="64" customWidth="1"/>
  </cols>
  <sheetData>
    <row r="1" spans="1:28" x14ac:dyDescent="0.3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63" t="s">
        <v>133</v>
      </c>
      <c r="I1" s="63" t="s">
        <v>134</v>
      </c>
      <c r="J1" s="63" t="s">
        <v>135</v>
      </c>
      <c r="K1" s="63" t="s">
        <v>136</v>
      </c>
      <c r="L1" s="63" t="s">
        <v>137</v>
      </c>
      <c r="M1" s="63" t="s">
        <v>138</v>
      </c>
      <c r="N1" s="63" t="s">
        <v>139</v>
      </c>
      <c r="O1" s="63" t="s">
        <v>140</v>
      </c>
      <c r="P1" s="63" t="s">
        <v>141</v>
      </c>
      <c r="Q1" s="63" t="s">
        <v>142</v>
      </c>
      <c r="R1" s="63" t="s">
        <v>143</v>
      </c>
      <c r="S1" s="63" t="s">
        <v>144</v>
      </c>
      <c r="T1" s="63" t="s">
        <v>145</v>
      </c>
      <c r="U1" s="63" t="s">
        <v>146</v>
      </c>
      <c r="V1" s="63" t="s">
        <v>147</v>
      </c>
      <c r="W1" s="63" t="s">
        <v>148</v>
      </c>
      <c r="X1" s="63" t="s">
        <v>149</v>
      </c>
      <c r="Y1" s="63" t="s">
        <v>150</v>
      </c>
      <c r="Z1" s="63" t="s">
        <v>151</v>
      </c>
      <c r="AA1" s="63" t="s">
        <v>152</v>
      </c>
      <c r="AB1" s="63" t="s">
        <v>153</v>
      </c>
    </row>
    <row r="2" spans="1:28" x14ac:dyDescent="0.3">
      <c r="A2" s="2" t="s">
        <v>154</v>
      </c>
      <c r="B2" t="s">
        <v>155</v>
      </c>
      <c r="C2" t="s">
        <v>156</v>
      </c>
      <c r="D2" s="3">
        <v>7687</v>
      </c>
      <c r="E2" s="3">
        <v>25000</v>
      </c>
      <c r="F2" s="4">
        <v>5000</v>
      </c>
      <c r="G2" s="2" t="s">
        <v>157</v>
      </c>
      <c r="H2" s="37" t="s">
        <v>158</v>
      </c>
      <c r="I2" t="s">
        <v>159</v>
      </c>
      <c r="J2" t="s">
        <v>160</v>
      </c>
      <c r="K2" t="s">
        <v>161</v>
      </c>
      <c r="L2" t="s">
        <v>162</v>
      </c>
      <c r="M2" t="s">
        <v>163</v>
      </c>
      <c r="N2" t="s">
        <v>164</v>
      </c>
      <c r="O2">
        <v>8800286500186</v>
      </c>
      <c r="P2">
        <v>7300</v>
      </c>
      <c r="Q2">
        <v>387</v>
      </c>
      <c r="R2">
        <v>7687</v>
      </c>
      <c r="S2" t="s">
        <v>165</v>
      </c>
      <c r="T2" t="s">
        <v>166</v>
      </c>
      <c r="U2" t="s">
        <v>157</v>
      </c>
      <c r="V2" t="s">
        <v>167</v>
      </c>
      <c r="W2">
        <v>30</v>
      </c>
      <c r="X2">
        <v>42</v>
      </c>
      <c r="Y2">
        <v>164</v>
      </c>
      <c r="Z2">
        <v>214</v>
      </c>
      <c r="AA2">
        <v>30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showGridLines="0" workbookViewId="0">
      <selection activeCell="C25" sqref="C25"/>
    </sheetView>
  </sheetViews>
  <sheetFormatPr defaultRowHeight="16.5" x14ac:dyDescent="0.3"/>
  <cols>
    <col min="1" max="1" width="9.25" style="64" bestFit="1" customWidth="1"/>
    <col min="2" max="2" width="13.25" style="64" bestFit="1" customWidth="1"/>
    <col min="3" max="3" width="44" style="64" bestFit="1" customWidth="1"/>
    <col min="4" max="5" width="23.375" style="64" customWidth="1"/>
    <col min="6" max="6" width="25.625" style="64" customWidth="1"/>
    <col min="7" max="7" width="25.875" style="64" bestFit="1" customWidth="1"/>
  </cols>
  <sheetData>
    <row r="1" spans="1:8" ht="17.25" customHeight="1" x14ac:dyDescent="0.3">
      <c r="A1" s="6" t="s">
        <v>168</v>
      </c>
      <c r="B1" s="6" t="s">
        <v>169</v>
      </c>
      <c r="C1" s="6" t="s">
        <v>170</v>
      </c>
      <c r="D1" s="6" t="s">
        <v>171</v>
      </c>
      <c r="E1" s="6" t="s">
        <v>172</v>
      </c>
      <c r="F1" s="6" t="s">
        <v>173</v>
      </c>
      <c r="G1" s="11" t="s">
        <v>174</v>
      </c>
    </row>
    <row r="2" spans="1:8" x14ac:dyDescent="0.3">
      <c r="A2" t="s">
        <v>11</v>
      </c>
      <c r="B2">
        <v>58999583</v>
      </c>
      <c r="C2" t="s">
        <v>175</v>
      </c>
      <c r="D2" s="16" t="s">
        <v>154</v>
      </c>
      <c r="E2" s="27">
        <v>8</v>
      </c>
      <c r="F2" s="26">
        <v>45306</v>
      </c>
      <c r="G2" s="7" t="s">
        <v>176</v>
      </c>
      <c r="H2" t="s">
        <v>177</v>
      </c>
    </row>
    <row r="3" spans="1:8" x14ac:dyDescent="0.3">
      <c r="A3" t="s">
        <v>11</v>
      </c>
      <c r="B3">
        <v>58481090</v>
      </c>
      <c r="C3" t="s">
        <v>175</v>
      </c>
      <c r="D3" s="16" t="s">
        <v>154</v>
      </c>
      <c r="E3" s="27">
        <v>8</v>
      </c>
      <c r="F3" s="26">
        <v>45306</v>
      </c>
      <c r="G3" s="7" t="s">
        <v>178</v>
      </c>
      <c r="H3" t="s">
        <v>179</v>
      </c>
    </row>
    <row r="4" spans="1:8" x14ac:dyDescent="0.3">
      <c r="A4" t="s">
        <v>11</v>
      </c>
      <c r="B4">
        <v>59163204</v>
      </c>
      <c r="C4" t="s">
        <v>180</v>
      </c>
      <c r="D4" s="16" t="s">
        <v>154</v>
      </c>
      <c r="E4" s="27">
        <v>4</v>
      </c>
      <c r="F4" s="26"/>
      <c r="G4" s="7" t="s">
        <v>181</v>
      </c>
      <c r="H4" t="s">
        <v>182</v>
      </c>
    </row>
    <row r="5" spans="1:8" x14ac:dyDescent="0.3">
      <c r="A5" t="s">
        <v>15</v>
      </c>
      <c r="B5" t="s">
        <v>183</v>
      </c>
      <c r="C5" t="s">
        <v>184</v>
      </c>
      <c r="D5" s="16" t="s">
        <v>154</v>
      </c>
      <c r="E5" s="27">
        <v>1</v>
      </c>
      <c r="F5" s="26"/>
    </row>
    <row r="6" spans="1:8" x14ac:dyDescent="0.3">
      <c r="A6" t="s">
        <v>13</v>
      </c>
      <c r="B6" t="s">
        <v>185</v>
      </c>
      <c r="C6" t="s">
        <v>186</v>
      </c>
      <c r="D6" s="16" t="s">
        <v>154</v>
      </c>
      <c r="E6" s="27">
        <v>1</v>
      </c>
      <c r="F6" s="26"/>
      <c r="G6" s="8" t="s">
        <v>187</v>
      </c>
      <c r="H6" t="s">
        <v>188</v>
      </c>
    </row>
    <row r="7" spans="1:8" x14ac:dyDescent="0.3">
      <c r="A7" t="s">
        <v>13</v>
      </c>
      <c r="B7" t="s">
        <v>189</v>
      </c>
      <c r="C7" t="s">
        <v>190</v>
      </c>
      <c r="D7" s="16" t="s">
        <v>154</v>
      </c>
      <c r="E7" s="27">
        <v>2</v>
      </c>
      <c r="G7" s="31" t="s">
        <v>191</v>
      </c>
      <c r="H7" t="s">
        <v>192</v>
      </c>
    </row>
    <row r="8" spans="1:8" x14ac:dyDescent="0.3">
      <c r="A8" t="s">
        <v>193</v>
      </c>
      <c r="B8" t="s">
        <v>185</v>
      </c>
      <c r="C8" t="s">
        <v>186</v>
      </c>
      <c r="D8" s="16" t="s">
        <v>154</v>
      </c>
      <c r="E8" s="27">
        <v>1</v>
      </c>
      <c r="G8" s="13" t="s">
        <v>194</v>
      </c>
      <c r="H8" t="s">
        <v>195</v>
      </c>
    </row>
    <row r="9" spans="1:8" x14ac:dyDescent="0.3">
      <c r="A9" t="s">
        <v>196</v>
      </c>
      <c r="B9">
        <v>143790</v>
      </c>
      <c r="C9" t="s">
        <v>197</v>
      </c>
      <c r="D9" s="16" t="s">
        <v>154</v>
      </c>
      <c r="E9" s="27">
        <v>4</v>
      </c>
    </row>
    <row r="10" spans="1:8" x14ac:dyDescent="0.3">
      <c r="A10" t="s">
        <v>196</v>
      </c>
      <c r="B10">
        <v>143812</v>
      </c>
      <c r="C10" t="s">
        <v>198</v>
      </c>
      <c r="D10" s="16" t="s">
        <v>154</v>
      </c>
      <c r="E10" s="27">
        <v>2</v>
      </c>
    </row>
    <row r="11" spans="1:8" x14ac:dyDescent="0.3">
      <c r="A11" t="s">
        <v>199</v>
      </c>
      <c r="B11" t="s">
        <v>200</v>
      </c>
      <c r="C11" t="s">
        <v>201</v>
      </c>
      <c r="D11" s="16" t="s">
        <v>154</v>
      </c>
      <c r="E11" s="27">
        <v>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881"/>
  <sheetViews>
    <sheetView workbookViewId="0">
      <selection activeCell="AL11" sqref="AL11"/>
    </sheetView>
  </sheetViews>
  <sheetFormatPr defaultRowHeight="16.5" x14ac:dyDescent="0.3"/>
  <cols>
    <col min="1" max="10" width="20" style="64" customWidth="1"/>
  </cols>
  <sheetData>
    <row r="1" spans="1:37" ht="16.5" customHeight="1" x14ac:dyDescent="0.3">
      <c r="A1" s="17" t="s">
        <v>202</v>
      </c>
      <c r="B1" s="17" t="s">
        <v>203</v>
      </c>
      <c r="C1" s="17" t="s">
        <v>204</v>
      </c>
      <c r="D1" s="17" t="s">
        <v>205</v>
      </c>
      <c r="E1" s="17" t="s">
        <v>206</v>
      </c>
      <c r="F1" s="17" t="s">
        <v>207</v>
      </c>
      <c r="G1" s="17" t="s">
        <v>208</v>
      </c>
      <c r="H1" s="17" t="s">
        <v>209</v>
      </c>
      <c r="I1" s="17" t="s">
        <v>210</v>
      </c>
      <c r="J1" s="17" t="s">
        <v>211</v>
      </c>
      <c r="K1" s="17" t="s">
        <v>212</v>
      </c>
      <c r="L1" s="17" t="s">
        <v>213</v>
      </c>
      <c r="M1" s="17" t="s">
        <v>214</v>
      </c>
      <c r="N1" s="17" t="s">
        <v>215</v>
      </c>
      <c r="O1" s="17" t="s">
        <v>216</v>
      </c>
      <c r="P1" s="17" t="s">
        <v>217</v>
      </c>
      <c r="Q1" s="17" t="s">
        <v>218</v>
      </c>
      <c r="R1" s="17" t="s">
        <v>219</v>
      </c>
      <c r="S1" s="17" t="s">
        <v>220</v>
      </c>
      <c r="T1" s="17" t="s">
        <v>221</v>
      </c>
      <c r="U1" s="17" t="s">
        <v>222</v>
      </c>
      <c r="V1" s="17" t="s">
        <v>223</v>
      </c>
      <c r="W1" s="17" t="s">
        <v>224</v>
      </c>
      <c r="X1" s="17" t="s">
        <v>225</v>
      </c>
      <c r="Y1" s="17" t="s">
        <v>226</v>
      </c>
      <c r="Z1" s="17" t="s">
        <v>227</v>
      </c>
      <c r="AA1" s="17" t="s">
        <v>228</v>
      </c>
      <c r="AB1" s="17" t="s">
        <v>229</v>
      </c>
      <c r="AC1" s="17" t="s">
        <v>230</v>
      </c>
      <c r="AD1" s="17" t="s">
        <v>231</v>
      </c>
      <c r="AE1" s="17" t="s">
        <v>232</v>
      </c>
      <c r="AF1" s="17" t="s">
        <v>233</v>
      </c>
      <c r="AG1" s="17" t="s">
        <v>234</v>
      </c>
      <c r="AH1" s="17" t="s">
        <v>235</v>
      </c>
      <c r="AI1" s="17" t="s">
        <v>236</v>
      </c>
      <c r="AJ1" s="17" t="s">
        <v>237</v>
      </c>
      <c r="AK1" s="17" t="s">
        <v>238</v>
      </c>
    </row>
    <row r="2" spans="1:37" ht="16.5" customHeight="1" x14ac:dyDescent="0.3">
      <c r="A2" s="18" t="s">
        <v>239</v>
      </c>
      <c r="B2" s="18" t="s">
        <v>240</v>
      </c>
      <c r="C2" s="19" t="s">
        <v>241</v>
      </c>
      <c r="D2" s="18" t="s">
        <v>242</v>
      </c>
      <c r="E2" s="19" t="s">
        <v>243</v>
      </c>
      <c r="F2" s="18" t="s">
        <v>244</v>
      </c>
      <c r="G2" s="18" t="s">
        <v>245</v>
      </c>
      <c r="H2" s="19" t="s">
        <v>175</v>
      </c>
      <c r="I2" s="18" t="s">
        <v>246</v>
      </c>
      <c r="J2" s="19" t="s">
        <v>247</v>
      </c>
      <c r="K2" s="19" t="s">
        <v>248</v>
      </c>
      <c r="L2" s="18" t="s">
        <v>164</v>
      </c>
      <c r="M2" s="18" t="s">
        <v>249</v>
      </c>
      <c r="N2" s="18" t="s">
        <v>250</v>
      </c>
      <c r="O2" s="20">
        <v>119000</v>
      </c>
      <c r="P2" s="20">
        <v>82110</v>
      </c>
      <c r="Q2" s="20">
        <v>1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31</v>
      </c>
      <c r="X2" s="20">
        <v>0</v>
      </c>
      <c r="Y2" s="20">
        <v>10000</v>
      </c>
      <c r="Z2" s="20">
        <v>0</v>
      </c>
      <c r="AA2" s="20">
        <v>0</v>
      </c>
      <c r="AB2" s="20">
        <v>0</v>
      </c>
      <c r="AC2" s="20">
        <v>119000</v>
      </c>
      <c r="AD2" s="20">
        <v>82110</v>
      </c>
      <c r="AE2" s="20">
        <v>0</v>
      </c>
      <c r="AF2" s="20">
        <v>10000</v>
      </c>
      <c r="AG2" s="20">
        <v>109000</v>
      </c>
      <c r="AH2" s="20">
        <v>82110</v>
      </c>
      <c r="AI2" s="20">
        <v>24445</v>
      </c>
      <c r="AJ2" s="20">
        <v>2445</v>
      </c>
      <c r="AK2" s="20">
        <v>26890</v>
      </c>
    </row>
    <row r="3" spans="1:37" ht="16.5" customHeight="1" x14ac:dyDescent="0.3">
      <c r="A3" s="18" t="s">
        <v>251</v>
      </c>
      <c r="B3" s="18" t="s">
        <v>240</v>
      </c>
      <c r="C3" s="19" t="s">
        <v>241</v>
      </c>
      <c r="D3" s="18" t="s">
        <v>252</v>
      </c>
      <c r="E3" s="19" t="s">
        <v>253</v>
      </c>
      <c r="F3" s="18" t="s">
        <v>244</v>
      </c>
      <c r="G3" s="18" t="s">
        <v>245</v>
      </c>
      <c r="H3" s="19" t="s">
        <v>175</v>
      </c>
      <c r="I3" s="18" t="s">
        <v>246</v>
      </c>
      <c r="J3" s="19" t="s">
        <v>247</v>
      </c>
      <c r="K3" s="19" t="s">
        <v>248</v>
      </c>
      <c r="L3" s="18" t="s">
        <v>164</v>
      </c>
      <c r="M3" s="18" t="s">
        <v>249</v>
      </c>
      <c r="N3" s="18" t="s">
        <v>250</v>
      </c>
      <c r="O3" s="20">
        <v>119000</v>
      </c>
      <c r="P3" s="20">
        <v>82110</v>
      </c>
      <c r="Q3" s="20">
        <v>1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31</v>
      </c>
      <c r="X3" s="20">
        <v>0</v>
      </c>
      <c r="Y3" s="20">
        <v>15000</v>
      </c>
      <c r="Z3" s="20">
        <v>0</v>
      </c>
      <c r="AA3" s="20">
        <v>0</v>
      </c>
      <c r="AB3" s="20">
        <v>5200</v>
      </c>
      <c r="AC3" s="20">
        <v>119000</v>
      </c>
      <c r="AD3" s="20">
        <v>82110</v>
      </c>
      <c r="AE3" s="20">
        <v>0</v>
      </c>
      <c r="AF3" s="20">
        <v>20200</v>
      </c>
      <c r="AG3" s="20">
        <v>98800</v>
      </c>
      <c r="AH3" s="20">
        <v>82110</v>
      </c>
      <c r="AI3" s="20">
        <v>15173</v>
      </c>
      <c r="AJ3" s="20">
        <v>1517</v>
      </c>
      <c r="AK3" s="20">
        <v>16690</v>
      </c>
    </row>
    <row r="4" spans="1:37" ht="16.5" customHeight="1" x14ac:dyDescent="0.3">
      <c r="A4" s="18" t="s">
        <v>254</v>
      </c>
      <c r="B4" s="18" t="s">
        <v>240</v>
      </c>
      <c r="C4" s="19" t="s">
        <v>241</v>
      </c>
      <c r="D4" s="18" t="s">
        <v>255</v>
      </c>
      <c r="E4" s="19" t="s">
        <v>256</v>
      </c>
      <c r="F4" s="18" t="s">
        <v>244</v>
      </c>
      <c r="G4" s="18" t="s">
        <v>245</v>
      </c>
      <c r="H4" s="19" t="s">
        <v>175</v>
      </c>
      <c r="I4" s="18" t="s">
        <v>246</v>
      </c>
      <c r="J4" s="19" t="s">
        <v>247</v>
      </c>
      <c r="K4" s="19" t="s">
        <v>248</v>
      </c>
      <c r="L4" s="18" t="s">
        <v>164</v>
      </c>
      <c r="M4" s="18" t="s">
        <v>249</v>
      </c>
      <c r="N4" s="18" t="s">
        <v>257</v>
      </c>
      <c r="O4" s="20">
        <v>119000</v>
      </c>
      <c r="P4" s="20">
        <v>82110</v>
      </c>
      <c r="Q4" s="20">
        <v>-1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31</v>
      </c>
      <c r="X4" s="20">
        <v>0</v>
      </c>
      <c r="Y4" s="20">
        <v>0</v>
      </c>
      <c r="Z4" s="20">
        <v>0</v>
      </c>
      <c r="AA4" s="20">
        <v>0</v>
      </c>
      <c r="AB4" s="20">
        <v>-5950</v>
      </c>
      <c r="AC4" s="20">
        <v>-119000</v>
      </c>
      <c r="AD4" s="20">
        <v>-82110</v>
      </c>
      <c r="AE4" s="20">
        <v>0</v>
      </c>
      <c r="AF4" s="20">
        <v>-5950</v>
      </c>
      <c r="AG4" s="20">
        <v>-113050</v>
      </c>
      <c r="AH4" s="20">
        <v>-82110</v>
      </c>
      <c r="AI4" s="20">
        <v>-28127</v>
      </c>
      <c r="AJ4" s="20">
        <v>-2813</v>
      </c>
      <c r="AK4" s="20">
        <v>-30940</v>
      </c>
    </row>
    <row r="5" spans="1:37" ht="16.5" customHeight="1" x14ac:dyDescent="0.3">
      <c r="A5" s="18" t="s">
        <v>258</v>
      </c>
      <c r="B5" s="18" t="s">
        <v>240</v>
      </c>
      <c r="C5" s="19" t="s">
        <v>241</v>
      </c>
      <c r="D5" s="18" t="s">
        <v>255</v>
      </c>
      <c r="E5" s="19" t="s">
        <v>256</v>
      </c>
      <c r="F5" s="18" t="s">
        <v>244</v>
      </c>
      <c r="G5" s="18" t="s">
        <v>245</v>
      </c>
      <c r="H5" s="19" t="s">
        <v>175</v>
      </c>
      <c r="I5" s="18" t="s">
        <v>246</v>
      </c>
      <c r="J5" s="19" t="s">
        <v>247</v>
      </c>
      <c r="K5" s="19" t="s">
        <v>248</v>
      </c>
      <c r="L5" s="18" t="s">
        <v>164</v>
      </c>
      <c r="M5" s="18" t="s">
        <v>249</v>
      </c>
      <c r="N5" s="18" t="s">
        <v>250</v>
      </c>
      <c r="O5" s="20">
        <v>119000</v>
      </c>
      <c r="P5" s="20">
        <v>82110</v>
      </c>
      <c r="Q5" s="20">
        <v>1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31</v>
      </c>
      <c r="X5" s="20">
        <v>0</v>
      </c>
      <c r="Y5" s="20">
        <v>0</v>
      </c>
      <c r="Z5" s="20">
        <v>0</v>
      </c>
      <c r="AA5" s="20">
        <v>0</v>
      </c>
      <c r="AB5" s="20">
        <v>5950</v>
      </c>
      <c r="AC5" s="20">
        <v>119000</v>
      </c>
      <c r="AD5" s="20">
        <v>82110</v>
      </c>
      <c r="AE5" s="20">
        <v>0</v>
      </c>
      <c r="AF5" s="20">
        <v>5950</v>
      </c>
      <c r="AG5" s="20">
        <v>113050</v>
      </c>
      <c r="AH5" s="20">
        <v>82110</v>
      </c>
      <c r="AI5" s="20">
        <v>28127</v>
      </c>
      <c r="AJ5" s="20">
        <v>2813</v>
      </c>
      <c r="AK5" s="20">
        <v>30940</v>
      </c>
    </row>
    <row r="6" spans="1:37" ht="16.5" customHeight="1" x14ac:dyDescent="0.3">
      <c r="A6" s="18" t="s">
        <v>259</v>
      </c>
      <c r="B6" s="18" t="s">
        <v>240</v>
      </c>
      <c r="C6" s="19" t="s">
        <v>241</v>
      </c>
      <c r="D6" s="18" t="s">
        <v>260</v>
      </c>
      <c r="E6" s="19" t="s">
        <v>261</v>
      </c>
      <c r="F6" s="18" t="s">
        <v>262</v>
      </c>
      <c r="G6" s="18" t="s">
        <v>245</v>
      </c>
      <c r="H6" s="19" t="s">
        <v>175</v>
      </c>
      <c r="I6" s="18" t="s">
        <v>246</v>
      </c>
      <c r="J6" s="19" t="s">
        <v>247</v>
      </c>
      <c r="K6" s="19"/>
      <c r="L6" s="18" t="s">
        <v>164</v>
      </c>
      <c r="M6" s="18" t="s">
        <v>249</v>
      </c>
      <c r="N6" s="18" t="s">
        <v>250</v>
      </c>
      <c r="O6" s="20">
        <v>119000</v>
      </c>
      <c r="P6" s="20">
        <v>82110</v>
      </c>
      <c r="Q6" s="20">
        <v>1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31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119000</v>
      </c>
      <c r="AD6" s="20">
        <v>82110</v>
      </c>
      <c r="AE6" s="20">
        <v>0</v>
      </c>
      <c r="AF6" s="20">
        <v>0</v>
      </c>
      <c r="AG6" s="20">
        <v>119000</v>
      </c>
      <c r="AH6" s="20">
        <v>82110</v>
      </c>
      <c r="AI6" s="20">
        <v>33536</v>
      </c>
      <c r="AJ6" s="20">
        <v>3354</v>
      </c>
      <c r="AK6" s="20">
        <v>36890</v>
      </c>
    </row>
    <row r="7" spans="1:37" ht="16.5" customHeight="1" x14ac:dyDescent="0.3">
      <c r="A7" s="18" t="s">
        <v>263</v>
      </c>
      <c r="B7" s="18" t="s">
        <v>240</v>
      </c>
      <c r="C7" s="19" t="s">
        <v>241</v>
      </c>
      <c r="D7" s="18" t="s">
        <v>264</v>
      </c>
      <c r="E7" s="19" t="s">
        <v>265</v>
      </c>
      <c r="F7" s="18" t="s">
        <v>262</v>
      </c>
      <c r="G7" s="18" t="s">
        <v>245</v>
      </c>
      <c r="H7" s="19" t="s">
        <v>175</v>
      </c>
      <c r="I7" s="18" t="s">
        <v>246</v>
      </c>
      <c r="J7" s="19" t="s">
        <v>247</v>
      </c>
      <c r="K7" s="19"/>
      <c r="L7" s="18" t="s">
        <v>164</v>
      </c>
      <c r="M7" s="18" t="s">
        <v>249</v>
      </c>
      <c r="N7" s="18" t="s">
        <v>250</v>
      </c>
      <c r="O7" s="20">
        <v>119000</v>
      </c>
      <c r="P7" s="20">
        <v>82110</v>
      </c>
      <c r="Q7" s="20">
        <v>1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31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119000</v>
      </c>
      <c r="AD7" s="20">
        <v>82110</v>
      </c>
      <c r="AE7" s="20">
        <v>0</v>
      </c>
      <c r="AF7" s="20">
        <v>0</v>
      </c>
      <c r="AG7" s="20">
        <v>119000</v>
      </c>
      <c r="AH7" s="20">
        <v>82110</v>
      </c>
      <c r="AI7" s="20">
        <v>33536</v>
      </c>
      <c r="AJ7" s="20">
        <v>3354</v>
      </c>
      <c r="AK7" s="20">
        <v>36890</v>
      </c>
    </row>
    <row r="8" spans="1:37" ht="16.5" customHeight="1" x14ac:dyDescent="0.3">
      <c r="A8" s="18" t="s">
        <v>266</v>
      </c>
      <c r="B8" s="18" t="s">
        <v>240</v>
      </c>
      <c r="C8" s="19" t="s">
        <v>241</v>
      </c>
      <c r="D8" s="18" t="s">
        <v>267</v>
      </c>
      <c r="E8" s="19" t="s">
        <v>268</v>
      </c>
      <c r="F8" s="18" t="s">
        <v>262</v>
      </c>
      <c r="G8" s="18" t="s">
        <v>245</v>
      </c>
      <c r="H8" s="19" t="s">
        <v>175</v>
      </c>
      <c r="I8" s="18" t="s">
        <v>246</v>
      </c>
      <c r="J8" s="19" t="s">
        <v>247</v>
      </c>
      <c r="K8" s="19" t="s">
        <v>248</v>
      </c>
      <c r="L8" s="18" t="s">
        <v>164</v>
      </c>
      <c r="M8" s="18" t="s">
        <v>249</v>
      </c>
      <c r="N8" s="18" t="s">
        <v>250</v>
      </c>
      <c r="O8" s="20">
        <v>119000</v>
      </c>
      <c r="P8" s="20">
        <v>82110</v>
      </c>
      <c r="Q8" s="20">
        <v>1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31</v>
      </c>
      <c r="X8" s="20">
        <v>17850</v>
      </c>
      <c r="Y8" s="20">
        <v>0</v>
      </c>
      <c r="Z8" s="20">
        <v>0</v>
      </c>
      <c r="AA8" s="20">
        <v>0</v>
      </c>
      <c r="AB8" s="20">
        <v>0</v>
      </c>
      <c r="AC8" s="20">
        <v>119000</v>
      </c>
      <c r="AD8" s="20">
        <v>82110</v>
      </c>
      <c r="AE8" s="20">
        <v>0</v>
      </c>
      <c r="AF8" s="20">
        <v>17850</v>
      </c>
      <c r="AG8" s="20">
        <v>101150</v>
      </c>
      <c r="AH8" s="20">
        <v>82110</v>
      </c>
      <c r="AI8" s="20">
        <v>17309</v>
      </c>
      <c r="AJ8" s="20">
        <v>1731</v>
      </c>
      <c r="AK8" s="20">
        <v>19040</v>
      </c>
    </row>
    <row r="9" spans="1:37" ht="16.5" customHeight="1" x14ac:dyDescent="0.3">
      <c r="A9" s="18" t="s">
        <v>269</v>
      </c>
      <c r="B9" s="18" t="s">
        <v>240</v>
      </c>
      <c r="C9" s="19" t="s">
        <v>241</v>
      </c>
      <c r="D9" s="18" t="s">
        <v>270</v>
      </c>
      <c r="E9" s="19" t="s">
        <v>271</v>
      </c>
      <c r="F9" s="18" t="s">
        <v>244</v>
      </c>
      <c r="G9" s="18" t="s">
        <v>245</v>
      </c>
      <c r="H9" s="19" t="s">
        <v>175</v>
      </c>
      <c r="I9" s="18" t="s">
        <v>246</v>
      </c>
      <c r="J9" s="19" t="s">
        <v>247</v>
      </c>
      <c r="K9" s="19" t="s">
        <v>248</v>
      </c>
      <c r="L9" s="18" t="s">
        <v>164</v>
      </c>
      <c r="M9" s="18" t="s">
        <v>272</v>
      </c>
      <c r="N9" s="18" t="s">
        <v>250</v>
      </c>
      <c r="O9" s="20">
        <v>119000</v>
      </c>
      <c r="P9" s="20">
        <v>82110</v>
      </c>
      <c r="Q9" s="20">
        <v>2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31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238000</v>
      </c>
      <c r="AD9" s="20">
        <v>164220</v>
      </c>
      <c r="AE9" s="20">
        <v>0</v>
      </c>
      <c r="AF9" s="20">
        <v>0</v>
      </c>
      <c r="AG9" s="20">
        <v>238000</v>
      </c>
      <c r="AH9" s="20">
        <v>164220</v>
      </c>
      <c r="AI9" s="20">
        <v>67073</v>
      </c>
      <c r="AJ9" s="20">
        <v>6707</v>
      </c>
      <c r="AK9" s="20">
        <v>73780</v>
      </c>
    </row>
    <row r="10" spans="1:37" ht="16.5" customHeight="1" x14ac:dyDescent="0.3">
      <c r="A10" s="18" t="s">
        <v>273</v>
      </c>
      <c r="B10" s="18" t="s">
        <v>240</v>
      </c>
      <c r="C10" s="19" t="s">
        <v>241</v>
      </c>
      <c r="D10" s="18" t="s">
        <v>274</v>
      </c>
      <c r="E10" s="19" t="s">
        <v>275</v>
      </c>
      <c r="F10" s="18" t="s">
        <v>244</v>
      </c>
      <c r="G10" s="18" t="s">
        <v>245</v>
      </c>
      <c r="H10" s="19" t="s">
        <v>175</v>
      </c>
      <c r="I10" s="18" t="s">
        <v>246</v>
      </c>
      <c r="J10" s="19" t="s">
        <v>247</v>
      </c>
      <c r="K10" s="19" t="s">
        <v>248</v>
      </c>
      <c r="L10" s="18" t="s">
        <v>164</v>
      </c>
      <c r="M10" s="18" t="s">
        <v>272</v>
      </c>
      <c r="N10" s="18" t="s">
        <v>250</v>
      </c>
      <c r="O10" s="20">
        <v>119000</v>
      </c>
      <c r="P10" s="20">
        <v>82110</v>
      </c>
      <c r="Q10" s="20">
        <v>1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31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119000</v>
      </c>
      <c r="AD10" s="20">
        <v>82110</v>
      </c>
      <c r="AE10" s="20">
        <v>0</v>
      </c>
      <c r="AF10" s="20">
        <v>0</v>
      </c>
      <c r="AG10" s="20">
        <v>119000</v>
      </c>
      <c r="AH10" s="20">
        <v>82110</v>
      </c>
      <c r="AI10" s="20">
        <v>33536</v>
      </c>
      <c r="AJ10" s="20">
        <v>3354</v>
      </c>
      <c r="AK10" s="20">
        <v>36890</v>
      </c>
    </row>
    <row r="11" spans="1:37" ht="16.5" customHeight="1" x14ac:dyDescent="0.3">
      <c r="A11" s="18" t="s">
        <v>276</v>
      </c>
      <c r="B11" s="18" t="s">
        <v>240</v>
      </c>
      <c r="C11" s="19" t="s">
        <v>241</v>
      </c>
      <c r="D11" s="18" t="s">
        <v>277</v>
      </c>
      <c r="E11" s="19" t="s">
        <v>278</v>
      </c>
      <c r="F11" s="18" t="s">
        <v>244</v>
      </c>
      <c r="G11" s="18" t="s">
        <v>245</v>
      </c>
      <c r="H11" s="19" t="s">
        <v>175</v>
      </c>
      <c r="I11" s="18" t="s">
        <v>246</v>
      </c>
      <c r="J11" s="19" t="s">
        <v>247</v>
      </c>
      <c r="K11" s="19" t="s">
        <v>248</v>
      </c>
      <c r="L11" s="18" t="s">
        <v>164</v>
      </c>
      <c r="M11" s="18" t="s">
        <v>272</v>
      </c>
      <c r="N11" s="18" t="s">
        <v>250</v>
      </c>
      <c r="O11" s="20">
        <v>119000</v>
      </c>
      <c r="P11" s="20">
        <v>82110</v>
      </c>
      <c r="Q11" s="20">
        <v>1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31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119000</v>
      </c>
      <c r="AD11" s="20">
        <v>82110</v>
      </c>
      <c r="AE11" s="20">
        <v>0</v>
      </c>
      <c r="AF11" s="20">
        <v>0</v>
      </c>
      <c r="AG11" s="20">
        <v>119000</v>
      </c>
      <c r="AH11" s="20">
        <v>82110</v>
      </c>
      <c r="AI11" s="20">
        <v>33536</v>
      </c>
      <c r="AJ11" s="20">
        <v>3354</v>
      </c>
      <c r="AK11" s="20">
        <v>36890</v>
      </c>
    </row>
    <row r="12" spans="1:37" ht="16.5" customHeight="1" x14ac:dyDescent="0.3">
      <c r="A12" s="18" t="s">
        <v>279</v>
      </c>
      <c r="B12" s="18" t="s">
        <v>240</v>
      </c>
      <c r="C12" s="19" t="s">
        <v>241</v>
      </c>
      <c r="D12" s="18" t="s">
        <v>280</v>
      </c>
      <c r="E12" s="19" t="s">
        <v>281</v>
      </c>
      <c r="F12" s="18" t="s">
        <v>244</v>
      </c>
      <c r="G12" s="18" t="s">
        <v>245</v>
      </c>
      <c r="H12" s="19" t="s">
        <v>175</v>
      </c>
      <c r="I12" s="18" t="s">
        <v>246</v>
      </c>
      <c r="J12" s="19" t="s">
        <v>247</v>
      </c>
      <c r="K12" s="19" t="s">
        <v>248</v>
      </c>
      <c r="L12" s="18" t="s">
        <v>164</v>
      </c>
      <c r="M12" s="18" t="s">
        <v>272</v>
      </c>
      <c r="N12" s="18" t="s">
        <v>250</v>
      </c>
      <c r="O12" s="20">
        <v>119000</v>
      </c>
      <c r="P12" s="20">
        <v>82110</v>
      </c>
      <c r="Q12" s="20">
        <v>1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31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119000</v>
      </c>
      <c r="AD12" s="20">
        <v>82110</v>
      </c>
      <c r="AE12" s="20">
        <v>0</v>
      </c>
      <c r="AF12" s="20">
        <v>0</v>
      </c>
      <c r="AG12" s="20">
        <v>119000</v>
      </c>
      <c r="AH12" s="20">
        <v>82110</v>
      </c>
      <c r="AI12" s="20">
        <v>33536</v>
      </c>
      <c r="AJ12" s="20">
        <v>3354</v>
      </c>
      <c r="AK12" s="20">
        <v>36890</v>
      </c>
    </row>
    <row r="13" spans="1:37" ht="16.5" customHeight="1" x14ac:dyDescent="0.3">
      <c r="A13" s="18" t="s">
        <v>282</v>
      </c>
      <c r="B13" s="18" t="s">
        <v>240</v>
      </c>
      <c r="C13" s="19" t="s">
        <v>241</v>
      </c>
      <c r="D13" s="18" t="s">
        <v>283</v>
      </c>
      <c r="E13" s="19" t="s">
        <v>284</v>
      </c>
      <c r="F13" s="18" t="s">
        <v>244</v>
      </c>
      <c r="G13" s="18" t="s">
        <v>245</v>
      </c>
      <c r="H13" s="19" t="s">
        <v>175</v>
      </c>
      <c r="I13" s="18" t="s">
        <v>246</v>
      </c>
      <c r="J13" s="19" t="s">
        <v>247</v>
      </c>
      <c r="K13" s="19" t="s">
        <v>248</v>
      </c>
      <c r="L13" s="18" t="s">
        <v>164</v>
      </c>
      <c r="M13" s="18" t="s">
        <v>272</v>
      </c>
      <c r="N13" s="18" t="s">
        <v>250</v>
      </c>
      <c r="O13" s="20">
        <v>119000</v>
      </c>
      <c r="P13" s="20">
        <v>82110</v>
      </c>
      <c r="Q13" s="20">
        <v>1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31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119000</v>
      </c>
      <c r="AD13" s="20">
        <v>82110</v>
      </c>
      <c r="AE13" s="20">
        <v>0</v>
      </c>
      <c r="AF13" s="20">
        <v>0</v>
      </c>
      <c r="AG13" s="20">
        <v>119000</v>
      </c>
      <c r="AH13" s="20">
        <v>82110</v>
      </c>
      <c r="AI13" s="20">
        <v>33536</v>
      </c>
      <c r="AJ13" s="20">
        <v>3354</v>
      </c>
      <c r="AK13" s="20">
        <v>36890</v>
      </c>
    </row>
    <row r="14" spans="1:37" ht="16.5" customHeight="1" x14ac:dyDescent="0.3">
      <c r="A14" s="18" t="s">
        <v>285</v>
      </c>
      <c r="B14" s="18" t="s">
        <v>240</v>
      </c>
      <c r="C14" s="19" t="s">
        <v>241</v>
      </c>
      <c r="D14" s="18" t="s">
        <v>286</v>
      </c>
      <c r="E14" s="19" t="s">
        <v>287</v>
      </c>
      <c r="F14" s="18" t="s">
        <v>244</v>
      </c>
      <c r="G14" s="18" t="s">
        <v>245</v>
      </c>
      <c r="H14" s="19" t="s">
        <v>175</v>
      </c>
      <c r="I14" s="18" t="s">
        <v>246</v>
      </c>
      <c r="J14" s="19" t="s">
        <v>247</v>
      </c>
      <c r="K14" s="19" t="s">
        <v>248</v>
      </c>
      <c r="L14" s="18" t="s">
        <v>164</v>
      </c>
      <c r="M14" s="18" t="s">
        <v>272</v>
      </c>
      <c r="N14" s="18" t="s">
        <v>250</v>
      </c>
      <c r="O14" s="20">
        <v>119000</v>
      </c>
      <c r="P14" s="20">
        <v>82110</v>
      </c>
      <c r="Q14" s="20">
        <v>1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31</v>
      </c>
      <c r="X14" s="20">
        <v>0</v>
      </c>
      <c r="Y14" s="20">
        <v>0</v>
      </c>
      <c r="Z14" s="20">
        <v>0</v>
      </c>
      <c r="AA14" s="20">
        <v>0</v>
      </c>
      <c r="AB14" s="20">
        <v>5950</v>
      </c>
      <c r="AC14" s="20">
        <v>119000</v>
      </c>
      <c r="AD14" s="20">
        <v>82110</v>
      </c>
      <c r="AE14" s="20">
        <v>0</v>
      </c>
      <c r="AF14" s="20">
        <v>5950</v>
      </c>
      <c r="AG14" s="20">
        <v>113050</v>
      </c>
      <c r="AH14" s="20">
        <v>82110</v>
      </c>
      <c r="AI14" s="20">
        <v>28127</v>
      </c>
      <c r="AJ14" s="20">
        <v>2813</v>
      </c>
      <c r="AK14" s="20">
        <v>30940</v>
      </c>
    </row>
    <row r="15" spans="1:37" ht="16.5" customHeight="1" x14ac:dyDescent="0.3">
      <c r="A15" s="18" t="s">
        <v>288</v>
      </c>
      <c r="B15" s="18" t="s">
        <v>240</v>
      </c>
      <c r="C15" s="19" t="s">
        <v>241</v>
      </c>
      <c r="D15" s="18" t="s">
        <v>289</v>
      </c>
      <c r="E15" s="19" t="s">
        <v>290</v>
      </c>
      <c r="F15" s="18" t="s">
        <v>244</v>
      </c>
      <c r="G15" s="18" t="s">
        <v>245</v>
      </c>
      <c r="H15" s="19" t="s">
        <v>175</v>
      </c>
      <c r="I15" s="18" t="s">
        <v>246</v>
      </c>
      <c r="J15" s="19" t="s">
        <v>247</v>
      </c>
      <c r="K15" s="19" t="s">
        <v>248</v>
      </c>
      <c r="L15" s="18" t="s">
        <v>164</v>
      </c>
      <c r="M15" s="18" t="s">
        <v>272</v>
      </c>
      <c r="N15" s="18" t="s">
        <v>250</v>
      </c>
      <c r="O15" s="20">
        <v>119000</v>
      </c>
      <c r="P15" s="20">
        <v>82110</v>
      </c>
      <c r="Q15" s="20">
        <v>1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31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119000</v>
      </c>
      <c r="AD15" s="20">
        <v>82110</v>
      </c>
      <c r="AE15" s="20">
        <v>0</v>
      </c>
      <c r="AF15" s="20">
        <v>0</v>
      </c>
      <c r="AG15" s="20">
        <v>119000</v>
      </c>
      <c r="AH15" s="20">
        <v>82110</v>
      </c>
      <c r="AI15" s="20">
        <v>33536</v>
      </c>
      <c r="AJ15" s="20">
        <v>3354</v>
      </c>
      <c r="AK15" s="20">
        <v>36890</v>
      </c>
    </row>
    <row r="16" spans="1:37" ht="16.5" customHeight="1" x14ac:dyDescent="0.3">
      <c r="A16" s="18" t="s">
        <v>291</v>
      </c>
      <c r="B16" s="18" t="s">
        <v>240</v>
      </c>
      <c r="C16" s="19" t="s">
        <v>241</v>
      </c>
      <c r="D16" s="18" t="s">
        <v>292</v>
      </c>
      <c r="E16" s="19" t="s">
        <v>293</v>
      </c>
      <c r="F16" s="18" t="s">
        <v>244</v>
      </c>
      <c r="G16" s="18" t="s">
        <v>245</v>
      </c>
      <c r="H16" s="19" t="s">
        <v>175</v>
      </c>
      <c r="I16" s="18" t="s">
        <v>246</v>
      </c>
      <c r="J16" s="19" t="s">
        <v>247</v>
      </c>
      <c r="K16" s="19" t="s">
        <v>248</v>
      </c>
      <c r="L16" s="18" t="s">
        <v>164</v>
      </c>
      <c r="M16" s="18" t="s">
        <v>272</v>
      </c>
      <c r="N16" s="18" t="s">
        <v>250</v>
      </c>
      <c r="O16" s="20">
        <v>119000</v>
      </c>
      <c r="P16" s="20">
        <v>82110</v>
      </c>
      <c r="Q16" s="20">
        <v>1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31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119000</v>
      </c>
      <c r="AD16" s="20">
        <v>82110</v>
      </c>
      <c r="AE16" s="20">
        <v>0</v>
      </c>
      <c r="AF16" s="20">
        <v>0</v>
      </c>
      <c r="AG16" s="20">
        <v>119000</v>
      </c>
      <c r="AH16" s="20">
        <v>82110</v>
      </c>
      <c r="AI16" s="20">
        <v>33536</v>
      </c>
      <c r="AJ16" s="20">
        <v>3354</v>
      </c>
      <c r="AK16" s="20">
        <v>36890</v>
      </c>
    </row>
    <row r="17" spans="1:37" ht="16.5" customHeight="1" x14ac:dyDescent="0.3">
      <c r="A17" s="18" t="s">
        <v>294</v>
      </c>
      <c r="B17" s="18" t="s">
        <v>240</v>
      </c>
      <c r="C17" s="19" t="s">
        <v>241</v>
      </c>
      <c r="D17" s="18" t="s">
        <v>295</v>
      </c>
      <c r="E17" s="19" t="s">
        <v>296</v>
      </c>
      <c r="F17" s="18" t="s">
        <v>244</v>
      </c>
      <c r="G17" s="18" t="s">
        <v>245</v>
      </c>
      <c r="H17" s="19" t="s">
        <v>175</v>
      </c>
      <c r="I17" s="18" t="s">
        <v>246</v>
      </c>
      <c r="J17" s="19" t="s">
        <v>247</v>
      </c>
      <c r="K17" s="19" t="s">
        <v>248</v>
      </c>
      <c r="L17" s="18" t="s">
        <v>164</v>
      </c>
      <c r="M17" s="18" t="s">
        <v>272</v>
      </c>
      <c r="N17" s="18" t="s">
        <v>250</v>
      </c>
      <c r="O17" s="20">
        <v>119000</v>
      </c>
      <c r="P17" s="20">
        <v>82110</v>
      </c>
      <c r="Q17" s="20">
        <v>1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31</v>
      </c>
      <c r="X17" s="20">
        <v>0</v>
      </c>
      <c r="Y17" s="20">
        <v>0</v>
      </c>
      <c r="Z17" s="20">
        <v>0</v>
      </c>
      <c r="AA17" s="20">
        <v>0</v>
      </c>
      <c r="AB17" s="20">
        <v>5950</v>
      </c>
      <c r="AC17" s="20">
        <v>119000</v>
      </c>
      <c r="AD17" s="20">
        <v>82110</v>
      </c>
      <c r="AE17" s="20">
        <v>0</v>
      </c>
      <c r="AF17" s="20">
        <v>5950</v>
      </c>
      <c r="AG17" s="20">
        <v>113050</v>
      </c>
      <c r="AH17" s="20">
        <v>82110</v>
      </c>
      <c r="AI17" s="20">
        <v>28127</v>
      </c>
      <c r="AJ17" s="20">
        <v>2813</v>
      </c>
      <c r="AK17" s="20">
        <v>30940</v>
      </c>
    </row>
    <row r="18" spans="1:37" ht="16.5" customHeight="1" x14ac:dyDescent="0.3">
      <c r="A18" s="18" t="s">
        <v>297</v>
      </c>
      <c r="B18" s="18" t="s">
        <v>240</v>
      </c>
      <c r="C18" s="19" t="s">
        <v>241</v>
      </c>
      <c r="D18" s="18" t="s">
        <v>298</v>
      </c>
      <c r="E18" s="19" t="s">
        <v>299</v>
      </c>
      <c r="F18" s="18" t="s">
        <v>244</v>
      </c>
      <c r="G18" s="18" t="s">
        <v>245</v>
      </c>
      <c r="H18" s="19" t="s">
        <v>175</v>
      </c>
      <c r="I18" s="18" t="s">
        <v>246</v>
      </c>
      <c r="J18" s="19" t="s">
        <v>247</v>
      </c>
      <c r="K18" s="19" t="s">
        <v>248</v>
      </c>
      <c r="L18" s="18" t="s">
        <v>164</v>
      </c>
      <c r="M18" s="18" t="s">
        <v>272</v>
      </c>
      <c r="N18" s="18" t="s">
        <v>250</v>
      </c>
      <c r="O18" s="20">
        <v>119000</v>
      </c>
      <c r="P18" s="20">
        <v>82110</v>
      </c>
      <c r="Q18" s="20">
        <v>1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31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119000</v>
      </c>
      <c r="AD18" s="20">
        <v>82110</v>
      </c>
      <c r="AE18" s="20">
        <v>0</v>
      </c>
      <c r="AF18" s="20">
        <v>0</v>
      </c>
      <c r="AG18" s="20">
        <v>119000</v>
      </c>
      <c r="AH18" s="20">
        <v>82110</v>
      </c>
      <c r="AI18" s="20">
        <v>33536</v>
      </c>
      <c r="AJ18" s="20">
        <v>3354</v>
      </c>
      <c r="AK18" s="20">
        <v>36890</v>
      </c>
    </row>
    <row r="19" spans="1:37" ht="16.5" customHeight="1" x14ac:dyDescent="0.3">
      <c r="A19" s="18" t="s">
        <v>300</v>
      </c>
      <c r="B19" s="18" t="s">
        <v>240</v>
      </c>
      <c r="C19" s="19" t="s">
        <v>241</v>
      </c>
      <c r="D19" s="18" t="s">
        <v>301</v>
      </c>
      <c r="E19" s="19" t="s">
        <v>302</v>
      </c>
      <c r="F19" s="18" t="s">
        <v>244</v>
      </c>
      <c r="G19" s="18" t="s">
        <v>245</v>
      </c>
      <c r="H19" s="19" t="s">
        <v>175</v>
      </c>
      <c r="I19" s="18" t="s">
        <v>246</v>
      </c>
      <c r="J19" s="19" t="s">
        <v>247</v>
      </c>
      <c r="K19" s="19" t="s">
        <v>248</v>
      </c>
      <c r="L19" s="18" t="s">
        <v>164</v>
      </c>
      <c r="M19" s="18" t="s">
        <v>272</v>
      </c>
      <c r="N19" s="18" t="s">
        <v>250</v>
      </c>
      <c r="O19" s="20">
        <v>119000</v>
      </c>
      <c r="P19" s="20">
        <v>82110</v>
      </c>
      <c r="Q19" s="20">
        <v>1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31</v>
      </c>
      <c r="X19" s="20">
        <v>0</v>
      </c>
      <c r="Y19" s="20">
        <v>5000</v>
      </c>
      <c r="Z19" s="20">
        <v>0</v>
      </c>
      <c r="AA19" s="20">
        <v>0</v>
      </c>
      <c r="AB19" s="20">
        <v>0</v>
      </c>
      <c r="AC19" s="20">
        <v>119000</v>
      </c>
      <c r="AD19" s="20">
        <v>82110</v>
      </c>
      <c r="AE19" s="20">
        <v>0</v>
      </c>
      <c r="AF19" s="20">
        <v>5000</v>
      </c>
      <c r="AG19" s="20">
        <v>114000</v>
      </c>
      <c r="AH19" s="20">
        <v>82110</v>
      </c>
      <c r="AI19" s="20">
        <v>28991</v>
      </c>
      <c r="AJ19" s="20">
        <v>2899</v>
      </c>
      <c r="AK19" s="20">
        <v>31890</v>
      </c>
    </row>
    <row r="20" spans="1:37" ht="16.5" customHeight="1" x14ac:dyDescent="0.3">
      <c r="A20" s="18" t="s">
        <v>303</v>
      </c>
      <c r="B20" s="18" t="s">
        <v>240</v>
      </c>
      <c r="C20" s="19" t="s">
        <v>241</v>
      </c>
      <c r="D20" s="18" t="s">
        <v>304</v>
      </c>
      <c r="E20" s="19" t="s">
        <v>305</v>
      </c>
      <c r="F20" s="18" t="s">
        <v>244</v>
      </c>
      <c r="G20" s="18" t="s">
        <v>245</v>
      </c>
      <c r="H20" s="19" t="s">
        <v>175</v>
      </c>
      <c r="I20" s="18" t="s">
        <v>246</v>
      </c>
      <c r="J20" s="19" t="s">
        <v>247</v>
      </c>
      <c r="K20" s="19" t="s">
        <v>248</v>
      </c>
      <c r="L20" s="18" t="s">
        <v>164</v>
      </c>
      <c r="M20" s="18" t="s">
        <v>272</v>
      </c>
      <c r="N20" s="18" t="s">
        <v>250</v>
      </c>
      <c r="O20" s="20">
        <v>119000</v>
      </c>
      <c r="P20" s="20">
        <v>82110</v>
      </c>
      <c r="Q20" s="20">
        <v>1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31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119000</v>
      </c>
      <c r="AD20" s="20">
        <v>82110</v>
      </c>
      <c r="AE20" s="20">
        <v>0</v>
      </c>
      <c r="AF20" s="20">
        <v>0</v>
      </c>
      <c r="AG20" s="20">
        <v>119000</v>
      </c>
      <c r="AH20" s="20">
        <v>82110</v>
      </c>
      <c r="AI20" s="20">
        <v>33536</v>
      </c>
      <c r="AJ20" s="20">
        <v>3354</v>
      </c>
      <c r="AK20" s="20">
        <v>36890</v>
      </c>
    </row>
    <row r="21" spans="1:37" ht="16.5" customHeight="1" x14ac:dyDescent="0.3">
      <c r="A21" s="18" t="s">
        <v>306</v>
      </c>
      <c r="B21" s="18" t="s">
        <v>240</v>
      </c>
      <c r="C21" s="19" t="s">
        <v>241</v>
      </c>
      <c r="D21" s="18" t="s">
        <v>307</v>
      </c>
      <c r="E21" s="19" t="s">
        <v>308</v>
      </c>
      <c r="F21" s="18" t="s">
        <v>244</v>
      </c>
      <c r="G21" s="18" t="s">
        <v>245</v>
      </c>
      <c r="H21" s="19" t="s">
        <v>175</v>
      </c>
      <c r="I21" s="18" t="s">
        <v>246</v>
      </c>
      <c r="J21" s="19" t="s">
        <v>247</v>
      </c>
      <c r="K21" s="19" t="s">
        <v>248</v>
      </c>
      <c r="L21" s="18" t="s">
        <v>164</v>
      </c>
      <c r="M21" s="18" t="s">
        <v>272</v>
      </c>
      <c r="N21" s="18" t="s">
        <v>250</v>
      </c>
      <c r="O21" s="20">
        <v>119000</v>
      </c>
      <c r="P21" s="20">
        <v>82110</v>
      </c>
      <c r="Q21" s="20">
        <v>1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31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119000</v>
      </c>
      <c r="AD21" s="20">
        <v>82110</v>
      </c>
      <c r="AE21" s="20">
        <v>0</v>
      </c>
      <c r="AF21" s="20">
        <v>0</v>
      </c>
      <c r="AG21" s="20">
        <v>119000</v>
      </c>
      <c r="AH21" s="20">
        <v>82110</v>
      </c>
      <c r="AI21" s="20">
        <v>33536</v>
      </c>
      <c r="AJ21" s="20">
        <v>3354</v>
      </c>
      <c r="AK21" s="20">
        <v>36890</v>
      </c>
    </row>
    <row r="22" spans="1:37" ht="16.5" customHeight="1" x14ac:dyDescent="0.3">
      <c r="A22" s="18" t="s">
        <v>309</v>
      </c>
      <c r="B22" s="18" t="s">
        <v>240</v>
      </c>
      <c r="C22" s="19" t="s">
        <v>241</v>
      </c>
      <c r="D22" s="18" t="s">
        <v>310</v>
      </c>
      <c r="E22" s="19" t="s">
        <v>311</v>
      </c>
      <c r="F22" s="18" t="s">
        <v>244</v>
      </c>
      <c r="G22" s="18" t="s">
        <v>245</v>
      </c>
      <c r="H22" s="19" t="s">
        <v>175</v>
      </c>
      <c r="I22" s="18" t="s">
        <v>246</v>
      </c>
      <c r="J22" s="19" t="s">
        <v>247</v>
      </c>
      <c r="K22" s="19" t="s">
        <v>248</v>
      </c>
      <c r="L22" s="18" t="s">
        <v>164</v>
      </c>
      <c r="M22" s="18" t="s">
        <v>272</v>
      </c>
      <c r="N22" s="18" t="s">
        <v>250</v>
      </c>
      <c r="O22" s="20">
        <v>119000</v>
      </c>
      <c r="P22" s="20">
        <v>82110</v>
      </c>
      <c r="Q22" s="20">
        <v>1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31</v>
      </c>
      <c r="X22" s="20">
        <v>13090</v>
      </c>
      <c r="Y22" s="20">
        <v>0</v>
      </c>
      <c r="Z22" s="20">
        <v>0</v>
      </c>
      <c r="AA22" s="20">
        <v>0</v>
      </c>
      <c r="AB22" s="20">
        <v>0</v>
      </c>
      <c r="AC22" s="20">
        <v>119000</v>
      </c>
      <c r="AD22" s="20">
        <v>82110</v>
      </c>
      <c r="AE22" s="20">
        <v>0</v>
      </c>
      <c r="AF22" s="20">
        <v>13090</v>
      </c>
      <c r="AG22" s="20">
        <v>105910</v>
      </c>
      <c r="AH22" s="20">
        <v>82110</v>
      </c>
      <c r="AI22" s="20">
        <v>21636</v>
      </c>
      <c r="AJ22" s="20">
        <v>2164</v>
      </c>
      <c r="AK22" s="20">
        <v>23800</v>
      </c>
    </row>
    <row r="23" spans="1:37" ht="16.5" customHeight="1" x14ac:dyDescent="0.3">
      <c r="A23" s="18" t="s">
        <v>312</v>
      </c>
      <c r="B23" s="18" t="s">
        <v>240</v>
      </c>
      <c r="C23" s="19" t="s">
        <v>241</v>
      </c>
      <c r="D23" s="18" t="s">
        <v>313</v>
      </c>
      <c r="E23" s="19" t="s">
        <v>296</v>
      </c>
      <c r="F23" s="18" t="s">
        <v>244</v>
      </c>
      <c r="G23" s="18" t="s">
        <v>245</v>
      </c>
      <c r="H23" s="19" t="s">
        <v>175</v>
      </c>
      <c r="I23" s="18" t="s">
        <v>246</v>
      </c>
      <c r="J23" s="19" t="s">
        <v>247</v>
      </c>
      <c r="K23" s="19" t="s">
        <v>314</v>
      </c>
      <c r="L23" s="18" t="s">
        <v>164</v>
      </c>
      <c r="M23" s="18" t="s">
        <v>272</v>
      </c>
      <c r="N23" s="18" t="s">
        <v>250</v>
      </c>
      <c r="O23" s="20">
        <v>119000</v>
      </c>
      <c r="P23" s="20">
        <v>82110</v>
      </c>
      <c r="Q23" s="20">
        <v>1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31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119000</v>
      </c>
      <c r="AD23" s="20">
        <v>82110</v>
      </c>
      <c r="AE23" s="20">
        <v>0</v>
      </c>
      <c r="AF23" s="20">
        <v>0</v>
      </c>
      <c r="AG23" s="20">
        <v>119000</v>
      </c>
      <c r="AH23" s="20">
        <v>82110</v>
      </c>
      <c r="AI23" s="20">
        <v>33536</v>
      </c>
      <c r="AJ23" s="20">
        <v>3354</v>
      </c>
      <c r="AK23" s="20">
        <v>36890</v>
      </c>
    </row>
    <row r="24" spans="1:37" ht="16.5" customHeight="1" x14ac:dyDescent="0.3">
      <c r="A24" s="18" t="s">
        <v>315</v>
      </c>
      <c r="B24" s="18" t="s">
        <v>240</v>
      </c>
      <c r="C24" s="19" t="s">
        <v>241</v>
      </c>
      <c r="D24" s="18" t="s">
        <v>316</v>
      </c>
      <c r="E24" s="19" t="s">
        <v>317</v>
      </c>
      <c r="F24" s="18" t="s">
        <v>244</v>
      </c>
      <c r="G24" s="18" t="s">
        <v>245</v>
      </c>
      <c r="H24" s="19" t="s">
        <v>175</v>
      </c>
      <c r="I24" s="18" t="s">
        <v>246</v>
      </c>
      <c r="J24" s="19" t="s">
        <v>247</v>
      </c>
      <c r="K24" s="19" t="s">
        <v>248</v>
      </c>
      <c r="L24" s="18" t="s">
        <v>164</v>
      </c>
      <c r="M24" s="18" t="s">
        <v>272</v>
      </c>
      <c r="N24" s="18" t="s">
        <v>250</v>
      </c>
      <c r="O24" s="20">
        <v>119000</v>
      </c>
      <c r="P24" s="20">
        <v>82110</v>
      </c>
      <c r="Q24" s="20">
        <v>1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31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119000</v>
      </c>
      <c r="AD24" s="20">
        <v>82110</v>
      </c>
      <c r="AE24" s="20">
        <v>0</v>
      </c>
      <c r="AF24" s="20">
        <v>0</v>
      </c>
      <c r="AG24" s="20">
        <v>119000</v>
      </c>
      <c r="AH24" s="20">
        <v>82110</v>
      </c>
      <c r="AI24" s="20">
        <v>33536</v>
      </c>
      <c r="AJ24" s="20">
        <v>3354</v>
      </c>
      <c r="AK24" s="20">
        <v>36890</v>
      </c>
    </row>
    <row r="25" spans="1:37" ht="16.5" customHeight="1" x14ac:dyDescent="0.3">
      <c r="A25" s="18" t="s">
        <v>318</v>
      </c>
      <c r="B25" s="18" t="s">
        <v>240</v>
      </c>
      <c r="C25" s="19" t="s">
        <v>241</v>
      </c>
      <c r="D25" s="18" t="s">
        <v>319</v>
      </c>
      <c r="E25" s="19" t="s">
        <v>320</v>
      </c>
      <c r="F25" s="18" t="s">
        <v>244</v>
      </c>
      <c r="G25" s="18" t="s">
        <v>245</v>
      </c>
      <c r="H25" s="19" t="s">
        <v>175</v>
      </c>
      <c r="I25" s="18" t="s">
        <v>246</v>
      </c>
      <c r="J25" s="19" t="s">
        <v>247</v>
      </c>
      <c r="K25" s="19" t="s">
        <v>248</v>
      </c>
      <c r="L25" s="18" t="s">
        <v>164</v>
      </c>
      <c r="M25" s="18" t="s">
        <v>272</v>
      </c>
      <c r="N25" s="18" t="s">
        <v>250</v>
      </c>
      <c r="O25" s="20">
        <v>119000</v>
      </c>
      <c r="P25" s="20">
        <v>82110</v>
      </c>
      <c r="Q25" s="20">
        <v>1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31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119000</v>
      </c>
      <c r="AD25" s="20">
        <v>82110</v>
      </c>
      <c r="AE25" s="20">
        <v>0</v>
      </c>
      <c r="AF25" s="20">
        <v>0</v>
      </c>
      <c r="AG25" s="20">
        <v>119000</v>
      </c>
      <c r="AH25" s="20">
        <v>82110</v>
      </c>
      <c r="AI25" s="20">
        <v>33536</v>
      </c>
      <c r="AJ25" s="20">
        <v>3354</v>
      </c>
      <c r="AK25" s="20">
        <v>36890</v>
      </c>
    </row>
    <row r="26" spans="1:37" ht="16.5" customHeight="1" x14ac:dyDescent="0.3">
      <c r="A26" s="18" t="s">
        <v>321</v>
      </c>
      <c r="B26" s="18" t="s">
        <v>240</v>
      </c>
      <c r="C26" s="19" t="s">
        <v>241</v>
      </c>
      <c r="D26" s="18" t="s">
        <v>322</v>
      </c>
      <c r="E26" s="19" t="s">
        <v>323</v>
      </c>
      <c r="F26" s="18" t="s">
        <v>244</v>
      </c>
      <c r="G26" s="18" t="s">
        <v>245</v>
      </c>
      <c r="H26" s="19" t="s">
        <v>175</v>
      </c>
      <c r="I26" s="18" t="s">
        <v>246</v>
      </c>
      <c r="J26" s="19" t="s">
        <v>247</v>
      </c>
      <c r="K26" s="19" t="s">
        <v>248</v>
      </c>
      <c r="L26" s="18" t="s">
        <v>164</v>
      </c>
      <c r="M26" s="18" t="s">
        <v>272</v>
      </c>
      <c r="N26" s="18" t="s">
        <v>250</v>
      </c>
      <c r="O26" s="20">
        <v>119000</v>
      </c>
      <c r="P26" s="20">
        <v>82110</v>
      </c>
      <c r="Q26" s="20">
        <v>1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31</v>
      </c>
      <c r="X26" s="20">
        <v>13090</v>
      </c>
      <c r="Y26" s="20">
        <v>0</v>
      </c>
      <c r="Z26" s="20">
        <v>0</v>
      </c>
      <c r="AA26" s="20">
        <v>0</v>
      </c>
      <c r="AB26" s="20">
        <v>0</v>
      </c>
      <c r="AC26" s="20">
        <v>119000</v>
      </c>
      <c r="AD26" s="20">
        <v>82110</v>
      </c>
      <c r="AE26" s="20">
        <v>0</v>
      </c>
      <c r="AF26" s="20">
        <v>13090</v>
      </c>
      <c r="AG26" s="20">
        <v>105910</v>
      </c>
      <c r="AH26" s="20">
        <v>82110</v>
      </c>
      <c r="AI26" s="20">
        <v>21636</v>
      </c>
      <c r="AJ26" s="20">
        <v>2164</v>
      </c>
      <c r="AK26" s="20">
        <v>23800</v>
      </c>
    </row>
    <row r="27" spans="1:37" ht="16.5" customHeight="1" x14ac:dyDescent="0.3">
      <c r="A27" s="18" t="s">
        <v>324</v>
      </c>
      <c r="B27" s="18" t="s">
        <v>240</v>
      </c>
      <c r="C27" s="19" t="s">
        <v>241</v>
      </c>
      <c r="D27" s="18" t="s">
        <v>325</v>
      </c>
      <c r="E27" s="19" t="s">
        <v>326</v>
      </c>
      <c r="F27" s="18" t="s">
        <v>244</v>
      </c>
      <c r="G27" s="18" t="s">
        <v>245</v>
      </c>
      <c r="H27" s="19" t="s">
        <v>175</v>
      </c>
      <c r="I27" s="18" t="s">
        <v>246</v>
      </c>
      <c r="J27" s="19" t="s">
        <v>247</v>
      </c>
      <c r="K27" s="19" t="s">
        <v>248</v>
      </c>
      <c r="L27" s="18" t="s">
        <v>164</v>
      </c>
      <c r="M27" s="18" t="s">
        <v>272</v>
      </c>
      <c r="N27" s="18" t="s">
        <v>250</v>
      </c>
      <c r="O27" s="20">
        <v>119000</v>
      </c>
      <c r="P27" s="20">
        <v>82110</v>
      </c>
      <c r="Q27" s="20">
        <v>1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31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119000</v>
      </c>
      <c r="AD27" s="20">
        <v>82110</v>
      </c>
      <c r="AE27" s="20">
        <v>0</v>
      </c>
      <c r="AF27" s="20">
        <v>0</v>
      </c>
      <c r="AG27" s="20">
        <v>119000</v>
      </c>
      <c r="AH27" s="20">
        <v>82110</v>
      </c>
      <c r="AI27" s="20">
        <v>33536</v>
      </c>
      <c r="AJ27" s="20">
        <v>3354</v>
      </c>
      <c r="AK27" s="20">
        <v>36890</v>
      </c>
    </row>
    <row r="28" spans="1:37" ht="16.5" customHeight="1" x14ac:dyDescent="0.3">
      <c r="A28" s="18" t="s">
        <v>327</v>
      </c>
      <c r="B28" s="18" t="s">
        <v>240</v>
      </c>
      <c r="C28" s="19" t="s">
        <v>241</v>
      </c>
      <c r="D28" s="18" t="s">
        <v>328</v>
      </c>
      <c r="E28" s="19" t="s">
        <v>329</v>
      </c>
      <c r="F28" s="18" t="s">
        <v>244</v>
      </c>
      <c r="G28" s="18" t="s">
        <v>245</v>
      </c>
      <c r="H28" s="19" t="s">
        <v>175</v>
      </c>
      <c r="I28" s="18" t="s">
        <v>246</v>
      </c>
      <c r="J28" s="19" t="s">
        <v>247</v>
      </c>
      <c r="K28" s="19" t="s">
        <v>248</v>
      </c>
      <c r="L28" s="18" t="s">
        <v>164</v>
      </c>
      <c r="M28" s="18" t="s">
        <v>272</v>
      </c>
      <c r="N28" s="18" t="s">
        <v>250</v>
      </c>
      <c r="O28" s="20">
        <v>119000</v>
      </c>
      <c r="P28" s="20">
        <v>82110</v>
      </c>
      <c r="Q28" s="20">
        <v>1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31</v>
      </c>
      <c r="X28" s="20">
        <v>22610</v>
      </c>
      <c r="Y28" s="20">
        <v>0</v>
      </c>
      <c r="Z28" s="20">
        <v>0</v>
      </c>
      <c r="AA28" s="20">
        <v>0</v>
      </c>
      <c r="AB28" s="20">
        <v>0</v>
      </c>
      <c r="AC28" s="20">
        <v>119000</v>
      </c>
      <c r="AD28" s="20">
        <v>82110</v>
      </c>
      <c r="AE28" s="20">
        <v>0</v>
      </c>
      <c r="AF28" s="20">
        <v>22610</v>
      </c>
      <c r="AG28" s="20">
        <v>96390</v>
      </c>
      <c r="AH28" s="20">
        <v>82110</v>
      </c>
      <c r="AI28" s="20">
        <v>12982</v>
      </c>
      <c r="AJ28" s="20">
        <v>1298</v>
      </c>
      <c r="AK28" s="20">
        <v>14280</v>
      </c>
    </row>
    <row r="29" spans="1:37" ht="16.5" customHeight="1" x14ac:dyDescent="0.3">
      <c r="A29" s="18" t="s">
        <v>330</v>
      </c>
      <c r="B29" s="18" t="s">
        <v>240</v>
      </c>
      <c r="C29" s="19" t="s">
        <v>241</v>
      </c>
      <c r="D29" s="18" t="s">
        <v>331</v>
      </c>
      <c r="E29" s="19" t="s">
        <v>332</v>
      </c>
      <c r="F29" s="18" t="s">
        <v>244</v>
      </c>
      <c r="G29" s="18" t="s">
        <v>245</v>
      </c>
      <c r="H29" s="19" t="s">
        <v>175</v>
      </c>
      <c r="I29" s="18" t="s">
        <v>246</v>
      </c>
      <c r="J29" s="19" t="s">
        <v>247</v>
      </c>
      <c r="K29" s="19" t="s">
        <v>248</v>
      </c>
      <c r="L29" s="18" t="s">
        <v>164</v>
      </c>
      <c r="M29" s="18" t="s">
        <v>272</v>
      </c>
      <c r="N29" s="18" t="s">
        <v>250</v>
      </c>
      <c r="O29" s="20">
        <v>119000</v>
      </c>
      <c r="P29" s="20">
        <v>82110</v>
      </c>
      <c r="Q29" s="20">
        <v>1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31</v>
      </c>
      <c r="X29" s="20">
        <v>0</v>
      </c>
      <c r="Y29" s="20">
        <v>10000</v>
      </c>
      <c r="Z29" s="20">
        <v>0</v>
      </c>
      <c r="AA29" s="20">
        <v>0</v>
      </c>
      <c r="AB29" s="20">
        <v>0</v>
      </c>
      <c r="AC29" s="20">
        <v>119000</v>
      </c>
      <c r="AD29" s="20">
        <v>82110</v>
      </c>
      <c r="AE29" s="20">
        <v>0</v>
      </c>
      <c r="AF29" s="20">
        <v>10000</v>
      </c>
      <c r="AG29" s="20">
        <v>109000</v>
      </c>
      <c r="AH29" s="20">
        <v>82110</v>
      </c>
      <c r="AI29" s="20">
        <v>24445</v>
      </c>
      <c r="AJ29" s="20">
        <v>2445</v>
      </c>
      <c r="AK29" s="20">
        <v>26890</v>
      </c>
    </row>
    <row r="30" spans="1:37" ht="16.5" customHeight="1" x14ac:dyDescent="0.3">
      <c r="A30" s="18" t="s">
        <v>333</v>
      </c>
      <c r="B30" s="18" t="s">
        <v>240</v>
      </c>
      <c r="C30" s="19" t="s">
        <v>241</v>
      </c>
      <c r="D30" s="18" t="s">
        <v>334</v>
      </c>
      <c r="E30" s="19" t="s">
        <v>335</v>
      </c>
      <c r="F30" s="18" t="s">
        <v>244</v>
      </c>
      <c r="G30" s="18" t="s">
        <v>245</v>
      </c>
      <c r="H30" s="19" t="s">
        <v>175</v>
      </c>
      <c r="I30" s="18" t="s">
        <v>246</v>
      </c>
      <c r="J30" s="19" t="s">
        <v>247</v>
      </c>
      <c r="K30" s="19" t="s">
        <v>248</v>
      </c>
      <c r="L30" s="18" t="s">
        <v>164</v>
      </c>
      <c r="M30" s="18" t="s">
        <v>272</v>
      </c>
      <c r="N30" s="18" t="s">
        <v>250</v>
      </c>
      <c r="O30" s="20">
        <v>119000</v>
      </c>
      <c r="P30" s="20">
        <v>82110</v>
      </c>
      <c r="Q30" s="20">
        <v>1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31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119000</v>
      </c>
      <c r="AD30" s="20">
        <v>82110</v>
      </c>
      <c r="AE30" s="20">
        <v>0</v>
      </c>
      <c r="AF30" s="20">
        <v>0</v>
      </c>
      <c r="AG30" s="20">
        <v>119000</v>
      </c>
      <c r="AH30" s="20">
        <v>82110</v>
      </c>
      <c r="AI30" s="20">
        <v>33536</v>
      </c>
      <c r="AJ30" s="20">
        <v>3354</v>
      </c>
      <c r="AK30" s="20">
        <v>36890</v>
      </c>
    </row>
    <row r="31" spans="1:37" ht="16.5" customHeight="1" x14ac:dyDescent="0.3">
      <c r="A31" s="18" t="s">
        <v>336</v>
      </c>
      <c r="B31" s="18" t="s">
        <v>240</v>
      </c>
      <c r="C31" s="19" t="s">
        <v>241</v>
      </c>
      <c r="D31" s="18" t="s">
        <v>337</v>
      </c>
      <c r="E31" s="19" t="s">
        <v>338</v>
      </c>
      <c r="F31" s="18" t="s">
        <v>244</v>
      </c>
      <c r="G31" s="18" t="s">
        <v>245</v>
      </c>
      <c r="H31" s="19" t="s">
        <v>175</v>
      </c>
      <c r="I31" s="18" t="s">
        <v>246</v>
      </c>
      <c r="J31" s="19" t="s">
        <v>247</v>
      </c>
      <c r="K31" s="19" t="s">
        <v>248</v>
      </c>
      <c r="L31" s="18" t="s">
        <v>164</v>
      </c>
      <c r="M31" s="18" t="s">
        <v>272</v>
      </c>
      <c r="N31" s="18" t="s">
        <v>250</v>
      </c>
      <c r="O31" s="20">
        <v>119000</v>
      </c>
      <c r="P31" s="20">
        <v>82110</v>
      </c>
      <c r="Q31" s="20">
        <v>1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31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119000</v>
      </c>
      <c r="AD31" s="20">
        <v>82110</v>
      </c>
      <c r="AE31" s="20">
        <v>0</v>
      </c>
      <c r="AF31" s="20">
        <v>0</v>
      </c>
      <c r="AG31" s="20">
        <v>119000</v>
      </c>
      <c r="AH31" s="20">
        <v>82110</v>
      </c>
      <c r="AI31" s="20">
        <v>33536</v>
      </c>
      <c r="AJ31" s="20">
        <v>3354</v>
      </c>
      <c r="AK31" s="20">
        <v>36890</v>
      </c>
    </row>
    <row r="32" spans="1:37" ht="16.5" customHeight="1" x14ac:dyDescent="0.3">
      <c r="A32" s="18" t="s">
        <v>339</v>
      </c>
      <c r="B32" s="18" t="s">
        <v>240</v>
      </c>
      <c r="C32" s="19" t="s">
        <v>241</v>
      </c>
      <c r="D32" s="18" t="s">
        <v>340</v>
      </c>
      <c r="E32" s="19" t="s">
        <v>341</v>
      </c>
      <c r="F32" s="18" t="s">
        <v>244</v>
      </c>
      <c r="G32" s="18" t="s">
        <v>245</v>
      </c>
      <c r="H32" s="19" t="s">
        <v>175</v>
      </c>
      <c r="I32" s="18" t="s">
        <v>246</v>
      </c>
      <c r="J32" s="19" t="s">
        <v>247</v>
      </c>
      <c r="K32" s="19" t="s">
        <v>248</v>
      </c>
      <c r="L32" s="18" t="s">
        <v>164</v>
      </c>
      <c r="M32" s="18" t="s">
        <v>272</v>
      </c>
      <c r="N32" s="18" t="s">
        <v>250</v>
      </c>
      <c r="O32" s="20">
        <v>119000</v>
      </c>
      <c r="P32" s="20">
        <v>82110</v>
      </c>
      <c r="Q32" s="20">
        <v>1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31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119000</v>
      </c>
      <c r="AD32" s="20">
        <v>82110</v>
      </c>
      <c r="AE32" s="20">
        <v>0</v>
      </c>
      <c r="AF32" s="20">
        <v>0</v>
      </c>
      <c r="AG32" s="20">
        <v>119000</v>
      </c>
      <c r="AH32" s="20">
        <v>82110</v>
      </c>
      <c r="AI32" s="20">
        <v>33536</v>
      </c>
      <c r="AJ32" s="20">
        <v>3354</v>
      </c>
      <c r="AK32" s="20">
        <v>36890</v>
      </c>
    </row>
    <row r="33" spans="1:37" ht="16.5" customHeight="1" x14ac:dyDescent="0.3">
      <c r="A33" s="18" t="s">
        <v>342</v>
      </c>
      <c r="B33" s="18" t="s">
        <v>240</v>
      </c>
      <c r="C33" s="19" t="s">
        <v>241</v>
      </c>
      <c r="D33" s="18" t="s">
        <v>343</v>
      </c>
      <c r="E33" s="19" t="s">
        <v>344</v>
      </c>
      <c r="F33" s="18" t="s">
        <v>244</v>
      </c>
      <c r="G33" s="18" t="s">
        <v>245</v>
      </c>
      <c r="H33" s="19" t="s">
        <v>175</v>
      </c>
      <c r="I33" s="18" t="s">
        <v>246</v>
      </c>
      <c r="J33" s="19" t="s">
        <v>247</v>
      </c>
      <c r="K33" s="19" t="s">
        <v>248</v>
      </c>
      <c r="L33" s="18" t="s">
        <v>164</v>
      </c>
      <c r="M33" s="18" t="s">
        <v>272</v>
      </c>
      <c r="N33" s="18" t="s">
        <v>250</v>
      </c>
      <c r="O33" s="20">
        <v>119000</v>
      </c>
      <c r="P33" s="20">
        <v>82110</v>
      </c>
      <c r="Q33" s="20">
        <v>1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31</v>
      </c>
      <c r="X33" s="20">
        <v>0</v>
      </c>
      <c r="Y33" s="20">
        <v>0</v>
      </c>
      <c r="Z33" s="20">
        <v>0</v>
      </c>
      <c r="AA33" s="20">
        <v>0</v>
      </c>
      <c r="AB33" s="20">
        <v>5950</v>
      </c>
      <c r="AC33" s="20">
        <v>119000</v>
      </c>
      <c r="AD33" s="20">
        <v>82110</v>
      </c>
      <c r="AE33" s="20">
        <v>0</v>
      </c>
      <c r="AF33" s="20">
        <v>5950</v>
      </c>
      <c r="AG33" s="20">
        <v>113050</v>
      </c>
      <c r="AH33" s="20">
        <v>82110</v>
      </c>
      <c r="AI33" s="20">
        <v>28127</v>
      </c>
      <c r="AJ33" s="20">
        <v>2813</v>
      </c>
      <c r="AK33" s="20">
        <v>30940</v>
      </c>
    </row>
    <row r="34" spans="1:37" ht="16.5" customHeight="1" x14ac:dyDescent="0.3">
      <c r="A34" s="18" t="s">
        <v>345</v>
      </c>
      <c r="B34" s="18" t="s">
        <v>240</v>
      </c>
      <c r="C34" s="19" t="s">
        <v>241</v>
      </c>
      <c r="D34" s="18" t="s">
        <v>346</v>
      </c>
      <c r="E34" s="19" t="s">
        <v>253</v>
      </c>
      <c r="F34" s="18" t="s">
        <v>244</v>
      </c>
      <c r="G34" s="18" t="s">
        <v>245</v>
      </c>
      <c r="H34" s="19" t="s">
        <v>175</v>
      </c>
      <c r="I34" s="18" t="s">
        <v>246</v>
      </c>
      <c r="J34" s="19" t="s">
        <v>247</v>
      </c>
      <c r="K34" s="19" t="s">
        <v>248</v>
      </c>
      <c r="L34" s="18" t="s">
        <v>164</v>
      </c>
      <c r="M34" s="18" t="s">
        <v>272</v>
      </c>
      <c r="N34" s="18" t="s">
        <v>250</v>
      </c>
      <c r="O34" s="20">
        <v>119000</v>
      </c>
      <c r="P34" s="20">
        <v>82110</v>
      </c>
      <c r="Q34" s="20">
        <v>1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31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119000</v>
      </c>
      <c r="AD34" s="20">
        <v>82110</v>
      </c>
      <c r="AE34" s="20">
        <v>0</v>
      </c>
      <c r="AF34" s="20">
        <v>0</v>
      </c>
      <c r="AG34" s="20">
        <v>119000</v>
      </c>
      <c r="AH34" s="20">
        <v>82110</v>
      </c>
      <c r="AI34" s="20">
        <v>33536</v>
      </c>
      <c r="AJ34" s="20">
        <v>3354</v>
      </c>
      <c r="AK34" s="20">
        <v>36890</v>
      </c>
    </row>
    <row r="35" spans="1:37" ht="16.5" customHeight="1" x14ac:dyDescent="0.3">
      <c r="A35" s="18" t="s">
        <v>347</v>
      </c>
      <c r="B35" s="18" t="s">
        <v>240</v>
      </c>
      <c r="C35" s="19" t="s">
        <v>241</v>
      </c>
      <c r="D35" s="18" t="s">
        <v>348</v>
      </c>
      <c r="E35" s="19" t="s">
        <v>349</v>
      </c>
      <c r="F35" s="18" t="s">
        <v>244</v>
      </c>
      <c r="G35" s="18" t="s">
        <v>245</v>
      </c>
      <c r="H35" s="19" t="s">
        <v>175</v>
      </c>
      <c r="I35" s="18" t="s">
        <v>246</v>
      </c>
      <c r="J35" s="19" t="s">
        <v>247</v>
      </c>
      <c r="K35" s="19" t="s">
        <v>248</v>
      </c>
      <c r="L35" s="18" t="s">
        <v>164</v>
      </c>
      <c r="M35" s="18" t="s">
        <v>272</v>
      </c>
      <c r="N35" s="18" t="s">
        <v>250</v>
      </c>
      <c r="O35" s="20">
        <v>119000</v>
      </c>
      <c r="P35" s="20">
        <v>82110</v>
      </c>
      <c r="Q35" s="20">
        <v>1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31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119000</v>
      </c>
      <c r="AD35" s="20">
        <v>82110</v>
      </c>
      <c r="AE35" s="20">
        <v>0</v>
      </c>
      <c r="AF35" s="20">
        <v>0</v>
      </c>
      <c r="AG35" s="20">
        <v>119000</v>
      </c>
      <c r="AH35" s="20">
        <v>82110</v>
      </c>
      <c r="AI35" s="20">
        <v>33536</v>
      </c>
      <c r="AJ35" s="20">
        <v>3354</v>
      </c>
      <c r="AK35" s="20">
        <v>36890</v>
      </c>
    </row>
    <row r="36" spans="1:37" ht="16.5" customHeight="1" x14ac:dyDescent="0.3">
      <c r="A36" s="18" t="s">
        <v>350</v>
      </c>
      <c r="B36" s="18" t="s">
        <v>240</v>
      </c>
      <c r="C36" s="19" t="s">
        <v>241</v>
      </c>
      <c r="D36" s="18" t="s">
        <v>351</v>
      </c>
      <c r="E36" s="19" t="s">
        <v>338</v>
      </c>
      <c r="F36" s="18" t="s">
        <v>244</v>
      </c>
      <c r="G36" s="18" t="s">
        <v>245</v>
      </c>
      <c r="H36" s="19" t="s">
        <v>175</v>
      </c>
      <c r="I36" s="18" t="s">
        <v>246</v>
      </c>
      <c r="J36" s="19" t="s">
        <v>247</v>
      </c>
      <c r="K36" s="19" t="s">
        <v>248</v>
      </c>
      <c r="L36" s="18" t="s">
        <v>164</v>
      </c>
      <c r="M36" s="18" t="s">
        <v>272</v>
      </c>
      <c r="N36" s="18" t="s">
        <v>250</v>
      </c>
      <c r="O36" s="20">
        <v>119000</v>
      </c>
      <c r="P36" s="20">
        <v>82110</v>
      </c>
      <c r="Q36" s="20">
        <v>1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31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119000</v>
      </c>
      <c r="AD36" s="20">
        <v>82110</v>
      </c>
      <c r="AE36" s="20">
        <v>0</v>
      </c>
      <c r="AF36" s="20">
        <v>0</v>
      </c>
      <c r="AG36" s="20">
        <v>119000</v>
      </c>
      <c r="AH36" s="20">
        <v>82110</v>
      </c>
      <c r="AI36" s="20">
        <v>33536</v>
      </c>
      <c r="AJ36" s="20">
        <v>3354</v>
      </c>
      <c r="AK36" s="20">
        <v>36890</v>
      </c>
    </row>
    <row r="37" spans="1:37" ht="16.5" customHeight="1" x14ac:dyDescent="0.3">
      <c r="A37" s="18" t="s">
        <v>352</v>
      </c>
      <c r="B37" s="18" t="s">
        <v>240</v>
      </c>
      <c r="C37" s="19" t="s">
        <v>241</v>
      </c>
      <c r="D37" s="18" t="s">
        <v>353</v>
      </c>
      <c r="E37" s="19" t="s">
        <v>354</v>
      </c>
      <c r="F37" s="18" t="s">
        <v>244</v>
      </c>
      <c r="G37" s="18" t="s">
        <v>245</v>
      </c>
      <c r="H37" s="19" t="s">
        <v>175</v>
      </c>
      <c r="I37" s="18" t="s">
        <v>246</v>
      </c>
      <c r="J37" s="19" t="s">
        <v>247</v>
      </c>
      <c r="K37" s="19" t="s">
        <v>248</v>
      </c>
      <c r="L37" s="18" t="s">
        <v>164</v>
      </c>
      <c r="M37" s="18" t="s">
        <v>272</v>
      </c>
      <c r="N37" s="18" t="s">
        <v>250</v>
      </c>
      <c r="O37" s="20">
        <v>119000</v>
      </c>
      <c r="P37" s="20">
        <v>82110</v>
      </c>
      <c r="Q37" s="20">
        <v>1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31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119000</v>
      </c>
      <c r="AD37" s="20">
        <v>82110</v>
      </c>
      <c r="AE37" s="20">
        <v>0</v>
      </c>
      <c r="AF37" s="20">
        <v>0</v>
      </c>
      <c r="AG37" s="20">
        <v>119000</v>
      </c>
      <c r="AH37" s="20">
        <v>82110</v>
      </c>
      <c r="AI37" s="20">
        <v>33536</v>
      </c>
      <c r="AJ37" s="20">
        <v>3354</v>
      </c>
      <c r="AK37" s="20">
        <v>36890</v>
      </c>
    </row>
    <row r="38" spans="1:37" ht="16.5" customHeight="1" x14ac:dyDescent="0.3">
      <c r="A38" s="18" t="s">
        <v>355</v>
      </c>
      <c r="B38" s="18" t="s">
        <v>240</v>
      </c>
      <c r="C38" s="19" t="s">
        <v>241</v>
      </c>
      <c r="D38" s="18" t="s">
        <v>356</v>
      </c>
      <c r="E38" s="19" t="s">
        <v>357</v>
      </c>
      <c r="F38" s="18" t="s">
        <v>244</v>
      </c>
      <c r="G38" s="18" t="s">
        <v>245</v>
      </c>
      <c r="H38" s="19" t="s">
        <v>175</v>
      </c>
      <c r="I38" s="18" t="s">
        <v>246</v>
      </c>
      <c r="J38" s="19" t="s">
        <v>247</v>
      </c>
      <c r="K38" s="19" t="s">
        <v>248</v>
      </c>
      <c r="L38" s="18" t="s">
        <v>164</v>
      </c>
      <c r="M38" s="18" t="s">
        <v>272</v>
      </c>
      <c r="N38" s="18" t="s">
        <v>250</v>
      </c>
      <c r="O38" s="20">
        <v>119000</v>
      </c>
      <c r="P38" s="20">
        <v>82110</v>
      </c>
      <c r="Q38" s="20">
        <v>1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31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119000</v>
      </c>
      <c r="AD38" s="20">
        <v>82110</v>
      </c>
      <c r="AE38" s="20">
        <v>0</v>
      </c>
      <c r="AF38" s="20">
        <v>0</v>
      </c>
      <c r="AG38" s="20">
        <v>119000</v>
      </c>
      <c r="AH38" s="20">
        <v>82110</v>
      </c>
      <c r="AI38" s="20">
        <v>33536</v>
      </c>
      <c r="AJ38" s="20">
        <v>3354</v>
      </c>
      <c r="AK38" s="20">
        <v>36890</v>
      </c>
    </row>
    <row r="39" spans="1:37" ht="16.5" customHeight="1" x14ac:dyDescent="0.3">
      <c r="A39" s="18" t="s">
        <v>358</v>
      </c>
      <c r="B39" s="18" t="s">
        <v>240</v>
      </c>
      <c r="C39" s="19" t="s">
        <v>241</v>
      </c>
      <c r="D39" s="18" t="s">
        <v>359</v>
      </c>
      <c r="E39" s="19" t="s">
        <v>335</v>
      </c>
      <c r="F39" s="18" t="s">
        <v>244</v>
      </c>
      <c r="G39" s="18" t="s">
        <v>245</v>
      </c>
      <c r="H39" s="19" t="s">
        <v>175</v>
      </c>
      <c r="I39" s="18" t="s">
        <v>246</v>
      </c>
      <c r="J39" s="19" t="s">
        <v>247</v>
      </c>
      <c r="K39" s="19" t="s">
        <v>248</v>
      </c>
      <c r="L39" s="18" t="s">
        <v>164</v>
      </c>
      <c r="M39" s="18" t="s">
        <v>272</v>
      </c>
      <c r="N39" s="18" t="s">
        <v>250</v>
      </c>
      <c r="O39" s="20">
        <v>119000</v>
      </c>
      <c r="P39" s="20">
        <v>82110</v>
      </c>
      <c r="Q39" s="20">
        <v>1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31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119000</v>
      </c>
      <c r="AD39" s="20">
        <v>82110</v>
      </c>
      <c r="AE39" s="20">
        <v>0</v>
      </c>
      <c r="AF39" s="20">
        <v>0</v>
      </c>
      <c r="AG39" s="20">
        <v>119000</v>
      </c>
      <c r="AH39" s="20">
        <v>82110</v>
      </c>
      <c r="AI39" s="20">
        <v>33536</v>
      </c>
      <c r="AJ39" s="20">
        <v>3354</v>
      </c>
      <c r="AK39" s="20">
        <v>36890</v>
      </c>
    </row>
    <row r="40" spans="1:37" ht="16.5" customHeight="1" x14ac:dyDescent="0.3">
      <c r="A40" s="18" t="s">
        <v>360</v>
      </c>
      <c r="B40" s="18" t="s">
        <v>240</v>
      </c>
      <c r="C40" s="19" t="s">
        <v>241</v>
      </c>
      <c r="D40" s="18" t="s">
        <v>361</v>
      </c>
      <c r="E40" s="19" t="s">
        <v>362</v>
      </c>
      <c r="F40" s="18" t="s">
        <v>244</v>
      </c>
      <c r="G40" s="18" t="s">
        <v>245</v>
      </c>
      <c r="H40" s="19" t="s">
        <v>175</v>
      </c>
      <c r="I40" s="18" t="s">
        <v>246</v>
      </c>
      <c r="J40" s="19" t="s">
        <v>247</v>
      </c>
      <c r="K40" s="19" t="s">
        <v>248</v>
      </c>
      <c r="L40" s="18" t="s">
        <v>164</v>
      </c>
      <c r="M40" s="18" t="s">
        <v>272</v>
      </c>
      <c r="N40" s="18" t="s">
        <v>250</v>
      </c>
      <c r="O40" s="20">
        <v>119000</v>
      </c>
      <c r="P40" s="20">
        <v>82110</v>
      </c>
      <c r="Q40" s="20">
        <v>1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31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119000</v>
      </c>
      <c r="AD40" s="20">
        <v>82110</v>
      </c>
      <c r="AE40" s="20">
        <v>0</v>
      </c>
      <c r="AF40" s="20">
        <v>0</v>
      </c>
      <c r="AG40" s="20">
        <v>119000</v>
      </c>
      <c r="AH40" s="20">
        <v>82110</v>
      </c>
      <c r="AI40" s="20">
        <v>33536</v>
      </c>
      <c r="AJ40" s="20">
        <v>3354</v>
      </c>
      <c r="AK40" s="20">
        <v>36890</v>
      </c>
    </row>
    <row r="41" spans="1:37" ht="16.5" customHeight="1" x14ac:dyDescent="0.3">
      <c r="A41" s="18" t="s">
        <v>363</v>
      </c>
      <c r="B41" s="18" t="s">
        <v>240</v>
      </c>
      <c r="C41" s="19" t="s">
        <v>241</v>
      </c>
      <c r="D41" s="18" t="s">
        <v>364</v>
      </c>
      <c r="E41" s="19" t="s">
        <v>365</v>
      </c>
      <c r="F41" s="18" t="s">
        <v>244</v>
      </c>
      <c r="G41" s="18" t="s">
        <v>245</v>
      </c>
      <c r="H41" s="19" t="s">
        <v>175</v>
      </c>
      <c r="I41" s="18" t="s">
        <v>246</v>
      </c>
      <c r="J41" s="19" t="s">
        <v>247</v>
      </c>
      <c r="K41" s="19" t="s">
        <v>248</v>
      </c>
      <c r="L41" s="18" t="s">
        <v>164</v>
      </c>
      <c r="M41" s="18" t="s">
        <v>272</v>
      </c>
      <c r="N41" s="18" t="s">
        <v>250</v>
      </c>
      <c r="O41" s="20">
        <v>119000</v>
      </c>
      <c r="P41" s="20">
        <v>82110</v>
      </c>
      <c r="Q41" s="20">
        <v>1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31</v>
      </c>
      <c r="X41" s="20">
        <v>0</v>
      </c>
      <c r="Y41" s="20">
        <v>0</v>
      </c>
      <c r="Z41" s="20">
        <v>0</v>
      </c>
      <c r="AA41" s="20">
        <v>0</v>
      </c>
      <c r="AB41" s="20">
        <v>5950</v>
      </c>
      <c r="AC41" s="20">
        <v>119000</v>
      </c>
      <c r="AD41" s="20">
        <v>82110</v>
      </c>
      <c r="AE41" s="20">
        <v>0</v>
      </c>
      <c r="AF41" s="20">
        <v>5950</v>
      </c>
      <c r="AG41" s="20">
        <v>113050</v>
      </c>
      <c r="AH41" s="20">
        <v>82110</v>
      </c>
      <c r="AI41" s="20">
        <v>28127</v>
      </c>
      <c r="AJ41" s="20">
        <v>2813</v>
      </c>
      <c r="AK41" s="20">
        <v>30940</v>
      </c>
    </row>
    <row r="42" spans="1:37" ht="16.5" customHeight="1" x14ac:dyDescent="0.3">
      <c r="A42" s="18" t="s">
        <v>366</v>
      </c>
      <c r="B42" s="18" t="s">
        <v>240</v>
      </c>
      <c r="C42" s="19" t="s">
        <v>241</v>
      </c>
      <c r="D42" s="18" t="s">
        <v>367</v>
      </c>
      <c r="E42" s="19" t="s">
        <v>368</v>
      </c>
      <c r="F42" s="18" t="s">
        <v>244</v>
      </c>
      <c r="G42" s="18" t="s">
        <v>245</v>
      </c>
      <c r="H42" s="19" t="s">
        <v>175</v>
      </c>
      <c r="I42" s="18" t="s">
        <v>246</v>
      </c>
      <c r="J42" s="19" t="s">
        <v>247</v>
      </c>
      <c r="K42" s="19" t="s">
        <v>248</v>
      </c>
      <c r="L42" s="18" t="s">
        <v>164</v>
      </c>
      <c r="M42" s="18" t="s">
        <v>272</v>
      </c>
      <c r="N42" s="18" t="s">
        <v>250</v>
      </c>
      <c r="O42" s="20">
        <v>119000</v>
      </c>
      <c r="P42" s="20">
        <v>82110</v>
      </c>
      <c r="Q42" s="20">
        <v>1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31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119000</v>
      </c>
      <c r="AD42" s="20">
        <v>82110</v>
      </c>
      <c r="AE42" s="20">
        <v>0</v>
      </c>
      <c r="AF42" s="20">
        <v>0</v>
      </c>
      <c r="AG42" s="20">
        <v>119000</v>
      </c>
      <c r="AH42" s="20">
        <v>82110</v>
      </c>
      <c r="AI42" s="20">
        <v>33536</v>
      </c>
      <c r="AJ42" s="20">
        <v>3354</v>
      </c>
      <c r="AK42" s="20">
        <v>36890</v>
      </c>
    </row>
    <row r="43" spans="1:37" ht="16.5" customHeight="1" x14ac:dyDescent="0.3">
      <c r="A43" s="18" t="s">
        <v>369</v>
      </c>
      <c r="B43" s="18" t="s">
        <v>240</v>
      </c>
      <c r="C43" s="19" t="s">
        <v>241</v>
      </c>
      <c r="D43" s="18" t="s">
        <v>370</v>
      </c>
      <c r="E43" s="19" t="s">
        <v>371</v>
      </c>
      <c r="F43" s="18" t="s">
        <v>244</v>
      </c>
      <c r="G43" s="18" t="s">
        <v>245</v>
      </c>
      <c r="H43" s="19" t="s">
        <v>175</v>
      </c>
      <c r="I43" s="18" t="s">
        <v>246</v>
      </c>
      <c r="J43" s="19" t="s">
        <v>247</v>
      </c>
      <c r="K43" s="19" t="s">
        <v>248</v>
      </c>
      <c r="L43" s="18" t="s">
        <v>164</v>
      </c>
      <c r="M43" s="18" t="s">
        <v>272</v>
      </c>
      <c r="N43" s="18" t="s">
        <v>250</v>
      </c>
      <c r="O43" s="20">
        <v>119000</v>
      </c>
      <c r="P43" s="20">
        <v>82110</v>
      </c>
      <c r="Q43" s="20">
        <v>1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31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119000</v>
      </c>
      <c r="AD43" s="20">
        <v>82110</v>
      </c>
      <c r="AE43" s="20">
        <v>0</v>
      </c>
      <c r="AF43" s="20">
        <v>0</v>
      </c>
      <c r="AG43" s="20">
        <v>119000</v>
      </c>
      <c r="AH43" s="20">
        <v>82110</v>
      </c>
      <c r="AI43" s="20">
        <v>33536</v>
      </c>
      <c r="AJ43" s="20">
        <v>3354</v>
      </c>
      <c r="AK43" s="20">
        <v>36890</v>
      </c>
    </row>
    <row r="44" spans="1:37" ht="16.5" customHeight="1" x14ac:dyDescent="0.3">
      <c r="A44" s="18" t="s">
        <v>372</v>
      </c>
      <c r="B44" s="18" t="s">
        <v>240</v>
      </c>
      <c r="C44" s="19" t="s">
        <v>241</v>
      </c>
      <c r="D44" s="18" t="s">
        <v>373</v>
      </c>
      <c r="E44" s="19" t="s">
        <v>374</v>
      </c>
      <c r="F44" s="18" t="s">
        <v>244</v>
      </c>
      <c r="G44" s="18" t="s">
        <v>245</v>
      </c>
      <c r="H44" s="19" t="s">
        <v>175</v>
      </c>
      <c r="I44" s="18" t="s">
        <v>246</v>
      </c>
      <c r="J44" s="19" t="s">
        <v>247</v>
      </c>
      <c r="K44" s="19" t="s">
        <v>248</v>
      </c>
      <c r="L44" s="18" t="s">
        <v>164</v>
      </c>
      <c r="M44" s="18" t="s">
        <v>272</v>
      </c>
      <c r="N44" s="18" t="s">
        <v>250</v>
      </c>
      <c r="O44" s="20">
        <v>119000</v>
      </c>
      <c r="P44" s="20">
        <v>82110</v>
      </c>
      <c r="Q44" s="20">
        <v>1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31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119000</v>
      </c>
      <c r="AD44" s="20">
        <v>82110</v>
      </c>
      <c r="AE44" s="20">
        <v>0</v>
      </c>
      <c r="AF44" s="20">
        <v>0</v>
      </c>
      <c r="AG44" s="20">
        <v>119000</v>
      </c>
      <c r="AH44" s="20">
        <v>82110</v>
      </c>
      <c r="AI44" s="20">
        <v>33536</v>
      </c>
      <c r="AJ44" s="20">
        <v>3354</v>
      </c>
      <c r="AK44" s="20">
        <v>36890</v>
      </c>
    </row>
    <row r="45" spans="1:37" ht="16.5" customHeight="1" x14ac:dyDescent="0.3">
      <c r="A45" s="18" t="s">
        <v>375</v>
      </c>
      <c r="B45" s="18" t="s">
        <v>240</v>
      </c>
      <c r="C45" s="19" t="s">
        <v>241</v>
      </c>
      <c r="D45" s="18" t="s">
        <v>376</v>
      </c>
      <c r="E45" s="19" t="s">
        <v>377</v>
      </c>
      <c r="F45" s="18" t="s">
        <v>244</v>
      </c>
      <c r="G45" s="18" t="s">
        <v>245</v>
      </c>
      <c r="H45" s="19" t="s">
        <v>175</v>
      </c>
      <c r="I45" s="18" t="s">
        <v>246</v>
      </c>
      <c r="J45" s="19" t="s">
        <v>247</v>
      </c>
      <c r="K45" s="19" t="s">
        <v>248</v>
      </c>
      <c r="L45" s="18" t="s">
        <v>164</v>
      </c>
      <c r="M45" s="18" t="s">
        <v>272</v>
      </c>
      <c r="N45" s="18" t="s">
        <v>250</v>
      </c>
      <c r="O45" s="20">
        <v>119000</v>
      </c>
      <c r="P45" s="20">
        <v>82110</v>
      </c>
      <c r="Q45" s="20">
        <v>1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31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119000</v>
      </c>
      <c r="AD45" s="20">
        <v>82110</v>
      </c>
      <c r="AE45" s="20">
        <v>0</v>
      </c>
      <c r="AF45" s="20">
        <v>0</v>
      </c>
      <c r="AG45" s="20">
        <v>119000</v>
      </c>
      <c r="AH45" s="20">
        <v>82110</v>
      </c>
      <c r="AI45" s="20">
        <v>33536</v>
      </c>
      <c r="AJ45" s="20">
        <v>3354</v>
      </c>
      <c r="AK45" s="20">
        <v>36890</v>
      </c>
    </row>
    <row r="46" spans="1:37" ht="16.5" customHeight="1" x14ac:dyDescent="0.3">
      <c r="A46" s="18" t="s">
        <v>378</v>
      </c>
      <c r="B46" s="18" t="s">
        <v>240</v>
      </c>
      <c r="C46" s="19" t="s">
        <v>241</v>
      </c>
      <c r="D46" s="18" t="s">
        <v>379</v>
      </c>
      <c r="E46" s="19" t="s">
        <v>380</v>
      </c>
      <c r="F46" s="18" t="s">
        <v>244</v>
      </c>
      <c r="G46" s="18" t="s">
        <v>245</v>
      </c>
      <c r="H46" s="19" t="s">
        <v>175</v>
      </c>
      <c r="I46" s="18" t="s">
        <v>246</v>
      </c>
      <c r="J46" s="19" t="s">
        <v>247</v>
      </c>
      <c r="K46" s="19" t="s">
        <v>248</v>
      </c>
      <c r="L46" s="18" t="s">
        <v>164</v>
      </c>
      <c r="M46" s="18" t="s">
        <v>272</v>
      </c>
      <c r="N46" s="18" t="s">
        <v>250</v>
      </c>
      <c r="O46" s="20">
        <v>119000</v>
      </c>
      <c r="P46" s="20">
        <v>82110</v>
      </c>
      <c r="Q46" s="20">
        <v>1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31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119000</v>
      </c>
      <c r="AD46" s="20">
        <v>82110</v>
      </c>
      <c r="AE46" s="20">
        <v>0</v>
      </c>
      <c r="AF46" s="20">
        <v>0</v>
      </c>
      <c r="AG46" s="20">
        <v>119000</v>
      </c>
      <c r="AH46" s="20">
        <v>82110</v>
      </c>
      <c r="AI46" s="20">
        <v>33536</v>
      </c>
      <c r="AJ46" s="20">
        <v>3354</v>
      </c>
      <c r="AK46" s="20">
        <v>36890</v>
      </c>
    </row>
    <row r="47" spans="1:37" ht="16.5" customHeight="1" x14ac:dyDescent="0.3">
      <c r="A47" s="18" t="s">
        <v>381</v>
      </c>
      <c r="B47" s="18" t="s">
        <v>240</v>
      </c>
      <c r="C47" s="19" t="s">
        <v>241</v>
      </c>
      <c r="D47" s="18" t="s">
        <v>382</v>
      </c>
      <c r="E47" s="19" t="s">
        <v>383</v>
      </c>
      <c r="F47" s="18" t="s">
        <v>244</v>
      </c>
      <c r="G47" s="18" t="s">
        <v>245</v>
      </c>
      <c r="H47" s="19" t="s">
        <v>175</v>
      </c>
      <c r="I47" s="18" t="s">
        <v>246</v>
      </c>
      <c r="J47" s="19" t="s">
        <v>247</v>
      </c>
      <c r="K47" s="19" t="s">
        <v>248</v>
      </c>
      <c r="L47" s="18" t="s">
        <v>164</v>
      </c>
      <c r="M47" s="18" t="s">
        <v>272</v>
      </c>
      <c r="N47" s="18" t="s">
        <v>250</v>
      </c>
      <c r="O47" s="20">
        <v>119000</v>
      </c>
      <c r="P47" s="20">
        <v>82110</v>
      </c>
      <c r="Q47" s="20">
        <v>1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31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119000</v>
      </c>
      <c r="AD47" s="20">
        <v>82110</v>
      </c>
      <c r="AE47" s="20">
        <v>0</v>
      </c>
      <c r="AF47" s="20">
        <v>0</v>
      </c>
      <c r="AG47" s="20">
        <v>119000</v>
      </c>
      <c r="AH47" s="20">
        <v>82110</v>
      </c>
      <c r="AI47" s="20">
        <v>33536</v>
      </c>
      <c r="AJ47" s="20">
        <v>3354</v>
      </c>
      <c r="AK47" s="20">
        <v>36890</v>
      </c>
    </row>
    <row r="48" spans="1:37" ht="16.5" customHeight="1" x14ac:dyDescent="0.3">
      <c r="A48" s="18" t="s">
        <v>384</v>
      </c>
      <c r="B48" s="18" t="s">
        <v>240</v>
      </c>
      <c r="C48" s="19" t="s">
        <v>241</v>
      </c>
      <c r="D48" s="18" t="s">
        <v>385</v>
      </c>
      <c r="E48" s="19" t="s">
        <v>386</v>
      </c>
      <c r="F48" s="18" t="s">
        <v>244</v>
      </c>
      <c r="G48" s="18" t="s">
        <v>245</v>
      </c>
      <c r="H48" s="19" t="s">
        <v>175</v>
      </c>
      <c r="I48" s="18" t="s">
        <v>246</v>
      </c>
      <c r="J48" s="19" t="s">
        <v>247</v>
      </c>
      <c r="K48" s="19" t="s">
        <v>248</v>
      </c>
      <c r="L48" s="18" t="s">
        <v>164</v>
      </c>
      <c r="M48" s="18" t="s">
        <v>272</v>
      </c>
      <c r="N48" s="18" t="s">
        <v>250</v>
      </c>
      <c r="O48" s="20">
        <v>119000</v>
      </c>
      <c r="P48" s="20">
        <v>82110</v>
      </c>
      <c r="Q48" s="20">
        <v>1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31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119000</v>
      </c>
      <c r="AD48" s="20">
        <v>82110</v>
      </c>
      <c r="AE48" s="20">
        <v>0</v>
      </c>
      <c r="AF48" s="20">
        <v>0</v>
      </c>
      <c r="AG48" s="20">
        <v>119000</v>
      </c>
      <c r="AH48" s="20">
        <v>82110</v>
      </c>
      <c r="AI48" s="20">
        <v>33536</v>
      </c>
      <c r="AJ48" s="20">
        <v>3354</v>
      </c>
      <c r="AK48" s="20">
        <v>36890</v>
      </c>
    </row>
    <row r="49" spans="1:37" ht="16.5" customHeight="1" x14ac:dyDescent="0.3">
      <c r="A49" s="18" t="s">
        <v>387</v>
      </c>
      <c r="B49" s="18" t="s">
        <v>240</v>
      </c>
      <c r="C49" s="19" t="s">
        <v>241</v>
      </c>
      <c r="D49" s="18" t="s">
        <v>388</v>
      </c>
      <c r="E49" s="19" t="s">
        <v>389</v>
      </c>
      <c r="F49" s="18" t="s">
        <v>244</v>
      </c>
      <c r="G49" s="18" t="s">
        <v>245</v>
      </c>
      <c r="H49" s="19" t="s">
        <v>175</v>
      </c>
      <c r="I49" s="18" t="s">
        <v>246</v>
      </c>
      <c r="J49" s="19" t="s">
        <v>247</v>
      </c>
      <c r="K49" s="19" t="s">
        <v>248</v>
      </c>
      <c r="L49" s="18" t="s">
        <v>164</v>
      </c>
      <c r="M49" s="18" t="s">
        <v>272</v>
      </c>
      <c r="N49" s="18" t="s">
        <v>250</v>
      </c>
      <c r="O49" s="20">
        <v>119000</v>
      </c>
      <c r="P49" s="20">
        <v>82110</v>
      </c>
      <c r="Q49" s="20">
        <v>1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31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119000</v>
      </c>
      <c r="AD49" s="20">
        <v>82110</v>
      </c>
      <c r="AE49" s="20">
        <v>0</v>
      </c>
      <c r="AF49" s="20">
        <v>0</v>
      </c>
      <c r="AG49" s="20">
        <v>119000</v>
      </c>
      <c r="AH49" s="20">
        <v>82110</v>
      </c>
      <c r="AI49" s="20">
        <v>33536</v>
      </c>
      <c r="AJ49" s="20">
        <v>3354</v>
      </c>
      <c r="AK49" s="20">
        <v>36890</v>
      </c>
    </row>
    <row r="50" spans="1:37" ht="16.5" customHeight="1" x14ac:dyDescent="0.3">
      <c r="A50" s="18" t="s">
        <v>390</v>
      </c>
      <c r="B50" s="18" t="s">
        <v>240</v>
      </c>
      <c r="C50" s="19" t="s">
        <v>241</v>
      </c>
      <c r="D50" s="18" t="s">
        <v>391</v>
      </c>
      <c r="E50" s="19" t="s">
        <v>392</v>
      </c>
      <c r="F50" s="18" t="s">
        <v>244</v>
      </c>
      <c r="G50" s="18" t="s">
        <v>245</v>
      </c>
      <c r="H50" s="19" t="s">
        <v>175</v>
      </c>
      <c r="I50" s="18" t="s">
        <v>246</v>
      </c>
      <c r="J50" s="19" t="s">
        <v>247</v>
      </c>
      <c r="K50" s="19" t="s">
        <v>248</v>
      </c>
      <c r="L50" s="18" t="s">
        <v>164</v>
      </c>
      <c r="M50" s="18" t="s">
        <v>272</v>
      </c>
      <c r="N50" s="18" t="s">
        <v>250</v>
      </c>
      <c r="O50" s="20">
        <v>119000</v>
      </c>
      <c r="P50" s="20">
        <v>82110</v>
      </c>
      <c r="Q50" s="20">
        <v>1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31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119000</v>
      </c>
      <c r="AD50" s="20">
        <v>82110</v>
      </c>
      <c r="AE50" s="20">
        <v>0</v>
      </c>
      <c r="AF50" s="20">
        <v>0</v>
      </c>
      <c r="AG50" s="20">
        <v>119000</v>
      </c>
      <c r="AH50" s="20">
        <v>82110</v>
      </c>
      <c r="AI50" s="20">
        <v>33536</v>
      </c>
      <c r="AJ50" s="20">
        <v>3354</v>
      </c>
      <c r="AK50" s="20">
        <v>36890</v>
      </c>
    </row>
    <row r="51" spans="1:37" ht="16.5" customHeight="1" x14ac:dyDescent="0.3">
      <c r="A51" s="18" t="s">
        <v>393</v>
      </c>
      <c r="B51" s="18" t="s">
        <v>240</v>
      </c>
      <c r="C51" s="19" t="s">
        <v>241</v>
      </c>
      <c r="D51" s="18" t="s">
        <v>394</v>
      </c>
      <c r="E51" s="19" t="s">
        <v>395</v>
      </c>
      <c r="F51" s="18" t="s">
        <v>244</v>
      </c>
      <c r="G51" s="18" t="s">
        <v>245</v>
      </c>
      <c r="H51" s="19" t="s">
        <v>175</v>
      </c>
      <c r="I51" s="18" t="s">
        <v>246</v>
      </c>
      <c r="J51" s="19" t="s">
        <v>247</v>
      </c>
      <c r="K51" s="19" t="s">
        <v>248</v>
      </c>
      <c r="L51" s="18" t="s">
        <v>164</v>
      </c>
      <c r="M51" s="18" t="s">
        <v>272</v>
      </c>
      <c r="N51" s="18" t="s">
        <v>250</v>
      </c>
      <c r="O51" s="20">
        <v>119000</v>
      </c>
      <c r="P51" s="20">
        <v>82110</v>
      </c>
      <c r="Q51" s="20">
        <v>1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31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119000</v>
      </c>
      <c r="AD51" s="20">
        <v>82110</v>
      </c>
      <c r="AE51" s="20">
        <v>0</v>
      </c>
      <c r="AF51" s="20">
        <v>0</v>
      </c>
      <c r="AG51" s="20">
        <v>119000</v>
      </c>
      <c r="AH51" s="20">
        <v>82110</v>
      </c>
      <c r="AI51" s="20">
        <v>33536</v>
      </c>
      <c r="AJ51" s="20">
        <v>3354</v>
      </c>
      <c r="AK51" s="20">
        <v>36890</v>
      </c>
    </row>
    <row r="52" spans="1:37" ht="16.5" customHeight="1" x14ac:dyDescent="0.3">
      <c r="A52" s="18" t="s">
        <v>396</v>
      </c>
      <c r="B52" s="18" t="s">
        <v>240</v>
      </c>
      <c r="C52" s="19" t="s">
        <v>241</v>
      </c>
      <c r="D52" s="18" t="s">
        <v>397</v>
      </c>
      <c r="E52" s="19" t="s">
        <v>398</v>
      </c>
      <c r="F52" s="18" t="s">
        <v>244</v>
      </c>
      <c r="G52" s="18" t="s">
        <v>245</v>
      </c>
      <c r="H52" s="19" t="s">
        <v>175</v>
      </c>
      <c r="I52" s="18" t="s">
        <v>246</v>
      </c>
      <c r="J52" s="19" t="s">
        <v>247</v>
      </c>
      <c r="K52" s="19" t="s">
        <v>248</v>
      </c>
      <c r="L52" s="18" t="s">
        <v>164</v>
      </c>
      <c r="M52" s="18" t="s">
        <v>272</v>
      </c>
      <c r="N52" s="18" t="s">
        <v>250</v>
      </c>
      <c r="O52" s="20">
        <v>119000</v>
      </c>
      <c r="P52" s="20">
        <v>82110</v>
      </c>
      <c r="Q52" s="20">
        <v>1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31</v>
      </c>
      <c r="X52" s="20">
        <v>0</v>
      </c>
      <c r="Y52" s="20">
        <v>0</v>
      </c>
      <c r="Z52" s="20">
        <v>0</v>
      </c>
      <c r="AA52" s="20">
        <v>0</v>
      </c>
      <c r="AB52" s="20">
        <v>5950</v>
      </c>
      <c r="AC52" s="20">
        <v>119000</v>
      </c>
      <c r="AD52" s="20">
        <v>82110</v>
      </c>
      <c r="AE52" s="20">
        <v>0</v>
      </c>
      <c r="AF52" s="20">
        <v>5950</v>
      </c>
      <c r="AG52" s="20">
        <v>113050</v>
      </c>
      <c r="AH52" s="20">
        <v>82110</v>
      </c>
      <c r="AI52" s="20">
        <v>28127</v>
      </c>
      <c r="AJ52" s="20">
        <v>2813</v>
      </c>
      <c r="AK52" s="20">
        <v>30940</v>
      </c>
    </row>
    <row r="53" spans="1:37" ht="16.5" customHeight="1" x14ac:dyDescent="0.3">
      <c r="A53" s="18" t="s">
        <v>399</v>
      </c>
      <c r="B53" s="18" t="s">
        <v>240</v>
      </c>
      <c r="C53" s="19" t="s">
        <v>241</v>
      </c>
      <c r="D53" s="18" t="s">
        <v>400</v>
      </c>
      <c r="E53" s="19" t="s">
        <v>398</v>
      </c>
      <c r="F53" s="18" t="s">
        <v>244</v>
      </c>
      <c r="G53" s="18" t="s">
        <v>245</v>
      </c>
      <c r="H53" s="19" t="s">
        <v>175</v>
      </c>
      <c r="I53" s="18" t="s">
        <v>246</v>
      </c>
      <c r="J53" s="19" t="s">
        <v>247</v>
      </c>
      <c r="K53" s="19" t="s">
        <v>248</v>
      </c>
      <c r="L53" s="18" t="s">
        <v>164</v>
      </c>
      <c r="M53" s="18" t="s">
        <v>272</v>
      </c>
      <c r="N53" s="18" t="s">
        <v>250</v>
      </c>
      <c r="O53" s="20">
        <v>119000</v>
      </c>
      <c r="P53" s="20">
        <v>82110</v>
      </c>
      <c r="Q53" s="20">
        <v>1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31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119000</v>
      </c>
      <c r="AD53" s="20">
        <v>82110</v>
      </c>
      <c r="AE53" s="20">
        <v>0</v>
      </c>
      <c r="AF53" s="20">
        <v>0</v>
      </c>
      <c r="AG53" s="20">
        <v>119000</v>
      </c>
      <c r="AH53" s="20">
        <v>82110</v>
      </c>
      <c r="AI53" s="20">
        <v>33536</v>
      </c>
      <c r="AJ53" s="20">
        <v>3354</v>
      </c>
      <c r="AK53" s="20">
        <v>36890</v>
      </c>
    </row>
    <row r="54" spans="1:37" ht="16.5" customHeight="1" x14ac:dyDescent="0.3">
      <c r="A54" s="18" t="s">
        <v>401</v>
      </c>
      <c r="B54" s="18" t="s">
        <v>240</v>
      </c>
      <c r="C54" s="19" t="s">
        <v>241</v>
      </c>
      <c r="D54" s="18" t="s">
        <v>402</v>
      </c>
      <c r="E54" s="19" t="s">
        <v>403</v>
      </c>
      <c r="F54" s="18" t="s">
        <v>244</v>
      </c>
      <c r="G54" s="18" t="s">
        <v>245</v>
      </c>
      <c r="H54" s="19" t="s">
        <v>175</v>
      </c>
      <c r="I54" s="18" t="s">
        <v>246</v>
      </c>
      <c r="J54" s="19" t="s">
        <v>247</v>
      </c>
      <c r="K54" s="19" t="s">
        <v>248</v>
      </c>
      <c r="L54" s="18" t="s">
        <v>164</v>
      </c>
      <c r="M54" s="18" t="s">
        <v>272</v>
      </c>
      <c r="N54" s="18" t="s">
        <v>250</v>
      </c>
      <c r="O54" s="20">
        <v>119000</v>
      </c>
      <c r="P54" s="20">
        <v>82110</v>
      </c>
      <c r="Q54" s="20">
        <v>1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31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119000</v>
      </c>
      <c r="AD54" s="20">
        <v>82110</v>
      </c>
      <c r="AE54" s="20">
        <v>0</v>
      </c>
      <c r="AF54" s="20">
        <v>0</v>
      </c>
      <c r="AG54" s="20">
        <v>119000</v>
      </c>
      <c r="AH54" s="20">
        <v>82110</v>
      </c>
      <c r="AI54" s="20">
        <v>33536</v>
      </c>
      <c r="AJ54" s="20">
        <v>3354</v>
      </c>
      <c r="AK54" s="20">
        <v>36890</v>
      </c>
    </row>
    <row r="55" spans="1:37" ht="16.5" customHeight="1" x14ac:dyDescent="0.3">
      <c r="A55" s="18" t="s">
        <v>404</v>
      </c>
      <c r="B55" s="18" t="s">
        <v>240</v>
      </c>
      <c r="C55" s="19" t="s">
        <v>241</v>
      </c>
      <c r="D55" s="18" t="s">
        <v>405</v>
      </c>
      <c r="E55" s="19" t="s">
        <v>406</v>
      </c>
      <c r="F55" s="18" t="s">
        <v>244</v>
      </c>
      <c r="G55" s="18" t="s">
        <v>245</v>
      </c>
      <c r="H55" s="19" t="s">
        <v>175</v>
      </c>
      <c r="I55" s="18" t="s">
        <v>246</v>
      </c>
      <c r="J55" s="19" t="s">
        <v>247</v>
      </c>
      <c r="K55" s="19" t="s">
        <v>248</v>
      </c>
      <c r="L55" s="18" t="s">
        <v>164</v>
      </c>
      <c r="M55" s="18" t="s">
        <v>272</v>
      </c>
      <c r="N55" s="18" t="s">
        <v>250</v>
      </c>
      <c r="O55" s="20">
        <v>119000</v>
      </c>
      <c r="P55" s="20">
        <v>82110</v>
      </c>
      <c r="Q55" s="20">
        <v>1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31</v>
      </c>
      <c r="X55" s="20">
        <v>19040</v>
      </c>
      <c r="Y55" s="20">
        <v>0</v>
      </c>
      <c r="Z55" s="20">
        <v>0</v>
      </c>
      <c r="AA55" s="20">
        <v>0</v>
      </c>
      <c r="AB55" s="20">
        <v>0</v>
      </c>
      <c r="AC55" s="20">
        <v>119000</v>
      </c>
      <c r="AD55" s="20">
        <v>82110</v>
      </c>
      <c r="AE55" s="20">
        <v>0</v>
      </c>
      <c r="AF55" s="20">
        <v>19040</v>
      </c>
      <c r="AG55" s="20">
        <v>99960</v>
      </c>
      <c r="AH55" s="20">
        <v>82110</v>
      </c>
      <c r="AI55" s="20">
        <v>16227</v>
      </c>
      <c r="AJ55" s="20">
        <v>1623</v>
      </c>
      <c r="AK55" s="20">
        <v>17850</v>
      </c>
    </row>
    <row r="56" spans="1:37" ht="16.5" customHeight="1" x14ac:dyDescent="0.3">
      <c r="A56" s="18" t="s">
        <v>407</v>
      </c>
      <c r="B56" s="18" t="s">
        <v>240</v>
      </c>
      <c r="C56" s="19" t="s">
        <v>241</v>
      </c>
      <c r="D56" s="18" t="s">
        <v>408</v>
      </c>
      <c r="E56" s="19" t="s">
        <v>409</v>
      </c>
      <c r="F56" s="18" t="s">
        <v>244</v>
      </c>
      <c r="G56" s="18" t="s">
        <v>245</v>
      </c>
      <c r="H56" s="19" t="s">
        <v>175</v>
      </c>
      <c r="I56" s="18" t="s">
        <v>246</v>
      </c>
      <c r="J56" s="19" t="s">
        <v>247</v>
      </c>
      <c r="K56" s="19" t="s">
        <v>248</v>
      </c>
      <c r="L56" s="18" t="s">
        <v>164</v>
      </c>
      <c r="M56" s="18" t="s">
        <v>272</v>
      </c>
      <c r="N56" s="18" t="s">
        <v>250</v>
      </c>
      <c r="O56" s="20">
        <v>119000</v>
      </c>
      <c r="P56" s="20">
        <v>82110</v>
      </c>
      <c r="Q56" s="20">
        <v>1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31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119000</v>
      </c>
      <c r="AD56" s="20">
        <v>82110</v>
      </c>
      <c r="AE56" s="20">
        <v>0</v>
      </c>
      <c r="AF56" s="20">
        <v>0</v>
      </c>
      <c r="AG56" s="20">
        <v>119000</v>
      </c>
      <c r="AH56" s="20">
        <v>82110</v>
      </c>
      <c r="AI56" s="20">
        <v>33536</v>
      </c>
      <c r="AJ56" s="20">
        <v>3354</v>
      </c>
      <c r="AK56" s="20">
        <v>36890</v>
      </c>
    </row>
    <row r="57" spans="1:37" ht="16.5" customHeight="1" x14ac:dyDescent="0.3">
      <c r="A57" s="18" t="s">
        <v>410</v>
      </c>
      <c r="B57" s="18" t="s">
        <v>240</v>
      </c>
      <c r="C57" s="19" t="s">
        <v>241</v>
      </c>
      <c r="D57" s="18" t="s">
        <v>411</v>
      </c>
      <c r="E57" s="19" t="s">
        <v>412</v>
      </c>
      <c r="F57" s="18" t="s">
        <v>244</v>
      </c>
      <c r="G57" s="18" t="s">
        <v>245</v>
      </c>
      <c r="H57" s="19" t="s">
        <v>175</v>
      </c>
      <c r="I57" s="18" t="s">
        <v>246</v>
      </c>
      <c r="J57" s="19" t="s">
        <v>247</v>
      </c>
      <c r="K57" s="19" t="s">
        <v>314</v>
      </c>
      <c r="L57" s="18" t="s">
        <v>164</v>
      </c>
      <c r="M57" s="18" t="s">
        <v>272</v>
      </c>
      <c r="N57" s="18" t="s">
        <v>250</v>
      </c>
      <c r="O57" s="20">
        <v>119000</v>
      </c>
      <c r="P57" s="20">
        <v>82110</v>
      </c>
      <c r="Q57" s="20">
        <v>1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31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119000</v>
      </c>
      <c r="AD57" s="20">
        <v>82110</v>
      </c>
      <c r="AE57" s="20">
        <v>0</v>
      </c>
      <c r="AF57" s="20">
        <v>0</v>
      </c>
      <c r="AG57" s="20">
        <v>119000</v>
      </c>
      <c r="AH57" s="20">
        <v>82110</v>
      </c>
      <c r="AI57" s="20">
        <v>33536</v>
      </c>
      <c r="AJ57" s="20">
        <v>3354</v>
      </c>
      <c r="AK57" s="20">
        <v>36890</v>
      </c>
    </row>
    <row r="58" spans="1:37" ht="16.5" customHeight="1" x14ac:dyDescent="0.3">
      <c r="A58" s="18" t="s">
        <v>413</v>
      </c>
      <c r="B58" s="18" t="s">
        <v>240</v>
      </c>
      <c r="C58" s="19" t="s">
        <v>241</v>
      </c>
      <c r="D58" s="18" t="s">
        <v>414</v>
      </c>
      <c r="E58" s="19" t="s">
        <v>415</v>
      </c>
      <c r="F58" s="18" t="s">
        <v>244</v>
      </c>
      <c r="G58" s="18" t="s">
        <v>245</v>
      </c>
      <c r="H58" s="19" t="s">
        <v>175</v>
      </c>
      <c r="I58" s="18" t="s">
        <v>246</v>
      </c>
      <c r="J58" s="19" t="s">
        <v>247</v>
      </c>
      <c r="K58" s="19" t="s">
        <v>248</v>
      </c>
      <c r="L58" s="18" t="s">
        <v>164</v>
      </c>
      <c r="M58" s="18" t="s">
        <v>272</v>
      </c>
      <c r="N58" s="18" t="s">
        <v>250</v>
      </c>
      <c r="O58" s="20">
        <v>119000</v>
      </c>
      <c r="P58" s="20">
        <v>82110</v>
      </c>
      <c r="Q58" s="20">
        <v>1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31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119000</v>
      </c>
      <c r="AD58" s="20">
        <v>82110</v>
      </c>
      <c r="AE58" s="20">
        <v>0</v>
      </c>
      <c r="AF58" s="20">
        <v>0</v>
      </c>
      <c r="AG58" s="20">
        <v>119000</v>
      </c>
      <c r="AH58" s="20">
        <v>82110</v>
      </c>
      <c r="AI58" s="20">
        <v>33536</v>
      </c>
      <c r="AJ58" s="20">
        <v>3354</v>
      </c>
      <c r="AK58" s="20">
        <v>36890</v>
      </c>
    </row>
    <row r="59" spans="1:37" ht="16.5" customHeight="1" x14ac:dyDescent="0.3">
      <c r="A59" s="18" t="s">
        <v>416</v>
      </c>
      <c r="B59" s="18" t="s">
        <v>240</v>
      </c>
      <c r="C59" s="19" t="s">
        <v>241</v>
      </c>
      <c r="D59" s="18" t="s">
        <v>417</v>
      </c>
      <c r="E59" s="19" t="s">
        <v>418</v>
      </c>
      <c r="F59" s="18" t="s">
        <v>244</v>
      </c>
      <c r="G59" s="18" t="s">
        <v>245</v>
      </c>
      <c r="H59" s="19" t="s">
        <v>175</v>
      </c>
      <c r="I59" s="18" t="s">
        <v>246</v>
      </c>
      <c r="J59" s="19" t="s">
        <v>247</v>
      </c>
      <c r="K59" s="19" t="s">
        <v>248</v>
      </c>
      <c r="L59" s="18" t="s">
        <v>164</v>
      </c>
      <c r="M59" s="18" t="s">
        <v>272</v>
      </c>
      <c r="N59" s="18" t="s">
        <v>250</v>
      </c>
      <c r="O59" s="20">
        <v>119000</v>
      </c>
      <c r="P59" s="20">
        <v>82110</v>
      </c>
      <c r="Q59" s="20">
        <v>1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31</v>
      </c>
      <c r="X59" s="20">
        <v>0</v>
      </c>
      <c r="Y59" s="20">
        <v>10000</v>
      </c>
      <c r="Z59" s="20">
        <v>0</v>
      </c>
      <c r="AA59" s="20">
        <v>0</v>
      </c>
      <c r="AB59" s="20">
        <v>0</v>
      </c>
      <c r="AC59" s="20">
        <v>119000</v>
      </c>
      <c r="AD59" s="20">
        <v>82110</v>
      </c>
      <c r="AE59" s="20">
        <v>0</v>
      </c>
      <c r="AF59" s="20">
        <v>10000</v>
      </c>
      <c r="AG59" s="20">
        <v>109000</v>
      </c>
      <c r="AH59" s="20">
        <v>82110</v>
      </c>
      <c r="AI59" s="20">
        <v>24445</v>
      </c>
      <c r="AJ59" s="20">
        <v>2445</v>
      </c>
      <c r="AK59" s="20">
        <v>26890</v>
      </c>
    </row>
    <row r="60" spans="1:37" ht="16.5" customHeight="1" x14ac:dyDescent="0.3">
      <c r="A60" s="18" t="s">
        <v>419</v>
      </c>
      <c r="B60" s="18" t="s">
        <v>240</v>
      </c>
      <c r="C60" s="19" t="s">
        <v>241</v>
      </c>
      <c r="D60" s="18" t="s">
        <v>420</v>
      </c>
      <c r="E60" s="19" t="s">
        <v>421</v>
      </c>
      <c r="F60" s="18" t="s">
        <v>244</v>
      </c>
      <c r="G60" s="18" t="s">
        <v>245</v>
      </c>
      <c r="H60" s="19" t="s">
        <v>175</v>
      </c>
      <c r="I60" s="18" t="s">
        <v>246</v>
      </c>
      <c r="J60" s="19" t="s">
        <v>247</v>
      </c>
      <c r="K60" s="19" t="s">
        <v>248</v>
      </c>
      <c r="L60" s="18" t="s">
        <v>164</v>
      </c>
      <c r="M60" s="18" t="s">
        <v>272</v>
      </c>
      <c r="N60" s="18" t="s">
        <v>250</v>
      </c>
      <c r="O60" s="20">
        <v>119000</v>
      </c>
      <c r="P60" s="20">
        <v>82110</v>
      </c>
      <c r="Q60" s="20">
        <v>1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31</v>
      </c>
      <c r="X60" s="20">
        <v>19040</v>
      </c>
      <c r="Y60" s="20">
        <v>0</v>
      </c>
      <c r="Z60" s="20">
        <v>0</v>
      </c>
      <c r="AA60" s="20">
        <v>0</v>
      </c>
      <c r="AB60" s="20">
        <v>0</v>
      </c>
      <c r="AC60" s="20">
        <v>119000</v>
      </c>
      <c r="AD60" s="20">
        <v>82110</v>
      </c>
      <c r="AE60" s="20">
        <v>0</v>
      </c>
      <c r="AF60" s="20">
        <v>19040</v>
      </c>
      <c r="AG60" s="20">
        <v>99960</v>
      </c>
      <c r="AH60" s="20">
        <v>82110</v>
      </c>
      <c r="AI60" s="20">
        <v>16227</v>
      </c>
      <c r="AJ60" s="20">
        <v>1623</v>
      </c>
      <c r="AK60" s="20">
        <v>17850</v>
      </c>
    </row>
    <row r="61" spans="1:37" ht="16.5" customHeight="1" x14ac:dyDescent="0.3">
      <c r="A61" s="18" t="s">
        <v>422</v>
      </c>
      <c r="B61" s="18" t="s">
        <v>240</v>
      </c>
      <c r="C61" s="19" t="s">
        <v>241</v>
      </c>
      <c r="D61" s="18" t="s">
        <v>423</v>
      </c>
      <c r="E61" s="19" t="s">
        <v>424</v>
      </c>
      <c r="F61" s="18" t="s">
        <v>244</v>
      </c>
      <c r="G61" s="18" t="s">
        <v>245</v>
      </c>
      <c r="H61" s="19" t="s">
        <v>175</v>
      </c>
      <c r="I61" s="18" t="s">
        <v>246</v>
      </c>
      <c r="J61" s="19" t="s">
        <v>247</v>
      </c>
      <c r="K61" s="19" t="s">
        <v>248</v>
      </c>
      <c r="L61" s="18" t="s">
        <v>164</v>
      </c>
      <c r="M61" s="18" t="s">
        <v>272</v>
      </c>
      <c r="N61" s="18" t="s">
        <v>250</v>
      </c>
      <c r="O61" s="20">
        <v>119000</v>
      </c>
      <c r="P61" s="20">
        <v>82110</v>
      </c>
      <c r="Q61" s="20">
        <v>1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31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119000</v>
      </c>
      <c r="AD61" s="20">
        <v>82110</v>
      </c>
      <c r="AE61" s="20">
        <v>0</v>
      </c>
      <c r="AF61" s="20">
        <v>0</v>
      </c>
      <c r="AG61" s="20">
        <v>119000</v>
      </c>
      <c r="AH61" s="20">
        <v>82110</v>
      </c>
      <c r="AI61" s="20">
        <v>33536</v>
      </c>
      <c r="AJ61" s="20">
        <v>3354</v>
      </c>
      <c r="AK61" s="20">
        <v>36890</v>
      </c>
    </row>
    <row r="62" spans="1:37" ht="16.5" customHeight="1" x14ac:dyDescent="0.3">
      <c r="A62" s="18" t="s">
        <v>425</v>
      </c>
      <c r="B62" s="18" t="s">
        <v>240</v>
      </c>
      <c r="C62" s="19" t="s">
        <v>241</v>
      </c>
      <c r="D62" s="18" t="s">
        <v>426</v>
      </c>
      <c r="E62" s="19" t="s">
        <v>427</v>
      </c>
      <c r="F62" s="18" t="s">
        <v>244</v>
      </c>
      <c r="G62" s="18" t="s">
        <v>245</v>
      </c>
      <c r="H62" s="19" t="s">
        <v>175</v>
      </c>
      <c r="I62" s="18" t="s">
        <v>246</v>
      </c>
      <c r="J62" s="19" t="s">
        <v>247</v>
      </c>
      <c r="K62" s="19" t="s">
        <v>248</v>
      </c>
      <c r="L62" s="18" t="s">
        <v>164</v>
      </c>
      <c r="M62" s="18" t="s">
        <v>272</v>
      </c>
      <c r="N62" s="18" t="s">
        <v>250</v>
      </c>
      <c r="O62" s="20">
        <v>119000</v>
      </c>
      <c r="P62" s="20">
        <v>82110</v>
      </c>
      <c r="Q62" s="20">
        <v>1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31</v>
      </c>
      <c r="X62" s="20">
        <v>0</v>
      </c>
      <c r="Y62" s="20">
        <v>0</v>
      </c>
      <c r="Z62" s="20">
        <v>0</v>
      </c>
      <c r="AA62" s="20">
        <v>0</v>
      </c>
      <c r="AB62" s="20">
        <v>5950</v>
      </c>
      <c r="AC62" s="20">
        <v>119000</v>
      </c>
      <c r="AD62" s="20">
        <v>82110</v>
      </c>
      <c r="AE62" s="20">
        <v>0</v>
      </c>
      <c r="AF62" s="20">
        <v>5950</v>
      </c>
      <c r="AG62" s="20">
        <v>113050</v>
      </c>
      <c r="AH62" s="20">
        <v>82110</v>
      </c>
      <c r="AI62" s="20">
        <v>28127</v>
      </c>
      <c r="AJ62" s="20">
        <v>2813</v>
      </c>
      <c r="AK62" s="20">
        <v>30940</v>
      </c>
    </row>
    <row r="63" spans="1:37" ht="16.5" customHeight="1" x14ac:dyDescent="0.3">
      <c r="A63" s="18" t="s">
        <v>428</v>
      </c>
      <c r="B63" s="18" t="s">
        <v>240</v>
      </c>
      <c r="C63" s="19" t="s">
        <v>241</v>
      </c>
      <c r="D63" s="18" t="s">
        <v>429</v>
      </c>
      <c r="E63" s="19" t="s">
        <v>427</v>
      </c>
      <c r="F63" s="18" t="s">
        <v>244</v>
      </c>
      <c r="G63" s="18" t="s">
        <v>245</v>
      </c>
      <c r="H63" s="19" t="s">
        <v>175</v>
      </c>
      <c r="I63" s="18" t="s">
        <v>246</v>
      </c>
      <c r="J63" s="19" t="s">
        <v>247</v>
      </c>
      <c r="K63" s="19" t="s">
        <v>248</v>
      </c>
      <c r="L63" s="18" t="s">
        <v>164</v>
      </c>
      <c r="M63" s="18" t="s">
        <v>272</v>
      </c>
      <c r="N63" s="18" t="s">
        <v>250</v>
      </c>
      <c r="O63" s="20">
        <v>119000</v>
      </c>
      <c r="P63" s="20">
        <v>82110</v>
      </c>
      <c r="Q63" s="20">
        <v>1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31</v>
      </c>
      <c r="X63" s="20">
        <v>0</v>
      </c>
      <c r="Y63" s="20">
        <v>0</v>
      </c>
      <c r="Z63" s="20">
        <v>0</v>
      </c>
      <c r="AA63" s="20">
        <v>0</v>
      </c>
      <c r="AB63" s="20">
        <v>5950</v>
      </c>
      <c r="AC63" s="20">
        <v>119000</v>
      </c>
      <c r="AD63" s="20">
        <v>82110</v>
      </c>
      <c r="AE63" s="20">
        <v>0</v>
      </c>
      <c r="AF63" s="20">
        <v>5950</v>
      </c>
      <c r="AG63" s="20">
        <v>113050</v>
      </c>
      <c r="AH63" s="20">
        <v>82110</v>
      </c>
      <c r="AI63" s="20">
        <v>28127</v>
      </c>
      <c r="AJ63" s="20">
        <v>2813</v>
      </c>
      <c r="AK63" s="20">
        <v>30940</v>
      </c>
    </row>
    <row r="64" spans="1:37" ht="16.5" customHeight="1" x14ac:dyDescent="0.3">
      <c r="A64" s="18" t="s">
        <v>430</v>
      </c>
      <c r="B64" s="18" t="s">
        <v>240</v>
      </c>
      <c r="C64" s="19" t="s">
        <v>241</v>
      </c>
      <c r="D64" s="18" t="s">
        <v>431</v>
      </c>
      <c r="E64" s="19" t="s">
        <v>432</v>
      </c>
      <c r="F64" s="18" t="s">
        <v>244</v>
      </c>
      <c r="G64" s="18" t="s">
        <v>245</v>
      </c>
      <c r="H64" s="19" t="s">
        <v>175</v>
      </c>
      <c r="I64" s="18" t="s">
        <v>246</v>
      </c>
      <c r="J64" s="19" t="s">
        <v>247</v>
      </c>
      <c r="K64" s="19" t="s">
        <v>248</v>
      </c>
      <c r="L64" s="18" t="s">
        <v>164</v>
      </c>
      <c r="M64" s="18" t="s">
        <v>272</v>
      </c>
      <c r="N64" s="18" t="s">
        <v>250</v>
      </c>
      <c r="O64" s="20">
        <v>119000</v>
      </c>
      <c r="P64" s="20">
        <v>82110</v>
      </c>
      <c r="Q64" s="20">
        <v>1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31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119000</v>
      </c>
      <c r="AD64" s="20">
        <v>82110</v>
      </c>
      <c r="AE64" s="20">
        <v>0</v>
      </c>
      <c r="AF64" s="20">
        <v>0</v>
      </c>
      <c r="AG64" s="20">
        <v>119000</v>
      </c>
      <c r="AH64" s="20">
        <v>82110</v>
      </c>
      <c r="AI64" s="20">
        <v>33536</v>
      </c>
      <c r="AJ64" s="20">
        <v>3354</v>
      </c>
      <c r="AK64" s="20">
        <v>36890</v>
      </c>
    </row>
    <row r="65" spans="1:37" ht="16.5" customHeight="1" x14ac:dyDescent="0.3">
      <c r="A65" s="18" t="s">
        <v>433</v>
      </c>
      <c r="B65" s="18" t="s">
        <v>240</v>
      </c>
      <c r="C65" s="19" t="s">
        <v>241</v>
      </c>
      <c r="D65" s="18" t="s">
        <v>434</v>
      </c>
      <c r="E65" s="19" t="s">
        <v>435</v>
      </c>
      <c r="F65" s="18" t="s">
        <v>244</v>
      </c>
      <c r="G65" s="18" t="s">
        <v>245</v>
      </c>
      <c r="H65" s="19" t="s">
        <v>175</v>
      </c>
      <c r="I65" s="18" t="s">
        <v>246</v>
      </c>
      <c r="J65" s="19" t="s">
        <v>247</v>
      </c>
      <c r="K65" s="19" t="s">
        <v>248</v>
      </c>
      <c r="L65" s="18" t="s">
        <v>164</v>
      </c>
      <c r="M65" s="18" t="s">
        <v>272</v>
      </c>
      <c r="N65" s="18" t="s">
        <v>250</v>
      </c>
      <c r="O65" s="20">
        <v>119000</v>
      </c>
      <c r="P65" s="20">
        <v>82110</v>
      </c>
      <c r="Q65" s="20">
        <v>1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31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119000</v>
      </c>
      <c r="AD65" s="20">
        <v>82110</v>
      </c>
      <c r="AE65" s="20">
        <v>0</v>
      </c>
      <c r="AF65" s="20">
        <v>0</v>
      </c>
      <c r="AG65" s="20">
        <v>119000</v>
      </c>
      <c r="AH65" s="20">
        <v>82110</v>
      </c>
      <c r="AI65" s="20">
        <v>33536</v>
      </c>
      <c r="AJ65" s="20">
        <v>3354</v>
      </c>
      <c r="AK65" s="20">
        <v>36890</v>
      </c>
    </row>
    <row r="66" spans="1:37" ht="16.5" customHeight="1" x14ac:dyDescent="0.3">
      <c r="A66" s="18" t="s">
        <v>436</v>
      </c>
      <c r="B66" s="18" t="s">
        <v>240</v>
      </c>
      <c r="C66" s="19" t="s">
        <v>241</v>
      </c>
      <c r="D66" s="18" t="s">
        <v>437</v>
      </c>
      <c r="E66" s="19" t="s">
        <v>438</v>
      </c>
      <c r="F66" s="18" t="s">
        <v>244</v>
      </c>
      <c r="G66" s="18" t="s">
        <v>245</v>
      </c>
      <c r="H66" s="19" t="s">
        <v>175</v>
      </c>
      <c r="I66" s="18" t="s">
        <v>246</v>
      </c>
      <c r="J66" s="19" t="s">
        <v>247</v>
      </c>
      <c r="K66" s="19" t="s">
        <v>248</v>
      </c>
      <c r="L66" s="18" t="s">
        <v>164</v>
      </c>
      <c r="M66" s="18" t="s">
        <v>272</v>
      </c>
      <c r="N66" s="18" t="s">
        <v>250</v>
      </c>
      <c r="O66" s="20">
        <v>119000</v>
      </c>
      <c r="P66" s="20">
        <v>82110</v>
      </c>
      <c r="Q66" s="20">
        <v>1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31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119000</v>
      </c>
      <c r="AD66" s="20">
        <v>82110</v>
      </c>
      <c r="AE66" s="20">
        <v>0</v>
      </c>
      <c r="AF66" s="20">
        <v>0</v>
      </c>
      <c r="AG66" s="20">
        <v>119000</v>
      </c>
      <c r="AH66" s="20">
        <v>82110</v>
      </c>
      <c r="AI66" s="20">
        <v>33536</v>
      </c>
      <c r="AJ66" s="20">
        <v>3354</v>
      </c>
      <c r="AK66" s="20">
        <v>36890</v>
      </c>
    </row>
    <row r="67" spans="1:37" ht="16.5" customHeight="1" x14ac:dyDescent="0.3">
      <c r="A67" s="18" t="s">
        <v>439</v>
      </c>
      <c r="B67" s="18" t="s">
        <v>240</v>
      </c>
      <c r="C67" s="19" t="s">
        <v>241</v>
      </c>
      <c r="D67" s="18" t="s">
        <v>440</v>
      </c>
      <c r="E67" s="19" t="s">
        <v>441</v>
      </c>
      <c r="F67" s="18" t="s">
        <v>244</v>
      </c>
      <c r="G67" s="18" t="s">
        <v>245</v>
      </c>
      <c r="H67" s="19" t="s">
        <v>175</v>
      </c>
      <c r="I67" s="18" t="s">
        <v>246</v>
      </c>
      <c r="J67" s="19" t="s">
        <v>247</v>
      </c>
      <c r="K67" s="19" t="s">
        <v>248</v>
      </c>
      <c r="L67" s="18" t="s">
        <v>164</v>
      </c>
      <c r="M67" s="18" t="s">
        <v>272</v>
      </c>
      <c r="N67" s="18" t="s">
        <v>250</v>
      </c>
      <c r="O67" s="20">
        <v>119000</v>
      </c>
      <c r="P67" s="20">
        <v>82110</v>
      </c>
      <c r="Q67" s="20">
        <v>1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31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119000</v>
      </c>
      <c r="AD67" s="20">
        <v>82110</v>
      </c>
      <c r="AE67" s="20">
        <v>0</v>
      </c>
      <c r="AF67" s="20">
        <v>0</v>
      </c>
      <c r="AG67" s="20">
        <v>119000</v>
      </c>
      <c r="AH67" s="20">
        <v>82110</v>
      </c>
      <c r="AI67" s="20">
        <v>33536</v>
      </c>
      <c r="AJ67" s="20">
        <v>3354</v>
      </c>
      <c r="AK67" s="20">
        <v>36890</v>
      </c>
    </row>
    <row r="68" spans="1:37" ht="16.5" customHeight="1" x14ac:dyDescent="0.3">
      <c r="A68" s="18" t="s">
        <v>442</v>
      </c>
      <c r="B68" s="18" t="s">
        <v>240</v>
      </c>
      <c r="C68" s="19" t="s">
        <v>241</v>
      </c>
      <c r="D68" s="18" t="s">
        <v>443</v>
      </c>
      <c r="E68" s="19" t="s">
        <v>444</v>
      </c>
      <c r="F68" s="18" t="s">
        <v>244</v>
      </c>
      <c r="G68" s="18" t="s">
        <v>245</v>
      </c>
      <c r="H68" s="19" t="s">
        <v>175</v>
      </c>
      <c r="I68" s="18" t="s">
        <v>246</v>
      </c>
      <c r="J68" s="19" t="s">
        <v>247</v>
      </c>
      <c r="K68" s="19" t="s">
        <v>248</v>
      </c>
      <c r="L68" s="18" t="s">
        <v>164</v>
      </c>
      <c r="M68" s="18" t="s">
        <v>272</v>
      </c>
      <c r="N68" s="18" t="s">
        <v>250</v>
      </c>
      <c r="O68" s="20">
        <v>119000</v>
      </c>
      <c r="P68" s="20">
        <v>82110</v>
      </c>
      <c r="Q68" s="20">
        <v>1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31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119000</v>
      </c>
      <c r="AD68" s="20">
        <v>82110</v>
      </c>
      <c r="AE68" s="20">
        <v>0</v>
      </c>
      <c r="AF68" s="20">
        <v>0</v>
      </c>
      <c r="AG68" s="20">
        <v>119000</v>
      </c>
      <c r="AH68" s="20">
        <v>82110</v>
      </c>
      <c r="AI68" s="20">
        <v>33536</v>
      </c>
      <c r="AJ68" s="20">
        <v>3354</v>
      </c>
      <c r="AK68" s="20">
        <v>36890</v>
      </c>
    </row>
    <row r="69" spans="1:37" ht="16.5" customHeight="1" x14ac:dyDescent="0.3">
      <c r="A69" s="18" t="s">
        <v>445</v>
      </c>
      <c r="B69" s="18" t="s">
        <v>240</v>
      </c>
      <c r="C69" s="19" t="s">
        <v>241</v>
      </c>
      <c r="D69" s="18" t="s">
        <v>446</v>
      </c>
      <c r="E69" s="19" t="s">
        <v>447</v>
      </c>
      <c r="F69" s="18" t="s">
        <v>244</v>
      </c>
      <c r="G69" s="18" t="s">
        <v>245</v>
      </c>
      <c r="H69" s="19" t="s">
        <v>175</v>
      </c>
      <c r="I69" s="18" t="s">
        <v>246</v>
      </c>
      <c r="J69" s="19" t="s">
        <v>247</v>
      </c>
      <c r="K69" s="19" t="s">
        <v>248</v>
      </c>
      <c r="L69" s="18" t="s">
        <v>164</v>
      </c>
      <c r="M69" s="18" t="s">
        <v>272</v>
      </c>
      <c r="N69" s="18" t="s">
        <v>250</v>
      </c>
      <c r="O69" s="20">
        <v>119000</v>
      </c>
      <c r="P69" s="20">
        <v>82110</v>
      </c>
      <c r="Q69" s="20">
        <v>1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31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119000</v>
      </c>
      <c r="AD69" s="20">
        <v>82110</v>
      </c>
      <c r="AE69" s="20">
        <v>0</v>
      </c>
      <c r="AF69" s="20">
        <v>0</v>
      </c>
      <c r="AG69" s="20">
        <v>119000</v>
      </c>
      <c r="AH69" s="20">
        <v>82110</v>
      </c>
      <c r="AI69" s="20">
        <v>33536</v>
      </c>
      <c r="AJ69" s="20">
        <v>3354</v>
      </c>
      <c r="AK69" s="20">
        <v>36890</v>
      </c>
    </row>
    <row r="70" spans="1:37" ht="16.5" customHeight="1" x14ac:dyDescent="0.3">
      <c r="A70" s="18" t="s">
        <v>448</v>
      </c>
      <c r="B70" s="18" t="s">
        <v>240</v>
      </c>
      <c r="C70" s="19" t="s">
        <v>241</v>
      </c>
      <c r="D70" s="18" t="s">
        <v>449</v>
      </c>
      <c r="E70" s="19" t="s">
        <v>450</v>
      </c>
      <c r="F70" s="18" t="s">
        <v>244</v>
      </c>
      <c r="G70" s="18" t="s">
        <v>245</v>
      </c>
      <c r="H70" s="19" t="s">
        <v>175</v>
      </c>
      <c r="I70" s="18" t="s">
        <v>246</v>
      </c>
      <c r="J70" s="19" t="s">
        <v>247</v>
      </c>
      <c r="K70" s="19" t="s">
        <v>248</v>
      </c>
      <c r="L70" s="18" t="s">
        <v>164</v>
      </c>
      <c r="M70" s="18" t="s">
        <v>272</v>
      </c>
      <c r="N70" s="18" t="s">
        <v>250</v>
      </c>
      <c r="O70" s="20">
        <v>119000</v>
      </c>
      <c r="P70" s="20">
        <v>82110</v>
      </c>
      <c r="Q70" s="20">
        <v>1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31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119000</v>
      </c>
      <c r="AD70" s="20">
        <v>82110</v>
      </c>
      <c r="AE70" s="20">
        <v>0</v>
      </c>
      <c r="AF70" s="20">
        <v>0</v>
      </c>
      <c r="AG70" s="20">
        <v>119000</v>
      </c>
      <c r="AH70" s="20">
        <v>82110</v>
      </c>
      <c r="AI70" s="20">
        <v>33536</v>
      </c>
      <c r="AJ70" s="20">
        <v>3354</v>
      </c>
      <c r="AK70" s="20">
        <v>36890</v>
      </c>
    </row>
    <row r="71" spans="1:37" ht="16.5" customHeight="1" x14ac:dyDescent="0.3">
      <c r="A71" s="18" t="s">
        <v>451</v>
      </c>
      <c r="B71" s="18" t="s">
        <v>240</v>
      </c>
      <c r="C71" s="19" t="s">
        <v>241</v>
      </c>
      <c r="D71" s="18" t="s">
        <v>452</v>
      </c>
      <c r="E71" s="19" t="s">
        <v>453</v>
      </c>
      <c r="F71" s="18" t="s">
        <v>244</v>
      </c>
      <c r="G71" s="18" t="s">
        <v>245</v>
      </c>
      <c r="H71" s="19" t="s">
        <v>175</v>
      </c>
      <c r="I71" s="18" t="s">
        <v>246</v>
      </c>
      <c r="J71" s="19" t="s">
        <v>247</v>
      </c>
      <c r="K71" s="19" t="s">
        <v>314</v>
      </c>
      <c r="L71" s="18" t="s">
        <v>164</v>
      </c>
      <c r="M71" s="18" t="s">
        <v>272</v>
      </c>
      <c r="N71" s="18" t="s">
        <v>250</v>
      </c>
      <c r="O71" s="20">
        <v>119000</v>
      </c>
      <c r="P71" s="20">
        <v>82110</v>
      </c>
      <c r="Q71" s="20">
        <v>1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31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119000</v>
      </c>
      <c r="AD71" s="20">
        <v>82110</v>
      </c>
      <c r="AE71" s="20">
        <v>0</v>
      </c>
      <c r="AF71" s="20">
        <v>0</v>
      </c>
      <c r="AG71" s="20">
        <v>119000</v>
      </c>
      <c r="AH71" s="20">
        <v>82110</v>
      </c>
      <c r="AI71" s="20">
        <v>33536</v>
      </c>
      <c r="AJ71" s="20">
        <v>3354</v>
      </c>
      <c r="AK71" s="20">
        <v>36890</v>
      </c>
    </row>
    <row r="72" spans="1:37" ht="16.5" customHeight="1" x14ac:dyDescent="0.3">
      <c r="A72" s="18" t="s">
        <v>454</v>
      </c>
      <c r="B72" s="18" t="s">
        <v>240</v>
      </c>
      <c r="C72" s="19" t="s">
        <v>241</v>
      </c>
      <c r="D72" s="18" t="s">
        <v>455</v>
      </c>
      <c r="E72" s="19" t="s">
        <v>338</v>
      </c>
      <c r="F72" s="18" t="s">
        <v>244</v>
      </c>
      <c r="G72" s="18" t="s">
        <v>245</v>
      </c>
      <c r="H72" s="19" t="s">
        <v>175</v>
      </c>
      <c r="I72" s="18" t="s">
        <v>246</v>
      </c>
      <c r="J72" s="19" t="s">
        <v>247</v>
      </c>
      <c r="K72" s="19" t="s">
        <v>248</v>
      </c>
      <c r="L72" s="18" t="s">
        <v>164</v>
      </c>
      <c r="M72" s="18" t="s">
        <v>272</v>
      </c>
      <c r="N72" s="18" t="s">
        <v>250</v>
      </c>
      <c r="O72" s="20">
        <v>119000</v>
      </c>
      <c r="P72" s="20">
        <v>82110</v>
      </c>
      <c r="Q72" s="20">
        <v>1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31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119000</v>
      </c>
      <c r="AD72" s="20">
        <v>82110</v>
      </c>
      <c r="AE72" s="20">
        <v>0</v>
      </c>
      <c r="AF72" s="20">
        <v>0</v>
      </c>
      <c r="AG72" s="20">
        <v>119000</v>
      </c>
      <c r="AH72" s="20">
        <v>82110</v>
      </c>
      <c r="AI72" s="20">
        <v>33536</v>
      </c>
      <c r="AJ72" s="20">
        <v>3354</v>
      </c>
      <c r="AK72" s="20">
        <v>36890</v>
      </c>
    </row>
    <row r="73" spans="1:37" ht="16.5" customHeight="1" x14ac:dyDescent="0.3">
      <c r="A73" s="18" t="s">
        <v>456</v>
      </c>
      <c r="B73" s="18" t="s">
        <v>240</v>
      </c>
      <c r="C73" s="19" t="s">
        <v>241</v>
      </c>
      <c r="D73" s="18" t="s">
        <v>457</v>
      </c>
      <c r="E73" s="19" t="s">
        <v>458</v>
      </c>
      <c r="F73" s="18" t="s">
        <v>244</v>
      </c>
      <c r="G73" s="18" t="s">
        <v>245</v>
      </c>
      <c r="H73" s="19" t="s">
        <v>175</v>
      </c>
      <c r="I73" s="18" t="s">
        <v>246</v>
      </c>
      <c r="J73" s="19" t="s">
        <v>247</v>
      </c>
      <c r="K73" s="19" t="s">
        <v>248</v>
      </c>
      <c r="L73" s="18" t="s">
        <v>164</v>
      </c>
      <c r="M73" s="18" t="s">
        <v>272</v>
      </c>
      <c r="N73" s="18" t="s">
        <v>250</v>
      </c>
      <c r="O73" s="20">
        <v>119000</v>
      </c>
      <c r="P73" s="20">
        <v>82110</v>
      </c>
      <c r="Q73" s="20">
        <v>1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31</v>
      </c>
      <c r="X73" s="20">
        <v>19040</v>
      </c>
      <c r="Y73" s="20">
        <v>0</v>
      </c>
      <c r="Z73" s="20">
        <v>0</v>
      </c>
      <c r="AA73" s="20">
        <v>0</v>
      </c>
      <c r="AB73" s="20">
        <v>0</v>
      </c>
      <c r="AC73" s="20">
        <v>119000</v>
      </c>
      <c r="AD73" s="20">
        <v>82110</v>
      </c>
      <c r="AE73" s="20">
        <v>0</v>
      </c>
      <c r="AF73" s="20">
        <v>19040</v>
      </c>
      <c r="AG73" s="20">
        <v>99960</v>
      </c>
      <c r="AH73" s="20">
        <v>82110</v>
      </c>
      <c r="AI73" s="20">
        <v>16227</v>
      </c>
      <c r="AJ73" s="20">
        <v>1623</v>
      </c>
      <c r="AK73" s="20">
        <v>17850</v>
      </c>
    </row>
    <row r="74" spans="1:37" ht="16.5" customHeight="1" x14ac:dyDescent="0.3">
      <c r="A74" s="18" t="s">
        <v>459</v>
      </c>
      <c r="B74" s="18" t="s">
        <v>240</v>
      </c>
      <c r="C74" s="19" t="s">
        <v>241</v>
      </c>
      <c r="D74" s="18" t="s">
        <v>460</v>
      </c>
      <c r="E74" s="19" t="s">
        <v>461</v>
      </c>
      <c r="F74" s="18" t="s">
        <v>244</v>
      </c>
      <c r="G74" s="18" t="s">
        <v>245</v>
      </c>
      <c r="H74" s="19" t="s">
        <v>175</v>
      </c>
      <c r="I74" s="18" t="s">
        <v>246</v>
      </c>
      <c r="J74" s="19" t="s">
        <v>247</v>
      </c>
      <c r="K74" s="19" t="s">
        <v>248</v>
      </c>
      <c r="L74" s="18" t="s">
        <v>164</v>
      </c>
      <c r="M74" s="18" t="s">
        <v>272</v>
      </c>
      <c r="N74" s="18" t="s">
        <v>250</v>
      </c>
      <c r="O74" s="20">
        <v>119000</v>
      </c>
      <c r="P74" s="20">
        <v>82110</v>
      </c>
      <c r="Q74" s="20">
        <v>1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31</v>
      </c>
      <c r="X74" s="20">
        <v>0</v>
      </c>
      <c r="Y74" s="20">
        <v>5000</v>
      </c>
      <c r="Z74" s="20">
        <v>0</v>
      </c>
      <c r="AA74" s="20">
        <v>0</v>
      </c>
      <c r="AB74" s="20">
        <v>5700</v>
      </c>
      <c r="AC74" s="20">
        <v>119000</v>
      </c>
      <c r="AD74" s="20">
        <v>82110</v>
      </c>
      <c r="AE74" s="20">
        <v>0</v>
      </c>
      <c r="AF74" s="20">
        <v>10700</v>
      </c>
      <c r="AG74" s="20">
        <v>108300</v>
      </c>
      <c r="AH74" s="20">
        <v>82110</v>
      </c>
      <c r="AI74" s="20">
        <v>23809</v>
      </c>
      <c r="AJ74" s="20">
        <v>2381</v>
      </c>
      <c r="AK74" s="20">
        <v>26190</v>
      </c>
    </row>
    <row r="75" spans="1:37" ht="16.5" customHeight="1" x14ac:dyDescent="0.3">
      <c r="A75" s="18" t="s">
        <v>462</v>
      </c>
      <c r="B75" s="18" t="s">
        <v>240</v>
      </c>
      <c r="C75" s="19" t="s">
        <v>241</v>
      </c>
      <c r="D75" s="18" t="s">
        <v>463</v>
      </c>
      <c r="E75" s="19" t="s">
        <v>464</v>
      </c>
      <c r="F75" s="18" t="s">
        <v>244</v>
      </c>
      <c r="G75" s="18" t="s">
        <v>245</v>
      </c>
      <c r="H75" s="19" t="s">
        <v>175</v>
      </c>
      <c r="I75" s="18" t="s">
        <v>246</v>
      </c>
      <c r="J75" s="19" t="s">
        <v>247</v>
      </c>
      <c r="K75" s="19" t="s">
        <v>248</v>
      </c>
      <c r="L75" s="18" t="s">
        <v>164</v>
      </c>
      <c r="M75" s="18" t="s">
        <v>272</v>
      </c>
      <c r="N75" s="18" t="s">
        <v>250</v>
      </c>
      <c r="O75" s="20">
        <v>119000</v>
      </c>
      <c r="P75" s="20">
        <v>82110</v>
      </c>
      <c r="Q75" s="20">
        <v>1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31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119000</v>
      </c>
      <c r="AD75" s="20">
        <v>82110</v>
      </c>
      <c r="AE75" s="20">
        <v>0</v>
      </c>
      <c r="AF75" s="20">
        <v>0</v>
      </c>
      <c r="AG75" s="20">
        <v>119000</v>
      </c>
      <c r="AH75" s="20">
        <v>82110</v>
      </c>
      <c r="AI75" s="20">
        <v>33536</v>
      </c>
      <c r="AJ75" s="20">
        <v>3354</v>
      </c>
      <c r="AK75" s="20">
        <v>36890</v>
      </c>
    </row>
    <row r="76" spans="1:37" ht="16.5" customHeight="1" x14ac:dyDescent="0.3">
      <c r="A76" s="18" t="s">
        <v>465</v>
      </c>
      <c r="B76" s="18" t="s">
        <v>240</v>
      </c>
      <c r="C76" s="19" t="s">
        <v>241</v>
      </c>
      <c r="D76" s="18" t="s">
        <v>466</v>
      </c>
      <c r="E76" s="19" t="s">
        <v>467</v>
      </c>
      <c r="F76" s="18" t="s">
        <v>244</v>
      </c>
      <c r="G76" s="18" t="s">
        <v>245</v>
      </c>
      <c r="H76" s="19" t="s">
        <v>175</v>
      </c>
      <c r="I76" s="18" t="s">
        <v>246</v>
      </c>
      <c r="J76" s="19" t="s">
        <v>247</v>
      </c>
      <c r="K76" s="19" t="s">
        <v>248</v>
      </c>
      <c r="L76" s="18" t="s">
        <v>164</v>
      </c>
      <c r="M76" s="18" t="s">
        <v>272</v>
      </c>
      <c r="N76" s="18" t="s">
        <v>250</v>
      </c>
      <c r="O76" s="20">
        <v>119000</v>
      </c>
      <c r="P76" s="20">
        <v>82110</v>
      </c>
      <c r="Q76" s="20">
        <v>1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31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119000</v>
      </c>
      <c r="AD76" s="20">
        <v>82110</v>
      </c>
      <c r="AE76" s="20">
        <v>0</v>
      </c>
      <c r="AF76" s="20">
        <v>0</v>
      </c>
      <c r="AG76" s="20">
        <v>119000</v>
      </c>
      <c r="AH76" s="20">
        <v>82110</v>
      </c>
      <c r="AI76" s="20">
        <v>33536</v>
      </c>
      <c r="AJ76" s="20">
        <v>3354</v>
      </c>
      <c r="AK76" s="20">
        <v>36890</v>
      </c>
    </row>
    <row r="77" spans="1:37" ht="16.5" customHeight="1" x14ac:dyDescent="0.3">
      <c r="A77" s="18" t="s">
        <v>468</v>
      </c>
      <c r="B77" s="18" t="s">
        <v>240</v>
      </c>
      <c r="C77" s="19" t="s">
        <v>241</v>
      </c>
      <c r="D77" s="18" t="s">
        <v>469</v>
      </c>
      <c r="E77" s="19" t="s">
        <v>470</v>
      </c>
      <c r="F77" s="18" t="s">
        <v>244</v>
      </c>
      <c r="G77" s="18" t="s">
        <v>245</v>
      </c>
      <c r="H77" s="19" t="s">
        <v>175</v>
      </c>
      <c r="I77" s="18" t="s">
        <v>246</v>
      </c>
      <c r="J77" s="19" t="s">
        <v>247</v>
      </c>
      <c r="K77" s="19" t="s">
        <v>248</v>
      </c>
      <c r="L77" s="18" t="s">
        <v>164</v>
      </c>
      <c r="M77" s="18" t="s">
        <v>272</v>
      </c>
      <c r="N77" s="18" t="s">
        <v>250</v>
      </c>
      <c r="O77" s="20">
        <v>119000</v>
      </c>
      <c r="P77" s="20">
        <v>82110</v>
      </c>
      <c r="Q77" s="20">
        <v>1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31</v>
      </c>
      <c r="X77" s="20">
        <v>0</v>
      </c>
      <c r="Y77" s="20">
        <v>10000</v>
      </c>
      <c r="Z77" s="20">
        <v>0</v>
      </c>
      <c r="AA77" s="20">
        <v>0</v>
      </c>
      <c r="AB77" s="20">
        <v>0</v>
      </c>
      <c r="AC77" s="20">
        <v>119000</v>
      </c>
      <c r="AD77" s="20">
        <v>82110</v>
      </c>
      <c r="AE77" s="20">
        <v>0</v>
      </c>
      <c r="AF77" s="20">
        <v>10000</v>
      </c>
      <c r="AG77" s="20">
        <v>109000</v>
      </c>
      <c r="AH77" s="20">
        <v>82110</v>
      </c>
      <c r="AI77" s="20">
        <v>24445</v>
      </c>
      <c r="AJ77" s="20">
        <v>2445</v>
      </c>
      <c r="AK77" s="20">
        <v>26890</v>
      </c>
    </row>
    <row r="78" spans="1:37" ht="16.5" customHeight="1" x14ac:dyDescent="0.3">
      <c r="A78" s="18" t="s">
        <v>471</v>
      </c>
      <c r="B78" s="18" t="s">
        <v>240</v>
      </c>
      <c r="C78" s="19" t="s">
        <v>241</v>
      </c>
      <c r="D78" s="18" t="s">
        <v>472</v>
      </c>
      <c r="E78" s="19" t="s">
        <v>473</v>
      </c>
      <c r="F78" s="18" t="s">
        <v>244</v>
      </c>
      <c r="G78" s="18" t="s">
        <v>245</v>
      </c>
      <c r="H78" s="19" t="s">
        <v>175</v>
      </c>
      <c r="I78" s="18" t="s">
        <v>246</v>
      </c>
      <c r="J78" s="19" t="s">
        <v>247</v>
      </c>
      <c r="K78" s="19" t="s">
        <v>248</v>
      </c>
      <c r="L78" s="18" t="s">
        <v>164</v>
      </c>
      <c r="M78" s="18" t="s">
        <v>272</v>
      </c>
      <c r="N78" s="18" t="s">
        <v>250</v>
      </c>
      <c r="O78" s="20">
        <v>119000</v>
      </c>
      <c r="P78" s="20">
        <v>82110</v>
      </c>
      <c r="Q78" s="20">
        <v>1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31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119000</v>
      </c>
      <c r="AD78" s="20">
        <v>82110</v>
      </c>
      <c r="AE78" s="20">
        <v>0</v>
      </c>
      <c r="AF78" s="20">
        <v>0</v>
      </c>
      <c r="AG78" s="20">
        <v>119000</v>
      </c>
      <c r="AH78" s="20">
        <v>82110</v>
      </c>
      <c r="AI78" s="20">
        <v>33536</v>
      </c>
      <c r="AJ78" s="20">
        <v>3354</v>
      </c>
      <c r="AK78" s="20">
        <v>36890</v>
      </c>
    </row>
    <row r="79" spans="1:37" ht="16.5" customHeight="1" x14ac:dyDescent="0.3">
      <c r="A79" s="18" t="s">
        <v>474</v>
      </c>
      <c r="B79" s="18" t="s">
        <v>240</v>
      </c>
      <c r="C79" s="19" t="s">
        <v>241</v>
      </c>
      <c r="D79" s="18" t="s">
        <v>475</v>
      </c>
      <c r="E79" s="19" t="s">
        <v>476</v>
      </c>
      <c r="F79" s="18" t="s">
        <v>244</v>
      </c>
      <c r="G79" s="18" t="s">
        <v>245</v>
      </c>
      <c r="H79" s="19" t="s">
        <v>175</v>
      </c>
      <c r="I79" s="18" t="s">
        <v>246</v>
      </c>
      <c r="J79" s="19" t="s">
        <v>247</v>
      </c>
      <c r="K79" s="19" t="s">
        <v>248</v>
      </c>
      <c r="L79" s="18" t="s">
        <v>164</v>
      </c>
      <c r="M79" s="18" t="s">
        <v>272</v>
      </c>
      <c r="N79" s="18" t="s">
        <v>250</v>
      </c>
      <c r="O79" s="20">
        <v>119000</v>
      </c>
      <c r="P79" s="20">
        <v>82110</v>
      </c>
      <c r="Q79" s="20">
        <v>1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31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119000</v>
      </c>
      <c r="AD79" s="20">
        <v>82110</v>
      </c>
      <c r="AE79" s="20">
        <v>0</v>
      </c>
      <c r="AF79" s="20">
        <v>0</v>
      </c>
      <c r="AG79" s="20">
        <v>119000</v>
      </c>
      <c r="AH79" s="20">
        <v>82110</v>
      </c>
      <c r="AI79" s="20">
        <v>33536</v>
      </c>
      <c r="AJ79" s="20">
        <v>3354</v>
      </c>
      <c r="AK79" s="20">
        <v>36890</v>
      </c>
    </row>
    <row r="80" spans="1:37" ht="16.5" customHeight="1" x14ac:dyDescent="0.3">
      <c r="A80" s="18" t="s">
        <v>477</v>
      </c>
      <c r="B80" s="18" t="s">
        <v>240</v>
      </c>
      <c r="C80" s="19" t="s">
        <v>241</v>
      </c>
      <c r="D80" s="18" t="s">
        <v>478</v>
      </c>
      <c r="E80" s="19" t="s">
        <v>479</v>
      </c>
      <c r="F80" s="18" t="s">
        <v>244</v>
      </c>
      <c r="G80" s="18" t="s">
        <v>245</v>
      </c>
      <c r="H80" s="19" t="s">
        <v>175</v>
      </c>
      <c r="I80" s="18" t="s">
        <v>246</v>
      </c>
      <c r="J80" s="19" t="s">
        <v>247</v>
      </c>
      <c r="K80" s="19" t="s">
        <v>314</v>
      </c>
      <c r="L80" s="18" t="s">
        <v>164</v>
      </c>
      <c r="M80" s="18" t="s">
        <v>272</v>
      </c>
      <c r="N80" s="18" t="s">
        <v>250</v>
      </c>
      <c r="O80" s="20">
        <v>119000</v>
      </c>
      <c r="P80" s="20">
        <v>82110</v>
      </c>
      <c r="Q80" s="20">
        <v>2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31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238000</v>
      </c>
      <c r="AD80" s="20">
        <v>164220</v>
      </c>
      <c r="AE80" s="20">
        <v>0</v>
      </c>
      <c r="AF80" s="20">
        <v>0</v>
      </c>
      <c r="AG80" s="20">
        <v>238000</v>
      </c>
      <c r="AH80" s="20">
        <v>164220</v>
      </c>
      <c r="AI80" s="20">
        <v>67073</v>
      </c>
      <c r="AJ80" s="20">
        <v>6707</v>
      </c>
      <c r="AK80" s="20">
        <v>73780</v>
      </c>
    </row>
    <row r="81" spans="1:37" ht="16.5" customHeight="1" x14ac:dyDescent="0.3">
      <c r="A81" s="18" t="s">
        <v>480</v>
      </c>
      <c r="B81" s="18" t="s">
        <v>240</v>
      </c>
      <c r="C81" s="19" t="s">
        <v>241</v>
      </c>
      <c r="D81" s="18" t="s">
        <v>481</v>
      </c>
      <c r="E81" s="19" t="s">
        <v>335</v>
      </c>
      <c r="F81" s="18" t="s">
        <v>244</v>
      </c>
      <c r="G81" s="18" t="s">
        <v>245</v>
      </c>
      <c r="H81" s="19" t="s">
        <v>175</v>
      </c>
      <c r="I81" s="18" t="s">
        <v>246</v>
      </c>
      <c r="J81" s="19" t="s">
        <v>247</v>
      </c>
      <c r="K81" s="19" t="s">
        <v>248</v>
      </c>
      <c r="L81" s="18" t="s">
        <v>164</v>
      </c>
      <c r="M81" s="18" t="s">
        <v>272</v>
      </c>
      <c r="N81" s="18" t="s">
        <v>250</v>
      </c>
      <c r="O81" s="20">
        <v>119000</v>
      </c>
      <c r="P81" s="20">
        <v>82110</v>
      </c>
      <c r="Q81" s="20">
        <v>1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31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119000</v>
      </c>
      <c r="AD81" s="20">
        <v>82110</v>
      </c>
      <c r="AE81" s="20">
        <v>0</v>
      </c>
      <c r="AF81" s="20">
        <v>0</v>
      </c>
      <c r="AG81" s="20">
        <v>119000</v>
      </c>
      <c r="AH81" s="20">
        <v>82110</v>
      </c>
      <c r="AI81" s="20">
        <v>33536</v>
      </c>
      <c r="AJ81" s="20">
        <v>3354</v>
      </c>
      <c r="AK81" s="20">
        <v>36890</v>
      </c>
    </row>
    <row r="82" spans="1:37" ht="16.5" customHeight="1" x14ac:dyDescent="0.3">
      <c r="A82" s="18" t="s">
        <v>482</v>
      </c>
      <c r="B82" s="18" t="s">
        <v>240</v>
      </c>
      <c r="C82" s="19" t="s">
        <v>241</v>
      </c>
      <c r="D82" s="18" t="s">
        <v>483</v>
      </c>
      <c r="E82" s="19" t="s">
        <v>284</v>
      </c>
      <c r="F82" s="18" t="s">
        <v>244</v>
      </c>
      <c r="G82" s="18" t="s">
        <v>245</v>
      </c>
      <c r="H82" s="19" t="s">
        <v>175</v>
      </c>
      <c r="I82" s="18" t="s">
        <v>246</v>
      </c>
      <c r="J82" s="19" t="s">
        <v>247</v>
      </c>
      <c r="K82" s="19" t="s">
        <v>248</v>
      </c>
      <c r="L82" s="18" t="s">
        <v>164</v>
      </c>
      <c r="M82" s="18" t="s">
        <v>272</v>
      </c>
      <c r="N82" s="18" t="s">
        <v>250</v>
      </c>
      <c r="O82" s="20">
        <v>119000</v>
      </c>
      <c r="P82" s="20">
        <v>82110</v>
      </c>
      <c r="Q82" s="20">
        <v>1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31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119000</v>
      </c>
      <c r="AD82" s="20">
        <v>82110</v>
      </c>
      <c r="AE82" s="20">
        <v>0</v>
      </c>
      <c r="AF82" s="20">
        <v>0</v>
      </c>
      <c r="AG82" s="20">
        <v>119000</v>
      </c>
      <c r="AH82" s="20">
        <v>82110</v>
      </c>
      <c r="AI82" s="20">
        <v>33536</v>
      </c>
      <c r="AJ82" s="20">
        <v>3354</v>
      </c>
      <c r="AK82" s="20">
        <v>36890</v>
      </c>
    </row>
    <row r="83" spans="1:37" ht="16.5" customHeight="1" x14ac:dyDescent="0.3">
      <c r="A83" s="18" t="s">
        <v>484</v>
      </c>
      <c r="B83" s="18" t="s">
        <v>240</v>
      </c>
      <c r="C83" s="19" t="s">
        <v>241</v>
      </c>
      <c r="D83" s="18" t="s">
        <v>485</v>
      </c>
      <c r="E83" s="19" t="s">
        <v>486</v>
      </c>
      <c r="F83" s="18" t="s">
        <v>244</v>
      </c>
      <c r="G83" s="18" t="s">
        <v>245</v>
      </c>
      <c r="H83" s="19" t="s">
        <v>175</v>
      </c>
      <c r="I83" s="18" t="s">
        <v>246</v>
      </c>
      <c r="J83" s="19" t="s">
        <v>247</v>
      </c>
      <c r="K83" s="19" t="s">
        <v>248</v>
      </c>
      <c r="L83" s="18" t="s">
        <v>164</v>
      </c>
      <c r="M83" s="18" t="s">
        <v>272</v>
      </c>
      <c r="N83" s="18" t="s">
        <v>250</v>
      </c>
      <c r="O83" s="20">
        <v>119000</v>
      </c>
      <c r="P83" s="20">
        <v>82110</v>
      </c>
      <c r="Q83" s="20">
        <v>1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31</v>
      </c>
      <c r="X83" s="20">
        <v>19040</v>
      </c>
      <c r="Y83" s="20">
        <v>0</v>
      </c>
      <c r="Z83" s="20">
        <v>0</v>
      </c>
      <c r="AA83" s="20">
        <v>0</v>
      </c>
      <c r="AB83" s="20">
        <v>0</v>
      </c>
      <c r="AC83" s="20">
        <v>119000</v>
      </c>
      <c r="AD83" s="20">
        <v>82110</v>
      </c>
      <c r="AE83" s="20">
        <v>0</v>
      </c>
      <c r="AF83" s="20">
        <v>19040</v>
      </c>
      <c r="AG83" s="20">
        <v>99960</v>
      </c>
      <c r="AH83" s="20">
        <v>82110</v>
      </c>
      <c r="AI83" s="20">
        <v>16227</v>
      </c>
      <c r="AJ83" s="20">
        <v>1623</v>
      </c>
      <c r="AK83" s="20">
        <v>17850</v>
      </c>
    </row>
    <row r="84" spans="1:37" ht="16.5" customHeight="1" x14ac:dyDescent="0.3">
      <c r="A84" s="18" t="s">
        <v>487</v>
      </c>
      <c r="B84" s="18" t="s">
        <v>240</v>
      </c>
      <c r="C84" s="19" t="s">
        <v>241</v>
      </c>
      <c r="D84" s="18" t="s">
        <v>488</v>
      </c>
      <c r="E84" s="19" t="s">
        <v>489</v>
      </c>
      <c r="F84" s="18" t="s">
        <v>244</v>
      </c>
      <c r="G84" s="18" t="s">
        <v>245</v>
      </c>
      <c r="H84" s="19" t="s">
        <v>175</v>
      </c>
      <c r="I84" s="18" t="s">
        <v>246</v>
      </c>
      <c r="J84" s="19" t="s">
        <v>247</v>
      </c>
      <c r="K84" s="19" t="s">
        <v>314</v>
      </c>
      <c r="L84" s="18" t="s">
        <v>164</v>
      </c>
      <c r="M84" s="18" t="s">
        <v>272</v>
      </c>
      <c r="N84" s="18" t="s">
        <v>250</v>
      </c>
      <c r="O84" s="20">
        <v>119000</v>
      </c>
      <c r="P84" s="20">
        <v>82110</v>
      </c>
      <c r="Q84" s="20">
        <v>1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31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119000</v>
      </c>
      <c r="AD84" s="20">
        <v>82110</v>
      </c>
      <c r="AE84" s="20">
        <v>0</v>
      </c>
      <c r="AF84" s="20">
        <v>0</v>
      </c>
      <c r="AG84" s="20">
        <v>119000</v>
      </c>
      <c r="AH84" s="20">
        <v>82110</v>
      </c>
      <c r="AI84" s="20">
        <v>33536</v>
      </c>
      <c r="AJ84" s="20">
        <v>3354</v>
      </c>
      <c r="AK84" s="20">
        <v>36890</v>
      </c>
    </row>
    <row r="85" spans="1:37" ht="16.5" customHeight="1" x14ac:dyDescent="0.3">
      <c r="A85" s="18" t="s">
        <v>490</v>
      </c>
      <c r="B85" s="18" t="s">
        <v>240</v>
      </c>
      <c r="C85" s="19" t="s">
        <v>241</v>
      </c>
      <c r="D85" s="18" t="s">
        <v>491</v>
      </c>
      <c r="E85" s="19" t="s">
        <v>492</v>
      </c>
      <c r="F85" s="18" t="s">
        <v>244</v>
      </c>
      <c r="G85" s="18" t="s">
        <v>245</v>
      </c>
      <c r="H85" s="19" t="s">
        <v>175</v>
      </c>
      <c r="I85" s="18" t="s">
        <v>246</v>
      </c>
      <c r="J85" s="19" t="s">
        <v>247</v>
      </c>
      <c r="K85" s="19" t="s">
        <v>248</v>
      </c>
      <c r="L85" s="18" t="s">
        <v>164</v>
      </c>
      <c r="M85" s="18" t="s">
        <v>272</v>
      </c>
      <c r="N85" s="18" t="s">
        <v>250</v>
      </c>
      <c r="O85" s="20">
        <v>119000</v>
      </c>
      <c r="P85" s="20">
        <v>82110</v>
      </c>
      <c r="Q85" s="20">
        <v>1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31</v>
      </c>
      <c r="X85" s="20">
        <v>0</v>
      </c>
      <c r="Y85" s="20">
        <v>10000</v>
      </c>
      <c r="Z85" s="20">
        <v>0</v>
      </c>
      <c r="AA85" s="20">
        <v>0</v>
      </c>
      <c r="AB85" s="20">
        <v>0</v>
      </c>
      <c r="AC85" s="20">
        <v>119000</v>
      </c>
      <c r="AD85" s="20">
        <v>82110</v>
      </c>
      <c r="AE85" s="20">
        <v>0</v>
      </c>
      <c r="AF85" s="20">
        <v>10000</v>
      </c>
      <c r="AG85" s="20">
        <v>109000</v>
      </c>
      <c r="AH85" s="20">
        <v>82110</v>
      </c>
      <c r="AI85" s="20">
        <v>24445</v>
      </c>
      <c r="AJ85" s="20">
        <v>2445</v>
      </c>
      <c r="AK85" s="20">
        <v>26890</v>
      </c>
    </row>
    <row r="86" spans="1:37" ht="16.5" customHeight="1" x14ac:dyDescent="0.3">
      <c r="A86" s="18" t="s">
        <v>493</v>
      </c>
      <c r="B86" s="18" t="s">
        <v>240</v>
      </c>
      <c r="C86" s="19" t="s">
        <v>241</v>
      </c>
      <c r="D86" s="18" t="s">
        <v>494</v>
      </c>
      <c r="E86" s="19" t="s">
        <v>495</v>
      </c>
      <c r="F86" s="18" t="s">
        <v>244</v>
      </c>
      <c r="G86" s="18" t="s">
        <v>245</v>
      </c>
      <c r="H86" s="19" t="s">
        <v>175</v>
      </c>
      <c r="I86" s="18" t="s">
        <v>246</v>
      </c>
      <c r="J86" s="19" t="s">
        <v>247</v>
      </c>
      <c r="K86" s="19" t="s">
        <v>248</v>
      </c>
      <c r="L86" s="18" t="s">
        <v>164</v>
      </c>
      <c r="M86" s="18" t="s">
        <v>272</v>
      </c>
      <c r="N86" s="18" t="s">
        <v>250</v>
      </c>
      <c r="O86" s="20">
        <v>119000</v>
      </c>
      <c r="P86" s="20">
        <v>82110</v>
      </c>
      <c r="Q86" s="20">
        <v>1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31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119000</v>
      </c>
      <c r="AD86" s="20">
        <v>82110</v>
      </c>
      <c r="AE86" s="20">
        <v>0</v>
      </c>
      <c r="AF86" s="20">
        <v>0</v>
      </c>
      <c r="AG86" s="20">
        <v>119000</v>
      </c>
      <c r="AH86" s="20">
        <v>82110</v>
      </c>
      <c r="AI86" s="20">
        <v>33536</v>
      </c>
      <c r="AJ86" s="20">
        <v>3354</v>
      </c>
      <c r="AK86" s="20">
        <v>36890</v>
      </c>
    </row>
    <row r="87" spans="1:37" ht="16.5" customHeight="1" x14ac:dyDescent="0.3">
      <c r="A87" s="18" t="s">
        <v>496</v>
      </c>
      <c r="B87" s="18" t="s">
        <v>240</v>
      </c>
      <c r="C87" s="19" t="s">
        <v>241</v>
      </c>
      <c r="D87" s="18" t="s">
        <v>497</v>
      </c>
      <c r="E87" s="19" t="s">
        <v>498</v>
      </c>
      <c r="F87" s="18" t="s">
        <v>244</v>
      </c>
      <c r="G87" s="18" t="s">
        <v>245</v>
      </c>
      <c r="H87" s="19" t="s">
        <v>175</v>
      </c>
      <c r="I87" s="18" t="s">
        <v>246</v>
      </c>
      <c r="J87" s="19" t="s">
        <v>247</v>
      </c>
      <c r="K87" s="19" t="s">
        <v>248</v>
      </c>
      <c r="L87" s="18" t="s">
        <v>164</v>
      </c>
      <c r="M87" s="18" t="s">
        <v>272</v>
      </c>
      <c r="N87" s="18" t="s">
        <v>250</v>
      </c>
      <c r="O87" s="20">
        <v>119000</v>
      </c>
      <c r="P87" s="20">
        <v>82110</v>
      </c>
      <c r="Q87" s="20">
        <v>1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31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119000</v>
      </c>
      <c r="AD87" s="20">
        <v>82110</v>
      </c>
      <c r="AE87" s="20">
        <v>0</v>
      </c>
      <c r="AF87" s="20">
        <v>0</v>
      </c>
      <c r="AG87" s="20">
        <v>119000</v>
      </c>
      <c r="AH87" s="20">
        <v>82110</v>
      </c>
      <c r="AI87" s="20">
        <v>33536</v>
      </c>
      <c r="AJ87" s="20">
        <v>3354</v>
      </c>
      <c r="AK87" s="20">
        <v>36890</v>
      </c>
    </row>
    <row r="88" spans="1:37" ht="16.5" customHeight="1" x14ac:dyDescent="0.3">
      <c r="A88" s="18" t="s">
        <v>499</v>
      </c>
      <c r="B88" s="18" t="s">
        <v>240</v>
      </c>
      <c r="C88" s="19" t="s">
        <v>241</v>
      </c>
      <c r="D88" s="18" t="s">
        <v>500</v>
      </c>
      <c r="E88" s="19" t="s">
        <v>296</v>
      </c>
      <c r="F88" s="18" t="s">
        <v>244</v>
      </c>
      <c r="G88" s="18" t="s">
        <v>245</v>
      </c>
      <c r="H88" s="19" t="s">
        <v>175</v>
      </c>
      <c r="I88" s="18" t="s">
        <v>246</v>
      </c>
      <c r="J88" s="19" t="s">
        <v>247</v>
      </c>
      <c r="K88" s="19" t="s">
        <v>248</v>
      </c>
      <c r="L88" s="18" t="s">
        <v>164</v>
      </c>
      <c r="M88" s="18" t="s">
        <v>272</v>
      </c>
      <c r="N88" s="18" t="s">
        <v>250</v>
      </c>
      <c r="O88" s="20">
        <v>119000</v>
      </c>
      <c r="P88" s="20">
        <v>82110</v>
      </c>
      <c r="Q88" s="20">
        <v>1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31</v>
      </c>
      <c r="X88" s="20">
        <v>17850</v>
      </c>
      <c r="Y88" s="20">
        <v>0</v>
      </c>
      <c r="Z88" s="20">
        <v>0</v>
      </c>
      <c r="AA88" s="20">
        <v>0</v>
      </c>
      <c r="AB88" s="20">
        <v>0</v>
      </c>
      <c r="AC88" s="20">
        <v>119000</v>
      </c>
      <c r="AD88" s="20">
        <v>82110</v>
      </c>
      <c r="AE88" s="20">
        <v>0</v>
      </c>
      <c r="AF88" s="20">
        <v>17850</v>
      </c>
      <c r="AG88" s="20">
        <v>101150</v>
      </c>
      <c r="AH88" s="20">
        <v>82110</v>
      </c>
      <c r="AI88" s="20">
        <v>17309</v>
      </c>
      <c r="AJ88" s="20">
        <v>1731</v>
      </c>
      <c r="AK88" s="20">
        <v>19040</v>
      </c>
    </row>
    <row r="89" spans="1:37" ht="16.5" customHeight="1" x14ac:dyDescent="0.3">
      <c r="A89" s="18" t="s">
        <v>501</v>
      </c>
      <c r="B89" s="18" t="s">
        <v>240</v>
      </c>
      <c r="C89" s="19" t="s">
        <v>241</v>
      </c>
      <c r="D89" s="18" t="s">
        <v>502</v>
      </c>
      <c r="E89" s="19" t="s">
        <v>503</v>
      </c>
      <c r="F89" s="18" t="s">
        <v>244</v>
      </c>
      <c r="G89" s="18" t="s">
        <v>245</v>
      </c>
      <c r="H89" s="19" t="s">
        <v>175</v>
      </c>
      <c r="I89" s="18" t="s">
        <v>246</v>
      </c>
      <c r="J89" s="19" t="s">
        <v>247</v>
      </c>
      <c r="K89" s="19" t="s">
        <v>248</v>
      </c>
      <c r="L89" s="18" t="s">
        <v>164</v>
      </c>
      <c r="M89" s="18" t="s">
        <v>272</v>
      </c>
      <c r="N89" s="18" t="s">
        <v>250</v>
      </c>
      <c r="O89" s="20">
        <v>119000</v>
      </c>
      <c r="P89" s="20">
        <v>82110</v>
      </c>
      <c r="Q89" s="20">
        <v>1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31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119000</v>
      </c>
      <c r="AD89" s="20">
        <v>82110</v>
      </c>
      <c r="AE89" s="20">
        <v>0</v>
      </c>
      <c r="AF89" s="20">
        <v>0</v>
      </c>
      <c r="AG89" s="20">
        <v>119000</v>
      </c>
      <c r="AH89" s="20">
        <v>82110</v>
      </c>
      <c r="AI89" s="20">
        <v>33536</v>
      </c>
      <c r="AJ89" s="20">
        <v>3354</v>
      </c>
      <c r="AK89" s="20">
        <v>36890</v>
      </c>
    </row>
    <row r="90" spans="1:37" ht="16.5" customHeight="1" x14ac:dyDescent="0.3">
      <c r="A90" s="18" t="s">
        <v>504</v>
      </c>
      <c r="B90" s="18" t="s">
        <v>240</v>
      </c>
      <c r="C90" s="19" t="s">
        <v>241</v>
      </c>
      <c r="D90" s="18" t="s">
        <v>505</v>
      </c>
      <c r="E90" s="19" t="s">
        <v>506</v>
      </c>
      <c r="F90" s="18" t="s">
        <v>244</v>
      </c>
      <c r="G90" s="18" t="s">
        <v>245</v>
      </c>
      <c r="H90" s="19" t="s">
        <v>175</v>
      </c>
      <c r="I90" s="18" t="s">
        <v>246</v>
      </c>
      <c r="J90" s="19" t="s">
        <v>247</v>
      </c>
      <c r="K90" s="19" t="s">
        <v>248</v>
      </c>
      <c r="L90" s="18" t="s">
        <v>164</v>
      </c>
      <c r="M90" s="18" t="s">
        <v>272</v>
      </c>
      <c r="N90" s="18" t="s">
        <v>250</v>
      </c>
      <c r="O90" s="20">
        <v>119000</v>
      </c>
      <c r="P90" s="20">
        <v>82110</v>
      </c>
      <c r="Q90" s="20">
        <v>1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31</v>
      </c>
      <c r="X90" s="20">
        <v>0</v>
      </c>
      <c r="Y90" s="20">
        <v>0</v>
      </c>
      <c r="Z90" s="20">
        <v>0</v>
      </c>
      <c r="AA90" s="20">
        <v>0</v>
      </c>
      <c r="AB90" s="20">
        <v>5950</v>
      </c>
      <c r="AC90" s="20">
        <v>119000</v>
      </c>
      <c r="AD90" s="20">
        <v>82110</v>
      </c>
      <c r="AE90" s="20">
        <v>0</v>
      </c>
      <c r="AF90" s="20">
        <v>5950</v>
      </c>
      <c r="AG90" s="20">
        <v>113050</v>
      </c>
      <c r="AH90" s="20">
        <v>82110</v>
      </c>
      <c r="AI90" s="20">
        <v>28127</v>
      </c>
      <c r="AJ90" s="20">
        <v>2813</v>
      </c>
      <c r="AK90" s="20">
        <v>30940</v>
      </c>
    </row>
    <row r="91" spans="1:37" ht="16.5" customHeight="1" x14ac:dyDescent="0.3">
      <c r="A91" s="18" t="s">
        <v>507</v>
      </c>
      <c r="B91" s="18" t="s">
        <v>240</v>
      </c>
      <c r="C91" s="19" t="s">
        <v>241</v>
      </c>
      <c r="D91" s="18" t="s">
        <v>508</v>
      </c>
      <c r="E91" s="19" t="s">
        <v>509</v>
      </c>
      <c r="F91" s="18" t="s">
        <v>244</v>
      </c>
      <c r="G91" s="18" t="s">
        <v>245</v>
      </c>
      <c r="H91" s="19" t="s">
        <v>175</v>
      </c>
      <c r="I91" s="18" t="s">
        <v>246</v>
      </c>
      <c r="J91" s="19" t="s">
        <v>247</v>
      </c>
      <c r="K91" s="19" t="s">
        <v>248</v>
      </c>
      <c r="L91" s="18" t="s">
        <v>164</v>
      </c>
      <c r="M91" s="18" t="s">
        <v>272</v>
      </c>
      <c r="N91" s="18" t="s">
        <v>250</v>
      </c>
      <c r="O91" s="20">
        <v>119000</v>
      </c>
      <c r="P91" s="20">
        <v>82110</v>
      </c>
      <c r="Q91" s="20">
        <v>1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31</v>
      </c>
      <c r="X91" s="20">
        <v>0</v>
      </c>
      <c r="Y91" s="20">
        <v>10000</v>
      </c>
      <c r="Z91" s="20">
        <v>0</v>
      </c>
      <c r="AA91" s="20">
        <v>0</v>
      </c>
      <c r="AB91" s="20">
        <v>0</v>
      </c>
      <c r="AC91" s="20">
        <v>119000</v>
      </c>
      <c r="AD91" s="20">
        <v>82110</v>
      </c>
      <c r="AE91" s="20">
        <v>0</v>
      </c>
      <c r="AF91" s="20">
        <v>10000</v>
      </c>
      <c r="AG91" s="20">
        <v>109000</v>
      </c>
      <c r="AH91" s="20">
        <v>82110</v>
      </c>
      <c r="AI91" s="20">
        <v>24445</v>
      </c>
      <c r="AJ91" s="20">
        <v>2445</v>
      </c>
      <c r="AK91" s="20">
        <v>26890</v>
      </c>
    </row>
    <row r="92" spans="1:37" ht="16.5" customHeight="1" x14ac:dyDescent="0.3">
      <c r="A92" s="18" t="s">
        <v>510</v>
      </c>
      <c r="B92" s="18" t="s">
        <v>240</v>
      </c>
      <c r="C92" s="19" t="s">
        <v>241</v>
      </c>
      <c r="D92" s="18" t="s">
        <v>511</v>
      </c>
      <c r="E92" s="19" t="s">
        <v>512</v>
      </c>
      <c r="F92" s="18" t="s">
        <v>244</v>
      </c>
      <c r="G92" s="18" t="s">
        <v>245</v>
      </c>
      <c r="H92" s="19" t="s">
        <v>175</v>
      </c>
      <c r="I92" s="18" t="s">
        <v>246</v>
      </c>
      <c r="J92" s="19" t="s">
        <v>247</v>
      </c>
      <c r="K92" s="19" t="s">
        <v>248</v>
      </c>
      <c r="L92" s="18" t="s">
        <v>164</v>
      </c>
      <c r="M92" s="18" t="s">
        <v>272</v>
      </c>
      <c r="N92" s="18" t="s">
        <v>250</v>
      </c>
      <c r="O92" s="20">
        <v>119000</v>
      </c>
      <c r="P92" s="20">
        <v>82110</v>
      </c>
      <c r="Q92" s="20">
        <v>1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31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119000</v>
      </c>
      <c r="AD92" s="20">
        <v>82110</v>
      </c>
      <c r="AE92" s="20">
        <v>0</v>
      </c>
      <c r="AF92" s="20">
        <v>0</v>
      </c>
      <c r="AG92" s="20">
        <v>119000</v>
      </c>
      <c r="AH92" s="20">
        <v>82110</v>
      </c>
      <c r="AI92" s="20">
        <v>33536</v>
      </c>
      <c r="AJ92" s="20">
        <v>3354</v>
      </c>
      <c r="AK92" s="20">
        <v>36890</v>
      </c>
    </row>
    <row r="93" spans="1:37" ht="16.5" customHeight="1" x14ac:dyDescent="0.3">
      <c r="A93" s="18" t="s">
        <v>513</v>
      </c>
      <c r="B93" s="18" t="s">
        <v>240</v>
      </c>
      <c r="C93" s="19" t="s">
        <v>241</v>
      </c>
      <c r="D93" s="18" t="s">
        <v>514</v>
      </c>
      <c r="E93" s="19" t="s">
        <v>515</v>
      </c>
      <c r="F93" s="18" t="s">
        <v>244</v>
      </c>
      <c r="G93" s="18" t="s">
        <v>245</v>
      </c>
      <c r="H93" s="19" t="s">
        <v>175</v>
      </c>
      <c r="I93" s="18" t="s">
        <v>246</v>
      </c>
      <c r="J93" s="19" t="s">
        <v>247</v>
      </c>
      <c r="K93" s="19" t="s">
        <v>248</v>
      </c>
      <c r="L93" s="18" t="s">
        <v>164</v>
      </c>
      <c r="M93" s="18" t="s">
        <v>272</v>
      </c>
      <c r="N93" s="18" t="s">
        <v>250</v>
      </c>
      <c r="O93" s="20">
        <v>119000</v>
      </c>
      <c r="P93" s="20">
        <v>82110</v>
      </c>
      <c r="Q93" s="20">
        <v>1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31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119000</v>
      </c>
      <c r="AD93" s="20">
        <v>82110</v>
      </c>
      <c r="AE93" s="20">
        <v>0</v>
      </c>
      <c r="AF93" s="20">
        <v>0</v>
      </c>
      <c r="AG93" s="20">
        <v>119000</v>
      </c>
      <c r="AH93" s="20">
        <v>82110</v>
      </c>
      <c r="AI93" s="20">
        <v>33536</v>
      </c>
      <c r="AJ93" s="20">
        <v>3354</v>
      </c>
      <c r="AK93" s="20">
        <v>36890</v>
      </c>
    </row>
    <row r="94" spans="1:37" ht="16.5" customHeight="1" x14ac:dyDescent="0.3">
      <c r="A94" s="18" t="s">
        <v>516</v>
      </c>
      <c r="B94" s="18" t="s">
        <v>240</v>
      </c>
      <c r="C94" s="19" t="s">
        <v>241</v>
      </c>
      <c r="D94" s="18" t="s">
        <v>517</v>
      </c>
      <c r="E94" s="19" t="s">
        <v>518</v>
      </c>
      <c r="F94" s="18" t="s">
        <v>244</v>
      </c>
      <c r="G94" s="18" t="s">
        <v>245</v>
      </c>
      <c r="H94" s="19" t="s">
        <v>175</v>
      </c>
      <c r="I94" s="18" t="s">
        <v>246</v>
      </c>
      <c r="J94" s="19" t="s">
        <v>247</v>
      </c>
      <c r="K94" s="19" t="s">
        <v>248</v>
      </c>
      <c r="L94" s="18" t="s">
        <v>164</v>
      </c>
      <c r="M94" s="18" t="s">
        <v>272</v>
      </c>
      <c r="N94" s="18" t="s">
        <v>250</v>
      </c>
      <c r="O94" s="20">
        <v>119000</v>
      </c>
      <c r="P94" s="20">
        <v>82110</v>
      </c>
      <c r="Q94" s="20">
        <v>1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31</v>
      </c>
      <c r="X94" s="20">
        <v>19040</v>
      </c>
      <c r="Y94" s="20">
        <v>0</v>
      </c>
      <c r="Z94" s="20">
        <v>0</v>
      </c>
      <c r="AA94" s="20">
        <v>0</v>
      </c>
      <c r="AB94" s="20">
        <v>0</v>
      </c>
      <c r="AC94" s="20">
        <v>119000</v>
      </c>
      <c r="AD94" s="20">
        <v>82110</v>
      </c>
      <c r="AE94" s="20">
        <v>0</v>
      </c>
      <c r="AF94" s="20">
        <v>19040</v>
      </c>
      <c r="AG94" s="20">
        <v>99960</v>
      </c>
      <c r="AH94" s="20">
        <v>82110</v>
      </c>
      <c r="AI94" s="20">
        <v>16227</v>
      </c>
      <c r="AJ94" s="20">
        <v>1623</v>
      </c>
      <c r="AK94" s="20">
        <v>17850</v>
      </c>
    </row>
    <row r="95" spans="1:37" ht="16.5" customHeight="1" x14ac:dyDescent="0.3">
      <c r="A95" s="18" t="s">
        <v>519</v>
      </c>
      <c r="B95" s="18" t="s">
        <v>240</v>
      </c>
      <c r="C95" s="19" t="s">
        <v>241</v>
      </c>
      <c r="D95" s="18" t="s">
        <v>520</v>
      </c>
      <c r="E95" s="19" t="s">
        <v>521</v>
      </c>
      <c r="F95" s="18" t="s">
        <v>244</v>
      </c>
      <c r="G95" s="18" t="s">
        <v>245</v>
      </c>
      <c r="H95" s="19" t="s">
        <v>175</v>
      </c>
      <c r="I95" s="18" t="s">
        <v>246</v>
      </c>
      <c r="J95" s="19" t="s">
        <v>247</v>
      </c>
      <c r="K95" s="19"/>
      <c r="L95" s="18" t="s">
        <v>164</v>
      </c>
      <c r="M95" s="18" t="s">
        <v>272</v>
      </c>
      <c r="N95" s="18" t="s">
        <v>250</v>
      </c>
      <c r="O95" s="20">
        <v>119000</v>
      </c>
      <c r="P95" s="20">
        <v>82110</v>
      </c>
      <c r="Q95" s="20">
        <v>1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31</v>
      </c>
      <c r="X95" s="20">
        <v>0</v>
      </c>
      <c r="Y95" s="20">
        <v>5950</v>
      </c>
      <c r="Z95" s="20">
        <v>0</v>
      </c>
      <c r="AA95" s="20">
        <v>0</v>
      </c>
      <c r="AB95" s="20">
        <v>0</v>
      </c>
      <c r="AC95" s="20">
        <v>119000</v>
      </c>
      <c r="AD95" s="20">
        <v>82110</v>
      </c>
      <c r="AE95" s="20">
        <v>0</v>
      </c>
      <c r="AF95" s="20">
        <v>5950</v>
      </c>
      <c r="AG95" s="20">
        <v>113050</v>
      </c>
      <c r="AH95" s="20">
        <v>82110</v>
      </c>
      <c r="AI95" s="20">
        <v>28127</v>
      </c>
      <c r="AJ95" s="20">
        <v>2813</v>
      </c>
      <c r="AK95" s="20">
        <v>30940</v>
      </c>
    </row>
    <row r="96" spans="1:37" ht="16.5" customHeight="1" x14ac:dyDescent="0.3">
      <c r="A96" s="18" t="s">
        <v>522</v>
      </c>
      <c r="B96" s="18" t="s">
        <v>240</v>
      </c>
      <c r="C96" s="19" t="s">
        <v>241</v>
      </c>
      <c r="D96" s="18" t="s">
        <v>523</v>
      </c>
      <c r="E96" s="19" t="s">
        <v>524</v>
      </c>
      <c r="F96" s="18" t="s">
        <v>244</v>
      </c>
      <c r="G96" s="18" t="s">
        <v>245</v>
      </c>
      <c r="H96" s="19" t="s">
        <v>175</v>
      </c>
      <c r="I96" s="18" t="s">
        <v>246</v>
      </c>
      <c r="J96" s="19" t="s">
        <v>247</v>
      </c>
      <c r="K96" s="19" t="s">
        <v>248</v>
      </c>
      <c r="L96" s="18" t="s">
        <v>164</v>
      </c>
      <c r="M96" s="18" t="s">
        <v>272</v>
      </c>
      <c r="N96" s="18" t="s">
        <v>250</v>
      </c>
      <c r="O96" s="20">
        <v>119000</v>
      </c>
      <c r="P96" s="20">
        <v>82110</v>
      </c>
      <c r="Q96" s="20">
        <v>1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31</v>
      </c>
      <c r="X96" s="20">
        <v>0</v>
      </c>
      <c r="Y96" s="20">
        <v>10000</v>
      </c>
      <c r="Z96" s="20">
        <v>0</v>
      </c>
      <c r="AA96" s="20">
        <v>0</v>
      </c>
      <c r="AB96" s="20">
        <v>0</v>
      </c>
      <c r="AC96" s="20">
        <v>119000</v>
      </c>
      <c r="AD96" s="20">
        <v>82110</v>
      </c>
      <c r="AE96" s="20">
        <v>0</v>
      </c>
      <c r="AF96" s="20">
        <v>10000</v>
      </c>
      <c r="AG96" s="20">
        <v>109000</v>
      </c>
      <c r="AH96" s="20">
        <v>82110</v>
      </c>
      <c r="AI96" s="20">
        <v>24445</v>
      </c>
      <c r="AJ96" s="20">
        <v>2445</v>
      </c>
      <c r="AK96" s="20">
        <v>26890</v>
      </c>
    </row>
    <row r="97" spans="1:37" ht="16.5" customHeight="1" x14ac:dyDescent="0.3">
      <c r="A97" s="18" t="s">
        <v>525</v>
      </c>
      <c r="B97" s="18" t="s">
        <v>240</v>
      </c>
      <c r="C97" s="19" t="s">
        <v>241</v>
      </c>
      <c r="D97" s="18" t="s">
        <v>526</v>
      </c>
      <c r="E97" s="19" t="s">
        <v>527</v>
      </c>
      <c r="F97" s="18" t="s">
        <v>244</v>
      </c>
      <c r="G97" s="18" t="s">
        <v>245</v>
      </c>
      <c r="H97" s="19" t="s">
        <v>175</v>
      </c>
      <c r="I97" s="18" t="s">
        <v>246</v>
      </c>
      <c r="J97" s="19" t="s">
        <v>247</v>
      </c>
      <c r="K97" s="19" t="s">
        <v>248</v>
      </c>
      <c r="L97" s="18" t="s">
        <v>164</v>
      </c>
      <c r="M97" s="18" t="s">
        <v>272</v>
      </c>
      <c r="N97" s="18" t="s">
        <v>250</v>
      </c>
      <c r="O97" s="20">
        <v>119000</v>
      </c>
      <c r="P97" s="20">
        <v>82110</v>
      </c>
      <c r="Q97" s="20">
        <v>1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31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119000</v>
      </c>
      <c r="AD97" s="20">
        <v>82110</v>
      </c>
      <c r="AE97" s="20">
        <v>0</v>
      </c>
      <c r="AF97" s="20">
        <v>0</v>
      </c>
      <c r="AG97" s="20">
        <v>119000</v>
      </c>
      <c r="AH97" s="20">
        <v>82110</v>
      </c>
      <c r="AI97" s="20">
        <v>33536</v>
      </c>
      <c r="AJ97" s="20">
        <v>3354</v>
      </c>
      <c r="AK97" s="20">
        <v>36890</v>
      </c>
    </row>
    <row r="98" spans="1:37" ht="16.5" customHeight="1" x14ac:dyDescent="0.3">
      <c r="A98" s="18" t="s">
        <v>528</v>
      </c>
      <c r="B98" s="18" t="s">
        <v>240</v>
      </c>
      <c r="C98" s="19" t="s">
        <v>241</v>
      </c>
      <c r="D98" s="18" t="s">
        <v>529</v>
      </c>
      <c r="E98" s="19" t="s">
        <v>530</v>
      </c>
      <c r="F98" s="18" t="s">
        <v>244</v>
      </c>
      <c r="G98" s="18" t="s">
        <v>245</v>
      </c>
      <c r="H98" s="19" t="s">
        <v>175</v>
      </c>
      <c r="I98" s="18" t="s">
        <v>246</v>
      </c>
      <c r="J98" s="19" t="s">
        <v>247</v>
      </c>
      <c r="K98" s="19" t="s">
        <v>314</v>
      </c>
      <c r="L98" s="18" t="s">
        <v>164</v>
      </c>
      <c r="M98" s="18" t="s">
        <v>272</v>
      </c>
      <c r="N98" s="18" t="s">
        <v>250</v>
      </c>
      <c r="O98" s="20">
        <v>119000</v>
      </c>
      <c r="P98" s="20">
        <v>82110</v>
      </c>
      <c r="Q98" s="20">
        <v>1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31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119000</v>
      </c>
      <c r="AD98" s="20">
        <v>82110</v>
      </c>
      <c r="AE98" s="20">
        <v>0</v>
      </c>
      <c r="AF98" s="20">
        <v>0</v>
      </c>
      <c r="AG98" s="20">
        <v>119000</v>
      </c>
      <c r="AH98" s="20">
        <v>82110</v>
      </c>
      <c r="AI98" s="20">
        <v>33536</v>
      </c>
      <c r="AJ98" s="20">
        <v>3354</v>
      </c>
      <c r="AK98" s="20">
        <v>36890</v>
      </c>
    </row>
    <row r="99" spans="1:37" ht="16.5" customHeight="1" x14ac:dyDescent="0.3">
      <c r="A99" s="18" t="s">
        <v>531</v>
      </c>
      <c r="B99" s="18" t="s">
        <v>240</v>
      </c>
      <c r="C99" s="19" t="s">
        <v>241</v>
      </c>
      <c r="D99" s="18" t="s">
        <v>532</v>
      </c>
      <c r="E99" s="19" t="s">
        <v>284</v>
      </c>
      <c r="F99" s="18" t="s">
        <v>244</v>
      </c>
      <c r="G99" s="18" t="s">
        <v>245</v>
      </c>
      <c r="H99" s="19" t="s">
        <v>175</v>
      </c>
      <c r="I99" s="18" t="s">
        <v>246</v>
      </c>
      <c r="J99" s="19" t="s">
        <v>247</v>
      </c>
      <c r="K99" s="19" t="s">
        <v>248</v>
      </c>
      <c r="L99" s="18" t="s">
        <v>164</v>
      </c>
      <c r="M99" s="18" t="s">
        <v>272</v>
      </c>
      <c r="N99" s="18" t="s">
        <v>250</v>
      </c>
      <c r="O99" s="20">
        <v>119000</v>
      </c>
      <c r="P99" s="20">
        <v>82110</v>
      </c>
      <c r="Q99" s="20">
        <v>1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31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119000</v>
      </c>
      <c r="AD99" s="20">
        <v>82110</v>
      </c>
      <c r="AE99" s="20">
        <v>0</v>
      </c>
      <c r="AF99" s="20">
        <v>0</v>
      </c>
      <c r="AG99" s="20">
        <v>119000</v>
      </c>
      <c r="AH99" s="20">
        <v>82110</v>
      </c>
      <c r="AI99" s="20">
        <v>33536</v>
      </c>
      <c r="AJ99" s="20">
        <v>3354</v>
      </c>
      <c r="AK99" s="20">
        <v>36890</v>
      </c>
    </row>
    <row r="100" spans="1:37" ht="16.5" customHeight="1" x14ac:dyDescent="0.3">
      <c r="A100" s="18" t="s">
        <v>533</v>
      </c>
      <c r="B100" s="18" t="s">
        <v>240</v>
      </c>
      <c r="C100" s="19" t="s">
        <v>241</v>
      </c>
      <c r="D100" s="18" t="s">
        <v>534</v>
      </c>
      <c r="E100" s="19" t="s">
        <v>535</v>
      </c>
      <c r="F100" s="18" t="s">
        <v>244</v>
      </c>
      <c r="G100" s="18" t="s">
        <v>245</v>
      </c>
      <c r="H100" s="19" t="s">
        <v>175</v>
      </c>
      <c r="I100" s="18" t="s">
        <v>246</v>
      </c>
      <c r="J100" s="19" t="s">
        <v>247</v>
      </c>
      <c r="K100" s="19" t="s">
        <v>248</v>
      </c>
      <c r="L100" s="18" t="s">
        <v>164</v>
      </c>
      <c r="M100" s="18" t="s">
        <v>272</v>
      </c>
      <c r="N100" s="18" t="s">
        <v>250</v>
      </c>
      <c r="O100" s="20">
        <v>119000</v>
      </c>
      <c r="P100" s="20">
        <v>82110</v>
      </c>
      <c r="Q100" s="20">
        <v>1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31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119000</v>
      </c>
      <c r="AD100" s="20">
        <v>82110</v>
      </c>
      <c r="AE100" s="20">
        <v>0</v>
      </c>
      <c r="AF100" s="20">
        <v>0</v>
      </c>
      <c r="AG100" s="20">
        <v>119000</v>
      </c>
      <c r="AH100" s="20">
        <v>82110</v>
      </c>
      <c r="AI100" s="20">
        <v>33536</v>
      </c>
      <c r="AJ100" s="20">
        <v>3354</v>
      </c>
      <c r="AK100" s="20">
        <v>36890</v>
      </c>
    </row>
    <row r="101" spans="1:37" ht="16.5" customHeight="1" x14ac:dyDescent="0.3">
      <c r="A101" s="18" t="s">
        <v>536</v>
      </c>
      <c r="B101" s="18" t="s">
        <v>240</v>
      </c>
      <c r="C101" s="19" t="s">
        <v>241</v>
      </c>
      <c r="D101" s="18" t="s">
        <v>537</v>
      </c>
      <c r="E101" s="19" t="s">
        <v>538</v>
      </c>
      <c r="F101" s="18" t="s">
        <v>244</v>
      </c>
      <c r="G101" s="18" t="s">
        <v>245</v>
      </c>
      <c r="H101" s="19" t="s">
        <v>175</v>
      </c>
      <c r="I101" s="18" t="s">
        <v>246</v>
      </c>
      <c r="J101" s="19" t="s">
        <v>247</v>
      </c>
      <c r="K101" s="19" t="s">
        <v>248</v>
      </c>
      <c r="L101" s="18" t="s">
        <v>164</v>
      </c>
      <c r="M101" s="18" t="s">
        <v>272</v>
      </c>
      <c r="N101" s="18" t="s">
        <v>250</v>
      </c>
      <c r="O101" s="20">
        <v>119000</v>
      </c>
      <c r="P101" s="20">
        <v>82110</v>
      </c>
      <c r="Q101" s="20">
        <v>1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31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119000</v>
      </c>
      <c r="AD101" s="20">
        <v>82110</v>
      </c>
      <c r="AE101" s="20">
        <v>0</v>
      </c>
      <c r="AF101" s="20">
        <v>0</v>
      </c>
      <c r="AG101" s="20">
        <v>119000</v>
      </c>
      <c r="AH101" s="20">
        <v>82110</v>
      </c>
      <c r="AI101" s="20">
        <v>33536</v>
      </c>
      <c r="AJ101" s="20">
        <v>3354</v>
      </c>
      <c r="AK101" s="20">
        <v>36890</v>
      </c>
    </row>
    <row r="102" spans="1:37" ht="16.5" customHeight="1" x14ac:dyDescent="0.3">
      <c r="A102" s="18" t="s">
        <v>539</v>
      </c>
      <c r="B102" s="18" t="s">
        <v>240</v>
      </c>
      <c r="C102" s="19" t="s">
        <v>241</v>
      </c>
      <c r="D102" s="18" t="s">
        <v>540</v>
      </c>
      <c r="E102" s="19" t="s">
        <v>541</v>
      </c>
      <c r="F102" s="18" t="s">
        <v>244</v>
      </c>
      <c r="G102" s="18" t="s">
        <v>245</v>
      </c>
      <c r="H102" s="19" t="s">
        <v>175</v>
      </c>
      <c r="I102" s="18" t="s">
        <v>246</v>
      </c>
      <c r="J102" s="19" t="s">
        <v>247</v>
      </c>
      <c r="K102" s="19" t="s">
        <v>248</v>
      </c>
      <c r="L102" s="18" t="s">
        <v>164</v>
      </c>
      <c r="M102" s="18" t="s">
        <v>272</v>
      </c>
      <c r="N102" s="18" t="s">
        <v>250</v>
      </c>
      <c r="O102" s="20">
        <v>119000</v>
      </c>
      <c r="P102" s="20">
        <v>82110</v>
      </c>
      <c r="Q102" s="20">
        <v>1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31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119000</v>
      </c>
      <c r="AD102" s="20">
        <v>82110</v>
      </c>
      <c r="AE102" s="20">
        <v>0</v>
      </c>
      <c r="AF102" s="20">
        <v>0</v>
      </c>
      <c r="AG102" s="20">
        <v>119000</v>
      </c>
      <c r="AH102" s="20">
        <v>82110</v>
      </c>
      <c r="AI102" s="20">
        <v>33536</v>
      </c>
      <c r="AJ102" s="20">
        <v>3354</v>
      </c>
      <c r="AK102" s="20">
        <v>36890</v>
      </c>
    </row>
    <row r="103" spans="1:37" ht="16.5" customHeight="1" x14ac:dyDescent="0.3">
      <c r="A103" s="18" t="s">
        <v>542</v>
      </c>
      <c r="B103" s="18" t="s">
        <v>240</v>
      </c>
      <c r="C103" s="19" t="s">
        <v>241</v>
      </c>
      <c r="D103" s="18" t="s">
        <v>543</v>
      </c>
      <c r="E103" s="19" t="s">
        <v>544</v>
      </c>
      <c r="F103" s="18" t="s">
        <v>244</v>
      </c>
      <c r="G103" s="18" t="s">
        <v>245</v>
      </c>
      <c r="H103" s="19" t="s">
        <v>175</v>
      </c>
      <c r="I103" s="18" t="s">
        <v>246</v>
      </c>
      <c r="J103" s="19" t="s">
        <v>247</v>
      </c>
      <c r="K103" s="19" t="s">
        <v>248</v>
      </c>
      <c r="L103" s="18" t="s">
        <v>164</v>
      </c>
      <c r="M103" s="18" t="s">
        <v>272</v>
      </c>
      <c r="N103" s="18" t="s">
        <v>250</v>
      </c>
      <c r="O103" s="20">
        <v>119000</v>
      </c>
      <c r="P103" s="20">
        <v>82110</v>
      </c>
      <c r="Q103" s="20">
        <v>1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31</v>
      </c>
      <c r="X103" s="20">
        <v>22610</v>
      </c>
      <c r="Y103" s="20">
        <v>0</v>
      </c>
      <c r="Z103" s="20">
        <v>0</v>
      </c>
      <c r="AA103" s="20">
        <v>0</v>
      </c>
      <c r="AB103" s="20">
        <v>0</v>
      </c>
      <c r="AC103" s="20">
        <v>119000</v>
      </c>
      <c r="AD103" s="20">
        <v>82110</v>
      </c>
      <c r="AE103" s="20">
        <v>0</v>
      </c>
      <c r="AF103" s="20">
        <v>22610</v>
      </c>
      <c r="AG103" s="20">
        <v>96390</v>
      </c>
      <c r="AH103" s="20">
        <v>82110</v>
      </c>
      <c r="AI103" s="20">
        <v>12982</v>
      </c>
      <c r="AJ103" s="20">
        <v>1298</v>
      </c>
      <c r="AK103" s="20">
        <v>14280</v>
      </c>
    </row>
    <row r="104" spans="1:37" ht="16.5" customHeight="1" x14ac:dyDescent="0.3">
      <c r="A104" s="18" t="s">
        <v>545</v>
      </c>
      <c r="B104" s="18" t="s">
        <v>240</v>
      </c>
      <c r="C104" s="19" t="s">
        <v>241</v>
      </c>
      <c r="D104" s="18" t="s">
        <v>546</v>
      </c>
      <c r="E104" s="19" t="s">
        <v>547</v>
      </c>
      <c r="F104" s="18" t="s">
        <v>244</v>
      </c>
      <c r="G104" s="18" t="s">
        <v>245</v>
      </c>
      <c r="H104" s="19" t="s">
        <v>175</v>
      </c>
      <c r="I104" s="18" t="s">
        <v>246</v>
      </c>
      <c r="J104" s="19" t="s">
        <v>247</v>
      </c>
      <c r="K104" s="19" t="s">
        <v>248</v>
      </c>
      <c r="L104" s="18" t="s">
        <v>164</v>
      </c>
      <c r="M104" s="18" t="s">
        <v>272</v>
      </c>
      <c r="N104" s="18" t="s">
        <v>250</v>
      </c>
      <c r="O104" s="20">
        <v>119000</v>
      </c>
      <c r="P104" s="20">
        <v>82110</v>
      </c>
      <c r="Q104" s="20">
        <v>1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31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119000</v>
      </c>
      <c r="AD104" s="20">
        <v>82110</v>
      </c>
      <c r="AE104" s="20">
        <v>0</v>
      </c>
      <c r="AF104" s="20">
        <v>0</v>
      </c>
      <c r="AG104" s="20">
        <v>119000</v>
      </c>
      <c r="AH104" s="20">
        <v>82110</v>
      </c>
      <c r="AI104" s="20">
        <v>33536</v>
      </c>
      <c r="AJ104" s="20">
        <v>3354</v>
      </c>
      <c r="AK104" s="20">
        <v>36890</v>
      </c>
    </row>
    <row r="105" spans="1:37" ht="16.5" customHeight="1" x14ac:dyDescent="0.3">
      <c r="A105" s="18" t="s">
        <v>548</v>
      </c>
      <c r="B105" s="18" t="s">
        <v>240</v>
      </c>
      <c r="C105" s="19" t="s">
        <v>241</v>
      </c>
      <c r="D105" s="18" t="s">
        <v>549</v>
      </c>
      <c r="E105" s="19" t="s">
        <v>550</v>
      </c>
      <c r="F105" s="18" t="s">
        <v>244</v>
      </c>
      <c r="G105" s="18" t="s">
        <v>245</v>
      </c>
      <c r="H105" s="19" t="s">
        <v>175</v>
      </c>
      <c r="I105" s="18" t="s">
        <v>246</v>
      </c>
      <c r="J105" s="19" t="s">
        <v>247</v>
      </c>
      <c r="K105" s="19" t="s">
        <v>248</v>
      </c>
      <c r="L105" s="18" t="s">
        <v>164</v>
      </c>
      <c r="M105" s="18" t="s">
        <v>272</v>
      </c>
      <c r="N105" s="18" t="s">
        <v>250</v>
      </c>
      <c r="O105" s="20">
        <v>119000</v>
      </c>
      <c r="P105" s="20">
        <v>82110</v>
      </c>
      <c r="Q105" s="20">
        <v>1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31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119000</v>
      </c>
      <c r="AD105" s="20">
        <v>82110</v>
      </c>
      <c r="AE105" s="20">
        <v>0</v>
      </c>
      <c r="AF105" s="20">
        <v>0</v>
      </c>
      <c r="AG105" s="20">
        <v>119000</v>
      </c>
      <c r="AH105" s="20">
        <v>82110</v>
      </c>
      <c r="AI105" s="20">
        <v>33536</v>
      </c>
      <c r="AJ105" s="20">
        <v>3354</v>
      </c>
      <c r="AK105" s="20">
        <v>36890</v>
      </c>
    </row>
    <row r="106" spans="1:37" ht="16.5" customHeight="1" x14ac:dyDescent="0.3">
      <c r="A106" s="18" t="s">
        <v>551</v>
      </c>
      <c r="B106" s="18" t="s">
        <v>240</v>
      </c>
      <c r="C106" s="19" t="s">
        <v>241</v>
      </c>
      <c r="D106" s="18" t="s">
        <v>552</v>
      </c>
      <c r="E106" s="19" t="s">
        <v>553</v>
      </c>
      <c r="F106" s="18" t="s">
        <v>244</v>
      </c>
      <c r="G106" s="18" t="s">
        <v>245</v>
      </c>
      <c r="H106" s="19" t="s">
        <v>175</v>
      </c>
      <c r="I106" s="18" t="s">
        <v>246</v>
      </c>
      <c r="J106" s="19" t="s">
        <v>247</v>
      </c>
      <c r="K106" s="19" t="s">
        <v>248</v>
      </c>
      <c r="L106" s="18" t="s">
        <v>164</v>
      </c>
      <c r="M106" s="18" t="s">
        <v>272</v>
      </c>
      <c r="N106" s="18" t="s">
        <v>250</v>
      </c>
      <c r="O106" s="20">
        <v>119000</v>
      </c>
      <c r="P106" s="20">
        <v>82110</v>
      </c>
      <c r="Q106" s="20">
        <v>1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31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119000</v>
      </c>
      <c r="AD106" s="20">
        <v>82110</v>
      </c>
      <c r="AE106" s="20">
        <v>0</v>
      </c>
      <c r="AF106" s="20">
        <v>0</v>
      </c>
      <c r="AG106" s="20">
        <v>119000</v>
      </c>
      <c r="AH106" s="20">
        <v>82110</v>
      </c>
      <c r="AI106" s="20">
        <v>33536</v>
      </c>
      <c r="AJ106" s="20">
        <v>3354</v>
      </c>
      <c r="AK106" s="20">
        <v>36890</v>
      </c>
    </row>
    <row r="107" spans="1:37" ht="16.5" customHeight="1" x14ac:dyDescent="0.3">
      <c r="A107" s="18" t="s">
        <v>554</v>
      </c>
      <c r="B107" s="18" t="s">
        <v>240</v>
      </c>
      <c r="C107" s="19" t="s">
        <v>241</v>
      </c>
      <c r="D107" s="18" t="s">
        <v>555</v>
      </c>
      <c r="E107" s="19" t="s">
        <v>556</v>
      </c>
      <c r="F107" s="18" t="s">
        <v>244</v>
      </c>
      <c r="G107" s="18" t="s">
        <v>245</v>
      </c>
      <c r="H107" s="19" t="s">
        <v>175</v>
      </c>
      <c r="I107" s="18" t="s">
        <v>246</v>
      </c>
      <c r="J107" s="19" t="s">
        <v>247</v>
      </c>
      <c r="K107" s="19" t="s">
        <v>248</v>
      </c>
      <c r="L107" s="18" t="s">
        <v>164</v>
      </c>
      <c r="M107" s="18" t="s">
        <v>272</v>
      </c>
      <c r="N107" s="18" t="s">
        <v>250</v>
      </c>
      <c r="O107" s="20">
        <v>119000</v>
      </c>
      <c r="P107" s="20">
        <v>82110</v>
      </c>
      <c r="Q107" s="20">
        <v>1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31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119000</v>
      </c>
      <c r="AD107" s="20">
        <v>82110</v>
      </c>
      <c r="AE107" s="20">
        <v>0</v>
      </c>
      <c r="AF107" s="20">
        <v>0</v>
      </c>
      <c r="AG107" s="20">
        <v>119000</v>
      </c>
      <c r="AH107" s="20">
        <v>82110</v>
      </c>
      <c r="AI107" s="20">
        <v>33536</v>
      </c>
      <c r="AJ107" s="20">
        <v>3354</v>
      </c>
      <c r="AK107" s="20">
        <v>36890</v>
      </c>
    </row>
    <row r="108" spans="1:37" ht="16.5" customHeight="1" x14ac:dyDescent="0.3">
      <c r="A108" s="18" t="s">
        <v>557</v>
      </c>
      <c r="B108" s="18" t="s">
        <v>240</v>
      </c>
      <c r="C108" s="19" t="s">
        <v>241</v>
      </c>
      <c r="D108" s="18" t="s">
        <v>558</v>
      </c>
      <c r="E108" s="19" t="s">
        <v>559</v>
      </c>
      <c r="F108" s="18" t="s">
        <v>244</v>
      </c>
      <c r="G108" s="18" t="s">
        <v>245</v>
      </c>
      <c r="H108" s="19" t="s">
        <v>175</v>
      </c>
      <c r="I108" s="18" t="s">
        <v>246</v>
      </c>
      <c r="J108" s="19" t="s">
        <v>247</v>
      </c>
      <c r="K108" s="19" t="s">
        <v>248</v>
      </c>
      <c r="L108" s="18" t="s">
        <v>164</v>
      </c>
      <c r="M108" s="18" t="s">
        <v>272</v>
      </c>
      <c r="N108" s="18" t="s">
        <v>250</v>
      </c>
      <c r="O108" s="20">
        <v>119000</v>
      </c>
      <c r="P108" s="20">
        <v>82110</v>
      </c>
      <c r="Q108" s="20">
        <v>1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31</v>
      </c>
      <c r="X108" s="20">
        <v>17850</v>
      </c>
      <c r="Y108" s="20">
        <v>0</v>
      </c>
      <c r="Z108" s="20">
        <v>0</v>
      </c>
      <c r="AA108" s="20">
        <v>0</v>
      </c>
      <c r="AB108" s="20">
        <v>0</v>
      </c>
      <c r="AC108" s="20">
        <v>119000</v>
      </c>
      <c r="AD108" s="20">
        <v>82110</v>
      </c>
      <c r="AE108" s="20">
        <v>0</v>
      </c>
      <c r="AF108" s="20">
        <v>17850</v>
      </c>
      <c r="AG108" s="20">
        <v>101150</v>
      </c>
      <c r="AH108" s="20">
        <v>82110</v>
      </c>
      <c r="AI108" s="20">
        <v>17309</v>
      </c>
      <c r="AJ108" s="20">
        <v>1731</v>
      </c>
      <c r="AK108" s="20">
        <v>19040</v>
      </c>
    </row>
    <row r="109" spans="1:37" ht="16.5" customHeight="1" x14ac:dyDescent="0.3">
      <c r="A109" s="18" t="s">
        <v>560</v>
      </c>
      <c r="B109" s="18" t="s">
        <v>240</v>
      </c>
      <c r="C109" s="19" t="s">
        <v>241</v>
      </c>
      <c r="D109" s="18" t="s">
        <v>561</v>
      </c>
      <c r="E109" s="19" t="s">
        <v>562</v>
      </c>
      <c r="F109" s="18" t="s">
        <v>244</v>
      </c>
      <c r="G109" s="18" t="s">
        <v>245</v>
      </c>
      <c r="H109" s="19" t="s">
        <v>175</v>
      </c>
      <c r="I109" s="18" t="s">
        <v>246</v>
      </c>
      <c r="J109" s="19" t="s">
        <v>247</v>
      </c>
      <c r="K109" s="19" t="s">
        <v>248</v>
      </c>
      <c r="L109" s="18" t="s">
        <v>164</v>
      </c>
      <c r="M109" s="18" t="s">
        <v>272</v>
      </c>
      <c r="N109" s="18" t="s">
        <v>250</v>
      </c>
      <c r="O109" s="20">
        <v>119000</v>
      </c>
      <c r="P109" s="20">
        <v>82110</v>
      </c>
      <c r="Q109" s="20">
        <v>1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31</v>
      </c>
      <c r="X109" s="20">
        <v>0</v>
      </c>
      <c r="Y109" s="20">
        <v>0</v>
      </c>
      <c r="Z109" s="20">
        <v>0</v>
      </c>
      <c r="AA109" s="20">
        <v>0</v>
      </c>
      <c r="AB109" s="20">
        <v>5950</v>
      </c>
      <c r="AC109" s="20">
        <v>119000</v>
      </c>
      <c r="AD109" s="20">
        <v>82110</v>
      </c>
      <c r="AE109" s="20">
        <v>0</v>
      </c>
      <c r="AF109" s="20">
        <v>5950</v>
      </c>
      <c r="AG109" s="20">
        <v>113050</v>
      </c>
      <c r="AH109" s="20">
        <v>82110</v>
      </c>
      <c r="AI109" s="20">
        <v>28127</v>
      </c>
      <c r="AJ109" s="20">
        <v>2813</v>
      </c>
      <c r="AK109" s="20">
        <v>30940</v>
      </c>
    </row>
    <row r="110" spans="1:37" ht="16.5" customHeight="1" x14ac:dyDescent="0.3">
      <c r="A110" s="18" t="s">
        <v>563</v>
      </c>
      <c r="B110" s="18" t="s">
        <v>240</v>
      </c>
      <c r="C110" s="19" t="s">
        <v>241</v>
      </c>
      <c r="D110" s="18" t="s">
        <v>564</v>
      </c>
      <c r="E110" s="19" t="s">
        <v>565</v>
      </c>
      <c r="F110" s="18" t="s">
        <v>244</v>
      </c>
      <c r="G110" s="18" t="s">
        <v>245</v>
      </c>
      <c r="H110" s="19" t="s">
        <v>175</v>
      </c>
      <c r="I110" s="18" t="s">
        <v>246</v>
      </c>
      <c r="J110" s="19" t="s">
        <v>247</v>
      </c>
      <c r="K110" s="19" t="s">
        <v>314</v>
      </c>
      <c r="L110" s="18" t="s">
        <v>164</v>
      </c>
      <c r="M110" s="18" t="s">
        <v>272</v>
      </c>
      <c r="N110" s="18" t="s">
        <v>250</v>
      </c>
      <c r="O110" s="20">
        <v>119000</v>
      </c>
      <c r="P110" s="20">
        <v>82110</v>
      </c>
      <c r="Q110" s="20">
        <v>1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31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119000</v>
      </c>
      <c r="AD110" s="20">
        <v>82110</v>
      </c>
      <c r="AE110" s="20">
        <v>0</v>
      </c>
      <c r="AF110" s="20">
        <v>0</v>
      </c>
      <c r="AG110" s="20">
        <v>119000</v>
      </c>
      <c r="AH110" s="20">
        <v>82110</v>
      </c>
      <c r="AI110" s="20">
        <v>33536</v>
      </c>
      <c r="AJ110" s="20">
        <v>3354</v>
      </c>
      <c r="AK110" s="20">
        <v>36890</v>
      </c>
    </row>
    <row r="111" spans="1:37" ht="16.5" customHeight="1" x14ac:dyDescent="0.3">
      <c r="A111" s="18" t="s">
        <v>566</v>
      </c>
      <c r="B111" s="18" t="s">
        <v>240</v>
      </c>
      <c r="C111" s="19" t="s">
        <v>241</v>
      </c>
      <c r="D111" s="18" t="s">
        <v>567</v>
      </c>
      <c r="E111" s="19" t="s">
        <v>568</v>
      </c>
      <c r="F111" s="18" t="s">
        <v>244</v>
      </c>
      <c r="G111" s="18" t="s">
        <v>245</v>
      </c>
      <c r="H111" s="19" t="s">
        <v>175</v>
      </c>
      <c r="I111" s="18" t="s">
        <v>246</v>
      </c>
      <c r="J111" s="19" t="s">
        <v>247</v>
      </c>
      <c r="K111" s="19" t="s">
        <v>248</v>
      </c>
      <c r="L111" s="18" t="s">
        <v>164</v>
      </c>
      <c r="M111" s="18" t="s">
        <v>272</v>
      </c>
      <c r="N111" s="18" t="s">
        <v>250</v>
      </c>
      <c r="O111" s="20">
        <v>119000</v>
      </c>
      <c r="P111" s="20">
        <v>82110</v>
      </c>
      <c r="Q111" s="20">
        <v>1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31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119000</v>
      </c>
      <c r="AD111" s="20">
        <v>82110</v>
      </c>
      <c r="AE111" s="20">
        <v>0</v>
      </c>
      <c r="AF111" s="20">
        <v>0</v>
      </c>
      <c r="AG111" s="20">
        <v>119000</v>
      </c>
      <c r="AH111" s="20">
        <v>82110</v>
      </c>
      <c r="AI111" s="20">
        <v>33536</v>
      </c>
      <c r="AJ111" s="20">
        <v>3354</v>
      </c>
      <c r="AK111" s="20">
        <v>36890</v>
      </c>
    </row>
    <row r="112" spans="1:37" ht="16.5" customHeight="1" x14ac:dyDescent="0.3">
      <c r="A112" s="18" t="s">
        <v>569</v>
      </c>
      <c r="B112" s="18" t="s">
        <v>240</v>
      </c>
      <c r="C112" s="19" t="s">
        <v>241</v>
      </c>
      <c r="D112" s="18" t="s">
        <v>570</v>
      </c>
      <c r="E112" s="19" t="s">
        <v>571</v>
      </c>
      <c r="F112" s="18" t="s">
        <v>244</v>
      </c>
      <c r="G112" s="18" t="s">
        <v>245</v>
      </c>
      <c r="H112" s="19" t="s">
        <v>175</v>
      </c>
      <c r="I112" s="18" t="s">
        <v>246</v>
      </c>
      <c r="J112" s="19" t="s">
        <v>247</v>
      </c>
      <c r="K112" s="19" t="s">
        <v>248</v>
      </c>
      <c r="L112" s="18" t="s">
        <v>164</v>
      </c>
      <c r="M112" s="18" t="s">
        <v>272</v>
      </c>
      <c r="N112" s="18" t="s">
        <v>250</v>
      </c>
      <c r="O112" s="20">
        <v>119000</v>
      </c>
      <c r="P112" s="20">
        <v>82110</v>
      </c>
      <c r="Q112" s="20">
        <v>1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31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119000</v>
      </c>
      <c r="AD112" s="20">
        <v>82110</v>
      </c>
      <c r="AE112" s="20">
        <v>0</v>
      </c>
      <c r="AF112" s="20">
        <v>0</v>
      </c>
      <c r="AG112" s="20">
        <v>119000</v>
      </c>
      <c r="AH112" s="20">
        <v>82110</v>
      </c>
      <c r="AI112" s="20">
        <v>33536</v>
      </c>
      <c r="AJ112" s="20">
        <v>3354</v>
      </c>
      <c r="AK112" s="20">
        <v>36890</v>
      </c>
    </row>
    <row r="113" spans="1:37" ht="16.5" customHeight="1" x14ac:dyDescent="0.3">
      <c r="A113" s="18" t="s">
        <v>572</v>
      </c>
      <c r="B113" s="18" t="s">
        <v>240</v>
      </c>
      <c r="C113" s="19" t="s">
        <v>241</v>
      </c>
      <c r="D113" s="18" t="s">
        <v>573</v>
      </c>
      <c r="E113" s="19" t="s">
        <v>574</v>
      </c>
      <c r="F113" s="18" t="s">
        <v>244</v>
      </c>
      <c r="G113" s="18" t="s">
        <v>245</v>
      </c>
      <c r="H113" s="19" t="s">
        <v>175</v>
      </c>
      <c r="I113" s="18" t="s">
        <v>246</v>
      </c>
      <c r="J113" s="19" t="s">
        <v>247</v>
      </c>
      <c r="K113" s="19" t="s">
        <v>248</v>
      </c>
      <c r="L113" s="18" t="s">
        <v>164</v>
      </c>
      <c r="M113" s="18" t="s">
        <v>272</v>
      </c>
      <c r="N113" s="18" t="s">
        <v>250</v>
      </c>
      <c r="O113" s="20">
        <v>119000</v>
      </c>
      <c r="P113" s="20">
        <v>82110</v>
      </c>
      <c r="Q113" s="20">
        <v>1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31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119000</v>
      </c>
      <c r="AD113" s="20">
        <v>82110</v>
      </c>
      <c r="AE113" s="20">
        <v>0</v>
      </c>
      <c r="AF113" s="20">
        <v>0</v>
      </c>
      <c r="AG113" s="20">
        <v>119000</v>
      </c>
      <c r="AH113" s="20">
        <v>82110</v>
      </c>
      <c r="AI113" s="20">
        <v>33536</v>
      </c>
      <c r="AJ113" s="20">
        <v>3354</v>
      </c>
      <c r="AK113" s="20">
        <v>36890</v>
      </c>
    </row>
    <row r="114" spans="1:37" ht="16.5" customHeight="1" x14ac:dyDescent="0.3">
      <c r="A114" s="18" t="s">
        <v>575</v>
      </c>
      <c r="B114" s="18" t="s">
        <v>240</v>
      </c>
      <c r="C114" s="19" t="s">
        <v>241</v>
      </c>
      <c r="D114" s="18" t="s">
        <v>576</v>
      </c>
      <c r="E114" s="19" t="s">
        <v>577</v>
      </c>
      <c r="F114" s="18" t="s">
        <v>244</v>
      </c>
      <c r="G114" s="18" t="s">
        <v>245</v>
      </c>
      <c r="H114" s="19" t="s">
        <v>175</v>
      </c>
      <c r="I114" s="18" t="s">
        <v>246</v>
      </c>
      <c r="J114" s="19" t="s">
        <v>247</v>
      </c>
      <c r="K114" s="19" t="s">
        <v>248</v>
      </c>
      <c r="L114" s="18" t="s">
        <v>164</v>
      </c>
      <c r="M114" s="18" t="s">
        <v>272</v>
      </c>
      <c r="N114" s="18" t="s">
        <v>250</v>
      </c>
      <c r="O114" s="20">
        <v>119000</v>
      </c>
      <c r="P114" s="20">
        <v>82110</v>
      </c>
      <c r="Q114" s="20">
        <v>1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31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119000</v>
      </c>
      <c r="AD114" s="20">
        <v>82110</v>
      </c>
      <c r="AE114" s="20">
        <v>0</v>
      </c>
      <c r="AF114" s="20">
        <v>0</v>
      </c>
      <c r="AG114" s="20">
        <v>119000</v>
      </c>
      <c r="AH114" s="20">
        <v>82110</v>
      </c>
      <c r="AI114" s="20">
        <v>33536</v>
      </c>
      <c r="AJ114" s="20">
        <v>3354</v>
      </c>
      <c r="AK114" s="20">
        <v>36890</v>
      </c>
    </row>
    <row r="115" spans="1:37" ht="16.5" customHeight="1" x14ac:dyDescent="0.3">
      <c r="A115" s="18" t="s">
        <v>578</v>
      </c>
      <c r="B115" s="18" t="s">
        <v>240</v>
      </c>
      <c r="C115" s="19" t="s">
        <v>241</v>
      </c>
      <c r="D115" s="18" t="s">
        <v>579</v>
      </c>
      <c r="E115" s="19" t="s">
        <v>580</v>
      </c>
      <c r="F115" s="18" t="s">
        <v>244</v>
      </c>
      <c r="G115" s="18" t="s">
        <v>245</v>
      </c>
      <c r="H115" s="19" t="s">
        <v>175</v>
      </c>
      <c r="I115" s="18" t="s">
        <v>246</v>
      </c>
      <c r="J115" s="19" t="s">
        <v>247</v>
      </c>
      <c r="K115" s="19" t="s">
        <v>248</v>
      </c>
      <c r="L115" s="18" t="s">
        <v>164</v>
      </c>
      <c r="M115" s="18" t="s">
        <v>272</v>
      </c>
      <c r="N115" s="18" t="s">
        <v>250</v>
      </c>
      <c r="O115" s="20">
        <v>119000</v>
      </c>
      <c r="P115" s="20">
        <v>82110</v>
      </c>
      <c r="Q115" s="20">
        <v>1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31</v>
      </c>
      <c r="X115" s="20">
        <v>19040</v>
      </c>
      <c r="Y115" s="20">
        <v>0</v>
      </c>
      <c r="Z115" s="20">
        <v>0</v>
      </c>
      <c r="AA115" s="20">
        <v>0</v>
      </c>
      <c r="AB115" s="20">
        <v>0</v>
      </c>
      <c r="AC115" s="20">
        <v>119000</v>
      </c>
      <c r="AD115" s="20">
        <v>82110</v>
      </c>
      <c r="AE115" s="20">
        <v>0</v>
      </c>
      <c r="AF115" s="20">
        <v>19040</v>
      </c>
      <c r="AG115" s="20">
        <v>99960</v>
      </c>
      <c r="AH115" s="20">
        <v>82110</v>
      </c>
      <c r="AI115" s="20">
        <v>16227</v>
      </c>
      <c r="AJ115" s="20">
        <v>1623</v>
      </c>
      <c r="AK115" s="20">
        <v>17850</v>
      </c>
    </row>
    <row r="116" spans="1:37" ht="16.5" customHeight="1" x14ac:dyDescent="0.3">
      <c r="A116" s="18" t="s">
        <v>581</v>
      </c>
      <c r="B116" s="18" t="s">
        <v>240</v>
      </c>
      <c r="C116" s="19" t="s">
        <v>241</v>
      </c>
      <c r="D116" s="18" t="s">
        <v>582</v>
      </c>
      <c r="E116" s="19" t="s">
        <v>278</v>
      </c>
      <c r="F116" s="18" t="s">
        <v>244</v>
      </c>
      <c r="G116" s="18" t="s">
        <v>245</v>
      </c>
      <c r="H116" s="19" t="s">
        <v>175</v>
      </c>
      <c r="I116" s="18" t="s">
        <v>246</v>
      </c>
      <c r="J116" s="19" t="s">
        <v>247</v>
      </c>
      <c r="K116" s="19" t="s">
        <v>248</v>
      </c>
      <c r="L116" s="18" t="s">
        <v>164</v>
      </c>
      <c r="M116" s="18" t="s">
        <v>272</v>
      </c>
      <c r="N116" s="18" t="s">
        <v>250</v>
      </c>
      <c r="O116" s="20">
        <v>119000</v>
      </c>
      <c r="P116" s="20">
        <v>82110</v>
      </c>
      <c r="Q116" s="20">
        <v>1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31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119000</v>
      </c>
      <c r="AD116" s="20">
        <v>82110</v>
      </c>
      <c r="AE116" s="20">
        <v>0</v>
      </c>
      <c r="AF116" s="20">
        <v>0</v>
      </c>
      <c r="AG116" s="20">
        <v>119000</v>
      </c>
      <c r="AH116" s="20">
        <v>82110</v>
      </c>
      <c r="AI116" s="20">
        <v>33536</v>
      </c>
      <c r="AJ116" s="20">
        <v>3354</v>
      </c>
      <c r="AK116" s="20">
        <v>36890</v>
      </c>
    </row>
    <row r="117" spans="1:37" ht="16.5" customHeight="1" x14ac:dyDescent="0.3">
      <c r="A117" s="18" t="s">
        <v>583</v>
      </c>
      <c r="B117" s="18" t="s">
        <v>240</v>
      </c>
      <c r="C117" s="19" t="s">
        <v>241</v>
      </c>
      <c r="D117" s="18" t="s">
        <v>584</v>
      </c>
      <c r="E117" s="19" t="s">
        <v>585</v>
      </c>
      <c r="F117" s="18" t="s">
        <v>244</v>
      </c>
      <c r="G117" s="18" t="s">
        <v>245</v>
      </c>
      <c r="H117" s="19" t="s">
        <v>175</v>
      </c>
      <c r="I117" s="18" t="s">
        <v>246</v>
      </c>
      <c r="J117" s="19" t="s">
        <v>247</v>
      </c>
      <c r="K117" s="19" t="s">
        <v>314</v>
      </c>
      <c r="L117" s="18" t="s">
        <v>164</v>
      </c>
      <c r="M117" s="18" t="s">
        <v>272</v>
      </c>
      <c r="N117" s="18" t="s">
        <v>250</v>
      </c>
      <c r="O117" s="20">
        <v>119000</v>
      </c>
      <c r="P117" s="20">
        <v>82110</v>
      </c>
      <c r="Q117" s="20">
        <v>1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31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119000</v>
      </c>
      <c r="AD117" s="20">
        <v>82110</v>
      </c>
      <c r="AE117" s="20">
        <v>0</v>
      </c>
      <c r="AF117" s="20">
        <v>0</v>
      </c>
      <c r="AG117" s="20">
        <v>119000</v>
      </c>
      <c r="AH117" s="20">
        <v>82110</v>
      </c>
      <c r="AI117" s="20">
        <v>33536</v>
      </c>
      <c r="AJ117" s="20">
        <v>3354</v>
      </c>
      <c r="AK117" s="20">
        <v>36890</v>
      </c>
    </row>
    <row r="118" spans="1:37" ht="16.5" customHeight="1" x14ac:dyDescent="0.3">
      <c r="A118" s="18" t="s">
        <v>586</v>
      </c>
      <c r="B118" s="18" t="s">
        <v>240</v>
      </c>
      <c r="C118" s="19" t="s">
        <v>241</v>
      </c>
      <c r="D118" s="18" t="s">
        <v>587</v>
      </c>
      <c r="E118" s="19" t="s">
        <v>588</v>
      </c>
      <c r="F118" s="18" t="s">
        <v>244</v>
      </c>
      <c r="G118" s="18" t="s">
        <v>245</v>
      </c>
      <c r="H118" s="19" t="s">
        <v>175</v>
      </c>
      <c r="I118" s="18" t="s">
        <v>246</v>
      </c>
      <c r="J118" s="19" t="s">
        <v>247</v>
      </c>
      <c r="K118" s="19" t="s">
        <v>248</v>
      </c>
      <c r="L118" s="18" t="s">
        <v>164</v>
      </c>
      <c r="M118" s="18" t="s">
        <v>272</v>
      </c>
      <c r="N118" s="18" t="s">
        <v>250</v>
      </c>
      <c r="O118" s="20">
        <v>119000</v>
      </c>
      <c r="P118" s="20">
        <v>82110</v>
      </c>
      <c r="Q118" s="20">
        <v>1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31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119000</v>
      </c>
      <c r="AD118" s="20">
        <v>82110</v>
      </c>
      <c r="AE118" s="20">
        <v>0</v>
      </c>
      <c r="AF118" s="20">
        <v>0</v>
      </c>
      <c r="AG118" s="20">
        <v>119000</v>
      </c>
      <c r="AH118" s="20">
        <v>82110</v>
      </c>
      <c r="AI118" s="20">
        <v>33536</v>
      </c>
      <c r="AJ118" s="20">
        <v>3354</v>
      </c>
      <c r="AK118" s="20">
        <v>36890</v>
      </c>
    </row>
    <row r="119" spans="1:37" ht="16.5" customHeight="1" x14ac:dyDescent="0.3">
      <c r="A119" s="18" t="s">
        <v>589</v>
      </c>
      <c r="B119" s="18" t="s">
        <v>240</v>
      </c>
      <c r="C119" s="19" t="s">
        <v>241</v>
      </c>
      <c r="D119" s="18" t="s">
        <v>590</v>
      </c>
      <c r="E119" s="19" t="s">
        <v>591</v>
      </c>
      <c r="F119" s="18" t="s">
        <v>244</v>
      </c>
      <c r="G119" s="18" t="s">
        <v>245</v>
      </c>
      <c r="H119" s="19" t="s">
        <v>175</v>
      </c>
      <c r="I119" s="18" t="s">
        <v>246</v>
      </c>
      <c r="J119" s="19" t="s">
        <v>247</v>
      </c>
      <c r="K119" s="19" t="s">
        <v>248</v>
      </c>
      <c r="L119" s="18" t="s">
        <v>164</v>
      </c>
      <c r="M119" s="18" t="s">
        <v>272</v>
      </c>
      <c r="N119" s="18" t="s">
        <v>250</v>
      </c>
      <c r="O119" s="20">
        <v>119000</v>
      </c>
      <c r="P119" s="20">
        <v>82110</v>
      </c>
      <c r="Q119" s="20">
        <v>1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31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119000</v>
      </c>
      <c r="AD119" s="20">
        <v>82110</v>
      </c>
      <c r="AE119" s="20">
        <v>0</v>
      </c>
      <c r="AF119" s="20">
        <v>0</v>
      </c>
      <c r="AG119" s="20">
        <v>119000</v>
      </c>
      <c r="AH119" s="20">
        <v>82110</v>
      </c>
      <c r="AI119" s="20">
        <v>33536</v>
      </c>
      <c r="AJ119" s="20">
        <v>3354</v>
      </c>
      <c r="AK119" s="20">
        <v>36890</v>
      </c>
    </row>
    <row r="120" spans="1:37" ht="16.5" customHeight="1" x14ac:dyDescent="0.3">
      <c r="A120" s="18" t="s">
        <v>592</v>
      </c>
      <c r="B120" s="18" t="s">
        <v>240</v>
      </c>
      <c r="C120" s="19" t="s">
        <v>241</v>
      </c>
      <c r="D120" s="18" t="s">
        <v>593</v>
      </c>
      <c r="E120" s="19" t="s">
        <v>524</v>
      </c>
      <c r="F120" s="18" t="s">
        <v>244</v>
      </c>
      <c r="G120" s="18" t="s">
        <v>245</v>
      </c>
      <c r="H120" s="19" t="s">
        <v>175</v>
      </c>
      <c r="I120" s="18" t="s">
        <v>246</v>
      </c>
      <c r="J120" s="19" t="s">
        <v>247</v>
      </c>
      <c r="K120" s="19" t="s">
        <v>248</v>
      </c>
      <c r="L120" s="18" t="s">
        <v>164</v>
      </c>
      <c r="M120" s="18" t="s">
        <v>272</v>
      </c>
      <c r="N120" s="18" t="s">
        <v>250</v>
      </c>
      <c r="O120" s="20">
        <v>119000</v>
      </c>
      <c r="P120" s="20">
        <v>82110</v>
      </c>
      <c r="Q120" s="20">
        <v>1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31</v>
      </c>
      <c r="X120" s="20">
        <v>0</v>
      </c>
      <c r="Y120" s="20">
        <v>10000</v>
      </c>
      <c r="Z120" s="20">
        <v>0</v>
      </c>
      <c r="AA120" s="20">
        <v>0</v>
      </c>
      <c r="AB120" s="20">
        <v>0</v>
      </c>
      <c r="AC120" s="20">
        <v>119000</v>
      </c>
      <c r="AD120" s="20">
        <v>82110</v>
      </c>
      <c r="AE120" s="20">
        <v>0</v>
      </c>
      <c r="AF120" s="20">
        <v>10000</v>
      </c>
      <c r="AG120" s="20">
        <v>109000</v>
      </c>
      <c r="AH120" s="20">
        <v>82110</v>
      </c>
      <c r="AI120" s="20">
        <v>24445</v>
      </c>
      <c r="AJ120" s="20">
        <v>2445</v>
      </c>
      <c r="AK120" s="20">
        <v>26890</v>
      </c>
    </row>
    <row r="121" spans="1:37" ht="16.5" customHeight="1" x14ac:dyDescent="0.3">
      <c r="A121" s="18" t="s">
        <v>594</v>
      </c>
      <c r="B121" s="18" t="s">
        <v>240</v>
      </c>
      <c r="C121" s="19" t="s">
        <v>241</v>
      </c>
      <c r="D121" s="18" t="s">
        <v>595</v>
      </c>
      <c r="E121" s="19" t="s">
        <v>596</v>
      </c>
      <c r="F121" s="18" t="s">
        <v>244</v>
      </c>
      <c r="G121" s="18" t="s">
        <v>245</v>
      </c>
      <c r="H121" s="19" t="s">
        <v>175</v>
      </c>
      <c r="I121" s="18" t="s">
        <v>246</v>
      </c>
      <c r="J121" s="19" t="s">
        <v>247</v>
      </c>
      <c r="K121" s="19" t="s">
        <v>248</v>
      </c>
      <c r="L121" s="18" t="s">
        <v>164</v>
      </c>
      <c r="M121" s="18" t="s">
        <v>272</v>
      </c>
      <c r="N121" s="18" t="s">
        <v>250</v>
      </c>
      <c r="O121" s="20">
        <v>119000</v>
      </c>
      <c r="P121" s="20">
        <v>82110</v>
      </c>
      <c r="Q121" s="20">
        <v>1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31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119000</v>
      </c>
      <c r="AD121" s="20">
        <v>82110</v>
      </c>
      <c r="AE121" s="20">
        <v>0</v>
      </c>
      <c r="AF121" s="20">
        <v>0</v>
      </c>
      <c r="AG121" s="20">
        <v>119000</v>
      </c>
      <c r="AH121" s="20">
        <v>82110</v>
      </c>
      <c r="AI121" s="20">
        <v>33536</v>
      </c>
      <c r="AJ121" s="20">
        <v>3354</v>
      </c>
      <c r="AK121" s="20">
        <v>36890</v>
      </c>
    </row>
    <row r="122" spans="1:37" ht="16.5" customHeight="1" x14ac:dyDescent="0.3">
      <c r="A122" s="18" t="s">
        <v>597</v>
      </c>
      <c r="B122" s="18" t="s">
        <v>240</v>
      </c>
      <c r="C122" s="19" t="s">
        <v>241</v>
      </c>
      <c r="D122" s="18" t="s">
        <v>598</v>
      </c>
      <c r="E122" s="19" t="s">
        <v>599</v>
      </c>
      <c r="F122" s="18" t="s">
        <v>244</v>
      </c>
      <c r="G122" s="18" t="s">
        <v>245</v>
      </c>
      <c r="H122" s="19" t="s">
        <v>175</v>
      </c>
      <c r="I122" s="18" t="s">
        <v>246</v>
      </c>
      <c r="J122" s="19" t="s">
        <v>247</v>
      </c>
      <c r="K122" s="19" t="s">
        <v>248</v>
      </c>
      <c r="L122" s="18" t="s">
        <v>164</v>
      </c>
      <c r="M122" s="18" t="s">
        <v>272</v>
      </c>
      <c r="N122" s="18" t="s">
        <v>250</v>
      </c>
      <c r="O122" s="20">
        <v>119000</v>
      </c>
      <c r="P122" s="20">
        <v>82110</v>
      </c>
      <c r="Q122" s="20">
        <v>1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31</v>
      </c>
      <c r="X122" s="20">
        <v>0</v>
      </c>
      <c r="Y122" s="20">
        <v>0</v>
      </c>
      <c r="Z122" s="20">
        <v>0</v>
      </c>
      <c r="AA122" s="20">
        <v>0</v>
      </c>
      <c r="AB122" s="20">
        <v>5950</v>
      </c>
      <c r="AC122" s="20">
        <v>119000</v>
      </c>
      <c r="AD122" s="20">
        <v>82110</v>
      </c>
      <c r="AE122" s="20">
        <v>0</v>
      </c>
      <c r="AF122" s="20">
        <v>5950</v>
      </c>
      <c r="AG122" s="20">
        <v>113050</v>
      </c>
      <c r="AH122" s="20">
        <v>82110</v>
      </c>
      <c r="AI122" s="20">
        <v>28127</v>
      </c>
      <c r="AJ122" s="20">
        <v>2813</v>
      </c>
      <c r="AK122" s="20">
        <v>30940</v>
      </c>
    </row>
    <row r="123" spans="1:37" ht="16.5" customHeight="1" x14ac:dyDescent="0.3">
      <c r="A123" s="18" t="s">
        <v>600</v>
      </c>
      <c r="B123" s="18" t="s">
        <v>240</v>
      </c>
      <c r="C123" s="19" t="s">
        <v>241</v>
      </c>
      <c r="D123" s="18" t="s">
        <v>601</v>
      </c>
      <c r="E123" s="19" t="s">
        <v>602</v>
      </c>
      <c r="F123" s="18" t="s">
        <v>244</v>
      </c>
      <c r="G123" s="18" t="s">
        <v>245</v>
      </c>
      <c r="H123" s="19" t="s">
        <v>175</v>
      </c>
      <c r="I123" s="18" t="s">
        <v>246</v>
      </c>
      <c r="J123" s="19" t="s">
        <v>247</v>
      </c>
      <c r="K123" s="19" t="s">
        <v>248</v>
      </c>
      <c r="L123" s="18" t="s">
        <v>164</v>
      </c>
      <c r="M123" s="18" t="s">
        <v>272</v>
      </c>
      <c r="N123" s="18" t="s">
        <v>250</v>
      </c>
      <c r="O123" s="20">
        <v>119000</v>
      </c>
      <c r="P123" s="20">
        <v>82110</v>
      </c>
      <c r="Q123" s="20">
        <v>1</v>
      </c>
      <c r="R123" s="20">
        <v>0</v>
      </c>
      <c r="S123" s="20">
        <v>0</v>
      </c>
      <c r="T123" s="20">
        <v>0</v>
      </c>
      <c r="U123" s="20">
        <v>0</v>
      </c>
      <c r="V123" s="20">
        <v>0</v>
      </c>
      <c r="W123" s="20">
        <v>31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119000</v>
      </c>
      <c r="AD123" s="20">
        <v>82110</v>
      </c>
      <c r="AE123" s="20">
        <v>0</v>
      </c>
      <c r="AF123" s="20">
        <v>0</v>
      </c>
      <c r="AG123" s="20">
        <v>119000</v>
      </c>
      <c r="AH123" s="20">
        <v>82110</v>
      </c>
      <c r="AI123" s="20">
        <v>33536</v>
      </c>
      <c r="AJ123" s="20">
        <v>3354</v>
      </c>
      <c r="AK123" s="20">
        <v>36890</v>
      </c>
    </row>
    <row r="124" spans="1:37" ht="16.5" customHeight="1" x14ac:dyDescent="0.3">
      <c r="A124" s="18" t="s">
        <v>603</v>
      </c>
      <c r="B124" s="18" t="s">
        <v>240</v>
      </c>
      <c r="C124" s="19" t="s">
        <v>241</v>
      </c>
      <c r="D124" s="18" t="s">
        <v>604</v>
      </c>
      <c r="E124" s="19" t="s">
        <v>605</v>
      </c>
      <c r="F124" s="18" t="s">
        <v>244</v>
      </c>
      <c r="G124" s="18" t="s">
        <v>245</v>
      </c>
      <c r="H124" s="19" t="s">
        <v>175</v>
      </c>
      <c r="I124" s="18" t="s">
        <v>246</v>
      </c>
      <c r="J124" s="19" t="s">
        <v>247</v>
      </c>
      <c r="K124" s="19"/>
      <c r="L124" s="18" t="s">
        <v>164</v>
      </c>
      <c r="M124" s="18" t="s">
        <v>272</v>
      </c>
      <c r="N124" s="18" t="s">
        <v>250</v>
      </c>
      <c r="O124" s="20">
        <v>119000</v>
      </c>
      <c r="P124" s="20">
        <v>82110</v>
      </c>
      <c r="Q124" s="20">
        <v>1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31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119000</v>
      </c>
      <c r="AD124" s="20">
        <v>82110</v>
      </c>
      <c r="AE124" s="20">
        <v>0</v>
      </c>
      <c r="AF124" s="20">
        <v>0</v>
      </c>
      <c r="AG124" s="20">
        <v>119000</v>
      </c>
      <c r="AH124" s="20">
        <v>82110</v>
      </c>
      <c r="AI124" s="20">
        <v>33536</v>
      </c>
      <c r="AJ124" s="20">
        <v>3354</v>
      </c>
      <c r="AK124" s="20">
        <v>36890</v>
      </c>
    </row>
    <row r="125" spans="1:37" ht="16.5" customHeight="1" x14ac:dyDescent="0.3">
      <c r="A125" s="18" t="s">
        <v>606</v>
      </c>
      <c r="B125" s="18" t="s">
        <v>240</v>
      </c>
      <c r="C125" s="19" t="s">
        <v>241</v>
      </c>
      <c r="D125" s="18" t="s">
        <v>607</v>
      </c>
      <c r="E125" s="19" t="s">
        <v>608</v>
      </c>
      <c r="F125" s="18" t="s">
        <v>244</v>
      </c>
      <c r="G125" s="18" t="s">
        <v>245</v>
      </c>
      <c r="H125" s="19" t="s">
        <v>175</v>
      </c>
      <c r="I125" s="18" t="s">
        <v>246</v>
      </c>
      <c r="J125" s="19" t="s">
        <v>247</v>
      </c>
      <c r="K125" s="19" t="s">
        <v>248</v>
      </c>
      <c r="L125" s="18" t="s">
        <v>164</v>
      </c>
      <c r="M125" s="18" t="s">
        <v>272</v>
      </c>
      <c r="N125" s="18" t="s">
        <v>250</v>
      </c>
      <c r="O125" s="20">
        <v>119000</v>
      </c>
      <c r="P125" s="20">
        <v>82110</v>
      </c>
      <c r="Q125" s="20">
        <v>1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31</v>
      </c>
      <c r="X125" s="20">
        <v>0</v>
      </c>
      <c r="Y125" s="20">
        <v>10000</v>
      </c>
      <c r="Z125" s="20">
        <v>0</v>
      </c>
      <c r="AA125" s="20">
        <v>0</v>
      </c>
      <c r="AB125" s="20">
        <v>0</v>
      </c>
      <c r="AC125" s="20">
        <v>119000</v>
      </c>
      <c r="AD125" s="20">
        <v>82110</v>
      </c>
      <c r="AE125" s="20">
        <v>0</v>
      </c>
      <c r="AF125" s="20">
        <v>10000</v>
      </c>
      <c r="AG125" s="20">
        <v>109000</v>
      </c>
      <c r="AH125" s="20">
        <v>82110</v>
      </c>
      <c r="AI125" s="20">
        <v>24445</v>
      </c>
      <c r="AJ125" s="20">
        <v>2445</v>
      </c>
      <c r="AK125" s="20">
        <v>26890</v>
      </c>
    </row>
    <row r="126" spans="1:37" ht="16.5" customHeight="1" x14ac:dyDescent="0.3">
      <c r="A126" s="18" t="s">
        <v>609</v>
      </c>
      <c r="B126" s="18" t="s">
        <v>240</v>
      </c>
      <c r="C126" s="19" t="s">
        <v>241</v>
      </c>
      <c r="D126" s="18" t="s">
        <v>610</v>
      </c>
      <c r="E126" s="19" t="s">
        <v>278</v>
      </c>
      <c r="F126" s="18" t="s">
        <v>244</v>
      </c>
      <c r="G126" s="18" t="s">
        <v>245</v>
      </c>
      <c r="H126" s="19" t="s">
        <v>175</v>
      </c>
      <c r="I126" s="18" t="s">
        <v>246</v>
      </c>
      <c r="J126" s="19" t="s">
        <v>247</v>
      </c>
      <c r="K126" s="19" t="s">
        <v>248</v>
      </c>
      <c r="L126" s="18" t="s">
        <v>164</v>
      </c>
      <c r="M126" s="18" t="s">
        <v>272</v>
      </c>
      <c r="N126" s="18" t="s">
        <v>250</v>
      </c>
      <c r="O126" s="20">
        <v>119000</v>
      </c>
      <c r="P126" s="20">
        <v>82110</v>
      </c>
      <c r="Q126" s="20">
        <v>1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31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119000</v>
      </c>
      <c r="AD126" s="20">
        <v>82110</v>
      </c>
      <c r="AE126" s="20">
        <v>0</v>
      </c>
      <c r="AF126" s="20">
        <v>0</v>
      </c>
      <c r="AG126" s="20">
        <v>119000</v>
      </c>
      <c r="AH126" s="20">
        <v>82110</v>
      </c>
      <c r="AI126" s="20">
        <v>33536</v>
      </c>
      <c r="AJ126" s="20">
        <v>3354</v>
      </c>
      <c r="AK126" s="20">
        <v>36890</v>
      </c>
    </row>
    <row r="127" spans="1:37" ht="16.5" customHeight="1" x14ac:dyDescent="0.3">
      <c r="A127" s="18" t="s">
        <v>611</v>
      </c>
      <c r="B127" s="18" t="s">
        <v>240</v>
      </c>
      <c r="C127" s="19" t="s">
        <v>241</v>
      </c>
      <c r="D127" s="18" t="s">
        <v>612</v>
      </c>
      <c r="E127" s="19" t="s">
        <v>256</v>
      </c>
      <c r="F127" s="18" t="s">
        <v>244</v>
      </c>
      <c r="G127" s="18" t="s">
        <v>245</v>
      </c>
      <c r="H127" s="19" t="s">
        <v>175</v>
      </c>
      <c r="I127" s="18" t="s">
        <v>246</v>
      </c>
      <c r="J127" s="19" t="s">
        <v>247</v>
      </c>
      <c r="K127" s="19" t="s">
        <v>248</v>
      </c>
      <c r="L127" s="18" t="s">
        <v>164</v>
      </c>
      <c r="M127" s="18" t="s">
        <v>272</v>
      </c>
      <c r="N127" s="18" t="s">
        <v>250</v>
      </c>
      <c r="O127" s="20">
        <v>119000</v>
      </c>
      <c r="P127" s="20">
        <v>82110</v>
      </c>
      <c r="Q127" s="20">
        <v>1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31</v>
      </c>
      <c r="X127" s="20">
        <v>0</v>
      </c>
      <c r="Y127" s="20">
        <v>0</v>
      </c>
      <c r="Z127" s="20">
        <v>0</v>
      </c>
      <c r="AA127" s="20">
        <v>0</v>
      </c>
      <c r="AB127" s="20">
        <v>5950</v>
      </c>
      <c r="AC127" s="20">
        <v>119000</v>
      </c>
      <c r="AD127" s="20">
        <v>82110</v>
      </c>
      <c r="AE127" s="20">
        <v>0</v>
      </c>
      <c r="AF127" s="20">
        <v>5950</v>
      </c>
      <c r="AG127" s="20">
        <v>113050</v>
      </c>
      <c r="AH127" s="20">
        <v>82110</v>
      </c>
      <c r="AI127" s="20">
        <v>28127</v>
      </c>
      <c r="AJ127" s="20">
        <v>2813</v>
      </c>
      <c r="AK127" s="20">
        <v>30940</v>
      </c>
    </row>
    <row r="128" spans="1:37" ht="16.5" customHeight="1" x14ac:dyDescent="0.3">
      <c r="A128" s="18" t="s">
        <v>613</v>
      </c>
      <c r="B128" s="18" t="s">
        <v>240</v>
      </c>
      <c r="C128" s="19" t="s">
        <v>241</v>
      </c>
      <c r="D128" s="18" t="s">
        <v>614</v>
      </c>
      <c r="E128" s="19" t="s">
        <v>615</v>
      </c>
      <c r="F128" s="18" t="s">
        <v>244</v>
      </c>
      <c r="G128" s="18" t="s">
        <v>245</v>
      </c>
      <c r="H128" s="19" t="s">
        <v>175</v>
      </c>
      <c r="I128" s="18" t="s">
        <v>246</v>
      </c>
      <c r="J128" s="19" t="s">
        <v>247</v>
      </c>
      <c r="K128" s="19" t="s">
        <v>248</v>
      </c>
      <c r="L128" s="18" t="s">
        <v>164</v>
      </c>
      <c r="M128" s="18" t="s">
        <v>272</v>
      </c>
      <c r="N128" s="18" t="s">
        <v>250</v>
      </c>
      <c r="O128" s="20">
        <v>119000</v>
      </c>
      <c r="P128" s="20">
        <v>82110</v>
      </c>
      <c r="Q128" s="20">
        <v>1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20">
        <v>31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119000</v>
      </c>
      <c r="AD128" s="20">
        <v>82110</v>
      </c>
      <c r="AE128" s="20">
        <v>0</v>
      </c>
      <c r="AF128" s="20">
        <v>0</v>
      </c>
      <c r="AG128" s="20">
        <v>119000</v>
      </c>
      <c r="AH128" s="20">
        <v>82110</v>
      </c>
      <c r="AI128" s="20">
        <v>33536</v>
      </c>
      <c r="AJ128" s="20">
        <v>3354</v>
      </c>
      <c r="AK128" s="20">
        <v>36890</v>
      </c>
    </row>
    <row r="129" spans="1:37" ht="16.5" customHeight="1" x14ac:dyDescent="0.3">
      <c r="A129" s="18" t="s">
        <v>616</v>
      </c>
      <c r="B129" s="18" t="s">
        <v>240</v>
      </c>
      <c r="C129" s="19" t="s">
        <v>241</v>
      </c>
      <c r="D129" s="18" t="s">
        <v>617</v>
      </c>
      <c r="E129" s="19" t="s">
        <v>618</v>
      </c>
      <c r="F129" s="18" t="s">
        <v>244</v>
      </c>
      <c r="G129" s="18" t="s">
        <v>245</v>
      </c>
      <c r="H129" s="19" t="s">
        <v>175</v>
      </c>
      <c r="I129" s="18" t="s">
        <v>246</v>
      </c>
      <c r="J129" s="19" t="s">
        <v>247</v>
      </c>
      <c r="K129" s="19" t="s">
        <v>248</v>
      </c>
      <c r="L129" s="18" t="s">
        <v>164</v>
      </c>
      <c r="M129" s="18" t="s">
        <v>272</v>
      </c>
      <c r="N129" s="18" t="s">
        <v>250</v>
      </c>
      <c r="O129" s="20">
        <v>119000</v>
      </c>
      <c r="P129" s="20">
        <v>82110</v>
      </c>
      <c r="Q129" s="20">
        <v>1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31</v>
      </c>
      <c r="X129" s="20">
        <v>19040</v>
      </c>
      <c r="Y129" s="20">
        <v>0</v>
      </c>
      <c r="Z129" s="20">
        <v>0</v>
      </c>
      <c r="AA129" s="20">
        <v>0</v>
      </c>
      <c r="AB129" s="20">
        <v>0</v>
      </c>
      <c r="AC129" s="20">
        <v>119000</v>
      </c>
      <c r="AD129" s="20">
        <v>82110</v>
      </c>
      <c r="AE129" s="20">
        <v>0</v>
      </c>
      <c r="AF129" s="20">
        <v>19040</v>
      </c>
      <c r="AG129" s="20">
        <v>99960</v>
      </c>
      <c r="AH129" s="20">
        <v>82110</v>
      </c>
      <c r="AI129" s="20">
        <v>16227</v>
      </c>
      <c r="AJ129" s="20">
        <v>1623</v>
      </c>
      <c r="AK129" s="20">
        <v>17850</v>
      </c>
    </row>
    <row r="130" spans="1:37" ht="16.5" customHeight="1" x14ac:dyDescent="0.3">
      <c r="A130" s="18" t="s">
        <v>619</v>
      </c>
      <c r="B130" s="18" t="s">
        <v>240</v>
      </c>
      <c r="C130" s="19" t="s">
        <v>241</v>
      </c>
      <c r="D130" s="18" t="s">
        <v>595</v>
      </c>
      <c r="E130" s="19" t="s">
        <v>596</v>
      </c>
      <c r="F130" s="18" t="s">
        <v>244</v>
      </c>
      <c r="G130" s="18" t="s">
        <v>245</v>
      </c>
      <c r="H130" s="19" t="s">
        <v>175</v>
      </c>
      <c r="I130" s="18" t="s">
        <v>246</v>
      </c>
      <c r="J130" s="19" t="s">
        <v>247</v>
      </c>
      <c r="K130" s="19" t="s">
        <v>248</v>
      </c>
      <c r="L130" s="18" t="s">
        <v>164</v>
      </c>
      <c r="M130" s="18" t="s">
        <v>272</v>
      </c>
      <c r="N130" s="18" t="s">
        <v>250</v>
      </c>
      <c r="O130" s="20">
        <v>119000</v>
      </c>
      <c r="P130" s="20">
        <v>82110</v>
      </c>
      <c r="Q130" s="20">
        <v>1</v>
      </c>
      <c r="R130" s="20">
        <v>0</v>
      </c>
      <c r="S130" s="20">
        <v>0</v>
      </c>
      <c r="T130" s="20">
        <v>0</v>
      </c>
      <c r="U130" s="20">
        <v>0</v>
      </c>
      <c r="V130" s="20">
        <v>0</v>
      </c>
      <c r="W130" s="20">
        <v>31</v>
      </c>
      <c r="X130" s="20">
        <v>0</v>
      </c>
      <c r="Y130" s="20">
        <v>0</v>
      </c>
      <c r="Z130" s="20">
        <v>0</v>
      </c>
      <c r="AA130" s="20">
        <v>0</v>
      </c>
      <c r="AB130" s="20">
        <v>0</v>
      </c>
      <c r="AC130" s="20">
        <v>119000</v>
      </c>
      <c r="AD130" s="20">
        <v>82110</v>
      </c>
      <c r="AE130" s="20">
        <v>0</v>
      </c>
      <c r="AF130" s="20">
        <v>0</v>
      </c>
      <c r="AG130" s="20">
        <v>119000</v>
      </c>
      <c r="AH130" s="20">
        <v>82110</v>
      </c>
      <c r="AI130" s="20">
        <v>33536</v>
      </c>
      <c r="AJ130" s="20">
        <v>3354</v>
      </c>
      <c r="AK130" s="20">
        <v>36890</v>
      </c>
    </row>
    <row r="131" spans="1:37" ht="16.5" customHeight="1" x14ac:dyDescent="0.3">
      <c r="A131" s="18" t="s">
        <v>620</v>
      </c>
      <c r="B131" s="18" t="s">
        <v>240</v>
      </c>
      <c r="C131" s="19" t="s">
        <v>241</v>
      </c>
      <c r="D131" s="18" t="s">
        <v>621</v>
      </c>
      <c r="E131" s="19" t="s">
        <v>559</v>
      </c>
      <c r="F131" s="18" t="s">
        <v>244</v>
      </c>
      <c r="G131" s="18" t="s">
        <v>245</v>
      </c>
      <c r="H131" s="19" t="s">
        <v>175</v>
      </c>
      <c r="I131" s="18" t="s">
        <v>246</v>
      </c>
      <c r="J131" s="19" t="s">
        <v>247</v>
      </c>
      <c r="K131" s="19" t="s">
        <v>248</v>
      </c>
      <c r="L131" s="18" t="s">
        <v>164</v>
      </c>
      <c r="M131" s="18" t="s">
        <v>272</v>
      </c>
      <c r="N131" s="18" t="s">
        <v>250</v>
      </c>
      <c r="O131" s="20">
        <v>119000</v>
      </c>
      <c r="P131" s="20">
        <v>82110</v>
      </c>
      <c r="Q131" s="20">
        <v>1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31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119000</v>
      </c>
      <c r="AD131" s="20">
        <v>82110</v>
      </c>
      <c r="AE131" s="20">
        <v>0</v>
      </c>
      <c r="AF131" s="20">
        <v>0</v>
      </c>
      <c r="AG131" s="20">
        <v>119000</v>
      </c>
      <c r="AH131" s="20">
        <v>82110</v>
      </c>
      <c r="AI131" s="20">
        <v>33536</v>
      </c>
      <c r="AJ131" s="20">
        <v>3354</v>
      </c>
      <c r="AK131" s="20">
        <v>36890</v>
      </c>
    </row>
    <row r="132" spans="1:37" ht="16.5" customHeight="1" x14ac:dyDescent="0.3">
      <c r="A132" s="18" t="s">
        <v>622</v>
      </c>
      <c r="B132" s="18" t="s">
        <v>240</v>
      </c>
      <c r="C132" s="19" t="s">
        <v>241</v>
      </c>
      <c r="D132" s="18" t="s">
        <v>623</v>
      </c>
      <c r="E132" s="19" t="s">
        <v>624</v>
      </c>
      <c r="F132" s="18" t="s">
        <v>244</v>
      </c>
      <c r="G132" s="18" t="s">
        <v>245</v>
      </c>
      <c r="H132" s="19" t="s">
        <v>175</v>
      </c>
      <c r="I132" s="18" t="s">
        <v>246</v>
      </c>
      <c r="J132" s="19" t="s">
        <v>247</v>
      </c>
      <c r="K132" s="19" t="s">
        <v>248</v>
      </c>
      <c r="L132" s="18" t="s">
        <v>164</v>
      </c>
      <c r="M132" s="18" t="s">
        <v>272</v>
      </c>
      <c r="N132" s="18" t="s">
        <v>250</v>
      </c>
      <c r="O132" s="20">
        <v>119000</v>
      </c>
      <c r="P132" s="20">
        <v>82110</v>
      </c>
      <c r="Q132" s="20">
        <v>1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31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119000</v>
      </c>
      <c r="AD132" s="20">
        <v>82110</v>
      </c>
      <c r="AE132" s="20">
        <v>0</v>
      </c>
      <c r="AF132" s="20">
        <v>0</v>
      </c>
      <c r="AG132" s="20">
        <v>119000</v>
      </c>
      <c r="AH132" s="20">
        <v>82110</v>
      </c>
      <c r="AI132" s="20">
        <v>33536</v>
      </c>
      <c r="AJ132" s="20">
        <v>3354</v>
      </c>
      <c r="AK132" s="20">
        <v>36890</v>
      </c>
    </row>
    <row r="133" spans="1:37" ht="16.5" customHeight="1" x14ac:dyDescent="0.3">
      <c r="A133" s="18" t="s">
        <v>625</v>
      </c>
      <c r="B133" s="18" t="s">
        <v>240</v>
      </c>
      <c r="C133" s="19" t="s">
        <v>241</v>
      </c>
      <c r="D133" s="18" t="s">
        <v>626</v>
      </c>
      <c r="E133" s="19" t="s">
        <v>627</v>
      </c>
      <c r="F133" s="18" t="s">
        <v>244</v>
      </c>
      <c r="G133" s="18" t="s">
        <v>245</v>
      </c>
      <c r="H133" s="19" t="s">
        <v>175</v>
      </c>
      <c r="I133" s="18" t="s">
        <v>246</v>
      </c>
      <c r="J133" s="19" t="s">
        <v>247</v>
      </c>
      <c r="K133" s="19" t="s">
        <v>248</v>
      </c>
      <c r="L133" s="18" t="s">
        <v>164</v>
      </c>
      <c r="M133" s="18" t="s">
        <v>272</v>
      </c>
      <c r="N133" s="18" t="s">
        <v>250</v>
      </c>
      <c r="O133" s="20">
        <v>119000</v>
      </c>
      <c r="P133" s="20">
        <v>82110</v>
      </c>
      <c r="Q133" s="20">
        <v>1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31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119000</v>
      </c>
      <c r="AD133" s="20">
        <v>82110</v>
      </c>
      <c r="AE133" s="20">
        <v>0</v>
      </c>
      <c r="AF133" s="20">
        <v>0</v>
      </c>
      <c r="AG133" s="20">
        <v>119000</v>
      </c>
      <c r="AH133" s="20">
        <v>82110</v>
      </c>
      <c r="AI133" s="20">
        <v>33536</v>
      </c>
      <c r="AJ133" s="20">
        <v>3354</v>
      </c>
      <c r="AK133" s="20">
        <v>36890</v>
      </c>
    </row>
    <row r="134" spans="1:37" ht="16.5" customHeight="1" x14ac:dyDescent="0.3">
      <c r="A134" s="18" t="s">
        <v>628</v>
      </c>
      <c r="B134" s="18" t="s">
        <v>240</v>
      </c>
      <c r="C134" s="19" t="s">
        <v>241</v>
      </c>
      <c r="D134" s="18" t="s">
        <v>629</v>
      </c>
      <c r="E134" s="19" t="s">
        <v>374</v>
      </c>
      <c r="F134" s="18" t="s">
        <v>244</v>
      </c>
      <c r="G134" s="18" t="s">
        <v>245</v>
      </c>
      <c r="H134" s="19" t="s">
        <v>175</v>
      </c>
      <c r="I134" s="18" t="s">
        <v>246</v>
      </c>
      <c r="J134" s="19" t="s">
        <v>247</v>
      </c>
      <c r="K134" s="19" t="s">
        <v>248</v>
      </c>
      <c r="L134" s="18" t="s">
        <v>164</v>
      </c>
      <c r="M134" s="18" t="s">
        <v>272</v>
      </c>
      <c r="N134" s="18" t="s">
        <v>250</v>
      </c>
      <c r="O134" s="20">
        <v>119000</v>
      </c>
      <c r="P134" s="20">
        <v>82110</v>
      </c>
      <c r="Q134" s="20">
        <v>1</v>
      </c>
      <c r="R134" s="20">
        <v>0</v>
      </c>
      <c r="S134" s="20">
        <v>0</v>
      </c>
      <c r="T134" s="20">
        <v>0</v>
      </c>
      <c r="U134" s="20">
        <v>0</v>
      </c>
      <c r="V134" s="20">
        <v>0</v>
      </c>
      <c r="W134" s="20">
        <v>31</v>
      </c>
      <c r="X134" s="20">
        <v>0</v>
      </c>
      <c r="Y134" s="20">
        <v>10000</v>
      </c>
      <c r="Z134" s="20">
        <v>0</v>
      </c>
      <c r="AA134" s="20">
        <v>0</v>
      </c>
      <c r="AB134" s="20">
        <v>0</v>
      </c>
      <c r="AC134" s="20">
        <v>119000</v>
      </c>
      <c r="AD134" s="20">
        <v>82110</v>
      </c>
      <c r="AE134" s="20">
        <v>0</v>
      </c>
      <c r="AF134" s="20">
        <v>10000</v>
      </c>
      <c r="AG134" s="20">
        <v>109000</v>
      </c>
      <c r="AH134" s="20">
        <v>82110</v>
      </c>
      <c r="AI134" s="20">
        <v>24445</v>
      </c>
      <c r="AJ134" s="20">
        <v>2445</v>
      </c>
      <c r="AK134" s="20">
        <v>26890</v>
      </c>
    </row>
    <row r="135" spans="1:37" ht="16.5" customHeight="1" x14ac:dyDescent="0.3">
      <c r="A135" s="18" t="s">
        <v>630</v>
      </c>
      <c r="B135" s="18" t="s">
        <v>240</v>
      </c>
      <c r="C135" s="19" t="s">
        <v>241</v>
      </c>
      <c r="D135" s="18" t="s">
        <v>631</v>
      </c>
      <c r="E135" s="19" t="s">
        <v>624</v>
      </c>
      <c r="F135" s="18" t="s">
        <v>244</v>
      </c>
      <c r="G135" s="18" t="s">
        <v>245</v>
      </c>
      <c r="H135" s="19" t="s">
        <v>175</v>
      </c>
      <c r="I135" s="18" t="s">
        <v>246</v>
      </c>
      <c r="J135" s="19" t="s">
        <v>247</v>
      </c>
      <c r="K135" s="19" t="s">
        <v>248</v>
      </c>
      <c r="L135" s="18" t="s">
        <v>164</v>
      </c>
      <c r="M135" s="18" t="s">
        <v>272</v>
      </c>
      <c r="N135" s="18" t="s">
        <v>250</v>
      </c>
      <c r="O135" s="20">
        <v>119000</v>
      </c>
      <c r="P135" s="20">
        <v>82110</v>
      </c>
      <c r="Q135" s="20">
        <v>1</v>
      </c>
      <c r="R135" s="20">
        <v>0</v>
      </c>
      <c r="S135" s="20">
        <v>0</v>
      </c>
      <c r="T135" s="20">
        <v>0</v>
      </c>
      <c r="U135" s="20">
        <v>0</v>
      </c>
      <c r="V135" s="20">
        <v>0</v>
      </c>
      <c r="W135" s="20">
        <v>31</v>
      </c>
      <c r="X135" s="20">
        <v>0</v>
      </c>
      <c r="Y135" s="20">
        <v>0</v>
      </c>
      <c r="Z135" s="20">
        <v>0</v>
      </c>
      <c r="AA135" s="20">
        <v>0</v>
      </c>
      <c r="AB135" s="20">
        <v>0</v>
      </c>
      <c r="AC135" s="20">
        <v>119000</v>
      </c>
      <c r="AD135" s="20">
        <v>82110</v>
      </c>
      <c r="AE135" s="20">
        <v>0</v>
      </c>
      <c r="AF135" s="20">
        <v>0</v>
      </c>
      <c r="AG135" s="20">
        <v>119000</v>
      </c>
      <c r="AH135" s="20">
        <v>82110</v>
      </c>
      <c r="AI135" s="20">
        <v>33536</v>
      </c>
      <c r="AJ135" s="20">
        <v>3354</v>
      </c>
      <c r="AK135" s="20">
        <v>36890</v>
      </c>
    </row>
    <row r="136" spans="1:37" ht="16.5" customHeight="1" x14ac:dyDescent="0.3">
      <c r="A136" s="18" t="s">
        <v>632</v>
      </c>
      <c r="B136" s="18" t="s">
        <v>240</v>
      </c>
      <c r="C136" s="19" t="s">
        <v>241</v>
      </c>
      <c r="D136" s="18" t="s">
        <v>633</v>
      </c>
      <c r="E136" s="19" t="s">
        <v>634</v>
      </c>
      <c r="F136" s="18" t="s">
        <v>244</v>
      </c>
      <c r="G136" s="18" t="s">
        <v>245</v>
      </c>
      <c r="H136" s="19" t="s">
        <v>175</v>
      </c>
      <c r="I136" s="18" t="s">
        <v>246</v>
      </c>
      <c r="J136" s="19" t="s">
        <v>247</v>
      </c>
      <c r="K136" s="19" t="s">
        <v>248</v>
      </c>
      <c r="L136" s="18" t="s">
        <v>164</v>
      </c>
      <c r="M136" s="18" t="s">
        <v>272</v>
      </c>
      <c r="N136" s="18" t="s">
        <v>250</v>
      </c>
      <c r="O136" s="20">
        <v>119000</v>
      </c>
      <c r="P136" s="20">
        <v>82110</v>
      </c>
      <c r="Q136" s="20">
        <v>2</v>
      </c>
      <c r="R136" s="20">
        <v>0</v>
      </c>
      <c r="S136" s="20">
        <v>0</v>
      </c>
      <c r="T136" s="20">
        <v>0</v>
      </c>
      <c r="U136" s="20">
        <v>0</v>
      </c>
      <c r="V136" s="20">
        <v>0</v>
      </c>
      <c r="W136" s="20">
        <v>31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  <c r="AC136" s="20">
        <v>238000</v>
      </c>
      <c r="AD136" s="20">
        <v>164220</v>
      </c>
      <c r="AE136" s="20">
        <v>0</v>
      </c>
      <c r="AF136" s="20">
        <v>0</v>
      </c>
      <c r="AG136" s="20">
        <v>238000</v>
      </c>
      <c r="AH136" s="20">
        <v>164220</v>
      </c>
      <c r="AI136" s="20">
        <v>67073</v>
      </c>
      <c r="AJ136" s="20">
        <v>6707</v>
      </c>
      <c r="AK136" s="20">
        <v>73780</v>
      </c>
    </row>
    <row r="137" spans="1:37" ht="16.5" customHeight="1" x14ac:dyDescent="0.3">
      <c r="A137" s="18" t="s">
        <v>635</v>
      </c>
      <c r="B137" s="18" t="s">
        <v>240</v>
      </c>
      <c r="C137" s="19" t="s">
        <v>241</v>
      </c>
      <c r="D137" s="18" t="s">
        <v>636</v>
      </c>
      <c r="E137" s="19" t="s">
        <v>637</v>
      </c>
      <c r="F137" s="18" t="s">
        <v>244</v>
      </c>
      <c r="G137" s="18" t="s">
        <v>245</v>
      </c>
      <c r="H137" s="19" t="s">
        <v>175</v>
      </c>
      <c r="I137" s="18" t="s">
        <v>246</v>
      </c>
      <c r="J137" s="19" t="s">
        <v>247</v>
      </c>
      <c r="K137" s="19" t="s">
        <v>248</v>
      </c>
      <c r="L137" s="18" t="s">
        <v>164</v>
      </c>
      <c r="M137" s="18" t="s">
        <v>272</v>
      </c>
      <c r="N137" s="18" t="s">
        <v>250</v>
      </c>
      <c r="O137" s="20">
        <v>119000</v>
      </c>
      <c r="P137" s="20">
        <v>82110</v>
      </c>
      <c r="Q137" s="20">
        <v>1</v>
      </c>
      <c r="R137" s="20">
        <v>0</v>
      </c>
      <c r="S137" s="20">
        <v>0</v>
      </c>
      <c r="T137" s="20">
        <v>0</v>
      </c>
      <c r="U137" s="20">
        <v>0</v>
      </c>
      <c r="V137" s="20">
        <v>0</v>
      </c>
      <c r="W137" s="20">
        <v>31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119000</v>
      </c>
      <c r="AD137" s="20">
        <v>82110</v>
      </c>
      <c r="AE137" s="20">
        <v>0</v>
      </c>
      <c r="AF137" s="20">
        <v>0</v>
      </c>
      <c r="AG137" s="20">
        <v>119000</v>
      </c>
      <c r="AH137" s="20">
        <v>82110</v>
      </c>
      <c r="AI137" s="20">
        <v>33536</v>
      </c>
      <c r="AJ137" s="20">
        <v>3354</v>
      </c>
      <c r="AK137" s="20">
        <v>36890</v>
      </c>
    </row>
    <row r="138" spans="1:37" ht="16.5" customHeight="1" x14ac:dyDescent="0.3">
      <c r="A138" s="18" t="s">
        <v>638</v>
      </c>
      <c r="B138" s="18" t="s">
        <v>240</v>
      </c>
      <c r="C138" s="19" t="s">
        <v>241</v>
      </c>
      <c r="D138" s="18" t="s">
        <v>639</v>
      </c>
      <c r="E138" s="19" t="s">
        <v>640</v>
      </c>
      <c r="F138" s="18" t="s">
        <v>244</v>
      </c>
      <c r="G138" s="18" t="s">
        <v>245</v>
      </c>
      <c r="H138" s="19" t="s">
        <v>175</v>
      </c>
      <c r="I138" s="18" t="s">
        <v>246</v>
      </c>
      <c r="J138" s="19" t="s">
        <v>247</v>
      </c>
      <c r="K138" s="19" t="s">
        <v>248</v>
      </c>
      <c r="L138" s="18" t="s">
        <v>164</v>
      </c>
      <c r="M138" s="18" t="s">
        <v>272</v>
      </c>
      <c r="N138" s="18" t="s">
        <v>250</v>
      </c>
      <c r="O138" s="20">
        <v>119000</v>
      </c>
      <c r="P138" s="20">
        <v>82110</v>
      </c>
      <c r="Q138" s="20">
        <v>1</v>
      </c>
      <c r="R138" s="20">
        <v>0</v>
      </c>
      <c r="S138" s="20">
        <v>0</v>
      </c>
      <c r="T138" s="20">
        <v>0</v>
      </c>
      <c r="U138" s="20">
        <v>0</v>
      </c>
      <c r="V138" s="20">
        <v>0</v>
      </c>
      <c r="W138" s="20">
        <v>31</v>
      </c>
      <c r="X138" s="20">
        <v>19040</v>
      </c>
      <c r="Y138" s="20">
        <v>0</v>
      </c>
      <c r="Z138" s="20">
        <v>0</v>
      </c>
      <c r="AA138" s="20">
        <v>0</v>
      </c>
      <c r="AB138" s="20">
        <v>0</v>
      </c>
      <c r="AC138" s="20">
        <v>119000</v>
      </c>
      <c r="AD138" s="20">
        <v>82110</v>
      </c>
      <c r="AE138" s="20">
        <v>0</v>
      </c>
      <c r="AF138" s="20">
        <v>19040</v>
      </c>
      <c r="AG138" s="20">
        <v>99960</v>
      </c>
      <c r="AH138" s="20">
        <v>82110</v>
      </c>
      <c r="AI138" s="20">
        <v>16227</v>
      </c>
      <c r="AJ138" s="20">
        <v>1623</v>
      </c>
      <c r="AK138" s="20">
        <v>17850</v>
      </c>
    </row>
    <row r="139" spans="1:37" ht="16.5" customHeight="1" x14ac:dyDescent="0.3">
      <c r="A139" s="18" t="s">
        <v>641</v>
      </c>
      <c r="B139" s="18" t="s">
        <v>240</v>
      </c>
      <c r="C139" s="19" t="s">
        <v>241</v>
      </c>
      <c r="D139" s="18" t="s">
        <v>642</v>
      </c>
      <c r="E139" s="19" t="s">
        <v>624</v>
      </c>
      <c r="F139" s="18" t="s">
        <v>244</v>
      </c>
      <c r="G139" s="18" t="s">
        <v>245</v>
      </c>
      <c r="H139" s="19" t="s">
        <v>175</v>
      </c>
      <c r="I139" s="18" t="s">
        <v>246</v>
      </c>
      <c r="J139" s="19" t="s">
        <v>247</v>
      </c>
      <c r="K139" s="19" t="s">
        <v>248</v>
      </c>
      <c r="L139" s="18" t="s">
        <v>164</v>
      </c>
      <c r="M139" s="18" t="s">
        <v>272</v>
      </c>
      <c r="N139" s="18" t="s">
        <v>250</v>
      </c>
      <c r="O139" s="20">
        <v>119000</v>
      </c>
      <c r="P139" s="20">
        <v>82110</v>
      </c>
      <c r="Q139" s="20">
        <v>1</v>
      </c>
      <c r="R139" s="20">
        <v>0</v>
      </c>
      <c r="S139" s="20">
        <v>0</v>
      </c>
      <c r="T139" s="20">
        <v>0</v>
      </c>
      <c r="U139" s="20">
        <v>0</v>
      </c>
      <c r="V139" s="20">
        <v>0</v>
      </c>
      <c r="W139" s="20">
        <v>31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119000</v>
      </c>
      <c r="AD139" s="20">
        <v>82110</v>
      </c>
      <c r="AE139" s="20">
        <v>0</v>
      </c>
      <c r="AF139" s="20">
        <v>0</v>
      </c>
      <c r="AG139" s="20">
        <v>119000</v>
      </c>
      <c r="AH139" s="20">
        <v>82110</v>
      </c>
      <c r="AI139" s="20">
        <v>33536</v>
      </c>
      <c r="AJ139" s="20">
        <v>3354</v>
      </c>
      <c r="AK139" s="20">
        <v>36890</v>
      </c>
    </row>
    <row r="140" spans="1:37" ht="16.5" customHeight="1" x14ac:dyDescent="0.3">
      <c r="A140" s="18" t="s">
        <v>643</v>
      </c>
      <c r="B140" s="18" t="s">
        <v>240</v>
      </c>
      <c r="C140" s="19" t="s">
        <v>241</v>
      </c>
      <c r="D140" s="18" t="s">
        <v>644</v>
      </c>
      <c r="E140" s="19" t="s">
        <v>645</v>
      </c>
      <c r="F140" s="18" t="s">
        <v>244</v>
      </c>
      <c r="G140" s="18" t="s">
        <v>245</v>
      </c>
      <c r="H140" s="19" t="s">
        <v>175</v>
      </c>
      <c r="I140" s="18" t="s">
        <v>246</v>
      </c>
      <c r="J140" s="19" t="s">
        <v>247</v>
      </c>
      <c r="K140" s="19" t="s">
        <v>248</v>
      </c>
      <c r="L140" s="18" t="s">
        <v>164</v>
      </c>
      <c r="M140" s="18" t="s">
        <v>272</v>
      </c>
      <c r="N140" s="18" t="s">
        <v>250</v>
      </c>
      <c r="O140" s="20">
        <v>119000</v>
      </c>
      <c r="P140" s="20">
        <v>82110</v>
      </c>
      <c r="Q140" s="20">
        <v>1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31</v>
      </c>
      <c r="X140" s="20">
        <v>0</v>
      </c>
      <c r="Y140" s="20">
        <v>10000</v>
      </c>
      <c r="Z140" s="20">
        <v>0</v>
      </c>
      <c r="AA140" s="20">
        <v>0</v>
      </c>
      <c r="AB140" s="20">
        <v>0</v>
      </c>
      <c r="AC140" s="20">
        <v>119000</v>
      </c>
      <c r="AD140" s="20">
        <v>82110</v>
      </c>
      <c r="AE140" s="20">
        <v>0</v>
      </c>
      <c r="AF140" s="20">
        <v>10000</v>
      </c>
      <c r="AG140" s="20">
        <v>109000</v>
      </c>
      <c r="AH140" s="20">
        <v>82110</v>
      </c>
      <c r="AI140" s="20">
        <v>24445</v>
      </c>
      <c r="AJ140" s="20">
        <v>2445</v>
      </c>
      <c r="AK140" s="20">
        <v>26890</v>
      </c>
    </row>
    <row r="141" spans="1:37" ht="16.5" customHeight="1" x14ac:dyDescent="0.3">
      <c r="A141" s="18" t="s">
        <v>646</v>
      </c>
      <c r="B141" s="18" t="s">
        <v>240</v>
      </c>
      <c r="C141" s="19" t="s">
        <v>241</v>
      </c>
      <c r="D141" s="18" t="s">
        <v>647</v>
      </c>
      <c r="E141" s="19" t="s">
        <v>648</v>
      </c>
      <c r="F141" s="18" t="s">
        <v>244</v>
      </c>
      <c r="G141" s="18" t="s">
        <v>245</v>
      </c>
      <c r="H141" s="19" t="s">
        <v>175</v>
      </c>
      <c r="I141" s="18" t="s">
        <v>246</v>
      </c>
      <c r="J141" s="19" t="s">
        <v>247</v>
      </c>
      <c r="K141" s="19" t="s">
        <v>248</v>
      </c>
      <c r="L141" s="18" t="s">
        <v>164</v>
      </c>
      <c r="M141" s="18" t="s">
        <v>272</v>
      </c>
      <c r="N141" s="18" t="s">
        <v>250</v>
      </c>
      <c r="O141" s="20">
        <v>119000</v>
      </c>
      <c r="P141" s="20">
        <v>82110</v>
      </c>
      <c r="Q141" s="20">
        <v>1</v>
      </c>
      <c r="R141" s="20">
        <v>0</v>
      </c>
      <c r="S141" s="20">
        <v>0</v>
      </c>
      <c r="T141" s="20">
        <v>0</v>
      </c>
      <c r="U141" s="20">
        <v>0</v>
      </c>
      <c r="V141" s="20">
        <v>0</v>
      </c>
      <c r="W141" s="20">
        <v>31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119000</v>
      </c>
      <c r="AD141" s="20">
        <v>82110</v>
      </c>
      <c r="AE141" s="20">
        <v>0</v>
      </c>
      <c r="AF141" s="20">
        <v>0</v>
      </c>
      <c r="AG141" s="20">
        <v>119000</v>
      </c>
      <c r="AH141" s="20">
        <v>82110</v>
      </c>
      <c r="AI141" s="20">
        <v>33536</v>
      </c>
      <c r="AJ141" s="20">
        <v>3354</v>
      </c>
      <c r="AK141" s="20">
        <v>36890</v>
      </c>
    </row>
    <row r="142" spans="1:37" ht="16.5" customHeight="1" x14ac:dyDescent="0.3">
      <c r="A142" s="18" t="s">
        <v>649</v>
      </c>
      <c r="B142" s="18" t="s">
        <v>240</v>
      </c>
      <c r="C142" s="19" t="s">
        <v>241</v>
      </c>
      <c r="D142" s="18" t="s">
        <v>650</v>
      </c>
      <c r="E142" s="19" t="s">
        <v>651</v>
      </c>
      <c r="F142" s="18" t="s">
        <v>244</v>
      </c>
      <c r="G142" s="18" t="s">
        <v>245</v>
      </c>
      <c r="H142" s="19" t="s">
        <v>175</v>
      </c>
      <c r="I142" s="18" t="s">
        <v>246</v>
      </c>
      <c r="J142" s="19" t="s">
        <v>247</v>
      </c>
      <c r="K142" s="19" t="s">
        <v>248</v>
      </c>
      <c r="L142" s="18" t="s">
        <v>164</v>
      </c>
      <c r="M142" s="18" t="s">
        <v>272</v>
      </c>
      <c r="N142" s="18" t="s">
        <v>250</v>
      </c>
      <c r="O142" s="20">
        <v>119000</v>
      </c>
      <c r="P142" s="20">
        <v>82110</v>
      </c>
      <c r="Q142" s="20">
        <v>1</v>
      </c>
      <c r="R142" s="20">
        <v>0</v>
      </c>
      <c r="S142" s="20">
        <v>0</v>
      </c>
      <c r="T142" s="20">
        <v>0</v>
      </c>
      <c r="U142" s="20">
        <v>0</v>
      </c>
      <c r="V142" s="20">
        <v>0</v>
      </c>
      <c r="W142" s="20">
        <v>31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119000</v>
      </c>
      <c r="AD142" s="20">
        <v>82110</v>
      </c>
      <c r="AE142" s="20">
        <v>0</v>
      </c>
      <c r="AF142" s="20">
        <v>0</v>
      </c>
      <c r="AG142" s="20">
        <v>119000</v>
      </c>
      <c r="AH142" s="20">
        <v>82110</v>
      </c>
      <c r="AI142" s="20">
        <v>33536</v>
      </c>
      <c r="AJ142" s="20">
        <v>3354</v>
      </c>
      <c r="AK142" s="20">
        <v>36890</v>
      </c>
    </row>
    <row r="143" spans="1:37" ht="16.5" customHeight="1" x14ac:dyDescent="0.3">
      <c r="A143" s="18" t="s">
        <v>652</v>
      </c>
      <c r="B143" s="18" t="s">
        <v>240</v>
      </c>
      <c r="C143" s="19" t="s">
        <v>241</v>
      </c>
      <c r="D143" s="18" t="s">
        <v>653</v>
      </c>
      <c r="E143" s="19" t="s">
        <v>654</v>
      </c>
      <c r="F143" s="18" t="s">
        <v>244</v>
      </c>
      <c r="G143" s="18" t="s">
        <v>245</v>
      </c>
      <c r="H143" s="19" t="s">
        <v>175</v>
      </c>
      <c r="I143" s="18" t="s">
        <v>246</v>
      </c>
      <c r="J143" s="19" t="s">
        <v>247</v>
      </c>
      <c r="K143" s="19" t="s">
        <v>248</v>
      </c>
      <c r="L143" s="18" t="s">
        <v>164</v>
      </c>
      <c r="M143" s="18" t="s">
        <v>272</v>
      </c>
      <c r="N143" s="18" t="s">
        <v>250</v>
      </c>
      <c r="O143" s="20">
        <v>119000</v>
      </c>
      <c r="P143" s="20">
        <v>82110</v>
      </c>
      <c r="Q143" s="20">
        <v>1</v>
      </c>
      <c r="R143" s="20">
        <v>0</v>
      </c>
      <c r="S143" s="20">
        <v>0</v>
      </c>
      <c r="T143" s="20">
        <v>0</v>
      </c>
      <c r="U143" s="20">
        <v>0</v>
      </c>
      <c r="V143" s="20">
        <v>0</v>
      </c>
      <c r="W143" s="20">
        <v>31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119000</v>
      </c>
      <c r="AD143" s="20">
        <v>82110</v>
      </c>
      <c r="AE143" s="20">
        <v>0</v>
      </c>
      <c r="AF143" s="20">
        <v>0</v>
      </c>
      <c r="AG143" s="20">
        <v>119000</v>
      </c>
      <c r="AH143" s="20">
        <v>82110</v>
      </c>
      <c r="AI143" s="20">
        <v>33536</v>
      </c>
      <c r="AJ143" s="20">
        <v>3354</v>
      </c>
      <c r="AK143" s="20">
        <v>36890</v>
      </c>
    </row>
    <row r="144" spans="1:37" ht="16.5" customHeight="1" x14ac:dyDescent="0.3">
      <c r="A144" s="18" t="s">
        <v>655</v>
      </c>
      <c r="B144" s="18" t="s">
        <v>240</v>
      </c>
      <c r="C144" s="19" t="s">
        <v>241</v>
      </c>
      <c r="D144" s="18" t="s">
        <v>656</v>
      </c>
      <c r="E144" s="19" t="s">
        <v>657</v>
      </c>
      <c r="F144" s="18" t="s">
        <v>244</v>
      </c>
      <c r="G144" s="18" t="s">
        <v>245</v>
      </c>
      <c r="H144" s="19" t="s">
        <v>175</v>
      </c>
      <c r="I144" s="18" t="s">
        <v>246</v>
      </c>
      <c r="J144" s="19" t="s">
        <v>247</v>
      </c>
      <c r="K144" s="19" t="s">
        <v>248</v>
      </c>
      <c r="L144" s="18" t="s">
        <v>164</v>
      </c>
      <c r="M144" s="18" t="s">
        <v>272</v>
      </c>
      <c r="N144" s="18" t="s">
        <v>250</v>
      </c>
      <c r="O144" s="20">
        <v>119000</v>
      </c>
      <c r="P144" s="20">
        <v>82110</v>
      </c>
      <c r="Q144" s="20">
        <v>1</v>
      </c>
      <c r="R144" s="20">
        <v>0</v>
      </c>
      <c r="S144" s="20">
        <v>0</v>
      </c>
      <c r="T144" s="20">
        <v>0</v>
      </c>
      <c r="U144" s="20">
        <v>0</v>
      </c>
      <c r="V144" s="20">
        <v>0</v>
      </c>
      <c r="W144" s="20">
        <v>31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119000</v>
      </c>
      <c r="AD144" s="20">
        <v>82110</v>
      </c>
      <c r="AE144" s="20">
        <v>0</v>
      </c>
      <c r="AF144" s="20">
        <v>0</v>
      </c>
      <c r="AG144" s="20">
        <v>119000</v>
      </c>
      <c r="AH144" s="20">
        <v>82110</v>
      </c>
      <c r="AI144" s="20">
        <v>33536</v>
      </c>
      <c r="AJ144" s="20">
        <v>3354</v>
      </c>
      <c r="AK144" s="20">
        <v>36890</v>
      </c>
    </row>
    <row r="145" spans="1:37" ht="16.5" customHeight="1" x14ac:dyDescent="0.3">
      <c r="A145" s="18" t="s">
        <v>658</v>
      </c>
      <c r="B145" s="18" t="s">
        <v>240</v>
      </c>
      <c r="C145" s="19" t="s">
        <v>241</v>
      </c>
      <c r="D145" s="18" t="s">
        <v>659</v>
      </c>
      <c r="E145" s="19" t="s">
        <v>660</v>
      </c>
      <c r="F145" s="18" t="s">
        <v>244</v>
      </c>
      <c r="G145" s="18" t="s">
        <v>245</v>
      </c>
      <c r="H145" s="19" t="s">
        <v>175</v>
      </c>
      <c r="I145" s="18" t="s">
        <v>246</v>
      </c>
      <c r="J145" s="19" t="s">
        <v>247</v>
      </c>
      <c r="K145" s="19" t="s">
        <v>248</v>
      </c>
      <c r="L145" s="18" t="s">
        <v>164</v>
      </c>
      <c r="M145" s="18" t="s">
        <v>272</v>
      </c>
      <c r="N145" s="18" t="s">
        <v>250</v>
      </c>
      <c r="O145" s="20">
        <v>119000</v>
      </c>
      <c r="P145" s="20">
        <v>82110</v>
      </c>
      <c r="Q145" s="20">
        <v>1</v>
      </c>
      <c r="R145" s="20">
        <v>0</v>
      </c>
      <c r="S145" s="20">
        <v>0</v>
      </c>
      <c r="T145" s="20">
        <v>0</v>
      </c>
      <c r="U145" s="20">
        <v>0</v>
      </c>
      <c r="V145" s="20">
        <v>0</v>
      </c>
      <c r="W145" s="20">
        <v>31</v>
      </c>
      <c r="X145" s="20">
        <v>0</v>
      </c>
      <c r="Y145" s="20">
        <v>0</v>
      </c>
      <c r="Z145" s="20">
        <v>0</v>
      </c>
      <c r="AA145" s="20">
        <v>0</v>
      </c>
      <c r="AB145" s="20">
        <v>0</v>
      </c>
      <c r="AC145" s="20">
        <v>119000</v>
      </c>
      <c r="AD145" s="20">
        <v>82110</v>
      </c>
      <c r="AE145" s="20">
        <v>0</v>
      </c>
      <c r="AF145" s="20">
        <v>0</v>
      </c>
      <c r="AG145" s="20">
        <v>119000</v>
      </c>
      <c r="AH145" s="20">
        <v>82110</v>
      </c>
      <c r="AI145" s="20">
        <v>33536</v>
      </c>
      <c r="AJ145" s="20">
        <v>3354</v>
      </c>
      <c r="AK145" s="20">
        <v>36890</v>
      </c>
    </row>
    <row r="146" spans="1:37" ht="16.5" customHeight="1" x14ac:dyDescent="0.3">
      <c r="A146" s="18" t="s">
        <v>661</v>
      </c>
      <c r="B146" s="18" t="s">
        <v>240</v>
      </c>
      <c r="C146" s="19" t="s">
        <v>241</v>
      </c>
      <c r="D146" s="18" t="s">
        <v>662</v>
      </c>
      <c r="E146" s="19" t="s">
        <v>663</v>
      </c>
      <c r="F146" s="18" t="s">
        <v>244</v>
      </c>
      <c r="G146" s="18" t="s">
        <v>245</v>
      </c>
      <c r="H146" s="19" t="s">
        <v>175</v>
      </c>
      <c r="I146" s="18" t="s">
        <v>246</v>
      </c>
      <c r="J146" s="19" t="s">
        <v>247</v>
      </c>
      <c r="K146" s="19" t="s">
        <v>248</v>
      </c>
      <c r="L146" s="18" t="s">
        <v>164</v>
      </c>
      <c r="M146" s="18" t="s">
        <v>272</v>
      </c>
      <c r="N146" s="18" t="s">
        <v>250</v>
      </c>
      <c r="O146" s="20">
        <v>119000</v>
      </c>
      <c r="P146" s="20">
        <v>82110</v>
      </c>
      <c r="Q146" s="20">
        <v>1</v>
      </c>
      <c r="R146" s="20">
        <v>0</v>
      </c>
      <c r="S146" s="20">
        <v>0</v>
      </c>
      <c r="T146" s="20">
        <v>0</v>
      </c>
      <c r="U146" s="20">
        <v>0</v>
      </c>
      <c r="V146" s="20">
        <v>0</v>
      </c>
      <c r="W146" s="20">
        <v>31</v>
      </c>
      <c r="X146" s="20">
        <v>0</v>
      </c>
      <c r="Y146" s="20">
        <v>0</v>
      </c>
      <c r="Z146" s="20">
        <v>0</v>
      </c>
      <c r="AA146" s="20">
        <v>0</v>
      </c>
      <c r="AB146" s="20">
        <v>0</v>
      </c>
      <c r="AC146" s="20">
        <v>119000</v>
      </c>
      <c r="AD146" s="20">
        <v>82110</v>
      </c>
      <c r="AE146" s="20">
        <v>0</v>
      </c>
      <c r="AF146" s="20">
        <v>0</v>
      </c>
      <c r="AG146" s="20">
        <v>119000</v>
      </c>
      <c r="AH146" s="20">
        <v>82110</v>
      </c>
      <c r="AI146" s="20">
        <v>33536</v>
      </c>
      <c r="AJ146" s="20">
        <v>3354</v>
      </c>
      <c r="AK146" s="20">
        <v>36890</v>
      </c>
    </row>
    <row r="147" spans="1:37" ht="16.5" customHeight="1" x14ac:dyDescent="0.3">
      <c r="A147" s="18" t="s">
        <v>664</v>
      </c>
      <c r="B147" s="18" t="s">
        <v>240</v>
      </c>
      <c r="C147" s="19" t="s">
        <v>241</v>
      </c>
      <c r="D147" s="18" t="s">
        <v>665</v>
      </c>
      <c r="E147" s="19" t="s">
        <v>663</v>
      </c>
      <c r="F147" s="18" t="s">
        <v>244</v>
      </c>
      <c r="G147" s="18" t="s">
        <v>245</v>
      </c>
      <c r="H147" s="19" t="s">
        <v>175</v>
      </c>
      <c r="I147" s="18" t="s">
        <v>246</v>
      </c>
      <c r="J147" s="19" t="s">
        <v>247</v>
      </c>
      <c r="K147" s="19" t="s">
        <v>248</v>
      </c>
      <c r="L147" s="18" t="s">
        <v>164</v>
      </c>
      <c r="M147" s="18" t="s">
        <v>272</v>
      </c>
      <c r="N147" s="18" t="s">
        <v>250</v>
      </c>
      <c r="O147" s="20">
        <v>119000</v>
      </c>
      <c r="P147" s="20">
        <v>82110</v>
      </c>
      <c r="Q147" s="20">
        <v>1</v>
      </c>
      <c r="R147" s="20">
        <v>0</v>
      </c>
      <c r="S147" s="20">
        <v>0</v>
      </c>
      <c r="T147" s="20">
        <v>0</v>
      </c>
      <c r="U147" s="20">
        <v>0</v>
      </c>
      <c r="V147" s="20">
        <v>0</v>
      </c>
      <c r="W147" s="20">
        <v>31</v>
      </c>
      <c r="X147" s="20">
        <v>0</v>
      </c>
      <c r="Y147" s="20">
        <v>0</v>
      </c>
      <c r="Z147" s="20">
        <v>0</v>
      </c>
      <c r="AA147" s="20">
        <v>0</v>
      </c>
      <c r="AB147" s="20">
        <v>0</v>
      </c>
      <c r="AC147" s="20">
        <v>119000</v>
      </c>
      <c r="AD147" s="20">
        <v>82110</v>
      </c>
      <c r="AE147" s="20">
        <v>0</v>
      </c>
      <c r="AF147" s="20">
        <v>0</v>
      </c>
      <c r="AG147" s="20">
        <v>119000</v>
      </c>
      <c r="AH147" s="20">
        <v>82110</v>
      </c>
      <c r="AI147" s="20">
        <v>33536</v>
      </c>
      <c r="AJ147" s="20">
        <v>3354</v>
      </c>
      <c r="AK147" s="20">
        <v>36890</v>
      </c>
    </row>
    <row r="148" spans="1:37" ht="16.5" customHeight="1" x14ac:dyDescent="0.3">
      <c r="A148" s="18" t="s">
        <v>666</v>
      </c>
      <c r="B148" s="18" t="s">
        <v>240</v>
      </c>
      <c r="C148" s="19" t="s">
        <v>241</v>
      </c>
      <c r="D148" s="18" t="s">
        <v>667</v>
      </c>
      <c r="E148" s="19" t="s">
        <v>663</v>
      </c>
      <c r="F148" s="18" t="s">
        <v>244</v>
      </c>
      <c r="G148" s="18" t="s">
        <v>245</v>
      </c>
      <c r="H148" s="19" t="s">
        <v>175</v>
      </c>
      <c r="I148" s="18" t="s">
        <v>246</v>
      </c>
      <c r="J148" s="19" t="s">
        <v>247</v>
      </c>
      <c r="K148" s="19" t="s">
        <v>248</v>
      </c>
      <c r="L148" s="18" t="s">
        <v>164</v>
      </c>
      <c r="M148" s="18" t="s">
        <v>272</v>
      </c>
      <c r="N148" s="18" t="s">
        <v>250</v>
      </c>
      <c r="O148" s="20">
        <v>119000</v>
      </c>
      <c r="P148" s="20">
        <v>82110</v>
      </c>
      <c r="Q148" s="20">
        <v>1</v>
      </c>
      <c r="R148" s="20">
        <v>0</v>
      </c>
      <c r="S148" s="20">
        <v>0</v>
      </c>
      <c r="T148" s="20">
        <v>0</v>
      </c>
      <c r="U148" s="20">
        <v>0</v>
      </c>
      <c r="V148" s="20">
        <v>0</v>
      </c>
      <c r="W148" s="20">
        <v>31</v>
      </c>
      <c r="X148" s="20">
        <v>0</v>
      </c>
      <c r="Y148" s="20">
        <v>0</v>
      </c>
      <c r="Z148" s="20">
        <v>0</v>
      </c>
      <c r="AA148" s="20">
        <v>0</v>
      </c>
      <c r="AB148" s="20">
        <v>0</v>
      </c>
      <c r="AC148" s="20">
        <v>119000</v>
      </c>
      <c r="AD148" s="20">
        <v>82110</v>
      </c>
      <c r="AE148" s="20">
        <v>0</v>
      </c>
      <c r="AF148" s="20">
        <v>0</v>
      </c>
      <c r="AG148" s="20">
        <v>119000</v>
      </c>
      <c r="AH148" s="20">
        <v>82110</v>
      </c>
      <c r="AI148" s="20">
        <v>33536</v>
      </c>
      <c r="AJ148" s="20">
        <v>3354</v>
      </c>
      <c r="AK148" s="20">
        <v>36890</v>
      </c>
    </row>
    <row r="149" spans="1:37" ht="16.5" customHeight="1" x14ac:dyDescent="0.3">
      <c r="A149" s="18" t="s">
        <v>668</v>
      </c>
      <c r="B149" s="18" t="s">
        <v>240</v>
      </c>
      <c r="C149" s="19" t="s">
        <v>241</v>
      </c>
      <c r="D149" s="18" t="s">
        <v>669</v>
      </c>
      <c r="E149" s="19" t="s">
        <v>670</v>
      </c>
      <c r="F149" s="18" t="s">
        <v>244</v>
      </c>
      <c r="G149" s="18" t="s">
        <v>245</v>
      </c>
      <c r="H149" s="19" t="s">
        <v>175</v>
      </c>
      <c r="I149" s="18" t="s">
        <v>246</v>
      </c>
      <c r="J149" s="19" t="s">
        <v>247</v>
      </c>
      <c r="K149" s="19" t="s">
        <v>314</v>
      </c>
      <c r="L149" s="18" t="s">
        <v>164</v>
      </c>
      <c r="M149" s="18" t="s">
        <v>272</v>
      </c>
      <c r="N149" s="18" t="s">
        <v>250</v>
      </c>
      <c r="O149" s="20">
        <v>119000</v>
      </c>
      <c r="P149" s="20">
        <v>82110</v>
      </c>
      <c r="Q149" s="20">
        <v>1</v>
      </c>
      <c r="R149" s="20">
        <v>0</v>
      </c>
      <c r="S149" s="20">
        <v>0</v>
      </c>
      <c r="T149" s="20">
        <v>0</v>
      </c>
      <c r="U149" s="20">
        <v>0</v>
      </c>
      <c r="V149" s="20">
        <v>0</v>
      </c>
      <c r="W149" s="20">
        <v>31</v>
      </c>
      <c r="X149" s="20">
        <v>0</v>
      </c>
      <c r="Y149" s="20">
        <v>0</v>
      </c>
      <c r="Z149" s="20">
        <v>0</v>
      </c>
      <c r="AA149" s="20">
        <v>0</v>
      </c>
      <c r="AB149" s="20">
        <v>0</v>
      </c>
      <c r="AC149" s="20">
        <v>119000</v>
      </c>
      <c r="AD149" s="20">
        <v>82110</v>
      </c>
      <c r="AE149" s="20">
        <v>0</v>
      </c>
      <c r="AF149" s="20">
        <v>0</v>
      </c>
      <c r="AG149" s="20">
        <v>119000</v>
      </c>
      <c r="AH149" s="20">
        <v>82110</v>
      </c>
      <c r="AI149" s="20">
        <v>33536</v>
      </c>
      <c r="AJ149" s="20">
        <v>3354</v>
      </c>
      <c r="AK149" s="20">
        <v>36890</v>
      </c>
    </row>
    <row r="150" spans="1:37" ht="16.5" customHeight="1" x14ac:dyDescent="0.3">
      <c r="A150" s="18" t="s">
        <v>671</v>
      </c>
      <c r="B150" s="18" t="s">
        <v>240</v>
      </c>
      <c r="C150" s="19" t="s">
        <v>241</v>
      </c>
      <c r="D150" s="18" t="s">
        <v>672</v>
      </c>
      <c r="E150" s="19" t="s">
        <v>673</v>
      </c>
      <c r="F150" s="18" t="s">
        <v>244</v>
      </c>
      <c r="G150" s="18" t="s">
        <v>245</v>
      </c>
      <c r="H150" s="19" t="s">
        <v>175</v>
      </c>
      <c r="I150" s="18" t="s">
        <v>246</v>
      </c>
      <c r="J150" s="19" t="s">
        <v>247</v>
      </c>
      <c r="K150" s="19" t="s">
        <v>248</v>
      </c>
      <c r="L150" s="18" t="s">
        <v>164</v>
      </c>
      <c r="M150" s="18" t="s">
        <v>272</v>
      </c>
      <c r="N150" s="18" t="s">
        <v>250</v>
      </c>
      <c r="O150" s="20">
        <v>119000</v>
      </c>
      <c r="P150" s="20">
        <v>82110</v>
      </c>
      <c r="Q150" s="20">
        <v>1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  <c r="W150" s="20">
        <v>31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119000</v>
      </c>
      <c r="AD150" s="20">
        <v>82110</v>
      </c>
      <c r="AE150" s="20">
        <v>0</v>
      </c>
      <c r="AF150" s="20">
        <v>0</v>
      </c>
      <c r="AG150" s="20">
        <v>119000</v>
      </c>
      <c r="AH150" s="20">
        <v>82110</v>
      </c>
      <c r="AI150" s="20">
        <v>33536</v>
      </c>
      <c r="AJ150" s="20">
        <v>3354</v>
      </c>
      <c r="AK150" s="20">
        <v>36890</v>
      </c>
    </row>
    <row r="151" spans="1:37" ht="16.5" customHeight="1" x14ac:dyDescent="0.3">
      <c r="A151" s="18" t="s">
        <v>674</v>
      </c>
      <c r="B151" s="18" t="s">
        <v>240</v>
      </c>
      <c r="C151" s="19" t="s">
        <v>241</v>
      </c>
      <c r="D151" s="18" t="s">
        <v>675</v>
      </c>
      <c r="E151" s="19" t="s">
        <v>676</v>
      </c>
      <c r="F151" s="18" t="s">
        <v>244</v>
      </c>
      <c r="G151" s="18" t="s">
        <v>245</v>
      </c>
      <c r="H151" s="19" t="s">
        <v>175</v>
      </c>
      <c r="I151" s="18" t="s">
        <v>246</v>
      </c>
      <c r="J151" s="19" t="s">
        <v>247</v>
      </c>
      <c r="K151" s="19" t="s">
        <v>248</v>
      </c>
      <c r="L151" s="18" t="s">
        <v>164</v>
      </c>
      <c r="M151" s="18" t="s">
        <v>272</v>
      </c>
      <c r="N151" s="18" t="s">
        <v>250</v>
      </c>
      <c r="O151" s="20">
        <v>119000</v>
      </c>
      <c r="P151" s="20">
        <v>82110</v>
      </c>
      <c r="Q151" s="20">
        <v>1</v>
      </c>
      <c r="R151" s="20">
        <v>0</v>
      </c>
      <c r="S151" s="20">
        <v>0</v>
      </c>
      <c r="T151" s="20">
        <v>0</v>
      </c>
      <c r="U151" s="20">
        <v>0</v>
      </c>
      <c r="V151" s="20">
        <v>0</v>
      </c>
      <c r="W151" s="20">
        <v>31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119000</v>
      </c>
      <c r="AD151" s="20">
        <v>82110</v>
      </c>
      <c r="AE151" s="20">
        <v>0</v>
      </c>
      <c r="AF151" s="20">
        <v>0</v>
      </c>
      <c r="AG151" s="20">
        <v>119000</v>
      </c>
      <c r="AH151" s="20">
        <v>82110</v>
      </c>
      <c r="AI151" s="20">
        <v>33536</v>
      </c>
      <c r="AJ151" s="20">
        <v>3354</v>
      </c>
      <c r="AK151" s="20">
        <v>36890</v>
      </c>
    </row>
    <row r="152" spans="1:37" ht="16.5" customHeight="1" x14ac:dyDescent="0.3">
      <c r="A152" s="18" t="s">
        <v>677</v>
      </c>
      <c r="B152" s="18" t="s">
        <v>240</v>
      </c>
      <c r="C152" s="19" t="s">
        <v>241</v>
      </c>
      <c r="D152" s="18" t="s">
        <v>678</v>
      </c>
      <c r="E152" s="19" t="s">
        <v>335</v>
      </c>
      <c r="F152" s="18" t="s">
        <v>244</v>
      </c>
      <c r="G152" s="18" t="s">
        <v>245</v>
      </c>
      <c r="H152" s="19" t="s">
        <v>175</v>
      </c>
      <c r="I152" s="18" t="s">
        <v>246</v>
      </c>
      <c r="J152" s="19" t="s">
        <v>247</v>
      </c>
      <c r="K152" s="19" t="s">
        <v>248</v>
      </c>
      <c r="L152" s="18" t="s">
        <v>164</v>
      </c>
      <c r="M152" s="18" t="s">
        <v>272</v>
      </c>
      <c r="N152" s="18" t="s">
        <v>250</v>
      </c>
      <c r="O152" s="20">
        <v>119000</v>
      </c>
      <c r="P152" s="20">
        <v>82110</v>
      </c>
      <c r="Q152" s="20">
        <v>1</v>
      </c>
      <c r="R152" s="20">
        <v>0</v>
      </c>
      <c r="S152" s="20">
        <v>0</v>
      </c>
      <c r="T152" s="20">
        <v>0</v>
      </c>
      <c r="U152" s="20">
        <v>0</v>
      </c>
      <c r="V152" s="20">
        <v>0</v>
      </c>
      <c r="W152" s="20">
        <v>31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119000</v>
      </c>
      <c r="AD152" s="20">
        <v>82110</v>
      </c>
      <c r="AE152" s="20">
        <v>0</v>
      </c>
      <c r="AF152" s="20">
        <v>0</v>
      </c>
      <c r="AG152" s="20">
        <v>119000</v>
      </c>
      <c r="AH152" s="20">
        <v>82110</v>
      </c>
      <c r="AI152" s="20">
        <v>33536</v>
      </c>
      <c r="AJ152" s="20">
        <v>3354</v>
      </c>
      <c r="AK152" s="20">
        <v>36890</v>
      </c>
    </row>
    <row r="153" spans="1:37" ht="16.5" customHeight="1" x14ac:dyDescent="0.3">
      <c r="A153" s="18" t="s">
        <v>679</v>
      </c>
      <c r="B153" s="18" t="s">
        <v>240</v>
      </c>
      <c r="C153" s="19" t="s">
        <v>241</v>
      </c>
      <c r="D153" s="18" t="s">
        <v>680</v>
      </c>
      <c r="E153" s="19" t="s">
        <v>681</v>
      </c>
      <c r="F153" s="18" t="s">
        <v>244</v>
      </c>
      <c r="G153" s="18" t="s">
        <v>245</v>
      </c>
      <c r="H153" s="19" t="s">
        <v>175</v>
      </c>
      <c r="I153" s="18" t="s">
        <v>246</v>
      </c>
      <c r="J153" s="19" t="s">
        <v>247</v>
      </c>
      <c r="K153" s="19" t="s">
        <v>248</v>
      </c>
      <c r="L153" s="18" t="s">
        <v>164</v>
      </c>
      <c r="M153" s="18" t="s">
        <v>272</v>
      </c>
      <c r="N153" s="18" t="s">
        <v>250</v>
      </c>
      <c r="O153" s="20">
        <v>119000</v>
      </c>
      <c r="P153" s="20">
        <v>82110</v>
      </c>
      <c r="Q153" s="20">
        <v>1</v>
      </c>
      <c r="R153" s="20">
        <v>0</v>
      </c>
      <c r="S153" s="20">
        <v>0</v>
      </c>
      <c r="T153" s="20">
        <v>0</v>
      </c>
      <c r="U153" s="20">
        <v>0</v>
      </c>
      <c r="V153" s="20">
        <v>0</v>
      </c>
      <c r="W153" s="20">
        <v>31</v>
      </c>
      <c r="X153" s="20">
        <v>0</v>
      </c>
      <c r="Y153" s="20">
        <v>0</v>
      </c>
      <c r="Z153" s="20">
        <v>0</v>
      </c>
      <c r="AA153" s="20">
        <v>0</v>
      </c>
      <c r="AB153" s="20">
        <v>0</v>
      </c>
      <c r="AC153" s="20">
        <v>119000</v>
      </c>
      <c r="AD153" s="20">
        <v>82110</v>
      </c>
      <c r="AE153" s="20">
        <v>0</v>
      </c>
      <c r="AF153" s="20">
        <v>0</v>
      </c>
      <c r="AG153" s="20">
        <v>119000</v>
      </c>
      <c r="AH153" s="20">
        <v>82110</v>
      </c>
      <c r="AI153" s="20">
        <v>33536</v>
      </c>
      <c r="AJ153" s="20">
        <v>3354</v>
      </c>
      <c r="AK153" s="20">
        <v>36890</v>
      </c>
    </row>
    <row r="154" spans="1:37" ht="16.5" customHeight="1" x14ac:dyDescent="0.3">
      <c r="A154" s="18" t="s">
        <v>682</v>
      </c>
      <c r="B154" s="18" t="s">
        <v>240</v>
      </c>
      <c r="C154" s="19" t="s">
        <v>241</v>
      </c>
      <c r="D154" s="18" t="s">
        <v>683</v>
      </c>
      <c r="E154" s="19" t="s">
        <v>684</v>
      </c>
      <c r="F154" s="18" t="s">
        <v>244</v>
      </c>
      <c r="G154" s="18" t="s">
        <v>245</v>
      </c>
      <c r="H154" s="19" t="s">
        <v>175</v>
      </c>
      <c r="I154" s="18" t="s">
        <v>246</v>
      </c>
      <c r="J154" s="19" t="s">
        <v>247</v>
      </c>
      <c r="K154" s="19" t="s">
        <v>248</v>
      </c>
      <c r="L154" s="18" t="s">
        <v>164</v>
      </c>
      <c r="M154" s="18" t="s">
        <v>272</v>
      </c>
      <c r="N154" s="18" t="s">
        <v>250</v>
      </c>
      <c r="O154" s="20">
        <v>119000</v>
      </c>
      <c r="P154" s="20">
        <v>82110</v>
      </c>
      <c r="Q154" s="20">
        <v>1</v>
      </c>
      <c r="R154" s="20">
        <v>0</v>
      </c>
      <c r="S154" s="20">
        <v>0</v>
      </c>
      <c r="T154" s="20">
        <v>0</v>
      </c>
      <c r="U154" s="20">
        <v>0</v>
      </c>
      <c r="V154" s="20">
        <v>0</v>
      </c>
      <c r="W154" s="20">
        <v>31</v>
      </c>
      <c r="X154" s="20">
        <v>0</v>
      </c>
      <c r="Y154" s="20">
        <v>0</v>
      </c>
      <c r="Z154" s="20">
        <v>0</v>
      </c>
      <c r="AA154" s="20">
        <v>0</v>
      </c>
      <c r="AB154" s="20">
        <v>0</v>
      </c>
      <c r="AC154" s="20">
        <v>119000</v>
      </c>
      <c r="AD154" s="20">
        <v>82110</v>
      </c>
      <c r="AE154" s="20">
        <v>0</v>
      </c>
      <c r="AF154" s="20">
        <v>0</v>
      </c>
      <c r="AG154" s="20">
        <v>119000</v>
      </c>
      <c r="AH154" s="20">
        <v>82110</v>
      </c>
      <c r="AI154" s="20">
        <v>33536</v>
      </c>
      <c r="AJ154" s="20">
        <v>3354</v>
      </c>
      <c r="AK154" s="20">
        <v>36890</v>
      </c>
    </row>
    <row r="155" spans="1:37" ht="16.5" customHeight="1" x14ac:dyDescent="0.3">
      <c r="A155" s="18" t="s">
        <v>685</v>
      </c>
      <c r="B155" s="18" t="s">
        <v>240</v>
      </c>
      <c r="C155" s="19" t="s">
        <v>241</v>
      </c>
      <c r="D155" s="18" t="s">
        <v>686</v>
      </c>
      <c r="E155" s="19" t="s">
        <v>687</v>
      </c>
      <c r="F155" s="18" t="s">
        <v>244</v>
      </c>
      <c r="G155" s="18" t="s">
        <v>245</v>
      </c>
      <c r="H155" s="19" t="s">
        <v>175</v>
      </c>
      <c r="I155" s="18" t="s">
        <v>246</v>
      </c>
      <c r="J155" s="19" t="s">
        <v>247</v>
      </c>
      <c r="K155" s="19" t="s">
        <v>248</v>
      </c>
      <c r="L155" s="18" t="s">
        <v>164</v>
      </c>
      <c r="M155" s="18" t="s">
        <v>272</v>
      </c>
      <c r="N155" s="18" t="s">
        <v>250</v>
      </c>
      <c r="O155" s="20">
        <v>119000</v>
      </c>
      <c r="P155" s="20">
        <v>82110</v>
      </c>
      <c r="Q155" s="20">
        <v>1</v>
      </c>
      <c r="R155" s="20">
        <v>0</v>
      </c>
      <c r="S155" s="20">
        <v>0</v>
      </c>
      <c r="T155" s="20">
        <v>0</v>
      </c>
      <c r="U155" s="20">
        <v>0</v>
      </c>
      <c r="V155" s="20">
        <v>0</v>
      </c>
      <c r="W155" s="20">
        <v>31</v>
      </c>
      <c r="X155" s="20">
        <v>0</v>
      </c>
      <c r="Y155" s="20">
        <v>0</v>
      </c>
      <c r="Z155" s="20">
        <v>0</v>
      </c>
      <c r="AA155" s="20">
        <v>0</v>
      </c>
      <c r="AB155" s="20">
        <v>0</v>
      </c>
      <c r="AC155" s="20">
        <v>119000</v>
      </c>
      <c r="AD155" s="20">
        <v>82110</v>
      </c>
      <c r="AE155" s="20">
        <v>0</v>
      </c>
      <c r="AF155" s="20">
        <v>0</v>
      </c>
      <c r="AG155" s="20">
        <v>119000</v>
      </c>
      <c r="AH155" s="20">
        <v>82110</v>
      </c>
      <c r="AI155" s="20">
        <v>33536</v>
      </c>
      <c r="AJ155" s="20">
        <v>3354</v>
      </c>
      <c r="AK155" s="20">
        <v>36890</v>
      </c>
    </row>
    <row r="156" spans="1:37" ht="16.5" customHeight="1" x14ac:dyDescent="0.3">
      <c r="A156" s="18" t="s">
        <v>688</v>
      </c>
      <c r="B156" s="18" t="s">
        <v>240</v>
      </c>
      <c r="C156" s="19" t="s">
        <v>241</v>
      </c>
      <c r="D156" s="18" t="s">
        <v>689</v>
      </c>
      <c r="E156" s="19" t="s">
        <v>687</v>
      </c>
      <c r="F156" s="18" t="s">
        <v>244</v>
      </c>
      <c r="G156" s="18" t="s">
        <v>245</v>
      </c>
      <c r="H156" s="19" t="s">
        <v>175</v>
      </c>
      <c r="I156" s="18" t="s">
        <v>246</v>
      </c>
      <c r="J156" s="19" t="s">
        <v>247</v>
      </c>
      <c r="K156" s="19" t="s">
        <v>248</v>
      </c>
      <c r="L156" s="18" t="s">
        <v>164</v>
      </c>
      <c r="M156" s="18" t="s">
        <v>272</v>
      </c>
      <c r="N156" s="18" t="s">
        <v>250</v>
      </c>
      <c r="O156" s="20">
        <v>119000</v>
      </c>
      <c r="P156" s="20">
        <v>82110</v>
      </c>
      <c r="Q156" s="20">
        <v>1</v>
      </c>
      <c r="R156" s="20">
        <v>0</v>
      </c>
      <c r="S156" s="20">
        <v>0</v>
      </c>
      <c r="T156" s="20">
        <v>0</v>
      </c>
      <c r="U156" s="20">
        <v>0</v>
      </c>
      <c r="V156" s="20">
        <v>0</v>
      </c>
      <c r="W156" s="20">
        <v>31</v>
      </c>
      <c r="X156" s="20">
        <v>0</v>
      </c>
      <c r="Y156" s="20">
        <v>5000</v>
      </c>
      <c r="Z156" s="20">
        <v>0</v>
      </c>
      <c r="AA156" s="20">
        <v>0</v>
      </c>
      <c r="AB156" s="20">
        <v>0</v>
      </c>
      <c r="AC156" s="20">
        <v>119000</v>
      </c>
      <c r="AD156" s="20">
        <v>82110</v>
      </c>
      <c r="AE156" s="20">
        <v>0</v>
      </c>
      <c r="AF156" s="20">
        <v>5000</v>
      </c>
      <c r="AG156" s="20">
        <v>114000</v>
      </c>
      <c r="AH156" s="20">
        <v>82110</v>
      </c>
      <c r="AI156" s="20">
        <v>28991</v>
      </c>
      <c r="AJ156" s="20">
        <v>2899</v>
      </c>
      <c r="AK156" s="20">
        <v>31890</v>
      </c>
    </row>
    <row r="157" spans="1:37" ht="16.5" customHeight="1" x14ac:dyDescent="0.3">
      <c r="A157" s="18" t="s">
        <v>690</v>
      </c>
      <c r="B157" s="18" t="s">
        <v>240</v>
      </c>
      <c r="C157" s="19" t="s">
        <v>241</v>
      </c>
      <c r="D157" s="18" t="s">
        <v>691</v>
      </c>
      <c r="E157" s="19" t="s">
        <v>660</v>
      </c>
      <c r="F157" s="18" t="s">
        <v>244</v>
      </c>
      <c r="G157" s="18" t="s">
        <v>245</v>
      </c>
      <c r="H157" s="19" t="s">
        <v>175</v>
      </c>
      <c r="I157" s="18" t="s">
        <v>246</v>
      </c>
      <c r="J157" s="19" t="s">
        <v>247</v>
      </c>
      <c r="K157" s="19" t="s">
        <v>248</v>
      </c>
      <c r="L157" s="18" t="s">
        <v>164</v>
      </c>
      <c r="M157" s="18" t="s">
        <v>272</v>
      </c>
      <c r="N157" s="18" t="s">
        <v>250</v>
      </c>
      <c r="O157" s="20">
        <v>119000</v>
      </c>
      <c r="P157" s="20">
        <v>82110</v>
      </c>
      <c r="Q157" s="20">
        <v>1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  <c r="W157" s="20">
        <v>31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  <c r="AC157" s="20">
        <v>119000</v>
      </c>
      <c r="AD157" s="20">
        <v>82110</v>
      </c>
      <c r="AE157" s="20">
        <v>0</v>
      </c>
      <c r="AF157" s="20">
        <v>0</v>
      </c>
      <c r="AG157" s="20">
        <v>119000</v>
      </c>
      <c r="AH157" s="20">
        <v>82110</v>
      </c>
      <c r="AI157" s="20">
        <v>33536</v>
      </c>
      <c r="AJ157" s="20">
        <v>3354</v>
      </c>
      <c r="AK157" s="20">
        <v>36890</v>
      </c>
    </row>
    <row r="158" spans="1:37" ht="16.5" customHeight="1" x14ac:dyDescent="0.3">
      <c r="A158" s="18" t="s">
        <v>692</v>
      </c>
      <c r="B158" s="18" t="s">
        <v>240</v>
      </c>
      <c r="C158" s="19" t="s">
        <v>241</v>
      </c>
      <c r="D158" s="18" t="s">
        <v>693</v>
      </c>
      <c r="E158" s="19" t="s">
        <v>694</v>
      </c>
      <c r="F158" s="18" t="s">
        <v>244</v>
      </c>
      <c r="G158" s="18" t="s">
        <v>245</v>
      </c>
      <c r="H158" s="19" t="s">
        <v>175</v>
      </c>
      <c r="I158" s="18" t="s">
        <v>246</v>
      </c>
      <c r="J158" s="19" t="s">
        <v>247</v>
      </c>
      <c r="K158" s="19" t="s">
        <v>248</v>
      </c>
      <c r="L158" s="18" t="s">
        <v>164</v>
      </c>
      <c r="M158" s="18" t="s">
        <v>272</v>
      </c>
      <c r="N158" s="18" t="s">
        <v>250</v>
      </c>
      <c r="O158" s="20">
        <v>119000</v>
      </c>
      <c r="P158" s="20">
        <v>82110</v>
      </c>
      <c r="Q158" s="20">
        <v>1</v>
      </c>
      <c r="R158" s="20">
        <v>0</v>
      </c>
      <c r="S158" s="20">
        <v>0</v>
      </c>
      <c r="T158" s="20">
        <v>0</v>
      </c>
      <c r="U158" s="20">
        <v>0</v>
      </c>
      <c r="V158" s="20">
        <v>0</v>
      </c>
      <c r="W158" s="20">
        <v>31</v>
      </c>
      <c r="X158" s="20">
        <v>0</v>
      </c>
      <c r="Y158" s="20">
        <v>0</v>
      </c>
      <c r="Z158" s="20">
        <v>0</v>
      </c>
      <c r="AA158" s="20">
        <v>0</v>
      </c>
      <c r="AB158" s="20">
        <v>0</v>
      </c>
      <c r="AC158" s="20">
        <v>119000</v>
      </c>
      <c r="AD158" s="20">
        <v>82110</v>
      </c>
      <c r="AE158" s="20">
        <v>0</v>
      </c>
      <c r="AF158" s="20">
        <v>0</v>
      </c>
      <c r="AG158" s="20">
        <v>119000</v>
      </c>
      <c r="AH158" s="20">
        <v>82110</v>
      </c>
      <c r="AI158" s="20">
        <v>33536</v>
      </c>
      <c r="AJ158" s="20">
        <v>3354</v>
      </c>
      <c r="AK158" s="20">
        <v>36890</v>
      </c>
    </row>
    <row r="159" spans="1:37" ht="16.5" customHeight="1" x14ac:dyDescent="0.3">
      <c r="A159" s="18" t="s">
        <v>695</v>
      </c>
      <c r="B159" s="18" t="s">
        <v>240</v>
      </c>
      <c r="C159" s="19" t="s">
        <v>241</v>
      </c>
      <c r="D159" s="18" t="s">
        <v>696</v>
      </c>
      <c r="E159" s="19" t="s">
        <v>697</v>
      </c>
      <c r="F159" s="18" t="s">
        <v>244</v>
      </c>
      <c r="G159" s="18" t="s">
        <v>245</v>
      </c>
      <c r="H159" s="19" t="s">
        <v>175</v>
      </c>
      <c r="I159" s="18" t="s">
        <v>246</v>
      </c>
      <c r="J159" s="19" t="s">
        <v>247</v>
      </c>
      <c r="K159" s="19" t="s">
        <v>248</v>
      </c>
      <c r="L159" s="18" t="s">
        <v>164</v>
      </c>
      <c r="M159" s="18" t="s">
        <v>272</v>
      </c>
      <c r="N159" s="18" t="s">
        <v>250</v>
      </c>
      <c r="O159" s="20">
        <v>119000</v>
      </c>
      <c r="P159" s="20">
        <v>82110</v>
      </c>
      <c r="Q159" s="20">
        <v>1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31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119000</v>
      </c>
      <c r="AD159" s="20">
        <v>82110</v>
      </c>
      <c r="AE159" s="20">
        <v>0</v>
      </c>
      <c r="AF159" s="20">
        <v>0</v>
      </c>
      <c r="AG159" s="20">
        <v>119000</v>
      </c>
      <c r="AH159" s="20">
        <v>82110</v>
      </c>
      <c r="AI159" s="20">
        <v>33536</v>
      </c>
      <c r="AJ159" s="20">
        <v>3354</v>
      </c>
      <c r="AK159" s="20">
        <v>36890</v>
      </c>
    </row>
    <row r="160" spans="1:37" ht="16.5" customHeight="1" x14ac:dyDescent="0.3">
      <c r="A160" s="18" t="s">
        <v>698</v>
      </c>
      <c r="B160" s="18" t="s">
        <v>240</v>
      </c>
      <c r="C160" s="19" t="s">
        <v>241</v>
      </c>
      <c r="D160" s="18" t="s">
        <v>699</v>
      </c>
      <c r="E160" s="19" t="s">
        <v>700</v>
      </c>
      <c r="F160" s="18" t="s">
        <v>244</v>
      </c>
      <c r="G160" s="18" t="s">
        <v>245</v>
      </c>
      <c r="H160" s="19" t="s">
        <v>175</v>
      </c>
      <c r="I160" s="18" t="s">
        <v>246</v>
      </c>
      <c r="J160" s="19" t="s">
        <v>247</v>
      </c>
      <c r="K160" s="19" t="s">
        <v>248</v>
      </c>
      <c r="L160" s="18" t="s">
        <v>164</v>
      </c>
      <c r="M160" s="18" t="s">
        <v>272</v>
      </c>
      <c r="N160" s="18" t="s">
        <v>250</v>
      </c>
      <c r="O160" s="20">
        <v>119000</v>
      </c>
      <c r="P160" s="20">
        <v>82110</v>
      </c>
      <c r="Q160" s="20">
        <v>1</v>
      </c>
      <c r="R160" s="20">
        <v>0</v>
      </c>
      <c r="S160" s="20">
        <v>0</v>
      </c>
      <c r="T160" s="20">
        <v>0</v>
      </c>
      <c r="U160" s="20">
        <v>0</v>
      </c>
      <c r="V160" s="20">
        <v>0</v>
      </c>
      <c r="W160" s="20">
        <v>31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119000</v>
      </c>
      <c r="AD160" s="20">
        <v>82110</v>
      </c>
      <c r="AE160" s="20">
        <v>0</v>
      </c>
      <c r="AF160" s="20">
        <v>0</v>
      </c>
      <c r="AG160" s="20">
        <v>119000</v>
      </c>
      <c r="AH160" s="20">
        <v>82110</v>
      </c>
      <c r="AI160" s="20">
        <v>33536</v>
      </c>
      <c r="AJ160" s="20">
        <v>3354</v>
      </c>
      <c r="AK160" s="20">
        <v>36890</v>
      </c>
    </row>
    <row r="161" spans="1:37" ht="16.5" customHeight="1" x14ac:dyDescent="0.3">
      <c r="A161" s="18" t="s">
        <v>701</v>
      </c>
      <c r="B161" s="18" t="s">
        <v>240</v>
      </c>
      <c r="C161" s="19" t="s">
        <v>241</v>
      </c>
      <c r="D161" s="18" t="s">
        <v>702</v>
      </c>
      <c r="E161" s="19" t="s">
        <v>703</v>
      </c>
      <c r="F161" s="18" t="s">
        <v>244</v>
      </c>
      <c r="G161" s="18" t="s">
        <v>245</v>
      </c>
      <c r="H161" s="19" t="s">
        <v>175</v>
      </c>
      <c r="I161" s="18" t="s">
        <v>246</v>
      </c>
      <c r="J161" s="19" t="s">
        <v>247</v>
      </c>
      <c r="K161" s="19" t="s">
        <v>248</v>
      </c>
      <c r="L161" s="18" t="s">
        <v>164</v>
      </c>
      <c r="M161" s="18" t="s">
        <v>272</v>
      </c>
      <c r="N161" s="18" t="s">
        <v>250</v>
      </c>
      <c r="O161" s="20">
        <v>119000</v>
      </c>
      <c r="P161" s="20">
        <v>82110</v>
      </c>
      <c r="Q161" s="20">
        <v>1</v>
      </c>
      <c r="R161" s="20">
        <v>0</v>
      </c>
      <c r="S161" s="20">
        <v>0</v>
      </c>
      <c r="T161" s="20">
        <v>0</v>
      </c>
      <c r="U161" s="20">
        <v>0</v>
      </c>
      <c r="V161" s="20">
        <v>0</v>
      </c>
      <c r="W161" s="20">
        <v>31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119000</v>
      </c>
      <c r="AD161" s="20">
        <v>82110</v>
      </c>
      <c r="AE161" s="20">
        <v>0</v>
      </c>
      <c r="AF161" s="20">
        <v>0</v>
      </c>
      <c r="AG161" s="20">
        <v>119000</v>
      </c>
      <c r="AH161" s="20">
        <v>82110</v>
      </c>
      <c r="AI161" s="20">
        <v>33536</v>
      </c>
      <c r="AJ161" s="20">
        <v>3354</v>
      </c>
      <c r="AK161" s="20">
        <v>36890</v>
      </c>
    </row>
    <row r="162" spans="1:37" ht="16.5" customHeight="1" x14ac:dyDescent="0.3">
      <c r="A162" s="18" t="s">
        <v>704</v>
      </c>
      <c r="B162" s="18" t="s">
        <v>240</v>
      </c>
      <c r="C162" s="19" t="s">
        <v>241</v>
      </c>
      <c r="D162" s="18" t="s">
        <v>705</v>
      </c>
      <c r="E162" s="19" t="s">
        <v>706</v>
      </c>
      <c r="F162" s="18" t="s">
        <v>244</v>
      </c>
      <c r="G162" s="18" t="s">
        <v>245</v>
      </c>
      <c r="H162" s="19" t="s">
        <v>175</v>
      </c>
      <c r="I162" s="18" t="s">
        <v>246</v>
      </c>
      <c r="J162" s="19" t="s">
        <v>247</v>
      </c>
      <c r="K162" s="19" t="s">
        <v>248</v>
      </c>
      <c r="L162" s="18" t="s">
        <v>164</v>
      </c>
      <c r="M162" s="18" t="s">
        <v>272</v>
      </c>
      <c r="N162" s="18" t="s">
        <v>250</v>
      </c>
      <c r="O162" s="20">
        <v>119000</v>
      </c>
      <c r="P162" s="20">
        <v>82110</v>
      </c>
      <c r="Q162" s="20">
        <v>1</v>
      </c>
      <c r="R162" s="20">
        <v>0</v>
      </c>
      <c r="S162" s="20">
        <v>0</v>
      </c>
      <c r="T162" s="20">
        <v>0</v>
      </c>
      <c r="U162" s="20">
        <v>0</v>
      </c>
      <c r="V162" s="20">
        <v>0</v>
      </c>
      <c r="W162" s="20">
        <v>31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119000</v>
      </c>
      <c r="AD162" s="20">
        <v>82110</v>
      </c>
      <c r="AE162" s="20">
        <v>0</v>
      </c>
      <c r="AF162" s="20">
        <v>0</v>
      </c>
      <c r="AG162" s="20">
        <v>119000</v>
      </c>
      <c r="AH162" s="20">
        <v>82110</v>
      </c>
      <c r="AI162" s="20">
        <v>33536</v>
      </c>
      <c r="AJ162" s="20">
        <v>3354</v>
      </c>
      <c r="AK162" s="20">
        <v>36890</v>
      </c>
    </row>
    <row r="163" spans="1:37" ht="16.5" customHeight="1" x14ac:dyDescent="0.3">
      <c r="A163" s="18" t="s">
        <v>707</v>
      </c>
      <c r="B163" s="18" t="s">
        <v>240</v>
      </c>
      <c r="C163" s="19" t="s">
        <v>241</v>
      </c>
      <c r="D163" s="18" t="s">
        <v>708</v>
      </c>
      <c r="E163" s="19" t="s">
        <v>709</v>
      </c>
      <c r="F163" s="18" t="s">
        <v>244</v>
      </c>
      <c r="G163" s="18" t="s">
        <v>245</v>
      </c>
      <c r="H163" s="19" t="s">
        <v>175</v>
      </c>
      <c r="I163" s="18" t="s">
        <v>246</v>
      </c>
      <c r="J163" s="19" t="s">
        <v>247</v>
      </c>
      <c r="K163" s="19" t="s">
        <v>248</v>
      </c>
      <c r="L163" s="18" t="s">
        <v>164</v>
      </c>
      <c r="M163" s="18" t="s">
        <v>272</v>
      </c>
      <c r="N163" s="18" t="s">
        <v>250</v>
      </c>
      <c r="O163" s="20">
        <v>119000</v>
      </c>
      <c r="P163" s="20">
        <v>82110</v>
      </c>
      <c r="Q163" s="20">
        <v>1</v>
      </c>
      <c r="R163" s="20">
        <v>0</v>
      </c>
      <c r="S163" s="20">
        <v>0</v>
      </c>
      <c r="T163" s="20">
        <v>0</v>
      </c>
      <c r="U163" s="20">
        <v>0</v>
      </c>
      <c r="V163" s="20">
        <v>0</v>
      </c>
      <c r="W163" s="20">
        <v>31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  <c r="AC163" s="20">
        <v>119000</v>
      </c>
      <c r="AD163" s="20">
        <v>82110</v>
      </c>
      <c r="AE163" s="20">
        <v>0</v>
      </c>
      <c r="AF163" s="20">
        <v>0</v>
      </c>
      <c r="AG163" s="20">
        <v>119000</v>
      </c>
      <c r="AH163" s="20">
        <v>82110</v>
      </c>
      <c r="AI163" s="20">
        <v>33536</v>
      </c>
      <c r="AJ163" s="20">
        <v>3354</v>
      </c>
      <c r="AK163" s="20">
        <v>36890</v>
      </c>
    </row>
    <row r="164" spans="1:37" ht="16.5" customHeight="1" x14ac:dyDescent="0.3">
      <c r="A164" s="18" t="s">
        <v>710</v>
      </c>
      <c r="B164" s="18" t="s">
        <v>240</v>
      </c>
      <c r="C164" s="19" t="s">
        <v>241</v>
      </c>
      <c r="D164" s="18" t="s">
        <v>711</v>
      </c>
      <c r="E164" s="19" t="s">
        <v>657</v>
      </c>
      <c r="F164" s="18" t="s">
        <v>244</v>
      </c>
      <c r="G164" s="18" t="s">
        <v>245</v>
      </c>
      <c r="H164" s="19" t="s">
        <v>175</v>
      </c>
      <c r="I164" s="18" t="s">
        <v>246</v>
      </c>
      <c r="J164" s="19" t="s">
        <v>247</v>
      </c>
      <c r="K164" s="19" t="s">
        <v>248</v>
      </c>
      <c r="L164" s="18" t="s">
        <v>164</v>
      </c>
      <c r="M164" s="18" t="s">
        <v>272</v>
      </c>
      <c r="N164" s="18" t="s">
        <v>250</v>
      </c>
      <c r="O164" s="20">
        <v>119000</v>
      </c>
      <c r="P164" s="20">
        <v>82110</v>
      </c>
      <c r="Q164" s="20">
        <v>1</v>
      </c>
      <c r="R164" s="20">
        <v>0</v>
      </c>
      <c r="S164" s="20">
        <v>0</v>
      </c>
      <c r="T164" s="20">
        <v>0</v>
      </c>
      <c r="U164" s="20">
        <v>0</v>
      </c>
      <c r="V164" s="20">
        <v>0</v>
      </c>
      <c r="W164" s="20">
        <v>31</v>
      </c>
      <c r="X164" s="20">
        <v>19040</v>
      </c>
      <c r="Y164" s="20">
        <v>0</v>
      </c>
      <c r="Z164" s="20">
        <v>0</v>
      </c>
      <c r="AA164" s="20">
        <v>0</v>
      </c>
      <c r="AB164" s="20">
        <v>0</v>
      </c>
      <c r="AC164" s="20">
        <v>119000</v>
      </c>
      <c r="AD164" s="20">
        <v>82110</v>
      </c>
      <c r="AE164" s="20">
        <v>0</v>
      </c>
      <c r="AF164" s="20">
        <v>19040</v>
      </c>
      <c r="AG164" s="20">
        <v>99960</v>
      </c>
      <c r="AH164" s="20">
        <v>82110</v>
      </c>
      <c r="AI164" s="20">
        <v>16227</v>
      </c>
      <c r="AJ164" s="20">
        <v>1623</v>
      </c>
      <c r="AK164" s="20">
        <v>17850</v>
      </c>
    </row>
    <row r="165" spans="1:37" ht="16.5" customHeight="1" x14ac:dyDescent="0.3">
      <c r="A165" s="18" t="s">
        <v>712</v>
      </c>
      <c r="B165" s="18" t="s">
        <v>240</v>
      </c>
      <c r="C165" s="19" t="s">
        <v>241</v>
      </c>
      <c r="D165" s="18" t="s">
        <v>713</v>
      </c>
      <c r="E165" s="19" t="s">
        <v>349</v>
      </c>
      <c r="F165" s="18" t="s">
        <v>244</v>
      </c>
      <c r="G165" s="18" t="s">
        <v>245</v>
      </c>
      <c r="H165" s="19" t="s">
        <v>175</v>
      </c>
      <c r="I165" s="18" t="s">
        <v>246</v>
      </c>
      <c r="J165" s="19" t="s">
        <v>247</v>
      </c>
      <c r="K165" s="19" t="s">
        <v>248</v>
      </c>
      <c r="L165" s="18" t="s">
        <v>164</v>
      </c>
      <c r="M165" s="18" t="s">
        <v>272</v>
      </c>
      <c r="N165" s="18" t="s">
        <v>250</v>
      </c>
      <c r="O165" s="20">
        <v>119000</v>
      </c>
      <c r="P165" s="20">
        <v>82110</v>
      </c>
      <c r="Q165" s="20">
        <v>1</v>
      </c>
      <c r="R165" s="20">
        <v>0</v>
      </c>
      <c r="S165" s="20">
        <v>0</v>
      </c>
      <c r="T165" s="20">
        <v>0</v>
      </c>
      <c r="U165" s="20">
        <v>0</v>
      </c>
      <c r="V165" s="20">
        <v>0</v>
      </c>
      <c r="W165" s="20">
        <v>31</v>
      </c>
      <c r="X165" s="20">
        <v>0</v>
      </c>
      <c r="Y165" s="20">
        <v>0</v>
      </c>
      <c r="Z165" s="20">
        <v>0</v>
      </c>
      <c r="AA165" s="20">
        <v>0</v>
      </c>
      <c r="AB165" s="20">
        <v>0</v>
      </c>
      <c r="AC165" s="20">
        <v>119000</v>
      </c>
      <c r="AD165" s="20">
        <v>82110</v>
      </c>
      <c r="AE165" s="20">
        <v>0</v>
      </c>
      <c r="AF165" s="20">
        <v>0</v>
      </c>
      <c r="AG165" s="20">
        <v>119000</v>
      </c>
      <c r="AH165" s="20">
        <v>82110</v>
      </c>
      <c r="AI165" s="20">
        <v>33536</v>
      </c>
      <c r="AJ165" s="20">
        <v>3354</v>
      </c>
      <c r="AK165" s="20">
        <v>36890</v>
      </c>
    </row>
    <row r="166" spans="1:37" ht="16.5" customHeight="1" x14ac:dyDescent="0.3">
      <c r="A166" s="18" t="s">
        <v>714</v>
      </c>
      <c r="B166" s="18" t="s">
        <v>240</v>
      </c>
      <c r="C166" s="19" t="s">
        <v>241</v>
      </c>
      <c r="D166" s="18" t="s">
        <v>715</v>
      </c>
      <c r="E166" s="19" t="s">
        <v>716</v>
      </c>
      <c r="F166" s="18" t="s">
        <v>244</v>
      </c>
      <c r="G166" s="18" t="s">
        <v>245</v>
      </c>
      <c r="H166" s="19" t="s">
        <v>175</v>
      </c>
      <c r="I166" s="18" t="s">
        <v>246</v>
      </c>
      <c r="J166" s="19" t="s">
        <v>247</v>
      </c>
      <c r="K166" s="19" t="s">
        <v>248</v>
      </c>
      <c r="L166" s="18" t="s">
        <v>164</v>
      </c>
      <c r="M166" s="18" t="s">
        <v>272</v>
      </c>
      <c r="N166" s="18" t="s">
        <v>250</v>
      </c>
      <c r="O166" s="20">
        <v>119000</v>
      </c>
      <c r="P166" s="20">
        <v>82110</v>
      </c>
      <c r="Q166" s="20">
        <v>1</v>
      </c>
      <c r="R166" s="20">
        <v>0</v>
      </c>
      <c r="S166" s="20">
        <v>0</v>
      </c>
      <c r="T166" s="20">
        <v>0</v>
      </c>
      <c r="U166" s="20">
        <v>0</v>
      </c>
      <c r="V166" s="20">
        <v>0</v>
      </c>
      <c r="W166" s="20">
        <v>31</v>
      </c>
      <c r="X166" s="20">
        <v>0</v>
      </c>
      <c r="Y166" s="20">
        <v>0</v>
      </c>
      <c r="Z166" s="20">
        <v>0</v>
      </c>
      <c r="AA166" s="20">
        <v>0</v>
      </c>
      <c r="AB166" s="20">
        <v>0</v>
      </c>
      <c r="AC166" s="20">
        <v>119000</v>
      </c>
      <c r="AD166" s="20">
        <v>82110</v>
      </c>
      <c r="AE166" s="20">
        <v>0</v>
      </c>
      <c r="AF166" s="20">
        <v>0</v>
      </c>
      <c r="AG166" s="20">
        <v>119000</v>
      </c>
      <c r="AH166" s="20">
        <v>82110</v>
      </c>
      <c r="AI166" s="20">
        <v>33536</v>
      </c>
      <c r="AJ166" s="20">
        <v>3354</v>
      </c>
      <c r="AK166" s="20">
        <v>36890</v>
      </c>
    </row>
    <row r="167" spans="1:37" ht="16.5" customHeight="1" x14ac:dyDescent="0.3">
      <c r="A167" s="18" t="s">
        <v>717</v>
      </c>
      <c r="B167" s="18" t="s">
        <v>240</v>
      </c>
      <c r="C167" s="19" t="s">
        <v>241</v>
      </c>
      <c r="D167" s="18" t="s">
        <v>718</v>
      </c>
      <c r="E167" s="19" t="s">
        <v>719</v>
      </c>
      <c r="F167" s="18" t="s">
        <v>244</v>
      </c>
      <c r="G167" s="18" t="s">
        <v>245</v>
      </c>
      <c r="H167" s="19" t="s">
        <v>175</v>
      </c>
      <c r="I167" s="18" t="s">
        <v>246</v>
      </c>
      <c r="J167" s="19" t="s">
        <v>247</v>
      </c>
      <c r="K167" s="19" t="s">
        <v>248</v>
      </c>
      <c r="L167" s="18" t="s">
        <v>164</v>
      </c>
      <c r="M167" s="18" t="s">
        <v>272</v>
      </c>
      <c r="N167" s="18" t="s">
        <v>250</v>
      </c>
      <c r="O167" s="20">
        <v>119000</v>
      </c>
      <c r="P167" s="20">
        <v>82110</v>
      </c>
      <c r="Q167" s="20">
        <v>1</v>
      </c>
      <c r="R167" s="20">
        <v>0</v>
      </c>
      <c r="S167" s="20">
        <v>0</v>
      </c>
      <c r="T167" s="20">
        <v>0</v>
      </c>
      <c r="U167" s="20">
        <v>0</v>
      </c>
      <c r="V167" s="20">
        <v>0</v>
      </c>
      <c r="W167" s="20">
        <v>31</v>
      </c>
      <c r="X167" s="20">
        <v>0</v>
      </c>
      <c r="Y167" s="20">
        <v>0</v>
      </c>
      <c r="Z167" s="20">
        <v>0</v>
      </c>
      <c r="AA167" s="20">
        <v>0</v>
      </c>
      <c r="AB167" s="20">
        <v>0</v>
      </c>
      <c r="AC167" s="20">
        <v>119000</v>
      </c>
      <c r="AD167" s="20">
        <v>82110</v>
      </c>
      <c r="AE167" s="20">
        <v>0</v>
      </c>
      <c r="AF167" s="20">
        <v>0</v>
      </c>
      <c r="AG167" s="20">
        <v>119000</v>
      </c>
      <c r="AH167" s="20">
        <v>82110</v>
      </c>
      <c r="AI167" s="20">
        <v>33536</v>
      </c>
      <c r="AJ167" s="20">
        <v>3354</v>
      </c>
      <c r="AK167" s="20">
        <v>36890</v>
      </c>
    </row>
    <row r="168" spans="1:37" ht="16.5" customHeight="1" x14ac:dyDescent="0.3">
      <c r="A168" s="18" t="s">
        <v>720</v>
      </c>
      <c r="B168" s="18" t="s">
        <v>240</v>
      </c>
      <c r="C168" s="19" t="s">
        <v>241</v>
      </c>
      <c r="D168" s="18" t="s">
        <v>721</v>
      </c>
      <c r="E168" s="19" t="s">
        <v>722</v>
      </c>
      <c r="F168" s="18" t="s">
        <v>244</v>
      </c>
      <c r="G168" s="18" t="s">
        <v>245</v>
      </c>
      <c r="H168" s="19" t="s">
        <v>175</v>
      </c>
      <c r="I168" s="18" t="s">
        <v>246</v>
      </c>
      <c r="J168" s="19" t="s">
        <v>247</v>
      </c>
      <c r="K168" s="19" t="s">
        <v>248</v>
      </c>
      <c r="L168" s="18" t="s">
        <v>164</v>
      </c>
      <c r="M168" s="18" t="s">
        <v>272</v>
      </c>
      <c r="N168" s="18" t="s">
        <v>250</v>
      </c>
      <c r="O168" s="20">
        <v>119000</v>
      </c>
      <c r="P168" s="20">
        <v>82110</v>
      </c>
      <c r="Q168" s="20">
        <v>1</v>
      </c>
      <c r="R168" s="20">
        <v>0</v>
      </c>
      <c r="S168" s="20">
        <v>0</v>
      </c>
      <c r="T168" s="20">
        <v>0</v>
      </c>
      <c r="U168" s="20">
        <v>0</v>
      </c>
      <c r="V168" s="20">
        <v>0</v>
      </c>
      <c r="W168" s="20">
        <v>31</v>
      </c>
      <c r="X168" s="20">
        <v>0</v>
      </c>
      <c r="Y168" s="20">
        <v>10000</v>
      </c>
      <c r="Z168" s="20">
        <v>0</v>
      </c>
      <c r="AA168" s="20">
        <v>0</v>
      </c>
      <c r="AB168" s="20">
        <v>5450</v>
      </c>
      <c r="AC168" s="20">
        <v>119000</v>
      </c>
      <c r="AD168" s="20">
        <v>82110</v>
      </c>
      <c r="AE168" s="20">
        <v>0</v>
      </c>
      <c r="AF168" s="20">
        <v>15450</v>
      </c>
      <c r="AG168" s="20">
        <v>103550</v>
      </c>
      <c r="AH168" s="20">
        <v>82110</v>
      </c>
      <c r="AI168" s="20">
        <v>19491</v>
      </c>
      <c r="AJ168" s="20">
        <v>1949</v>
      </c>
      <c r="AK168" s="20">
        <v>21440</v>
      </c>
    </row>
    <row r="169" spans="1:37" ht="16.5" customHeight="1" x14ac:dyDescent="0.3">
      <c r="A169" s="18" t="s">
        <v>723</v>
      </c>
      <c r="B169" s="18" t="s">
        <v>240</v>
      </c>
      <c r="C169" s="19" t="s">
        <v>241</v>
      </c>
      <c r="D169" s="18" t="s">
        <v>724</v>
      </c>
      <c r="E169" s="19" t="s">
        <v>284</v>
      </c>
      <c r="F169" s="18" t="s">
        <v>244</v>
      </c>
      <c r="G169" s="18" t="s">
        <v>245</v>
      </c>
      <c r="H169" s="19" t="s">
        <v>175</v>
      </c>
      <c r="I169" s="18" t="s">
        <v>246</v>
      </c>
      <c r="J169" s="19" t="s">
        <v>247</v>
      </c>
      <c r="K169" s="19" t="s">
        <v>248</v>
      </c>
      <c r="L169" s="18" t="s">
        <v>164</v>
      </c>
      <c r="M169" s="18" t="s">
        <v>272</v>
      </c>
      <c r="N169" s="18" t="s">
        <v>250</v>
      </c>
      <c r="O169" s="20">
        <v>119000</v>
      </c>
      <c r="P169" s="20">
        <v>82110</v>
      </c>
      <c r="Q169" s="20">
        <v>1</v>
      </c>
      <c r="R169" s="20">
        <v>0</v>
      </c>
      <c r="S169" s="20">
        <v>0</v>
      </c>
      <c r="T169" s="20">
        <v>0</v>
      </c>
      <c r="U169" s="20">
        <v>0</v>
      </c>
      <c r="V169" s="20">
        <v>0</v>
      </c>
      <c r="W169" s="20">
        <v>31</v>
      </c>
      <c r="X169" s="20">
        <v>0</v>
      </c>
      <c r="Y169" s="20">
        <v>0</v>
      </c>
      <c r="Z169" s="20">
        <v>0</v>
      </c>
      <c r="AA169" s="20">
        <v>0</v>
      </c>
      <c r="AB169" s="20">
        <v>0</v>
      </c>
      <c r="AC169" s="20">
        <v>119000</v>
      </c>
      <c r="AD169" s="20">
        <v>82110</v>
      </c>
      <c r="AE169" s="20">
        <v>0</v>
      </c>
      <c r="AF169" s="20">
        <v>0</v>
      </c>
      <c r="AG169" s="20">
        <v>119000</v>
      </c>
      <c r="AH169" s="20">
        <v>82110</v>
      </c>
      <c r="AI169" s="20">
        <v>33536</v>
      </c>
      <c r="AJ169" s="20">
        <v>3354</v>
      </c>
      <c r="AK169" s="20">
        <v>36890</v>
      </c>
    </row>
    <row r="170" spans="1:37" ht="16.5" customHeight="1" x14ac:dyDescent="0.3">
      <c r="A170" s="18" t="s">
        <v>725</v>
      </c>
      <c r="B170" s="18" t="s">
        <v>240</v>
      </c>
      <c r="C170" s="19" t="s">
        <v>241</v>
      </c>
      <c r="D170" s="18" t="s">
        <v>726</v>
      </c>
      <c r="E170" s="19" t="s">
        <v>727</v>
      </c>
      <c r="F170" s="18" t="s">
        <v>244</v>
      </c>
      <c r="G170" s="18" t="s">
        <v>245</v>
      </c>
      <c r="H170" s="19" t="s">
        <v>175</v>
      </c>
      <c r="I170" s="18" t="s">
        <v>246</v>
      </c>
      <c r="J170" s="19" t="s">
        <v>247</v>
      </c>
      <c r="K170" s="19" t="s">
        <v>248</v>
      </c>
      <c r="L170" s="18" t="s">
        <v>164</v>
      </c>
      <c r="M170" s="18" t="s">
        <v>272</v>
      </c>
      <c r="N170" s="18" t="s">
        <v>250</v>
      </c>
      <c r="O170" s="20">
        <v>119000</v>
      </c>
      <c r="P170" s="20">
        <v>82110</v>
      </c>
      <c r="Q170" s="20">
        <v>1</v>
      </c>
      <c r="R170" s="20">
        <v>0</v>
      </c>
      <c r="S170" s="20">
        <v>0</v>
      </c>
      <c r="T170" s="20">
        <v>0</v>
      </c>
      <c r="U170" s="20">
        <v>0</v>
      </c>
      <c r="V170" s="20">
        <v>0</v>
      </c>
      <c r="W170" s="20">
        <v>31</v>
      </c>
      <c r="X170" s="20">
        <v>22610</v>
      </c>
      <c r="Y170" s="20">
        <v>0</v>
      </c>
      <c r="Z170" s="20">
        <v>0</v>
      </c>
      <c r="AA170" s="20">
        <v>0</v>
      </c>
      <c r="AB170" s="20">
        <v>0</v>
      </c>
      <c r="AC170" s="20">
        <v>119000</v>
      </c>
      <c r="AD170" s="20">
        <v>82110</v>
      </c>
      <c r="AE170" s="20">
        <v>0</v>
      </c>
      <c r="AF170" s="20">
        <v>22610</v>
      </c>
      <c r="AG170" s="20">
        <v>96390</v>
      </c>
      <c r="AH170" s="20">
        <v>82110</v>
      </c>
      <c r="AI170" s="20">
        <v>12982</v>
      </c>
      <c r="AJ170" s="20">
        <v>1298</v>
      </c>
      <c r="AK170" s="20">
        <v>14280</v>
      </c>
    </row>
    <row r="171" spans="1:37" ht="16.5" customHeight="1" x14ac:dyDescent="0.3">
      <c r="A171" s="18" t="s">
        <v>728</v>
      </c>
      <c r="B171" s="18" t="s">
        <v>240</v>
      </c>
      <c r="C171" s="19" t="s">
        <v>241</v>
      </c>
      <c r="D171" s="18" t="s">
        <v>729</v>
      </c>
      <c r="E171" s="19" t="s">
        <v>374</v>
      </c>
      <c r="F171" s="18" t="s">
        <v>244</v>
      </c>
      <c r="G171" s="18" t="s">
        <v>245</v>
      </c>
      <c r="H171" s="19" t="s">
        <v>175</v>
      </c>
      <c r="I171" s="18" t="s">
        <v>246</v>
      </c>
      <c r="J171" s="19" t="s">
        <v>247</v>
      </c>
      <c r="K171" s="19" t="s">
        <v>248</v>
      </c>
      <c r="L171" s="18" t="s">
        <v>164</v>
      </c>
      <c r="M171" s="18" t="s">
        <v>272</v>
      </c>
      <c r="N171" s="18" t="s">
        <v>250</v>
      </c>
      <c r="O171" s="20">
        <v>119000</v>
      </c>
      <c r="P171" s="20">
        <v>82110</v>
      </c>
      <c r="Q171" s="20">
        <v>1</v>
      </c>
      <c r="R171" s="20">
        <v>0</v>
      </c>
      <c r="S171" s="20">
        <v>0</v>
      </c>
      <c r="T171" s="20">
        <v>0</v>
      </c>
      <c r="U171" s="20">
        <v>0</v>
      </c>
      <c r="V171" s="20">
        <v>0</v>
      </c>
      <c r="W171" s="20">
        <v>31</v>
      </c>
      <c r="X171" s="20">
        <v>0</v>
      </c>
      <c r="Y171" s="20">
        <v>0</v>
      </c>
      <c r="Z171" s="20">
        <v>0</v>
      </c>
      <c r="AA171" s="20">
        <v>0</v>
      </c>
      <c r="AB171" s="20">
        <v>0</v>
      </c>
      <c r="AC171" s="20">
        <v>119000</v>
      </c>
      <c r="AD171" s="20">
        <v>82110</v>
      </c>
      <c r="AE171" s="20">
        <v>0</v>
      </c>
      <c r="AF171" s="20">
        <v>0</v>
      </c>
      <c r="AG171" s="20">
        <v>119000</v>
      </c>
      <c r="AH171" s="20">
        <v>82110</v>
      </c>
      <c r="AI171" s="20">
        <v>33536</v>
      </c>
      <c r="AJ171" s="20">
        <v>3354</v>
      </c>
      <c r="AK171" s="20">
        <v>36890</v>
      </c>
    </row>
    <row r="172" spans="1:37" ht="16.5" customHeight="1" x14ac:dyDescent="0.3">
      <c r="A172" s="18" t="s">
        <v>730</v>
      </c>
      <c r="B172" s="18" t="s">
        <v>240</v>
      </c>
      <c r="C172" s="19" t="s">
        <v>241</v>
      </c>
      <c r="D172" s="18" t="s">
        <v>731</v>
      </c>
      <c r="E172" s="19" t="s">
        <v>732</v>
      </c>
      <c r="F172" s="18" t="s">
        <v>244</v>
      </c>
      <c r="G172" s="18" t="s">
        <v>245</v>
      </c>
      <c r="H172" s="19" t="s">
        <v>175</v>
      </c>
      <c r="I172" s="18" t="s">
        <v>246</v>
      </c>
      <c r="J172" s="19" t="s">
        <v>247</v>
      </c>
      <c r="K172" s="19" t="s">
        <v>314</v>
      </c>
      <c r="L172" s="18" t="s">
        <v>164</v>
      </c>
      <c r="M172" s="18" t="s">
        <v>272</v>
      </c>
      <c r="N172" s="18" t="s">
        <v>250</v>
      </c>
      <c r="O172" s="20">
        <v>119000</v>
      </c>
      <c r="P172" s="20">
        <v>82110</v>
      </c>
      <c r="Q172" s="20">
        <v>1</v>
      </c>
      <c r="R172" s="20">
        <v>0</v>
      </c>
      <c r="S172" s="20">
        <v>0</v>
      </c>
      <c r="T172" s="20">
        <v>0</v>
      </c>
      <c r="U172" s="20">
        <v>0</v>
      </c>
      <c r="V172" s="20">
        <v>0</v>
      </c>
      <c r="W172" s="20">
        <v>31</v>
      </c>
      <c r="X172" s="20">
        <v>13090</v>
      </c>
      <c r="Y172" s="20">
        <v>0</v>
      </c>
      <c r="Z172" s="20">
        <v>0</v>
      </c>
      <c r="AA172" s="20">
        <v>0</v>
      </c>
      <c r="AB172" s="20">
        <v>0</v>
      </c>
      <c r="AC172" s="20">
        <v>119000</v>
      </c>
      <c r="AD172" s="20">
        <v>82110</v>
      </c>
      <c r="AE172" s="20">
        <v>0</v>
      </c>
      <c r="AF172" s="20">
        <v>13090</v>
      </c>
      <c r="AG172" s="20">
        <v>105910</v>
      </c>
      <c r="AH172" s="20">
        <v>82110</v>
      </c>
      <c r="AI172" s="20">
        <v>21636</v>
      </c>
      <c r="AJ172" s="20">
        <v>2164</v>
      </c>
      <c r="AK172" s="20">
        <v>23800</v>
      </c>
    </row>
    <row r="173" spans="1:37" ht="16.5" customHeight="1" x14ac:dyDescent="0.3">
      <c r="A173" s="18" t="s">
        <v>733</v>
      </c>
      <c r="B173" s="18" t="s">
        <v>240</v>
      </c>
      <c r="C173" s="19" t="s">
        <v>241</v>
      </c>
      <c r="D173" s="18" t="s">
        <v>734</v>
      </c>
      <c r="E173" s="19" t="s">
        <v>735</v>
      </c>
      <c r="F173" s="18" t="s">
        <v>244</v>
      </c>
      <c r="G173" s="18" t="s">
        <v>245</v>
      </c>
      <c r="H173" s="19" t="s">
        <v>175</v>
      </c>
      <c r="I173" s="18" t="s">
        <v>246</v>
      </c>
      <c r="J173" s="19" t="s">
        <v>247</v>
      </c>
      <c r="K173" s="19" t="s">
        <v>248</v>
      </c>
      <c r="L173" s="18" t="s">
        <v>164</v>
      </c>
      <c r="M173" s="18" t="s">
        <v>272</v>
      </c>
      <c r="N173" s="18" t="s">
        <v>250</v>
      </c>
      <c r="O173" s="20">
        <v>119000</v>
      </c>
      <c r="P173" s="20">
        <v>82110</v>
      </c>
      <c r="Q173" s="20">
        <v>1</v>
      </c>
      <c r="R173" s="20">
        <v>0</v>
      </c>
      <c r="S173" s="20">
        <v>0</v>
      </c>
      <c r="T173" s="20">
        <v>0</v>
      </c>
      <c r="U173" s="20">
        <v>0</v>
      </c>
      <c r="V173" s="20">
        <v>0</v>
      </c>
      <c r="W173" s="20">
        <v>31</v>
      </c>
      <c r="X173" s="20">
        <v>0</v>
      </c>
      <c r="Y173" s="20">
        <v>0</v>
      </c>
      <c r="Z173" s="20">
        <v>0</v>
      </c>
      <c r="AA173" s="20">
        <v>0</v>
      </c>
      <c r="AB173" s="20">
        <v>0</v>
      </c>
      <c r="AC173" s="20">
        <v>119000</v>
      </c>
      <c r="AD173" s="20">
        <v>82110</v>
      </c>
      <c r="AE173" s="20">
        <v>0</v>
      </c>
      <c r="AF173" s="20">
        <v>0</v>
      </c>
      <c r="AG173" s="20">
        <v>119000</v>
      </c>
      <c r="AH173" s="20">
        <v>82110</v>
      </c>
      <c r="AI173" s="20">
        <v>33536</v>
      </c>
      <c r="AJ173" s="20">
        <v>3354</v>
      </c>
      <c r="AK173" s="20">
        <v>36890</v>
      </c>
    </row>
    <row r="174" spans="1:37" ht="16.5" customHeight="1" x14ac:dyDescent="0.3">
      <c r="A174" s="18" t="s">
        <v>736</v>
      </c>
      <c r="B174" s="18" t="s">
        <v>240</v>
      </c>
      <c r="C174" s="19" t="s">
        <v>241</v>
      </c>
      <c r="D174" s="18" t="s">
        <v>737</v>
      </c>
      <c r="E174" s="19" t="s">
        <v>738</v>
      </c>
      <c r="F174" s="18" t="s">
        <v>244</v>
      </c>
      <c r="G174" s="18" t="s">
        <v>245</v>
      </c>
      <c r="H174" s="19" t="s">
        <v>175</v>
      </c>
      <c r="I174" s="18" t="s">
        <v>246</v>
      </c>
      <c r="J174" s="19" t="s">
        <v>247</v>
      </c>
      <c r="K174" s="19" t="s">
        <v>248</v>
      </c>
      <c r="L174" s="18" t="s">
        <v>164</v>
      </c>
      <c r="M174" s="18" t="s">
        <v>272</v>
      </c>
      <c r="N174" s="18" t="s">
        <v>250</v>
      </c>
      <c r="O174" s="20">
        <v>119000</v>
      </c>
      <c r="P174" s="20">
        <v>82110</v>
      </c>
      <c r="Q174" s="20">
        <v>1</v>
      </c>
      <c r="R174" s="20">
        <v>0</v>
      </c>
      <c r="S174" s="20">
        <v>0</v>
      </c>
      <c r="T174" s="20">
        <v>0</v>
      </c>
      <c r="U174" s="20">
        <v>0</v>
      </c>
      <c r="V174" s="20">
        <v>0</v>
      </c>
      <c r="W174" s="20">
        <v>31</v>
      </c>
      <c r="X174" s="20">
        <v>0</v>
      </c>
      <c r="Y174" s="20">
        <v>0</v>
      </c>
      <c r="Z174" s="20">
        <v>0</v>
      </c>
      <c r="AA174" s="20">
        <v>0</v>
      </c>
      <c r="AB174" s="20">
        <v>0</v>
      </c>
      <c r="AC174" s="20">
        <v>119000</v>
      </c>
      <c r="AD174" s="20">
        <v>82110</v>
      </c>
      <c r="AE174" s="20">
        <v>0</v>
      </c>
      <c r="AF174" s="20">
        <v>0</v>
      </c>
      <c r="AG174" s="20">
        <v>119000</v>
      </c>
      <c r="AH174" s="20">
        <v>82110</v>
      </c>
      <c r="AI174" s="20">
        <v>33536</v>
      </c>
      <c r="AJ174" s="20">
        <v>3354</v>
      </c>
      <c r="AK174" s="20">
        <v>36890</v>
      </c>
    </row>
    <row r="175" spans="1:37" ht="16.5" customHeight="1" x14ac:dyDescent="0.3">
      <c r="A175" s="18" t="s">
        <v>739</v>
      </c>
      <c r="B175" s="18" t="s">
        <v>240</v>
      </c>
      <c r="C175" s="19" t="s">
        <v>241</v>
      </c>
      <c r="D175" s="18" t="s">
        <v>740</v>
      </c>
      <c r="E175" s="19" t="s">
        <v>741</v>
      </c>
      <c r="F175" s="18" t="s">
        <v>244</v>
      </c>
      <c r="G175" s="18" t="s">
        <v>245</v>
      </c>
      <c r="H175" s="19" t="s">
        <v>175</v>
      </c>
      <c r="I175" s="18" t="s">
        <v>246</v>
      </c>
      <c r="J175" s="19" t="s">
        <v>247</v>
      </c>
      <c r="K175" s="19" t="s">
        <v>248</v>
      </c>
      <c r="L175" s="18" t="s">
        <v>164</v>
      </c>
      <c r="M175" s="18" t="s">
        <v>272</v>
      </c>
      <c r="N175" s="18" t="s">
        <v>250</v>
      </c>
      <c r="O175" s="20">
        <v>119000</v>
      </c>
      <c r="P175" s="20">
        <v>82110</v>
      </c>
      <c r="Q175" s="20">
        <v>1</v>
      </c>
      <c r="R175" s="20">
        <v>0</v>
      </c>
      <c r="S175" s="20">
        <v>0</v>
      </c>
      <c r="T175" s="20">
        <v>0</v>
      </c>
      <c r="U175" s="20">
        <v>0</v>
      </c>
      <c r="V175" s="20">
        <v>0</v>
      </c>
      <c r="W175" s="20">
        <v>31</v>
      </c>
      <c r="X175" s="20">
        <v>0</v>
      </c>
      <c r="Y175" s="20">
        <v>0</v>
      </c>
      <c r="Z175" s="20">
        <v>0</v>
      </c>
      <c r="AA175" s="20">
        <v>0</v>
      </c>
      <c r="AB175" s="20">
        <v>0</v>
      </c>
      <c r="AC175" s="20">
        <v>119000</v>
      </c>
      <c r="AD175" s="20">
        <v>82110</v>
      </c>
      <c r="AE175" s="20">
        <v>0</v>
      </c>
      <c r="AF175" s="20">
        <v>0</v>
      </c>
      <c r="AG175" s="20">
        <v>119000</v>
      </c>
      <c r="AH175" s="20">
        <v>82110</v>
      </c>
      <c r="AI175" s="20">
        <v>33536</v>
      </c>
      <c r="AJ175" s="20">
        <v>3354</v>
      </c>
      <c r="AK175" s="20">
        <v>36890</v>
      </c>
    </row>
    <row r="176" spans="1:37" ht="16.5" customHeight="1" x14ac:dyDescent="0.3">
      <c r="A176" s="18" t="s">
        <v>742</v>
      </c>
      <c r="B176" s="18" t="s">
        <v>240</v>
      </c>
      <c r="C176" s="19" t="s">
        <v>241</v>
      </c>
      <c r="D176" s="18" t="s">
        <v>743</v>
      </c>
      <c r="E176" s="19" t="s">
        <v>395</v>
      </c>
      <c r="F176" s="18" t="s">
        <v>244</v>
      </c>
      <c r="G176" s="18" t="s">
        <v>245</v>
      </c>
      <c r="H176" s="19" t="s">
        <v>175</v>
      </c>
      <c r="I176" s="18" t="s">
        <v>246</v>
      </c>
      <c r="J176" s="19" t="s">
        <v>247</v>
      </c>
      <c r="K176" s="19" t="s">
        <v>248</v>
      </c>
      <c r="L176" s="18" t="s">
        <v>164</v>
      </c>
      <c r="M176" s="18" t="s">
        <v>272</v>
      </c>
      <c r="N176" s="18" t="s">
        <v>250</v>
      </c>
      <c r="O176" s="20">
        <v>119000</v>
      </c>
      <c r="P176" s="20">
        <v>82110</v>
      </c>
      <c r="Q176" s="20">
        <v>1</v>
      </c>
      <c r="R176" s="20">
        <v>0</v>
      </c>
      <c r="S176" s="20">
        <v>0</v>
      </c>
      <c r="T176" s="20">
        <v>0</v>
      </c>
      <c r="U176" s="20">
        <v>0</v>
      </c>
      <c r="V176" s="20">
        <v>0</v>
      </c>
      <c r="W176" s="20">
        <v>31</v>
      </c>
      <c r="X176" s="20">
        <v>0</v>
      </c>
      <c r="Y176" s="20">
        <v>0</v>
      </c>
      <c r="Z176" s="20">
        <v>0</v>
      </c>
      <c r="AA176" s="20">
        <v>0</v>
      </c>
      <c r="AB176" s="20">
        <v>5950</v>
      </c>
      <c r="AC176" s="20">
        <v>119000</v>
      </c>
      <c r="AD176" s="20">
        <v>82110</v>
      </c>
      <c r="AE176" s="20">
        <v>0</v>
      </c>
      <c r="AF176" s="20">
        <v>5950</v>
      </c>
      <c r="AG176" s="20">
        <v>113050</v>
      </c>
      <c r="AH176" s="20">
        <v>82110</v>
      </c>
      <c r="AI176" s="20">
        <v>28127</v>
      </c>
      <c r="AJ176" s="20">
        <v>2813</v>
      </c>
      <c r="AK176" s="20">
        <v>30940</v>
      </c>
    </row>
    <row r="177" spans="1:37" ht="16.5" customHeight="1" x14ac:dyDescent="0.3">
      <c r="A177" s="18" t="s">
        <v>744</v>
      </c>
      <c r="B177" s="18" t="s">
        <v>240</v>
      </c>
      <c r="C177" s="19" t="s">
        <v>241</v>
      </c>
      <c r="D177" s="18" t="s">
        <v>745</v>
      </c>
      <c r="E177" s="19" t="s">
        <v>374</v>
      </c>
      <c r="F177" s="18" t="s">
        <v>244</v>
      </c>
      <c r="G177" s="18" t="s">
        <v>245</v>
      </c>
      <c r="H177" s="19" t="s">
        <v>175</v>
      </c>
      <c r="I177" s="18" t="s">
        <v>246</v>
      </c>
      <c r="J177" s="19" t="s">
        <v>247</v>
      </c>
      <c r="K177" s="19" t="s">
        <v>248</v>
      </c>
      <c r="L177" s="18" t="s">
        <v>164</v>
      </c>
      <c r="M177" s="18" t="s">
        <v>272</v>
      </c>
      <c r="N177" s="18" t="s">
        <v>250</v>
      </c>
      <c r="O177" s="20">
        <v>119000</v>
      </c>
      <c r="P177" s="20">
        <v>82110</v>
      </c>
      <c r="Q177" s="20">
        <v>1</v>
      </c>
      <c r="R177" s="20">
        <v>0</v>
      </c>
      <c r="S177" s="20">
        <v>0</v>
      </c>
      <c r="T177" s="20">
        <v>0</v>
      </c>
      <c r="U177" s="20">
        <v>0</v>
      </c>
      <c r="V177" s="20">
        <v>0</v>
      </c>
      <c r="W177" s="20">
        <v>31</v>
      </c>
      <c r="X177" s="20">
        <v>0</v>
      </c>
      <c r="Y177" s="20">
        <v>0</v>
      </c>
      <c r="Z177" s="20">
        <v>0</v>
      </c>
      <c r="AA177" s="20">
        <v>0</v>
      </c>
      <c r="AB177" s="20">
        <v>5950</v>
      </c>
      <c r="AC177" s="20">
        <v>119000</v>
      </c>
      <c r="AD177" s="20">
        <v>82110</v>
      </c>
      <c r="AE177" s="20">
        <v>0</v>
      </c>
      <c r="AF177" s="20">
        <v>5950</v>
      </c>
      <c r="AG177" s="20">
        <v>113050</v>
      </c>
      <c r="AH177" s="20">
        <v>82110</v>
      </c>
      <c r="AI177" s="20">
        <v>28127</v>
      </c>
      <c r="AJ177" s="20">
        <v>2813</v>
      </c>
      <c r="AK177" s="20">
        <v>30940</v>
      </c>
    </row>
    <row r="178" spans="1:37" ht="16.5" customHeight="1" x14ac:dyDescent="0.3">
      <c r="A178" s="18" t="s">
        <v>746</v>
      </c>
      <c r="B178" s="18" t="s">
        <v>240</v>
      </c>
      <c r="C178" s="19" t="s">
        <v>241</v>
      </c>
      <c r="D178" s="18" t="s">
        <v>747</v>
      </c>
      <c r="E178" s="19" t="s">
        <v>748</v>
      </c>
      <c r="F178" s="18" t="s">
        <v>244</v>
      </c>
      <c r="G178" s="18" t="s">
        <v>245</v>
      </c>
      <c r="H178" s="19" t="s">
        <v>175</v>
      </c>
      <c r="I178" s="18" t="s">
        <v>246</v>
      </c>
      <c r="J178" s="19" t="s">
        <v>247</v>
      </c>
      <c r="K178" s="19" t="s">
        <v>248</v>
      </c>
      <c r="L178" s="18" t="s">
        <v>164</v>
      </c>
      <c r="M178" s="18" t="s">
        <v>272</v>
      </c>
      <c r="N178" s="18" t="s">
        <v>250</v>
      </c>
      <c r="O178" s="20">
        <v>119000</v>
      </c>
      <c r="P178" s="20">
        <v>82110</v>
      </c>
      <c r="Q178" s="20">
        <v>1</v>
      </c>
      <c r="R178" s="20">
        <v>0</v>
      </c>
      <c r="S178" s="20">
        <v>0</v>
      </c>
      <c r="T178" s="20">
        <v>0</v>
      </c>
      <c r="U178" s="20">
        <v>0</v>
      </c>
      <c r="V178" s="20">
        <v>0</v>
      </c>
      <c r="W178" s="20">
        <v>31</v>
      </c>
      <c r="X178" s="20">
        <v>0</v>
      </c>
      <c r="Y178" s="20">
        <v>0</v>
      </c>
      <c r="Z178" s="20">
        <v>0</v>
      </c>
      <c r="AA178" s="20">
        <v>0</v>
      </c>
      <c r="AB178" s="20">
        <v>0</v>
      </c>
      <c r="AC178" s="20">
        <v>119000</v>
      </c>
      <c r="AD178" s="20">
        <v>82110</v>
      </c>
      <c r="AE178" s="20">
        <v>0</v>
      </c>
      <c r="AF178" s="20">
        <v>0</v>
      </c>
      <c r="AG178" s="20">
        <v>119000</v>
      </c>
      <c r="AH178" s="20">
        <v>82110</v>
      </c>
      <c r="AI178" s="20">
        <v>33536</v>
      </c>
      <c r="AJ178" s="20">
        <v>3354</v>
      </c>
      <c r="AK178" s="20">
        <v>36890</v>
      </c>
    </row>
    <row r="179" spans="1:37" ht="16.5" customHeight="1" x14ac:dyDescent="0.3">
      <c r="A179" s="18" t="s">
        <v>749</v>
      </c>
      <c r="B179" s="18" t="s">
        <v>240</v>
      </c>
      <c r="C179" s="19" t="s">
        <v>241</v>
      </c>
      <c r="D179" s="18" t="s">
        <v>750</v>
      </c>
      <c r="E179" s="19" t="s">
        <v>253</v>
      </c>
      <c r="F179" s="18" t="s">
        <v>244</v>
      </c>
      <c r="G179" s="18" t="s">
        <v>245</v>
      </c>
      <c r="H179" s="19" t="s">
        <v>175</v>
      </c>
      <c r="I179" s="18" t="s">
        <v>246</v>
      </c>
      <c r="J179" s="19" t="s">
        <v>247</v>
      </c>
      <c r="K179" s="19" t="s">
        <v>248</v>
      </c>
      <c r="L179" s="18" t="s">
        <v>164</v>
      </c>
      <c r="M179" s="18" t="s">
        <v>272</v>
      </c>
      <c r="N179" s="18" t="s">
        <v>250</v>
      </c>
      <c r="O179" s="20">
        <v>119000</v>
      </c>
      <c r="P179" s="20">
        <v>82110</v>
      </c>
      <c r="Q179" s="20">
        <v>1</v>
      </c>
      <c r="R179" s="20">
        <v>0</v>
      </c>
      <c r="S179" s="20">
        <v>0</v>
      </c>
      <c r="T179" s="20">
        <v>0</v>
      </c>
      <c r="U179" s="20">
        <v>0</v>
      </c>
      <c r="V179" s="20">
        <v>0</v>
      </c>
      <c r="W179" s="20">
        <v>31</v>
      </c>
      <c r="X179" s="20">
        <v>0</v>
      </c>
      <c r="Y179" s="20">
        <v>0</v>
      </c>
      <c r="Z179" s="20">
        <v>0</v>
      </c>
      <c r="AA179" s="20">
        <v>0</v>
      </c>
      <c r="AB179" s="20">
        <v>0</v>
      </c>
      <c r="AC179" s="20">
        <v>119000</v>
      </c>
      <c r="AD179" s="20">
        <v>82110</v>
      </c>
      <c r="AE179" s="20">
        <v>0</v>
      </c>
      <c r="AF179" s="20">
        <v>0</v>
      </c>
      <c r="AG179" s="20">
        <v>119000</v>
      </c>
      <c r="AH179" s="20">
        <v>82110</v>
      </c>
      <c r="AI179" s="20">
        <v>33536</v>
      </c>
      <c r="AJ179" s="20">
        <v>3354</v>
      </c>
      <c r="AK179" s="20">
        <v>36890</v>
      </c>
    </row>
    <row r="180" spans="1:37" ht="16.5" customHeight="1" x14ac:dyDescent="0.3">
      <c r="A180" s="18" t="s">
        <v>751</v>
      </c>
      <c r="B180" s="18" t="s">
        <v>240</v>
      </c>
      <c r="C180" s="19" t="s">
        <v>241</v>
      </c>
      <c r="D180" s="18" t="s">
        <v>752</v>
      </c>
      <c r="E180" s="19" t="s">
        <v>349</v>
      </c>
      <c r="F180" s="18" t="s">
        <v>244</v>
      </c>
      <c r="G180" s="18" t="s">
        <v>245</v>
      </c>
      <c r="H180" s="19" t="s">
        <v>175</v>
      </c>
      <c r="I180" s="18" t="s">
        <v>246</v>
      </c>
      <c r="J180" s="19" t="s">
        <v>247</v>
      </c>
      <c r="K180" s="19" t="s">
        <v>248</v>
      </c>
      <c r="L180" s="18" t="s">
        <v>164</v>
      </c>
      <c r="M180" s="18" t="s">
        <v>272</v>
      </c>
      <c r="N180" s="18" t="s">
        <v>250</v>
      </c>
      <c r="O180" s="20">
        <v>119000</v>
      </c>
      <c r="P180" s="20">
        <v>82110</v>
      </c>
      <c r="Q180" s="20">
        <v>1</v>
      </c>
      <c r="R180" s="20">
        <v>0</v>
      </c>
      <c r="S180" s="20">
        <v>0</v>
      </c>
      <c r="T180" s="20">
        <v>0</v>
      </c>
      <c r="U180" s="20">
        <v>0</v>
      </c>
      <c r="V180" s="20">
        <v>0</v>
      </c>
      <c r="W180" s="20">
        <v>31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119000</v>
      </c>
      <c r="AD180" s="20">
        <v>82110</v>
      </c>
      <c r="AE180" s="20">
        <v>0</v>
      </c>
      <c r="AF180" s="20">
        <v>0</v>
      </c>
      <c r="AG180" s="20">
        <v>119000</v>
      </c>
      <c r="AH180" s="20">
        <v>82110</v>
      </c>
      <c r="AI180" s="20">
        <v>33536</v>
      </c>
      <c r="AJ180" s="20">
        <v>3354</v>
      </c>
      <c r="AK180" s="20">
        <v>36890</v>
      </c>
    </row>
    <row r="181" spans="1:37" ht="16.5" customHeight="1" x14ac:dyDescent="0.3">
      <c r="A181" s="18" t="s">
        <v>753</v>
      </c>
      <c r="B181" s="18" t="s">
        <v>240</v>
      </c>
      <c r="C181" s="19" t="s">
        <v>241</v>
      </c>
      <c r="D181" s="18" t="s">
        <v>754</v>
      </c>
      <c r="E181" s="19" t="s">
        <v>755</v>
      </c>
      <c r="F181" s="18" t="s">
        <v>244</v>
      </c>
      <c r="G181" s="18" t="s">
        <v>245</v>
      </c>
      <c r="H181" s="19" t="s">
        <v>175</v>
      </c>
      <c r="I181" s="18" t="s">
        <v>246</v>
      </c>
      <c r="J181" s="19" t="s">
        <v>247</v>
      </c>
      <c r="K181" s="19" t="s">
        <v>248</v>
      </c>
      <c r="L181" s="18" t="s">
        <v>164</v>
      </c>
      <c r="M181" s="18" t="s">
        <v>272</v>
      </c>
      <c r="N181" s="18" t="s">
        <v>250</v>
      </c>
      <c r="O181" s="20">
        <v>119000</v>
      </c>
      <c r="P181" s="20">
        <v>82110</v>
      </c>
      <c r="Q181" s="20">
        <v>2</v>
      </c>
      <c r="R181" s="20">
        <v>0</v>
      </c>
      <c r="S181" s="20">
        <v>0</v>
      </c>
      <c r="T181" s="20">
        <v>0</v>
      </c>
      <c r="U181" s="20">
        <v>0</v>
      </c>
      <c r="V181" s="20">
        <v>0</v>
      </c>
      <c r="W181" s="20">
        <v>31</v>
      </c>
      <c r="X181" s="20">
        <v>45220</v>
      </c>
      <c r="Y181" s="20">
        <v>0</v>
      </c>
      <c r="Z181" s="20">
        <v>0</v>
      </c>
      <c r="AA181" s="20">
        <v>0</v>
      </c>
      <c r="AB181" s="20">
        <v>0</v>
      </c>
      <c r="AC181" s="20">
        <v>238000</v>
      </c>
      <c r="AD181" s="20">
        <v>164220</v>
      </c>
      <c r="AE181" s="20">
        <v>0</v>
      </c>
      <c r="AF181" s="20">
        <v>45220</v>
      </c>
      <c r="AG181" s="20">
        <v>192780</v>
      </c>
      <c r="AH181" s="20">
        <v>164220</v>
      </c>
      <c r="AI181" s="20">
        <v>25964</v>
      </c>
      <c r="AJ181" s="20">
        <v>2596</v>
      </c>
      <c r="AK181" s="20">
        <v>28560</v>
      </c>
    </row>
    <row r="182" spans="1:37" ht="16.5" customHeight="1" x14ac:dyDescent="0.3">
      <c r="A182" s="18" t="s">
        <v>756</v>
      </c>
      <c r="B182" s="18" t="s">
        <v>240</v>
      </c>
      <c r="C182" s="19" t="s">
        <v>241</v>
      </c>
      <c r="D182" s="18" t="s">
        <v>757</v>
      </c>
      <c r="E182" s="19" t="s">
        <v>676</v>
      </c>
      <c r="F182" s="18" t="s">
        <v>244</v>
      </c>
      <c r="G182" s="18" t="s">
        <v>245</v>
      </c>
      <c r="H182" s="19" t="s">
        <v>175</v>
      </c>
      <c r="I182" s="18" t="s">
        <v>246</v>
      </c>
      <c r="J182" s="19" t="s">
        <v>247</v>
      </c>
      <c r="K182" s="19" t="s">
        <v>248</v>
      </c>
      <c r="L182" s="18" t="s">
        <v>164</v>
      </c>
      <c r="M182" s="18" t="s">
        <v>272</v>
      </c>
      <c r="N182" s="18" t="s">
        <v>250</v>
      </c>
      <c r="O182" s="20">
        <v>119000</v>
      </c>
      <c r="P182" s="20">
        <v>82110</v>
      </c>
      <c r="Q182" s="20">
        <v>1</v>
      </c>
      <c r="R182" s="20">
        <v>0</v>
      </c>
      <c r="S182" s="20">
        <v>0</v>
      </c>
      <c r="T182" s="20">
        <v>0</v>
      </c>
      <c r="U182" s="20">
        <v>0</v>
      </c>
      <c r="V182" s="20">
        <v>0</v>
      </c>
      <c r="W182" s="20">
        <v>31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119000</v>
      </c>
      <c r="AD182" s="20">
        <v>82110</v>
      </c>
      <c r="AE182" s="20">
        <v>0</v>
      </c>
      <c r="AF182" s="20">
        <v>0</v>
      </c>
      <c r="AG182" s="20">
        <v>119000</v>
      </c>
      <c r="AH182" s="20">
        <v>82110</v>
      </c>
      <c r="AI182" s="20">
        <v>33536</v>
      </c>
      <c r="AJ182" s="20">
        <v>3354</v>
      </c>
      <c r="AK182" s="20">
        <v>36890</v>
      </c>
    </row>
    <row r="183" spans="1:37" ht="16.5" customHeight="1" x14ac:dyDescent="0.3">
      <c r="A183" s="18" t="s">
        <v>758</v>
      </c>
      <c r="B183" s="18" t="s">
        <v>240</v>
      </c>
      <c r="C183" s="19" t="s">
        <v>241</v>
      </c>
      <c r="D183" s="18" t="s">
        <v>759</v>
      </c>
      <c r="E183" s="19" t="s">
        <v>585</v>
      </c>
      <c r="F183" s="18" t="s">
        <v>244</v>
      </c>
      <c r="G183" s="18" t="s">
        <v>245</v>
      </c>
      <c r="H183" s="19" t="s">
        <v>175</v>
      </c>
      <c r="I183" s="18" t="s">
        <v>246</v>
      </c>
      <c r="J183" s="19" t="s">
        <v>247</v>
      </c>
      <c r="K183" s="19" t="s">
        <v>248</v>
      </c>
      <c r="L183" s="18" t="s">
        <v>164</v>
      </c>
      <c r="M183" s="18" t="s">
        <v>272</v>
      </c>
      <c r="N183" s="18" t="s">
        <v>250</v>
      </c>
      <c r="O183" s="20">
        <v>119000</v>
      </c>
      <c r="P183" s="20">
        <v>82110</v>
      </c>
      <c r="Q183" s="20">
        <v>1</v>
      </c>
      <c r="R183" s="20">
        <v>0</v>
      </c>
      <c r="S183" s="20">
        <v>0</v>
      </c>
      <c r="T183" s="20">
        <v>0</v>
      </c>
      <c r="U183" s="20">
        <v>0</v>
      </c>
      <c r="V183" s="20">
        <v>0</v>
      </c>
      <c r="W183" s="20">
        <v>31</v>
      </c>
      <c r="X183" s="20">
        <v>0</v>
      </c>
      <c r="Y183" s="20">
        <v>0</v>
      </c>
      <c r="Z183" s="20">
        <v>0</v>
      </c>
      <c r="AA183" s="20">
        <v>0</v>
      </c>
      <c r="AB183" s="20">
        <v>0</v>
      </c>
      <c r="AC183" s="20">
        <v>119000</v>
      </c>
      <c r="AD183" s="20">
        <v>82110</v>
      </c>
      <c r="AE183" s="20">
        <v>0</v>
      </c>
      <c r="AF183" s="20">
        <v>0</v>
      </c>
      <c r="AG183" s="20">
        <v>119000</v>
      </c>
      <c r="AH183" s="20">
        <v>82110</v>
      </c>
      <c r="AI183" s="20">
        <v>33536</v>
      </c>
      <c r="AJ183" s="20">
        <v>3354</v>
      </c>
      <c r="AK183" s="20">
        <v>36890</v>
      </c>
    </row>
    <row r="184" spans="1:37" ht="16.5" customHeight="1" x14ac:dyDescent="0.3">
      <c r="A184" s="18" t="s">
        <v>760</v>
      </c>
      <c r="B184" s="18" t="s">
        <v>240</v>
      </c>
      <c r="C184" s="19" t="s">
        <v>241</v>
      </c>
      <c r="D184" s="18" t="s">
        <v>761</v>
      </c>
      <c r="E184" s="19" t="s">
        <v>762</v>
      </c>
      <c r="F184" s="18" t="s">
        <v>244</v>
      </c>
      <c r="G184" s="18" t="s">
        <v>245</v>
      </c>
      <c r="H184" s="19" t="s">
        <v>175</v>
      </c>
      <c r="I184" s="18" t="s">
        <v>246</v>
      </c>
      <c r="J184" s="19" t="s">
        <v>247</v>
      </c>
      <c r="K184" s="19" t="s">
        <v>248</v>
      </c>
      <c r="L184" s="18" t="s">
        <v>164</v>
      </c>
      <c r="M184" s="18" t="s">
        <v>272</v>
      </c>
      <c r="N184" s="18" t="s">
        <v>250</v>
      </c>
      <c r="O184" s="20">
        <v>119000</v>
      </c>
      <c r="P184" s="20">
        <v>82110</v>
      </c>
      <c r="Q184" s="20">
        <v>1</v>
      </c>
      <c r="R184" s="20">
        <v>0</v>
      </c>
      <c r="S184" s="20">
        <v>0</v>
      </c>
      <c r="T184" s="20">
        <v>0</v>
      </c>
      <c r="U184" s="20">
        <v>0</v>
      </c>
      <c r="V184" s="20">
        <v>0</v>
      </c>
      <c r="W184" s="20">
        <v>31</v>
      </c>
      <c r="X184" s="20">
        <v>0</v>
      </c>
      <c r="Y184" s="20">
        <v>0</v>
      </c>
      <c r="Z184" s="20">
        <v>0</v>
      </c>
      <c r="AA184" s="20">
        <v>0</v>
      </c>
      <c r="AB184" s="20">
        <v>0</v>
      </c>
      <c r="AC184" s="20">
        <v>119000</v>
      </c>
      <c r="AD184" s="20">
        <v>82110</v>
      </c>
      <c r="AE184" s="20">
        <v>0</v>
      </c>
      <c r="AF184" s="20">
        <v>0</v>
      </c>
      <c r="AG184" s="20">
        <v>119000</v>
      </c>
      <c r="AH184" s="20">
        <v>82110</v>
      </c>
      <c r="AI184" s="20">
        <v>33536</v>
      </c>
      <c r="AJ184" s="20">
        <v>3354</v>
      </c>
      <c r="AK184" s="20">
        <v>36890</v>
      </c>
    </row>
    <row r="185" spans="1:37" ht="16.5" customHeight="1" x14ac:dyDescent="0.3">
      <c r="A185" s="18" t="s">
        <v>763</v>
      </c>
      <c r="B185" s="18" t="s">
        <v>240</v>
      </c>
      <c r="C185" s="19" t="s">
        <v>241</v>
      </c>
      <c r="D185" s="18" t="s">
        <v>764</v>
      </c>
      <c r="E185" s="19" t="s">
        <v>624</v>
      </c>
      <c r="F185" s="18" t="s">
        <v>244</v>
      </c>
      <c r="G185" s="18" t="s">
        <v>245</v>
      </c>
      <c r="H185" s="19" t="s">
        <v>175</v>
      </c>
      <c r="I185" s="18" t="s">
        <v>246</v>
      </c>
      <c r="J185" s="19" t="s">
        <v>247</v>
      </c>
      <c r="K185" s="19"/>
      <c r="L185" s="18" t="s">
        <v>164</v>
      </c>
      <c r="M185" s="18" t="s">
        <v>272</v>
      </c>
      <c r="N185" s="18" t="s">
        <v>250</v>
      </c>
      <c r="O185" s="20">
        <v>119000</v>
      </c>
      <c r="P185" s="20">
        <v>82110</v>
      </c>
      <c r="Q185" s="20">
        <v>1</v>
      </c>
      <c r="R185" s="20">
        <v>0</v>
      </c>
      <c r="S185" s="20">
        <v>0</v>
      </c>
      <c r="T185" s="20">
        <v>0</v>
      </c>
      <c r="U185" s="20">
        <v>0</v>
      </c>
      <c r="V185" s="20">
        <v>0</v>
      </c>
      <c r="W185" s="20">
        <v>31</v>
      </c>
      <c r="X185" s="20">
        <v>0</v>
      </c>
      <c r="Y185" s="20">
        <v>5950</v>
      </c>
      <c r="Z185" s="20">
        <v>0</v>
      </c>
      <c r="AA185" s="20">
        <v>0</v>
      </c>
      <c r="AB185" s="20">
        <v>0</v>
      </c>
      <c r="AC185" s="20">
        <v>119000</v>
      </c>
      <c r="AD185" s="20">
        <v>82110</v>
      </c>
      <c r="AE185" s="20">
        <v>0</v>
      </c>
      <c r="AF185" s="20">
        <v>5950</v>
      </c>
      <c r="AG185" s="20">
        <v>113050</v>
      </c>
      <c r="AH185" s="20">
        <v>82110</v>
      </c>
      <c r="AI185" s="20">
        <v>28127</v>
      </c>
      <c r="AJ185" s="20">
        <v>2813</v>
      </c>
      <c r="AK185" s="20">
        <v>30940</v>
      </c>
    </row>
    <row r="186" spans="1:37" ht="16.5" customHeight="1" x14ac:dyDescent="0.3">
      <c r="A186" s="18" t="s">
        <v>765</v>
      </c>
      <c r="B186" s="18" t="s">
        <v>240</v>
      </c>
      <c r="C186" s="19" t="s">
        <v>241</v>
      </c>
      <c r="D186" s="18" t="s">
        <v>766</v>
      </c>
      <c r="E186" s="19" t="s">
        <v>767</v>
      </c>
      <c r="F186" s="18" t="s">
        <v>244</v>
      </c>
      <c r="G186" s="18" t="s">
        <v>245</v>
      </c>
      <c r="H186" s="19" t="s">
        <v>175</v>
      </c>
      <c r="I186" s="18" t="s">
        <v>246</v>
      </c>
      <c r="J186" s="19" t="s">
        <v>247</v>
      </c>
      <c r="K186" s="19" t="s">
        <v>248</v>
      </c>
      <c r="L186" s="18" t="s">
        <v>164</v>
      </c>
      <c r="M186" s="18" t="s">
        <v>272</v>
      </c>
      <c r="N186" s="18" t="s">
        <v>250</v>
      </c>
      <c r="O186" s="20">
        <v>119000</v>
      </c>
      <c r="P186" s="20">
        <v>82110</v>
      </c>
      <c r="Q186" s="20">
        <v>1</v>
      </c>
      <c r="R186" s="20">
        <v>0</v>
      </c>
      <c r="S186" s="20">
        <v>0</v>
      </c>
      <c r="T186" s="20">
        <v>0</v>
      </c>
      <c r="U186" s="20">
        <v>0</v>
      </c>
      <c r="V186" s="20">
        <v>0</v>
      </c>
      <c r="W186" s="20">
        <v>31</v>
      </c>
      <c r="X186" s="20">
        <v>0</v>
      </c>
      <c r="Y186" s="20">
        <v>10000</v>
      </c>
      <c r="Z186" s="20">
        <v>0</v>
      </c>
      <c r="AA186" s="20">
        <v>0</v>
      </c>
      <c r="AB186" s="20">
        <v>0</v>
      </c>
      <c r="AC186" s="20">
        <v>119000</v>
      </c>
      <c r="AD186" s="20">
        <v>82110</v>
      </c>
      <c r="AE186" s="20">
        <v>0</v>
      </c>
      <c r="AF186" s="20">
        <v>10000</v>
      </c>
      <c r="AG186" s="20">
        <v>109000</v>
      </c>
      <c r="AH186" s="20">
        <v>82110</v>
      </c>
      <c r="AI186" s="20">
        <v>24445</v>
      </c>
      <c r="AJ186" s="20">
        <v>2445</v>
      </c>
      <c r="AK186" s="20">
        <v>26890</v>
      </c>
    </row>
    <row r="187" spans="1:37" ht="16.5" customHeight="1" x14ac:dyDescent="0.3">
      <c r="A187" s="18" t="s">
        <v>768</v>
      </c>
      <c r="B187" s="18" t="s">
        <v>240</v>
      </c>
      <c r="C187" s="19" t="s">
        <v>241</v>
      </c>
      <c r="D187" s="18" t="s">
        <v>769</v>
      </c>
      <c r="E187" s="19" t="s">
        <v>770</v>
      </c>
      <c r="F187" s="18" t="s">
        <v>244</v>
      </c>
      <c r="G187" s="18" t="s">
        <v>245</v>
      </c>
      <c r="H187" s="19" t="s">
        <v>175</v>
      </c>
      <c r="I187" s="18" t="s">
        <v>246</v>
      </c>
      <c r="J187" s="19" t="s">
        <v>247</v>
      </c>
      <c r="K187" s="19" t="s">
        <v>248</v>
      </c>
      <c r="L187" s="18" t="s">
        <v>164</v>
      </c>
      <c r="M187" s="18" t="s">
        <v>272</v>
      </c>
      <c r="N187" s="18" t="s">
        <v>250</v>
      </c>
      <c r="O187" s="20">
        <v>119000</v>
      </c>
      <c r="P187" s="20">
        <v>82110</v>
      </c>
      <c r="Q187" s="20">
        <v>1</v>
      </c>
      <c r="R187" s="20">
        <v>0</v>
      </c>
      <c r="S187" s="20">
        <v>0</v>
      </c>
      <c r="T187" s="20">
        <v>0</v>
      </c>
      <c r="U187" s="20">
        <v>0</v>
      </c>
      <c r="V187" s="20">
        <v>0</v>
      </c>
      <c r="W187" s="20">
        <v>31</v>
      </c>
      <c r="X187" s="20">
        <v>13090</v>
      </c>
      <c r="Y187" s="20">
        <v>0</v>
      </c>
      <c r="Z187" s="20">
        <v>0</v>
      </c>
      <c r="AA187" s="20">
        <v>0</v>
      </c>
      <c r="AB187" s="20">
        <v>0</v>
      </c>
      <c r="AC187" s="20">
        <v>119000</v>
      </c>
      <c r="AD187" s="20">
        <v>82110</v>
      </c>
      <c r="AE187" s="20">
        <v>0</v>
      </c>
      <c r="AF187" s="20">
        <v>13090</v>
      </c>
      <c r="AG187" s="20">
        <v>105910</v>
      </c>
      <c r="AH187" s="20">
        <v>82110</v>
      </c>
      <c r="AI187" s="20">
        <v>21636</v>
      </c>
      <c r="AJ187" s="20">
        <v>2164</v>
      </c>
      <c r="AK187" s="20">
        <v>23800</v>
      </c>
    </row>
    <row r="188" spans="1:37" ht="16.5" customHeight="1" x14ac:dyDescent="0.3">
      <c r="A188" s="18" t="s">
        <v>771</v>
      </c>
      <c r="B188" s="18" t="s">
        <v>240</v>
      </c>
      <c r="C188" s="19" t="s">
        <v>241</v>
      </c>
      <c r="D188" s="18" t="s">
        <v>772</v>
      </c>
      <c r="E188" s="19" t="s">
        <v>716</v>
      </c>
      <c r="F188" s="18" t="s">
        <v>244</v>
      </c>
      <c r="G188" s="18" t="s">
        <v>245</v>
      </c>
      <c r="H188" s="19" t="s">
        <v>175</v>
      </c>
      <c r="I188" s="18" t="s">
        <v>246</v>
      </c>
      <c r="J188" s="19" t="s">
        <v>247</v>
      </c>
      <c r="K188" s="19" t="s">
        <v>248</v>
      </c>
      <c r="L188" s="18" t="s">
        <v>164</v>
      </c>
      <c r="M188" s="18" t="s">
        <v>272</v>
      </c>
      <c r="N188" s="18" t="s">
        <v>250</v>
      </c>
      <c r="O188" s="20">
        <v>119000</v>
      </c>
      <c r="P188" s="20">
        <v>82110</v>
      </c>
      <c r="Q188" s="20">
        <v>1</v>
      </c>
      <c r="R188" s="20">
        <v>0</v>
      </c>
      <c r="S188" s="20">
        <v>0</v>
      </c>
      <c r="T188" s="20">
        <v>0</v>
      </c>
      <c r="U188" s="20">
        <v>0</v>
      </c>
      <c r="V188" s="20">
        <v>0</v>
      </c>
      <c r="W188" s="20">
        <v>31</v>
      </c>
      <c r="X188" s="20">
        <v>0</v>
      </c>
      <c r="Y188" s="20">
        <v>0</v>
      </c>
      <c r="Z188" s="20">
        <v>0</v>
      </c>
      <c r="AA188" s="20">
        <v>0</v>
      </c>
      <c r="AB188" s="20">
        <v>0</v>
      </c>
      <c r="AC188" s="20">
        <v>119000</v>
      </c>
      <c r="AD188" s="20">
        <v>82110</v>
      </c>
      <c r="AE188" s="20">
        <v>0</v>
      </c>
      <c r="AF188" s="20">
        <v>0</v>
      </c>
      <c r="AG188" s="20">
        <v>119000</v>
      </c>
      <c r="AH188" s="20">
        <v>82110</v>
      </c>
      <c r="AI188" s="20">
        <v>33536</v>
      </c>
      <c r="AJ188" s="20">
        <v>3354</v>
      </c>
      <c r="AK188" s="20">
        <v>36890</v>
      </c>
    </row>
    <row r="189" spans="1:37" ht="16.5" customHeight="1" x14ac:dyDescent="0.3">
      <c r="A189" s="18" t="s">
        <v>773</v>
      </c>
      <c r="B189" s="18" t="s">
        <v>240</v>
      </c>
      <c r="C189" s="19" t="s">
        <v>241</v>
      </c>
      <c r="D189" s="18" t="s">
        <v>774</v>
      </c>
      <c r="E189" s="19" t="s">
        <v>338</v>
      </c>
      <c r="F189" s="18" t="s">
        <v>244</v>
      </c>
      <c r="G189" s="18" t="s">
        <v>245</v>
      </c>
      <c r="H189" s="19" t="s">
        <v>175</v>
      </c>
      <c r="I189" s="18" t="s">
        <v>246</v>
      </c>
      <c r="J189" s="19" t="s">
        <v>247</v>
      </c>
      <c r="K189" s="19" t="s">
        <v>248</v>
      </c>
      <c r="L189" s="18" t="s">
        <v>164</v>
      </c>
      <c r="M189" s="18" t="s">
        <v>272</v>
      </c>
      <c r="N189" s="18" t="s">
        <v>250</v>
      </c>
      <c r="O189" s="20">
        <v>119000</v>
      </c>
      <c r="P189" s="20">
        <v>82110</v>
      </c>
      <c r="Q189" s="20">
        <v>1</v>
      </c>
      <c r="R189" s="20">
        <v>0</v>
      </c>
      <c r="S189" s="20">
        <v>0</v>
      </c>
      <c r="T189" s="20">
        <v>0</v>
      </c>
      <c r="U189" s="20">
        <v>0</v>
      </c>
      <c r="V189" s="20">
        <v>0</v>
      </c>
      <c r="W189" s="20">
        <v>31</v>
      </c>
      <c r="X189" s="20">
        <v>0</v>
      </c>
      <c r="Y189" s="20">
        <v>0</v>
      </c>
      <c r="Z189" s="20">
        <v>0</v>
      </c>
      <c r="AA189" s="20">
        <v>0</v>
      </c>
      <c r="AB189" s="20">
        <v>0</v>
      </c>
      <c r="AC189" s="20">
        <v>119000</v>
      </c>
      <c r="AD189" s="20">
        <v>82110</v>
      </c>
      <c r="AE189" s="20">
        <v>0</v>
      </c>
      <c r="AF189" s="20">
        <v>0</v>
      </c>
      <c r="AG189" s="20">
        <v>119000</v>
      </c>
      <c r="AH189" s="20">
        <v>82110</v>
      </c>
      <c r="AI189" s="20">
        <v>33536</v>
      </c>
      <c r="AJ189" s="20">
        <v>3354</v>
      </c>
      <c r="AK189" s="20">
        <v>36890</v>
      </c>
    </row>
    <row r="190" spans="1:37" ht="16.5" customHeight="1" x14ac:dyDescent="0.3">
      <c r="A190" s="18" t="s">
        <v>775</v>
      </c>
      <c r="B190" s="18" t="s">
        <v>240</v>
      </c>
      <c r="C190" s="19" t="s">
        <v>241</v>
      </c>
      <c r="D190" s="18" t="s">
        <v>776</v>
      </c>
      <c r="E190" s="19" t="s">
        <v>777</v>
      </c>
      <c r="F190" s="18" t="s">
        <v>244</v>
      </c>
      <c r="G190" s="18" t="s">
        <v>245</v>
      </c>
      <c r="H190" s="19" t="s">
        <v>175</v>
      </c>
      <c r="I190" s="18" t="s">
        <v>246</v>
      </c>
      <c r="J190" s="19" t="s">
        <v>247</v>
      </c>
      <c r="K190" s="19" t="s">
        <v>248</v>
      </c>
      <c r="L190" s="18" t="s">
        <v>164</v>
      </c>
      <c r="M190" s="18" t="s">
        <v>272</v>
      </c>
      <c r="N190" s="18" t="s">
        <v>250</v>
      </c>
      <c r="O190" s="20">
        <v>119000</v>
      </c>
      <c r="P190" s="20">
        <v>82110</v>
      </c>
      <c r="Q190" s="20">
        <v>1</v>
      </c>
      <c r="R190" s="20">
        <v>0</v>
      </c>
      <c r="S190" s="20">
        <v>0</v>
      </c>
      <c r="T190" s="20">
        <v>0</v>
      </c>
      <c r="U190" s="20">
        <v>0</v>
      </c>
      <c r="V190" s="20">
        <v>0</v>
      </c>
      <c r="W190" s="20">
        <v>31</v>
      </c>
      <c r="X190" s="20">
        <v>13090</v>
      </c>
      <c r="Y190" s="20">
        <v>0</v>
      </c>
      <c r="Z190" s="20">
        <v>0</v>
      </c>
      <c r="AA190" s="20">
        <v>0</v>
      </c>
      <c r="AB190" s="20">
        <v>0</v>
      </c>
      <c r="AC190" s="20">
        <v>119000</v>
      </c>
      <c r="AD190" s="20">
        <v>82110</v>
      </c>
      <c r="AE190" s="20">
        <v>0</v>
      </c>
      <c r="AF190" s="20">
        <v>13090</v>
      </c>
      <c r="AG190" s="20">
        <v>105910</v>
      </c>
      <c r="AH190" s="20">
        <v>82110</v>
      </c>
      <c r="AI190" s="20">
        <v>21636</v>
      </c>
      <c r="AJ190" s="20">
        <v>2164</v>
      </c>
      <c r="AK190" s="20">
        <v>23800</v>
      </c>
    </row>
    <row r="191" spans="1:37" ht="16.5" customHeight="1" x14ac:dyDescent="0.3">
      <c r="A191" s="18" t="s">
        <v>778</v>
      </c>
      <c r="B191" s="18" t="s">
        <v>240</v>
      </c>
      <c r="C191" s="19" t="s">
        <v>241</v>
      </c>
      <c r="D191" s="18" t="s">
        <v>779</v>
      </c>
      <c r="E191" s="19" t="s">
        <v>780</v>
      </c>
      <c r="F191" s="18" t="s">
        <v>244</v>
      </c>
      <c r="G191" s="18" t="s">
        <v>245</v>
      </c>
      <c r="H191" s="19" t="s">
        <v>175</v>
      </c>
      <c r="I191" s="18" t="s">
        <v>246</v>
      </c>
      <c r="J191" s="19" t="s">
        <v>247</v>
      </c>
      <c r="K191" s="19" t="s">
        <v>248</v>
      </c>
      <c r="L191" s="18" t="s">
        <v>164</v>
      </c>
      <c r="M191" s="18" t="s">
        <v>272</v>
      </c>
      <c r="N191" s="18" t="s">
        <v>250</v>
      </c>
      <c r="O191" s="20">
        <v>119000</v>
      </c>
      <c r="P191" s="20">
        <v>82110</v>
      </c>
      <c r="Q191" s="20">
        <v>1</v>
      </c>
      <c r="R191" s="20">
        <v>0</v>
      </c>
      <c r="S191" s="20">
        <v>0</v>
      </c>
      <c r="T191" s="20">
        <v>0</v>
      </c>
      <c r="U191" s="20">
        <v>0</v>
      </c>
      <c r="V191" s="20">
        <v>0</v>
      </c>
      <c r="W191" s="20">
        <v>31</v>
      </c>
      <c r="X191" s="20">
        <v>0</v>
      </c>
      <c r="Y191" s="20">
        <v>0</v>
      </c>
      <c r="Z191" s="20">
        <v>0</v>
      </c>
      <c r="AA191" s="20">
        <v>0</v>
      </c>
      <c r="AB191" s="20">
        <v>0</v>
      </c>
      <c r="AC191" s="20">
        <v>119000</v>
      </c>
      <c r="AD191" s="20">
        <v>82110</v>
      </c>
      <c r="AE191" s="20">
        <v>0</v>
      </c>
      <c r="AF191" s="20">
        <v>0</v>
      </c>
      <c r="AG191" s="20">
        <v>119000</v>
      </c>
      <c r="AH191" s="20">
        <v>82110</v>
      </c>
      <c r="AI191" s="20">
        <v>33536</v>
      </c>
      <c r="AJ191" s="20">
        <v>3354</v>
      </c>
      <c r="AK191" s="20">
        <v>36890</v>
      </c>
    </row>
    <row r="192" spans="1:37" ht="16.5" customHeight="1" x14ac:dyDescent="0.3">
      <c r="A192" s="18" t="s">
        <v>781</v>
      </c>
      <c r="B192" s="18" t="s">
        <v>240</v>
      </c>
      <c r="C192" s="19" t="s">
        <v>241</v>
      </c>
      <c r="D192" s="18" t="s">
        <v>782</v>
      </c>
      <c r="E192" s="19" t="s">
        <v>657</v>
      </c>
      <c r="F192" s="18" t="s">
        <v>244</v>
      </c>
      <c r="G192" s="18" t="s">
        <v>245</v>
      </c>
      <c r="H192" s="19" t="s">
        <v>175</v>
      </c>
      <c r="I192" s="18" t="s">
        <v>246</v>
      </c>
      <c r="J192" s="19" t="s">
        <v>247</v>
      </c>
      <c r="K192" s="19" t="s">
        <v>248</v>
      </c>
      <c r="L192" s="18" t="s">
        <v>164</v>
      </c>
      <c r="M192" s="18" t="s">
        <v>272</v>
      </c>
      <c r="N192" s="18" t="s">
        <v>250</v>
      </c>
      <c r="O192" s="20">
        <v>119000</v>
      </c>
      <c r="P192" s="20">
        <v>82110</v>
      </c>
      <c r="Q192" s="20">
        <v>1</v>
      </c>
      <c r="R192" s="20">
        <v>0</v>
      </c>
      <c r="S192" s="20">
        <v>0</v>
      </c>
      <c r="T192" s="20">
        <v>0</v>
      </c>
      <c r="U192" s="20">
        <v>0</v>
      </c>
      <c r="V192" s="20">
        <v>0</v>
      </c>
      <c r="W192" s="20">
        <v>31</v>
      </c>
      <c r="X192" s="20">
        <v>0</v>
      </c>
      <c r="Y192" s="20">
        <v>10000</v>
      </c>
      <c r="Z192" s="20">
        <v>0</v>
      </c>
      <c r="AA192" s="20">
        <v>0</v>
      </c>
      <c r="AB192" s="20">
        <v>0</v>
      </c>
      <c r="AC192" s="20">
        <v>119000</v>
      </c>
      <c r="AD192" s="20">
        <v>82110</v>
      </c>
      <c r="AE192" s="20">
        <v>0</v>
      </c>
      <c r="AF192" s="20">
        <v>10000</v>
      </c>
      <c r="AG192" s="20">
        <v>109000</v>
      </c>
      <c r="AH192" s="20">
        <v>82110</v>
      </c>
      <c r="AI192" s="20">
        <v>24445</v>
      </c>
      <c r="AJ192" s="20">
        <v>2445</v>
      </c>
      <c r="AK192" s="20">
        <v>26890</v>
      </c>
    </row>
    <row r="193" spans="1:37" ht="16.5" customHeight="1" x14ac:dyDescent="0.3">
      <c r="A193" s="18" t="s">
        <v>783</v>
      </c>
      <c r="B193" s="18" t="s">
        <v>240</v>
      </c>
      <c r="C193" s="19" t="s">
        <v>241</v>
      </c>
      <c r="D193" s="18" t="s">
        <v>784</v>
      </c>
      <c r="E193" s="19" t="s">
        <v>785</v>
      </c>
      <c r="F193" s="18" t="s">
        <v>244</v>
      </c>
      <c r="G193" s="18" t="s">
        <v>245</v>
      </c>
      <c r="H193" s="19" t="s">
        <v>175</v>
      </c>
      <c r="I193" s="18" t="s">
        <v>246</v>
      </c>
      <c r="J193" s="19" t="s">
        <v>247</v>
      </c>
      <c r="K193" s="19" t="s">
        <v>248</v>
      </c>
      <c r="L193" s="18" t="s">
        <v>164</v>
      </c>
      <c r="M193" s="18" t="s">
        <v>272</v>
      </c>
      <c r="N193" s="18" t="s">
        <v>250</v>
      </c>
      <c r="O193" s="20">
        <v>119000</v>
      </c>
      <c r="P193" s="20">
        <v>82110</v>
      </c>
      <c r="Q193" s="20">
        <v>1</v>
      </c>
      <c r="R193" s="20">
        <v>0</v>
      </c>
      <c r="S193" s="20">
        <v>0</v>
      </c>
      <c r="T193" s="20">
        <v>0</v>
      </c>
      <c r="U193" s="20">
        <v>0</v>
      </c>
      <c r="V193" s="20">
        <v>0</v>
      </c>
      <c r="W193" s="20">
        <v>31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119000</v>
      </c>
      <c r="AD193" s="20">
        <v>82110</v>
      </c>
      <c r="AE193" s="20">
        <v>0</v>
      </c>
      <c r="AF193" s="20">
        <v>0</v>
      </c>
      <c r="AG193" s="20">
        <v>119000</v>
      </c>
      <c r="AH193" s="20">
        <v>82110</v>
      </c>
      <c r="AI193" s="20">
        <v>33536</v>
      </c>
      <c r="AJ193" s="20">
        <v>3354</v>
      </c>
      <c r="AK193" s="20">
        <v>36890</v>
      </c>
    </row>
    <row r="194" spans="1:37" ht="16.5" customHeight="1" x14ac:dyDescent="0.3">
      <c r="A194" s="18" t="s">
        <v>786</v>
      </c>
      <c r="B194" s="18" t="s">
        <v>240</v>
      </c>
      <c r="C194" s="19" t="s">
        <v>241</v>
      </c>
      <c r="D194" s="18" t="s">
        <v>595</v>
      </c>
      <c r="E194" s="19" t="s">
        <v>596</v>
      </c>
      <c r="F194" s="18" t="s">
        <v>244</v>
      </c>
      <c r="G194" s="18" t="s">
        <v>245</v>
      </c>
      <c r="H194" s="19" t="s">
        <v>175</v>
      </c>
      <c r="I194" s="18" t="s">
        <v>246</v>
      </c>
      <c r="J194" s="19" t="s">
        <v>247</v>
      </c>
      <c r="K194" s="19" t="s">
        <v>248</v>
      </c>
      <c r="L194" s="18" t="s">
        <v>164</v>
      </c>
      <c r="M194" s="18" t="s">
        <v>272</v>
      </c>
      <c r="N194" s="18" t="s">
        <v>250</v>
      </c>
      <c r="O194" s="20">
        <v>119000</v>
      </c>
      <c r="P194" s="20">
        <v>82110</v>
      </c>
      <c r="Q194" s="20">
        <v>1</v>
      </c>
      <c r="R194" s="20">
        <v>0</v>
      </c>
      <c r="S194" s="20">
        <v>0</v>
      </c>
      <c r="T194" s="20">
        <v>0</v>
      </c>
      <c r="U194" s="20">
        <v>0</v>
      </c>
      <c r="V194" s="20">
        <v>0</v>
      </c>
      <c r="W194" s="20">
        <v>31</v>
      </c>
      <c r="X194" s="20">
        <v>0</v>
      </c>
      <c r="Y194" s="20">
        <v>0</v>
      </c>
      <c r="Z194" s="20">
        <v>0</v>
      </c>
      <c r="AA194" s="20">
        <v>0</v>
      </c>
      <c r="AB194" s="20">
        <v>0</v>
      </c>
      <c r="AC194" s="20">
        <v>119000</v>
      </c>
      <c r="AD194" s="20">
        <v>82110</v>
      </c>
      <c r="AE194" s="20">
        <v>0</v>
      </c>
      <c r="AF194" s="20">
        <v>0</v>
      </c>
      <c r="AG194" s="20">
        <v>119000</v>
      </c>
      <c r="AH194" s="20">
        <v>82110</v>
      </c>
      <c r="AI194" s="20">
        <v>33536</v>
      </c>
      <c r="AJ194" s="20">
        <v>3354</v>
      </c>
      <c r="AK194" s="20">
        <v>36890</v>
      </c>
    </row>
    <row r="195" spans="1:37" ht="16.5" customHeight="1" x14ac:dyDescent="0.3">
      <c r="A195" s="18" t="s">
        <v>787</v>
      </c>
      <c r="B195" s="18" t="s">
        <v>240</v>
      </c>
      <c r="C195" s="19" t="s">
        <v>241</v>
      </c>
      <c r="D195" s="18" t="s">
        <v>595</v>
      </c>
      <c r="E195" s="19" t="s">
        <v>596</v>
      </c>
      <c r="F195" s="18" t="s">
        <v>244</v>
      </c>
      <c r="G195" s="18" t="s">
        <v>245</v>
      </c>
      <c r="H195" s="19" t="s">
        <v>175</v>
      </c>
      <c r="I195" s="18" t="s">
        <v>246</v>
      </c>
      <c r="J195" s="19" t="s">
        <v>247</v>
      </c>
      <c r="K195" s="19" t="s">
        <v>248</v>
      </c>
      <c r="L195" s="18" t="s">
        <v>164</v>
      </c>
      <c r="M195" s="18" t="s">
        <v>272</v>
      </c>
      <c r="N195" s="18" t="s">
        <v>250</v>
      </c>
      <c r="O195" s="20">
        <v>119000</v>
      </c>
      <c r="P195" s="20">
        <v>82110</v>
      </c>
      <c r="Q195" s="20">
        <v>1</v>
      </c>
      <c r="R195" s="20">
        <v>0</v>
      </c>
      <c r="S195" s="20">
        <v>0</v>
      </c>
      <c r="T195" s="20">
        <v>0</v>
      </c>
      <c r="U195" s="20">
        <v>0</v>
      </c>
      <c r="V195" s="20">
        <v>0</v>
      </c>
      <c r="W195" s="20">
        <v>31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119000</v>
      </c>
      <c r="AD195" s="20">
        <v>82110</v>
      </c>
      <c r="AE195" s="20">
        <v>0</v>
      </c>
      <c r="AF195" s="20">
        <v>0</v>
      </c>
      <c r="AG195" s="20">
        <v>119000</v>
      </c>
      <c r="AH195" s="20">
        <v>82110</v>
      </c>
      <c r="AI195" s="20">
        <v>33536</v>
      </c>
      <c r="AJ195" s="20">
        <v>3354</v>
      </c>
      <c r="AK195" s="20">
        <v>36890</v>
      </c>
    </row>
    <row r="196" spans="1:37" ht="16.5" customHeight="1" x14ac:dyDescent="0.3">
      <c r="A196" s="18" t="s">
        <v>788</v>
      </c>
      <c r="B196" s="18" t="s">
        <v>240</v>
      </c>
      <c r="C196" s="19" t="s">
        <v>241</v>
      </c>
      <c r="D196" s="18" t="s">
        <v>789</v>
      </c>
      <c r="E196" s="19" t="s">
        <v>790</v>
      </c>
      <c r="F196" s="18" t="s">
        <v>244</v>
      </c>
      <c r="G196" s="18" t="s">
        <v>245</v>
      </c>
      <c r="H196" s="19" t="s">
        <v>175</v>
      </c>
      <c r="I196" s="18" t="s">
        <v>246</v>
      </c>
      <c r="J196" s="19" t="s">
        <v>247</v>
      </c>
      <c r="K196" s="19" t="s">
        <v>248</v>
      </c>
      <c r="L196" s="18" t="s">
        <v>164</v>
      </c>
      <c r="M196" s="18" t="s">
        <v>272</v>
      </c>
      <c r="N196" s="18" t="s">
        <v>250</v>
      </c>
      <c r="O196" s="20">
        <v>119000</v>
      </c>
      <c r="P196" s="20">
        <v>82110</v>
      </c>
      <c r="Q196" s="20">
        <v>1</v>
      </c>
      <c r="R196" s="20">
        <v>0</v>
      </c>
      <c r="S196" s="20">
        <v>0</v>
      </c>
      <c r="T196" s="20">
        <v>0</v>
      </c>
      <c r="U196" s="20">
        <v>0</v>
      </c>
      <c r="V196" s="20">
        <v>0</v>
      </c>
      <c r="W196" s="20">
        <v>31</v>
      </c>
      <c r="X196" s="20">
        <v>0</v>
      </c>
      <c r="Y196" s="20">
        <v>0</v>
      </c>
      <c r="Z196" s="20">
        <v>0</v>
      </c>
      <c r="AA196" s="20">
        <v>0</v>
      </c>
      <c r="AB196" s="20">
        <v>0</v>
      </c>
      <c r="AC196" s="20">
        <v>119000</v>
      </c>
      <c r="AD196" s="20">
        <v>82110</v>
      </c>
      <c r="AE196" s="20">
        <v>0</v>
      </c>
      <c r="AF196" s="20">
        <v>0</v>
      </c>
      <c r="AG196" s="20">
        <v>119000</v>
      </c>
      <c r="AH196" s="20">
        <v>82110</v>
      </c>
      <c r="AI196" s="20">
        <v>33536</v>
      </c>
      <c r="AJ196" s="20">
        <v>3354</v>
      </c>
      <c r="AK196" s="20">
        <v>36890</v>
      </c>
    </row>
    <row r="197" spans="1:37" ht="16.5" customHeight="1" x14ac:dyDescent="0.3">
      <c r="A197" s="18" t="s">
        <v>791</v>
      </c>
      <c r="B197" s="18" t="s">
        <v>240</v>
      </c>
      <c r="C197" s="19" t="s">
        <v>241</v>
      </c>
      <c r="D197" s="18" t="s">
        <v>792</v>
      </c>
      <c r="E197" s="19" t="s">
        <v>470</v>
      </c>
      <c r="F197" s="18" t="s">
        <v>244</v>
      </c>
      <c r="G197" s="18" t="s">
        <v>245</v>
      </c>
      <c r="H197" s="19" t="s">
        <v>175</v>
      </c>
      <c r="I197" s="18" t="s">
        <v>246</v>
      </c>
      <c r="J197" s="19" t="s">
        <v>247</v>
      </c>
      <c r="K197" s="19" t="s">
        <v>248</v>
      </c>
      <c r="L197" s="18" t="s">
        <v>164</v>
      </c>
      <c r="M197" s="18" t="s">
        <v>272</v>
      </c>
      <c r="N197" s="18" t="s">
        <v>250</v>
      </c>
      <c r="O197" s="20">
        <v>119000</v>
      </c>
      <c r="P197" s="20">
        <v>82110</v>
      </c>
      <c r="Q197" s="20">
        <v>1</v>
      </c>
      <c r="R197" s="20">
        <v>0</v>
      </c>
      <c r="S197" s="20">
        <v>0</v>
      </c>
      <c r="T197" s="20">
        <v>0</v>
      </c>
      <c r="U197" s="20">
        <v>0</v>
      </c>
      <c r="V197" s="20">
        <v>0</v>
      </c>
      <c r="W197" s="20">
        <v>31</v>
      </c>
      <c r="X197" s="20">
        <v>0</v>
      </c>
      <c r="Y197" s="20">
        <v>0</v>
      </c>
      <c r="Z197" s="20">
        <v>0</v>
      </c>
      <c r="AA197" s="20">
        <v>0</v>
      </c>
      <c r="AB197" s="20">
        <v>0</v>
      </c>
      <c r="AC197" s="20">
        <v>119000</v>
      </c>
      <c r="AD197" s="20">
        <v>82110</v>
      </c>
      <c r="AE197" s="20">
        <v>0</v>
      </c>
      <c r="AF197" s="20">
        <v>0</v>
      </c>
      <c r="AG197" s="20">
        <v>119000</v>
      </c>
      <c r="AH197" s="20">
        <v>82110</v>
      </c>
      <c r="AI197" s="20">
        <v>33536</v>
      </c>
      <c r="AJ197" s="20">
        <v>3354</v>
      </c>
      <c r="AK197" s="20">
        <v>36890</v>
      </c>
    </row>
    <row r="198" spans="1:37" ht="16.5" customHeight="1" x14ac:dyDescent="0.3">
      <c r="A198" s="18" t="s">
        <v>793</v>
      </c>
      <c r="B198" s="18" t="s">
        <v>240</v>
      </c>
      <c r="C198" s="19" t="s">
        <v>241</v>
      </c>
      <c r="D198" s="18" t="s">
        <v>794</v>
      </c>
      <c r="E198" s="19" t="s">
        <v>795</v>
      </c>
      <c r="F198" s="18" t="s">
        <v>244</v>
      </c>
      <c r="G198" s="18" t="s">
        <v>245</v>
      </c>
      <c r="H198" s="19" t="s">
        <v>175</v>
      </c>
      <c r="I198" s="18" t="s">
        <v>246</v>
      </c>
      <c r="J198" s="19" t="s">
        <v>247</v>
      </c>
      <c r="K198" s="19" t="s">
        <v>248</v>
      </c>
      <c r="L198" s="18" t="s">
        <v>164</v>
      </c>
      <c r="M198" s="18" t="s">
        <v>272</v>
      </c>
      <c r="N198" s="18" t="s">
        <v>250</v>
      </c>
      <c r="O198" s="20">
        <v>119000</v>
      </c>
      <c r="P198" s="20">
        <v>82110</v>
      </c>
      <c r="Q198" s="20">
        <v>1</v>
      </c>
      <c r="R198" s="20">
        <v>0</v>
      </c>
      <c r="S198" s="20">
        <v>0</v>
      </c>
      <c r="T198" s="20">
        <v>0</v>
      </c>
      <c r="U198" s="20">
        <v>0</v>
      </c>
      <c r="V198" s="20">
        <v>0</v>
      </c>
      <c r="W198" s="20">
        <v>31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  <c r="AC198" s="20">
        <v>119000</v>
      </c>
      <c r="AD198" s="20">
        <v>82110</v>
      </c>
      <c r="AE198" s="20">
        <v>0</v>
      </c>
      <c r="AF198" s="20">
        <v>0</v>
      </c>
      <c r="AG198" s="20">
        <v>119000</v>
      </c>
      <c r="AH198" s="20">
        <v>82110</v>
      </c>
      <c r="AI198" s="20">
        <v>33536</v>
      </c>
      <c r="AJ198" s="20">
        <v>3354</v>
      </c>
      <c r="AK198" s="20">
        <v>36890</v>
      </c>
    </row>
    <row r="199" spans="1:37" ht="16.5" customHeight="1" x14ac:dyDescent="0.3">
      <c r="A199" s="18" t="s">
        <v>796</v>
      </c>
      <c r="B199" s="18" t="s">
        <v>240</v>
      </c>
      <c r="C199" s="19" t="s">
        <v>241</v>
      </c>
      <c r="D199" s="18" t="s">
        <v>797</v>
      </c>
      <c r="E199" s="19" t="s">
        <v>275</v>
      </c>
      <c r="F199" s="18" t="s">
        <v>244</v>
      </c>
      <c r="G199" s="18" t="s">
        <v>245</v>
      </c>
      <c r="H199" s="19" t="s">
        <v>175</v>
      </c>
      <c r="I199" s="18" t="s">
        <v>246</v>
      </c>
      <c r="J199" s="19" t="s">
        <v>247</v>
      </c>
      <c r="K199" s="19" t="s">
        <v>248</v>
      </c>
      <c r="L199" s="18" t="s">
        <v>164</v>
      </c>
      <c r="M199" s="18" t="s">
        <v>272</v>
      </c>
      <c r="N199" s="18" t="s">
        <v>250</v>
      </c>
      <c r="O199" s="20">
        <v>119000</v>
      </c>
      <c r="P199" s="20">
        <v>82110</v>
      </c>
      <c r="Q199" s="20">
        <v>1</v>
      </c>
      <c r="R199" s="20">
        <v>0</v>
      </c>
      <c r="S199" s="20">
        <v>0</v>
      </c>
      <c r="T199" s="20">
        <v>0</v>
      </c>
      <c r="U199" s="20">
        <v>0</v>
      </c>
      <c r="V199" s="20">
        <v>0</v>
      </c>
      <c r="W199" s="20">
        <v>31</v>
      </c>
      <c r="X199" s="20">
        <v>0</v>
      </c>
      <c r="Y199" s="20">
        <v>0</v>
      </c>
      <c r="Z199" s="20">
        <v>0</v>
      </c>
      <c r="AA199" s="20">
        <v>0</v>
      </c>
      <c r="AB199" s="20">
        <v>0</v>
      </c>
      <c r="AC199" s="20">
        <v>119000</v>
      </c>
      <c r="AD199" s="20">
        <v>82110</v>
      </c>
      <c r="AE199" s="20">
        <v>0</v>
      </c>
      <c r="AF199" s="20">
        <v>0</v>
      </c>
      <c r="AG199" s="20">
        <v>119000</v>
      </c>
      <c r="AH199" s="20">
        <v>82110</v>
      </c>
      <c r="AI199" s="20">
        <v>33536</v>
      </c>
      <c r="AJ199" s="20">
        <v>3354</v>
      </c>
      <c r="AK199" s="20">
        <v>36890</v>
      </c>
    </row>
    <row r="200" spans="1:37" ht="16.5" customHeight="1" x14ac:dyDescent="0.3">
      <c r="A200" s="18" t="s">
        <v>798</v>
      </c>
      <c r="B200" s="18" t="s">
        <v>240</v>
      </c>
      <c r="C200" s="19" t="s">
        <v>241</v>
      </c>
      <c r="D200" s="18" t="s">
        <v>799</v>
      </c>
      <c r="E200" s="19" t="s">
        <v>800</v>
      </c>
      <c r="F200" s="18" t="s">
        <v>244</v>
      </c>
      <c r="G200" s="18" t="s">
        <v>245</v>
      </c>
      <c r="H200" s="19" t="s">
        <v>175</v>
      </c>
      <c r="I200" s="18" t="s">
        <v>246</v>
      </c>
      <c r="J200" s="19" t="s">
        <v>247</v>
      </c>
      <c r="K200" s="19" t="s">
        <v>248</v>
      </c>
      <c r="L200" s="18" t="s">
        <v>164</v>
      </c>
      <c r="M200" s="18" t="s">
        <v>272</v>
      </c>
      <c r="N200" s="18" t="s">
        <v>250</v>
      </c>
      <c r="O200" s="20">
        <v>119000</v>
      </c>
      <c r="P200" s="20">
        <v>82110</v>
      </c>
      <c r="Q200" s="20">
        <v>1</v>
      </c>
      <c r="R200" s="20">
        <v>0</v>
      </c>
      <c r="S200" s="20">
        <v>0</v>
      </c>
      <c r="T200" s="20">
        <v>0</v>
      </c>
      <c r="U200" s="20">
        <v>0</v>
      </c>
      <c r="V200" s="20">
        <v>0</v>
      </c>
      <c r="W200" s="20">
        <v>31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20">
        <v>119000</v>
      </c>
      <c r="AD200" s="20">
        <v>82110</v>
      </c>
      <c r="AE200" s="20">
        <v>0</v>
      </c>
      <c r="AF200" s="20">
        <v>0</v>
      </c>
      <c r="AG200" s="20">
        <v>119000</v>
      </c>
      <c r="AH200" s="20">
        <v>82110</v>
      </c>
      <c r="AI200" s="20">
        <v>33536</v>
      </c>
      <c r="AJ200" s="20">
        <v>3354</v>
      </c>
      <c r="AK200" s="20">
        <v>36890</v>
      </c>
    </row>
    <row r="201" spans="1:37" ht="16.5" customHeight="1" x14ac:dyDescent="0.3">
      <c r="A201" s="18" t="s">
        <v>801</v>
      </c>
      <c r="B201" s="18" t="s">
        <v>240</v>
      </c>
      <c r="C201" s="19" t="s">
        <v>241</v>
      </c>
      <c r="D201" s="18" t="s">
        <v>802</v>
      </c>
      <c r="E201" s="19" t="s">
        <v>803</v>
      </c>
      <c r="F201" s="18" t="s">
        <v>244</v>
      </c>
      <c r="G201" s="18" t="s">
        <v>245</v>
      </c>
      <c r="H201" s="19" t="s">
        <v>175</v>
      </c>
      <c r="I201" s="18" t="s">
        <v>246</v>
      </c>
      <c r="J201" s="19" t="s">
        <v>247</v>
      </c>
      <c r="K201" s="19" t="s">
        <v>248</v>
      </c>
      <c r="L201" s="18" t="s">
        <v>164</v>
      </c>
      <c r="M201" s="18" t="s">
        <v>272</v>
      </c>
      <c r="N201" s="18" t="s">
        <v>250</v>
      </c>
      <c r="O201" s="20">
        <v>119000</v>
      </c>
      <c r="P201" s="20">
        <v>82110</v>
      </c>
      <c r="Q201" s="20">
        <v>1</v>
      </c>
      <c r="R201" s="20">
        <v>0</v>
      </c>
      <c r="S201" s="20">
        <v>0</v>
      </c>
      <c r="T201" s="20">
        <v>0</v>
      </c>
      <c r="U201" s="20">
        <v>0</v>
      </c>
      <c r="V201" s="20">
        <v>0</v>
      </c>
      <c r="W201" s="20">
        <v>31</v>
      </c>
      <c r="X201" s="20">
        <v>0</v>
      </c>
      <c r="Y201" s="20">
        <v>0</v>
      </c>
      <c r="Z201" s="20">
        <v>0</v>
      </c>
      <c r="AA201" s="20">
        <v>0</v>
      </c>
      <c r="AB201" s="20">
        <v>0</v>
      </c>
      <c r="AC201" s="20">
        <v>119000</v>
      </c>
      <c r="AD201" s="20">
        <v>82110</v>
      </c>
      <c r="AE201" s="20">
        <v>0</v>
      </c>
      <c r="AF201" s="20">
        <v>0</v>
      </c>
      <c r="AG201" s="20">
        <v>119000</v>
      </c>
      <c r="AH201" s="20">
        <v>82110</v>
      </c>
      <c r="AI201" s="20">
        <v>33536</v>
      </c>
      <c r="AJ201" s="20">
        <v>3354</v>
      </c>
      <c r="AK201" s="20">
        <v>36890</v>
      </c>
    </row>
    <row r="202" spans="1:37" ht="16.5" customHeight="1" x14ac:dyDescent="0.3">
      <c r="A202" s="18" t="s">
        <v>804</v>
      </c>
      <c r="B202" s="18" t="s">
        <v>240</v>
      </c>
      <c r="C202" s="19" t="s">
        <v>241</v>
      </c>
      <c r="D202" s="18" t="s">
        <v>805</v>
      </c>
      <c r="E202" s="19" t="s">
        <v>806</v>
      </c>
      <c r="F202" s="18" t="s">
        <v>244</v>
      </c>
      <c r="G202" s="18" t="s">
        <v>245</v>
      </c>
      <c r="H202" s="19" t="s">
        <v>175</v>
      </c>
      <c r="I202" s="18" t="s">
        <v>246</v>
      </c>
      <c r="J202" s="19" t="s">
        <v>247</v>
      </c>
      <c r="K202" s="19" t="s">
        <v>248</v>
      </c>
      <c r="L202" s="18" t="s">
        <v>164</v>
      </c>
      <c r="M202" s="18" t="s">
        <v>272</v>
      </c>
      <c r="N202" s="18" t="s">
        <v>250</v>
      </c>
      <c r="O202" s="20">
        <v>119000</v>
      </c>
      <c r="P202" s="20">
        <v>82110</v>
      </c>
      <c r="Q202" s="20">
        <v>1</v>
      </c>
      <c r="R202" s="20">
        <v>0</v>
      </c>
      <c r="S202" s="20">
        <v>0</v>
      </c>
      <c r="T202" s="20">
        <v>0</v>
      </c>
      <c r="U202" s="20">
        <v>0</v>
      </c>
      <c r="V202" s="20">
        <v>0</v>
      </c>
      <c r="W202" s="20">
        <v>31</v>
      </c>
      <c r="X202" s="20">
        <v>0</v>
      </c>
      <c r="Y202" s="20">
        <v>0</v>
      </c>
      <c r="Z202" s="20">
        <v>0</v>
      </c>
      <c r="AA202" s="20">
        <v>0</v>
      </c>
      <c r="AB202" s="20">
        <v>0</v>
      </c>
      <c r="AC202" s="20">
        <v>119000</v>
      </c>
      <c r="AD202" s="20">
        <v>82110</v>
      </c>
      <c r="AE202" s="20">
        <v>0</v>
      </c>
      <c r="AF202" s="20">
        <v>0</v>
      </c>
      <c r="AG202" s="20">
        <v>119000</v>
      </c>
      <c r="AH202" s="20">
        <v>82110</v>
      </c>
      <c r="AI202" s="20">
        <v>33536</v>
      </c>
      <c r="AJ202" s="20">
        <v>3354</v>
      </c>
      <c r="AK202" s="20">
        <v>36890</v>
      </c>
    </row>
    <row r="203" spans="1:37" ht="16.5" customHeight="1" x14ac:dyDescent="0.3">
      <c r="A203" s="18" t="s">
        <v>807</v>
      </c>
      <c r="B203" s="18" t="s">
        <v>240</v>
      </c>
      <c r="C203" s="19" t="s">
        <v>241</v>
      </c>
      <c r="D203" s="18" t="s">
        <v>808</v>
      </c>
      <c r="E203" s="19" t="s">
        <v>809</v>
      </c>
      <c r="F203" s="18" t="s">
        <v>244</v>
      </c>
      <c r="G203" s="18" t="s">
        <v>245</v>
      </c>
      <c r="H203" s="19" t="s">
        <v>175</v>
      </c>
      <c r="I203" s="18" t="s">
        <v>246</v>
      </c>
      <c r="J203" s="19" t="s">
        <v>247</v>
      </c>
      <c r="K203" s="19" t="s">
        <v>248</v>
      </c>
      <c r="L203" s="18" t="s">
        <v>164</v>
      </c>
      <c r="M203" s="18" t="s">
        <v>272</v>
      </c>
      <c r="N203" s="18" t="s">
        <v>250</v>
      </c>
      <c r="O203" s="20">
        <v>119000</v>
      </c>
      <c r="P203" s="20">
        <v>82110</v>
      </c>
      <c r="Q203" s="20">
        <v>1</v>
      </c>
      <c r="R203" s="20">
        <v>0</v>
      </c>
      <c r="S203" s="20">
        <v>0</v>
      </c>
      <c r="T203" s="20">
        <v>0</v>
      </c>
      <c r="U203" s="20">
        <v>0</v>
      </c>
      <c r="V203" s="20">
        <v>0</v>
      </c>
      <c r="W203" s="20">
        <v>31</v>
      </c>
      <c r="X203" s="20">
        <v>0</v>
      </c>
      <c r="Y203" s="20">
        <v>0</v>
      </c>
      <c r="Z203" s="20">
        <v>0</v>
      </c>
      <c r="AA203" s="20">
        <v>0</v>
      </c>
      <c r="AB203" s="20">
        <v>0</v>
      </c>
      <c r="AC203" s="20">
        <v>119000</v>
      </c>
      <c r="AD203" s="20">
        <v>82110</v>
      </c>
      <c r="AE203" s="20">
        <v>0</v>
      </c>
      <c r="AF203" s="20">
        <v>0</v>
      </c>
      <c r="AG203" s="20">
        <v>119000</v>
      </c>
      <c r="AH203" s="20">
        <v>82110</v>
      </c>
      <c r="AI203" s="20">
        <v>33536</v>
      </c>
      <c r="AJ203" s="20">
        <v>3354</v>
      </c>
      <c r="AK203" s="20">
        <v>36890</v>
      </c>
    </row>
    <row r="204" spans="1:37" ht="16.5" customHeight="1" x14ac:dyDescent="0.3">
      <c r="A204" s="18" t="s">
        <v>810</v>
      </c>
      <c r="B204" s="18" t="s">
        <v>240</v>
      </c>
      <c r="C204" s="19" t="s">
        <v>241</v>
      </c>
      <c r="D204" s="18" t="s">
        <v>811</v>
      </c>
      <c r="E204" s="19" t="s">
        <v>812</v>
      </c>
      <c r="F204" s="18" t="s">
        <v>244</v>
      </c>
      <c r="G204" s="18" t="s">
        <v>245</v>
      </c>
      <c r="H204" s="19" t="s">
        <v>175</v>
      </c>
      <c r="I204" s="18" t="s">
        <v>246</v>
      </c>
      <c r="J204" s="19" t="s">
        <v>247</v>
      </c>
      <c r="K204" s="19" t="s">
        <v>248</v>
      </c>
      <c r="L204" s="18" t="s">
        <v>164</v>
      </c>
      <c r="M204" s="18" t="s">
        <v>272</v>
      </c>
      <c r="N204" s="18" t="s">
        <v>250</v>
      </c>
      <c r="O204" s="20">
        <v>119000</v>
      </c>
      <c r="P204" s="20">
        <v>82110</v>
      </c>
      <c r="Q204" s="20">
        <v>1</v>
      </c>
      <c r="R204" s="20">
        <v>0</v>
      </c>
      <c r="S204" s="20">
        <v>0</v>
      </c>
      <c r="T204" s="20">
        <v>0</v>
      </c>
      <c r="U204" s="20">
        <v>0</v>
      </c>
      <c r="V204" s="20">
        <v>0</v>
      </c>
      <c r="W204" s="20">
        <v>31</v>
      </c>
      <c r="X204" s="20">
        <v>0</v>
      </c>
      <c r="Y204" s="20">
        <v>0</v>
      </c>
      <c r="Z204" s="20">
        <v>0</v>
      </c>
      <c r="AA204" s="20">
        <v>0</v>
      </c>
      <c r="AB204" s="20">
        <v>5950</v>
      </c>
      <c r="AC204" s="20">
        <v>119000</v>
      </c>
      <c r="AD204" s="20">
        <v>82110</v>
      </c>
      <c r="AE204" s="20">
        <v>0</v>
      </c>
      <c r="AF204" s="20">
        <v>5950</v>
      </c>
      <c r="AG204" s="20">
        <v>113050</v>
      </c>
      <c r="AH204" s="20">
        <v>82110</v>
      </c>
      <c r="AI204" s="20">
        <v>28127</v>
      </c>
      <c r="AJ204" s="20">
        <v>2813</v>
      </c>
      <c r="AK204" s="20">
        <v>30940</v>
      </c>
    </row>
    <row r="205" spans="1:37" ht="16.5" customHeight="1" x14ac:dyDescent="0.3">
      <c r="A205" s="18" t="s">
        <v>813</v>
      </c>
      <c r="B205" s="18" t="s">
        <v>240</v>
      </c>
      <c r="C205" s="19" t="s">
        <v>241</v>
      </c>
      <c r="D205" s="18" t="s">
        <v>814</v>
      </c>
      <c r="E205" s="19" t="s">
        <v>815</v>
      </c>
      <c r="F205" s="18" t="s">
        <v>244</v>
      </c>
      <c r="G205" s="18" t="s">
        <v>245</v>
      </c>
      <c r="H205" s="19" t="s">
        <v>175</v>
      </c>
      <c r="I205" s="18" t="s">
        <v>246</v>
      </c>
      <c r="J205" s="19" t="s">
        <v>247</v>
      </c>
      <c r="K205" s="19" t="s">
        <v>248</v>
      </c>
      <c r="L205" s="18" t="s">
        <v>164</v>
      </c>
      <c r="M205" s="18" t="s">
        <v>272</v>
      </c>
      <c r="N205" s="18" t="s">
        <v>250</v>
      </c>
      <c r="O205" s="20">
        <v>119000</v>
      </c>
      <c r="P205" s="20">
        <v>82110</v>
      </c>
      <c r="Q205" s="20">
        <v>1</v>
      </c>
      <c r="R205" s="20">
        <v>0</v>
      </c>
      <c r="S205" s="20">
        <v>0</v>
      </c>
      <c r="T205" s="20">
        <v>0</v>
      </c>
      <c r="U205" s="20">
        <v>0</v>
      </c>
      <c r="V205" s="20">
        <v>0</v>
      </c>
      <c r="W205" s="20">
        <v>31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119000</v>
      </c>
      <c r="AD205" s="20">
        <v>82110</v>
      </c>
      <c r="AE205" s="20">
        <v>0</v>
      </c>
      <c r="AF205" s="20">
        <v>0</v>
      </c>
      <c r="AG205" s="20">
        <v>119000</v>
      </c>
      <c r="AH205" s="20">
        <v>82110</v>
      </c>
      <c r="AI205" s="20">
        <v>33536</v>
      </c>
      <c r="AJ205" s="20">
        <v>3354</v>
      </c>
      <c r="AK205" s="20">
        <v>36890</v>
      </c>
    </row>
    <row r="206" spans="1:37" ht="16.5" customHeight="1" x14ac:dyDescent="0.3">
      <c r="A206" s="18" t="s">
        <v>816</v>
      </c>
      <c r="B206" s="18" t="s">
        <v>240</v>
      </c>
      <c r="C206" s="19" t="s">
        <v>241</v>
      </c>
      <c r="D206" s="18" t="s">
        <v>817</v>
      </c>
      <c r="E206" s="19" t="s">
        <v>694</v>
      </c>
      <c r="F206" s="18" t="s">
        <v>244</v>
      </c>
      <c r="G206" s="18" t="s">
        <v>245</v>
      </c>
      <c r="H206" s="19" t="s">
        <v>175</v>
      </c>
      <c r="I206" s="18" t="s">
        <v>246</v>
      </c>
      <c r="J206" s="19" t="s">
        <v>247</v>
      </c>
      <c r="K206" s="19" t="s">
        <v>248</v>
      </c>
      <c r="L206" s="18" t="s">
        <v>164</v>
      </c>
      <c r="M206" s="18" t="s">
        <v>272</v>
      </c>
      <c r="N206" s="18" t="s">
        <v>250</v>
      </c>
      <c r="O206" s="20">
        <v>119000</v>
      </c>
      <c r="P206" s="20">
        <v>82110</v>
      </c>
      <c r="Q206" s="20">
        <v>1</v>
      </c>
      <c r="R206" s="20">
        <v>0</v>
      </c>
      <c r="S206" s="20">
        <v>0</v>
      </c>
      <c r="T206" s="20">
        <v>0</v>
      </c>
      <c r="U206" s="20">
        <v>0</v>
      </c>
      <c r="V206" s="20">
        <v>0</v>
      </c>
      <c r="W206" s="20">
        <v>31</v>
      </c>
      <c r="X206" s="20">
        <v>0</v>
      </c>
      <c r="Y206" s="20">
        <v>0</v>
      </c>
      <c r="Z206" s="20">
        <v>0</v>
      </c>
      <c r="AA206" s="20">
        <v>0</v>
      </c>
      <c r="AB206" s="20">
        <v>0</v>
      </c>
      <c r="AC206" s="20">
        <v>119000</v>
      </c>
      <c r="AD206" s="20">
        <v>82110</v>
      </c>
      <c r="AE206" s="20">
        <v>0</v>
      </c>
      <c r="AF206" s="20">
        <v>0</v>
      </c>
      <c r="AG206" s="20">
        <v>119000</v>
      </c>
      <c r="AH206" s="20">
        <v>82110</v>
      </c>
      <c r="AI206" s="20">
        <v>33536</v>
      </c>
      <c r="AJ206" s="20">
        <v>3354</v>
      </c>
      <c r="AK206" s="20">
        <v>36890</v>
      </c>
    </row>
    <row r="207" spans="1:37" ht="16.5" customHeight="1" x14ac:dyDescent="0.3">
      <c r="A207" s="18" t="s">
        <v>818</v>
      </c>
      <c r="B207" s="18" t="s">
        <v>240</v>
      </c>
      <c r="C207" s="19" t="s">
        <v>241</v>
      </c>
      <c r="D207" s="18" t="s">
        <v>819</v>
      </c>
      <c r="E207" s="19" t="s">
        <v>577</v>
      </c>
      <c r="F207" s="18" t="s">
        <v>244</v>
      </c>
      <c r="G207" s="18" t="s">
        <v>245</v>
      </c>
      <c r="H207" s="19" t="s">
        <v>175</v>
      </c>
      <c r="I207" s="18" t="s">
        <v>246</v>
      </c>
      <c r="J207" s="19" t="s">
        <v>247</v>
      </c>
      <c r="K207" s="19" t="s">
        <v>248</v>
      </c>
      <c r="L207" s="18" t="s">
        <v>164</v>
      </c>
      <c r="M207" s="18" t="s">
        <v>272</v>
      </c>
      <c r="N207" s="18" t="s">
        <v>250</v>
      </c>
      <c r="O207" s="20">
        <v>119000</v>
      </c>
      <c r="P207" s="20">
        <v>82110</v>
      </c>
      <c r="Q207" s="20">
        <v>1</v>
      </c>
      <c r="R207" s="20">
        <v>0</v>
      </c>
      <c r="S207" s="20">
        <v>0</v>
      </c>
      <c r="T207" s="20">
        <v>0</v>
      </c>
      <c r="U207" s="20">
        <v>0</v>
      </c>
      <c r="V207" s="20">
        <v>0</v>
      </c>
      <c r="W207" s="20">
        <v>31</v>
      </c>
      <c r="X207" s="20">
        <v>0</v>
      </c>
      <c r="Y207" s="20">
        <v>0</v>
      </c>
      <c r="Z207" s="20">
        <v>0</v>
      </c>
      <c r="AA207" s="20">
        <v>0</v>
      </c>
      <c r="AB207" s="20">
        <v>0</v>
      </c>
      <c r="AC207" s="20">
        <v>119000</v>
      </c>
      <c r="AD207" s="20">
        <v>82110</v>
      </c>
      <c r="AE207" s="20">
        <v>0</v>
      </c>
      <c r="AF207" s="20">
        <v>0</v>
      </c>
      <c r="AG207" s="20">
        <v>119000</v>
      </c>
      <c r="AH207" s="20">
        <v>82110</v>
      </c>
      <c r="AI207" s="20">
        <v>33536</v>
      </c>
      <c r="AJ207" s="20">
        <v>3354</v>
      </c>
      <c r="AK207" s="20">
        <v>36890</v>
      </c>
    </row>
    <row r="208" spans="1:37" ht="16.5" customHeight="1" x14ac:dyDescent="0.3">
      <c r="A208" s="18" t="s">
        <v>820</v>
      </c>
      <c r="B208" s="18" t="s">
        <v>240</v>
      </c>
      <c r="C208" s="19" t="s">
        <v>241</v>
      </c>
      <c r="D208" s="18" t="s">
        <v>819</v>
      </c>
      <c r="E208" s="19" t="s">
        <v>577</v>
      </c>
      <c r="F208" s="18" t="s">
        <v>244</v>
      </c>
      <c r="G208" s="18" t="s">
        <v>245</v>
      </c>
      <c r="H208" s="19" t="s">
        <v>175</v>
      </c>
      <c r="I208" s="18" t="s">
        <v>246</v>
      </c>
      <c r="J208" s="19" t="s">
        <v>247</v>
      </c>
      <c r="K208" s="19" t="s">
        <v>248</v>
      </c>
      <c r="L208" s="18" t="s">
        <v>164</v>
      </c>
      <c r="M208" s="18" t="s">
        <v>272</v>
      </c>
      <c r="N208" s="18" t="s">
        <v>250</v>
      </c>
      <c r="O208" s="20">
        <v>119000</v>
      </c>
      <c r="P208" s="20">
        <v>82110</v>
      </c>
      <c r="Q208" s="20">
        <v>1</v>
      </c>
      <c r="R208" s="20">
        <v>0</v>
      </c>
      <c r="S208" s="20">
        <v>0</v>
      </c>
      <c r="T208" s="20">
        <v>0</v>
      </c>
      <c r="U208" s="20">
        <v>0</v>
      </c>
      <c r="V208" s="20">
        <v>0</v>
      </c>
      <c r="W208" s="20">
        <v>31</v>
      </c>
      <c r="X208" s="20">
        <v>0</v>
      </c>
      <c r="Y208" s="20">
        <v>0</v>
      </c>
      <c r="Z208" s="20">
        <v>0</v>
      </c>
      <c r="AA208" s="20">
        <v>0</v>
      </c>
      <c r="AB208" s="20">
        <v>0</v>
      </c>
      <c r="AC208" s="20">
        <v>119000</v>
      </c>
      <c r="AD208" s="20">
        <v>82110</v>
      </c>
      <c r="AE208" s="20">
        <v>0</v>
      </c>
      <c r="AF208" s="20">
        <v>0</v>
      </c>
      <c r="AG208" s="20">
        <v>119000</v>
      </c>
      <c r="AH208" s="20">
        <v>82110</v>
      </c>
      <c r="AI208" s="20">
        <v>33536</v>
      </c>
      <c r="AJ208" s="20">
        <v>3354</v>
      </c>
      <c r="AK208" s="20">
        <v>36890</v>
      </c>
    </row>
    <row r="209" spans="1:37" ht="16.5" customHeight="1" x14ac:dyDescent="0.3">
      <c r="A209" s="18" t="s">
        <v>821</v>
      </c>
      <c r="B209" s="18" t="s">
        <v>240</v>
      </c>
      <c r="C209" s="19" t="s">
        <v>241</v>
      </c>
      <c r="D209" s="18" t="s">
        <v>822</v>
      </c>
      <c r="E209" s="19" t="s">
        <v>823</v>
      </c>
      <c r="F209" s="18" t="s">
        <v>244</v>
      </c>
      <c r="G209" s="18" t="s">
        <v>245</v>
      </c>
      <c r="H209" s="19" t="s">
        <v>175</v>
      </c>
      <c r="I209" s="18" t="s">
        <v>246</v>
      </c>
      <c r="J209" s="19" t="s">
        <v>247</v>
      </c>
      <c r="K209" s="19" t="s">
        <v>248</v>
      </c>
      <c r="L209" s="18" t="s">
        <v>164</v>
      </c>
      <c r="M209" s="18" t="s">
        <v>272</v>
      </c>
      <c r="N209" s="18" t="s">
        <v>250</v>
      </c>
      <c r="O209" s="20">
        <v>119000</v>
      </c>
      <c r="P209" s="20">
        <v>82110</v>
      </c>
      <c r="Q209" s="20">
        <v>1</v>
      </c>
      <c r="R209" s="20">
        <v>0</v>
      </c>
      <c r="S209" s="20">
        <v>0</v>
      </c>
      <c r="T209" s="20">
        <v>0</v>
      </c>
      <c r="U209" s="20">
        <v>0</v>
      </c>
      <c r="V209" s="20">
        <v>0</v>
      </c>
      <c r="W209" s="20">
        <v>31</v>
      </c>
      <c r="X209" s="20">
        <v>0</v>
      </c>
      <c r="Y209" s="20">
        <v>0</v>
      </c>
      <c r="Z209" s="20">
        <v>0</v>
      </c>
      <c r="AA209" s="20">
        <v>0</v>
      </c>
      <c r="AB209" s="20">
        <v>0</v>
      </c>
      <c r="AC209" s="20">
        <v>119000</v>
      </c>
      <c r="AD209" s="20">
        <v>82110</v>
      </c>
      <c r="AE209" s="20">
        <v>0</v>
      </c>
      <c r="AF209" s="20">
        <v>0</v>
      </c>
      <c r="AG209" s="20">
        <v>119000</v>
      </c>
      <c r="AH209" s="20">
        <v>82110</v>
      </c>
      <c r="AI209" s="20">
        <v>33536</v>
      </c>
      <c r="AJ209" s="20">
        <v>3354</v>
      </c>
      <c r="AK209" s="20">
        <v>36890</v>
      </c>
    </row>
    <row r="210" spans="1:37" ht="16.5" customHeight="1" x14ac:dyDescent="0.3">
      <c r="A210" s="18" t="s">
        <v>824</v>
      </c>
      <c r="B210" s="18" t="s">
        <v>240</v>
      </c>
      <c r="C210" s="19" t="s">
        <v>241</v>
      </c>
      <c r="D210" s="18" t="s">
        <v>825</v>
      </c>
      <c r="E210" s="19" t="s">
        <v>599</v>
      </c>
      <c r="F210" s="18" t="s">
        <v>244</v>
      </c>
      <c r="G210" s="18" t="s">
        <v>245</v>
      </c>
      <c r="H210" s="19" t="s">
        <v>175</v>
      </c>
      <c r="I210" s="18" t="s">
        <v>246</v>
      </c>
      <c r="J210" s="19" t="s">
        <v>247</v>
      </c>
      <c r="K210" s="19" t="s">
        <v>248</v>
      </c>
      <c r="L210" s="18" t="s">
        <v>164</v>
      </c>
      <c r="M210" s="18" t="s">
        <v>272</v>
      </c>
      <c r="N210" s="18" t="s">
        <v>250</v>
      </c>
      <c r="O210" s="20">
        <v>119000</v>
      </c>
      <c r="P210" s="20">
        <v>82110</v>
      </c>
      <c r="Q210" s="20">
        <v>1</v>
      </c>
      <c r="R210" s="20">
        <v>0</v>
      </c>
      <c r="S210" s="20">
        <v>0</v>
      </c>
      <c r="T210" s="20">
        <v>0</v>
      </c>
      <c r="U210" s="20">
        <v>0</v>
      </c>
      <c r="V210" s="20">
        <v>0</v>
      </c>
      <c r="W210" s="20">
        <v>31</v>
      </c>
      <c r="X210" s="20">
        <v>0</v>
      </c>
      <c r="Y210" s="20">
        <v>0</v>
      </c>
      <c r="Z210" s="20">
        <v>0</v>
      </c>
      <c r="AA210" s="20">
        <v>0</v>
      </c>
      <c r="AB210" s="20">
        <v>5950</v>
      </c>
      <c r="AC210" s="20">
        <v>119000</v>
      </c>
      <c r="AD210" s="20">
        <v>82110</v>
      </c>
      <c r="AE210" s="20">
        <v>0</v>
      </c>
      <c r="AF210" s="20">
        <v>5950</v>
      </c>
      <c r="AG210" s="20">
        <v>113050</v>
      </c>
      <c r="AH210" s="20">
        <v>82110</v>
      </c>
      <c r="AI210" s="20">
        <v>28127</v>
      </c>
      <c r="AJ210" s="20">
        <v>2813</v>
      </c>
      <c r="AK210" s="20">
        <v>30940</v>
      </c>
    </row>
    <row r="211" spans="1:37" ht="16.5" customHeight="1" x14ac:dyDescent="0.3">
      <c r="A211" s="18" t="s">
        <v>826</v>
      </c>
      <c r="B211" s="18" t="s">
        <v>240</v>
      </c>
      <c r="C211" s="19" t="s">
        <v>241</v>
      </c>
      <c r="D211" s="18" t="s">
        <v>827</v>
      </c>
      <c r="E211" s="19" t="s">
        <v>284</v>
      </c>
      <c r="F211" s="18" t="s">
        <v>244</v>
      </c>
      <c r="G211" s="18" t="s">
        <v>245</v>
      </c>
      <c r="H211" s="19" t="s">
        <v>175</v>
      </c>
      <c r="I211" s="18" t="s">
        <v>246</v>
      </c>
      <c r="J211" s="19" t="s">
        <v>247</v>
      </c>
      <c r="K211" s="19" t="s">
        <v>248</v>
      </c>
      <c r="L211" s="18" t="s">
        <v>164</v>
      </c>
      <c r="M211" s="18" t="s">
        <v>272</v>
      </c>
      <c r="N211" s="18" t="s">
        <v>250</v>
      </c>
      <c r="O211" s="20">
        <v>119000</v>
      </c>
      <c r="P211" s="20">
        <v>82110</v>
      </c>
      <c r="Q211" s="20">
        <v>1</v>
      </c>
      <c r="R211" s="20">
        <v>0</v>
      </c>
      <c r="S211" s="20">
        <v>0</v>
      </c>
      <c r="T211" s="20">
        <v>0</v>
      </c>
      <c r="U211" s="20">
        <v>0</v>
      </c>
      <c r="V211" s="20">
        <v>0</v>
      </c>
      <c r="W211" s="20">
        <v>31</v>
      </c>
      <c r="X211" s="20">
        <v>0</v>
      </c>
      <c r="Y211" s="20">
        <v>0</v>
      </c>
      <c r="Z211" s="20">
        <v>0</v>
      </c>
      <c r="AA211" s="20">
        <v>0</v>
      </c>
      <c r="AB211" s="20">
        <v>0</v>
      </c>
      <c r="AC211" s="20">
        <v>119000</v>
      </c>
      <c r="AD211" s="20">
        <v>82110</v>
      </c>
      <c r="AE211" s="20">
        <v>0</v>
      </c>
      <c r="AF211" s="20">
        <v>0</v>
      </c>
      <c r="AG211" s="20">
        <v>119000</v>
      </c>
      <c r="AH211" s="20">
        <v>82110</v>
      </c>
      <c r="AI211" s="20">
        <v>33536</v>
      </c>
      <c r="AJ211" s="20">
        <v>3354</v>
      </c>
      <c r="AK211" s="20">
        <v>36890</v>
      </c>
    </row>
    <row r="212" spans="1:37" ht="16.5" customHeight="1" x14ac:dyDescent="0.3">
      <c r="A212" s="18" t="s">
        <v>828</v>
      </c>
      <c r="B212" s="18" t="s">
        <v>240</v>
      </c>
      <c r="C212" s="19" t="s">
        <v>241</v>
      </c>
      <c r="D212" s="18" t="s">
        <v>829</v>
      </c>
      <c r="E212" s="19" t="s">
        <v>830</v>
      </c>
      <c r="F212" s="18" t="s">
        <v>244</v>
      </c>
      <c r="G212" s="18" t="s">
        <v>245</v>
      </c>
      <c r="H212" s="19" t="s">
        <v>175</v>
      </c>
      <c r="I212" s="18" t="s">
        <v>246</v>
      </c>
      <c r="J212" s="19" t="s">
        <v>247</v>
      </c>
      <c r="K212" s="19" t="s">
        <v>248</v>
      </c>
      <c r="L212" s="18" t="s">
        <v>164</v>
      </c>
      <c r="M212" s="18" t="s">
        <v>272</v>
      </c>
      <c r="N212" s="18" t="s">
        <v>250</v>
      </c>
      <c r="O212" s="20">
        <v>119000</v>
      </c>
      <c r="P212" s="20">
        <v>82110</v>
      </c>
      <c r="Q212" s="20">
        <v>1</v>
      </c>
      <c r="R212" s="20">
        <v>0</v>
      </c>
      <c r="S212" s="20">
        <v>0</v>
      </c>
      <c r="T212" s="20">
        <v>0</v>
      </c>
      <c r="U212" s="20">
        <v>0</v>
      </c>
      <c r="V212" s="20">
        <v>0</v>
      </c>
      <c r="W212" s="20">
        <v>31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119000</v>
      </c>
      <c r="AD212" s="20">
        <v>82110</v>
      </c>
      <c r="AE212" s="20">
        <v>0</v>
      </c>
      <c r="AF212" s="20">
        <v>0</v>
      </c>
      <c r="AG212" s="20">
        <v>119000</v>
      </c>
      <c r="AH212" s="20">
        <v>82110</v>
      </c>
      <c r="AI212" s="20">
        <v>33536</v>
      </c>
      <c r="AJ212" s="20">
        <v>3354</v>
      </c>
      <c r="AK212" s="20">
        <v>36890</v>
      </c>
    </row>
    <row r="213" spans="1:37" ht="16.5" customHeight="1" x14ac:dyDescent="0.3">
      <c r="A213" s="18" t="s">
        <v>831</v>
      </c>
      <c r="B213" s="18" t="s">
        <v>240</v>
      </c>
      <c r="C213" s="19" t="s">
        <v>241</v>
      </c>
      <c r="D213" s="18" t="s">
        <v>832</v>
      </c>
      <c r="E213" s="19" t="s">
        <v>833</v>
      </c>
      <c r="F213" s="18" t="s">
        <v>244</v>
      </c>
      <c r="G213" s="18" t="s">
        <v>245</v>
      </c>
      <c r="H213" s="19" t="s">
        <v>175</v>
      </c>
      <c r="I213" s="18" t="s">
        <v>246</v>
      </c>
      <c r="J213" s="19" t="s">
        <v>247</v>
      </c>
      <c r="K213" s="19" t="s">
        <v>248</v>
      </c>
      <c r="L213" s="18" t="s">
        <v>164</v>
      </c>
      <c r="M213" s="18" t="s">
        <v>272</v>
      </c>
      <c r="N213" s="18" t="s">
        <v>250</v>
      </c>
      <c r="O213" s="20">
        <v>119000</v>
      </c>
      <c r="P213" s="20">
        <v>82110</v>
      </c>
      <c r="Q213" s="20">
        <v>1</v>
      </c>
      <c r="R213" s="20">
        <v>0</v>
      </c>
      <c r="S213" s="20">
        <v>0</v>
      </c>
      <c r="T213" s="20">
        <v>0</v>
      </c>
      <c r="U213" s="20">
        <v>0</v>
      </c>
      <c r="V213" s="20">
        <v>0</v>
      </c>
      <c r="W213" s="20">
        <v>31</v>
      </c>
      <c r="X213" s="20">
        <v>0</v>
      </c>
      <c r="Y213" s="20">
        <v>0</v>
      </c>
      <c r="Z213" s="20">
        <v>0</v>
      </c>
      <c r="AA213" s="20">
        <v>0</v>
      </c>
      <c r="AB213" s="20">
        <v>0</v>
      </c>
      <c r="AC213" s="20">
        <v>119000</v>
      </c>
      <c r="AD213" s="20">
        <v>82110</v>
      </c>
      <c r="AE213" s="20">
        <v>0</v>
      </c>
      <c r="AF213" s="20">
        <v>0</v>
      </c>
      <c r="AG213" s="20">
        <v>119000</v>
      </c>
      <c r="AH213" s="20">
        <v>82110</v>
      </c>
      <c r="AI213" s="20">
        <v>33536</v>
      </c>
      <c r="AJ213" s="20">
        <v>3354</v>
      </c>
      <c r="AK213" s="20">
        <v>36890</v>
      </c>
    </row>
    <row r="214" spans="1:37" ht="16.5" customHeight="1" x14ac:dyDescent="0.3">
      <c r="A214" s="18" t="s">
        <v>834</v>
      </c>
      <c r="B214" s="18" t="s">
        <v>240</v>
      </c>
      <c r="C214" s="19" t="s">
        <v>241</v>
      </c>
      <c r="D214" s="18" t="s">
        <v>835</v>
      </c>
      <c r="E214" s="19" t="s">
        <v>836</v>
      </c>
      <c r="F214" s="18" t="s">
        <v>244</v>
      </c>
      <c r="G214" s="18" t="s">
        <v>245</v>
      </c>
      <c r="H214" s="19" t="s">
        <v>175</v>
      </c>
      <c r="I214" s="18" t="s">
        <v>246</v>
      </c>
      <c r="J214" s="19" t="s">
        <v>247</v>
      </c>
      <c r="K214" s="19" t="s">
        <v>248</v>
      </c>
      <c r="L214" s="18" t="s">
        <v>164</v>
      </c>
      <c r="M214" s="18" t="s">
        <v>272</v>
      </c>
      <c r="N214" s="18" t="s">
        <v>250</v>
      </c>
      <c r="O214" s="20">
        <v>119000</v>
      </c>
      <c r="P214" s="20">
        <v>82110</v>
      </c>
      <c r="Q214" s="20">
        <v>1</v>
      </c>
      <c r="R214" s="20">
        <v>0</v>
      </c>
      <c r="S214" s="20">
        <v>0</v>
      </c>
      <c r="T214" s="20">
        <v>0</v>
      </c>
      <c r="U214" s="20">
        <v>0</v>
      </c>
      <c r="V214" s="20">
        <v>0</v>
      </c>
      <c r="W214" s="20">
        <v>31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119000</v>
      </c>
      <c r="AD214" s="20">
        <v>82110</v>
      </c>
      <c r="AE214" s="20">
        <v>0</v>
      </c>
      <c r="AF214" s="20">
        <v>0</v>
      </c>
      <c r="AG214" s="20">
        <v>119000</v>
      </c>
      <c r="AH214" s="20">
        <v>82110</v>
      </c>
      <c r="AI214" s="20">
        <v>33536</v>
      </c>
      <c r="AJ214" s="20">
        <v>3354</v>
      </c>
      <c r="AK214" s="20">
        <v>36890</v>
      </c>
    </row>
    <row r="215" spans="1:37" ht="16.5" customHeight="1" x14ac:dyDescent="0.3">
      <c r="A215" s="18" t="s">
        <v>837</v>
      </c>
      <c r="B215" s="18" t="s">
        <v>240</v>
      </c>
      <c r="C215" s="19" t="s">
        <v>241</v>
      </c>
      <c r="D215" s="18" t="s">
        <v>838</v>
      </c>
      <c r="E215" s="19" t="s">
        <v>335</v>
      </c>
      <c r="F215" s="18" t="s">
        <v>244</v>
      </c>
      <c r="G215" s="18" t="s">
        <v>245</v>
      </c>
      <c r="H215" s="19" t="s">
        <v>175</v>
      </c>
      <c r="I215" s="18" t="s">
        <v>246</v>
      </c>
      <c r="J215" s="19" t="s">
        <v>247</v>
      </c>
      <c r="K215" s="19" t="s">
        <v>314</v>
      </c>
      <c r="L215" s="18" t="s">
        <v>164</v>
      </c>
      <c r="M215" s="18" t="s">
        <v>272</v>
      </c>
      <c r="N215" s="18" t="s">
        <v>250</v>
      </c>
      <c r="O215" s="20">
        <v>119000</v>
      </c>
      <c r="P215" s="20">
        <v>82110</v>
      </c>
      <c r="Q215" s="20">
        <v>1</v>
      </c>
      <c r="R215" s="20">
        <v>0</v>
      </c>
      <c r="S215" s="20">
        <v>0</v>
      </c>
      <c r="T215" s="20">
        <v>0</v>
      </c>
      <c r="U215" s="20">
        <v>0</v>
      </c>
      <c r="V215" s="20">
        <v>0</v>
      </c>
      <c r="W215" s="20">
        <v>31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119000</v>
      </c>
      <c r="AD215" s="20">
        <v>82110</v>
      </c>
      <c r="AE215" s="20">
        <v>0</v>
      </c>
      <c r="AF215" s="20">
        <v>0</v>
      </c>
      <c r="AG215" s="20">
        <v>119000</v>
      </c>
      <c r="AH215" s="20">
        <v>82110</v>
      </c>
      <c r="AI215" s="20">
        <v>33536</v>
      </c>
      <c r="AJ215" s="20">
        <v>3354</v>
      </c>
      <c r="AK215" s="20">
        <v>36890</v>
      </c>
    </row>
    <row r="216" spans="1:37" ht="16.5" customHeight="1" x14ac:dyDescent="0.3">
      <c r="A216" s="18" t="s">
        <v>839</v>
      </c>
      <c r="B216" s="18" t="s">
        <v>240</v>
      </c>
      <c r="C216" s="19" t="s">
        <v>241</v>
      </c>
      <c r="D216" s="18" t="s">
        <v>840</v>
      </c>
      <c r="E216" s="19" t="s">
        <v>841</v>
      </c>
      <c r="F216" s="18" t="s">
        <v>244</v>
      </c>
      <c r="G216" s="18" t="s">
        <v>245</v>
      </c>
      <c r="H216" s="19" t="s">
        <v>175</v>
      </c>
      <c r="I216" s="18" t="s">
        <v>246</v>
      </c>
      <c r="J216" s="19" t="s">
        <v>247</v>
      </c>
      <c r="K216" s="19" t="s">
        <v>248</v>
      </c>
      <c r="L216" s="18" t="s">
        <v>164</v>
      </c>
      <c r="M216" s="18" t="s">
        <v>272</v>
      </c>
      <c r="N216" s="18" t="s">
        <v>250</v>
      </c>
      <c r="O216" s="20">
        <v>119000</v>
      </c>
      <c r="P216" s="20">
        <v>82110</v>
      </c>
      <c r="Q216" s="20">
        <v>1</v>
      </c>
      <c r="R216" s="20">
        <v>0</v>
      </c>
      <c r="S216" s="20">
        <v>0</v>
      </c>
      <c r="T216" s="20">
        <v>0</v>
      </c>
      <c r="U216" s="20">
        <v>0</v>
      </c>
      <c r="V216" s="20">
        <v>0</v>
      </c>
      <c r="W216" s="20">
        <v>31</v>
      </c>
      <c r="X216" s="20">
        <v>13090</v>
      </c>
      <c r="Y216" s="20">
        <v>0</v>
      </c>
      <c r="Z216" s="20">
        <v>0</v>
      </c>
      <c r="AA216" s="20">
        <v>0</v>
      </c>
      <c r="AB216" s="20">
        <v>0</v>
      </c>
      <c r="AC216" s="20">
        <v>119000</v>
      </c>
      <c r="AD216" s="20">
        <v>82110</v>
      </c>
      <c r="AE216" s="20">
        <v>0</v>
      </c>
      <c r="AF216" s="20">
        <v>13090</v>
      </c>
      <c r="AG216" s="20">
        <v>105910</v>
      </c>
      <c r="AH216" s="20">
        <v>82110</v>
      </c>
      <c r="AI216" s="20">
        <v>21636</v>
      </c>
      <c r="AJ216" s="20">
        <v>2164</v>
      </c>
      <c r="AK216" s="20">
        <v>23800</v>
      </c>
    </row>
    <row r="217" spans="1:37" ht="16.5" customHeight="1" x14ac:dyDescent="0.3">
      <c r="A217" s="18" t="s">
        <v>842</v>
      </c>
      <c r="B217" s="18" t="s">
        <v>240</v>
      </c>
      <c r="C217" s="19" t="s">
        <v>241</v>
      </c>
      <c r="D217" s="18" t="s">
        <v>843</v>
      </c>
      <c r="E217" s="19" t="s">
        <v>844</v>
      </c>
      <c r="F217" s="18" t="s">
        <v>244</v>
      </c>
      <c r="G217" s="18" t="s">
        <v>245</v>
      </c>
      <c r="H217" s="19" t="s">
        <v>175</v>
      </c>
      <c r="I217" s="18" t="s">
        <v>246</v>
      </c>
      <c r="J217" s="19" t="s">
        <v>247</v>
      </c>
      <c r="K217" s="19" t="s">
        <v>248</v>
      </c>
      <c r="L217" s="18" t="s">
        <v>164</v>
      </c>
      <c r="M217" s="18" t="s">
        <v>272</v>
      </c>
      <c r="N217" s="18" t="s">
        <v>250</v>
      </c>
      <c r="O217" s="20">
        <v>119000</v>
      </c>
      <c r="P217" s="20">
        <v>82110</v>
      </c>
      <c r="Q217" s="20">
        <v>1</v>
      </c>
      <c r="R217" s="20">
        <v>0</v>
      </c>
      <c r="S217" s="20">
        <v>0</v>
      </c>
      <c r="T217" s="20">
        <v>0</v>
      </c>
      <c r="U217" s="20">
        <v>0</v>
      </c>
      <c r="V217" s="20">
        <v>0</v>
      </c>
      <c r="W217" s="20">
        <v>31</v>
      </c>
      <c r="X217" s="20">
        <v>0</v>
      </c>
      <c r="Y217" s="20">
        <v>0</v>
      </c>
      <c r="Z217" s="20">
        <v>0</v>
      </c>
      <c r="AA217" s="20">
        <v>0</v>
      </c>
      <c r="AB217" s="20">
        <v>0</v>
      </c>
      <c r="AC217" s="20">
        <v>119000</v>
      </c>
      <c r="AD217" s="20">
        <v>82110</v>
      </c>
      <c r="AE217" s="20">
        <v>0</v>
      </c>
      <c r="AF217" s="20">
        <v>0</v>
      </c>
      <c r="AG217" s="20">
        <v>119000</v>
      </c>
      <c r="AH217" s="20">
        <v>82110</v>
      </c>
      <c r="AI217" s="20">
        <v>33536</v>
      </c>
      <c r="AJ217" s="20">
        <v>3354</v>
      </c>
      <c r="AK217" s="20">
        <v>36890</v>
      </c>
    </row>
    <row r="218" spans="1:37" ht="16.5" customHeight="1" x14ac:dyDescent="0.3">
      <c r="A218" s="18" t="s">
        <v>845</v>
      </c>
      <c r="B218" s="18" t="s">
        <v>240</v>
      </c>
      <c r="C218" s="19" t="s">
        <v>241</v>
      </c>
      <c r="D218" s="18" t="s">
        <v>846</v>
      </c>
      <c r="E218" s="19" t="s">
        <v>847</v>
      </c>
      <c r="F218" s="18" t="s">
        <v>244</v>
      </c>
      <c r="G218" s="18" t="s">
        <v>245</v>
      </c>
      <c r="H218" s="19" t="s">
        <v>175</v>
      </c>
      <c r="I218" s="18" t="s">
        <v>246</v>
      </c>
      <c r="J218" s="19" t="s">
        <v>247</v>
      </c>
      <c r="K218" s="19" t="s">
        <v>248</v>
      </c>
      <c r="L218" s="18" t="s">
        <v>164</v>
      </c>
      <c r="M218" s="18" t="s">
        <v>272</v>
      </c>
      <c r="N218" s="18" t="s">
        <v>250</v>
      </c>
      <c r="O218" s="20">
        <v>119000</v>
      </c>
      <c r="P218" s="20">
        <v>82110</v>
      </c>
      <c r="Q218" s="20">
        <v>1</v>
      </c>
      <c r="R218" s="20">
        <v>0</v>
      </c>
      <c r="S218" s="20">
        <v>0</v>
      </c>
      <c r="T218" s="20">
        <v>0</v>
      </c>
      <c r="U218" s="20">
        <v>0</v>
      </c>
      <c r="V218" s="20">
        <v>0</v>
      </c>
      <c r="W218" s="20">
        <v>31</v>
      </c>
      <c r="X218" s="20">
        <v>0</v>
      </c>
      <c r="Y218" s="20">
        <v>0</v>
      </c>
      <c r="Z218" s="20">
        <v>0</v>
      </c>
      <c r="AA218" s="20">
        <v>0</v>
      </c>
      <c r="AB218" s="20">
        <v>0</v>
      </c>
      <c r="AC218" s="20">
        <v>119000</v>
      </c>
      <c r="AD218" s="20">
        <v>82110</v>
      </c>
      <c r="AE218" s="20">
        <v>0</v>
      </c>
      <c r="AF218" s="20">
        <v>0</v>
      </c>
      <c r="AG218" s="20">
        <v>119000</v>
      </c>
      <c r="AH218" s="20">
        <v>82110</v>
      </c>
      <c r="AI218" s="20">
        <v>33536</v>
      </c>
      <c r="AJ218" s="20">
        <v>3354</v>
      </c>
      <c r="AK218" s="20">
        <v>36890</v>
      </c>
    </row>
    <row r="219" spans="1:37" ht="16.5" customHeight="1" x14ac:dyDescent="0.3">
      <c r="A219" s="18" t="s">
        <v>848</v>
      </c>
      <c r="B219" s="18" t="s">
        <v>240</v>
      </c>
      <c r="C219" s="19" t="s">
        <v>241</v>
      </c>
      <c r="D219" s="18" t="s">
        <v>849</v>
      </c>
      <c r="E219" s="19" t="s">
        <v>850</v>
      </c>
      <c r="F219" s="18" t="s">
        <v>244</v>
      </c>
      <c r="G219" s="18" t="s">
        <v>245</v>
      </c>
      <c r="H219" s="19" t="s">
        <v>175</v>
      </c>
      <c r="I219" s="18" t="s">
        <v>246</v>
      </c>
      <c r="J219" s="19" t="s">
        <v>247</v>
      </c>
      <c r="K219" s="19" t="s">
        <v>248</v>
      </c>
      <c r="L219" s="18" t="s">
        <v>164</v>
      </c>
      <c r="M219" s="18" t="s">
        <v>272</v>
      </c>
      <c r="N219" s="18" t="s">
        <v>250</v>
      </c>
      <c r="O219" s="20">
        <v>119000</v>
      </c>
      <c r="P219" s="20">
        <v>82110</v>
      </c>
      <c r="Q219" s="20">
        <v>1</v>
      </c>
      <c r="R219" s="20">
        <v>0</v>
      </c>
      <c r="S219" s="20">
        <v>0</v>
      </c>
      <c r="T219" s="20">
        <v>0</v>
      </c>
      <c r="U219" s="20">
        <v>0</v>
      </c>
      <c r="V219" s="20">
        <v>0</v>
      </c>
      <c r="W219" s="20">
        <v>31</v>
      </c>
      <c r="X219" s="20">
        <v>0</v>
      </c>
      <c r="Y219" s="20">
        <v>10000</v>
      </c>
      <c r="Z219" s="20">
        <v>0</v>
      </c>
      <c r="AA219" s="20">
        <v>0</v>
      </c>
      <c r="AB219" s="20">
        <v>0</v>
      </c>
      <c r="AC219" s="20">
        <v>119000</v>
      </c>
      <c r="AD219" s="20">
        <v>82110</v>
      </c>
      <c r="AE219" s="20">
        <v>0</v>
      </c>
      <c r="AF219" s="20">
        <v>10000</v>
      </c>
      <c r="AG219" s="20">
        <v>109000</v>
      </c>
      <c r="AH219" s="20">
        <v>82110</v>
      </c>
      <c r="AI219" s="20">
        <v>24445</v>
      </c>
      <c r="AJ219" s="20">
        <v>2445</v>
      </c>
      <c r="AK219" s="20">
        <v>26890</v>
      </c>
    </row>
    <row r="220" spans="1:37" ht="16.5" customHeight="1" x14ac:dyDescent="0.3">
      <c r="A220" s="18" t="s">
        <v>851</v>
      </c>
      <c r="B220" s="18" t="s">
        <v>240</v>
      </c>
      <c r="C220" s="19" t="s">
        <v>241</v>
      </c>
      <c r="D220" s="18" t="s">
        <v>852</v>
      </c>
      <c r="E220" s="19" t="s">
        <v>853</v>
      </c>
      <c r="F220" s="18" t="s">
        <v>244</v>
      </c>
      <c r="G220" s="18" t="s">
        <v>245</v>
      </c>
      <c r="H220" s="19" t="s">
        <v>175</v>
      </c>
      <c r="I220" s="18" t="s">
        <v>246</v>
      </c>
      <c r="J220" s="19" t="s">
        <v>247</v>
      </c>
      <c r="K220" s="19" t="s">
        <v>248</v>
      </c>
      <c r="L220" s="18" t="s">
        <v>164</v>
      </c>
      <c r="M220" s="18" t="s">
        <v>272</v>
      </c>
      <c r="N220" s="18" t="s">
        <v>250</v>
      </c>
      <c r="O220" s="20">
        <v>119000</v>
      </c>
      <c r="P220" s="20">
        <v>82110</v>
      </c>
      <c r="Q220" s="20">
        <v>1</v>
      </c>
      <c r="R220" s="20">
        <v>0</v>
      </c>
      <c r="S220" s="20">
        <v>0</v>
      </c>
      <c r="T220" s="20">
        <v>0</v>
      </c>
      <c r="U220" s="20">
        <v>0</v>
      </c>
      <c r="V220" s="20">
        <v>0</v>
      </c>
      <c r="W220" s="20">
        <v>31</v>
      </c>
      <c r="X220" s="20">
        <v>0</v>
      </c>
      <c r="Y220" s="20">
        <v>0</v>
      </c>
      <c r="Z220" s="20">
        <v>0</v>
      </c>
      <c r="AA220" s="20">
        <v>0</v>
      </c>
      <c r="AB220" s="20">
        <v>0</v>
      </c>
      <c r="AC220" s="20">
        <v>119000</v>
      </c>
      <c r="AD220" s="20">
        <v>82110</v>
      </c>
      <c r="AE220" s="20">
        <v>0</v>
      </c>
      <c r="AF220" s="20">
        <v>0</v>
      </c>
      <c r="AG220" s="20">
        <v>119000</v>
      </c>
      <c r="AH220" s="20">
        <v>82110</v>
      </c>
      <c r="AI220" s="20">
        <v>33536</v>
      </c>
      <c r="AJ220" s="20">
        <v>3354</v>
      </c>
      <c r="AK220" s="20">
        <v>36890</v>
      </c>
    </row>
    <row r="221" spans="1:37" ht="16.5" customHeight="1" x14ac:dyDescent="0.3">
      <c r="A221" s="18" t="s">
        <v>854</v>
      </c>
      <c r="B221" s="18" t="s">
        <v>240</v>
      </c>
      <c r="C221" s="19" t="s">
        <v>241</v>
      </c>
      <c r="D221" s="18" t="s">
        <v>855</v>
      </c>
      <c r="E221" s="19" t="s">
        <v>856</v>
      </c>
      <c r="F221" s="18" t="s">
        <v>244</v>
      </c>
      <c r="G221" s="18" t="s">
        <v>245</v>
      </c>
      <c r="H221" s="19" t="s">
        <v>175</v>
      </c>
      <c r="I221" s="18" t="s">
        <v>246</v>
      </c>
      <c r="J221" s="19" t="s">
        <v>247</v>
      </c>
      <c r="K221" s="19" t="s">
        <v>248</v>
      </c>
      <c r="L221" s="18" t="s">
        <v>164</v>
      </c>
      <c r="M221" s="18" t="s">
        <v>272</v>
      </c>
      <c r="N221" s="18" t="s">
        <v>250</v>
      </c>
      <c r="O221" s="20">
        <v>119000</v>
      </c>
      <c r="P221" s="20">
        <v>82110</v>
      </c>
      <c r="Q221" s="20">
        <v>1</v>
      </c>
      <c r="R221" s="20">
        <v>0</v>
      </c>
      <c r="S221" s="20">
        <v>0</v>
      </c>
      <c r="T221" s="20">
        <v>0</v>
      </c>
      <c r="U221" s="20">
        <v>0</v>
      </c>
      <c r="V221" s="20">
        <v>0</v>
      </c>
      <c r="W221" s="20">
        <v>31</v>
      </c>
      <c r="X221" s="20">
        <v>17850</v>
      </c>
      <c r="Y221" s="20">
        <v>0</v>
      </c>
      <c r="Z221" s="20">
        <v>0</v>
      </c>
      <c r="AA221" s="20">
        <v>0</v>
      </c>
      <c r="AB221" s="20">
        <v>0</v>
      </c>
      <c r="AC221" s="20">
        <v>119000</v>
      </c>
      <c r="AD221" s="20">
        <v>82110</v>
      </c>
      <c r="AE221" s="20">
        <v>0</v>
      </c>
      <c r="AF221" s="20">
        <v>17850</v>
      </c>
      <c r="AG221" s="20">
        <v>101150</v>
      </c>
      <c r="AH221" s="20">
        <v>82110</v>
      </c>
      <c r="AI221" s="20">
        <v>17309</v>
      </c>
      <c r="AJ221" s="20">
        <v>1731</v>
      </c>
      <c r="AK221" s="20">
        <v>19040</v>
      </c>
    </row>
    <row r="222" spans="1:37" ht="16.5" customHeight="1" x14ac:dyDescent="0.3">
      <c r="A222" s="18" t="s">
        <v>857</v>
      </c>
      <c r="B222" s="18" t="s">
        <v>240</v>
      </c>
      <c r="C222" s="19" t="s">
        <v>241</v>
      </c>
      <c r="D222" s="18" t="s">
        <v>858</v>
      </c>
      <c r="E222" s="19" t="s">
        <v>859</v>
      </c>
      <c r="F222" s="18" t="s">
        <v>244</v>
      </c>
      <c r="G222" s="18" t="s">
        <v>245</v>
      </c>
      <c r="H222" s="19" t="s">
        <v>175</v>
      </c>
      <c r="I222" s="18" t="s">
        <v>246</v>
      </c>
      <c r="J222" s="19" t="s">
        <v>247</v>
      </c>
      <c r="K222" s="19" t="s">
        <v>248</v>
      </c>
      <c r="L222" s="18" t="s">
        <v>164</v>
      </c>
      <c r="M222" s="18" t="s">
        <v>272</v>
      </c>
      <c r="N222" s="18" t="s">
        <v>250</v>
      </c>
      <c r="O222" s="20">
        <v>119000</v>
      </c>
      <c r="P222" s="20">
        <v>82110</v>
      </c>
      <c r="Q222" s="20">
        <v>1</v>
      </c>
      <c r="R222" s="20">
        <v>0</v>
      </c>
      <c r="S222" s="20">
        <v>0</v>
      </c>
      <c r="T222" s="20">
        <v>0</v>
      </c>
      <c r="U222" s="20">
        <v>0</v>
      </c>
      <c r="V222" s="20">
        <v>0</v>
      </c>
      <c r="W222" s="20">
        <v>31</v>
      </c>
      <c r="X222" s="20">
        <v>0</v>
      </c>
      <c r="Y222" s="20">
        <v>0</v>
      </c>
      <c r="Z222" s="20">
        <v>0</v>
      </c>
      <c r="AA222" s="20">
        <v>0</v>
      </c>
      <c r="AB222" s="20">
        <v>0</v>
      </c>
      <c r="AC222" s="20">
        <v>119000</v>
      </c>
      <c r="AD222" s="20">
        <v>82110</v>
      </c>
      <c r="AE222" s="20">
        <v>0</v>
      </c>
      <c r="AF222" s="20">
        <v>0</v>
      </c>
      <c r="AG222" s="20">
        <v>119000</v>
      </c>
      <c r="AH222" s="20">
        <v>82110</v>
      </c>
      <c r="AI222" s="20">
        <v>33536</v>
      </c>
      <c r="AJ222" s="20">
        <v>3354</v>
      </c>
      <c r="AK222" s="20">
        <v>36890</v>
      </c>
    </row>
    <row r="223" spans="1:37" ht="16.5" customHeight="1" x14ac:dyDescent="0.3">
      <c r="A223" s="18" t="s">
        <v>860</v>
      </c>
      <c r="B223" s="18" t="s">
        <v>240</v>
      </c>
      <c r="C223" s="19" t="s">
        <v>241</v>
      </c>
      <c r="D223" s="18" t="s">
        <v>861</v>
      </c>
      <c r="E223" s="19" t="s">
        <v>862</v>
      </c>
      <c r="F223" s="18" t="s">
        <v>244</v>
      </c>
      <c r="G223" s="18" t="s">
        <v>245</v>
      </c>
      <c r="H223" s="19" t="s">
        <v>175</v>
      </c>
      <c r="I223" s="18" t="s">
        <v>246</v>
      </c>
      <c r="J223" s="19" t="s">
        <v>247</v>
      </c>
      <c r="K223" s="19" t="s">
        <v>248</v>
      </c>
      <c r="L223" s="18" t="s">
        <v>164</v>
      </c>
      <c r="M223" s="18" t="s">
        <v>272</v>
      </c>
      <c r="N223" s="18" t="s">
        <v>250</v>
      </c>
      <c r="O223" s="20">
        <v>119000</v>
      </c>
      <c r="P223" s="20">
        <v>82110</v>
      </c>
      <c r="Q223" s="20">
        <v>1</v>
      </c>
      <c r="R223" s="20">
        <v>0</v>
      </c>
      <c r="S223" s="20">
        <v>0</v>
      </c>
      <c r="T223" s="20">
        <v>0</v>
      </c>
      <c r="U223" s="20">
        <v>0</v>
      </c>
      <c r="V223" s="20">
        <v>0</v>
      </c>
      <c r="W223" s="20">
        <v>31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119000</v>
      </c>
      <c r="AD223" s="20">
        <v>82110</v>
      </c>
      <c r="AE223" s="20">
        <v>0</v>
      </c>
      <c r="AF223" s="20">
        <v>0</v>
      </c>
      <c r="AG223" s="20">
        <v>119000</v>
      </c>
      <c r="AH223" s="20">
        <v>82110</v>
      </c>
      <c r="AI223" s="20">
        <v>33536</v>
      </c>
      <c r="AJ223" s="20">
        <v>3354</v>
      </c>
      <c r="AK223" s="20">
        <v>36890</v>
      </c>
    </row>
    <row r="224" spans="1:37" ht="16.5" customHeight="1" x14ac:dyDescent="0.3">
      <c r="A224" s="18" t="s">
        <v>863</v>
      </c>
      <c r="B224" s="18" t="s">
        <v>240</v>
      </c>
      <c r="C224" s="19" t="s">
        <v>241</v>
      </c>
      <c r="D224" s="18" t="s">
        <v>864</v>
      </c>
      <c r="E224" s="19" t="s">
        <v>865</v>
      </c>
      <c r="F224" s="18" t="s">
        <v>244</v>
      </c>
      <c r="G224" s="18" t="s">
        <v>245</v>
      </c>
      <c r="H224" s="19" t="s">
        <v>175</v>
      </c>
      <c r="I224" s="18" t="s">
        <v>246</v>
      </c>
      <c r="J224" s="19" t="s">
        <v>247</v>
      </c>
      <c r="K224" s="19" t="s">
        <v>248</v>
      </c>
      <c r="L224" s="18" t="s">
        <v>164</v>
      </c>
      <c r="M224" s="18" t="s">
        <v>272</v>
      </c>
      <c r="N224" s="18" t="s">
        <v>250</v>
      </c>
      <c r="O224" s="20">
        <v>119000</v>
      </c>
      <c r="P224" s="20">
        <v>82110</v>
      </c>
      <c r="Q224" s="20">
        <v>1</v>
      </c>
      <c r="R224" s="20">
        <v>0</v>
      </c>
      <c r="S224" s="20">
        <v>0</v>
      </c>
      <c r="T224" s="20">
        <v>0</v>
      </c>
      <c r="U224" s="20">
        <v>0</v>
      </c>
      <c r="V224" s="20">
        <v>0</v>
      </c>
      <c r="W224" s="20">
        <v>31</v>
      </c>
      <c r="X224" s="20">
        <v>0</v>
      </c>
      <c r="Y224" s="20">
        <v>0</v>
      </c>
      <c r="Z224" s="20">
        <v>0</v>
      </c>
      <c r="AA224" s="20">
        <v>0</v>
      </c>
      <c r="AB224" s="20">
        <v>0</v>
      </c>
      <c r="AC224" s="20">
        <v>119000</v>
      </c>
      <c r="AD224" s="20">
        <v>82110</v>
      </c>
      <c r="AE224" s="20">
        <v>0</v>
      </c>
      <c r="AF224" s="20">
        <v>0</v>
      </c>
      <c r="AG224" s="20">
        <v>119000</v>
      </c>
      <c r="AH224" s="20">
        <v>82110</v>
      </c>
      <c r="AI224" s="20">
        <v>33536</v>
      </c>
      <c r="AJ224" s="20">
        <v>3354</v>
      </c>
      <c r="AK224" s="20">
        <v>36890</v>
      </c>
    </row>
    <row r="225" spans="1:37" ht="16.5" customHeight="1" x14ac:dyDescent="0.3">
      <c r="A225" s="18" t="s">
        <v>866</v>
      </c>
      <c r="B225" s="18" t="s">
        <v>240</v>
      </c>
      <c r="C225" s="19" t="s">
        <v>241</v>
      </c>
      <c r="D225" s="18" t="s">
        <v>867</v>
      </c>
      <c r="E225" s="19" t="s">
        <v>473</v>
      </c>
      <c r="F225" s="18" t="s">
        <v>244</v>
      </c>
      <c r="G225" s="18" t="s">
        <v>245</v>
      </c>
      <c r="H225" s="19" t="s">
        <v>175</v>
      </c>
      <c r="I225" s="18" t="s">
        <v>246</v>
      </c>
      <c r="J225" s="19" t="s">
        <v>247</v>
      </c>
      <c r="K225" s="19" t="s">
        <v>314</v>
      </c>
      <c r="L225" s="18" t="s">
        <v>164</v>
      </c>
      <c r="M225" s="18" t="s">
        <v>272</v>
      </c>
      <c r="N225" s="18" t="s">
        <v>250</v>
      </c>
      <c r="O225" s="20">
        <v>119000</v>
      </c>
      <c r="P225" s="20">
        <v>82110</v>
      </c>
      <c r="Q225" s="20">
        <v>1</v>
      </c>
      <c r="R225" s="20">
        <v>0</v>
      </c>
      <c r="S225" s="20">
        <v>0</v>
      </c>
      <c r="T225" s="20">
        <v>0</v>
      </c>
      <c r="U225" s="20">
        <v>0</v>
      </c>
      <c r="V225" s="20">
        <v>0</v>
      </c>
      <c r="W225" s="20">
        <v>31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119000</v>
      </c>
      <c r="AD225" s="20">
        <v>82110</v>
      </c>
      <c r="AE225" s="20">
        <v>0</v>
      </c>
      <c r="AF225" s="20">
        <v>0</v>
      </c>
      <c r="AG225" s="20">
        <v>119000</v>
      </c>
      <c r="AH225" s="20">
        <v>82110</v>
      </c>
      <c r="AI225" s="20">
        <v>33536</v>
      </c>
      <c r="AJ225" s="20">
        <v>3354</v>
      </c>
      <c r="AK225" s="20">
        <v>36890</v>
      </c>
    </row>
    <row r="226" spans="1:37" ht="16.5" customHeight="1" x14ac:dyDescent="0.3">
      <c r="A226" s="18" t="s">
        <v>868</v>
      </c>
      <c r="B226" s="18" t="s">
        <v>240</v>
      </c>
      <c r="C226" s="19" t="s">
        <v>241</v>
      </c>
      <c r="D226" s="18" t="s">
        <v>869</v>
      </c>
      <c r="E226" s="19" t="s">
        <v>870</v>
      </c>
      <c r="F226" s="18" t="s">
        <v>244</v>
      </c>
      <c r="G226" s="18" t="s">
        <v>245</v>
      </c>
      <c r="H226" s="19" t="s">
        <v>175</v>
      </c>
      <c r="I226" s="18" t="s">
        <v>246</v>
      </c>
      <c r="J226" s="19" t="s">
        <v>247</v>
      </c>
      <c r="K226" s="19" t="s">
        <v>248</v>
      </c>
      <c r="L226" s="18" t="s">
        <v>164</v>
      </c>
      <c r="M226" s="18" t="s">
        <v>272</v>
      </c>
      <c r="N226" s="18" t="s">
        <v>250</v>
      </c>
      <c r="O226" s="20">
        <v>119000</v>
      </c>
      <c r="P226" s="20">
        <v>82110</v>
      </c>
      <c r="Q226" s="20">
        <v>1</v>
      </c>
      <c r="R226" s="20">
        <v>0</v>
      </c>
      <c r="S226" s="20">
        <v>0</v>
      </c>
      <c r="T226" s="20">
        <v>0</v>
      </c>
      <c r="U226" s="20">
        <v>0</v>
      </c>
      <c r="V226" s="20">
        <v>0</v>
      </c>
      <c r="W226" s="20">
        <v>31</v>
      </c>
      <c r="X226" s="20">
        <v>0</v>
      </c>
      <c r="Y226" s="20">
        <v>0</v>
      </c>
      <c r="Z226" s="20">
        <v>0</v>
      </c>
      <c r="AA226" s="20">
        <v>0</v>
      </c>
      <c r="AB226" s="20">
        <v>0</v>
      </c>
      <c r="AC226" s="20">
        <v>119000</v>
      </c>
      <c r="AD226" s="20">
        <v>82110</v>
      </c>
      <c r="AE226" s="20">
        <v>0</v>
      </c>
      <c r="AF226" s="20">
        <v>0</v>
      </c>
      <c r="AG226" s="20">
        <v>119000</v>
      </c>
      <c r="AH226" s="20">
        <v>82110</v>
      </c>
      <c r="AI226" s="20">
        <v>33536</v>
      </c>
      <c r="AJ226" s="20">
        <v>3354</v>
      </c>
      <c r="AK226" s="20">
        <v>36890</v>
      </c>
    </row>
    <row r="227" spans="1:37" ht="16.5" customHeight="1" x14ac:dyDescent="0.3">
      <c r="A227" s="18" t="s">
        <v>871</v>
      </c>
      <c r="B227" s="18" t="s">
        <v>240</v>
      </c>
      <c r="C227" s="19" t="s">
        <v>241</v>
      </c>
      <c r="D227" s="18" t="s">
        <v>872</v>
      </c>
      <c r="E227" s="19" t="s">
        <v>873</v>
      </c>
      <c r="F227" s="18" t="s">
        <v>244</v>
      </c>
      <c r="G227" s="18" t="s">
        <v>245</v>
      </c>
      <c r="H227" s="19" t="s">
        <v>175</v>
      </c>
      <c r="I227" s="18" t="s">
        <v>246</v>
      </c>
      <c r="J227" s="19" t="s">
        <v>247</v>
      </c>
      <c r="K227" s="19" t="s">
        <v>248</v>
      </c>
      <c r="L227" s="18" t="s">
        <v>164</v>
      </c>
      <c r="M227" s="18" t="s">
        <v>272</v>
      </c>
      <c r="N227" s="18" t="s">
        <v>250</v>
      </c>
      <c r="O227" s="20">
        <v>119000</v>
      </c>
      <c r="P227" s="20">
        <v>82110</v>
      </c>
      <c r="Q227" s="20">
        <v>1</v>
      </c>
      <c r="R227" s="20">
        <v>0</v>
      </c>
      <c r="S227" s="20">
        <v>0</v>
      </c>
      <c r="T227" s="20">
        <v>0</v>
      </c>
      <c r="U227" s="20">
        <v>0</v>
      </c>
      <c r="V227" s="20">
        <v>0</v>
      </c>
      <c r="W227" s="20">
        <v>31</v>
      </c>
      <c r="X227" s="20">
        <v>0</v>
      </c>
      <c r="Y227" s="20">
        <v>0</v>
      </c>
      <c r="Z227" s="20">
        <v>0</v>
      </c>
      <c r="AA227" s="20">
        <v>0</v>
      </c>
      <c r="AB227" s="20">
        <v>0</v>
      </c>
      <c r="AC227" s="20">
        <v>119000</v>
      </c>
      <c r="AD227" s="20">
        <v>82110</v>
      </c>
      <c r="AE227" s="20">
        <v>0</v>
      </c>
      <c r="AF227" s="20">
        <v>0</v>
      </c>
      <c r="AG227" s="20">
        <v>119000</v>
      </c>
      <c r="AH227" s="20">
        <v>82110</v>
      </c>
      <c r="AI227" s="20">
        <v>33536</v>
      </c>
      <c r="AJ227" s="20">
        <v>3354</v>
      </c>
      <c r="AK227" s="20">
        <v>36890</v>
      </c>
    </row>
    <row r="228" spans="1:37" ht="16.5" customHeight="1" x14ac:dyDescent="0.3">
      <c r="A228" s="18" t="s">
        <v>874</v>
      </c>
      <c r="B228" s="18" t="s">
        <v>240</v>
      </c>
      <c r="C228" s="19" t="s">
        <v>241</v>
      </c>
      <c r="D228" s="18" t="s">
        <v>875</v>
      </c>
      <c r="E228" s="19" t="s">
        <v>876</v>
      </c>
      <c r="F228" s="18" t="s">
        <v>244</v>
      </c>
      <c r="G228" s="18" t="s">
        <v>245</v>
      </c>
      <c r="H228" s="19" t="s">
        <v>175</v>
      </c>
      <c r="I228" s="18" t="s">
        <v>246</v>
      </c>
      <c r="J228" s="19" t="s">
        <v>247</v>
      </c>
      <c r="K228" s="19" t="s">
        <v>248</v>
      </c>
      <c r="L228" s="18" t="s">
        <v>164</v>
      </c>
      <c r="M228" s="18" t="s">
        <v>272</v>
      </c>
      <c r="N228" s="18" t="s">
        <v>250</v>
      </c>
      <c r="O228" s="20">
        <v>119000</v>
      </c>
      <c r="P228" s="20">
        <v>82110</v>
      </c>
      <c r="Q228" s="20">
        <v>1</v>
      </c>
      <c r="R228" s="20">
        <v>0</v>
      </c>
      <c r="S228" s="20">
        <v>0</v>
      </c>
      <c r="T228" s="20">
        <v>0</v>
      </c>
      <c r="U228" s="20">
        <v>0</v>
      </c>
      <c r="V228" s="20">
        <v>0</v>
      </c>
      <c r="W228" s="20">
        <v>31</v>
      </c>
      <c r="X228" s="20">
        <v>0</v>
      </c>
      <c r="Y228" s="20">
        <v>0</v>
      </c>
      <c r="Z228" s="20">
        <v>0</v>
      </c>
      <c r="AA228" s="20">
        <v>0</v>
      </c>
      <c r="AB228" s="20">
        <v>0</v>
      </c>
      <c r="AC228" s="20">
        <v>119000</v>
      </c>
      <c r="AD228" s="20">
        <v>82110</v>
      </c>
      <c r="AE228" s="20">
        <v>0</v>
      </c>
      <c r="AF228" s="20">
        <v>0</v>
      </c>
      <c r="AG228" s="20">
        <v>119000</v>
      </c>
      <c r="AH228" s="20">
        <v>82110</v>
      </c>
      <c r="AI228" s="20">
        <v>33536</v>
      </c>
      <c r="AJ228" s="20">
        <v>3354</v>
      </c>
      <c r="AK228" s="20">
        <v>36890</v>
      </c>
    </row>
    <row r="229" spans="1:37" ht="16.5" customHeight="1" x14ac:dyDescent="0.3">
      <c r="A229" s="18" t="s">
        <v>877</v>
      </c>
      <c r="B229" s="18" t="s">
        <v>240</v>
      </c>
      <c r="C229" s="19" t="s">
        <v>241</v>
      </c>
      <c r="D229" s="18" t="s">
        <v>878</v>
      </c>
      <c r="E229" s="19" t="s">
        <v>879</v>
      </c>
      <c r="F229" s="18" t="s">
        <v>244</v>
      </c>
      <c r="G229" s="18" t="s">
        <v>245</v>
      </c>
      <c r="H229" s="19" t="s">
        <v>175</v>
      </c>
      <c r="I229" s="18" t="s">
        <v>246</v>
      </c>
      <c r="J229" s="19" t="s">
        <v>247</v>
      </c>
      <c r="K229" s="19" t="s">
        <v>248</v>
      </c>
      <c r="L229" s="18" t="s">
        <v>164</v>
      </c>
      <c r="M229" s="18" t="s">
        <v>272</v>
      </c>
      <c r="N229" s="18" t="s">
        <v>250</v>
      </c>
      <c r="O229" s="20">
        <v>119000</v>
      </c>
      <c r="P229" s="20">
        <v>82110</v>
      </c>
      <c r="Q229" s="20">
        <v>1</v>
      </c>
      <c r="R229" s="20">
        <v>0</v>
      </c>
      <c r="S229" s="20">
        <v>0</v>
      </c>
      <c r="T229" s="20">
        <v>0</v>
      </c>
      <c r="U229" s="20">
        <v>0</v>
      </c>
      <c r="V229" s="20">
        <v>0</v>
      </c>
      <c r="W229" s="20">
        <v>31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  <c r="AC229" s="20">
        <v>119000</v>
      </c>
      <c r="AD229" s="20">
        <v>82110</v>
      </c>
      <c r="AE229" s="20">
        <v>0</v>
      </c>
      <c r="AF229" s="20">
        <v>0</v>
      </c>
      <c r="AG229" s="20">
        <v>119000</v>
      </c>
      <c r="AH229" s="20">
        <v>82110</v>
      </c>
      <c r="AI229" s="20">
        <v>33536</v>
      </c>
      <c r="AJ229" s="20">
        <v>3354</v>
      </c>
      <c r="AK229" s="20">
        <v>36890</v>
      </c>
    </row>
    <row r="230" spans="1:37" ht="16.5" customHeight="1" x14ac:dyDescent="0.3">
      <c r="A230" s="18" t="s">
        <v>880</v>
      </c>
      <c r="B230" s="18" t="s">
        <v>240</v>
      </c>
      <c r="C230" s="19" t="s">
        <v>241</v>
      </c>
      <c r="D230" s="18" t="s">
        <v>881</v>
      </c>
      <c r="E230" s="19" t="s">
        <v>640</v>
      </c>
      <c r="F230" s="18" t="s">
        <v>244</v>
      </c>
      <c r="G230" s="18" t="s">
        <v>245</v>
      </c>
      <c r="H230" s="19" t="s">
        <v>175</v>
      </c>
      <c r="I230" s="18" t="s">
        <v>246</v>
      </c>
      <c r="J230" s="19" t="s">
        <v>247</v>
      </c>
      <c r="K230" s="19" t="s">
        <v>248</v>
      </c>
      <c r="L230" s="18" t="s">
        <v>164</v>
      </c>
      <c r="M230" s="18" t="s">
        <v>272</v>
      </c>
      <c r="N230" s="18" t="s">
        <v>250</v>
      </c>
      <c r="O230" s="20">
        <v>119000</v>
      </c>
      <c r="P230" s="20">
        <v>82110</v>
      </c>
      <c r="Q230" s="20">
        <v>1</v>
      </c>
      <c r="R230" s="20">
        <v>0</v>
      </c>
      <c r="S230" s="20">
        <v>0</v>
      </c>
      <c r="T230" s="20">
        <v>0</v>
      </c>
      <c r="U230" s="20">
        <v>0</v>
      </c>
      <c r="V230" s="20">
        <v>0</v>
      </c>
      <c r="W230" s="20">
        <v>31</v>
      </c>
      <c r="X230" s="20">
        <v>19040</v>
      </c>
      <c r="Y230" s="20">
        <v>0</v>
      </c>
      <c r="Z230" s="20">
        <v>0</v>
      </c>
      <c r="AA230" s="20">
        <v>0</v>
      </c>
      <c r="AB230" s="20">
        <v>0</v>
      </c>
      <c r="AC230" s="20">
        <v>119000</v>
      </c>
      <c r="AD230" s="20">
        <v>82110</v>
      </c>
      <c r="AE230" s="20">
        <v>0</v>
      </c>
      <c r="AF230" s="20">
        <v>19040</v>
      </c>
      <c r="AG230" s="20">
        <v>99960</v>
      </c>
      <c r="AH230" s="20">
        <v>82110</v>
      </c>
      <c r="AI230" s="20">
        <v>16227</v>
      </c>
      <c r="AJ230" s="20">
        <v>1623</v>
      </c>
      <c r="AK230" s="20">
        <v>17850</v>
      </c>
    </row>
    <row r="231" spans="1:37" ht="16.5" customHeight="1" x14ac:dyDescent="0.3">
      <c r="A231" s="18" t="s">
        <v>882</v>
      </c>
      <c r="B231" s="18" t="s">
        <v>240</v>
      </c>
      <c r="C231" s="19" t="s">
        <v>241</v>
      </c>
      <c r="D231" s="18" t="s">
        <v>883</v>
      </c>
      <c r="E231" s="19" t="s">
        <v>524</v>
      </c>
      <c r="F231" s="18" t="s">
        <v>244</v>
      </c>
      <c r="G231" s="18" t="s">
        <v>245</v>
      </c>
      <c r="H231" s="19" t="s">
        <v>175</v>
      </c>
      <c r="I231" s="18" t="s">
        <v>246</v>
      </c>
      <c r="J231" s="19" t="s">
        <v>247</v>
      </c>
      <c r="K231" s="19" t="s">
        <v>248</v>
      </c>
      <c r="L231" s="18" t="s">
        <v>164</v>
      </c>
      <c r="M231" s="18" t="s">
        <v>272</v>
      </c>
      <c r="N231" s="18" t="s">
        <v>250</v>
      </c>
      <c r="O231" s="20">
        <v>119000</v>
      </c>
      <c r="P231" s="20">
        <v>82110</v>
      </c>
      <c r="Q231" s="20">
        <v>2</v>
      </c>
      <c r="R231" s="20">
        <v>0</v>
      </c>
      <c r="S231" s="20">
        <v>0</v>
      </c>
      <c r="T231" s="20">
        <v>0</v>
      </c>
      <c r="U231" s="20">
        <v>0</v>
      </c>
      <c r="V231" s="20">
        <v>0</v>
      </c>
      <c r="W231" s="20">
        <v>31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238000</v>
      </c>
      <c r="AD231" s="20">
        <v>164220</v>
      </c>
      <c r="AE231" s="20">
        <v>0</v>
      </c>
      <c r="AF231" s="20">
        <v>0</v>
      </c>
      <c r="AG231" s="20">
        <v>238000</v>
      </c>
      <c r="AH231" s="20">
        <v>164220</v>
      </c>
      <c r="AI231" s="20">
        <v>67073</v>
      </c>
      <c r="AJ231" s="20">
        <v>6707</v>
      </c>
      <c r="AK231" s="20">
        <v>73780</v>
      </c>
    </row>
    <row r="232" spans="1:37" ht="16.5" customHeight="1" x14ac:dyDescent="0.3">
      <c r="A232" s="18" t="s">
        <v>884</v>
      </c>
      <c r="B232" s="18" t="s">
        <v>240</v>
      </c>
      <c r="C232" s="19" t="s">
        <v>241</v>
      </c>
      <c r="D232" s="18" t="s">
        <v>885</v>
      </c>
      <c r="E232" s="19" t="s">
        <v>886</v>
      </c>
      <c r="F232" s="18" t="s">
        <v>244</v>
      </c>
      <c r="G232" s="18" t="s">
        <v>245</v>
      </c>
      <c r="H232" s="19" t="s">
        <v>175</v>
      </c>
      <c r="I232" s="18" t="s">
        <v>246</v>
      </c>
      <c r="J232" s="19" t="s">
        <v>247</v>
      </c>
      <c r="K232" s="19" t="s">
        <v>248</v>
      </c>
      <c r="L232" s="18" t="s">
        <v>164</v>
      </c>
      <c r="M232" s="18" t="s">
        <v>272</v>
      </c>
      <c r="N232" s="18" t="s">
        <v>250</v>
      </c>
      <c r="O232" s="20">
        <v>119000</v>
      </c>
      <c r="P232" s="20">
        <v>82110</v>
      </c>
      <c r="Q232" s="20">
        <v>1</v>
      </c>
      <c r="R232" s="20">
        <v>0</v>
      </c>
      <c r="S232" s="20">
        <v>0</v>
      </c>
      <c r="T232" s="20">
        <v>0</v>
      </c>
      <c r="U232" s="20">
        <v>0</v>
      </c>
      <c r="V232" s="20">
        <v>0</v>
      </c>
      <c r="W232" s="20">
        <v>31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119000</v>
      </c>
      <c r="AD232" s="20">
        <v>82110</v>
      </c>
      <c r="AE232" s="20">
        <v>0</v>
      </c>
      <c r="AF232" s="20">
        <v>0</v>
      </c>
      <c r="AG232" s="20">
        <v>119000</v>
      </c>
      <c r="AH232" s="20">
        <v>82110</v>
      </c>
      <c r="AI232" s="20">
        <v>33536</v>
      </c>
      <c r="AJ232" s="20">
        <v>3354</v>
      </c>
      <c r="AK232" s="20">
        <v>36890</v>
      </c>
    </row>
    <row r="233" spans="1:37" ht="16.5" customHeight="1" x14ac:dyDescent="0.3">
      <c r="A233" s="18" t="s">
        <v>887</v>
      </c>
      <c r="B233" s="18" t="s">
        <v>240</v>
      </c>
      <c r="C233" s="19" t="s">
        <v>241</v>
      </c>
      <c r="D233" s="18" t="s">
        <v>888</v>
      </c>
      <c r="E233" s="19" t="s">
        <v>889</v>
      </c>
      <c r="F233" s="18" t="s">
        <v>244</v>
      </c>
      <c r="G233" s="18" t="s">
        <v>245</v>
      </c>
      <c r="H233" s="19" t="s">
        <v>175</v>
      </c>
      <c r="I233" s="18" t="s">
        <v>246</v>
      </c>
      <c r="J233" s="19" t="s">
        <v>247</v>
      </c>
      <c r="K233" s="19" t="s">
        <v>248</v>
      </c>
      <c r="L233" s="18" t="s">
        <v>164</v>
      </c>
      <c r="M233" s="18" t="s">
        <v>272</v>
      </c>
      <c r="N233" s="18" t="s">
        <v>250</v>
      </c>
      <c r="O233" s="20">
        <v>119000</v>
      </c>
      <c r="P233" s="20">
        <v>82110</v>
      </c>
      <c r="Q233" s="20">
        <v>1</v>
      </c>
      <c r="R233" s="20">
        <v>0</v>
      </c>
      <c r="S233" s="20">
        <v>0</v>
      </c>
      <c r="T233" s="20">
        <v>0</v>
      </c>
      <c r="U233" s="20">
        <v>0</v>
      </c>
      <c r="V233" s="20">
        <v>0</v>
      </c>
      <c r="W233" s="20">
        <v>31</v>
      </c>
      <c r="X233" s="20">
        <v>0</v>
      </c>
      <c r="Y233" s="20">
        <v>0</v>
      </c>
      <c r="Z233" s="20">
        <v>0</v>
      </c>
      <c r="AA233" s="20">
        <v>0</v>
      </c>
      <c r="AB233" s="20">
        <v>0</v>
      </c>
      <c r="AC233" s="20">
        <v>119000</v>
      </c>
      <c r="AD233" s="20">
        <v>82110</v>
      </c>
      <c r="AE233" s="20">
        <v>0</v>
      </c>
      <c r="AF233" s="20">
        <v>0</v>
      </c>
      <c r="AG233" s="20">
        <v>119000</v>
      </c>
      <c r="AH233" s="20">
        <v>82110</v>
      </c>
      <c r="AI233" s="20">
        <v>33536</v>
      </c>
      <c r="AJ233" s="20">
        <v>3354</v>
      </c>
      <c r="AK233" s="20">
        <v>36890</v>
      </c>
    </row>
    <row r="234" spans="1:37" ht="16.5" customHeight="1" x14ac:dyDescent="0.3">
      <c r="A234" s="18" t="s">
        <v>890</v>
      </c>
      <c r="B234" s="18" t="s">
        <v>240</v>
      </c>
      <c r="C234" s="19" t="s">
        <v>241</v>
      </c>
      <c r="D234" s="18" t="s">
        <v>891</v>
      </c>
      <c r="E234" s="19" t="s">
        <v>892</v>
      </c>
      <c r="F234" s="18" t="s">
        <v>244</v>
      </c>
      <c r="G234" s="18" t="s">
        <v>245</v>
      </c>
      <c r="H234" s="19" t="s">
        <v>175</v>
      </c>
      <c r="I234" s="18" t="s">
        <v>246</v>
      </c>
      <c r="J234" s="19" t="s">
        <v>247</v>
      </c>
      <c r="K234" s="19" t="s">
        <v>248</v>
      </c>
      <c r="L234" s="18" t="s">
        <v>164</v>
      </c>
      <c r="M234" s="18" t="s">
        <v>272</v>
      </c>
      <c r="N234" s="18" t="s">
        <v>250</v>
      </c>
      <c r="O234" s="20">
        <v>119000</v>
      </c>
      <c r="P234" s="20">
        <v>82110</v>
      </c>
      <c r="Q234" s="20">
        <v>1</v>
      </c>
      <c r="R234" s="20">
        <v>0</v>
      </c>
      <c r="S234" s="20">
        <v>0</v>
      </c>
      <c r="T234" s="20">
        <v>0</v>
      </c>
      <c r="U234" s="20">
        <v>0</v>
      </c>
      <c r="V234" s="20">
        <v>0</v>
      </c>
      <c r="W234" s="20">
        <v>31</v>
      </c>
      <c r="X234" s="20">
        <v>0</v>
      </c>
      <c r="Y234" s="20">
        <v>0</v>
      </c>
      <c r="Z234" s="20">
        <v>0</v>
      </c>
      <c r="AA234" s="20">
        <v>0</v>
      </c>
      <c r="AB234" s="20">
        <v>5950</v>
      </c>
      <c r="AC234" s="20">
        <v>119000</v>
      </c>
      <c r="AD234" s="20">
        <v>82110</v>
      </c>
      <c r="AE234" s="20">
        <v>0</v>
      </c>
      <c r="AF234" s="20">
        <v>5950</v>
      </c>
      <c r="AG234" s="20">
        <v>113050</v>
      </c>
      <c r="AH234" s="20">
        <v>82110</v>
      </c>
      <c r="AI234" s="20">
        <v>28127</v>
      </c>
      <c r="AJ234" s="20">
        <v>2813</v>
      </c>
      <c r="AK234" s="20">
        <v>30940</v>
      </c>
    </row>
    <row r="235" spans="1:37" ht="16.5" customHeight="1" x14ac:dyDescent="0.3">
      <c r="A235" s="18" t="s">
        <v>893</v>
      </c>
      <c r="B235" s="18" t="s">
        <v>240</v>
      </c>
      <c r="C235" s="19" t="s">
        <v>241</v>
      </c>
      <c r="D235" s="18" t="s">
        <v>894</v>
      </c>
      <c r="E235" s="19" t="s">
        <v>338</v>
      </c>
      <c r="F235" s="18" t="s">
        <v>244</v>
      </c>
      <c r="G235" s="18" t="s">
        <v>245</v>
      </c>
      <c r="H235" s="19" t="s">
        <v>175</v>
      </c>
      <c r="I235" s="18" t="s">
        <v>246</v>
      </c>
      <c r="J235" s="19" t="s">
        <v>247</v>
      </c>
      <c r="K235" s="19" t="s">
        <v>248</v>
      </c>
      <c r="L235" s="18" t="s">
        <v>164</v>
      </c>
      <c r="M235" s="18" t="s">
        <v>272</v>
      </c>
      <c r="N235" s="18" t="s">
        <v>250</v>
      </c>
      <c r="O235" s="20">
        <v>119000</v>
      </c>
      <c r="P235" s="20">
        <v>82110</v>
      </c>
      <c r="Q235" s="20">
        <v>1</v>
      </c>
      <c r="R235" s="20">
        <v>0</v>
      </c>
      <c r="S235" s="20">
        <v>0</v>
      </c>
      <c r="T235" s="20">
        <v>0</v>
      </c>
      <c r="U235" s="20">
        <v>0</v>
      </c>
      <c r="V235" s="20">
        <v>0</v>
      </c>
      <c r="W235" s="20">
        <v>31</v>
      </c>
      <c r="X235" s="20">
        <v>0</v>
      </c>
      <c r="Y235" s="20">
        <v>0</v>
      </c>
      <c r="Z235" s="20">
        <v>0</v>
      </c>
      <c r="AA235" s="20">
        <v>0</v>
      </c>
      <c r="AB235" s="20">
        <v>0</v>
      </c>
      <c r="AC235" s="20">
        <v>119000</v>
      </c>
      <c r="AD235" s="20">
        <v>82110</v>
      </c>
      <c r="AE235" s="20">
        <v>0</v>
      </c>
      <c r="AF235" s="20">
        <v>0</v>
      </c>
      <c r="AG235" s="20">
        <v>119000</v>
      </c>
      <c r="AH235" s="20">
        <v>82110</v>
      </c>
      <c r="AI235" s="20">
        <v>33536</v>
      </c>
      <c r="AJ235" s="20">
        <v>3354</v>
      </c>
      <c r="AK235" s="20">
        <v>36890</v>
      </c>
    </row>
    <row r="236" spans="1:37" ht="16.5" customHeight="1" x14ac:dyDescent="0.3">
      <c r="A236" s="18" t="s">
        <v>895</v>
      </c>
      <c r="B236" s="18" t="s">
        <v>240</v>
      </c>
      <c r="C236" s="19" t="s">
        <v>241</v>
      </c>
      <c r="D236" s="18" t="s">
        <v>896</v>
      </c>
      <c r="E236" s="19" t="s">
        <v>897</v>
      </c>
      <c r="F236" s="18" t="s">
        <v>244</v>
      </c>
      <c r="G236" s="18" t="s">
        <v>245</v>
      </c>
      <c r="H236" s="19" t="s">
        <v>175</v>
      </c>
      <c r="I236" s="18" t="s">
        <v>246</v>
      </c>
      <c r="J236" s="19" t="s">
        <v>247</v>
      </c>
      <c r="K236" s="19" t="s">
        <v>248</v>
      </c>
      <c r="L236" s="18" t="s">
        <v>164</v>
      </c>
      <c r="M236" s="18" t="s">
        <v>272</v>
      </c>
      <c r="N236" s="18" t="s">
        <v>250</v>
      </c>
      <c r="O236" s="20">
        <v>119000</v>
      </c>
      <c r="P236" s="20">
        <v>82110</v>
      </c>
      <c r="Q236" s="20">
        <v>1</v>
      </c>
      <c r="R236" s="20">
        <v>0</v>
      </c>
      <c r="S236" s="20">
        <v>0</v>
      </c>
      <c r="T236" s="20">
        <v>0</v>
      </c>
      <c r="U236" s="20">
        <v>0</v>
      </c>
      <c r="V236" s="20">
        <v>0</v>
      </c>
      <c r="W236" s="20">
        <v>31</v>
      </c>
      <c r="X236" s="20">
        <v>0</v>
      </c>
      <c r="Y236" s="20">
        <v>0</v>
      </c>
      <c r="Z236" s="20">
        <v>0</v>
      </c>
      <c r="AA236" s="20">
        <v>0</v>
      </c>
      <c r="AB236" s="20">
        <v>0</v>
      </c>
      <c r="AC236" s="20">
        <v>119000</v>
      </c>
      <c r="AD236" s="20">
        <v>82110</v>
      </c>
      <c r="AE236" s="20">
        <v>0</v>
      </c>
      <c r="AF236" s="20">
        <v>0</v>
      </c>
      <c r="AG236" s="20">
        <v>119000</v>
      </c>
      <c r="AH236" s="20">
        <v>82110</v>
      </c>
      <c r="AI236" s="20">
        <v>33536</v>
      </c>
      <c r="AJ236" s="20">
        <v>3354</v>
      </c>
      <c r="AK236" s="20">
        <v>36890</v>
      </c>
    </row>
    <row r="237" spans="1:37" ht="16.5" customHeight="1" x14ac:dyDescent="0.3">
      <c r="A237" s="18" t="s">
        <v>898</v>
      </c>
      <c r="B237" s="18" t="s">
        <v>240</v>
      </c>
      <c r="C237" s="19" t="s">
        <v>241</v>
      </c>
      <c r="D237" s="18" t="s">
        <v>899</v>
      </c>
      <c r="E237" s="19" t="s">
        <v>435</v>
      </c>
      <c r="F237" s="18" t="s">
        <v>244</v>
      </c>
      <c r="G237" s="18" t="s">
        <v>245</v>
      </c>
      <c r="H237" s="19" t="s">
        <v>175</v>
      </c>
      <c r="I237" s="18" t="s">
        <v>246</v>
      </c>
      <c r="J237" s="19" t="s">
        <v>247</v>
      </c>
      <c r="K237" s="19" t="s">
        <v>248</v>
      </c>
      <c r="L237" s="18" t="s">
        <v>164</v>
      </c>
      <c r="M237" s="18" t="s">
        <v>272</v>
      </c>
      <c r="N237" s="18" t="s">
        <v>250</v>
      </c>
      <c r="O237" s="20">
        <v>119000</v>
      </c>
      <c r="P237" s="20">
        <v>82110</v>
      </c>
      <c r="Q237" s="20">
        <v>1</v>
      </c>
      <c r="R237" s="20">
        <v>0</v>
      </c>
      <c r="S237" s="20">
        <v>0</v>
      </c>
      <c r="T237" s="20">
        <v>0</v>
      </c>
      <c r="U237" s="20">
        <v>0</v>
      </c>
      <c r="V237" s="20">
        <v>0</v>
      </c>
      <c r="W237" s="20">
        <v>31</v>
      </c>
      <c r="X237" s="20">
        <v>0</v>
      </c>
      <c r="Y237" s="20">
        <v>10000</v>
      </c>
      <c r="Z237" s="20">
        <v>0</v>
      </c>
      <c r="AA237" s="20">
        <v>0</v>
      </c>
      <c r="AB237" s="20">
        <v>0</v>
      </c>
      <c r="AC237" s="20">
        <v>119000</v>
      </c>
      <c r="AD237" s="20">
        <v>82110</v>
      </c>
      <c r="AE237" s="20">
        <v>0</v>
      </c>
      <c r="AF237" s="20">
        <v>10000</v>
      </c>
      <c r="AG237" s="20">
        <v>109000</v>
      </c>
      <c r="AH237" s="20">
        <v>82110</v>
      </c>
      <c r="AI237" s="20">
        <v>24445</v>
      </c>
      <c r="AJ237" s="20">
        <v>2445</v>
      </c>
      <c r="AK237" s="20">
        <v>26890</v>
      </c>
    </row>
    <row r="238" spans="1:37" ht="16.5" customHeight="1" x14ac:dyDescent="0.3">
      <c r="A238" s="18" t="s">
        <v>900</v>
      </c>
      <c r="B238" s="18" t="s">
        <v>240</v>
      </c>
      <c r="C238" s="19" t="s">
        <v>241</v>
      </c>
      <c r="D238" s="18" t="s">
        <v>901</v>
      </c>
      <c r="E238" s="19" t="s">
        <v>902</v>
      </c>
      <c r="F238" s="18" t="s">
        <v>244</v>
      </c>
      <c r="G238" s="18" t="s">
        <v>245</v>
      </c>
      <c r="H238" s="19" t="s">
        <v>175</v>
      </c>
      <c r="I238" s="18" t="s">
        <v>246</v>
      </c>
      <c r="J238" s="19" t="s">
        <v>247</v>
      </c>
      <c r="K238" s="19" t="s">
        <v>248</v>
      </c>
      <c r="L238" s="18" t="s">
        <v>164</v>
      </c>
      <c r="M238" s="18" t="s">
        <v>272</v>
      </c>
      <c r="N238" s="18" t="s">
        <v>250</v>
      </c>
      <c r="O238" s="20">
        <v>119000</v>
      </c>
      <c r="P238" s="20">
        <v>82110</v>
      </c>
      <c r="Q238" s="20">
        <v>1</v>
      </c>
      <c r="R238" s="20">
        <v>0</v>
      </c>
      <c r="S238" s="20">
        <v>0</v>
      </c>
      <c r="T238" s="20">
        <v>0</v>
      </c>
      <c r="U238" s="20">
        <v>0</v>
      </c>
      <c r="V238" s="20">
        <v>0</v>
      </c>
      <c r="W238" s="20">
        <v>31</v>
      </c>
      <c r="X238" s="20">
        <v>0</v>
      </c>
      <c r="Y238" s="20">
        <v>0</v>
      </c>
      <c r="Z238" s="20">
        <v>0</v>
      </c>
      <c r="AA238" s="20">
        <v>0</v>
      </c>
      <c r="AB238" s="20">
        <v>0</v>
      </c>
      <c r="AC238" s="20">
        <v>119000</v>
      </c>
      <c r="AD238" s="20">
        <v>82110</v>
      </c>
      <c r="AE238" s="20">
        <v>0</v>
      </c>
      <c r="AF238" s="20">
        <v>0</v>
      </c>
      <c r="AG238" s="20">
        <v>119000</v>
      </c>
      <c r="AH238" s="20">
        <v>82110</v>
      </c>
      <c r="AI238" s="20">
        <v>33536</v>
      </c>
      <c r="AJ238" s="20">
        <v>3354</v>
      </c>
      <c r="AK238" s="20">
        <v>36890</v>
      </c>
    </row>
    <row r="239" spans="1:37" ht="16.5" customHeight="1" x14ac:dyDescent="0.3">
      <c r="A239" s="18" t="s">
        <v>903</v>
      </c>
      <c r="B239" s="18" t="s">
        <v>240</v>
      </c>
      <c r="C239" s="19" t="s">
        <v>241</v>
      </c>
      <c r="D239" s="18" t="s">
        <v>904</v>
      </c>
      <c r="E239" s="19" t="s">
        <v>284</v>
      </c>
      <c r="F239" s="18" t="s">
        <v>244</v>
      </c>
      <c r="G239" s="18" t="s">
        <v>245</v>
      </c>
      <c r="H239" s="19" t="s">
        <v>175</v>
      </c>
      <c r="I239" s="18" t="s">
        <v>246</v>
      </c>
      <c r="J239" s="19" t="s">
        <v>247</v>
      </c>
      <c r="K239" s="19" t="s">
        <v>248</v>
      </c>
      <c r="L239" s="18" t="s">
        <v>164</v>
      </c>
      <c r="M239" s="18" t="s">
        <v>272</v>
      </c>
      <c r="N239" s="18" t="s">
        <v>250</v>
      </c>
      <c r="O239" s="20">
        <v>119000</v>
      </c>
      <c r="P239" s="20">
        <v>82110</v>
      </c>
      <c r="Q239" s="20">
        <v>1</v>
      </c>
      <c r="R239" s="20">
        <v>0</v>
      </c>
      <c r="S239" s="20">
        <v>0</v>
      </c>
      <c r="T239" s="20">
        <v>0</v>
      </c>
      <c r="U239" s="20">
        <v>0</v>
      </c>
      <c r="V239" s="20">
        <v>0</v>
      </c>
      <c r="W239" s="20">
        <v>31</v>
      </c>
      <c r="X239" s="20">
        <v>0</v>
      </c>
      <c r="Y239" s="20">
        <v>0</v>
      </c>
      <c r="Z239" s="20">
        <v>0</v>
      </c>
      <c r="AA239" s="20">
        <v>0</v>
      </c>
      <c r="AB239" s="20">
        <v>0</v>
      </c>
      <c r="AC239" s="20">
        <v>119000</v>
      </c>
      <c r="AD239" s="20">
        <v>82110</v>
      </c>
      <c r="AE239" s="20">
        <v>0</v>
      </c>
      <c r="AF239" s="20">
        <v>0</v>
      </c>
      <c r="AG239" s="20">
        <v>119000</v>
      </c>
      <c r="AH239" s="20">
        <v>82110</v>
      </c>
      <c r="AI239" s="20">
        <v>33536</v>
      </c>
      <c r="AJ239" s="20">
        <v>3354</v>
      </c>
      <c r="AK239" s="20">
        <v>36890</v>
      </c>
    </row>
    <row r="240" spans="1:37" ht="16.5" customHeight="1" x14ac:dyDescent="0.3">
      <c r="A240" s="18" t="s">
        <v>905</v>
      </c>
      <c r="B240" s="18" t="s">
        <v>240</v>
      </c>
      <c r="C240" s="19" t="s">
        <v>241</v>
      </c>
      <c r="D240" s="18" t="s">
        <v>906</v>
      </c>
      <c r="E240" s="19" t="s">
        <v>907</v>
      </c>
      <c r="F240" s="18" t="s">
        <v>244</v>
      </c>
      <c r="G240" s="18" t="s">
        <v>245</v>
      </c>
      <c r="H240" s="19" t="s">
        <v>175</v>
      </c>
      <c r="I240" s="18" t="s">
        <v>246</v>
      </c>
      <c r="J240" s="19" t="s">
        <v>247</v>
      </c>
      <c r="K240" s="19" t="s">
        <v>314</v>
      </c>
      <c r="L240" s="18" t="s">
        <v>164</v>
      </c>
      <c r="M240" s="18" t="s">
        <v>272</v>
      </c>
      <c r="N240" s="18" t="s">
        <v>250</v>
      </c>
      <c r="O240" s="20">
        <v>119000</v>
      </c>
      <c r="P240" s="20">
        <v>82110</v>
      </c>
      <c r="Q240" s="20">
        <v>1</v>
      </c>
      <c r="R240" s="20">
        <v>0</v>
      </c>
      <c r="S240" s="20">
        <v>0</v>
      </c>
      <c r="T240" s="20">
        <v>0</v>
      </c>
      <c r="U240" s="20">
        <v>0</v>
      </c>
      <c r="V240" s="20">
        <v>0</v>
      </c>
      <c r="W240" s="20">
        <v>31</v>
      </c>
      <c r="X240" s="20">
        <v>0</v>
      </c>
      <c r="Y240" s="20">
        <v>0</v>
      </c>
      <c r="Z240" s="20">
        <v>0</v>
      </c>
      <c r="AA240" s="20">
        <v>0</v>
      </c>
      <c r="AB240" s="20">
        <v>0</v>
      </c>
      <c r="AC240" s="20">
        <v>119000</v>
      </c>
      <c r="AD240" s="20">
        <v>82110</v>
      </c>
      <c r="AE240" s="20">
        <v>0</v>
      </c>
      <c r="AF240" s="20">
        <v>0</v>
      </c>
      <c r="AG240" s="20">
        <v>119000</v>
      </c>
      <c r="AH240" s="20">
        <v>82110</v>
      </c>
      <c r="AI240" s="20">
        <v>33536</v>
      </c>
      <c r="AJ240" s="20">
        <v>3354</v>
      </c>
      <c r="AK240" s="20">
        <v>36890</v>
      </c>
    </row>
    <row r="241" spans="1:37" ht="16.5" customHeight="1" x14ac:dyDescent="0.3">
      <c r="A241" s="18" t="s">
        <v>908</v>
      </c>
      <c r="B241" s="18" t="s">
        <v>240</v>
      </c>
      <c r="C241" s="19" t="s">
        <v>241</v>
      </c>
      <c r="D241" s="18" t="s">
        <v>909</v>
      </c>
      <c r="E241" s="19" t="s">
        <v>910</v>
      </c>
      <c r="F241" s="18" t="s">
        <v>244</v>
      </c>
      <c r="G241" s="18" t="s">
        <v>245</v>
      </c>
      <c r="H241" s="19" t="s">
        <v>175</v>
      </c>
      <c r="I241" s="18" t="s">
        <v>246</v>
      </c>
      <c r="J241" s="19" t="s">
        <v>247</v>
      </c>
      <c r="K241" s="19" t="s">
        <v>248</v>
      </c>
      <c r="L241" s="18" t="s">
        <v>164</v>
      </c>
      <c r="M241" s="18" t="s">
        <v>272</v>
      </c>
      <c r="N241" s="18" t="s">
        <v>250</v>
      </c>
      <c r="O241" s="20">
        <v>119000</v>
      </c>
      <c r="P241" s="20">
        <v>82110</v>
      </c>
      <c r="Q241" s="20">
        <v>1</v>
      </c>
      <c r="R241" s="20">
        <v>0</v>
      </c>
      <c r="S241" s="20">
        <v>0</v>
      </c>
      <c r="T241" s="20">
        <v>0</v>
      </c>
      <c r="U241" s="20">
        <v>0</v>
      </c>
      <c r="V241" s="20">
        <v>0</v>
      </c>
      <c r="W241" s="20">
        <v>31</v>
      </c>
      <c r="X241" s="20">
        <v>0</v>
      </c>
      <c r="Y241" s="20">
        <v>0</v>
      </c>
      <c r="Z241" s="20">
        <v>0</v>
      </c>
      <c r="AA241" s="20">
        <v>0</v>
      </c>
      <c r="AB241" s="20">
        <v>5950</v>
      </c>
      <c r="AC241" s="20">
        <v>119000</v>
      </c>
      <c r="AD241" s="20">
        <v>82110</v>
      </c>
      <c r="AE241" s="20">
        <v>0</v>
      </c>
      <c r="AF241" s="20">
        <v>5950</v>
      </c>
      <c r="AG241" s="20">
        <v>113050</v>
      </c>
      <c r="AH241" s="20">
        <v>82110</v>
      </c>
      <c r="AI241" s="20">
        <v>28127</v>
      </c>
      <c r="AJ241" s="20">
        <v>2813</v>
      </c>
      <c r="AK241" s="20">
        <v>30940</v>
      </c>
    </row>
    <row r="242" spans="1:37" ht="16.5" customHeight="1" x14ac:dyDescent="0.3">
      <c r="A242" s="18" t="s">
        <v>911</v>
      </c>
      <c r="B242" s="18" t="s">
        <v>240</v>
      </c>
      <c r="C242" s="19" t="s">
        <v>241</v>
      </c>
      <c r="D242" s="18" t="s">
        <v>912</v>
      </c>
      <c r="E242" s="19" t="s">
        <v>913</v>
      </c>
      <c r="F242" s="18" t="s">
        <v>244</v>
      </c>
      <c r="G242" s="18" t="s">
        <v>245</v>
      </c>
      <c r="H242" s="19" t="s">
        <v>175</v>
      </c>
      <c r="I242" s="18" t="s">
        <v>246</v>
      </c>
      <c r="J242" s="19" t="s">
        <v>247</v>
      </c>
      <c r="K242" s="19" t="s">
        <v>248</v>
      </c>
      <c r="L242" s="18" t="s">
        <v>164</v>
      </c>
      <c r="M242" s="18" t="s">
        <v>272</v>
      </c>
      <c r="N242" s="18" t="s">
        <v>250</v>
      </c>
      <c r="O242" s="20">
        <v>119000</v>
      </c>
      <c r="P242" s="20">
        <v>82110</v>
      </c>
      <c r="Q242" s="20">
        <v>1</v>
      </c>
      <c r="R242" s="20">
        <v>0</v>
      </c>
      <c r="S242" s="20">
        <v>0</v>
      </c>
      <c r="T242" s="20">
        <v>0</v>
      </c>
      <c r="U242" s="20">
        <v>0</v>
      </c>
      <c r="V242" s="20">
        <v>0</v>
      </c>
      <c r="W242" s="20">
        <v>31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119000</v>
      </c>
      <c r="AD242" s="20">
        <v>82110</v>
      </c>
      <c r="AE242" s="20">
        <v>0</v>
      </c>
      <c r="AF242" s="20">
        <v>0</v>
      </c>
      <c r="AG242" s="20">
        <v>119000</v>
      </c>
      <c r="AH242" s="20">
        <v>82110</v>
      </c>
      <c r="AI242" s="20">
        <v>33536</v>
      </c>
      <c r="AJ242" s="20">
        <v>3354</v>
      </c>
      <c r="AK242" s="20">
        <v>36890</v>
      </c>
    </row>
    <row r="243" spans="1:37" ht="16.5" customHeight="1" x14ac:dyDescent="0.3">
      <c r="A243" s="18" t="s">
        <v>914</v>
      </c>
      <c r="B243" s="18" t="s">
        <v>240</v>
      </c>
      <c r="C243" s="19" t="s">
        <v>241</v>
      </c>
      <c r="D243" s="18" t="s">
        <v>915</v>
      </c>
      <c r="E243" s="19" t="s">
        <v>916</v>
      </c>
      <c r="F243" s="18" t="s">
        <v>244</v>
      </c>
      <c r="G243" s="18" t="s">
        <v>245</v>
      </c>
      <c r="H243" s="19" t="s">
        <v>175</v>
      </c>
      <c r="I243" s="18" t="s">
        <v>246</v>
      </c>
      <c r="J243" s="19" t="s">
        <v>247</v>
      </c>
      <c r="K243" s="19" t="s">
        <v>248</v>
      </c>
      <c r="L243" s="18" t="s">
        <v>164</v>
      </c>
      <c r="M243" s="18" t="s">
        <v>272</v>
      </c>
      <c r="N243" s="18" t="s">
        <v>250</v>
      </c>
      <c r="O243" s="20">
        <v>119000</v>
      </c>
      <c r="P243" s="20">
        <v>82110</v>
      </c>
      <c r="Q243" s="20">
        <v>1</v>
      </c>
      <c r="R243" s="20">
        <v>0</v>
      </c>
      <c r="S243" s="20">
        <v>0</v>
      </c>
      <c r="T243" s="20">
        <v>0</v>
      </c>
      <c r="U243" s="20">
        <v>0</v>
      </c>
      <c r="V243" s="20">
        <v>0</v>
      </c>
      <c r="W243" s="20">
        <v>31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119000</v>
      </c>
      <c r="AD243" s="20">
        <v>82110</v>
      </c>
      <c r="AE243" s="20">
        <v>0</v>
      </c>
      <c r="AF243" s="20">
        <v>0</v>
      </c>
      <c r="AG243" s="20">
        <v>119000</v>
      </c>
      <c r="AH243" s="20">
        <v>82110</v>
      </c>
      <c r="AI243" s="20">
        <v>33536</v>
      </c>
      <c r="AJ243" s="20">
        <v>3354</v>
      </c>
      <c r="AK243" s="20">
        <v>36890</v>
      </c>
    </row>
    <row r="244" spans="1:37" ht="16.5" customHeight="1" x14ac:dyDescent="0.3">
      <c r="A244" s="18" t="s">
        <v>917</v>
      </c>
      <c r="B244" s="18" t="s">
        <v>240</v>
      </c>
      <c r="C244" s="19" t="s">
        <v>241</v>
      </c>
      <c r="D244" s="18" t="s">
        <v>918</v>
      </c>
      <c r="E244" s="19" t="s">
        <v>919</v>
      </c>
      <c r="F244" s="18" t="s">
        <v>244</v>
      </c>
      <c r="G244" s="18" t="s">
        <v>245</v>
      </c>
      <c r="H244" s="19" t="s">
        <v>175</v>
      </c>
      <c r="I244" s="18" t="s">
        <v>246</v>
      </c>
      <c r="J244" s="19" t="s">
        <v>247</v>
      </c>
      <c r="K244" s="19" t="s">
        <v>248</v>
      </c>
      <c r="L244" s="18" t="s">
        <v>164</v>
      </c>
      <c r="M244" s="18" t="s">
        <v>272</v>
      </c>
      <c r="N244" s="18" t="s">
        <v>250</v>
      </c>
      <c r="O244" s="20">
        <v>119000</v>
      </c>
      <c r="P244" s="20">
        <v>82110</v>
      </c>
      <c r="Q244" s="20">
        <v>1</v>
      </c>
      <c r="R244" s="20">
        <v>0</v>
      </c>
      <c r="S244" s="20">
        <v>0</v>
      </c>
      <c r="T244" s="20">
        <v>0</v>
      </c>
      <c r="U244" s="20">
        <v>0</v>
      </c>
      <c r="V244" s="20">
        <v>0</v>
      </c>
      <c r="W244" s="20">
        <v>31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119000</v>
      </c>
      <c r="AD244" s="20">
        <v>82110</v>
      </c>
      <c r="AE244" s="20">
        <v>0</v>
      </c>
      <c r="AF244" s="20">
        <v>0</v>
      </c>
      <c r="AG244" s="20">
        <v>119000</v>
      </c>
      <c r="AH244" s="20">
        <v>82110</v>
      </c>
      <c r="AI244" s="20">
        <v>33536</v>
      </c>
      <c r="AJ244" s="20">
        <v>3354</v>
      </c>
      <c r="AK244" s="20">
        <v>36890</v>
      </c>
    </row>
    <row r="245" spans="1:37" ht="16.5" customHeight="1" x14ac:dyDescent="0.3">
      <c r="A245" s="18" t="s">
        <v>920</v>
      </c>
      <c r="B245" s="18" t="s">
        <v>240</v>
      </c>
      <c r="C245" s="19" t="s">
        <v>241</v>
      </c>
      <c r="D245" s="18" t="s">
        <v>921</v>
      </c>
      <c r="E245" s="19" t="s">
        <v>922</v>
      </c>
      <c r="F245" s="18" t="s">
        <v>244</v>
      </c>
      <c r="G245" s="18" t="s">
        <v>245</v>
      </c>
      <c r="H245" s="19" t="s">
        <v>175</v>
      </c>
      <c r="I245" s="18" t="s">
        <v>246</v>
      </c>
      <c r="J245" s="19" t="s">
        <v>247</v>
      </c>
      <c r="K245" s="19" t="s">
        <v>248</v>
      </c>
      <c r="L245" s="18" t="s">
        <v>164</v>
      </c>
      <c r="M245" s="18" t="s">
        <v>272</v>
      </c>
      <c r="N245" s="18" t="s">
        <v>250</v>
      </c>
      <c r="O245" s="20">
        <v>119000</v>
      </c>
      <c r="P245" s="20">
        <v>82110</v>
      </c>
      <c r="Q245" s="20">
        <v>1</v>
      </c>
      <c r="R245" s="20">
        <v>0</v>
      </c>
      <c r="S245" s="20">
        <v>0</v>
      </c>
      <c r="T245" s="20">
        <v>0</v>
      </c>
      <c r="U245" s="20">
        <v>0</v>
      </c>
      <c r="V245" s="20">
        <v>0</v>
      </c>
      <c r="W245" s="20">
        <v>31</v>
      </c>
      <c r="X245" s="20">
        <v>0</v>
      </c>
      <c r="Y245" s="20">
        <v>6000</v>
      </c>
      <c r="Z245" s="20">
        <v>0</v>
      </c>
      <c r="AA245" s="20">
        <v>0</v>
      </c>
      <c r="AB245" s="20">
        <v>5650</v>
      </c>
      <c r="AC245" s="20">
        <v>119000</v>
      </c>
      <c r="AD245" s="20">
        <v>82110</v>
      </c>
      <c r="AE245" s="20">
        <v>0</v>
      </c>
      <c r="AF245" s="20">
        <v>11650</v>
      </c>
      <c r="AG245" s="20">
        <v>107350</v>
      </c>
      <c r="AH245" s="20">
        <v>82110</v>
      </c>
      <c r="AI245" s="20">
        <v>22945</v>
      </c>
      <c r="AJ245" s="20">
        <v>2295</v>
      </c>
      <c r="AK245" s="20">
        <v>25240</v>
      </c>
    </row>
    <row r="246" spans="1:37" ht="16.5" customHeight="1" x14ac:dyDescent="0.3">
      <c r="A246" s="18" t="s">
        <v>923</v>
      </c>
      <c r="B246" s="18" t="s">
        <v>240</v>
      </c>
      <c r="C246" s="19" t="s">
        <v>241</v>
      </c>
      <c r="D246" s="18" t="s">
        <v>924</v>
      </c>
      <c r="E246" s="19" t="s">
        <v>925</v>
      </c>
      <c r="F246" s="18" t="s">
        <v>244</v>
      </c>
      <c r="G246" s="18" t="s">
        <v>245</v>
      </c>
      <c r="H246" s="19" t="s">
        <v>175</v>
      </c>
      <c r="I246" s="18" t="s">
        <v>246</v>
      </c>
      <c r="J246" s="19" t="s">
        <v>247</v>
      </c>
      <c r="K246" s="19" t="s">
        <v>248</v>
      </c>
      <c r="L246" s="18" t="s">
        <v>164</v>
      </c>
      <c r="M246" s="18" t="s">
        <v>272</v>
      </c>
      <c r="N246" s="18" t="s">
        <v>250</v>
      </c>
      <c r="O246" s="20">
        <v>119000</v>
      </c>
      <c r="P246" s="20">
        <v>82110</v>
      </c>
      <c r="Q246" s="20">
        <v>2</v>
      </c>
      <c r="R246" s="20">
        <v>0</v>
      </c>
      <c r="S246" s="20">
        <v>0</v>
      </c>
      <c r="T246" s="20">
        <v>0</v>
      </c>
      <c r="U246" s="20">
        <v>0</v>
      </c>
      <c r="V246" s="20">
        <v>0</v>
      </c>
      <c r="W246" s="20">
        <v>31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238000</v>
      </c>
      <c r="AD246" s="20">
        <v>164220</v>
      </c>
      <c r="AE246" s="20">
        <v>0</v>
      </c>
      <c r="AF246" s="20">
        <v>0</v>
      </c>
      <c r="AG246" s="20">
        <v>238000</v>
      </c>
      <c r="AH246" s="20">
        <v>164220</v>
      </c>
      <c r="AI246" s="20">
        <v>67073</v>
      </c>
      <c r="AJ246" s="20">
        <v>6707</v>
      </c>
      <c r="AK246" s="20">
        <v>73780</v>
      </c>
    </row>
    <row r="247" spans="1:37" ht="16.5" customHeight="1" x14ac:dyDescent="0.3">
      <c r="A247" s="18" t="s">
        <v>926</v>
      </c>
      <c r="B247" s="18" t="s">
        <v>240</v>
      </c>
      <c r="C247" s="19" t="s">
        <v>241</v>
      </c>
      <c r="D247" s="18" t="s">
        <v>927</v>
      </c>
      <c r="E247" s="19" t="s">
        <v>928</v>
      </c>
      <c r="F247" s="18" t="s">
        <v>244</v>
      </c>
      <c r="G247" s="18" t="s">
        <v>245</v>
      </c>
      <c r="H247" s="19" t="s">
        <v>175</v>
      </c>
      <c r="I247" s="18" t="s">
        <v>246</v>
      </c>
      <c r="J247" s="19" t="s">
        <v>247</v>
      </c>
      <c r="K247" s="19" t="s">
        <v>248</v>
      </c>
      <c r="L247" s="18" t="s">
        <v>164</v>
      </c>
      <c r="M247" s="18" t="s">
        <v>272</v>
      </c>
      <c r="N247" s="18" t="s">
        <v>250</v>
      </c>
      <c r="O247" s="20">
        <v>119000</v>
      </c>
      <c r="P247" s="20">
        <v>82110</v>
      </c>
      <c r="Q247" s="20">
        <v>1</v>
      </c>
      <c r="R247" s="20">
        <v>0</v>
      </c>
      <c r="S247" s="20">
        <v>0</v>
      </c>
      <c r="T247" s="20">
        <v>0</v>
      </c>
      <c r="U247" s="20">
        <v>0</v>
      </c>
      <c r="V247" s="20">
        <v>0</v>
      </c>
      <c r="W247" s="20">
        <v>31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119000</v>
      </c>
      <c r="AD247" s="20">
        <v>82110</v>
      </c>
      <c r="AE247" s="20">
        <v>0</v>
      </c>
      <c r="AF247" s="20">
        <v>0</v>
      </c>
      <c r="AG247" s="20">
        <v>119000</v>
      </c>
      <c r="AH247" s="20">
        <v>82110</v>
      </c>
      <c r="AI247" s="20">
        <v>33536</v>
      </c>
      <c r="AJ247" s="20">
        <v>3354</v>
      </c>
      <c r="AK247" s="20">
        <v>36890</v>
      </c>
    </row>
    <row r="248" spans="1:37" ht="16.5" customHeight="1" x14ac:dyDescent="0.3">
      <c r="A248" s="18" t="s">
        <v>929</v>
      </c>
      <c r="B248" s="18" t="s">
        <v>240</v>
      </c>
      <c r="C248" s="19" t="s">
        <v>241</v>
      </c>
      <c r="D248" s="18" t="s">
        <v>930</v>
      </c>
      <c r="E248" s="19" t="s">
        <v>931</v>
      </c>
      <c r="F248" s="18" t="s">
        <v>244</v>
      </c>
      <c r="G248" s="18" t="s">
        <v>245</v>
      </c>
      <c r="H248" s="19" t="s">
        <v>175</v>
      </c>
      <c r="I248" s="18" t="s">
        <v>246</v>
      </c>
      <c r="J248" s="19" t="s">
        <v>247</v>
      </c>
      <c r="K248" s="19" t="s">
        <v>248</v>
      </c>
      <c r="L248" s="18" t="s">
        <v>164</v>
      </c>
      <c r="M248" s="18" t="s">
        <v>272</v>
      </c>
      <c r="N248" s="18" t="s">
        <v>250</v>
      </c>
      <c r="O248" s="20">
        <v>119000</v>
      </c>
      <c r="P248" s="20">
        <v>82110</v>
      </c>
      <c r="Q248" s="20">
        <v>1</v>
      </c>
      <c r="R248" s="20">
        <v>0</v>
      </c>
      <c r="S248" s="20">
        <v>0</v>
      </c>
      <c r="T248" s="20">
        <v>0</v>
      </c>
      <c r="U248" s="20">
        <v>0</v>
      </c>
      <c r="V248" s="20">
        <v>0</v>
      </c>
      <c r="W248" s="20">
        <v>31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119000</v>
      </c>
      <c r="AD248" s="20">
        <v>82110</v>
      </c>
      <c r="AE248" s="20">
        <v>0</v>
      </c>
      <c r="AF248" s="20">
        <v>0</v>
      </c>
      <c r="AG248" s="20">
        <v>119000</v>
      </c>
      <c r="AH248" s="20">
        <v>82110</v>
      </c>
      <c r="AI248" s="20">
        <v>33536</v>
      </c>
      <c r="AJ248" s="20">
        <v>3354</v>
      </c>
      <c r="AK248" s="20">
        <v>36890</v>
      </c>
    </row>
    <row r="249" spans="1:37" ht="16.5" customHeight="1" x14ac:dyDescent="0.3">
      <c r="A249" s="18" t="s">
        <v>932</v>
      </c>
      <c r="B249" s="18" t="s">
        <v>240</v>
      </c>
      <c r="C249" s="19" t="s">
        <v>241</v>
      </c>
      <c r="D249" s="18" t="s">
        <v>933</v>
      </c>
      <c r="E249" s="19" t="s">
        <v>934</v>
      </c>
      <c r="F249" s="18" t="s">
        <v>244</v>
      </c>
      <c r="G249" s="18" t="s">
        <v>245</v>
      </c>
      <c r="H249" s="19" t="s">
        <v>175</v>
      </c>
      <c r="I249" s="18" t="s">
        <v>246</v>
      </c>
      <c r="J249" s="19" t="s">
        <v>247</v>
      </c>
      <c r="K249" s="19" t="s">
        <v>248</v>
      </c>
      <c r="L249" s="18" t="s">
        <v>164</v>
      </c>
      <c r="M249" s="18" t="s">
        <v>272</v>
      </c>
      <c r="N249" s="18" t="s">
        <v>250</v>
      </c>
      <c r="O249" s="20">
        <v>119000</v>
      </c>
      <c r="P249" s="20">
        <v>82110</v>
      </c>
      <c r="Q249" s="20">
        <v>1</v>
      </c>
      <c r="R249" s="20">
        <v>0</v>
      </c>
      <c r="S249" s="20">
        <v>0</v>
      </c>
      <c r="T249" s="20">
        <v>0</v>
      </c>
      <c r="U249" s="20">
        <v>0</v>
      </c>
      <c r="V249" s="20">
        <v>0</v>
      </c>
      <c r="W249" s="20">
        <v>31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119000</v>
      </c>
      <c r="AD249" s="20">
        <v>82110</v>
      </c>
      <c r="AE249" s="20">
        <v>0</v>
      </c>
      <c r="AF249" s="20">
        <v>0</v>
      </c>
      <c r="AG249" s="20">
        <v>119000</v>
      </c>
      <c r="AH249" s="20">
        <v>82110</v>
      </c>
      <c r="AI249" s="20">
        <v>33536</v>
      </c>
      <c r="AJ249" s="20">
        <v>3354</v>
      </c>
      <c r="AK249" s="20">
        <v>36890</v>
      </c>
    </row>
    <row r="250" spans="1:37" ht="16.5" customHeight="1" x14ac:dyDescent="0.3">
      <c r="A250" s="18" t="s">
        <v>935</v>
      </c>
      <c r="B250" s="18" t="s">
        <v>240</v>
      </c>
      <c r="C250" s="19" t="s">
        <v>241</v>
      </c>
      <c r="D250" s="18" t="s">
        <v>936</v>
      </c>
      <c r="E250" s="19" t="s">
        <v>937</v>
      </c>
      <c r="F250" s="18" t="s">
        <v>244</v>
      </c>
      <c r="G250" s="18" t="s">
        <v>245</v>
      </c>
      <c r="H250" s="19" t="s">
        <v>175</v>
      </c>
      <c r="I250" s="18" t="s">
        <v>246</v>
      </c>
      <c r="J250" s="19" t="s">
        <v>247</v>
      </c>
      <c r="K250" s="19" t="s">
        <v>248</v>
      </c>
      <c r="L250" s="18" t="s">
        <v>164</v>
      </c>
      <c r="M250" s="18" t="s">
        <v>272</v>
      </c>
      <c r="N250" s="18" t="s">
        <v>250</v>
      </c>
      <c r="O250" s="20">
        <v>119000</v>
      </c>
      <c r="P250" s="20">
        <v>82110</v>
      </c>
      <c r="Q250" s="20">
        <v>1</v>
      </c>
      <c r="R250" s="20">
        <v>0</v>
      </c>
      <c r="S250" s="20">
        <v>0</v>
      </c>
      <c r="T250" s="20">
        <v>0</v>
      </c>
      <c r="U250" s="20">
        <v>0</v>
      </c>
      <c r="V250" s="20">
        <v>0</v>
      </c>
      <c r="W250" s="20">
        <v>31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119000</v>
      </c>
      <c r="AD250" s="20">
        <v>82110</v>
      </c>
      <c r="AE250" s="20">
        <v>0</v>
      </c>
      <c r="AF250" s="20">
        <v>0</v>
      </c>
      <c r="AG250" s="20">
        <v>119000</v>
      </c>
      <c r="AH250" s="20">
        <v>82110</v>
      </c>
      <c r="AI250" s="20">
        <v>33536</v>
      </c>
      <c r="AJ250" s="20">
        <v>3354</v>
      </c>
      <c r="AK250" s="20">
        <v>36890</v>
      </c>
    </row>
    <row r="251" spans="1:37" ht="16.5" customHeight="1" x14ac:dyDescent="0.3">
      <c r="A251" s="18" t="s">
        <v>938</v>
      </c>
      <c r="B251" s="18" t="s">
        <v>240</v>
      </c>
      <c r="C251" s="19" t="s">
        <v>241</v>
      </c>
      <c r="D251" s="18" t="s">
        <v>939</v>
      </c>
      <c r="E251" s="19" t="s">
        <v>253</v>
      </c>
      <c r="F251" s="18" t="s">
        <v>244</v>
      </c>
      <c r="G251" s="18" t="s">
        <v>245</v>
      </c>
      <c r="H251" s="19" t="s">
        <v>175</v>
      </c>
      <c r="I251" s="18" t="s">
        <v>246</v>
      </c>
      <c r="J251" s="19" t="s">
        <v>247</v>
      </c>
      <c r="K251" s="19" t="s">
        <v>248</v>
      </c>
      <c r="L251" s="18" t="s">
        <v>164</v>
      </c>
      <c r="M251" s="18" t="s">
        <v>272</v>
      </c>
      <c r="N251" s="18" t="s">
        <v>250</v>
      </c>
      <c r="O251" s="20">
        <v>119000</v>
      </c>
      <c r="P251" s="20">
        <v>82110</v>
      </c>
      <c r="Q251" s="20">
        <v>1</v>
      </c>
      <c r="R251" s="20">
        <v>0</v>
      </c>
      <c r="S251" s="20">
        <v>0</v>
      </c>
      <c r="T251" s="20">
        <v>0</v>
      </c>
      <c r="U251" s="20">
        <v>0</v>
      </c>
      <c r="V251" s="20">
        <v>0</v>
      </c>
      <c r="W251" s="20">
        <v>31</v>
      </c>
      <c r="X251" s="20">
        <v>17850</v>
      </c>
      <c r="Y251" s="20">
        <v>0</v>
      </c>
      <c r="Z251" s="20">
        <v>0</v>
      </c>
      <c r="AA251" s="20">
        <v>0</v>
      </c>
      <c r="AB251" s="20">
        <v>0</v>
      </c>
      <c r="AC251" s="20">
        <v>119000</v>
      </c>
      <c r="AD251" s="20">
        <v>82110</v>
      </c>
      <c r="AE251" s="20">
        <v>0</v>
      </c>
      <c r="AF251" s="20">
        <v>17850</v>
      </c>
      <c r="AG251" s="20">
        <v>101150</v>
      </c>
      <c r="AH251" s="20">
        <v>82110</v>
      </c>
      <c r="AI251" s="20">
        <v>17309</v>
      </c>
      <c r="AJ251" s="20">
        <v>1731</v>
      </c>
      <c r="AK251" s="20">
        <v>19040</v>
      </c>
    </row>
    <row r="252" spans="1:37" ht="16.5" customHeight="1" x14ac:dyDescent="0.3">
      <c r="A252" s="18" t="s">
        <v>940</v>
      </c>
      <c r="B252" s="18" t="s">
        <v>240</v>
      </c>
      <c r="C252" s="19" t="s">
        <v>241</v>
      </c>
      <c r="D252" s="18" t="s">
        <v>941</v>
      </c>
      <c r="E252" s="19" t="s">
        <v>942</v>
      </c>
      <c r="F252" s="18" t="s">
        <v>244</v>
      </c>
      <c r="G252" s="18" t="s">
        <v>245</v>
      </c>
      <c r="H252" s="19" t="s">
        <v>175</v>
      </c>
      <c r="I252" s="18" t="s">
        <v>246</v>
      </c>
      <c r="J252" s="19" t="s">
        <v>247</v>
      </c>
      <c r="K252" s="19" t="s">
        <v>314</v>
      </c>
      <c r="L252" s="18" t="s">
        <v>164</v>
      </c>
      <c r="M252" s="18" t="s">
        <v>272</v>
      </c>
      <c r="N252" s="18" t="s">
        <v>250</v>
      </c>
      <c r="O252" s="20">
        <v>119000</v>
      </c>
      <c r="P252" s="20">
        <v>82110</v>
      </c>
      <c r="Q252" s="20">
        <v>1</v>
      </c>
      <c r="R252" s="20">
        <v>0</v>
      </c>
      <c r="S252" s="20">
        <v>0</v>
      </c>
      <c r="T252" s="20">
        <v>0</v>
      </c>
      <c r="U252" s="20">
        <v>0</v>
      </c>
      <c r="V252" s="20">
        <v>0</v>
      </c>
      <c r="W252" s="20">
        <v>31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119000</v>
      </c>
      <c r="AD252" s="20">
        <v>82110</v>
      </c>
      <c r="AE252" s="20">
        <v>0</v>
      </c>
      <c r="AF252" s="20">
        <v>0</v>
      </c>
      <c r="AG252" s="20">
        <v>119000</v>
      </c>
      <c r="AH252" s="20">
        <v>82110</v>
      </c>
      <c r="AI252" s="20">
        <v>33536</v>
      </c>
      <c r="AJ252" s="20">
        <v>3354</v>
      </c>
      <c r="AK252" s="20">
        <v>36890</v>
      </c>
    </row>
    <row r="253" spans="1:37" ht="16.5" customHeight="1" x14ac:dyDescent="0.3">
      <c r="A253" s="18" t="s">
        <v>943</v>
      </c>
      <c r="B253" s="18" t="s">
        <v>240</v>
      </c>
      <c r="C253" s="19" t="s">
        <v>241</v>
      </c>
      <c r="D253" s="18" t="s">
        <v>944</v>
      </c>
      <c r="E253" s="19" t="s">
        <v>945</v>
      </c>
      <c r="F253" s="18" t="s">
        <v>244</v>
      </c>
      <c r="G253" s="18" t="s">
        <v>245</v>
      </c>
      <c r="H253" s="19" t="s">
        <v>175</v>
      </c>
      <c r="I253" s="18" t="s">
        <v>246</v>
      </c>
      <c r="J253" s="19" t="s">
        <v>247</v>
      </c>
      <c r="K253" s="19" t="s">
        <v>248</v>
      </c>
      <c r="L253" s="18" t="s">
        <v>164</v>
      </c>
      <c r="M253" s="18" t="s">
        <v>272</v>
      </c>
      <c r="N253" s="18" t="s">
        <v>250</v>
      </c>
      <c r="O253" s="20">
        <v>119000</v>
      </c>
      <c r="P253" s="20">
        <v>82110</v>
      </c>
      <c r="Q253" s="20">
        <v>1</v>
      </c>
      <c r="R253" s="20">
        <v>0</v>
      </c>
      <c r="S253" s="20">
        <v>0</v>
      </c>
      <c r="T253" s="20">
        <v>0</v>
      </c>
      <c r="U253" s="20">
        <v>0</v>
      </c>
      <c r="V253" s="20">
        <v>0</v>
      </c>
      <c r="W253" s="20">
        <v>31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119000</v>
      </c>
      <c r="AD253" s="20">
        <v>82110</v>
      </c>
      <c r="AE253" s="20">
        <v>0</v>
      </c>
      <c r="AF253" s="20">
        <v>0</v>
      </c>
      <c r="AG253" s="20">
        <v>119000</v>
      </c>
      <c r="AH253" s="20">
        <v>82110</v>
      </c>
      <c r="AI253" s="20">
        <v>33536</v>
      </c>
      <c r="AJ253" s="20">
        <v>3354</v>
      </c>
      <c r="AK253" s="20">
        <v>36890</v>
      </c>
    </row>
    <row r="254" spans="1:37" ht="16.5" customHeight="1" x14ac:dyDescent="0.3">
      <c r="A254" s="18" t="s">
        <v>946</v>
      </c>
      <c r="B254" s="18" t="s">
        <v>240</v>
      </c>
      <c r="C254" s="19" t="s">
        <v>241</v>
      </c>
      <c r="D254" s="18" t="s">
        <v>947</v>
      </c>
      <c r="E254" s="19" t="s">
        <v>948</v>
      </c>
      <c r="F254" s="18" t="s">
        <v>244</v>
      </c>
      <c r="G254" s="18" t="s">
        <v>245</v>
      </c>
      <c r="H254" s="19" t="s">
        <v>175</v>
      </c>
      <c r="I254" s="18" t="s">
        <v>246</v>
      </c>
      <c r="J254" s="19" t="s">
        <v>247</v>
      </c>
      <c r="K254" s="19" t="s">
        <v>248</v>
      </c>
      <c r="L254" s="18" t="s">
        <v>164</v>
      </c>
      <c r="M254" s="18" t="s">
        <v>272</v>
      </c>
      <c r="N254" s="18" t="s">
        <v>250</v>
      </c>
      <c r="O254" s="20">
        <v>119000</v>
      </c>
      <c r="P254" s="20">
        <v>82110</v>
      </c>
      <c r="Q254" s="20">
        <v>1</v>
      </c>
      <c r="R254" s="20">
        <v>0</v>
      </c>
      <c r="S254" s="20">
        <v>0</v>
      </c>
      <c r="T254" s="20">
        <v>0</v>
      </c>
      <c r="U254" s="20">
        <v>0</v>
      </c>
      <c r="V254" s="20">
        <v>0</v>
      </c>
      <c r="W254" s="20">
        <v>31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119000</v>
      </c>
      <c r="AD254" s="20">
        <v>82110</v>
      </c>
      <c r="AE254" s="20">
        <v>0</v>
      </c>
      <c r="AF254" s="20">
        <v>0</v>
      </c>
      <c r="AG254" s="20">
        <v>119000</v>
      </c>
      <c r="AH254" s="20">
        <v>82110</v>
      </c>
      <c r="AI254" s="20">
        <v>33536</v>
      </c>
      <c r="AJ254" s="20">
        <v>3354</v>
      </c>
      <c r="AK254" s="20">
        <v>36890</v>
      </c>
    </row>
    <row r="255" spans="1:37" ht="16.5" customHeight="1" x14ac:dyDescent="0.3">
      <c r="A255" s="18" t="s">
        <v>949</v>
      </c>
      <c r="B255" s="18" t="s">
        <v>240</v>
      </c>
      <c r="C255" s="19" t="s">
        <v>241</v>
      </c>
      <c r="D255" s="18" t="s">
        <v>950</v>
      </c>
      <c r="E255" s="19" t="s">
        <v>951</v>
      </c>
      <c r="F255" s="18" t="s">
        <v>244</v>
      </c>
      <c r="G255" s="18" t="s">
        <v>245</v>
      </c>
      <c r="H255" s="19" t="s">
        <v>175</v>
      </c>
      <c r="I255" s="18" t="s">
        <v>246</v>
      </c>
      <c r="J255" s="19" t="s">
        <v>247</v>
      </c>
      <c r="K255" s="19" t="s">
        <v>248</v>
      </c>
      <c r="L255" s="18" t="s">
        <v>164</v>
      </c>
      <c r="M255" s="18" t="s">
        <v>272</v>
      </c>
      <c r="N255" s="18" t="s">
        <v>250</v>
      </c>
      <c r="O255" s="20">
        <v>119000</v>
      </c>
      <c r="P255" s="20">
        <v>82110</v>
      </c>
      <c r="Q255" s="20">
        <v>1</v>
      </c>
      <c r="R255" s="20">
        <v>0</v>
      </c>
      <c r="S255" s="20">
        <v>0</v>
      </c>
      <c r="T255" s="20">
        <v>0</v>
      </c>
      <c r="U255" s="20">
        <v>0</v>
      </c>
      <c r="V255" s="20">
        <v>0</v>
      </c>
      <c r="W255" s="20">
        <v>31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119000</v>
      </c>
      <c r="AD255" s="20">
        <v>82110</v>
      </c>
      <c r="AE255" s="20">
        <v>0</v>
      </c>
      <c r="AF255" s="20">
        <v>0</v>
      </c>
      <c r="AG255" s="20">
        <v>119000</v>
      </c>
      <c r="AH255" s="20">
        <v>82110</v>
      </c>
      <c r="AI255" s="20">
        <v>33536</v>
      </c>
      <c r="AJ255" s="20">
        <v>3354</v>
      </c>
      <c r="AK255" s="20">
        <v>36890</v>
      </c>
    </row>
    <row r="256" spans="1:37" ht="16.5" customHeight="1" x14ac:dyDescent="0.3">
      <c r="A256" s="18" t="s">
        <v>952</v>
      </c>
      <c r="B256" s="18" t="s">
        <v>240</v>
      </c>
      <c r="C256" s="19" t="s">
        <v>241</v>
      </c>
      <c r="D256" s="18" t="s">
        <v>953</v>
      </c>
      <c r="E256" s="19" t="s">
        <v>836</v>
      </c>
      <c r="F256" s="18" t="s">
        <v>244</v>
      </c>
      <c r="G256" s="18" t="s">
        <v>245</v>
      </c>
      <c r="H256" s="19" t="s">
        <v>175</v>
      </c>
      <c r="I256" s="18" t="s">
        <v>246</v>
      </c>
      <c r="J256" s="19" t="s">
        <v>247</v>
      </c>
      <c r="K256" s="19" t="s">
        <v>314</v>
      </c>
      <c r="L256" s="18" t="s">
        <v>164</v>
      </c>
      <c r="M256" s="18" t="s">
        <v>272</v>
      </c>
      <c r="N256" s="18" t="s">
        <v>250</v>
      </c>
      <c r="O256" s="20">
        <v>119000</v>
      </c>
      <c r="P256" s="20">
        <v>82110</v>
      </c>
      <c r="Q256" s="20">
        <v>1</v>
      </c>
      <c r="R256" s="20">
        <v>0</v>
      </c>
      <c r="S256" s="20">
        <v>0</v>
      </c>
      <c r="T256" s="20">
        <v>0</v>
      </c>
      <c r="U256" s="20">
        <v>0</v>
      </c>
      <c r="V256" s="20">
        <v>0</v>
      </c>
      <c r="W256" s="20">
        <v>31</v>
      </c>
      <c r="X256" s="20">
        <v>0</v>
      </c>
      <c r="Y256" s="20">
        <v>0</v>
      </c>
      <c r="Z256" s="20">
        <v>0</v>
      </c>
      <c r="AA256" s="20">
        <v>0</v>
      </c>
      <c r="AB256" s="20">
        <v>0</v>
      </c>
      <c r="AC256" s="20">
        <v>119000</v>
      </c>
      <c r="AD256" s="20">
        <v>82110</v>
      </c>
      <c r="AE256" s="20">
        <v>0</v>
      </c>
      <c r="AF256" s="20">
        <v>0</v>
      </c>
      <c r="AG256" s="20">
        <v>119000</v>
      </c>
      <c r="AH256" s="20">
        <v>82110</v>
      </c>
      <c r="AI256" s="20">
        <v>33536</v>
      </c>
      <c r="AJ256" s="20">
        <v>3354</v>
      </c>
      <c r="AK256" s="20">
        <v>36890</v>
      </c>
    </row>
    <row r="257" spans="1:37" ht="16.5" customHeight="1" x14ac:dyDescent="0.3">
      <c r="A257" s="18" t="s">
        <v>954</v>
      </c>
      <c r="B257" s="18" t="s">
        <v>240</v>
      </c>
      <c r="C257" s="19" t="s">
        <v>241</v>
      </c>
      <c r="D257" s="18" t="s">
        <v>955</v>
      </c>
      <c r="E257" s="19" t="s">
        <v>553</v>
      </c>
      <c r="F257" s="18" t="s">
        <v>244</v>
      </c>
      <c r="G257" s="18" t="s">
        <v>245</v>
      </c>
      <c r="H257" s="19" t="s">
        <v>175</v>
      </c>
      <c r="I257" s="18" t="s">
        <v>246</v>
      </c>
      <c r="J257" s="19" t="s">
        <v>247</v>
      </c>
      <c r="K257" s="19" t="s">
        <v>248</v>
      </c>
      <c r="L257" s="18" t="s">
        <v>164</v>
      </c>
      <c r="M257" s="18" t="s">
        <v>272</v>
      </c>
      <c r="N257" s="18" t="s">
        <v>250</v>
      </c>
      <c r="O257" s="20">
        <v>119000</v>
      </c>
      <c r="P257" s="20">
        <v>82110</v>
      </c>
      <c r="Q257" s="20">
        <v>1</v>
      </c>
      <c r="R257" s="20">
        <v>0</v>
      </c>
      <c r="S257" s="20">
        <v>0</v>
      </c>
      <c r="T257" s="20">
        <v>0</v>
      </c>
      <c r="U257" s="20">
        <v>0</v>
      </c>
      <c r="V257" s="20">
        <v>0</v>
      </c>
      <c r="W257" s="20">
        <v>31</v>
      </c>
      <c r="X257" s="20">
        <v>0</v>
      </c>
      <c r="Y257" s="20">
        <v>0</v>
      </c>
      <c r="Z257" s="20">
        <v>0</v>
      </c>
      <c r="AA257" s="20">
        <v>0</v>
      </c>
      <c r="AB257" s="20">
        <v>0</v>
      </c>
      <c r="AC257" s="20">
        <v>119000</v>
      </c>
      <c r="AD257" s="20">
        <v>82110</v>
      </c>
      <c r="AE257" s="20">
        <v>0</v>
      </c>
      <c r="AF257" s="20">
        <v>0</v>
      </c>
      <c r="AG257" s="20">
        <v>119000</v>
      </c>
      <c r="AH257" s="20">
        <v>82110</v>
      </c>
      <c r="AI257" s="20">
        <v>33536</v>
      </c>
      <c r="AJ257" s="20">
        <v>3354</v>
      </c>
      <c r="AK257" s="20">
        <v>36890</v>
      </c>
    </row>
    <row r="258" spans="1:37" ht="16.5" customHeight="1" x14ac:dyDescent="0.3">
      <c r="A258" s="18" t="s">
        <v>956</v>
      </c>
      <c r="B258" s="18" t="s">
        <v>240</v>
      </c>
      <c r="C258" s="19" t="s">
        <v>241</v>
      </c>
      <c r="D258" s="18" t="s">
        <v>957</v>
      </c>
      <c r="E258" s="19" t="s">
        <v>958</v>
      </c>
      <c r="F258" s="18" t="s">
        <v>244</v>
      </c>
      <c r="G258" s="18" t="s">
        <v>245</v>
      </c>
      <c r="H258" s="19" t="s">
        <v>175</v>
      </c>
      <c r="I258" s="18" t="s">
        <v>246</v>
      </c>
      <c r="J258" s="19" t="s">
        <v>247</v>
      </c>
      <c r="K258" s="19" t="s">
        <v>248</v>
      </c>
      <c r="L258" s="18" t="s">
        <v>164</v>
      </c>
      <c r="M258" s="18" t="s">
        <v>272</v>
      </c>
      <c r="N258" s="18" t="s">
        <v>250</v>
      </c>
      <c r="O258" s="20">
        <v>119000</v>
      </c>
      <c r="P258" s="20">
        <v>82110</v>
      </c>
      <c r="Q258" s="20">
        <v>1</v>
      </c>
      <c r="R258" s="20">
        <v>0</v>
      </c>
      <c r="S258" s="20">
        <v>0</v>
      </c>
      <c r="T258" s="20">
        <v>0</v>
      </c>
      <c r="U258" s="20">
        <v>0</v>
      </c>
      <c r="V258" s="20">
        <v>0</v>
      </c>
      <c r="W258" s="20">
        <v>31</v>
      </c>
      <c r="X258" s="20">
        <v>0</v>
      </c>
      <c r="Y258" s="20">
        <v>0</v>
      </c>
      <c r="Z258" s="20">
        <v>0</v>
      </c>
      <c r="AA258" s="20">
        <v>0</v>
      </c>
      <c r="AB258" s="20">
        <v>0</v>
      </c>
      <c r="AC258" s="20">
        <v>119000</v>
      </c>
      <c r="AD258" s="20">
        <v>82110</v>
      </c>
      <c r="AE258" s="20">
        <v>0</v>
      </c>
      <c r="AF258" s="20">
        <v>0</v>
      </c>
      <c r="AG258" s="20">
        <v>119000</v>
      </c>
      <c r="AH258" s="20">
        <v>82110</v>
      </c>
      <c r="AI258" s="20">
        <v>33536</v>
      </c>
      <c r="AJ258" s="20">
        <v>3354</v>
      </c>
      <c r="AK258" s="20">
        <v>36890</v>
      </c>
    </row>
    <row r="259" spans="1:37" ht="16.5" customHeight="1" x14ac:dyDescent="0.3">
      <c r="A259" s="18" t="s">
        <v>959</v>
      </c>
      <c r="B259" s="18" t="s">
        <v>240</v>
      </c>
      <c r="C259" s="19" t="s">
        <v>241</v>
      </c>
      <c r="D259" s="18" t="s">
        <v>960</v>
      </c>
      <c r="E259" s="19" t="s">
        <v>961</v>
      </c>
      <c r="F259" s="18" t="s">
        <v>244</v>
      </c>
      <c r="G259" s="18" t="s">
        <v>245</v>
      </c>
      <c r="H259" s="19" t="s">
        <v>175</v>
      </c>
      <c r="I259" s="18" t="s">
        <v>246</v>
      </c>
      <c r="J259" s="19" t="s">
        <v>247</v>
      </c>
      <c r="K259" s="19" t="s">
        <v>248</v>
      </c>
      <c r="L259" s="18" t="s">
        <v>164</v>
      </c>
      <c r="M259" s="18" t="s">
        <v>272</v>
      </c>
      <c r="N259" s="18" t="s">
        <v>250</v>
      </c>
      <c r="O259" s="20">
        <v>119000</v>
      </c>
      <c r="P259" s="20">
        <v>82110</v>
      </c>
      <c r="Q259" s="20">
        <v>1</v>
      </c>
      <c r="R259" s="20">
        <v>0</v>
      </c>
      <c r="S259" s="20">
        <v>0</v>
      </c>
      <c r="T259" s="20">
        <v>0</v>
      </c>
      <c r="U259" s="20">
        <v>0</v>
      </c>
      <c r="V259" s="20">
        <v>0</v>
      </c>
      <c r="W259" s="20">
        <v>31</v>
      </c>
      <c r="X259" s="20">
        <v>0</v>
      </c>
      <c r="Y259" s="20">
        <v>0</v>
      </c>
      <c r="Z259" s="20">
        <v>0</v>
      </c>
      <c r="AA259" s="20">
        <v>0</v>
      </c>
      <c r="AB259" s="20">
        <v>0</v>
      </c>
      <c r="AC259" s="20">
        <v>119000</v>
      </c>
      <c r="AD259" s="20">
        <v>82110</v>
      </c>
      <c r="AE259" s="20">
        <v>0</v>
      </c>
      <c r="AF259" s="20">
        <v>0</v>
      </c>
      <c r="AG259" s="20">
        <v>119000</v>
      </c>
      <c r="AH259" s="20">
        <v>82110</v>
      </c>
      <c r="AI259" s="20">
        <v>33536</v>
      </c>
      <c r="AJ259" s="20">
        <v>3354</v>
      </c>
      <c r="AK259" s="20">
        <v>36890</v>
      </c>
    </row>
    <row r="260" spans="1:37" ht="16.5" customHeight="1" x14ac:dyDescent="0.3">
      <c r="A260" s="18" t="s">
        <v>962</v>
      </c>
      <c r="B260" s="18" t="s">
        <v>240</v>
      </c>
      <c r="C260" s="19" t="s">
        <v>241</v>
      </c>
      <c r="D260" s="18" t="s">
        <v>963</v>
      </c>
      <c r="E260" s="19" t="s">
        <v>473</v>
      </c>
      <c r="F260" s="18" t="s">
        <v>244</v>
      </c>
      <c r="G260" s="18" t="s">
        <v>245</v>
      </c>
      <c r="H260" s="19" t="s">
        <v>175</v>
      </c>
      <c r="I260" s="18" t="s">
        <v>246</v>
      </c>
      <c r="J260" s="19" t="s">
        <v>247</v>
      </c>
      <c r="K260" s="19" t="s">
        <v>248</v>
      </c>
      <c r="L260" s="18" t="s">
        <v>164</v>
      </c>
      <c r="M260" s="18" t="s">
        <v>272</v>
      </c>
      <c r="N260" s="18" t="s">
        <v>250</v>
      </c>
      <c r="O260" s="20">
        <v>119000</v>
      </c>
      <c r="P260" s="20">
        <v>82110</v>
      </c>
      <c r="Q260" s="20">
        <v>1</v>
      </c>
      <c r="R260" s="20">
        <v>0</v>
      </c>
      <c r="S260" s="20">
        <v>0</v>
      </c>
      <c r="T260" s="20">
        <v>0</v>
      </c>
      <c r="U260" s="20">
        <v>0</v>
      </c>
      <c r="V260" s="20">
        <v>0</v>
      </c>
      <c r="W260" s="20">
        <v>31</v>
      </c>
      <c r="X260" s="20">
        <v>0</v>
      </c>
      <c r="Y260" s="20">
        <v>0</v>
      </c>
      <c r="Z260" s="20">
        <v>0</v>
      </c>
      <c r="AA260" s="20">
        <v>0</v>
      </c>
      <c r="AB260" s="20">
        <v>0</v>
      </c>
      <c r="AC260" s="20">
        <v>119000</v>
      </c>
      <c r="AD260" s="20">
        <v>82110</v>
      </c>
      <c r="AE260" s="20">
        <v>0</v>
      </c>
      <c r="AF260" s="20">
        <v>0</v>
      </c>
      <c r="AG260" s="20">
        <v>119000</v>
      </c>
      <c r="AH260" s="20">
        <v>82110</v>
      </c>
      <c r="AI260" s="20">
        <v>33536</v>
      </c>
      <c r="AJ260" s="20">
        <v>3354</v>
      </c>
      <c r="AK260" s="20">
        <v>36890</v>
      </c>
    </row>
    <row r="261" spans="1:37" ht="16.5" customHeight="1" x14ac:dyDescent="0.3">
      <c r="A261" s="18" t="s">
        <v>964</v>
      </c>
      <c r="B261" s="18" t="s">
        <v>240</v>
      </c>
      <c r="C261" s="19" t="s">
        <v>241</v>
      </c>
      <c r="D261" s="18" t="s">
        <v>759</v>
      </c>
      <c r="E261" s="19" t="s">
        <v>585</v>
      </c>
      <c r="F261" s="18" t="s">
        <v>244</v>
      </c>
      <c r="G261" s="18" t="s">
        <v>245</v>
      </c>
      <c r="H261" s="19" t="s">
        <v>175</v>
      </c>
      <c r="I261" s="18" t="s">
        <v>246</v>
      </c>
      <c r="J261" s="19" t="s">
        <v>247</v>
      </c>
      <c r="K261" s="19" t="s">
        <v>248</v>
      </c>
      <c r="L261" s="18" t="s">
        <v>164</v>
      </c>
      <c r="M261" s="18" t="s">
        <v>272</v>
      </c>
      <c r="N261" s="18" t="s">
        <v>250</v>
      </c>
      <c r="O261" s="20">
        <v>119000</v>
      </c>
      <c r="P261" s="20">
        <v>82110</v>
      </c>
      <c r="Q261" s="20">
        <v>1</v>
      </c>
      <c r="R261" s="20">
        <v>0</v>
      </c>
      <c r="S261" s="20">
        <v>0</v>
      </c>
      <c r="T261" s="20">
        <v>0</v>
      </c>
      <c r="U261" s="20">
        <v>0</v>
      </c>
      <c r="V261" s="20">
        <v>0</v>
      </c>
      <c r="W261" s="20">
        <v>31</v>
      </c>
      <c r="X261" s="20">
        <v>0</v>
      </c>
      <c r="Y261" s="20">
        <v>0</v>
      </c>
      <c r="Z261" s="20">
        <v>0</v>
      </c>
      <c r="AA261" s="20">
        <v>0</v>
      </c>
      <c r="AB261" s="20">
        <v>0</v>
      </c>
      <c r="AC261" s="20">
        <v>119000</v>
      </c>
      <c r="AD261" s="20">
        <v>82110</v>
      </c>
      <c r="AE261" s="20">
        <v>0</v>
      </c>
      <c r="AF261" s="20">
        <v>0</v>
      </c>
      <c r="AG261" s="20">
        <v>119000</v>
      </c>
      <c r="AH261" s="20">
        <v>82110</v>
      </c>
      <c r="AI261" s="20">
        <v>33536</v>
      </c>
      <c r="AJ261" s="20">
        <v>3354</v>
      </c>
      <c r="AK261" s="20">
        <v>36890</v>
      </c>
    </row>
    <row r="262" spans="1:37" ht="16.5" customHeight="1" x14ac:dyDescent="0.3">
      <c r="A262" s="18" t="s">
        <v>965</v>
      </c>
      <c r="B262" s="18" t="s">
        <v>240</v>
      </c>
      <c r="C262" s="19" t="s">
        <v>241</v>
      </c>
      <c r="D262" s="18" t="s">
        <v>966</v>
      </c>
      <c r="E262" s="19" t="s">
        <v>967</v>
      </c>
      <c r="F262" s="18" t="s">
        <v>244</v>
      </c>
      <c r="G262" s="18" t="s">
        <v>245</v>
      </c>
      <c r="H262" s="19" t="s">
        <v>175</v>
      </c>
      <c r="I262" s="18" t="s">
        <v>246</v>
      </c>
      <c r="J262" s="19" t="s">
        <v>247</v>
      </c>
      <c r="K262" s="19" t="s">
        <v>248</v>
      </c>
      <c r="L262" s="18" t="s">
        <v>164</v>
      </c>
      <c r="M262" s="18" t="s">
        <v>272</v>
      </c>
      <c r="N262" s="18" t="s">
        <v>250</v>
      </c>
      <c r="O262" s="20">
        <v>119000</v>
      </c>
      <c r="P262" s="20">
        <v>82110</v>
      </c>
      <c r="Q262" s="20">
        <v>1</v>
      </c>
      <c r="R262" s="20">
        <v>0</v>
      </c>
      <c r="S262" s="20">
        <v>0</v>
      </c>
      <c r="T262" s="20">
        <v>0</v>
      </c>
      <c r="U262" s="20">
        <v>0</v>
      </c>
      <c r="V262" s="20">
        <v>0</v>
      </c>
      <c r="W262" s="20">
        <v>31</v>
      </c>
      <c r="X262" s="20">
        <v>0</v>
      </c>
      <c r="Y262" s="20">
        <v>0</v>
      </c>
      <c r="Z262" s="20">
        <v>0</v>
      </c>
      <c r="AA262" s="20">
        <v>0</v>
      </c>
      <c r="AB262" s="20">
        <v>0</v>
      </c>
      <c r="AC262" s="20">
        <v>119000</v>
      </c>
      <c r="AD262" s="20">
        <v>82110</v>
      </c>
      <c r="AE262" s="20">
        <v>0</v>
      </c>
      <c r="AF262" s="20">
        <v>0</v>
      </c>
      <c r="AG262" s="20">
        <v>119000</v>
      </c>
      <c r="AH262" s="20">
        <v>82110</v>
      </c>
      <c r="AI262" s="20">
        <v>33536</v>
      </c>
      <c r="AJ262" s="20">
        <v>3354</v>
      </c>
      <c r="AK262" s="20">
        <v>36890</v>
      </c>
    </row>
    <row r="263" spans="1:37" ht="16.5" customHeight="1" x14ac:dyDescent="0.3">
      <c r="A263" s="18" t="s">
        <v>968</v>
      </c>
      <c r="B263" s="18" t="s">
        <v>240</v>
      </c>
      <c r="C263" s="19" t="s">
        <v>241</v>
      </c>
      <c r="D263" s="18" t="s">
        <v>969</v>
      </c>
      <c r="E263" s="19" t="s">
        <v>970</v>
      </c>
      <c r="F263" s="18" t="s">
        <v>244</v>
      </c>
      <c r="G263" s="18" t="s">
        <v>245</v>
      </c>
      <c r="H263" s="19" t="s">
        <v>175</v>
      </c>
      <c r="I263" s="18" t="s">
        <v>246</v>
      </c>
      <c r="J263" s="19" t="s">
        <v>247</v>
      </c>
      <c r="K263" s="19" t="s">
        <v>248</v>
      </c>
      <c r="L263" s="18" t="s">
        <v>164</v>
      </c>
      <c r="M263" s="18" t="s">
        <v>272</v>
      </c>
      <c r="N263" s="18" t="s">
        <v>250</v>
      </c>
      <c r="O263" s="20">
        <v>119000</v>
      </c>
      <c r="P263" s="20">
        <v>82110</v>
      </c>
      <c r="Q263" s="20">
        <v>1</v>
      </c>
      <c r="R263" s="20">
        <v>0</v>
      </c>
      <c r="S263" s="20">
        <v>0</v>
      </c>
      <c r="T263" s="20">
        <v>0</v>
      </c>
      <c r="U263" s="20">
        <v>0</v>
      </c>
      <c r="V263" s="20">
        <v>0</v>
      </c>
      <c r="W263" s="20">
        <v>31</v>
      </c>
      <c r="X263" s="20">
        <v>0</v>
      </c>
      <c r="Y263" s="20">
        <v>0</v>
      </c>
      <c r="Z263" s="20">
        <v>0</v>
      </c>
      <c r="AA263" s="20">
        <v>0</v>
      </c>
      <c r="AB263" s="20">
        <v>0</v>
      </c>
      <c r="AC263" s="20">
        <v>119000</v>
      </c>
      <c r="AD263" s="20">
        <v>82110</v>
      </c>
      <c r="AE263" s="20">
        <v>0</v>
      </c>
      <c r="AF263" s="20">
        <v>0</v>
      </c>
      <c r="AG263" s="20">
        <v>119000</v>
      </c>
      <c r="AH263" s="20">
        <v>82110</v>
      </c>
      <c r="AI263" s="20">
        <v>33536</v>
      </c>
      <c r="AJ263" s="20">
        <v>3354</v>
      </c>
      <c r="AK263" s="20">
        <v>36890</v>
      </c>
    </row>
    <row r="264" spans="1:37" ht="16.5" customHeight="1" x14ac:dyDescent="0.3">
      <c r="A264" s="18" t="s">
        <v>971</v>
      </c>
      <c r="B264" s="18" t="s">
        <v>240</v>
      </c>
      <c r="C264" s="19" t="s">
        <v>241</v>
      </c>
      <c r="D264" s="18" t="s">
        <v>972</v>
      </c>
      <c r="E264" s="19" t="s">
        <v>973</v>
      </c>
      <c r="F264" s="18" t="s">
        <v>244</v>
      </c>
      <c r="G264" s="18" t="s">
        <v>245</v>
      </c>
      <c r="H264" s="19" t="s">
        <v>175</v>
      </c>
      <c r="I264" s="18" t="s">
        <v>246</v>
      </c>
      <c r="J264" s="19" t="s">
        <v>247</v>
      </c>
      <c r="K264" s="19" t="s">
        <v>248</v>
      </c>
      <c r="L264" s="18" t="s">
        <v>164</v>
      </c>
      <c r="M264" s="18" t="s">
        <v>272</v>
      </c>
      <c r="N264" s="18" t="s">
        <v>250</v>
      </c>
      <c r="O264" s="20">
        <v>119000</v>
      </c>
      <c r="P264" s="20">
        <v>82110</v>
      </c>
      <c r="Q264" s="20">
        <v>1</v>
      </c>
      <c r="R264" s="20">
        <v>0</v>
      </c>
      <c r="S264" s="20">
        <v>0</v>
      </c>
      <c r="T264" s="20">
        <v>0</v>
      </c>
      <c r="U264" s="20">
        <v>0</v>
      </c>
      <c r="V264" s="20">
        <v>0</v>
      </c>
      <c r="W264" s="20">
        <v>31</v>
      </c>
      <c r="X264" s="20">
        <v>0</v>
      </c>
      <c r="Y264" s="20">
        <v>0</v>
      </c>
      <c r="Z264" s="20">
        <v>0</v>
      </c>
      <c r="AA264" s="20">
        <v>0</v>
      </c>
      <c r="AB264" s="20">
        <v>0</v>
      </c>
      <c r="AC264" s="20">
        <v>119000</v>
      </c>
      <c r="AD264" s="20">
        <v>82110</v>
      </c>
      <c r="AE264" s="20">
        <v>0</v>
      </c>
      <c r="AF264" s="20">
        <v>0</v>
      </c>
      <c r="AG264" s="20">
        <v>119000</v>
      </c>
      <c r="AH264" s="20">
        <v>82110</v>
      </c>
      <c r="AI264" s="20">
        <v>33536</v>
      </c>
      <c r="AJ264" s="20">
        <v>3354</v>
      </c>
      <c r="AK264" s="20">
        <v>36890</v>
      </c>
    </row>
    <row r="265" spans="1:37" ht="16.5" customHeight="1" x14ac:dyDescent="0.3">
      <c r="A265" s="18" t="s">
        <v>974</v>
      </c>
      <c r="B265" s="18" t="s">
        <v>240</v>
      </c>
      <c r="C265" s="19" t="s">
        <v>241</v>
      </c>
      <c r="D265" s="18" t="s">
        <v>975</v>
      </c>
      <c r="E265" s="19" t="s">
        <v>976</v>
      </c>
      <c r="F265" s="18" t="s">
        <v>244</v>
      </c>
      <c r="G265" s="18" t="s">
        <v>245</v>
      </c>
      <c r="H265" s="19" t="s">
        <v>175</v>
      </c>
      <c r="I265" s="18" t="s">
        <v>246</v>
      </c>
      <c r="J265" s="19" t="s">
        <v>247</v>
      </c>
      <c r="K265" s="19" t="s">
        <v>248</v>
      </c>
      <c r="L265" s="18" t="s">
        <v>164</v>
      </c>
      <c r="M265" s="18" t="s">
        <v>272</v>
      </c>
      <c r="N265" s="18" t="s">
        <v>250</v>
      </c>
      <c r="O265" s="20">
        <v>119000</v>
      </c>
      <c r="P265" s="20">
        <v>82110</v>
      </c>
      <c r="Q265" s="20">
        <v>1</v>
      </c>
      <c r="R265" s="20">
        <v>0</v>
      </c>
      <c r="S265" s="20">
        <v>0</v>
      </c>
      <c r="T265" s="20">
        <v>0</v>
      </c>
      <c r="U265" s="20">
        <v>0</v>
      </c>
      <c r="V265" s="20">
        <v>0</v>
      </c>
      <c r="W265" s="20">
        <v>31</v>
      </c>
      <c r="X265" s="20">
        <v>0</v>
      </c>
      <c r="Y265" s="20">
        <v>0</v>
      </c>
      <c r="Z265" s="20">
        <v>0</v>
      </c>
      <c r="AA265" s="20">
        <v>0</v>
      </c>
      <c r="AB265" s="20">
        <v>0</v>
      </c>
      <c r="AC265" s="20">
        <v>119000</v>
      </c>
      <c r="AD265" s="20">
        <v>82110</v>
      </c>
      <c r="AE265" s="20">
        <v>0</v>
      </c>
      <c r="AF265" s="20">
        <v>0</v>
      </c>
      <c r="AG265" s="20">
        <v>119000</v>
      </c>
      <c r="AH265" s="20">
        <v>82110</v>
      </c>
      <c r="AI265" s="20">
        <v>33536</v>
      </c>
      <c r="AJ265" s="20">
        <v>3354</v>
      </c>
      <c r="AK265" s="20">
        <v>36890</v>
      </c>
    </row>
    <row r="266" spans="1:37" ht="16.5" customHeight="1" x14ac:dyDescent="0.3">
      <c r="A266" s="18" t="s">
        <v>977</v>
      </c>
      <c r="B266" s="18" t="s">
        <v>240</v>
      </c>
      <c r="C266" s="19" t="s">
        <v>241</v>
      </c>
      <c r="D266" s="18" t="s">
        <v>978</v>
      </c>
      <c r="E266" s="19" t="s">
        <v>979</v>
      </c>
      <c r="F266" s="18" t="s">
        <v>244</v>
      </c>
      <c r="G266" s="18" t="s">
        <v>245</v>
      </c>
      <c r="H266" s="19" t="s">
        <v>175</v>
      </c>
      <c r="I266" s="18" t="s">
        <v>246</v>
      </c>
      <c r="J266" s="19" t="s">
        <v>247</v>
      </c>
      <c r="K266" s="19" t="s">
        <v>248</v>
      </c>
      <c r="L266" s="18" t="s">
        <v>164</v>
      </c>
      <c r="M266" s="18" t="s">
        <v>272</v>
      </c>
      <c r="N266" s="18" t="s">
        <v>250</v>
      </c>
      <c r="O266" s="20">
        <v>119000</v>
      </c>
      <c r="P266" s="20">
        <v>82110</v>
      </c>
      <c r="Q266" s="20">
        <v>1</v>
      </c>
      <c r="R266" s="20">
        <v>0</v>
      </c>
      <c r="S266" s="20">
        <v>0</v>
      </c>
      <c r="T266" s="20">
        <v>0</v>
      </c>
      <c r="U266" s="20">
        <v>0</v>
      </c>
      <c r="V266" s="20">
        <v>0</v>
      </c>
      <c r="W266" s="20">
        <v>31</v>
      </c>
      <c r="X266" s="20">
        <v>0</v>
      </c>
      <c r="Y266" s="20">
        <v>0</v>
      </c>
      <c r="Z266" s="20">
        <v>0</v>
      </c>
      <c r="AA266" s="20">
        <v>0</v>
      </c>
      <c r="AB266" s="20">
        <v>0</v>
      </c>
      <c r="AC266" s="20">
        <v>119000</v>
      </c>
      <c r="AD266" s="20">
        <v>82110</v>
      </c>
      <c r="AE266" s="20">
        <v>0</v>
      </c>
      <c r="AF266" s="20">
        <v>0</v>
      </c>
      <c r="AG266" s="20">
        <v>119000</v>
      </c>
      <c r="AH266" s="20">
        <v>82110</v>
      </c>
      <c r="AI266" s="20">
        <v>33536</v>
      </c>
      <c r="AJ266" s="20">
        <v>3354</v>
      </c>
      <c r="AK266" s="20">
        <v>36890</v>
      </c>
    </row>
    <row r="267" spans="1:37" ht="16.5" customHeight="1" x14ac:dyDescent="0.3">
      <c r="A267" s="18" t="s">
        <v>980</v>
      </c>
      <c r="B267" s="18" t="s">
        <v>240</v>
      </c>
      <c r="C267" s="19" t="s">
        <v>241</v>
      </c>
      <c r="D267" s="18" t="s">
        <v>981</v>
      </c>
      <c r="E267" s="19" t="s">
        <v>486</v>
      </c>
      <c r="F267" s="18" t="s">
        <v>244</v>
      </c>
      <c r="G267" s="18" t="s">
        <v>245</v>
      </c>
      <c r="H267" s="19" t="s">
        <v>175</v>
      </c>
      <c r="I267" s="18" t="s">
        <v>246</v>
      </c>
      <c r="J267" s="19" t="s">
        <v>247</v>
      </c>
      <c r="K267" s="19" t="s">
        <v>248</v>
      </c>
      <c r="L267" s="18" t="s">
        <v>164</v>
      </c>
      <c r="M267" s="18" t="s">
        <v>272</v>
      </c>
      <c r="N267" s="18" t="s">
        <v>250</v>
      </c>
      <c r="O267" s="20">
        <v>119000</v>
      </c>
      <c r="P267" s="20">
        <v>82110</v>
      </c>
      <c r="Q267" s="20">
        <v>1</v>
      </c>
      <c r="R267" s="20">
        <v>0</v>
      </c>
      <c r="S267" s="20">
        <v>0</v>
      </c>
      <c r="T267" s="20">
        <v>0</v>
      </c>
      <c r="U267" s="20">
        <v>0</v>
      </c>
      <c r="V267" s="20">
        <v>0</v>
      </c>
      <c r="W267" s="20">
        <v>31</v>
      </c>
      <c r="X267" s="20">
        <v>0</v>
      </c>
      <c r="Y267" s="20">
        <v>10000</v>
      </c>
      <c r="Z267" s="20">
        <v>0</v>
      </c>
      <c r="AA267" s="20">
        <v>0</v>
      </c>
      <c r="AB267" s="20">
        <v>0</v>
      </c>
      <c r="AC267" s="20">
        <v>119000</v>
      </c>
      <c r="AD267" s="20">
        <v>82110</v>
      </c>
      <c r="AE267" s="20">
        <v>0</v>
      </c>
      <c r="AF267" s="20">
        <v>10000</v>
      </c>
      <c r="AG267" s="20">
        <v>109000</v>
      </c>
      <c r="AH267" s="20">
        <v>82110</v>
      </c>
      <c r="AI267" s="20">
        <v>24445</v>
      </c>
      <c r="AJ267" s="20">
        <v>2445</v>
      </c>
      <c r="AK267" s="20">
        <v>26890</v>
      </c>
    </row>
    <row r="268" spans="1:37" ht="16.5" customHeight="1" x14ac:dyDescent="0.3">
      <c r="A268" s="18" t="s">
        <v>982</v>
      </c>
      <c r="B268" s="18" t="s">
        <v>240</v>
      </c>
      <c r="C268" s="19" t="s">
        <v>241</v>
      </c>
      <c r="D268" s="18" t="s">
        <v>983</v>
      </c>
      <c r="E268" s="19" t="s">
        <v>535</v>
      </c>
      <c r="F268" s="18" t="s">
        <v>244</v>
      </c>
      <c r="G268" s="18" t="s">
        <v>245</v>
      </c>
      <c r="H268" s="19" t="s">
        <v>175</v>
      </c>
      <c r="I268" s="18" t="s">
        <v>246</v>
      </c>
      <c r="J268" s="19" t="s">
        <v>247</v>
      </c>
      <c r="K268" s="19" t="s">
        <v>248</v>
      </c>
      <c r="L268" s="18" t="s">
        <v>164</v>
      </c>
      <c r="M268" s="18" t="s">
        <v>272</v>
      </c>
      <c r="N268" s="18" t="s">
        <v>250</v>
      </c>
      <c r="O268" s="20">
        <v>119000</v>
      </c>
      <c r="P268" s="20">
        <v>82110</v>
      </c>
      <c r="Q268" s="20">
        <v>1</v>
      </c>
      <c r="R268" s="20">
        <v>0</v>
      </c>
      <c r="S268" s="20">
        <v>0</v>
      </c>
      <c r="T268" s="20">
        <v>0</v>
      </c>
      <c r="U268" s="20">
        <v>0</v>
      </c>
      <c r="V268" s="20">
        <v>0</v>
      </c>
      <c r="W268" s="20">
        <v>31</v>
      </c>
      <c r="X268" s="20">
        <v>0</v>
      </c>
      <c r="Y268" s="20">
        <v>0</v>
      </c>
      <c r="Z268" s="20">
        <v>0</v>
      </c>
      <c r="AA268" s="20">
        <v>0</v>
      </c>
      <c r="AB268" s="20">
        <v>0</v>
      </c>
      <c r="AC268" s="20">
        <v>119000</v>
      </c>
      <c r="AD268" s="20">
        <v>82110</v>
      </c>
      <c r="AE268" s="20">
        <v>0</v>
      </c>
      <c r="AF268" s="20">
        <v>0</v>
      </c>
      <c r="AG268" s="20">
        <v>119000</v>
      </c>
      <c r="AH268" s="20">
        <v>82110</v>
      </c>
      <c r="AI268" s="20">
        <v>33536</v>
      </c>
      <c r="AJ268" s="20">
        <v>3354</v>
      </c>
      <c r="AK268" s="20">
        <v>36890</v>
      </c>
    </row>
    <row r="269" spans="1:37" ht="16.5" customHeight="1" x14ac:dyDescent="0.3">
      <c r="A269" s="18" t="s">
        <v>984</v>
      </c>
      <c r="B269" s="18" t="s">
        <v>240</v>
      </c>
      <c r="C269" s="19" t="s">
        <v>241</v>
      </c>
      <c r="D269" s="18" t="s">
        <v>985</v>
      </c>
      <c r="E269" s="19" t="s">
        <v>986</v>
      </c>
      <c r="F269" s="18" t="s">
        <v>244</v>
      </c>
      <c r="G269" s="18" t="s">
        <v>245</v>
      </c>
      <c r="H269" s="19" t="s">
        <v>175</v>
      </c>
      <c r="I269" s="18" t="s">
        <v>246</v>
      </c>
      <c r="J269" s="19" t="s">
        <v>247</v>
      </c>
      <c r="K269" s="19" t="s">
        <v>248</v>
      </c>
      <c r="L269" s="18" t="s">
        <v>164</v>
      </c>
      <c r="M269" s="18" t="s">
        <v>272</v>
      </c>
      <c r="N269" s="18" t="s">
        <v>250</v>
      </c>
      <c r="O269" s="20">
        <v>119000</v>
      </c>
      <c r="P269" s="20">
        <v>82110</v>
      </c>
      <c r="Q269" s="20">
        <v>1</v>
      </c>
      <c r="R269" s="20">
        <v>0</v>
      </c>
      <c r="S269" s="20">
        <v>0</v>
      </c>
      <c r="T269" s="20">
        <v>0</v>
      </c>
      <c r="U269" s="20">
        <v>0</v>
      </c>
      <c r="V269" s="20">
        <v>0</v>
      </c>
      <c r="W269" s="20">
        <v>31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119000</v>
      </c>
      <c r="AD269" s="20">
        <v>82110</v>
      </c>
      <c r="AE269" s="20">
        <v>0</v>
      </c>
      <c r="AF269" s="20">
        <v>0</v>
      </c>
      <c r="AG269" s="20">
        <v>119000</v>
      </c>
      <c r="AH269" s="20">
        <v>82110</v>
      </c>
      <c r="AI269" s="20">
        <v>33536</v>
      </c>
      <c r="AJ269" s="20">
        <v>3354</v>
      </c>
      <c r="AK269" s="20">
        <v>36890</v>
      </c>
    </row>
    <row r="270" spans="1:37" ht="16.5" customHeight="1" x14ac:dyDescent="0.3">
      <c r="A270" s="18" t="s">
        <v>987</v>
      </c>
      <c r="B270" s="18" t="s">
        <v>240</v>
      </c>
      <c r="C270" s="19" t="s">
        <v>241</v>
      </c>
      <c r="D270" s="18" t="s">
        <v>988</v>
      </c>
      <c r="E270" s="19" t="s">
        <v>637</v>
      </c>
      <c r="F270" s="18" t="s">
        <v>244</v>
      </c>
      <c r="G270" s="18" t="s">
        <v>245</v>
      </c>
      <c r="H270" s="19" t="s">
        <v>175</v>
      </c>
      <c r="I270" s="18" t="s">
        <v>246</v>
      </c>
      <c r="J270" s="19" t="s">
        <v>247</v>
      </c>
      <c r="K270" s="19" t="s">
        <v>248</v>
      </c>
      <c r="L270" s="18" t="s">
        <v>164</v>
      </c>
      <c r="M270" s="18" t="s">
        <v>272</v>
      </c>
      <c r="N270" s="18" t="s">
        <v>250</v>
      </c>
      <c r="O270" s="20">
        <v>119000</v>
      </c>
      <c r="P270" s="20">
        <v>82110</v>
      </c>
      <c r="Q270" s="20">
        <v>1</v>
      </c>
      <c r="R270" s="20">
        <v>0</v>
      </c>
      <c r="S270" s="20">
        <v>0</v>
      </c>
      <c r="T270" s="20">
        <v>0</v>
      </c>
      <c r="U270" s="20">
        <v>0</v>
      </c>
      <c r="V270" s="20">
        <v>0</v>
      </c>
      <c r="W270" s="20">
        <v>31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119000</v>
      </c>
      <c r="AD270" s="20">
        <v>82110</v>
      </c>
      <c r="AE270" s="20">
        <v>0</v>
      </c>
      <c r="AF270" s="20">
        <v>0</v>
      </c>
      <c r="AG270" s="20">
        <v>119000</v>
      </c>
      <c r="AH270" s="20">
        <v>82110</v>
      </c>
      <c r="AI270" s="20">
        <v>33536</v>
      </c>
      <c r="AJ270" s="20">
        <v>3354</v>
      </c>
      <c r="AK270" s="20">
        <v>36890</v>
      </c>
    </row>
    <row r="271" spans="1:37" ht="16.5" customHeight="1" x14ac:dyDescent="0.3">
      <c r="A271" s="18" t="s">
        <v>989</v>
      </c>
      <c r="B271" s="18" t="s">
        <v>240</v>
      </c>
      <c r="C271" s="19" t="s">
        <v>241</v>
      </c>
      <c r="D271" s="18" t="s">
        <v>990</v>
      </c>
      <c r="E271" s="19" t="s">
        <v>657</v>
      </c>
      <c r="F271" s="18" t="s">
        <v>244</v>
      </c>
      <c r="G271" s="18" t="s">
        <v>245</v>
      </c>
      <c r="H271" s="19" t="s">
        <v>175</v>
      </c>
      <c r="I271" s="18" t="s">
        <v>246</v>
      </c>
      <c r="J271" s="19" t="s">
        <v>247</v>
      </c>
      <c r="K271" s="19" t="s">
        <v>248</v>
      </c>
      <c r="L271" s="18" t="s">
        <v>164</v>
      </c>
      <c r="M271" s="18" t="s">
        <v>272</v>
      </c>
      <c r="N271" s="18" t="s">
        <v>250</v>
      </c>
      <c r="O271" s="20">
        <v>119000</v>
      </c>
      <c r="P271" s="20">
        <v>82110</v>
      </c>
      <c r="Q271" s="20">
        <v>1</v>
      </c>
      <c r="R271" s="20">
        <v>0</v>
      </c>
      <c r="S271" s="20">
        <v>0</v>
      </c>
      <c r="T271" s="20">
        <v>0</v>
      </c>
      <c r="U271" s="20">
        <v>0</v>
      </c>
      <c r="V271" s="20">
        <v>0</v>
      </c>
      <c r="W271" s="20">
        <v>31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119000</v>
      </c>
      <c r="AD271" s="20">
        <v>82110</v>
      </c>
      <c r="AE271" s="20">
        <v>0</v>
      </c>
      <c r="AF271" s="20">
        <v>0</v>
      </c>
      <c r="AG271" s="20">
        <v>119000</v>
      </c>
      <c r="AH271" s="20">
        <v>82110</v>
      </c>
      <c r="AI271" s="20">
        <v>33536</v>
      </c>
      <c r="AJ271" s="20">
        <v>3354</v>
      </c>
      <c r="AK271" s="20">
        <v>36890</v>
      </c>
    </row>
    <row r="272" spans="1:37" ht="16.5" customHeight="1" x14ac:dyDescent="0.3">
      <c r="A272" s="18" t="s">
        <v>991</v>
      </c>
      <c r="B272" s="18" t="s">
        <v>240</v>
      </c>
      <c r="C272" s="19" t="s">
        <v>241</v>
      </c>
      <c r="D272" s="18" t="s">
        <v>992</v>
      </c>
      <c r="E272" s="19" t="s">
        <v>993</v>
      </c>
      <c r="F272" s="18" t="s">
        <v>244</v>
      </c>
      <c r="G272" s="18" t="s">
        <v>245</v>
      </c>
      <c r="H272" s="19" t="s">
        <v>175</v>
      </c>
      <c r="I272" s="18" t="s">
        <v>246</v>
      </c>
      <c r="J272" s="19" t="s">
        <v>247</v>
      </c>
      <c r="K272" s="19" t="s">
        <v>248</v>
      </c>
      <c r="L272" s="18" t="s">
        <v>164</v>
      </c>
      <c r="M272" s="18" t="s">
        <v>272</v>
      </c>
      <c r="N272" s="18" t="s">
        <v>250</v>
      </c>
      <c r="O272" s="20">
        <v>119000</v>
      </c>
      <c r="P272" s="20">
        <v>82110</v>
      </c>
      <c r="Q272" s="20">
        <v>1</v>
      </c>
      <c r="R272" s="20">
        <v>0</v>
      </c>
      <c r="S272" s="20">
        <v>0</v>
      </c>
      <c r="T272" s="20">
        <v>0</v>
      </c>
      <c r="U272" s="20">
        <v>0</v>
      </c>
      <c r="V272" s="20">
        <v>0</v>
      </c>
      <c r="W272" s="20">
        <v>31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119000</v>
      </c>
      <c r="AD272" s="20">
        <v>82110</v>
      </c>
      <c r="AE272" s="20">
        <v>0</v>
      </c>
      <c r="AF272" s="20">
        <v>0</v>
      </c>
      <c r="AG272" s="20">
        <v>119000</v>
      </c>
      <c r="AH272" s="20">
        <v>82110</v>
      </c>
      <c r="AI272" s="20">
        <v>33536</v>
      </c>
      <c r="AJ272" s="20">
        <v>3354</v>
      </c>
      <c r="AK272" s="20">
        <v>36890</v>
      </c>
    </row>
    <row r="273" spans="1:37" ht="16.5" customHeight="1" x14ac:dyDescent="0.3">
      <c r="A273" s="18" t="s">
        <v>994</v>
      </c>
      <c r="B273" s="18" t="s">
        <v>240</v>
      </c>
      <c r="C273" s="19" t="s">
        <v>241</v>
      </c>
      <c r="D273" s="18" t="s">
        <v>995</v>
      </c>
      <c r="E273" s="19" t="s">
        <v>996</v>
      </c>
      <c r="F273" s="18" t="s">
        <v>244</v>
      </c>
      <c r="G273" s="18" t="s">
        <v>245</v>
      </c>
      <c r="H273" s="19" t="s">
        <v>175</v>
      </c>
      <c r="I273" s="18" t="s">
        <v>246</v>
      </c>
      <c r="J273" s="19" t="s">
        <v>247</v>
      </c>
      <c r="K273" s="19" t="s">
        <v>248</v>
      </c>
      <c r="L273" s="18" t="s">
        <v>164</v>
      </c>
      <c r="M273" s="18" t="s">
        <v>272</v>
      </c>
      <c r="N273" s="18" t="s">
        <v>250</v>
      </c>
      <c r="O273" s="20">
        <v>119000</v>
      </c>
      <c r="P273" s="20">
        <v>82110</v>
      </c>
      <c r="Q273" s="20">
        <v>1</v>
      </c>
      <c r="R273" s="20">
        <v>0</v>
      </c>
      <c r="S273" s="20">
        <v>0</v>
      </c>
      <c r="T273" s="20">
        <v>0</v>
      </c>
      <c r="U273" s="20">
        <v>0</v>
      </c>
      <c r="V273" s="20">
        <v>0</v>
      </c>
      <c r="W273" s="20">
        <v>31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119000</v>
      </c>
      <c r="AD273" s="20">
        <v>82110</v>
      </c>
      <c r="AE273" s="20">
        <v>0</v>
      </c>
      <c r="AF273" s="20">
        <v>0</v>
      </c>
      <c r="AG273" s="20">
        <v>119000</v>
      </c>
      <c r="AH273" s="20">
        <v>82110</v>
      </c>
      <c r="AI273" s="20">
        <v>33536</v>
      </c>
      <c r="AJ273" s="20">
        <v>3354</v>
      </c>
      <c r="AK273" s="20">
        <v>36890</v>
      </c>
    </row>
    <row r="274" spans="1:37" ht="16.5" customHeight="1" x14ac:dyDescent="0.3">
      <c r="A274" s="18" t="s">
        <v>997</v>
      </c>
      <c r="B274" s="18" t="s">
        <v>240</v>
      </c>
      <c r="C274" s="19" t="s">
        <v>241</v>
      </c>
      <c r="D274" s="18" t="s">
        <v>998</v>
      </c>
      <c r="E274" s="19" t="s">
        <v>999</v>
      </c>
      <c r="F274" s="18" t="s">
        <v>244</v>
      </c>
      <c r="G274" s="18" t="s">
        <v>245</v>
      </c>
      <c r="H274" s="19" t="s">
        <v>175</v>
      </c>
      <c r="I274" s="18" t="s">
        <v>246</v>
      </c>
      <c r="J274" s="19" t="s">
        <v>247</v>
      </c>
      <c r="K274" s="19" t="s">
        <v>248</v>
      </c>
      <c r="L274" s="18" t="s">
        <v>164</v>
      </c>
      <c r="M274" s="18" t="s">
        <v>272</v>
      </c>
      <c r="N274" s="18" t="s">
        <v>250</v>
      </c>
      <c r="O274" s="20">
        <v>119000</v>
      </c>
      <c r="P274" s="20">
        <v>82110</v>
      </c>
      <c r="Q274" s="20">
        <v>1</v>
      </c>
      <c r="R274" s="20">
        <v>0</v>
      </c>
      <c r="S274" s="20">
        <v>0</v>
      </c>
      <c r="T274" s="20">
        <v>0</v>
      </c>
      <c r="U274" s="20">
        <v>0</v>
      </c>
      <c r="V274" s="20">
        <v>0</v>
      </c>
      <c r="W274" s="20">
        <v>31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119000</v>
      </c>
      <c r="AD274" s="20">
        <v>82110</v>
      </c>
      <c r="AE274" s="20">
        <v>0</v>
      </c>
      <c r="AF274" s="20">
        <v>0</v>
      </c>
      <c r="AG274" s="20">
        <v>119000</v>
      </c>
      <c r="AH274" s="20">
        <v>82110</v>
      </c>
      <c r="AI274" s="20">
        <v>33536</v>
      </c>
      <c r="AJ274" s="20">
        <v>3354</v>
      </c>
      <c r="AK274" s="20">
        <v>36890</v>
      </c>
    </row>
    <row r="275" spans="1:37" ht="16.5" customHeight="1" x14ac:dyDescent="0.3">
      <c r="A275" s="18" t="s">
        <v>1000</v>
      </c>
      <c r="B275" s="18" t="s">
        <v>240</v>
      </c>
      <c r="C275" s="19" t="s">
        <v>241</v>
      </c>
      <c r="D275" s="18" t="s">
        <v>1001</v>
      </c>
      <c r="E275" s="19" t="s">
        <v>473</v>
      </c>
      <c r="F275" s="18" t="s">
        <v>244</v>
      </c>
      <c r="G275" s="18" t="s">
        <v>245</v>
      </c>
      <c r="H275" s="19" t="s">
        <v>175</v>
      </c>
      <c r="I275" s="18" t="s">
        <v>246</v>
      </c>
      <c r="J275" s="19" t="s">
        <v>247</v>
      </c>
      <c r="K275" s="19" t="s">
        <v>314</v>
      </c>
      <c r="L275" s="18" t="s">
        <v>164</v>
      </c>
      <c r="M275" s="18" t="s">
        <v>272</v>
      </c>
      <c r="N275" s="18" t="s">
        <v>250</v>
      </c>
      <c r="O275" s="20">
        <v>119000</v>
      </c>
      <c r="P275" s="20">
        <v>82110</v>
      </c>
      <c r="Q275" s="20">
        <v>1</v>
      </c>
      <c r="R275" s="20">
        <v>0</v>
      </c>
      <c r="S275" s="20">
        <v>0</v>
      </c>
      <c r="T275" s="20">
        <v>0</v>
      </c>
      <c r="U275" s="20">
        <v>0</v>
      </c>
      <c r="V275" s="20">
        <v>0</v>
      </c>
      <c r="W275" s="20">
        <v>31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119000</v>
      </c>
      <c r="AD275" s="20">
        <v>82110</v>
      </c>
      <c r="AE275" s="20">
        <v>0</v>
      </c>
      <c r="AF275" s="20">
        <v>0</v>
      </c>
      <c r="AG275" s="20">
        <v>119000</v>
      </c>
      <c r="AH275" s="20">
        <v>82110</v>
      </c>
      <c r="AI275" s="20">
        <v>33536</v>
      </c>
      <c r="AJ275" s="20">
        <v>3354</v>
      </c>
      <c r="AK275" s="20">
        <v>36890</v>
      </c>
    </row>
    <row r="276" spans="1:37" ht="16.5" customHeight="1" x14ac:dyDescent="0.3">
      <c r="A276" s="18" t="s">
        <v>1002</v>
      </c>
      <c r="B276" s="18" t="s">
        <v>240</v>
      </c>
      <c r="C276" s="19" t="s">
        <v>241</v>
      </c>
      <c r="D276" s="18" t="s">
        <v>1003</v>
      </c>
      <c r="E276" s="19" t="s">
        <v>1004</v>
      </c>
      <c r="F276" s="18" t="s">
        <v>244</v>
      </c>
      <c r="G276" s="18" t="s">
        <v>245</v>
      </c>
      <c r="H276" s="19" t="s">
        <v>175</v>
      </c>
      <c r="I276" s="18" t="s">
        <v>246</v>
      </c>
      <c r="J276" s="19" t="s">
        <v>247</v>
      </c>
      <c r="K276" s="19" t="s">
        <v>248</v>
      </c>
      <c r="L276" s="18" t="s">
        <v>164</v>
      </c>
      <c r="M276" s="18" t="s">
        <v>272</v>
      </c>
      <c r="N276" s="18" t="s">
        <v>250</v>
      </c>
      <c r="O276" s="20">
        <v>119000</v>
      </c>
      <c r="P276" s="20">
        <v>82110</v>
      </c>
      <c r="Q276" s="20">
        <v>1</v>
      </c>
      <c r="R276" s="20">
        <v>0</v>
      </c>
      <c r="S276" s="20">
        <v>0</v>
      </c>
      <c r="T276" s="20">
        <v>0</v>
      </c>
      <c r="U276" s="20">
        <v>0</v>
      </c>
      <c r="V276" s="20">
        <v>0</v>
      </c>
      <c r="W276" s="20">
        <v>31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119000</v>
      </c>
      <c r="AD276" s="20">
        <v>82110</v>
      </c>
      <c r="AE276" s="20">
        <v>0</v>
      </c>
      <c r="AF276" s="20">
        <v>0</v>
      </c>
      <c r="AG276" s="20">
        <v>119000</v>
      </c>
      <c r="AH276" s="20">
        <v>82110</v>
      </c>
      <c r="AI276" s="20">
        <v>33536</v>
      </c>
      <c r="AJ276" s="20">
        <v>3354</v>
      </c>
      <c r="AK276" s="20">
        <v>36890</v>
      </c>
    </row>
    <row r="277" spans="1:37" ht="16.5" customHeight="1" x14ac:dyDescent="0.3">
      <c r="A277" s="18" t="s">
        <v>1005</v>
      </c>
      <c r="B277" s="18" t="s">
        <v>240</v>
      </c>
      <c r="C277" s="19" t="s">
        <v>241</v>
      </c>
      <c r="D277" s="18" t="s">
        <v>1006</v>
      </c>
      <c r="E277" s="19" t="s">
        <v>615</v>
      </c>
      <c r="F277" s="18" t="s">
        <v>244</v>
      </c>
      <c r="G277" s="18" t="s">
        <v>245</v>
      </c>
      <c r="H277" s="19" t="s">
        <v>175</v>
      </c>
      <c r="I277" s="18" t="s">
        <v>246</v>
      </c>
      <c r="J277" s="19" t="s">
        <v>247</v>
      </c>
      <c r="K277" s="19" t="s">
        <v>248</v>
      </c>
      <c r="L277" s="18" t="s">
        <v>164</v>
      </c>
      <c r="M277" s="18" t="s">
        <v>272</v>
      </c>
      <c r="N277" s="18" t="s">
        <v>250</v>
      </c>
      <c r="O277" s="20">
        <v>119000</v>
      </c>
      <c r="P277" s="20">
        <v>82110</v>
      </c>
      <c r="Q277" s="20">
        <v>1</v>
      </c>
      <c r="R277" s="20">
        <v>0</v>
      </c>
      <c r="S277" s="20">
        <v>0</v>
      </c>
      <c r="T277" s="20">
        <v>0</v>
      </c>
      <c r="U277" s="20">
        <v>0</v>
      </c>
      <c r="V277" s="20">
        <v>0</v>
      </c>
      <c r="W277" s="20">
        <v>31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119000</v>
      </c>
      <c r="AD277" s="20">
        <v>82110</v>
      </c>
      <c r="AE277" s="20">
        <v>0</v>
      </c>
      <c r="AF277" s="20">
        <v>0</v>
      </c>
      <c r="AG277" s="20">
        <v>119000</v>
      </c>
      <c r="AH277" s="20">
        <v>82110</v>
      </c>
      <c r="AI277" s="20">
        <v>33536</v>
      </c>
      <c r="AJ277" s="20">
        <v>3354</v>
      </c>
      <c r="AK277" s="20">
        <v>36890</v>
      </c>
    </row>
    <row r="278" spans="1:37" ht="16.5" customHeight="1" x14ac:dyDescent="0.3">
      <c r="A278" s="18" t="s">
        <v>1007</v>
      </c>
      <c r="B278" s="18" t="s">
        <v>240</v>
      </c>
      <c r="C278" s="19" t="s">
        <v>241</v>
      </c>
      <c r="D278" s="18" t="s">
        <v>1008</v>
      </c>
      <c r="E278" s="19" t="s">
        <v>615</v>
      </c>
      <c r="F278" s="18" t="s">
        <v>244</v>
      </c>
      <c r="G278" s="18" t="s">
        <v>245</v>
      </c>
      <c r="H278" s="19" t="s">
        <v>175</v>
      </c>
      <c r="I278" s="18" t="s">
        <v>246</v>
      </c>
      <c r="J278" s="19" t="s">
        <v>247</v>
      </c>
      <c r="K278" s="19" t="s">
        <v>248</v>
      </c>
      <c r="L278" s="18" t="s">
        <v>164</v>
      </c>
      <c r="M278" s="18" t="s">
        <v>272</v>
      </c>
      <c r="N278" s="18" t="s">
        <v>250</v>
      </c>
      <c r="O278" s="20">
        <v>119000</v>
      </c>
      <c r="P278" s="20">
        <v>82110</v>
      </c>
      <c r="Q278" s="20">
        <v>1</v>
      </c>
      <c r="R278" s="20">
        <v>0</v>
      </c>
      <c r="S278" s="20">
        <v>0</v>
      </c>
      <c r="T278" s="20">
        <v>0</v>
      </c>
      <c r="U278" s="20">
        <v>0</v>
      </c>
      <c r="V278" s="20">
        <v>0</v>
      </c>
      <c r="W278" s="20">
        <v>31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119000</v>
      </c>
      <c r="AD278" s="20">
        <v>82110</v>
      </c>
      <c r="AE278" s="20">
        <v>0</v>
      </c>
      <c r="AF278" s="20">
        <v>0</v>
      </c>
      <c r="AG278" s="20">
        <v>119000</v>
      </c>
      <c r="AH278" s="20">
        <v>82110</v>
      </c>
      <c r="AI278" s="20">
        <v>33536</v>
      </c>
      <c r="AJ278" s="20">
        <v>3354</v>
      </c>
      <c r="AK278" s="20">
        <v>36890</v>
      </c>
    </row>
    <row r="279" spans="1:37" ht="16.5" customHeight="1" x14ac:dyDescent="0.3">
      <c r="A279" s="18" t="s">
        <v>1009</v>
      </c>
      <c r="B279" s="18" t="s">
        <v>240</v>
      </c>
      <c r="C279" s="19" t="s">
        <v>241</v>
      </c>
      <c r="D279" s="18" t="s">
        <v>1010</v>
      </c>
      <c r="E279" s="19" t="s">
        <v>1011</v>
      </c>
      <c r="F279" s="18" t="s">
        <v>244</v>
      </c>
      <c r="G279" s="18" t="s">
        <v>245</v>
      </c>
      <c r="H279" s="19" t="s">
        <v>175</v>
      </c>
      <c r="I279" s="18" t="s">
        <v>246</v>
      </c>
      <c r="J279" s="19" t="s">
        <v>247</v>
      </c>
      <c r="K279" s="19" t="s">
        <v>248</v>
      </c>
      <c r="L279" s="18" t="s">
        <v>164</v>
      </c>
      <c r="M279" s="18" t="s">
        <v>272</v>
      </c>
      <c r="N279" s="18" t="s">
        <v>250</v>
      </c>
      <c r="O279" s="20">
        <v>119000</v>
      </c>
      <c r="P279" s="20">
        <v>82110</v>
      </c>
      <c r="Q279" s="20">
        <v>1</v>
      </c>
      <c r="R279" s="20">
        <v>0</v>
      </c>
      <c r="S279" s="20">
        <v>0</v>
      </c>
      <c r="T279" s="20">
        <v>0</v>
      </c>
      <c r="U279" s="20">
        <v>0</v>
      </c>
      <c r="V279" s="20">
        <v>0</v>
      </c>
      <c r="W279" s="20">
        <v>31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119000</v>
      </c>
      <c r="AD279" s="20">
        <v>82110</v>
      </c>
      <c r="AE279" s="20">
        <v>0</v>
      </c>
      <c r="AF279" s="20">
        <v>0</v>
      </c>
      <c r="AG279" s="20">
        <v>119000</v>
      </c>
      <c r="AH279" s="20">
        <v>82110</v>
      </c>
      <c r="AI279" s="20">
        <v>33536</v>
      </c>
      <c r="AJ279" s="20">
        <v>3354</v>
      </c>
      <c r="AK279" s="20">
        <v>36890</v>
      </c>
    </row>
    <row r="280" spans="1:37" ht="16.5" customHeight="1" x14ac:dyDescent="0.3">
      <c r="A280" s="18" t="s">
        <v>1012</v>
      </c>
      <c r="B280" s="18" t="s">
        <v>240</v>
      </c>
      <c r="C280" s="19" t="s">
        <v>241</v>
      </c>
      <c r="D280" s="18" t="s">
        <v>1013</v>
      </c>
      <c r="E280" s="19" t="s">
        <v>1014</v>
      </c>
      <c r="F280" s="18" t="s">
        <v>244</v>
      </c>
      <c r="G280" s="18" t="s">
        <v>245</v>
      </c>
      <c r="H280" s="19" t="s">
        <v>175</v>
      </c>
      <c r="I280" s="18" t="s">
        <v>246</v>
      </c>
      <c r="J280" s="19" t="s">
        <v>247</v>
      </c>
      <c r="K280" s="19" t="s">
        <v>248</v>
      </c>
      <c r="L280" s="18" t="s">
        <v>164</v>
      </c>
      <c r="M280" s="18" t="s">
        <v>272</v>
      </c>
      <c r="N280" s="18" t="s">
        <v>250</v>
      </c>
      <c r="O280" s="20">
        <v>119000</v>
      </c>
      <c r="P280" s="20">
        <v>82110</v>
      </c>
      <c r="Q280" s="20">
        <v>1</v>
      </c>
      <c r="R280" s="20">
        <v>0</v>
      </c>
      <c r="S280" s="20">
        <v>0</v>
      </c>
      <c r="T280" s="20">
        <v>0</v>
      </c>
      <c r="U280" s="20">
        <v>0</v>
      </c>
      <c r="V280" s="20">
        <v>0</v>
      </c>
      <c r="W280" s="20">
        <v>31</v>
      </c>
      <c r="X280" s="20">
        <v>0</v>
      </c>
      <c r="Y280" s="20">
        <v>0</v>
      </c>
      <c r="Z280" s="20">
        <v>0</v>
      </c>
      <c r="AA280" s="20">
        <v>0</v>
      </c>
      <c r="AB280" s="20">
        <v>0</v>
      </c>
      <c r="AC280" s="20">
        <v>119000</v>
      </c>
      <c r="AD280" s="20">
        <v>82110</v>
      </c>
      <c r="AE280" s="20">
        <v>0</v>
      </c>
      <c r="AF280" s="20">
        <v>0</v>
      </c>
      <c r="AG280" s="20">
        <v>119000</v>
      </c>
      <c r="AH280" s="20">
        <v>82110</v>
      </c>
      <c r="AI280" s="20">
        <v>33536</v>
      </c>
      <c r="AJ280" s="20">
        <v>3354</v>
      </c>
      <c r="AK280" s="20">
        <v>36890</v>
      </c>
    </row>
    <row r="281" spans="1:37" ht="16.5" customHeight="1" x14ac:dyDescent="0.3">
      <c r="A281" s="18" t="s">
        <v>1015</v>
      </c>
      <c r="B281" s="18" t="s">
        <v>240</v>
      </c>
      <c r="C281" s="19" t="s">
        <v>241</v>
      </c>
      <c r="D281" s="18" t="s">
        <v>1016</v>
      </c>
      <c r="E281" s="19" t="s">
        <v>464</v>
      </c>
      <c r="F281" s="18" t="s">
        <v>244</v>
      </c>
      <c r="G281" s="18" t="s">
        <v>245</v>
      </c>
      <c r="H281" s="19" t="s">
        <v>175</v>
      </c>
      <c r="I281" s="18" t="s">
        <v>246</v>
      </c>
      <c r="J281" s="19" t="s">
        <v>247</v>
      </c>
      <c r="K281" s="19" t="s">
        <v>248</v>
      </c>
      <c r="L281" s="18" t="s">
        <v>164</v>
      </c>
      <c r="M281" s="18" t="s">
        <v>272</v>
      </c>
      <c r="N281" s="18" t="s">
        <v>250</v>
      </c>
      <c r="O281" s="20">
        <v>119000</v>
      </c>
      <c r="P281" s="20">
        <v>82110</v>
      </c>
      <c r="Q281" s="20">
        <v>1</v>
      </c>
      <c r="R281" s="20">
        <v>0</v>
      </c>
      <c r="S281" s="20">
        <v>0</v>
      </c>
      <c r="T281" s="20">
        <v>0</v>
      </c>
      <c r="U281" s="20">
        <v>0</v>
      </c>
      <c r="V281" s="20">
        <v>0</v>
      </c>
      <c r="W281" s="20">
        <v>31</v>
      </c>
      <c r="X281" s="20">
        <v>0</v>
      </c>
      <c r="Y281" s="20">
        <v>0</v>
      </c>
      <c r="Z281" s="20">
        <v>0</v>
      </c>
      <c r="AA281" s="20">
        <v>0</v>
      </c>
      <c r="AB281" s="20">
        <v>0</v>
      </c>
      <c r="AC281" s="20">
        <v>119000</v>
      </c>
      <c r="AD281" s="20">
        <v>82110</v>
      </c>
      <c r="AE281" s="20">
        <v>0</v>
      </c>
      <c r="AF281" s="20">
        <v>0</v>
      </c>
      <c r="AG281" s="20">
        <v>119000</v>
      </c>
      <c r="AH281" s="20">
        <v>82110</v>
      </c>
      <c r="AI281" s="20">
        <v>33536</v>
      </c>
      <c r="AJ281" s="20">
        <v>3354</v>
      </c>
      <c r="AK281" s="20">
        <v>36890</v>
      </c>
    </row>
    <row r="282" spans="1:37" ht="16.5" customHeight="1" x14ac:dyDescent="0.3">
      <c r="A282" s="18" t="s">
        <v>1017</v>
      </c>
      <c r="B282" s="18" t="s">
        <v>240</v>
      </c>
      <c r="C282" s="19" t="s">
        <v>241</v>
      </c>
      <c r="D282" s="18" t="s">
        <v>1018</v>
      </c>
      <c r="E282" s="19" t="s">
        <v>535</v>
      </c>
      <c r="F282" s="18" t="s">
        <v>244</v>
      </c>
      <c r="G282" s="18" t="s">
        <v>245</v>
      </c>
      <c r="H282" s="19" t="s">
        <v>175</v>
      </c>
      <c r="I282" s="18" t="s">
        <v>246</v>
      </c>
      <c r="J282" s="19" t="s">
        <v>247</v>
      </c>
      <c r="K282" s="19" t="s">
        <v>248</v>
      </c>
      <c r="L282" s="18" t="s">
        <v>164</v>
      </c>
      <c r="M282" s="18" t="s">
        <v>272</v>
      </c>
      <c r="N282" s="18" t="s">
        <v>250</v>
      </c>
      <c r="O282" s="20">
        <v>119000</v>
      </c>
      <c r="P282" s="20">
        <v>82110</v>
      </c>
      <c r="Q282" s="20">
        <v>1</v>
      </c>
      <c r="R282" s="20">
        <v>0</v>
      </c>
      <c r="S282" s="20">
        <v>0</v>
      </c>
      <c r="T282" s="20">
        <v>0</v>
      </c>
      <c r="U282" s="20">
        <v>0</v>
      </c>
      <c r="V282" s="20">
        <v>0</v>
      </c>
      <c r="W282" s="20">
        <v>31</v>
      </c>
      <c r="X282" s="20">
        <v>0</v>
      </c>
      <c r="Y282" s="20">
        <v>0</v>
      </c>
      <c r="Z282" s="20">
        <v>0</v>
      </c>
      <c r="AA282" s="20">
        <v>0</v>
      </c>
      <c r="AB282" s="20">
        <v>0</v>
      </c>
      <c r="AC282" s="20">
        <v>119000</v>
      </c>
      <c r="AD282" s="20">
        <v>82110</v>
      </c>
      <c r="AE282" s="20">
        <v>0</v>
      </c>
      <c r="AF282" s="20">
        <v>0</v>
      </c>
      <c r="AG282" s="20">
        <v>119000</v>
      </c>
      <c r="AH282" s="20">
        <v>82110</v>
      </c>
      <c r="AI282" s="20">
        <v>33536</v>
      </c>
      <c r="AJ282" s="20">
        <v>3354</v>
      </c>
      <c r="AK282" s="20">
        <v>36890</v>
      </c>
    </row>
    <row r="283" spans="1:37" ht="16.5" customHeight="1" x14ac:dyDescent="0.3">
      <c r="A283" s="18" t="s">
        <v>1019</v>
      </c>
      <c r="B283" s="18" t="s">
        <v>240</v>
      </c>
      <c r="C283" s="19" t="s">
        <v>241</v>
      </c>
      <c r="D283" s="18" t="s">
        <v>1020</v>
      </c>
      <c r="E283" s="19" t="s">
        <v>1021</v>
      </c>
      <c r="F283" s="18" t="s">
        <v>244</v>
      </c>
      <c r="G283" s="18" t="s">
        <v>245</v>
      </c>
      <c r="H283" s="19" t="s">
        <v>175</v>
      </c>
      <c r="I283" s="18" t="s">
        <v>246</v>
      </c>
      <c r="J283" s="19" t="s">
        <v>247</v>
      </c>
      <c r="K283" s="19" t="s">
        <v>248</v>
      </c>
      <c r="L283" s="18" t="s">
        <v>164</v>
      </c>
      <c r="M283" s="18" t="s">
        <v>272</v>
      </c>
      <c r="N283" s="18" t="s">
        <v>250</v>
      </c>
      <c r="O283" s="20">
        <v>119000</v>
      </c>
      <c r="P283" s="20">
        <v>82110</v>
      </c>
      <c r="Q283" s="20">
        <v>1</v>
      </c>
      <c r="R283" s="20">
        <v>0</v>
      </c>
      <c r="S283" s="20">
        <v>0</v>
      </c>
      <c r="T283" s="20">
        <v>0</v>
      </c>
      <c r="U283" s="20">
        <v>0</v>
      </c>
      <c r="V283" s="20">
        <v>0</v>
      </c>
      <c r="W283" s="20">
        <v>31</v>
      </c>
      <c r="X283" s="20">
        <v>19040</v>
      </c>
      <c r="Y283" s="20">
        <v>0</v>
      </c>
      <c r="Z283" s="20">
        <v>0</v>
      </c>
      <c r="AA283" s="20">
        <v>0</v>
      </c>
      <c r="AB283" s="20">
        <v>0</v>
      </c>
      <c r="AC283" s="20">
        <v>119000</v>
      </c>
      <c r="AD283" s="20">
        <v>82110</v>
      </c>
      <c r="AE283" s="20">
        <v>0</v>
      </c>
      <c r="AF283" s="20">
        <v>19040</v>
      </c>
      <c r="AG283" s="20">
        <v>99960</v>
      </c>
      <c r="AH283" s="20">
        <v>82110</v>
      </c>
      <c r="AI283" s="20">
        <v>16227</v>
      </c>
      <c r="AJ283" s="20">
        <v>1623</v>
      </c>
      <c r="AK283" s="20">
        <v>17850</v>
      </c>
    </row>
    <row r="284" spans="1:37" ht="16.5" customHeight="1" x14ac:dyDescent="0.3">
      <c r="A284" s="18" t="s">
        <v>1022</v>
      </c>
      <c r="B284" s="18" t="s">
        <v>240</v>
      </c>
      <c r="C284" s="19" t="s">
        <v>241</v>
      </c>
      <c r="D284" s="18" t="s">
        <v>1023</v>
      </c>
      <c r="E284" s="19" t="s">
        <v>1024</v>
      </c>
      <c r="F284" s="18" t="s">
        <v>244</v>
      </c>
      <c r="G284" s="18" t="s">
        <v>245</v>
      </c>
      <c r="H284" s="19" t="s">
        <v>175</v>
      </c>
      <c r="I284" s="18" t="s">
        <v>246</v>
      </c>
      <c r="J284" s="19" t="s">
        <v>247</v>
      </c>
      <c r="K284" s="19" t="s">
        <v>248</v>
      </c>
      <c r="L284" s="18" t="s">
        <v>164</v>
      </c>
      <c r="M284" s="18" t="s">
        <v>272</v>
      </c>
      <c r="N284" s="18" t="s">
        <v>250</v>
      </c>
      <c r="O284" s="20">
        <v>119000</v>
      </c>
      <c r="P284" s="20">
        <v>82110</v>
      </c>
      <c r="Q284" s="20">
        <v>1</v>
      </c>
      <c r="R284" s="20">
        <v>0</v>
      </c>
      <c r="S284" s="20">
        <v>0</v>
      </c>
      <c r="T284" s="20">
        <v>0</v>
      </c>
      <c r="U284" s="20">
        <v>0</v>
      </c>
      <c r="V284" s="20">
        <v>0</v>
      </c>
      <c r="W284" s="20">
        <v>31</v>
      </c>
      <c r="X284" s="20">
        <v>0</v>
      </c>
      <c r="Y284" s="20">
        <v>0</v>
      </c>
      <c r="Z284" s="20">
        <v>0</v>
      </c>
      <c r="AA284" s="20">
        <v>0</v>
      </c>
      <c r="AB284" s="20">
        <v>0</v>
      </c>
      <c r="AC284" s="20">
        <v>119000</v>
      </c>
      <c r="AD284" s="20">
        <v>82110</v>
      </c>
      <c r="AE284" s="20">
        <v>0</v>
      </c>
      <c r="AF284" s="20">
        <v>0</v>
      </c>
      <c r="AG284" s="20">
        <v>119000</v>
      </c>
      <c r="AH284" s="20">
        <v>82110</v>
      </c>
      <c r="AI284" s="20">
        <v>33536</v>
      </c>
      <c r="AJ284" s="20">
        <v>3354</v>
      </c>
      <c r="AK284" s="20">
        <v>36890</v>
      </c>
    </row>
    <row r="285" spans="1:37" ht="16.5" customHeight="1" x14ac:dyDescent="0.3">
      <c r="A285" s="18" t="s">
        <v>1025</v>
      </c>
      <c r="B285" s="18" t="s">
        <v>240</v>
      </c>
      <c r="C285" s="19" t="s">
        <v>241</v>
      </c>
      <c r="D285" s="18" t="s">
        <v>1026</v>
      </c>
      <c r="E285" s="19" t="s">
        <v>847</v>
      </c>
      <c r="F285" s="18" t="s">
        <v>244</v>
      </c>
      <c r="G285" s="18" t="s">
        <v>245</v>
      </c>
      <c r="H285" s="19" t="s">
        <v>175</v>
      </c>
      <c r="I285" s="18" t="s">
        <v>246</v>
      </c>
      <c r="J285" s="19" t="s">
        <v>247</v>
      </c>
      <c r="K285" s="19" t="s">
        <v>248</v>
      </c>
      <c r="L285" s="18" t="s">
        <v>164</v>
      </c>
      <c r="M285" s="18" t="s">
        <v>272</v>
      </c>
      <c r="N285" s="18" t="s">
        <v>250</v>
      </c>
      <c r="O285" s="20">
        <v>119000</v>
      </c>
      <c r="P285" s="20">
        <v>82110</v>
      </c>
      <c r="Q285" s="20">
        <v>1</v>
      </c>
      <c r="R285" s="20">
        <v>0</v>
      </c>
      <c r="S285" s="20">
        <v>0</v>
      </c>
      <c r="T285" s="20">
        <v>0</v>
      </c>
      <c r="U285" s="20">
        <v>0</v>
      </c>
      <c r="V285" s="20">
        <v>0</v>
      </c>
      <c r="W285" s="20">
        <v>31</v>
      </c>
      <c r="X285" s="20">
        <v>0</v>
      </c>
      <c r="Y285" s="20">
        <v>0</v>
      </c>
      <c r="Z285" s="20">
        <v>0</v>
      </c>
      <c r="AA285" s="20">
        <v>0</v>
      </c>
      <c r="AB285" s="20">
        <v>0</v>
      </c>
      <c r="AC285" s="20">
        <v>119000</v>
      </c>
      <c r="AD285" s="20">
        <v>82110</v>
      </c>
      <c r="AE285" s="20">
        <v>0</v>
      </c>
      <c r="AF285" s="20">
        <v>0</v>
      </c>
      <c r="AG285" s="20">
        <v>119000</v>
      </c>
      <c r="AH285" s="20">
        <v>82110</v>
      </c>
      <c r="AI285" s="20">
        <v>33536</v>
      </c>
      <c r="AJ285" s="20">
        <v>3354</v>
      </c>
      <c r="AK285" s="20">
        <v>36890</v>
      </c>
    </row>
    <row r="286" spans="1:37" ht="16.5" customHeight="1" x14ac:dyDescent="0.3">
      <c r="A286" s="18" t="s">
        <v>1027</v>
      </c>
      <c r="B286" s="18" t="s">
        <v>240</v>
      </c>
      <c r="C286" s="19" t="s">
        <v>241</v>
      </c>
      <c r="D286" s="18" t="s">
        <v>774</v>
      </c>
      <c r="E286" s="19" t="s">
        <v>338</v>
      </c>
      <c r="F286" s="18" t="s">
        <v>244</v>
      </c>
      <c r="G286" s="18" t="s">
        <v>245</v>
      </c>
      <c r="H286" s="19" t="s">
        <v>175</v>
      </c>
      <c r="I286" s="18" t="s">
        <v>246</v>
      </c>
      <c r="J286" s="19" t="s">
        <v>247</v>
      </c>
      <c r="K286" s="19" t="s">
        <v>248</v>
      </c>
      <c r="L286" s="18" t="s">
        <v>164</v>
      </c>
      <c r="M286" s="18" t="s">
        <v>272</v>
      </c>
      <c r="N286" s="18" t="s">
        <v>250</v>
      </c>
      <c r="O286" s="20">
        <v>119000</v>
      </c>
      <c r="P286" s="20">
        <v>82110</v>
      </c>
      <c r="Q286" s="20">
        <v>1</v>
      </c>
      <c r="R286" s="20">
        <v>0</v>
      </c>
      <c r="S286" s="20">
        <v>0</v>
      </c>
      <c r="T286" s="20">
        <v>0</v>
      </c>
      <c r="U286" s="20">
        <v>0</v>
      </c>
      <c r="V286" s="20">
        <v>0</v>
      </c>
      <c r="W286" s="20">
        <v>31</v>
      </c>
      <c r="X286" s="20">
        <v>0</v>
      </c>
      <c r="Y286" s="20">
        <v>0</v>
      </c>
      <c r="Z286" s="20">
        <v>0</v>
      </c>
      <c r="AA286" s="20">
        <v>0</v>
      </c>
      <c r="AB286" s="20">
        <v>0</v>
      </c>
      <c r="AC286" s="20">
        <v>119000</v>
      </c>
      <c r="AD286" s="20">
        <v>82110</v>
      </c>
      <c r="AE286" s="20">
        <v>0</v>
      </c>
      <c r="AF286" s="20">
        <v>0</v>
      </c>
      <c r="AG286" s="20">
        <v>119000</v>
      </c>
      <c r="AH286" s="20">
        <v>82110</v>
      </c>
      <c r="AI286" s="20">
        <v>33536</v>
      </c>
      <c r="AJ286" s="20">
        <v>3354</v>
      </c>
      <c r="AK286" s="20">
        <v>36890</v>
      </c>
    </row>
    <row r="287" spans="1:37" ht="16.5" customHeight="1" x14ac:dyDescent="0.3">
      <c r="A287" s="18" t="s">
        <v>1028</v>
      </c>
      <c r="B287" s="18" t="s">
        <v>240</v>
      </c>
      <c r="C287" s="19" t="s">
        <v>241</v>
      </c>
      <c r="D287" s="18" t="s">
        <v>1029</v>
      </c>
      <c r="E287" s="19" t="s">
        <v>464</v>
      </c>
      <c r="F287" s="18" t="s">
        <v>244</v>
      </c>
      <c r="G287" s="18" t="s">
        <v>245</v>
      </c>
      <c r="H287" s="19" t="s">
        <v>175</v>
      </c>
      <c r="I287" s="18" t="s">
        <v>246</v>
      </c>
      <c r="J287" s="19" t="s">
        <v>247</v>
      </c>
      <c r="K287" s="19" t="s">
        <v>248</v>
      </c>
      <c r="L287" s="18" t="s">
        <v>164</v>
      </c>
      <c r="M287" s="18" t="s">
        <v>272</v>
      </c>
      <c r="N287" s="18" t="s">
        <v>250</v>
      </c>
      <c r="O287" s="20">
        <v>119000</v>
      </c>
      <c r="P287" s="20">
        <v>82110</v>
      </c>
      <c r="Q287" s="20">
        <v>1</v>
      </c>
      <c r="R287" s="20">
        <v>0</v>
      </c>
      <c r="S287" s="20">
        <v>0</v>
      </c>
      <c r="T287" s="20">
        <v>0</v>
      </c>
      <c r="U287" s="20">
        <v>0</v>
      </c>
      <c r="V287" s="20">
        <v>0</v>
      </c>
      <c r="W287" s="20">
        <v>31</v>
      </c>
      <c r="X287" s="20">
        <v>0</v>
      </c>
      <c r="Y287" s="20">
        <v>0</v>
      </c>
      <c r="Z287" s="20">
        <v>0</v>
      </c>
      <c r="AA287" s="20">
        <v>0</v>
      </c>
      <c r="AB287" s="20">
        <v>0</v>
      </c>
      <c r="AC287" s="20">
        <v>119000</v>
      </c>
      <c r="AD287" s="20">
        <v>82110</v>
      </c>
      <c r="AE287" s="20">
        <v>0</v>
      </c>
      <c r="AF287" s="20">
        <v>0</v>
      </c>
      <c r="AG287" s="20">
        <v>119000</v>
      </c>
      <c r="AH287" s="20">
        <v>82110</v>
      </c>
      <c r="AI287" s="20">
        <v>33536</v>
      </c>
      <c r="AJ287" s="20">
        <v>3354</v>
      </c>
      <c r="AK287" s="20">
        <v>36890</v>
      </c>
    </row>
    <row r="288" spans="1:37" ht="16.5" customHeight="1" x14ac:dyDescent="0.3">
      <c r="A288" s="18" t="s">
        <v>1030</v>
      </c>
      <c r="B288" s="18" t="s">
        <v>240</v>
      </c>
      <c r="C288" s="19" t="s">
        <v>241</v>
      </c>
      <c r="D288" s="18" t="s">
        <v>1031</v>
      </c>
      <c r="E288" s="19" t="s">
        <v>1032</v>
      </c>
      <c r="F288" s="18" t="s">
        <v>244</v>
      </c>
      <c r="G288" s="18" t="s">
        <v>245</v>
      </c>
      <c r="H288" s="19" t="s">
        <v>175</v>
      </c>
      <c r="I288" s="18" t="s">
        <v>246</v>
      </c>
      <c r="J288" s="19" t="s">
        <v>247</v>
      </c>
      <c r="K288" s="19" t="s">
        <v>248</v>
      </c>
      <c r="L288" s="18" t="s">
        <v>164</v>
      </c>
      <c r="M288" s="18" t="s">
        <v>272</v>
      </c>
      <c r="N288" s="18" t="s">
        <v>250</v>
      </c>
      <c r="O288" s="20">
        <v>119000</v>
      </c>
      <c r="P288" s="20">
        <v>82110</v>
      </c>
      <c r="Q288" s="20">
        <v>1</v>
      </c>
      <c r="R288" s="20">
        <v>0</v>
      </c>
      <c r="S288" s="20">
        <v>0</v>
      </c>
      <c r="T288" s="20">
        <v>0</v>
      </c>
      <c r="U288" s="20">
        <v>0</v>
      </c>
      <c r="V288" s="20">
        <v>0</v>
      </c>
      <c r="W288" s="20">
        <v>31</v>
      </c>
      <c r="X288" s="20">
        <v>0</v>
      </c>
      <c r="Y288" s="20">
        <v>0</v>
      </c>
      <c r="Z288" s="20">
        <v>0</v>
      </c>
      <c r="AA288" s="20">
        <v>0</v>
      </c>
      <c r="AB288" s="20">
        <v>0</v>
      </c>
      <c r="AC288" s="20">
        <v>119000</v>
      </c>
      <c r="AD288" s="20">
        <v>82110</v>
      </c>
      <c r="AE288" s="20">
        <v>0</v>
      </c>
      <c r="AF288" s="20">
        <v>0</v>
      </c>
      <c r="AG288" s="20">
        <v>119000</v>
      </c>
      <c r="AH288" s="20">
        <v>82110</v>
      </c>
      <c r="AI288" s="20">
        <v>33536</v>
      </c>
      <c r="AJ288" s="20">
        <v>3354</v>
      </c>
      <c r="AK288" s="20">
        <v>36890</v>
      </c>
    </row>
    <row r="289" spans="1:37" ht="16.5" customHeight="1" x14ac:dyDescent="0.3">
      <c r="A289" s="18" t="s">
        <v>1033</v>
      </c>
      <c r="B289" s="18" t="s">
        <v>240</v>
      </c>
      <c r="C289" s="19" t="s">
        <v>241</v>
      </c>
      <c r="D289" s="18" t="s">
        <v>1034</v>
      </c>
      <c r="E289" s="19" t="s">
        <v>907</v>
      </c>
      <c r="F289" s="18" t="s">
        <v>244</v>
      </c>
      <c r="G289" s="18" t="s">
        <v>245</v>
      </c>
      <c r="H289" s="19" t="s">
        <v>175</v>
      </c>
      <c r="I289" s="18" t="s">
        <v>246</v>
      </c>
      <c r="J289" s="19" t="s">
        <v>247</v>
      </c>
      <c r="K289" s="19" t="s">
        <v>248</v>
      </c>
      <c r="L289" s="18" t="s">
        <v>164</v>
      </c>
      <c r="M289" s="18" t="s">
        <v>272</v>
      </c>
      <c r="N289" s="18" t="s">
        <v>250</v>
      </c>
      <c r="O289" s="20">
        <v>119000</v>
      </c>
      <c r="P289" s="20">
        <v>82110</v>
      </c>
      <c r="Q289" s="20">
        <v>1</v>
      </c>
      <c r="R289" s="20">
        <v>0</v>
      </c>
      <c r="S289" s="20">
        <v>0</v>
      </c>
      <c r="T289" s="20">
        <v>0</v>
      </c>
      <c r="U289" s="20">
        <v>0</v>
      </c>
      <c r="V289" s="20">
        <v>0</v>
      </c>
      <c r="W289" s="20">
        <v>31</v>
      </c>
      <c r="X289" s="20">
        <v>0</v>
      </c>
      <c r="Y289" s="20">
        <v>0</v>
      </c>
      <c r="Z289" s="20">
        <v>0</v>
      </c>
      <c r="AA289" s="20">
        <v>0</v>
      </c>
      <c r="AB289" s="20">
        <v>0</v>
      </c>
      <c r="AC289" s="20">
        <v>119000</v>
      </c>
      <c r="AD289" s="20">
        <v>82110</v>
      </c>
      <c r="AE289" s="20">
        <v>0</v>
      </c>
      <c r="AF289" s="20">
        <v>0</v>
      </c>
      <c r="AG289" s="20">
        <v>119000</v>
      </c>
      <c r="AH289" s="20">
        <v>82110</v>
      </c>
      <c r="AI289" s="20">
        <v>33536</v>
      </c>
      <c r="AJ289" s="20">
        <v>3354</v>
      </c>
      <c r="AK289" s="20">
        <v>36890</v>
      </c>
    </row>
    <row r="290" spans="1:37" ht="16.5" customHeight="1" x14ac:dyDescent="0.3">
      <c r="A290" s="18" t="s">
        <v>1035</v>
      </c>
      <c r="B290" s="18" t="s">
        <v>240</v>
      </c>
      <c r="C290" s="19" t="s">
        <v>241</v>
      </c>
      <c r="D290" s="18" t="s">
        <v>1036</v>
      </c>
      <c r="E290" s="19" t="s">
        <v>1037</v>
      </c>
      <c r="F290" s="18" t="s">
        <v>244</v>
      </c>
      <c r="G290" s="18" t="s">
        <v>245</v>
      </c>
      <c r="H290" s="19" t="s">
        <v>175</v>
      </c>
      <c r="I290" s="18" t="s">
        <v>246</v>
      </c>
      <c r="J290" s="19" t="s">
        <v>247</v>
      </c>
      <c r="K290" s="19" t="s">
        <v>248</v>
      </c>
      <c r="L290" s="18" t="s">
        <v>164</v>
      </c>
      <c r="M290" s="18" t="s">
        <v>272</v>
      </c>
      <c r="N290" s="18" t="s">
        <v>250</v>
      </c>
      <c r="O290" s="20">
        <v>119000</v>
      </c>
      <c r="P290" s="20">
        <v>82110</v>
      </c>
      <c r="Q290" s="20">
        <v>1</v>
      </c>
      <c r="R290" s="20">
        <v>0</v>
      </c>
      <c r="S290" s="20">
        <v>0</v>
      </c>
      <c r="T290" s="20">
        <v>0</v>
      </c>
      <c r="U290" s="20">
        <v>0</v>
      </c>
      <c r="V290" s="20">
        <v>0</v>
      </c>
      <c r="W290" s="20">
        <v>31</v>
      </c>
      <c r="X290" s="20">
        <v>0</v>
      </c>
      <c r="Y290" s="20">
        <v>0</v>
      </c>
      <c r="Z290" s="20">
        <v>0</v>
      </c>
      <c r="AA290" s="20">
        <v>0</v>
      </c>
      <c r="AB290" s="20">
        <v>5950</v>
      </c>
      <c r="AC290" s="20">
        <v>119000</v>
      </c>
      <c r="AD290" s="20">
        <v>82110</v>
      </c>
      <c r="AE290" s="20">
        <v>0</v>
      </c>
      <c r="AF290" s="20">
        <v>5950</v>
      </c>
      <c r="AG290" s="20">
        <v>113050</v>
      </c>
      <c r="AH290" s="20">
        <v>82110</v>
      </c>
      <c r="AI290" s="20">
        <v>28127</v>
      </c>
      <c r="AJ290" s="20">
        <v>2813</v>
      </c>
      <c r="AK290" s="20">
        <v>30940</v>
      </c>
    </row>
    <row r="291" spans="1:37" ht="16.5" customHeight="1" x14ac:dyDescent="0.3">
      <c r="A291" s="18" t="s">
        <v>1038</v>
      </c>
      <c r="B291" s="18" t="s">
        <v>240</v>
      </c>
      <c r="C291" s="19" t="s">
        <v>241</v>
      </c>
      <c r="D291" s="18" t="s">
        <v>1039</v>
      </c>
      <c r="E291" s="19" t="s">
        <v>1040</v>
      </c>
      <c r="F291" s="18" t="s">
        <v>244</v>
      </c>
      <c r="G291" s="18" t="s">
        <v>245</v>
      </c>
      <c r="H291" s="19" t="s">
        <v>175</v>
      </c>
      <c r="I291" s="18" t="s">
        <v>246</v>
      </c>
      <c r="J291" s="19" t="s">
        <v>247</v>
      </c>
      <c r="K291" s="19" t="s">
        <v>248</v>
      </c>
      <c r="L291" s="18" t="s">
        <v>164</v>
      </c>
      <c r="M291" s="18" t="s">
        <v>272</v>
      </c>
      <c r="N291" s="18" t="s">
        <v>250</v>
      </c>
      <c r="O291" s="20">
        <v>119000</v>
      </c>
      <c r="P291" s="20">
        <v>82110</v>
      </c>
      <c r="Q291" s="20">
        <v>1</v>
      </c>
      <c r="R291" s="20">
        <v>0</v>
      </c>
      <c r="S291" s="20">
        <v>0</v>
      </c>
      <c r="T291" s="20">
        <v>0</v>
      </c>
      <c r="U291" s="20">
        <v>0</v>
      </c>
      <c r="V291" s="20">
        <v>0</v>
      </c>
      <c r="W291" s="20">
        <v>31</v>
      </c>
      <c r="X291" s="20">
        <v>0</v>
      </c>
      <c r="Y291" s="20">
        <v>0</v>
      </c>
      <c r="Z291" s="20">
        <v>0</v>
      </c>
      <c r="AA291" s="20">
        <v>0</v>
      </c>
      <c r="AB291" s="20">
        <v>0</v>
      </c>
      <c r="AC291" s="20">
        <v>119000</v>
      </c>
      <c r="AD291" s="20">
        <v>82110</v>
      </c>
      <c r="AE291" s="20">
        <v>0</v>
      </c>
      <c r="AF291" s="20">
        <v>0</v>
      </c>
      <c r="AG291" s="20">
        <v>119000</v>
      </c>
      <c r="AH291" s="20">
        <v>82110</v>
      </c>
      <c r="AI291" s="20">
        <v>33536</v>
      </c>
      <c r="AJ291" s="20">
        <v>3354</v>
      </c>
      <c r="AK291" s="20">
        <v>36890</v>
      </c>
    </row>
    <row r="292" spans="1:37" ht="16.5" customHeight="1" x14ac:dyDescent="0.3">
      <c r="A292" s="18" t="s">
        <v>1041</v>
      </c>
      <c r="B292" s="18" t="s">
        <v>240</v>
      </c>
      <c r="C292" s="19" t="s">
        <v>241</v>
      </c>
      <c r="D292" s="18" t="s">
        <v>1042</v>
      </c>
      <c r="E292" s="19" t="s">
        <v>1043</v>
      </c>
      <c r="F292" s="18" t="s">
        <v>244</v>
      </c>
      <c r="G292" s="18" t="s">
        <v>245</v>
      </c>
      <c r="H292" s="19" t="s">
        <v>175</v>
      </c>
      <c r="I292" s="18" t="s">
        <v>246</v>
      </c>
      <c r="J292" s="19" t="s">
        <v>247</v>
      </c>
      <c r="K292" s="19" t="s">
        <v>248</v>
      </c>
      <c r="L292" s="18" t="s">
        <v>164</v>
      </c>
      <c r="M292" s="18" t="s">
        <v>272</v>
      </c>
      <c r="N292" s="18" t="s">
        <v>250</v>
      </c>
      <c r="O292" s="20">
        <v>119000</v>
      </c>
      <c r="P292" s="20">
        <v>82110</v>
      </c>
      <c r="Q292" s="20">
        <v>1</v>
      </c>
      <c r="R292" s="20">
        <v>0</v>
      </c>
      <c r="S292" s="20">
        <v>0</v>
      </c>
      <c r="T292" s="20">
        <v>0</v>
      </c>
      <c r="U292" s="20">
        <v>0</v>
      </c>
      <c r="V292" s="20">
        <v>0</v>
      </c>
      <c r="W292" s="20">
        <v>31</v>
      </c>
      <c r="X292" s="20">
        <v>0</v>
      </c>
      <c r="Y292" s="20">
        <v>0</v>
      </c>
      <c r="Z292" s="20">
        <v>0</v>
      </c>
      <c r="AA292" s="20">
        <v>0</v>
      </c>
      <c r="AB292" s="20">
        <v>0</v>
      </c>
      <c r="AC292" s="20">
        <v>119000</v>
      </c>
      <c r="AD292" s="20">
        <v>82110</v>
      </c>
      <c r="AE292" s="20">
        <v>0</v>
      </c>
      <c r="AF292" s="20">
        <v>0</v>
      </c>
      <c r="AG292" s="20">
        <v>119000</v>
      </c>
      <c r="AH292" s="20">
        <v>82110</v>
      </c>
      <c r="AI292" s="20">
        <v>33536</v>
      </c>
      <c r="AJ292" s="20">
        <v>3354</v>
      </c>
      <c r="AK292" s="20">
        <v>36890</v>
      </c>
    </row>
    <row r="293" spans="1:37" ht="16.5" customHeight="1" x14ac:dyDescent="0.3">
      <c r="A293" s="18" t="s">
        <v>1044</v>
      </c>
      <c r="B293" s="18" t="s">
        <v>240</v>
      </c>
      <c r="C293" s="19" t="s">
        <v>241</v>
      </c>
      <c r="D293" s="18" t="s">
        <v>1045</v>
      </c>
      <c r="E293" s="19" t="s">
        <v>349</v>
      </c>
      <c r="F293" s="18" t="s">
        <v>244</v>
      </c>
      <c r="G293" s="18" t="s">
        <v>245</v>
      </c>
      <c r="H293" s="19" t="s">
        <v>175</v>
      </c>
      <c r="I293" s="18" t="s">
        <v>246</v>
      </c>
      <c r="J293" s="19" t="s">
        <v>247</v>
      </c>
      <c r="K293" s="19" t="s">
        <v>248</v>
      </c>
      <c r="L293" s="18" t="s">
        <v>164</v>
      </c>
      <c r="M293" s="18" t="s">
        <v>272</v>
      </c>
      <c r="N293" s="18" t="s">
        <v>250</v>
      </c>
      <c r="O293" s="20">
        <v>119000</v>
      </c>
      <c r="P293" s="20">
        <v>82110</v>
      </c>
      <c r="Q293" s="20">
        <v>1</v>
      </c>
      <c r="R293" s="20">
        <v>0</v>
      </c>
      <c r="S293" s="20">
        <v>0</v>
      </c>
      <c r="T293" s="20">
        <v>0</v>
      </c>
      <c r="U293" s="20">
        <v>0</v>
      </c>
      <c r="V293" s="20">
        <v>0</v>
      </c>
      <c r="W293" s="20">
        <v>31</v>
      </c>
      <c r="X293" s="20">
        <v>0</v>
      </c>
      <c r="Y293" s="20">
        <v>0</v>
      </c>
      <c r="Z293" s="20">
        <v>0</v>
      </c>
      <c r="AA293" s="20">
        <v>0</v>
      </c>
      <c r="AB293" s="20">
        <v>0</v>
      </c>
      <c r="AC293" s="20">
        <v>119000</v>
      </c>
      <c r="AD293" s="20">
        <v>82110</v>
      </c>
      <c r="AE293" s="20">
        <v>0</v>
      </c>
      <c r="AF293" s="20">
        <v>0</v>
      </c>
      <c r="AG293" s="20">
        <v>119000</v>
      </c>
      <c r="AH293" s="20">
        <v>82110</v>
      </c>
      <c r="AI293" s="20">
        <v>33536</v>
      </c>
      <c r="AJ293" s="20">
        <v>3354</v>
      </c>
      <c r="AK293" s="20">
        <v>36890</v>
      </c>
    </row>
    <row r="294" spans="1:37" ht="16.5" customHeight="1" x14ac:dyDescent="0.3">
      <c r="A294" s="18" t="s">
        <v>1046</v>
      </c>
      <c r="B294" s="18" t="s">
        <v>240</v>
      </c>
      <c r="C294" s="19" t="s">
        <v>241</v>
      </c>
      <c r="D294" s="18" t="s">
        <v>1047</v>
      </c>
      <c r="E294" s="19" t="s">
        <v>559</v>
      </c>
      <c r="F294" s="18" t="s">
        <v>244</v>
      </c>
      <c r="G294" s="18" t="s">
        <v>245</v>
      </c>
      <c r="H294" s="19" t="s">
        <v>175</v>
      </c>
      <c r="I294" s="18" t="s">
        <v>246</v>
      </c>
      <c r="J294" s="19" t="s">
        <v>247</v>
      </c>
      <c r="K294" s="19" t="s">
        <v>248</v>
      </c>
      <c r="L294" s="18" t="s">
        <v>164</v>
      </c>
      <c r="M294" s="18" t="s">
        <v>272</v>
      </c>
      <c r="N294" s="18" t="s">
        <v>250</v>
      </c>
      <c r="O294" s="20">
        <v>119000</v>
      </c>
      <c r="P294" s="20">
        <v>82110</v>
      </c>
      <c r="Q294" s="20">
        <v>1</v>
      </c>
      <c r="R294" s="20">
        <v>0</v>
      </c>
      <c r="S294" s="20">
        <v>0</v>
      </c>
      <c r="T294" s="20">
        <v>0</v>
      </c>
      <c r="U294" s="20">
        <v>0</v>
      </c>
      <c r="V294" s="20">
        <v>0</v>
      </c>
      <c r="W294" s="20">
        <v>31</v>
      </c>
      <c r="X294" s="20">
        <v>17850</v>
      </c>
      <c r="Y294" s="20">
        <v>0</v>
      </c>
      <c r="Z294" s="20">
        <v>0</v>
      </c>
      <c r="AA294" s="20">
        <v>0</v>
      </c>
      <c r="AB294" s="20">
        <v>0</v>
      </c>
      <c r="AC294" s="20">
        <v>119000</v>
      </c>
      <c r="AD294" s="20">
        <v>82110</v>
      </c>
      <c r="AE294" s="20">
        <v>0</v>
      </c>
      <c r="AF294" s="20">
        <v>17850</v>
      </c>
      <c r="AG294" s="20">
        <v>101150</v>
      </c>
      <c r="AH294" s="20">
        <v>82110</v>
      </c>
      <c r="AI294" s="20">
        <v>17309</v>
      </c>
      <c r="AJ294" s="20">
        <v>1731</v>
      </c>
      <c r="AK294" s="20">
        <v>19040</v>
      </c>
    </row>
    <row r="295" spans="1:37" ht="16.5" customHeight="1" x14ac:dyDescent="0.3">
      <c r="A295" s="18" t="s">
        <v>1048</v>
      </c>
      <c r="B295" s="18" t="s">
        <v>240</v>
      </c>
      <c r="C295" s="19" t="s">
        <v>241</v>
      </c>
      <c r="D295" s="18" t="s">
        <v>1049</v>
      </c>
      <c r="E295" s="19" t="s">
        <v>755</v>
      </c>
      <c r="F295" s="18" t="s">
        <v>244</v>
      </c>
      <c r="G295" s="18" t="s">
        <v>245</v>
      </c>
      <c r="H295" s="19" t="s">
        <v>175</v>
      </c>
      <c r="I295" s="18" t="s">
        <v>246</v>
      </c>
      <c r="J295" s="19" t="s">
        <v>247</v>
      </c>
      <c r="K295" s="19" t="s">
        <v>248</v>
      </c>
      <c r="L295" s="18" t="s">
        <v>164</v>
      </c>
      <c r="M295" s="18" t="s">
        <v>272</v>
      </c>
      <c r="N295" s="18" t="s">
        <v>250</v>
      </c>
      <c r="O295" s="20">
        <v>119000</v>
      </c>
      <c r="P295" s="20">
        <v>82110</v>
      </c>
      <c r="Q295" s="20">
        <v>1</v>
      </c>
      <c r="R295" s="20">
        <v>0</v>
      </c>
      <c r="S295" s="20">
        <v>0</v>
      </c>
      <c r="T295" s="20">
        <v>0</v>
      </c>
      <c r="U295" s="20">
        <v>0</v>
      </c>
      <c r="V295" s="20">
        <v>0</v>
      </c>
      <c r="W295" s="20">
        <v>31</v>
      </c>
      <c r="X295" s="20">
        <v>22610</v>
      </c>
      <c r="Y295" s="20">
        <v>0</v>
      </c>
      <c r="Z295" s="20">
        <v>0</v>
      </c>
      <c r="AA295" s="20">
        <v>0</v>
      </c>
      <c r="AB295" s="20">
        <v>0</v>
      </c>
      <c r="AC295" s="20">
        <v>119000</v>
      </c>
      <c r="AD295" s="20">
        <v>82110</v>
      </c>
      <c r="AE295" s="20">
        <v>0</v>
      </c>
      <c r="AF295" s="20">
        <v>22610</v>
      </c>
      <c r="AG295" s="20">
        <v>96390</v>
      </c>
      <c r="AH295" s="20">
        <v>82110</v>
      </c>
      <c r="AI295" s="20">
        <v>12982</v>
      </c>
      <c r="AJ295" s="20">
        <v>1298</v>
      </c>
      <c r="AK295" s="20">
        <v>14280</v>
      </c>
    </row>
    <row r="296" spans="1:37" ht="16.5" customHeight="1" x14ac:dyDescent="0.3">
      <c r="A296" s="18" t="s">
        <v>1050</v>
      </c>
      <c r="B296" s="18" t="s">
        <v>240</v>
      </c>
      <c r="C296" s="19" t="s">
        <v>241</v>
      </c>
      <c r="D296" s="18" t="s">
        <v>1051</v>
      </c>
      <c r="E296" s="19" t="s">
        <v>615</v>
      </c>
      <c r="F296" s="18" t="s">
        <v>244</v>
      </c>
      <c r="G296" s="18" t="s">
        <v>245</v>
      </c>
      <c r="H296" s="19" t="s">
        <v>175</v>
      </c>
      <c r="I296" s="18" t="s">
        <v>246</v>
      </c>
      <c r="J296" s="19" t="s">
        <v>247</v>
      </c>
      <c r="K296" s="19" t="s">
        <v>248</v>
      </c>
      <c r="L296" s="18" t="s">
        <v>164</v>
      </c>
      <c r="M296" s="18" t="s">
        <v>272</v>
      </c>
      <c r="N296" s="18" t="s">
        <v>250</v>
      </c>
      <c r="O296" s="20">
        <v>119000</v>
      </c>
      <c r="P296" s="20">
        <v>82110</v>
      </c>
      <c r="Q296" s="20">
        <v>1</v>
      </c>
      <c r="R296" s="20">
        <v>0</v>
      </c>
      <c r="S296" s="20">
        <v>0</v>
      </c>
      <c r="T296" s="20">
        <v>0</v>
      </c>
      <c r="U296" s="20">
        <v>0</v>
      </c>
      <c r="V296" s="20">
        <v>0</v>
      </c>
      <c r="W296" s="20">
        <v>31</v>
      </c>
      <c r="X296" s="20">
        <v>0</v>
      </c>
      <c r="Y296" s="20">
        <v>0</v>
      </c>
      <c r="Z296" s="20">
        <v>0</v>
      </c>
      <c r="AA296" s="20">
        <v>0</v>
      </c>
      <c r="AB296" s="20">
        <v>0</v>
      </c>
      <c r="AC296" s="20">
        <v>119000</v>
      </c>
      <c r="AD296" s="20">
        <v>82110</v>
      </c>
      <c r="AE296" s="20">
        <v>0</v>
      </c>
      <c r="AF296" s="20">
        <v>0</v>
      </c>
      <c r="AG296" s="20">
        <v>119000</v>
      </c>
      <c r="AH296" s="20">
        <v>82110</v>
      </c>
      <c r="AI296" s="20">
        <v>33536</v>
      </c>
      <c r="AJ296" s="20">
        <v>3354</v>
      </c>
      <c r="AK296" s="20">
        <v>36890</v>
      </c>
    </row>
    <row r="297" spans="1:37" ht="16.5" customHeight="1" x14ac:dyDescent="0.3">
      <c r="A297" s="18" t="s">
        <v>1052</v>
      </c>
      <c r="B297" s="18" t="s">
        <v>240</v>
      </c>
      <c r="C297" s="19" t="s">
        <v>241</v>
      </c>
      <c r="D297" s="18" t="s">
        <v>1053</v>
      </c>
      <c r="E297" s="19" t="s">
        <v>1054</v>
      </c>
      <c r="F297" s="18" t="s">
        <v>244</v>
      </c>
      <c r="G297" s="18" t="s">
        <v>245</v>
      </c>
      <c r="H297" s="19" t="s">
        <v>175</v>
      </c>
      <c r="I297" s="18" t="s">
        <v>246</v>
      </c>
      <c r="J297" s="19" t="s">
        <v>247</v>
      </c>
      <c r="K297" s="19" t="s">
        <v>248</v>
      </c>
      <c r="L297" s="18" t="s">
        <v>164</v>
      </c>
      <c r="M297" s="18" t="s">
        <v>272</v>
      </c>
      <c r="N297" s="18" t="s">
        <v>250</v>
      </c>
      <c r="O297" s="20">
        <v>119000</v>
      </c>
      <c r="P297" s="20">
        <v>82110</v>
      </c>
      <c r="Q297" s="20">
        <v>1</v>
      </c>
      <c r="R297" s="20">
        <v>0</v>
      </c>
      <c r="S297" s="20">
        <v>0</v>
      </c>
      <c r="T297" s="20">
        <v>0</v>
      </c>
      <c r="U297" s="20">
        <v>0</v>
      </c>
      <c r="V297" s="20">
        <v>0</v>
      </c>
      <c r="W297" s="20">
        <v>31</v>
      </c>
      <c r="X297" s="20">
        <v>0</v>
      </c>
      <c r="Y297" s="20">
        <v>0</v>
      </c>
      <c r="Z297" s="20">
        <v>0</v>
      </c>
      <c r="AA297" s="20">
        <v>0</v>
      </c>
      <c r="AB297" s="20">
        <v>0</v>
      </c>
      <c r="AC297" s="20">
        <v>119000</v>
      </c>
      <c r="AD297" s="20">
        <v>82110</v>
      </c>
      <c r="AE297" s="20">
        <v>0</v>
      </c>
      <c r="AF297" s="20">
        <v>0</v>
      </c>
      <c r="AG297" s="20">
        <v>119000</v>
      </c>
      <c r="AH297" s="20">
        <v>82110</v>
      </c>
      <c r="AI297" s="20">
        <v>33536</v>
      </c>
      <c r="AJ297" s="20">
        <v>3354</v>
      </c>
      <c r="AK297" s="20">
        <v>36890</v>
      </c>
    </row>
    <row r="298" spans="1:37" ht="16.5" customHeight="1" x14ac:dyDescent="0.3">
      <c r="A298" s="18" t="s">
        <v>1055</v>
      </c>
      <c r="B298" s="18" t="s">
        <v>240</v>
      </c>
      <c r="C298" s="19" t="s">
        <v>241</v>
      </c>
      <c r="D298" s="18" t="s">
        <v>1053</v>
      </c>
      <c r="E298" s="19" t="s">
        <v>1054</v>
      </c>
      <c r="F298" s="18" t="s">
        <v>244</v>
      </c>
      <c r="G298" s="18" t="s">
        <v>245</v>
      </c>
      <c r="H298" s="19" t="s">
        <v>175</v>
      </c>
      <c r="I298" s="18" t="s">
        <v>246</v>
      </c>
      <c r="J298" s="19" t="s">
        <v>247</v>
      </c>
      <c r="K298" s="19" t="s">
        <v>248</v>
      </c>
      <c r="L298" s="18" t="s">
        <v>164</v>
      </c>
      <c r="M298" s="18" t="s">
        <v>272</v>
      </c>
      <c r="N298" s="18" t="s">
        <v>250</v>
      </c>
      <c r="O298" s="20">
        <v>119000</v>
      </c>
      <c r="P298" s="20">
        <v>82110</v>
      </c>
      <c r="Q298" s="20">
        <v>1</v>
      </c>
      <c r="R298" s="20">
        <v>0</v>
      </c>
      <c r="S298" s="20">
        <v>0</v>
      </c>
      <c r="T298" s="20">
        <v>0</v>
      </c>
      <c r="U298" s="20">
        <v>0</v>
      </c>
      <c r="V298" s="20">
        <v>0</v>
      </c>
      <c r="W298" s="20">
        <v>31</v>
      </c>
      <c r="X298" s="20">
        <v>0</v>
      </c>
      <c r="Y298" s="20">
        <v>0</v>
      </c>
      <c r="Z298" s="20">
        <v>0</v>
      </c>
      <c r="AA298" s="20">
        <v>0</v>
      </c>
      <c r="AB298" s="20">
        <v>0</v>
      </c>
      <c r="AC298" s="20">
        <v>119000</v>
      </c>
      <c r="AD298" s="20">
        <v>82110</v>
      </c>
      <c r="AE298" s="20">
        <v>0</v>
      </c>
      <c r="AF298" s="20">
        <v>0</v>
      </c>
      <c r="AG298" s="20">
        <v>119000</v>
      </c>
      <c r="AH298" s="20">
        <v>82110</v>
      </c>
      <c r="AI298" s="20">
        <v>33536</v>
      </c>
      <c r="AJ298" s="20">
        <v>3354</v>
      </c>
      <c r="AK298" s="20">
        <v>36890</v>
      </c>
    </row>
    <row r="299" spans="1:37" ht="16.5" customHeight="1" x14ac:dyDescent="0.3">
      <c r="A299" s="18" t="s">
        <v>1056</v>
      </c>
      <c r="B299" s="18" t="s">
        <v>240</v>
      </c>
      <c r="C299" s="19" t="s">
        <v>241</v>
      </c>
      <c r="D299" s="18" t="s">
        <v>1057</v>
      </c>
      <c r="E299" s="19" t="s">
        <v>1058</v>
      </c>
      <c r="F299" s="18" t="s">
        <v>244</v>
      </c>
      <c r="G299" s="18" t="s">
        <v>245</v>
      </c>
      <c r="H299" s="19" t="s">
        <v>175</v>
      </c>
      <c r="I299" s="18" t="s">
        <v>246</v>
      </c>
      <c r="J299" s="19" t="s">
        <v>247</v>
      </c>
      <c r="K299" s="19" t="s">
        <v>248</v>
      </c>
      <c r="L299" s="18" t="s">
        <v>164</v>
      </c>
      <c r="M299" s="18" t="s">
        <v>272</v>
      </c>
      <c r="N299" s="18" t="s">
        <v>250</v>
      </c>
      <c r="O299" s="20">
        <v>119000</v>
      </c>
      <c r="P299" s="20">
        <v>82110</v>
      </c>
      <c r="Q299" s="20">
        <v>1</v>
      </c>
      <c r="R299" s="20">
        <v>0</v>
      </c>
      <c r="S299" s="20">
        <v>0</v>
      </c>
      <c r="T299" s="20">
        <v>0</v>
      </c>
      <c r="U299" s="20">
        <v>0</v>
      </c>
      <c r="V299" s="20">
        <v>0</v>
      </c>
      <c r="W299" s="20">
        <v>31</v>
      </c>
      <c r="X299" s="20">
        <v>0</v>
      </c>
      <c r="Y299" s="20">
        <v>0</v>
      </c>
      <c r="Z299" s="20">
        <v>0</v>
      </c>
      <c r="AA299" s="20">
        <v>0</v>
      </c>
      <c r="AB299" s="20">
        <v>0</v>
      </c>
      <c r="AC299" s="20">
        <v>119000</v>
      </c>
      <c r="AD299" s="20">
        <v>82110</v>
      </c>
      <c r="AE299" s="20">
        <v>0</v>
      </c>
      <c r="AF299" s="20">
        <v>0</v>
      </c>
      <c r="AG299" s="20">
        <v>119000</v>
      </c>
      <c r="AH299" s="20">
        <v>82110</v>
      </c>
      <c r="AI299" s="20">
        <v>33536</v>
      </c>
      <c r="AJ299" s="20">
        <v>3354</v>
      </c>
      <c r="AK299" s="20">
        <v>36890</v>
      </c>
    </row>
    <row r="300" spans="1:37" ht="16.5" customHeight="1" x14ac:dyDescent="0.3">
      <c r="A300" s="18" t="s">
        <v>1059</v>
      </c>
      <c r="B300" s="18" t="s">
        <v>240</v>
      </c>
      <c r="C300" s="19" t="s">
        <v>241</v>
      </c>
      <c r="D300" s="18" t="s">
        <v>1060</v>
      </c>
      <c r="E300" s="19" t="s">
        <v>1061</v>
      </c>
      <c r="F300" s="18" t="s">
        <v>244</v>
      </c>
      <c r="G300" s="18" t="s">
        <v>245</v>
      </c>
      <c r="H300" s="19" t="s">
        <v>175</v>
      </c>
      <c r="I300" s="18" t="s">
        <v>246</v>
      </c>
      <c r="J300" s="19" t="s">
        <v>247</v>
      </c>
      <c r="K300" s="19" t="s">
        <v>248</v>
      </c>
      <c r="L300" s="18" t="s">
        <v>164</v>
      </c>
      <c r="M300" s="18" t="s">
        <v>272</v>
      </c>
      <c r="N300" s="18" t="s">
        <v>250</v>
      </c>
      <c r="O300" s="20">
        <v>119000</v>
      </c>
      <c r="P300" s="20">
        <v>82110</v>
      </c>
      <c r="Q300" s="20">
        <v>1</v>
      </c>
      <c r="R300" s="20">
        <v>0</v>
      </c>
      <c r="S300" s="20">
        <v>0</v>
      </c>
      <c r="T300" s="20">
        <v>0</v>
      </c>
      <c r="U300" s="20">
        <v>0</v>
      </c>
      <c r="V300" s="20">
        <v>0</v>
      </c>
      <c r="W300" s="20">
        <v>31</v>
      </c>
      <c r="X300" s="20">
        <v>0</v>
      </c>
      <c r="Y300" s="20">
        <v>0</v>
      </c>
      <c r="Z300" s="20">
        <v>0</v>
      </c>
      <c r="AA300" s="20">
        <v>0</v>
      </c>
      <c r="AB300" s="20">
        <v>0</v>
      </c>
      <c r="AC300" s="20">
        <v>119000</v>
      </c>
      <c r="AD300" s="20">
        <v>82110</v>
      </c>
      <c r="AE300" s="20">
        <v>0</v>
      </c>
      <c r="AF300" s="20">
        <v>0</v>
      </c>
      <c r="AG300" s="20">
        <v>119000</v>
      </c>
      <c r="AH300" s="20">
        <v>82110</v>
      </c>
      <c r="AI300" s="20">
        <v>33536</v>
      </c>
      <c r="AJ300" s="20">
        <v>3354</v>
      </c>
      <c r="AK300" s="20">
        <v>36890</v>
      </c>
    </row>
    <row r="301" spans="1:37" ht="16.5" customHeight="1" x14ac:dyDescent="0.3">
      <c r="A301" s="18" t="s">
        <v>1062</v>
      </c>
      <c r="B301" s="18" t="s">
        <v>240</v>
      </c>
      <c r="C301" s="19" t="s">
        <v>241</v>
      </c>
      <c r="D301" s="18" t="s">
        <v>1063</v>
      </c>
      <c r="E301" s="19" t="s">
        <v>535</v>
      </c>
      <c r="F301" s="18" t="s">
        <v>244</v>
      </c>
      <c r="G301" s="18" t="s">
        <v>245</v>
      </c>
      <c r="H301" s="19" t="s">
        <v>175</v>
      </c>
      <c r="I301" s="18" t="s">
        <v>246</v>
      </c>
      <c r="J301" s="19" t="s">
        <v>247</v>
      </c>
      <c r="K301" s="19" t="s">
        <v>248</v>
      </c>
      <c r="L301" s="18" t="s">
        <v>164</v>
      </c>
      <c r="M301" s="18" t="s">
        <v>272</v>
      </c>
      <c r="N301" s="18" t="s">
        <v>250</v>
      </c>
      <c r="O301" s="20">
        <v>119000</v>
      </c>
      <c r="P301" s="20">
        <v>82110</v>
      </c>
      <c r="Q301" s="20">
        <v>1</v>
      </c>
      <c r="R301" s="20">
        <v>0</v>
      </c>
      <c r="S301" s="20">
        <v>0</v>
      </c>
      <c r="T301" s="20">
        <v>0</v>
      </c>
      <c r="U301" s="20">
        <v>0</v>
      </c>
      <c r="V301" s="20">
        <v>0</v>
      </c>
      <c r="W301" s="20">
        <v>31</v>
      </c>
      <c r="X301" s="20">
        <v>0</v>
      </c>
      <c r="Y301" s="20">
        <v>0</v>
      </c>
      <c r="Z301" s="20">
        <v>0</v>
      </c>
      <c r="AA301" s="20">
        <v>0</v>
      </c>
      <c r="AB301" s="20">
        <v>0</v>
      </c>
      <c r="AC301" s="20">
        <v>119000</v>
      </c>
      <c r="AD301" s="20">
        <v>82110</v>
      </c>
      <c r="AE301" s="20">
        <v>0</v>
      </c>
      <c r="AF301" s="20">
        <v>0</v>
      </c>
      <c r="AG301" s="20">
        <v>119000</v>
      </c>
      <c r="AH301" s="20">
        <v>82110</v>
      </c>
      <c r="AI301" s="20">
        <v>33536</v>
      </c>
      <c r="AJ301" s="20">
        <v>3354</v>
      </c>
      <c r="AK301" s="20">
        <v>36890</v>
      </c>
    </row>
    <row r="302" spans="1:37" ht="16.5" customHeight="1" x14ac:dyDescent="0.3">
      <c r="A302" s="18" t="s">
        <v>1064</v>
      </c>
      <c r="B302" s="18" t="s">
        <v>240</v>
      </c>
      <c r="C302" s="19" t="s">
        <v>241</v>
      </c>
      <c r="D302" s="18" t="s">
        <v>1065</v>
      </c>
      <c r="E302" s="19" t="s">
        <v>1066</v>
      </c>
      <c r="F302" s="18" t="s">
        <v>244</v>
      </c>
      <c r="G302" s="18" t="s">
        <v>245</v>
      </c>
      <c r="H302" s="19" t="s">
        <v>175</v>
      </c>
      <c r="I302" s="18" t="s">
        <v>246</v>
      </c>
      <c r="J302" s="19" t="s">
        <v>247</v>
      </c>
      <c r="K302" s="19" t="s">
        <v>248</v>
      </c>
      <c r="L302" s="18" t="s">
        <v>164</v>
      </c>
      <c r="M302" s="18" t="s">
        <v>272</v>
      </c>
      <c r="N302" s="18" t="s">
        <v>250</v>
      </c>
      <c r="O302" s="20">
        <v>119000</v>
      </c>
      <c r="P302" s="20">
        <v>82110</v>
      </c>
      <c r="Q302" s="20">
        <v>1</v>
      </c>
      <c r="R302" s="20">
        <v>0</v>
      </c>
      <c r="S302" s="20">
        <v>0</v>
      </c>
      <c r="T302" s="20">
        <v>0</v>
      </c>
      <c r="U302" s="20">
        <v>0</v>
      </c>
      <c r="V302" s="20">
        <v>0</v>
      </c>
      <c r="W302" s="20">
        <v>31</v>
      </c>
      <c r="X302" s="20">
        <v>0</v>
      </c>
      <c r="Y302" s="20">
        <v>0</v>
      </c>
      <c r="Z302" s="20">
        <v>0</v>
      </c>
      <c r="AA302" s="20">
        <v>0</v>
      </c>
      <c r="AB302" s="20">
        <v>0</v>
      </c>
      <c r="AC302" s="20">
        <v>119000</v>
      </c>
      <c r="AD302" s="20">
        <v>82110</v>
      </c>
      <c r="AE302" s="20">
        <v>0</v>
      </c>
      <c r="AF302" s="20">
        <v>0</v>
      </c>
      <c r="AG302" s="20">
        <v>119000</v>
      </c>
      <c r="AH302" s="20">
        <v>82110</v>
      </c>
      <c r="AI302" s="20">
        <v>33536</v>
      </c>
      <c r="AJ302" s="20">
        <v>3354</v>
      </c>
      <c r="AK302" s="20">
        <v>36890</v>
      </c>
    </row>
    <row r="303" spans="1:37" ht="16.5" customHeight="1" x14ac:dyDescent="0.3">
      <c r="A303" s="18" t="s">
        <v>1067</v>
      </c>
      <c r="B303" s="18" t="s">
        <v>240</v>
      </c>
      <c r="C303" s="19" t="s">
        <v>241</v>
      </c>
      <c r="D303" s="18" t="s">
        <v>1068</v>
      </c>
      <c r="E303" s="19" t="s">
        <v>1069</v>
      </c>
      <c r="F303" s="18" t="s">
        <v>244</v>
      </c>
      <c r="G303" s="18" t="s">
        <v>245</v>
      </c>
      <c r="H303" s="19" t="s">
        <v>175</v>
      </c>
      <c r="I303" s="18" t="s">
        <v>246</v>
      </c>
      <c r="J303" s="19" t="s">
        <v>247</v>
      </c>
      <c r="K303" s="19"/>
      <c r="L303" s="18" t="s">
        <v>164</v>
      </c>
      <c r="M303" s="18" t="s">
        <v>272</v>
      </c>
      <c r="N303" s="18" t="s">
        <v>250</v>
      </c>
      <c r="O303" s="20">
        <v>119000</v>
      </c>
      <c r="P303" s="20">
        <v>82110</v>
      </c>
      <c r="Q303" s="20">
        <v>1</v>
      </c>
      <c r="R303" s="20">
        <v>0</v>
      </c>
      <c r="S303" s="20">
        <v>0</v>
      </c>
      <c r="T303" s="20">
        <v>0</v>
      </c>
      <c r="U303" s="20">
        <v>0</v>
      </c>
      <c r="V303" s="20">
        <v>0</v>
      </c>
      <c r="W303" s="20">
        <v>31</v>
      </c>
      <c r="X303" s="20">
        <v>0</v>
      </c>
      <c r="Y303" s="20">
        <v>5950</v>
      </c>
      <c r="Z303" s="20">
        <v>0</v>
      </c>
      <c r="AA303" s="20">
        <v>0</v>
      </c>
      <c r="AB303" s="20">
        <v>0</v>
      </c>
      <c r="AC303" s="20">
        <v>119000</v>
      </c>
      <c r="AD303" s="20">
        <v>82110</v>
      </c>
      <c r="AE303" s="20">
        <v>0</v>
      </c>
      <c r="AF303" s="20">
        <v>5950</v>
      </c>
      <c r="AG303" s="20">
        <v>113050</v>
      </c>
      <c r="AH303" s="20">
        <v>82110</v>
      </c>
      <c r="AI303" s="20">
        <v>28127</v>
      </c>
      <c r="AJ303" s="20">
        <v>2813</v>
      </c>
      <c r="AK303" s="20">
        <v>30940</v>
      </c>
    </row>
    <row r="304" spans="1:37" ht="16.5" customHeight="1" x14ac:dyDescent="0.3">
      <c r="A304" s="18" t="s">
        <v>1070</v>
      </c>
      <c r="B304" s="18" t="s">
        <v>240</v>
      </c>
      <c r="C304" s="19" t="s">
        <v>241</v>
      </c>
      <c r="D304" s="18" t="s">
        <v>1071</v>
      </c>
      <c r="E304" s="19" t="s">
        <v>605</v>
      </c>
      <c r="F304" s="18" t="s">
        <v>244</v>
      </c>
      <c r="G304" s="18" t="s">
        <v>245</v>
      </c>
      <c r="H304" s="19" t="s">
        <v>175</v>
      </c>
      <c r="I304" s="18" t="s">
        <v>246</v>
      </c>
      <c r="J304" s="19" t="s">
        <v>247</v>
      </c>
      <c r="K304" s="19"/>
      <c r="L304" s="18" t="s">
        <v>164</v>
      </c>
      <c r="M304" s="18" t="s">
        <v>272</v>
      </c>
      <c r="N304" s="18" t="s">
        <v>250</v>
      </c>
      <c r="O304" s="20">
        <v>119000</v>
      </c>
      <c r="P304" s="20">
        <v>82110</v>
      </c>
      <c r="Q304" s="20">
        <v>1</v>
      </c>
      <c r="R304" s="20">
        <v>0</v>
      </c>
      <c r="S304" s="20">
        <v>0</v>
      </c>
      <c r="T304" s="20">
        <v>0</v>
      </c>
      <c r="U304" s="20">
        <v>0</v>
      </c>
      <c r="V304" s="20">
        <v>0</v>
      </c>
      <c r="W304" s="20">
        <v>31</v>
      </c>
      <c r="X304" s="20">
        <v>0</v>
      </c>
      <c r="Y304" s="20">
        <v>0</v>
      </c>
      <c r="Z304" s="20">
        <v>0</v>
      </c>
      <c r="AA304" s="20">
        <v>0</v>
      </c>
      <c r="AB304" s="20">
        <v>0</v>
      </c>
      <c r="AC304" s="20">
        <v>119000</v>
      </c>
      <c r="AD304" s="20">
        <v>82110</v>
      </c>
      <c r="AE304" s="20">
        <v>0</v>
      </c>
      <c r="AF304" s="20">
        <v>0</v>
      </c>
      <c r="AG304" s="20">
        <v>119000</v>
      </c>
      <c r="AH304" s="20">
        <v>82110</v>
      </c>
      <c r="AI304" s="20">
        <v>33536</v>
      </c>
      <c r="AJ304" s="20">
        <v>3354</v>
      </c>
      <c r="AK304" s="20">
        <v>36890</v>
      </c>
    </row>
    <row r="305" spans="1:37" ht="16.5" customHeight="1" x14ac:dyDescent="0.3">
      <c r="A305" s="18" t="s">
        <v>1072</v>
      </c>
      <c r="B305" s="18" t="s">
        <v>240</v>
      </c>
      <c r="C305" s="19" t="s">
        <v>241</v>
      </c>
      <c r="D305" s="18" t="s">
        <v>1073</v>
      </c>
      <c r="E305" s="19" t="s">
        <v>1074</v>
      </c>
      <c r="F305" s="18" t="s">
        <v>244</v>
      </c>
      <c r="G305" s="18" t="s">
        <v>245</v>
      </c>
      <c r="H305" s="19" t="s">
        <v>175</v>
      </c>
      <c r="I305" s="18" t="s">
        <v>246</v>
      </c>
      <c r="J305" s="19" t="s">
        <v>247</v>
      </c>
      <c r="K305" s="19" t="s">
        <v>314</v>
      </c>
      <c r="L305" s="18" t="s">
        <v>164</v>
      </c>
      <c r="M305" s="18" t="s">
        <v>272</v>
      </c>
      <c r="N305" s="18" t="s">
        <v>250</v>
      </c>
      <c r="O305" s="20">
        <v>119000</v>
      </c>
      <c r="P305" s="20">
        <v>82110</v>
      </c>
      <c r="Q305" s="20">
        <v>1</v>
      </c>
      <c r="R305" s="20">
        <v>0</v>
      </c>
      <c r="S305" s="20">
        <v>0</v>
      </c>
      <c r="T305" s="20">
        <v>0</v>
      </c>
      <c r="U305" s="20">
        <v>0</v>
      </c>
      <c r="V305" s="20">
        <v>0</v>
      </c>
      <c r="W305" s="20">
        <v>31</v>
      </c>
      <c r="X305" s="20">
        <v>0</v>
      </c>
      <c r="Y305" s="20">
        <v>0</v>
      </c>
      <c r="Z305" s="20">
        <v>0</v>
      </c>
      <c r="AA305" s="20">
        <v>0</v>
      </c>
      <c r="AB305" s="20">
        <v>0</v>
      </c>
      <c r="AC305" s="20">
        <v>119000</v>
      </c>
      <c r="AD305" s="20">
        <v>82110</v>
      </c>
      <c r="AE305" s="20">
        <v>0</v>
      </c>
      <c r="AF305" s="20">
        <v>0</v>
      </c>
      <c r="AG305" s="20">
        <v>119000</v>
      </c>
      <c r="AH305" s="20">
        <v>82110</v>
      </c>
      <c r="AI305" s="20">
        <v>33536</v>
      </c>
      <c r="AJ305" s="20">
        <v>3354</v>
      </c>
      <c r="AK305" s="20">
        <v>36890</v>
      </c>
    </row>
    <row r="306" spans="1:37" ht="16.5" customHeight="1" x14ac:dyDescent="0.3">
      <c r="A306" s="18" t="s">
        <v>1075</v>
      </c>
      <c r="B306" s="18" t="s">
        <v>240</v>
      </c>
      <c r="C306" s="19" t="s">
        <v>241</v>
      </c>
      <c r="D306" s="18" t="s">
        <v>1076</v>
      </c>
      <c r="E306" s="19" t="s">
        <v>1077</v>
      </c>
      <c r="F306" s="18" t="s">
        <v>244</v>
      </c>
      <c r="G306" s="18" t="s">
        <v>245</v>
      </c>
      <c r="H306" s="19" t="s">
        <v>175</v>
      </c>
      <c r="I306" s="18" t="s">
        <v>246</v>
      </c>
      <c r="J306" s="19" t="s">
        <v>247</v>
      </c>
      <c r="K306" s="19" t="s">
        <v>248</v>
      </c>
      <c r="L306" s="18" t="s">
        <v>164</v>
      </c>
      <c r="M306" s="18" t="s">
        <v>272</v>
      </c>
      <c r="N306" s="18" t="s">
        <v>250</v>
      </c>
      <c r="O306" s="20">
        <v>119000</v>
      </c>
      <c r="P306" s="20">
        <v>82110</v>
      </c>
      <c r="Q306" s="20">
        <v>1</v>
      </c>
      <c r="R306" s="20">
        <v>0</v>
      </c>
      <c r="S306" s="20">
        <v>0</v>
      </c>
      <c r="T306" s="20">
        <v>0</v>
      </c>
      <c r="U306" s="20">
        <v>0</v>
      </c>
      <c r="V306" s="20">
        <v>0</v>
      </c>
      <c r="W306" s="20">
        <v>31</v>
      </c>
      <c r="X306" s="20">
        <v>0</v>
      </c>
      <c r="Y306" s="20">
        <v>0</v>
      </c>
      <c r="Z306" s="20">
        <v>0</v>
      </c>
      <c r="AA306" s="20">
        <v>0</v>
      </c>
      <c r="AB306" s="20">
        <v>0</v>
      </c>
      <c r="AC306" s="20">
        <v>119000</v>
      </c>
      <c r="AD306" s="20">
        <v>82110</v>
      </c>
      <c r="AE306" s="20">
        <v>0</v>
      </c>
      <c r="AF306" s="20">
        <v>0</v>
      </c>
      <c r="AG306" s="20">
        <v>119000</v>
      </c>
      <c r="AH306" s="20">
        <v>82110</v>
      </c>
      <c r="AI306" s="20">
        <v>33536</v>
      </c>
      <c r="AJ306" s="20">
        <v>3354</v>
      </c>
      <c r="AK306" s="20">
        <v>36890</v>
      </c>
    </row>
    <row r="307" spans="1:37" ht="16.5" customHeight="1" x14ac:dyDescent="0.3">
      <c r="A307" s="18" t="s">
        <v>1078</v>
      </c>
      <c r="B307" s="18" t="s">
        <v>240</v>
      </c>
      <c r="C307" s="19" t="s">
        <v>241</v>
      </c>
      <c r="D307" s="18" t="s">
        <v>1079</v>
      </c>
      <c r="E307" s="19" t="s">
        <v>1080</v>
      </c>
      <c r="F307" s="18" t="s">
        <v>244</v>
      </c>
      <c r="G307" s="18" t="s">
        <v>245</v>
      </c>
      <c r="H307" s="19" t="s">
        <v>175</v>
      </c>
      <c r="I307" s="18" t="s">
        <v>246</v>
      </c>
      <c r="J307" s="19" t="s">
        <v>247</v>
      </c>
      <c r="K307" s="19" t="s">
        <v>248</v>
      </c>
      <c r="L307" s="18" t="s">
        <v>164</v>
      </c>
      <c r="M307" s="18" t="s">
        <v>272</v>
      </c>
      <c r="N307" s="18" t="s">
        <v>250</v>
      </c>
      <c r="O307" s="20">
        <v>119000</v>
      </c>
      <c r="P307" s="20">
        <v>82110</v>
      </c>
      <c r="Q307" s="20">
        <v>1</v>
      </c>
      <c r="R307" s="20">
        <v>0</v>
      </c>
      <c r="S307" s="20">
        <v>0</v>
      </c>
      <c r="T307" s="20">
        <v>0</v>
      </c>
      <c r="U307" s="20">
        <v>0</v>
      </c>
      <c r="V307" s="20">
        <v>0</v>
      </c>
      <c r="W307" s="20">
        <v>31</v>
      </c>
      <c r="X307" s="20">
        <v>0</v>
      </c>
      <c r="Y307" s="20">
        <v>0</v>
      </c>
      <c r="Z307" s="20">
        <v>0</v>
      </c>
      <c r="AA307" s="20">
        <v>0</v>
      </c>
      <c r="AB307" s="20">
        <v>0</v>
      </c>
      <c r="AC307" s="20">
        <v>119000</v>
      </c>
      <c r="AD307" s="20">
        <v>82110</v>
      </c>
      <c r="AE307" s="20">
        <v>0</v>
      </c>
      <c r="AF307" s="20">
        <v>0</v>
      </c>
      <c r="AG307" s="20">
        <v>119000</v>
      </c>
      <c r="AH307" s="20">
        <v>82110</v>
      </c>
      <c r="AI307" s="20">
        <v>33536</v>
      </c>
      <c r="AJ307" s="20">
        <v>3354</v>
      </c>
      <c r="AK307" s="20">
        <v>36890</v>
      </c>
    </row>
    <row r="308" spans="1:37" ht="16.5" customHeight="1" x14ac:dyDescent="0.3">
      <c r="A308" s="18" t="s">
        <v>1081</v>
      </c>
      <c r="B308" s="18" t="s">
        <v>240</v>
      </c>
      <c r="C308" s="19" t="s">
        <v>241</v>
      </c>
      <c r="D308" s="18" t="s">
        <v>1082</v>
      </c>
      <c r="E308" s="19" t="s">
        <v>1040</v>
      </c>
      <c r="F308" s="18" t="s">
        <v>244</v>
      </c>
      <c r="G308" s="18" t="s">
        <v>245</v>
      </c>
      <c r="H308" s="19" t="s">
        <v>175</v>
      </c>
      <c r="I308" s="18" t="s">
        <v>246</v>
      </c>
      <c r="J308" s="19" t="s">
        <v>247</v>
      </c>
      <c r="K308" s="19" t="s">
        <v>314</v>
      </c>
      <c r="L308" s="18" t="s">
        <v>164</v>
      </c>
      <c r="M308" s="18" t="s">
        <v>272</v>
      </c>
      <c r="N308" s="18" t="s">
        <v>250</v>
      </c>
      <c r="O308" s="20">
        <v>119000</v>
      </c>
      <c r="P308" s="20">
        <v>82110</v>
      </c>
      <c r="Q308" s="20">
        <v>1</v>
      </c>
      <c r="R308" s="20">
        <v>0</v>
      </c>
      <c r="S308" s="20">
        <v>0</v>
      </c>
      <c r="T308" s="20">
        <v>0</v>
      </c>
      <c r="U308" s="20">
        <v>0</v>
      </c>
      <c r="V308" s="20">
        <v>0</v>
      </c>
      <c r="W308" s="20">
        <v>31</v>
      </c>
      <c r="X308" s="20">
        <v>0</v>
      </c>
      <c r="Y308" s="20">
        <v>0</v>
      </c>
      <c r="Z308" s="20">
        <v>0</v>
      </c>
      <c r="AA308" s="20">
        <v>0</v>
      </c>
      <c r="AB308" s="20">
        <v>0</v>
      </c>
      <c r="AC308" s="20">
        <v>119000</v>
      </c>
      <c r="AD308" s="20">
        <v>82110</v>
      </c>
      <c r="AE308" s="20">
        <v>0</v>
      </c>
      <c r="AF308" s="20">
        <v>0</v>
      </c>
      <c r="AG308" s="20">
        <v>119000</v>
      </c>
      <c r="AH308" s="20">
        <v>82110</v>
      </c>
      <c r="AI308" s="20">
        <v>33536</v>
      </c>
      <c r="AJ308" s="20">
        <v>3354</v>
      </c>
      <c r="AK308" s="20">
        <v>36890</v>
      </c>
    </row>
    <row r="309" spans="1:37" ht="16.5" customHeight="1" x14ac:dyDescent="0.3">
      <c r="A309" s="18" t="s">
        <v>1083</v>
      </c>
      <c r="B309" s="18" t="s">
        <v>240</v>
      </c>
      <c r="C309" s="19" t="s">
        <v>241</v>
      </c>
      <c r="D309" s="18" t="s">
        <v>1084</v>
      </c>
      <c r="E309" s="19" t="s">
        <v>1085</v>
      </c>
      <c r="F309" s="18" t="s">
        <v>244</v>
      </c>
      <c r="G309" s="18" t="s">
        <v>245</v>
      </c>
      <c r="H309" s="19" t="s">
        <v>175</v>
      </c>
      <c r="I309" s="18" t="s">
        <v>246</v>
      </c>
      <c r="J309" s="19" t="s">
        <v>247</v>
      </c>
      <c r="K309" s="19" t="s">
        <v>248</v>
      </c>
      <c r="L309" s="18" t="s">
        <v>164</v>
      </c>
      <c r="M309" s="18" t="s">
        <v>272</v>
      </c>
      <c r="N309" s="18" t="s">
        <v>250</v>
      </c>
      <c r="O309" s="20">
        <v>119000</v>
      </c>
      <c r="P309" s="20">
        <v>82110</v>
      </c>
      <c r="Q309" s="20">
        <v>1</v>
      </c>
      <c r="R309" s="20">
        <v>0</v>
      </c>
      <c r="S309" s="20">
        <v>0</v>
      </c>
      <c r="T309" s="20">
        <v>0</v>
      </c>
      <c r="U309" s="20">
        <v>0</v>
      </c>
      <c r="V309" s="20">
        <v>0</v>
      </c>
      <c r="W309" s="20">
        <v>31</v>
      </c>
      <c r="X309" s="20">
        <v>0</v>
      </c>
      <c r="Y309" s="20">
        <v>10000</v>
      </c>
      <c r="Z309" s="20">
        <v>0</v>
      </c>
      <c r="AA309" s="20">
        <v>0</v>
      </c>
      <c r="AB309" s="20">
        <v>0</v>
      </c>
      <c r="AC309" s="20">
        <v>119000</v>
      </c>
      <c r="AD309" s="20">
        <v>82110</v>
      </c>
      <c r="AE309" s="20">
        <v>0</v>
      </c>
      <c r="AF309" s="20">
        <v>10000</v>
      </c>
      <c r="AG309" s="20">
        <v>109000</v>
      </c>
      <c r="AH309" s="20">
        <v>82110</v>
      </c>
      <c r="AI309" s="20">
        <v>24445</v>
      </c>
      <c r="AJ309" s="20">
        <v>2445</v>
      </c>
      <c r="AK309" s="20">
        <v>26890</v>
      </c>
    </row>
    <row r="310" spans="1:37" ht="16.5" customHeight="1" x14ac:dyDescent="0.3">
      <c r="A310" s="18" t="s">
        <v>1086</v>
      </c>
      <c r="B310" s="18" t="s">
        <v>240</v>
      </c>
      <c r="C310" s="19" t="s">
        <v>241</v>
      </c>
      <c r="D310" s="18" t="s">
        <v>1087</v>
      </c>
      <c r="E310" s="19" t="s">
        <v>1088</v>
      </c>
      <c r="F310" s="18" t="s">
        <v>244</v>
      </c>
      <c r="G310" s="18" t="s">
        <v>245</v>
      </c>
      <c r="H310" s="19" t="s">
        <v>175</v>
      </c>
      <c r="I310" s="18" t="s">
        <v>246</v>
      </c>
      <c r="J310" s="19" t="s">
        <v>247</v>
      </c>
      <c r="K310" s="19" t="s">
        <v>248</v>
      </c>
      <c r="L310" s="18" t="s">
        <v>164</v>
      </c>
      <c r="M310" s="18" t="s">
        <v>272</v>
      </c>
      <c r="N310" s="18" t="s">
        <v>250</v>
      </c>
      <c r="O310" s="20">
        <v>119000</v>
      </c>
      <c r="P310" s="20">
        <v>82110</v>
      </c>
      <c r="Q310" s="20">
        <v>1</v>
      </c>
      <c r="R310" s="20">
        <v>0</v>
      </c>
      <c r="S310" s="20">
        <v>0</v>
      </c>
      <c r="T310" s="20">
        <v>0</v>
      </c>
      <c r="U310" s="20">
        <v>0</v>
      </c>
      <c r="V310" s="20">
        <v>0</v>
      </c>
      <c r="W310" s="20">
        <v>31</v>
      </c>
      <c r="X310" s="20">
        <v>0</v>
      </c>
      <c r="Y310" s="20">
        <v>0</v>
      </c>
      <c r="Z310" s="20">
        <v>0</v>
      </c>
      <c r="AA310" s="20">
        <v>0</v>
      </c>
      <c r="AB310" s="20">
        <v>0</v>
      </c>
      <c r="AC310" s="20">
        <v>119000</v>
      </c>
      <c r="AD310" s="20">
        <v>82110</v>
      </c>
      <c r="AE310" s="20">
        <v>0</v>
      </c>
      <c r="AF310" s="20">
        <v>0</v>
      </c>
      <c r="AG310" s="20">
        <v>119000</v>
      </c>
      <c r="AH310" s="20">
        <v>82110</v>
      </c>
      <c r="AI310" s="20">
        <v>33536</v>
      </c>
      <c r="AJ310" s="20">
        <v>3354</v>
      </c>
      <c r="AK310" s="20">
        <v>36890</v>
      </c>
    </row>
    <row r="311" spans="1:37" ht="16.5" customHeight="1" x14ac:dyDescent="0.3">
      <c r="A311" s="18" t="s">
        <v>1089</v>
      </c>
      <c r="B311" s="18" t="s">
        <v>240</v>
      </c>
      <c r="C311" s="19" t="s">
        <v>241</v>
      </c>
      <c r="D311" s="18" t="s">
        <v>1090</v>
      </c>
      <c r="E311" s="19" t="s">
        <v>1091</v>
      </c>
      <c r="F311" s="18" t="s">
        <v>244</v>
      </c>
      <c r="G311" s="18" t="s">
        <v>245</v>
      </c>
      <c r="H311" s="19" t="s">
        <v>175</v>
      </c>
      <c r="I311" s="18" t="s">
        <v>246</v>
      </c>
      <c r="J311" s="19" t="s">
        <v>247</v>
      </c>
      <c r="K311" s="19" t="s">
        <v>248</v>
      </c>
      <c r="L311" s="18" t="s">
        <v>164</v>
      </c>
      <c r="M311" s="18" t="s">
        <v>272</v>
      </c>
      <c r="N311" s="18" t="s">
        <v>250</v>
      </c>
      <c r="O311" s="20">
        <v>119000</v>
      </c>
      <c r="P311" s="20">
        <v>82110</v>
      </c>
      <c r="Q311" s="20">
        <v>1</v>
      </c>
      <c r="R311" s="20">
        <v>0</v>
      </c>
      <c r="S311" s="20">
        <v>0</v>
      </c>
      <c r="T311" s="20">
        <v>0</v>
      </c>
      <c r="U311" s="20">
        <v>0</v>
      </c>
      <c r="V311" s="20">
        <v>0</v>
      </c>
      <c r="W311" s="20">
        <v>31</v>
      </c>
      <c r="X311" s="20">
        <v>0</v>
      </c>
      <c r="Y311" s="20">
        <v>0</v>
      </c>
      <c r="Z311" s="20">
        <v>0</v>
      </c>
      <c r="AA311" s="20">
        <v>0</v>
      </c>
      <c r="AB311" s="20">
        <v>0</v>
      </c>
      <c r="AC311" s="20">
        <v>119000</v>
      </c>
      <c r="AD311" s="20">
        <v>82110</v>
      </c>
      <c r="AE311" s="20">
        <v>0</v>
      </c>
      <c r="AF311" s="20">
        <v>0</v>
      </c>
      <c r="AG311" s="20">
        <v>119000</v>
      </c>
      <c r="AH311" s="20">
        <v>82110</v>
      </c>
      <c r="AI311" s="20">
        <v>33536</v>
      </c>
      <c r="AJ311" s="20">
        <v>3354</v>
      </c>
      <c r="AK311" s="20">
        <v>36890</v>
      </c>
    </row>
    <row r="312" spans="1:37" ht="16.5" customHeight="1" x14ac:dyDescent="0.3">
      <c r="A312" s="18" t="s">
        <v>1092</v>
      </c>
      <c r="B312" s="18" t="s">
        <v>240</v>
      </c>
      <c r="C312" s="19" t="s">
        <v>241</v>
      </c>
      <c r="D312" s="18" t="s">
        <v>1093</v>
      </c>
      <c r="E312" s="19" t="s">
        <v>374</v>
      </c>
      <c r="F312" s="18" t="s">
        <v>244</v>
      </c>
      <c r="G312" s="18" t="s">
        <v>245</v>
      </c>
      <c r="H312" s="19" t="s">
        <v>175</v>
      </c>
      <c r="I312" s="18" t="s">
        <v>246</v>
      </c>
      <c r="J312" s="19" t="s">
        <v>247</v>
      </c>
      <c r="K312" s="19" t="s">
        <v>248</v>
      </c>
      <c r="L312" s="18" t="s">
        <v>164</v>
      </c>
      <c r="M312" s="18" t="s">
        <v>272</v>
      </c>
      <c r="N312" s="18" t="s">
        <v>250</v>
      </c>
      <c r="O312" s="20">
        <v>119000</v>
      </c>
      <c r="P312" s="20">
        <v>82110</v>
      </c>
      <c r="Q312" s="20">
        <v>1</v>
      </c>
      <c r="R312" s="20">
        <v>0</v>
      </c>
      <c r="S312" s="20">
        <v>0</v>
      </c>
      <c r="T312" s="20">
        <v>0</v>
      </c>
      <c r="U312" s="20">
        <v>0</v>
      </c>
      <c r="V312" s="20">
        <v>0</v>
      </c>
      <c r="W312" s="20">
        <v>31</v>
      </c>
      <c r="X312" s="20">
        <v>0</v>
      </c>
      <c r="Y312" s="20">
        <v>0</v>
      </c>
      <c r="Z312" s="20">
        <v>0</v>
      </c>
      <c r="AA312" s="20">
        <v>0</v>
      </c>
      <c r="AB312" s="20">
        <v>0</v>
      </c>
      <c r="AC312" s="20">
        <v>119000</v>
      </c>
      <c r="AD312" s="20">
        <v>82110</v>
      </c>
      <c r="AE312" s="20">
        <v>0</v>
      </c>
      <c r="AF312" s="20">
        <v>0</v>
      </c>
      <c r="AG312" s="20">
        <v>119000</v>
      </c>
      <c r="AH312" s="20">
        <v>82110</v>
      </c>
      <c r="AI312" s="20">
        <v>33536</v>
      </c>
      <c r="AJ312" s="20">
        <v>3354</v>
      </c>
      <c r="AK312" s="20">
        <v>36890</v>
      </c>
    </row>
    <row r="313" spans="1:37" ht="16.5" customHeight="1" x14ac:dyDescent="0.3">
      <c r="A313" s="18" t="s">
        <v>1094</v>
      </c>
      <c r="B313" s="18" t="s">
        <v>240</v>
      </c>
      <c r="C313" s="19" t="s">
        <v>241</v>
      </c>
      <c r="D313" s="18" t="s">
        <v>1093</v>
      </c>
      <c r="E313" s="19" t="s">
        <v>374</v>
      </c>
      <c r="F313" s="18" t="s">
        <v>244</v>
      </c>
      <c r="G313" s="18" t="s">
        <v>245</v>
      </c>
      <c r="H313" s="19" t="s">
        <v>175</v>
      </c>
      <c r="I313" s="18" t="s">
        <v>246</v>
      </c>
      <c r="J313" s="19" t="s">
        <v>247</v>
      </c>
      <c r="K313" s="19" t="s">
        <v>248</v>
      </c>
      <c r="L313" s="18" t="s">
        <v>164</v>
      </c>
      <c r="M313" s="18" t="s">
        <v>272</v>
      </c>
      <c r="N313" s="18" t="s">
        <v>250</v>
      </c>
      <c r="O313" s="20">
        <v>119000</v>
      </c>
      <c r="P313" s="20">
        <v>82110</v>
      </c>
      <c r="Q313" s="20">
        <v>1</v>
      </c>
      <c r="R313" s="20">
        <v>0</v>
      </c>
      <c r="S313" s="20">
        <v>0</v>
      </c>
      <c r="T313" s="20">
        <v>0</v>
      </c>
      <c r="U313" s="20">
        <v>0</v>
      </c>
      <c r="V313" s="20">
        <v>0</v>
      </c>
      <c r="W313" s="20">
        <v>31</v>
      </c>
      <c r="X313" s="20">
        <v>0</v>
      </c>
      <c r="Y313" s="20">
        <v>0</v>
      </c>
      <c r="Z313" s="20">
        <v>0</v>
      </c>
      <c r="AA313" s="20">
        <v>0</v>
      </c>
      <c r="AB313" s="20">
        <v>0</v>
      </c>
      <c r="AC313" s="20">
        <v>119000</v>
      </c>
      <c r="AD313" s="20">
        <v>82110</v>
      </c>
      <c r="AE313" s="20">
        <v>0</v>
      </c>
      <c r="AF313" s="20">
        <v>0</v>
      </c>
      <c r="AG313" s="20">
        <v>119000</v>
      </c>
      <c r="AH313" s="20">
        <v>82110</v>
      </c>
      <c r="AI313" s="20">
        <v>33536</v>
      </c>
      <c r="AJ313" s="20">
        <v>3354</v>
      </c>
      <c r="AK313" s="20">
        <v>36890</v>
      </c>
    </row>
    <row r="314" spans="1:37" ht="16.5" customHeight="1" x14ac:dyDescent="0.3">
      <c r="A314" s="18" t="s">
        <v>1095</v>
      </c>
      <c r="B314" s="18" t="s">
        <v>240</v>
      </c>
      <c r="C314" s="19" t="s">
        <v>241</v>
      </c>
      <c r="D314" s="18" t="s">
        <v>1096</v>
      </c>
      <c r="E314" s="19" t="s">
        <v>1097</v>
      </c>
      <c r="F314" s="18" t="s">
        <v>244</v>
      </c>
      <c r="G314" s="18" t="s">
        <v>245</v>
      </c>
      <c r="H314" s="19" t="s">
        <v>175</v>
      </c>
      <c r="I314" s="18" t="s">
        <v>246</v>
      </c>
      <c r="J314" s="19" t="s">
        <v>247</v>
      </c>
      <c r="K314" s="19" t="s">
        <v>248</v>
      </c>
      <c r="L314" s="18" t="s">
        <v>164</v>
      </c>
      <c r="M314" s="18" t="s">
        <v>272</v>
      </c>
      <c r="N314" s="18" t="s">
        <v>250</v>
      </c>
      <c r="O314" s="20">
        <v>119000</v>
      </c>
      <c r="P314" s="20">
        <v>82110</v>
      </c>
      <c r="Q314" s="20">
        <v>1</v>
      </c>
      <c r="R314" s="20">
        <v>0</v>
      </c>
      <c r="S314" s="20">
        <v>0</v>
      </c>
      <c r="T314" s="20">
        <v>0</v>
      </c>
      <c r="U314" s="20">
        <v>0</v>
      </c>
      <c r="V314" s="20">
        <v>0</v>
      </c>
      <c r="W314" s="20">
        <v>31</v>
      </c>
      <c r="X314" s="20">
        <v>0</v>
      </c>
      <c r="Y314" s="20">
        <v>0</v>
      </c>
      <c r="Z314" s="20">
        <v>0</v>
      </c>
      <c r="AA314" s="20">
        <v>0</v>
      </c>
      <c r="AB314" s="20">
        <v>0</v>
      </c>
      <c r="AC314" s="20">
        <v>119000</v>
      </c>
      <c r="AD314" s="20">
        <v>82110</v>
      </c>
      <c r="AE314" s="20">
        <v>0</v>
      </c>
      <c r="AF314" s="20">
        <v>0</v>
      </c>
      <c r="AG314" s="20">
        <v>119000</v>
      </c>
      <c r="AH314" s="20">
        <v>82110</v>
      </c>
      <c r="AI314" s="20">
        <v>33536</v>
      </c>
      <c r="AJ314" s="20">
        <v>3354</v>
      </c>
      <c r="AK314" s="20">
        <v>36890</v>
      </c>
    </row>
    <row r="315" spans="1:37" ht="16.5" customHeight="1" x14ac:dyDescent="0.3">
      <c r="A315" s="18" t="s">
        <v>1098</v>
      </c>
      <c r="B315" s="18" t="s">
        <v>240</v>
      </c>
      <c r="C315" s="19" t="s">
        <v>241</v>
      </c>
      <c r="D315" s="18" t="s">
        <v>1099</v>
      </c>
      <c r="E315" s="19" t="s">
        <v>559</v>
      </c>
      <c r="F315" s="18" t="s">
        <v>244</v>
      </c>
      <c r="G315" s="18" t="s">
        <v>245</v>
      </c>
      <c r="H315" s="19" t="s">
        <v>175</v>
      </c>
      <c r="I315" s="18" t="s">
        <v>246</v>
      </c>
      <c r="J315" s="19" t="s">
        <v>247</v>
      </c>
      <c r="K315" s="19" t="s">
        <v>248</v>
      </c>
      <c r="L315" s="18" t="s">
        <v>164</v>
      </c>
      <c r="M315" s="18" t="s">
        <v>272</v>
      </c>
      <c r="N315" s="18" t="s">
        <v>250</v>
      </c>
      <c r="O315" s="20">
        <v>119000</v>
      </c>
      <c r="P315" s="20">
        <v>82110</v>
      </c>
      <c r="Q315" s="20">
        <v>1</v>
      </c>
      <c r="R315" s="20">
        <v>0</v>
      </c>
      <c r="S315" s="20">
        <v>0</v>
      </c>
      <c r="T315" s="20">
        <v>0</v>
      </c>
      <c r="U315" s="20">
        <v>0</v>
      </c>
      <c r="V315" s="20">
        <v>0</v>
      </c>
      <c r="W315" s="20">
        <v>31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119000</v>
      </c>
      <c r="AD315" s="20">
        <v>82110</v>
      </c>
      <c r="AE315" s="20">
        <v>0</v>
      </c>
      <c r="AF315" s="20">
        <v>0</v>
      </c>
      <c r="AG315" s="20">
        <v>119000</v>
      </c>
      <c r="AH315" s="20">
        <v>82110</v>
      </c>
      <c r="AI315" s="20">
        <v>33536</v>
      </c>
      <c r="AJ315" s="20">
        <v>3354</v>
      </c>
      <c r="AK315" s="20">
        <v>36890</v>
      </c>
    </row>
    <row r="316" spans="1:37" ht="16.5" customHeight="1" x14ac:dyDescent="0.3">
      <c r="A316" s="18" t="s">
        <v>1100</v>
      </c>
      <c r="B316" s="18" t="s">
        <v>240</v>
      </c>
      <c r="C316" s="19" t="s">
        <v>241</v>
      </c>
      <c r="D316" s="18" t="s">
        <v>1101</v>
      </c>
      <c r="E316" s="19" t="s">
        <v>1102</v>
      </c>
      <c r="F316" s="18" t="s">
        <v>244</v>
      </c>
      <c r="G316" s="18" t="s">
        <v>245</v>
      </c>
      <c r="H316" s="19" t="s">
        <v>175</v>
      </c>
      <c r="I316" s="18" t="s">
        <v>246</v>
      </c>
      <c r="J316" s="19" t="s">
        <v>247</v>
      </c>
      <c r="K316" s="19" t="s">
        <v>248</v>
      </c>
      <c r="L316" s="18" t="s">
        <v>164</v>
      </c>
      <c r="M316" s="18" t="s">
        <v>272</v>
      </c>
      <c r="N316" s="18" t="s">
        <v>250</v>
      </c>
      <c r="O316" s="20">
        <v>119000</v>
      </c>
      <c r="P316" s="20">
        <v>82110</v>
      </c>
      <c r="Q316" s="20">
        <v>1</v>
      </c>
      <c r="R316" s="20">
        <v>0</v>
      </c>
      <c r="S316" s="20">
        <v>0</v>
      </c>
      <c r="T316" s="20">
        <v>0</v>
      </c>
      <c r="U316" s="20">
        <v>0</v>
      </c>
      <c r="V316" s="20">
        <v>0</v>
      </c>
      <c r="W316" s="20">
        <v>31</v>
      </c>
      <c r="X316" s="20">
        <v>0</v>
      </c>
      <c r="Y316" s="20">
        <v>10000</v>
      </c>
      <c r="Z316" s="20">
        <v>0</v>
      </c>
      <c r="AA316" s="20">
        <v>0</v>
      </c>
      <c r="AB316" s="20">
        <v>0</v>
      </c>
      <c r="AC316" s="20">
        <v>119000</v>
      </c>
      <c r="AD316" s="20">
        <v>82110</v>
      </c>
      <c r="AE316" s="20">
        <v>0</v>
      </c>
      <c r="AF316" s="20">
        <v>10000</v>
      </c>
      <c r="AG316" s="20">
        <v>109000</v>
      </c>
      <c r="AH316" s="20">
        <v>82110</v>
      </c>
      <c r="AI316" s="20">
        <v>24445</v>
      </c>
      <c r="AJ316" s="20">
        <v>2445</v>
      </c>
      <c r="AK316" s="20">
        <v>26890</v>
      </c>
    </row>
    <row r="317" spans="1:37" ht="16.5" customHeight="1" x14ac:dyDescent="0.3">
      <c r="A317" s="18" t="s">
        <v>1103</v>
      </c>
      <c r="B317" s="18" t="s">
        <v>240</v>
      </c>
      <c r="C317" s="19" t="s">
        <v>241</v>
      </c>
      <c r="D317" s="18" t="s">
        <v>1104</v>
      </c>
      <c r="E317" s="19" t="s">
        <v>432</v>
      </c>
      <c r="F317" s="18" t="s">
        <v>244</v>
      </c>
      <c r="G317" s="18" t="s">
        <v>245</v>
      </c>
      <c r="H317" s="19" t="s">
        <v>175</v>
      </c>
      <c r="I317" s="18" t="s">
        <v>246</v>
      </c>
      <c r="J317" s="19" t="s">
        <v>247</v>
      </c>
      <c r="K317" s="19" t="s">
        <v>248</v>
      </c>
      <c r="L317" s="18" t="s">
        <v>164</v>
      </c>
      <c r="M317" s="18" t="s">
        <v>272</v>
      </c>
      <c r="N317" s="18" t="s">
        <v>250</v>
      </c>
      <c r="O317" s="20">
        <v>119000</v>
      </c>
      <c r="P317" s="20">
        <v>82110</v>
      </c>
      <c r="Q317" s="20">
        <v>1</v>
      </c>
      <c r="R317" s="20">
        <v>0</v>
      </c>
      <c r="S317" s="20">
        <v>0</v>
      </c>
      <c r="T317" s="20">
        <v>0</v>
      </c>
      <c r="U317" s="20">
        <v>0</v>
      </c>
      <c r="V317" s="20">
        <v>0</v>
      </c>
      <c r="W317" s="20">
        <v>31</v>
      </c>
      <c r="X317" s="20">
        <v>0</v>
      </c>
      <c r="Y317" s="20">
        <v>0</v>
      </c>
      <c r="Z317" s="20">
        <v>0</v>
      </c>
      <c r="AA317" s="20">
        <v>0</v>
      </c>
      <c r="AB317" s="20">
        <v>0</v>
      </c>
      <c r="AC317" s="20">
        <v>119000</v>
      </c>
      <c r="AD317" s="20">
        <v>82110</v>
      </c>
      <c r="AE317" s="20">
        <v>0</v>
      </c>
      <c r="AF317" s="20">
        <v>0</v>
      </c>
      <c r="AG317" s="20">
        <v>119000</v>
      </c>
      <c r="AH317" s="20">
        <v>82110</v>
      </c>
      <c r="AI317" s="20">
        <v>33536</v>
      </c>
      <c r="AJ317" s="20">
        <v>3354</v>
      </c>
      <c r="AK317" s="20">
        <v>36890</v>
      </c>
    </row>
    <row r="318" spans="1:37" ht="16.5" customHeight="1" x14ac:dyDescent="0.3">
      <c r="A318" s="18" t="s">
        <v>1105</v>
      </c>
      <c r="B318" s="18" t="s">
        <v>240</v>
      </c>
      <c r="C318" s="19" t="s">
        <v>241</v>
      </c>
      <c r="D318" s="18" t="s">
        <v>1106</v>
      </c>
      <c r="E318" s="19" t="s">
        <v>1107</v>
      </c>
      <c r="F318" s="18" t="s">
        <v>244</v>
      </c>
      <c r="G318" s="18" t="s">
        <v>245</v>
      </c>
      <c r="H318" s="19" t="s">
        <v>175</v>
      </c>
      <c r="I318" s="18" t="s">
        <v>246</v>
      </c>
      <c r="J318" s="19" t="s">
        <v>247</v>
      </c>
      <c r="K318" s="19" t="s">
        <v>248</v>
      </c>
      <c r="L318" s="18" t="s">
        <v>164</v>
      </c>
      <c r="M318" s="18" t="s">
        <v>272</v>
      </c>
      <c r="N318" s="18" t="s">
        <v>250</v>
      </c>
      <c r="O318" s="20">
        <v>119000</v>
      </c>
      <c r="P318" s="20">
        <v>82110</v>
      </c>
      <c r="Q318" s="20">
        <v>1</v>
      </c>
      <c r="R318" s="20">
        <v>0</v>
      </c>
      <c r="S318" s="20">
        <v>0</v>
      </c>
      <c r="T318" s="20">
        <v>0</v>
      </c>
      <c r="U318" s="20">
        <v>0</v>
      </c>
      <c r="V318" s="20">
        <v>0</v>
      </c>
      <c r="W318" s="20">
        <v>31</v>
      </c>
      <c r="X318" s="20">
        <v>0</v>
      </c>
      <c r="Y318" s="20">
        <v>10000</v>
      </c>
      <c r="Z318" s="20">
        <v>0</v>
      </c>
      <c r="AA318" s="20">
        <v>0</v>
      </c>
      <c r="AB318" s="20">
        <v>0</v>
      </c>
      <c r="AC318" s="20">
        <v>119000</v>
      </c>
      <c r="AD318" s="20">
        <v>82110</v>
      </c>
      <c r="AE318" s="20">
        <v>0</v>
      </c>
      <c r="AF318" s="20">
        <v>10000</v>
      </c>
      <c r="AG318" s="20">
        <v>109000</v>
      </c>
      <c r="AH318" s="20">
        <v>82110</v>
      </c>
      <c r="AI318" s="20">
        <v>24445</v>
      </c>
      <c r="AJ318" s="20">
        <v>2445</v>
      </c>
      <c r="AK318" s="20">
        <v>26890</v>
      </c>
    </row>
    <row r="319" spans="1:37" ht="16.5" customHeight="1" x14ac:dyDescent="0.3">
      <c r="A319" s="18" t="s">
        <v>1108</v>
      </c>
      <c r="B319" s="18" t="s">
        <v>240</v>
      </c>
      <c r="C319" s="19" t="s">
        <v>241</v>
      </c>
      <c r="D319" s="18" t="s">
        <v>1109</v>
      </c>
      <c r="E319" s="19" t="s">
        <v>1110</v>
      </c>
      <c r="F319" s="18" t="s">
        <v>244</v>
      </c>
      <c r="G319" s="18" t="s">
        <v>245</v>
      </c>
      <c r="H319" s="19" t="s">
        <v>175</v>
      </c>
      <c r="I319" s="18" t="s">
        <v>246</v>
      </c>
      <c r="J319" s="19" t="s">
        <v>247</v>
      </c>
      <c r="K319" s="19"/>
      <c r="L319" s="18" t="s">
        <v>164</v>
      </c>
      <c r="M319" s="18" t="s">
        <v>272</v>
      </c>
      <c r="N319" s="18" t="s">
        <v>250</v>
      </c>
      <c r="O319" s="20">
        <v>119000</v>
      </c>
      <c r="P319" s="20">
        <v>82110</v>
      </c>
      <c r="Q319" s="20">
        <v>2</v>
      </c>
      <c r="R319" s="20">
        <v>0</v>
      </c>
      <c r="S319" s="20">
        <v>0</v>
      </c>
      <c r="T319" s="20">
        <v>0</v>
      </c>
      <c r="U319" s="20">
        <v>0</v>
      </c>
      <c r="V319" s="20">
        <v>0</v>
      </c>
      <c r="W319" s="20">
        <v>31</v>
      </c>
      <c r="X319" s="20">
        <v>0</v>
      </c>
      <c r="Y319" s="20">
        <v>0</v>
      </c>
      <c r="Z319" s="20">
        <v>0</v>
      </c>
      <c r="AA319" s="20">
        <v>0</v>
      </c>
      <c r="AB319" s="20">
        <v>0</v>
      </c>
      <c r="AC319" s="20">
        <v>238000</v>
      </c>
      <c r="AD319" s="20">
        <v>164220</v>
      </c>
      <c r="AE319" s="20">
        <v>0</v>
      </c>
      <c r="AF319" s="20">
        <v>0</v>
      </c>
      <c r="AG319" s="20">
        <v>238000</v>
      </c>
      <c r="AH319" s="20">
        <v>164220</v>
      </c>
      <c r="AI319" s="20">
        <v>67073</v>
      </c>
      <c r="AJ319" s="20">
        <v>6707</v>
      </c>
      <c r="AK319" s="20">
        <v>73780</v>
      </c>
    </row>
    <row r="320" spans="1:37" ht="16.5" customHeight="1" x14ac:dyDescent="0.3">
      <c r="A320" s="18" t="s">
        <v>1111</v>
      </c>
      <c r="B320" s="18" t="s">
        <v>240</v>
      </c>
      <c r="C320" s="19" t="s">
        <v>241</v>
      </c>
      <c r="D320" s="18" t="s">
        <v>1112</v>
      </c>
      <c r="E320" s="19" t="s">
        <v>357</v>
      </c>
      <c r="F320" s="18" t="s">
        <v>244</v>
      </c>
      <c r="G320" s="18" t="s">
        <v>245</v>
      </c>
      <c r="H320" s="19" t="s">
        <v>175</v>
      </c>
      <c r="I320" s="18" t="s">
        <v>246</v>
      </c>
      <c r="J320" s="19" t="s">
        <v>247</v>
      </c>
      <c r="K320" s="19" t="s">
        <v>248</v>
      </c>
      <c r="L320" s="18" t="s">
        <v>164</v>
      </c>
      <c r="M320" s="18" t="s">
        <v>272</v>
      </c>
      <c r="N320" s="18" t="s">
        <v>250</v>
      </c>
      <c r="O320" s="20">
        <v>119000</v>
      </c>
      <c r="P320" s="20">
        <v>82110</v>
      </c>
      <c r="Q320" s="20">
        <v>1</v>
      </c>
      <c r="R320" s="20">
        <v>0</v>
      </c>
      <c r="S320" s="20">
        <v>0</v>
      </c>
      <c r="T320" s="20">
        <v>0</v>
      </c>
      <c r="U320" s="20">
        <v>0</v>
      </c>
      <c r="V320" s="20">
        <v>0</v>
      </c>
      <c r="W320" s="20">
        <v>31</v>
      </c>
      <c r="X320" s="20">
        <v>0</v>
      </c>
      <c r="Y320" s="20">
        <v>0</v>
      </c>
      <c r="Z320" s="20">
        <v>0</v>
      </c>
      <c r="AA320" s="20">
        <v>0</v>
      </c>
      <c r="AB320" s="20">
        <v>0</v>
      </c>
      <c r="AC320" s="20">
        <v>119000</v>
      </c>
      <c r="AD320" s="20">
        <v>82110</v>
      </c>
      <c r="AE320" s="20">
        <v>0</v>
      </c>
      <c r="AF320" s="20">
        <v>0</v>
      </c>
      <c r="AG320" s="20">
        <v>119000</v>
      </c>
      <c r="AH320" s="20">
        <v>82110</v>
      </c>
      <c r="AI320" s="20">
        <v>33536</v>
      </c>
      <c r="AJ320" s="20">
        <v>3354</v>
      </c>
      <c r="AK320" s="20">
        <v>36890</v>
      </c>
    </row>
    <row r="321" spans="1:37" ht="16.5" customHeight="1" x14ac:dyDescent="0.3">
      <c r="A321" s="18" t="s">
        <v>1113</v>
      </c>
      <c r="B321" s="18" t="s">
        <v>240</v>
      </c>
      <c r="C321" s="19" t="s">
        <v>241</v>
      </c>
      <c r="D321" s="18" t="s">
        <v>1114</v>
      </c>
      <c r="E321" s="19" t="s">
        <v>657</v>
      </c>
      <c r="F321" s="18" t="s">
        <v>244</v>
      </c>
      <c r="G321" s="18" t="s">
        <v>245</v>
      </c>
      <c r="H321" s="19" t="s">
        <v>175</v>
      </c>
      <c r="I321" s="18" t="s">
        <v>246</v>
      </c>
      <c r="J321" s="19" t="s">
        <v>247</v>
      </c>
      <c r="K321" s="19" t="s">
        <v>248</v>
      </c>
      <c r="L321" s="18" t="s">
        <v>164</v>
      </c>
      <c r="M321" s="18" t="s">
        <v>272</v>
      </c>
      <c r="N321" s="18" t="s">
        <v>250</v>
      </c>
      <c r="O321" s="20">
        <v>119000</v>
      </c>
      <c r="P321" s="20">
        <v>82110</v>
      </c>
      <c r="Q321" s="20">
        <v>1</v>
      </c>
      <c r="R321" s="20">
        <v>0</v>
      </c>
      <c r="S321" s="20">
        <v>0</v>
      </c>
      <c r="T321" s="20">
        <v>0</v>
      </c>
      <c r="U321" s="20">
        <v>0</v>
      </c>
      <c r="V321" s="20">
        <v>0</v>
      </c>
      <c r="W321" s="20">
        <v>31</v>
      </c>
      <c r="X321" s="20">
        <v>0</v>
      </c>
      <c r="Y321" s="20">
        <v>0</v>
      </c>
      <c r="Z321" s="20">
        <v>0</v>
      </c>
      <c r="AA321" s="20">
        <v>0</v>
      </c>
      <c r="AB321" s="20">
        <v>0</v>
      </c>
      <c r="AC321" s="20">
        <v>119000</v>
      </c>
      <c r="AD321" s="20">
        <v>82110</v>
      </c>
      <c r="AE321" s="20">
        <v>0</v>
      </c>
      <c r="AF321" s="20">
        <v>0</v>
      </c>
      <c r="AG321" s="20">
        <v>119000</v>
      </c>
      <c r="AH321" s="20">
        <v>82110</v>
      </c>
      <c r="AI321" s="20">
        <v>33536</v>
      </c>
      <c r="AJ321" s="20">
        <v>3354</v>
      </c>
      <c r="AK321" s="20">
        <v>36890</v>
      </c>
    </row>
    <row r="322" spans="1:37" ht="16.5" customHeight="1" x14ac:dyDescent="0.3">
      <c r="A322" s="18" t="s">
        <v>1115</v>
      </c>
      <c r="B322" s="18" t="s">
        <v>240</v>
      </c>
      <c r="C322" s="19" t="s">
        <v>241</v>
      </c>
      <c r="D322" s="18" t="s">
        <v>1116</v>
      </c>
      <c r="E322" s="19" t="s">
        <v>1117</v>
      </c>
      <c r="F322" s="18" t="s">
        <v>244</v>
      </c>
      <c r="G322" s="18" t="s">
        <v>245</v>
      </c>
      <c r="H322" s="19" t="s">
        <v>175</v>
      </c>
      <c r="I322" s="18" t="s">
        <v>246</v>
      </c>
      <c r="J322" s="19" t="s">
        <v>247</v>
      </c>
      <c r="K322" s="19" t="s">
        <v>248</v>
      </c>
      <c r="L322" s="18" t="s">
        <v>164</v>
      </c>
      <c r="M322" s="18" t="s">
        <v>272</v>
      </c>
      <c r="N322" s="18" t="s">
        <v>250</v>
      </c>
      <c r="O322" s="20">
        <v>119000</v>
      </c>
      <c r="P322" s="20">
        <v>82110</v>
      </c>
      <c r="Q322" s="20">
        <v>1</v>
      </c>
      <c r="R322" s="20">
        <v>0</v>
      </c>
      <c r="S322" s="20">
        <v>0</v>
      </c>
      <c r="T322" s="20">
        <v>0</v>
      </c>
      <c r="U322" s="20">
        <v>0</v>
      </c>
      <c r="V322" s="20">
        <v>0</v>
      </c>
      <c r="W322" s="20">
        <v>31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119000</v>
      </c>
      <c r="AD322" s="20">
        <v>82110</v>
      </c>
      <c r="AE322" s="20">
        <v>0</v>
      </c>
      <c r="AF322" s="20">
        <v>0</v>
      </c>
      <c r="AG322" s="20">
        <v>119000</v>
      </c>
      <c r="AH322" s="20">
        <v>82110</v>
      </c>
      <c r="AI322" s="20">
        <v>33536</v>
      </c>
      <c r="AJ322" s="20">
        <v>3354</v>
      </c>
      <c r="AK322" s="20">
        <v>36890</v>
      </c>
    </row>
    <row r="323" spans="1:37" ht="16.5" customHeight="1" x14ac:dyDescent="0.3">
      <c r="A323" s="18" t="s">
        <v>1118</v>
      </c>
      <c r="B323" s="18" t="s">
        <v>240</v>
      </c>
      <c r="C323" s="19" t="s">
        <v>241</v>
      </c>
      <c r="D323" s="18" t="s">
        <v>1119</v>
      </c>
      <c r="E323" s="19" t="s">
        <v>1120</v>
      </c>
      <c r="F323" s="18" t="s">
        <v>244</v>
      </c>
      <c r="G323" s="18" t="s">
        <v>245</v>
      </c>
      <c r="H323" s="19" t="s">
        <v>175</v>
      </c>
      <c r="I323" s="18" t="s">
        <v>246</v>
      </c>
      <c r="J323" s="19" t="s">
        <v>247</v>
      </c>
      <c r="K323" s="19" t="s">
        <v>248</v>
      </c>
      <c r="L323" s="18" t="s">
        <v>164</v>
      </c>
      <c r="M323" s="18" t="s">
        <v>272</v>
      </c>
      <c r="N323" s="18" t="s">
        <v>250</v>
      </c>
      <c r="O323" s="20">
        <v>119000</v>
      </c>
      <c r="P323" s="20">
        <v>82110</v>
      </c>
      <c r="Q323" s="20">
        <v>1</v>
      </c>
      <c r="R323" s="20">
        <v>0</v>
      </c>
      <c r="S323" s="20">
        <v>0</v>
      </c>
      <c r="T323" s="20">
        <v>0</v>
      </c>
      <c r="U323" s="20">
        <v>0</v>
      </c>
      <c r="V323" s="20">
        <v>0</v>
      </c>
      <c r="W323" s="20">
        <v>31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119000</v>
      </c>
      <c r="AD323" s="20">
        <v>82110</v>
      </c>
      <c r="AE323" s="20">
        <v>0</v>
      </c>
      <c r="AF323" s="20">
        <v>0</v>
      </c>
      <c r="AG323" s="20">
        <v>119000</v>
      </c>
      <c r="AH323" s="20">
        <v>82110</v>
      </c>
      <c r="AI323" s="20">
        <v>33536</v>
      </c>
      <c r="AJ323" s="20">
        <v>3354</v>
      </c>
      <c r="AK323" s="20">
        <v>36890</v>
      </c>
    </row>
    <row r="324" spans="1:37" ht="16.5" customHeight="1" x14ac:dyDescent="0.3">
      <c r="A324" s="18" t="s">
        <v>1121</v>
      </c>
      <c r="B324" s="18" t="s">
        <v>240</v>
      </c>
      <c r="C324" s="19" t="s">
        <v>241</v>
      </c>
      <c r="D324" s="18" t="s">
        <v>1122</v>
      </c>
      <c r="E324" s="19" t="s">
        <v>1123</v>
      </c>
      <c r="F324" s="18" t="s">
        <v>244</v>
      </c>
      <c r="G324" s="18" t="s">
        <v>245</v>
      </c>
      <c r="H324" s="19" t="s">
        <v>175</v>
      </c>
      <c r="I324" s="18" t="s">
        <v>246</v>
      </c>
      <c r="J324" s="19" t="s">
        <v>247</v>
      </c>
      <c r="K324" s="19" t="s">
        <v>248</v>
      </c>
      <c r="L324" s="18" t="s">
        <v>164</v>
      </c>
      <c r="M324" s="18" t="s">
        <v>272</v>
      </c>
      <c r="N324" s="18" t="s">
        <v>250</v>
      </c>
      <c r="O324" s="20">
        <v>119000</v>
      </c>
      <c r="P324" s="20">
        <v>82110</v>
      </c>
      <c r="Q324" s="20">
        <v>1</v>
      </c>
      <c r="R324" s="20">
        <v>0</v>
      </c>
      <c r="S324" s="20">
        <v>0</v>
      </c>
      <c r="T324" s="20">
        <v>0</v>
      </c>
      <c r="U324" s="20">
        <v>0</v>
      </c>
      <c r="V324" s="20">
        <v>0</v>
      </c>
      <c r="W324" s="20">
        <v>31</v>
      </c>
      <c r="X324" s="20">
        <v>0</v>
      </c>
      <c r="Y324" s="20">
        <v>0</v>
      </c>
      <c r="Z324" s="20">
        <v>0</v>
      </c>
      <c r="AA324" s="20">
        <v>0</v>
      </c>
      <c r="AB324" s="20">
        <v>0</v>
      </c>
      <c r="AC324" s="20">
        <v>119000</v>
      </c>
      <c r="AD324" s="20">
        <v>82110</v>
      </c>
      <c r="AE324" s="20">
        <v>0</v>
      </c>
      <c r="AF324" s="20">
        <v>0</v>
      </c>
      <c r="AG324" s="20">
        <v>119000</v>
      </c>
      <c r="AH324" s="20">
        <v>82110</v>
      </c>
      <c r="AI324" s="20">
        <v>33536</v>
      </c>
      <c r="AJ324" s="20">
        <v>3354</v>
      </c>
      <c r="AK324" s="20">
        <v>36890</v>
      </c>
    </row>
    <row r="325" spans="1:37" ht="16.5" customHeight="1" x14ac:dyDescent="0.3">
      <c r="A325" s="18" t="s">
        <v>1124</v>
      </c>
      <c r="B325" s="18" t="s">
        <v>240</v>
      </c>
      <c r="C325" s="19" t="s">
        <v>241</v>
      </c>
      <c r="D325" s="18" t="s">
        <v>1125</v>
      </c>
      <c r="E325" s="19" t="s">
        <v>870</v>
      </c>
      <c r="F325" s="18" t="s">
        <v>244</v>
      </c>
      <c r="G325" s="18" t="s">
        <v>245</v>
      </c>
      <c r="H325" s="19" t="s">
        <v>175</v>
      </c>
      <c r="I325" s="18" t="s">
        <v>246</v>
      </c>
      <c r="J325" s="19" t="s">
        <v>247</v>
      </c>
      <c r="K325" s="19" t="s">
        <v>248</v>
      </c>
      <c r="L325" s="18" t="s">
        <v>164</v>
      </c>
      <c r="M325" s="18" t="s">
        <v>272</v>
      </c>
      <c r="N325" s="18" t="s">
        <v>250</v>
      </c>
      <c r="O325" s="20">
        <v>119000</v>
      </c>
      <c r="P325" s="20">
        <v>82110</v>
      </c>
      <c r="Q325" s="20">
        <v>1</v>
      </c>
      <c r="R325" s="20">
        <v>0</v>
      </c>
      <c r="S325" s="20">
        <v>0</v>
      </c>
      <c r="T325" s="20">
        <v>0</v>
      </c>
      <c r="U325" s="20">
        <v>0</v>
      </c>
      <c r="V325" s="20">
        <v>0</v>
      </c>
      <c r="W325" s="20">
        <v>31</v>
      </c>
      <c r="X325" s="20">
        <v>0</v>
      </c>
      <c r="Y325" s="20">
        <v>0</v>
      </c>
      <c r="Z325" s="20">
        <v>0</v>
      </c>
      <c r="AA325" s="20">
        <v>0</v>
      </c>
      <c r="AB325" s="20">
        <v>0</v>
      </c>
      <c r="AC325" s="20">
        <v>119000</v>
      </c>
      <c r="AD325" s="20">
        <v>82110</v>
      </c>
      <c r="AE325" s="20">
        <v>0</v>
      </c>
      <c r="AF325" s="20">
        <v>0</v>
      </c>
      <c r="AG325" s="20">
        <v>119000</v>
      </c>
      <c r="AH325" s="20">
        <v>82110</v>
      </c>
      <c r="AI325" s="20">
        <v>33536</v>
      </c>
      <c r="AJ325" s="20">
        <v>3354</v>
      </c>
      <c r="AK325" s="20">
        <v>36890</v>
      </c>
    </row>
    <row r="326" spans="1:37" ht="16.5" customHeight="1" x14ac:dyDescent="0.3">
      <c r="A326" s="18" t="s">
        <v>1126</v>
      </c>
      <c r="B326" s="18" t="s">
        <v>240</v>
      </c>
      <c r="C326" s="19" t="s">
        <v>241</v>
      </c>
      <c r="D326" s="18" t="s">
        <v>1127</v>
      </c>
      <c r="E326" s="19" t="s">
        <v>464</v>
      </c>
      <c r="F326" s="18" t="s">
        <v>244</v>
      </c>
      <c r="G326" s="18" t="s">
        <v>245</v>
      </c>
      <c r="H326" s="19" t="s">
        <v>175</v>
      </c>
      <c r="I326" s="18" t="s">
        <v>246</v>
      </c>
      <c r="J326" s="19" t="s">
        <v>247</v>
      </c>
      <c r="K326" s="19" t="s">
        <v>248</v>
      </c>
      <c r="L326" s="18" t="s">
        <v>164</v>
      </c>
      <c r="M326" s="18" t="s">
        <v>272</v>
      </c>
      <c r="N326" s="18" t="s">
        <v>250</v>
      </c>
      <c r="O326" s="20">
        <v>119000</v>
      </c>
      <c r="P326" s="20">
        <v>82110</v>
      </c>
      <c r="Q326" s="20">
        <v>1</v>
      </c>
      <c r="R326" s="20">
        <v>0</v>
      </c>
      <c r="S326" s="20">
        <v>0</v>
      </c>
      <c r="T326" s="20">
        <v>0</v>
      </c>
      <c r="U326" s="20">
        <v>0</v>
      </c>
      <c r="V326" s="20">
        <v>0</v>
      </c>
      <c r="W326" s="20">
        <v>31</v>
      </c>
      <c r="X326" s="20">
        <v>0</v>
      </c>
      <c r="Y326" s="20">
        <v>0</v>
      </c>
      <c r="Z326" s="20">
        <v>0</v>
      </c>
      <c r="AA326" s="20">
        <v>0</v>
      </c>
      <c r="AB326" s="20">
        <v>0</v>
      </c>
      <c r="AC326" s="20">
        <v>119000</v>
      </c>
      <c r="AD326" s="20">
        <v>82110</v>
      </c>
      <c r="AE326" s="20">
        <v>0</v>
      </c>
      <c r="AF326" s="20">
        <v>0</v>
      </c>
      <c r="AG326" s="20">
        <v>119000</v>
      </c>
      <c r="AH326" s="20">
        <v>82110</v>
      </c>
      <c r="AI326" s="20">
        <v>33536</v>
      </c>
      <c r="AJ326" s="20">
        <v>3354</v>
      </c>
      <c r="AK326" s="20">
        <v>36890</v>
      </c>
    </row>
    <row r="327" spans="1:37" ht="16.5" customHeight="1" x14ac:dyDescent="0.3">
      <c r="A327" s="18" t="s">
        <v>1128</v>
      </c>
      <c r="B327" s="18" t="s">
        <v>240</v>
      </c>
      <c r="C327" s="19" t="s">
        <v>241</v>
      </c>
      <c r="D327" s="18" t="s">
        <v>1129</v>
      </c>
      <c r="E327" s="19" t="s">
        <v>253</v>
      </c>
      <c r="F327" s="18" t="s">
        <v>244</v>
      </c>
      <c r="G327" s="18" t="s">
        <v>245</v>
      </c>
      <c r="H327" s="19" t="s">
        <v>175</v>
      </c>
      <c r="I327" s="18" t="s">
        <v>246</v>
      </c>
      <c r="J327" s="19" t="s">
        <v>247</v>
      </c>
      <c r="K327" s="19" t="s">
        <v>314</v>
      </c>
      <c r="L327" s="18" t="s">
        <v>164</v>
      </c>
      <c r="M327" s="18" t="s">
        <v>272</v>
      </c>
      <c r="N327" s="18" t="s">
        <v>250</v>
      </c>
      <c r="O327" s="20">
        <v>119000</v>
      </c>
      <c r="P327" s="20">
        <v>82110</v>
      </c>
      <c r="Q327" s="20">
        <v>1</v>
      </c>
      <c r="R327" s="20">
        <v>0</v>
      </c>
      <c r="S327" s="20">
        <v>0</v>
      </c>
      <c r="T327" s="20">
        <v>0</v>
      </c>
      <c r="U327" s="20">
        <v>0</v>
      </c>
      <c r="V327" s="20">
        <v>0</v>
      </c>
      <c r="W327" s="20">
        <v>31</v>
      </c>
      <c r="X327" s="20">
        <v>0</v>
      </c>
      <c r="Y327" s="20">
        <v>0</v>
      </c>
      <c r="Z327" s="20">
        <v>0</v>
      </c>
      <c r="AA327" s="20">
        <v>0</v>
      </c>
      <c r="AB327" s="20">
        <v>0</v>
      </c>
      <c r="AC327" s="20">
        <v>119000</v>
      </c>
      <c r="AD327" s="20">
        <v>82110</v>
      </c>
      <c r="AE327" s="20">
        <v>0</v>
      </c>
      <c r="AF327" s="20">
        <v>0</v>
      </c>
      <c r="AG327" s="20">
        <v>119000</v>
      </c>
      <c r="AH327" s="20">
        <v>82110</v>
      </c>
      <c r="AI327" s="20">
        <v>33536</v>
      </c>
      <c r="AJ327" s="20">
        <v>3354</v>
      </c>
      <c r="AK327" s="20">
        <v>36890</v>
      </c>
    </row>
    <row r="328" spans="1:37" ht="16.5" customHeight="1" x14ac:dyDescent="0.3">
      <c r="A328" s="18" t="s">
        <v>1130</v>
      </c>
      <c r="B328" s="18" t="s">
        <v>240</v>
      </c>
      <c r="C328" s="19" t="s">
        <v>241</v>
      </c>
      <c r="D328" s="18" t="s">
        <v>1131</v>
      </c>
      <c r="E328" s="19" t="s">
        <v>1132</v>
      </c>
      <c r="F328" s="18" t="s">
        <v>244</v>
      </c>
      <c r="G328" s="18" t="s">
        <v>245</v>
      </c>
      <c r="H328" s="19" t="s">
        <v>175</v>
      </c>
      <c r="I328" s="18" t="s">
        <v>246</v>
      </c>
      <c r="J328" s="19" t="s">
        <v>247</v>
      </c>
      <c r="K328" s="19" t="s">
        <v>248</v>
      </c>
      <c r="L328" s="18" t="s">
        <v>164</v>
      </c>
      <c r="M328" s="18" t="s">
        <v>272</v>
      </c>
      <c r="N328" s="18" t="s">
        <v>250</v>
      </c>
      <c r="O328" s="20">
        <v>119000</v>
      </c>
      <c r="P328" s="20">
        <v>82110</v>
      </c>
      <c r="Q328" s="20">
        <v>1</v>
      </c>
      <c r="R328" s="20">
        <v>0</v>
      </c>
      <c r="S328" s="20">
        <v>0</v>
      </c>
      <c r="T328" s="20">
        <v>0</v>
      </c>
      <c r="U328" s="20">
        <v>0</v>
      </c>
      <c r="V328" s="20">
        <v>0</v>
      </c>
      <c r="W328" s="20">
        <v>31</v>
      </c>
      <c r="X328" s="20">
        <v>0</v>
      </c>
      <c r="Y328" s="20">
        <v>0</v>
      </c>
      <c r="Z328" s="20">
        <v>0</v>
      </c>
      <c r="AA328" s="20">
        <v>0</v>
      </c>
      <c r="AB328" s="20">
        <v>0</v>
      </c>
      <c r="AC328" s="20">
        <v>119000</v>
      </c>
      <c r="AD328" s="20">
        <v>82110</v>
      </c>
      <c r="AE328" s="20">
        <v>0</v>
      </c>
      <c r="AF328" s="20">
        <v>0</v>
      </c>
      <c r="AG328" s="20">
        <v>119000</v>
      </c>
      <c r="AH328" s="20">
        <v>82110</v>
      </c>
      <c r="AI328" s="20">
        <v>33536</v>
      </c>
      <c r="AJ328" s="20">
        <v>3354</v>
      </c>
      <c r="AK328" s="20">
        <v>36890</v>
      </c>
    </row>
    <row r="329" spans="1:37" ht="16.5" customHeight="1" x14ac:dyDescent="0.3">
      <c r="A329" s="18" t="s">
        <v>1133</v>
      </c>
      <c r="B329" s="18" t="s">
        <v>240</v>
      </c>
      <c r="C329" s="19" t="s">
        <v>241</v>
      </c>
      <c r="D329" s="18" t="s">
        <v>1134</v>
      </c>
      <c r="E329" s="19" t="s">
        <v>716</v>
      </c>
      <c r="F329" s="18" t="s">
        <v>244</v>
      </c>
      <c r="G329" s="18" t="s">
        <v>245</v>
      </c>
      <c r="H329" s="19" t="s">
        <v>175</v>
      </c>
      <c r="I329" s="18" t="s">
        <v>246</v>
      </c>
      <c r="J329" s="19" t="s">
        <v>247</v>
      </c>
      <c r="K329" s="19" t="s">
        <v>248</v>
      </c>
      <c r="L329" s="18" t="s">
        <v>164</v>
      </c>
      <c r="M329" s="18" t="s">
        <v>272</v>
      </c>
      <c r="N329" s="18" t="s">
        <v>250</v>
      </c>
      <c r="O329" s="20">
        <v>119000</v>
      </c>
      <c r="P329" s="20">
        <v>82110</v>
      </c>
      <c r="Q329" s="20">
        <v>1</v>
      </c>
      <c r="R329" s="20">
        <v>0</v>
      </c>
      <c r="S329" s="20">
        <v>0</v>
      </c>
      <c r="T329" s="20">
        <v>0</v>
      </c>
      <c r="U329" s="20">
        <v>0</v>
      </c>
      <c r="V329" s="20">
        <v>0</v>
      </c>
      <c r="W329" s="20">
        <v>31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119000</v>
      </c>
      <c r="AD329" s="20">
        <v>82110</v>
      </c>
      <c r="AE329" s="20">
        <v>0</v>
      </c>
      <c r="AF329" s="20">
        <v>0</v>
      </c>
      <c r="AG329" s="20">
        <v>119000</v>
      </c>
      <c r="AH329" s="20">
        <v>82110</v>
      </c>
      <c r="AI329" s="20">
        <v>33536</v>
      </c>
      <c r="AJ329" s="20">
        <v>3354</v>
      </c>
      <c r="AK329" s="20">
        <v>36890</v>
      </c>
    </row>
    <row r="330" spans="1:37" ht="16.5" customHeight="1" x14ac:dyDescent="0.3">
      <c r="A330" s="18" t="s">
        <v>1135</v>
      </c>
      <c r="B330" s="18" t="s">
        <v>240</v>
      </c>
      <c r="C330" s="19" t="s">
        <v>241</v>
      </c>
      <c r="D330" s="18" t="s">
        <v>1136</v>
      </c>
      <c r="E330" s="19" t="s">
        <v>1137</v>
      </c>
      <c r="F330" s="18" t="s">
        <v>244</v>
      </c>
      <c r="G330" s="18" t="s">
        <v>245</v>
      </c>
      <c r="H330" s="19" t="s">
        <v>175</v>
      </c>
      <c r="I330" s="18" t="s">
        <v>246</v>
      </c>
      <c r="J330" s="19" t="s">
        <v>247</v>
      </c>
      <c r="K330" s="19" t="s">
        <v>248</v>
      </c>
      <c r="L330" s="18" t="s">
        <v>164</v>
      </c>
      <c r="M330" s="18" t="s">
        <v>272</v>
      </c>
      <c r="N330" s="18" t="s">
        <v>250</v>
      </c>
      <c r="O330" s="20">
        <v>119000</v>
      </c>
      <c r="P330" s="20">
        <v>82110</v>
      </c>
      <c r="Q330" s="20">
        <v>1</v>
      </c>
      <c r="R330" s="20">
        <v>0</v>
      </c>
      <c r="S330" s="20">
        <v>0</v>
      </c>
      <c r="T330" s="20">
        <v>0</v>
      </c>
      <c r="U330" s="20">
        <v>0</v>
      </c>
      <c r="V330" s="20">
        <v>0</v>
      </c>
      <c r="W330" s="20">
        <v>31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119000</v>
      </c>
      <c r="AD330" s="20">
        <v>82110</v>
      </c>
      <c r="AE330" s="20">
        <v>0</v>
      </c>
      <c r="AF330" s="20">
        <v>0</v>
      </c>
      <c r="AG330" s="20">
        <v>119000</v>
      </c>
      <c r="AH330" s="20">
        <v>82110</v>
      </c>
      <c r="AI330" s="20">
        <v>33536</v>
      </c>
      <c r="AJ330" s="20">
        <v>3354</v>
      </c>
      <c r="AK330" s="20">
        <v>36890</v>
      </c>
    </row>
    <row r="331" spans="1:37" ht="16.5" customHeight="1" x14ac:dyDescent="0.3">
      <c r="A331" s="18" t="s">
        <v>1138</v>
      </c>
      <c r="B331" s="18" t="s">
        <v>240</v>
      </c>
      <c r="C331" s="19" t="s">
        <v>241</v>
      </c>
      <c r="D331" s="18" t="s">
        <v>1139</v>
      </c>
      <c r="E331" s="19" t="s">
        <v>1140</v>
      </c>
      <c r="F331" s="18" t="s">
        <v>244</v>
      </c>
      <c r="G331" s="18" t="s">
        <v>245</v>
      </c>
      <c r="H331" s="19" t="s">
        <v>175</v>
      </c>
      <c r="I331" s="18" t="s">
        <v>246</v>
      </c>
      <c r="J331" s="19" t="s">
        <v>247</v>
      </c>
      <c r="K331" s="19" t="s">
        <v>248</v>
      </c>
      <c r="L331" s="18" t="s">
        <v>164</v>
      </c>
      <c r="M331" s="18" t="s">
        <v>272</v>
      </c>
      <c r="N331" s="18" t="s">
        <v>250</v>
      </c>
      <c r="O331" s="20">
        <v>119000</v>
      </c>
      <c r="P331" s="20">
        <v>82110</v>
      </c>
      <c r="Q331" s="20">
        <v>1</v>
      </c>
      <c r="R331" s="20">
        <v>0</v>
      </c>
      <c r="S331" s="20">
        <v>0</v>
      </c>
      <c r="T331" s="20">
        <v>0</v>
      </c>
      <c r="U331" s="20">
        <v>0</v>
      </c>
      <c r="V331" s="20">
        <v>0</v>
      </c>
      <c r="W331" s="20">
        <v>31</v>
      </c>
      <c r="X331" s="20">
        <v>0</v>
      </c>
      <c r="Y331" s="20">
        <v>0</v>
      </c>
      <c r="Z331" s="20">
        <v>0</v>
      </c>
      <c r="AA331" s="20">
        <v>0</v>
      </c>
      <c r="AB331" s="20">
        <v>0</v>
      </c>
      <c r="AC331" s="20">
        <v>119000</v>
      </c>
      <c r="AD331" s="20">
        <v>82110</v>
      </c>
      <c r="AE331" s="20">
        <v>0</v>
      </c>
      <c r="AF331" s="20">
        <v>0</v>
      </c>
      <c r="AG331" s="20">
        <v>119000</v>
      </c>
      <c r="AH331" s="20">
        <v>82110</v>
      </c>
      <c r="AI331" s="20">
        <v>33536</v>
      </c>
      <c r="AJ331" s="20">
        <v>3354</v>
      </c>
      <c r="AK331" s="20">
        <v>36890</v>
      </c>
    </row>
    <row r="332" spans="1:37" ht="16.5" customHeight="1" x14ac:dyDescent="0.3">
      <c r="A332" s="18" t="s">
        <v>1141</v>
      </c>
      <c r="B332" s="18" t="s">
        <v>240</v>
      </c>
      <c r="C332" s="19" t="s">
        <v>241</v>
      </c>
      <c r="D332" s="18" t="s">
        <v>1142</v>
      </c>
      <c r="E332" s="19" t="s">
        <v>524</v>
      </c>
      <c r="F332" s="18" t="s">
        <v>244</v>
      </c>
      <c r="G332" s="18" t="s">
        <v>245</v>
      </c>
      <c r="H332" s="19" t="s">
        <v>175</v>
      </c>
      <c r="I332" s="18" t="s">
        <v>246</v>
      </c>
      <c r="J332" s="19" t="s">
        <v>247</v>
      </c>
      <c r="K332" s="19" t="s">
        <v>248</v>
      </c>
      <c r="L332" s="18" t="s">
        <v>164</v>
      </c>
      <c r="M332" s="18" t="s">
        <v>272</v>
      </c>
      <c r="N332" s="18" t="s">
        <v>250</v>
      </c>
      <c r="O332" s="20">
        <v>119000</v>
      </c>
      <c r="P332" s="20">
        <v>82110</v>
      </c>
      <c r="Q332" s="20">
        <v>1</v>
      </c>
      <c r="R332" s="20">
        <v>0</v>
      </c>
      <c r="S332" s="20">
        <v>0</v>
      </c>
      <c r="T332" s="20">
        <v>0</v>
      </c>
      <c r="U332" s="20">
        <v>0</v>
      </c>
      <c r="V332" s="20">
        <v>0</v>
      </c>
      <c r="W332" s="20">
        <v>31</v>
      </c>
      <c r="X332" s="20">
        <v>0</v>
      </c>
      <c r="Y332" s="20">
        <v>0</v>
      </c>
      <c r="Z332" s="20">
        <v>0</v>
      </c>
      <c r="AA332" s="20">
        <v>0</v>
      </c>
      <c r="AB332" s="20">
        <v>0</v>
      </c>
      <c r="AC332" s="20">
        <v>119000</v>
      </c>
      <c r="AD332" s="20">
        <v>82110</v>
      </c>
      <c r="AE332" s="20">
        <v>0</v>
      </c>
      <c r="AF332" s="20">
        <v>0</v>
      </c>
      <c r="AG332" s="20">
        <v>119000</v>
      </c>
      <c r="AH332" s="20">
        <v>82110</v>
      </c>
      <c r="AI332" s="20">
        <v>33536</v>
      </c>
      <c r="AJ332" s="20">
        <v>3354</v>
      </c>
      <c r="AK332" s="20">
        <v>36890</v>
      </c>
    </row>
    <row r="333" spans="1:37" ht="16.5" customHeight="1" x14ac:dyDescent="0.3">
      <c r="A333" s="18" t="s">
        <v>1143</v>
      </c>
      <c r="B333" s="18" t="s">
        <v>240</v>
      </c>
      <c r="C333" s="19" t="s">
        <v>241</v>
      </c>
      <c r="D333" s="18" t="s">
        <v>1144</v>
      </c>
      <c r="E333" s="19" t="s">
        <v>1145</v>
      </c>
      <c r="F333" s="18" t="s">
        <v>244</v>
      </c>
      <c r="G333" s="18" t="s">
        <v>245</v>
      </c>
      <c r="H333" s="19" t="s">
        <v>175</v>
      </c>
      <c r="I333" s="18" t="s">
        <v>246</v>
      </c>
      <c r="J333" s="19" t="s">
        <v>247</v>
      </c>
      <c r="K333" s="19" t="s">
        <v>248</v>
      </c>
      <c r="L333" s="18" t="s">
        <v>164</v>
      </c>
      <c r="M333" s="18" t="s">
        <v>272</v>
      </c>
      <c r="N333" s="18" t="s">
        <v>250</v>
      </c>
      <c r="O333" s="20">
        <v>119000</v>
      </c>
      <c r="P333" s="20">
        <v>82110</v>
      </c>
      <c r="Q333" s="20">
        <v>1</v>
      </c>
      <c r="R333" s="20">
        <v>0</v>
      </c>
      <c r="S333" s="20">
        <v>0</v>
      </c>
      <c r="T333" s="20">
        <v>0</v>
      </c>
      <c r="U333" s="20">
        <v>0</v>
      </c>
      <c r="V333" s="20">
        <v>0</v>
      </c>
      <c r="W333" s="20">
        <v>31</v>
      </c>
      <c r="X333" s="20">
        <v>0</v>
      </c>
      <c r="Y333" s="20">
        <v>0</v>
      </c>
      <c r="Z333" s="20">
        <v>0</v>
      </c>
      <c r="AA333" s="20">
        <v>0</v>
      </c>
      <c r="AB333" s="20">
        <v>0</v>
      </c>
      <c r="AC333" s="20">
        <v>119000</v>
      </c>
      <c r="AD333" s="20">
        <v>82110</v>
      </c>
      <c r="AE333" s="20">
        <v>0</v>
      </c>
      <c r="AF333" s="20">
        <v>0</v>
      </c>
      <c r="AG333" s="20">
        <v>119000</v>
      </c>
      <c r="AH333" s="20">
        <v>82110</v>
      </c>
      <c r="AI333" s="20">
        <v>33536</v>
      </c>
      <c r="AJ333" s="20">
        <v>3354</v>
      </c>
      <c r="AK333" s="20">
        <v>36890</v>
      </c>
    </row>
    <row r="334" spans="1:37" ht="16.5" customHeight="1" x14ac:dyDescent="0.3">
      <c r="A334" s="18" t="s">
        <v>1146</v>
      </c>
      <c r="B334" s="18" t="s">
        <v>240</v>
      </c>
      <c r="C334" s="19" t="s">
        <v>241</v>
      </c>
      <c r="D334" s="18" t="s">
        <v>1147</v>
      </c>
      <c r="E334" s="19" t="s">
        <v>383</v>
      </c>
      <c r="F334" s="18" t="s">
        <v>244</v>
      </c>
      <c r="G334" s="18" t="s">
        <v>245</v>
      </c>
      <c r="H334" s="19" t="s">
        <v>175</v>
      </c>
      <c r="I334" s="18" t="s">
        <v>246</v>
      </c>
      <c r="J334" s="19" t="s">
        <v>247</v>
      </c>
      <c r="K334" s="19" t="s">
        <v>248</v>
      </c>
      <c r="L334" s="18" t="s">
        <v>164</v>
      </c>
      <c r="M334" s="18" t="s">
        <v>272</v>
      </c>
      <c r="N334" s="18" t="s">
        <v>250</v>
      </c>
      <c r="O334" s="20">
        <v>119000</v>
      </c>
      <c r="P334" s="20">
        <v>82110</v>
      </c>
      <c r="Q334" s="20">
        <v>1</v>
      </c>
      <c r="R334" s="20">
        <v>0</v>
      </c>
      <c r="S334" s="20">
        <v>0</v>
      </c>
      <c r="T334" s="20">
        <v>0</v>
      </c>
      <c r="U334" s="20">
        <v>0</v>
      </c>
      <c r="V334" s="20">
        <v>0</v>
      </c>
      <c r="W334" s="20">
        <v>31</v>
      </c>
      <c r="X334" s="20">
        <v>0</v>
      </c>
      <c r="Y334" s="20">
        <v>0</v>
      </c>
      <c r="Z334" s="20">
        <v>0</v>
      </c>
      <c r="AA334" s="20">
        <v>0</v>
      </c>
      <c r="AB334" s="20">
        <v>0</v>
      </c>
      <c r="AC334" s="20">
        <v>119000</v>
      </c>
      <c r="AD334" s="20">
        <v>82110</v>
      </c>
      <c r="AE334" s="20">
        <v>0</v>
      </c>
      <c r="AF334" s="20">
        <v>0</v>
      </c>
      <c r="AG334" s="20">
        <v>119000</v>
      </c>
      <c r="AH334" s="20">
        <v>82110</v>
      </c>
      <c r="AI334" s="20">
        <v>33536</v>
      </c>
      <c r="AJ334" s="20">
        <v>3354</v>
      </c>
      <c r="AK334" s="20">
        <v>36890</v>
      </c>
    </row>
    <row r="335" spans="1:37" ht="16.5" customHeight="1" x14ac:dyDescent="0.3">
      <c r="A335" s="18" t="s">
        <v>1148</v>
      </c>
      <c r="B335" s="18" t="s">
        <v>240</v>
      </c>
      <c r="C335" s="19" t="s">
        <v>241</v>
      </c>
      <c r="D335" s="18" t="s">
        <v>1149</v>
      </c>
      <c r="E335" s="19" t="s">
        <v>1150</v>
      </c>
      <c r="F335" s="18" t="s">
        <v>244</v>
      </c>
      <c r="G335" s="18" t="s">
        <v>245</v>
      </c>
      <c r="H335" s="19" t="s">
        <v>175</v>
      </c>
      <c r="I335" s="18" t="s">
        <v>246</v>
      </c>
      <c r="J335" s="19" t="s">
        <v>247</v>
      </c>
      <c r="K335" s="19" t="s">
        <v>248</v>
      </c>
      <c r="L335" s="18" t="s">
        <v>164</v>
      </c>
      <c r="M335" s="18" t="s">
        <v>272</v>
      </c>
      <c r="N335" s="18" t="s">
        <v>250</v>
      </c>
      <c r="O335" s="20">
        <v>119000</v>
      </c>
      <c r="P335" s="20">
        <v>82110</v>
      </c>
      <c r="Q335" s="20">
        <v>1</v>
      </c>
      <c r="R335" s="20">
        <v>0</v>
      </c>
      <c r="S335" s="20">
        <v>0</v>
      </c>
      <c r="T335" s="20">
        <v>0</v>
      </c>
      <c r="U335" s="20">
        <v>0</v>
      </c>
      <c r="V335" s="20">
        <v>0</v>
      </c>
      <c r="W335" s="20">
        <v>31</v>
      </c>
      <c r="X335" s="20">
        <v>0</v>
      </c>
      <c r="Y335" s="20">
        <v>0</v>
      </c>
      <c r="Z335" s="20">
        <v>0</v>
      </c>
      <c r="AA335" s="20">
        <v>0</v>
      </c>
      <c r="AB335" s="20">
        <v>0</v>
      </c>
      <c r="AC335" s="20">
        <v>119000</v>
      </c>
      <c r="AD335" s="20">
        <v>82110</v>
      </c>
      <c r="AE335" s="20">
        <v>0</v>
      </c>
      <c r="AF335" s="20">
        <v>0</v>
      </c>
      <c r="AG335" s="20">
        <v>119000</v>
      </c>
      <c r="AH335" s="20">
        <v>82110</v>
      </c>
      <c r="AI335" s="20">
        <v>33536</v>
      </c>
      <c r="AJ335" s="20">
        <v>3354</v>
      </c>
      <c r="AK335" s="20">
        <v>36890</v>
      </c>
    </row>
    <row r="336" spans="1:37" ht="16.5" customHeight="1" x14ac:dyDescent="0.3">
      <c r="A336" s="18" t="s">
        <v>1151</v>
      </c>
      <c r="B336" s="18" t="s">
        <v>240</v>
      </c>
      <c r="C336" s="19" t="s">
        <v>241</v>
      </c>
      <c r="D336" s="18" t="s">
        <v>1152</v>
      </c>
      <c r="E336" s="19" t="s">
        <v>1153</v>
      </c>
      <c r="F336" s="18" t="s">
        <v>244</v>
      </c>
      <c r="G336" s="18" t="s">
        <v>245</v>
      </c>
      <c r="H336" s="19" t="s">
        <v>175</v>
      </c>
      <c r="I336" s="18" t="s">
        <v>246</v>
      </c>
      <c r="J336" s="19" t="s">
        <v>247</v>
      </c>
      <c r="K336" s="19" t="s">
        <v>248</v>
      </c>
      <c r="L336" s="18" t="s">
        <v>164</v>
      </c>
      <c r="M336" s="18" t="s">
        <v>272</v>
      </c>
      <c r="N336" s="18" t="s">
        <v>250</v>
      </c>
      <c r="O336" s="20">
        <v>119000</v>
      </c>
      <c r="P336" s="20">
        <v>82110</v>
      </c>
      <c r="Q336" s="20">
        <v>1</v>
      </c>
      <c r="R336" s="20">
        <v>0</v>
      </c>
      <c r="S336" s="20">
        <v>0</v>
      </c>
      <c r="T336" s="20">
        <v>0</v>
      </c>
      <c r="U336" s="20">
        <v>0</v>
      </c>
      <c r="V336" s="20">
        <v>0</v>
      </c>
      <c r="W336" s="20">
        <v>31</v>
      </c>
      <c r="X336" s="20">
        <v>0</v>
      </c>
      <c r="Y336" s="20">
        <v>0</v>
      </c>
      <c r="Z336" s="20">
        <v>0</v>
      </c>
      <c r="AA336" s="20">
        <v>0</v>
      </c>
      <c r="AB336" s="20">
        <v>0</v>
      </c>
      <c r="AC336" s="20">
        <v>119000</v>
      </c>
      <c r="AD336" s="20">
        <v>82110</v>
      </c>
      <c r="AE336" s="20">
        <v>0</v>
      </c>
      <c r="AF336" s="20">
        <v>0</v>
      </c>
      <c r="AG336" s="20">
        <v>119000</v>
      </c>
      <c r="AH336" s="20">
        <v>82110</v>
      </c>
      <c r="AI336" s="20">
        <v>33536</v>
      </c>
      <c r="AJ336" s="20">
        <v>3354</v>
      </c>
      <c r="AK336" s="20">
        <v>36890</v>
      </c>
    </row>
    <row r="337" spans="1:37" ht="16.5" customHeight="1" x14ac:dyDescent="0.3">
      <c r="A337" s="18" t="s">
        <v>1154</v>
      </c>
      <c r="B337" s="18" t="s">
        <v>240</v>
      </c>
      <c r="C337" s="19" t="s">
        <v>241</v>
      </c>
      <c r="D337" s="18" t="s">
        <v>1155</v>
      </c>
      <c r="E337" s="19" t="s">
        <v>338</v>
      </c>
      <c r="F337" s="18" t="s">
        <v>244</v>
      </c>
      <c r="G337" s="18" t="s">
        <v>245</v>
      </c>
      <c r="H337" s="19" t="s">
        <v>175</v>
      </c>
      <c r="I337" s="18" t="s">
        <v>246</v>
      </c>
      <c r="J337" s="19" t="s">
        <v>247</v>
      </c>
      <c r="K337" s="19" t="s">
        <v>248</v>
      </c>
      <c r="L337" s="18" t="s">
        <v>164</v>
      </c>
      <c r="M337" s="18" t="s">
        <v>272</v>
      </c>
      <c r="N337" s="18" t="s">
        <v>250</v>
      </c>
      <c r="O337" s="20">
        <v>119000</v>
      </c>
      <c r="P337" s="20">
        <v>82110</v>
      </c>
      <c r="Q337" s="20">
        <v>1</v>
      </c>
      <c r="R337" s="20">
        <v>0</v>
      </c>
      <c r="S337" s="20">
        <v>0</v>
      </c>
      <c r="T337" s="20">
        <v>0</v>
      </c>
      <c r="U337" s="20">
        <v>0</v>
      </c>
      <c r="V337" s="20">
        <v>0</v>
      </c>
      <c r="W337" s="20">
        <v>31</v>
      </c>
      <c r="X337" s="20">
        <v>0</v>
      </c>
      <c r="Y337" s="20">
        <v>0</v>
      </c>
      <c r="Z337" s="20">
        <v>0</v>
      </c>
      <c r="AA337" s="20">
        <v>0</v>
      </c>
      <c r="AB337" s="20">
        <v>0</v>
      </c>
      <c r="AC337" s="20">
        <v>119000</v>
      </c>
      <c r="AD337" s="20">
        <v>82110</v>
      </c>
      <c r="AE337" s="20">
        <v>0</v>
      </c>
      <c r="AF337" s="20">
        <v>0</v>
      </c>
      <c r="AG337" s="20">
        <v>119000</v>
      </c>
      <c r="AH337" s="20">
        <v>82110</v>
      </c>
      <c r="AI337" s="20">
        <v>33536</v>
      </c>
      <c r="AJ337" s="20">
        <v>3354</v>
      </c>
      <c r="AK337" s="20">
        <v>36890</v>
      </c>
    </row>
    <row r="338" spans="1:37" ht="16.5" customHeight="1" x14ac:dyDescent="0.3">
      <c r="A338" s="18" t="s">
        <v>1156</v>
      </c>
      <c r="B338" s="18" t="s">
        <v>240</v>
      </c>
      <c r="C338" s="19" t="s">
        <v>241</v>
      </c>
      <c r="D338" s="18" t="s">
        <v>1157</v>
      </c>
      <c r="E338" s="19" t="s">
        <v>1158</v>
      </c>
      <c r="F338" s="18" t="s">
        <v>244</v>
      </c>
      <c r="G338" s="18" t="s">
        <v>245</v>
      </c>
      <c r="H338" s="19" t="s">
        <v>175</v>
      </c>
      <c r="I338" s="18" t="s">
        <v>246</v>
      </c>
      <c r="J338" s="19" t="s">
        <v>247</v>
      </c>
      <c r="K338" s="19" t="s">
        <v>248</v>
      </c>
      <c r="L338" s="18" t="s">
        <v>164</v>
      </c>
      <c r="M338" s="18" t="s">
        <v>272</v>
      </c>
      <c r="N338" s="18" t="s">
        <v>250</v>
      </c>
      <c r="O338" s="20">
        <v>119000</v>
      </c>
      <c r="P338" s="20">
        <v>82110</v>
      </c>
      <c r="Q338" s="20">
        <v>1</v>
      </c>
      <c r="R338" s="20">
        <v>0</v>
      </c>
      <c r="S338" s="20">
        <v>0</v>
      </c>
      <c r="T338" s="20">
        <v>0</v>
      </c>
      <c r="U338" s="20">
        <v>0</v>
      </c>
      <c r="V338" s="20">
        <v>0</v>
      </c>
      <c r="W338" s="20">
        <v>31</v>
      </c>
      <c r="X338" s="20">
        <v>0</v>
      </c>
      <c r="Y338" s="20">
        <v>5000</v>
      </c>
      <c r="Z338" s="20">
        <v>0</v>
      </c>
      <c r="AA338" s="20">
        <v>0</v>
      </c>
      <c r="AB338" s="20">
        <v>0</v>
      </c>
      <c r="AC338" s="20">
        <v>119000</v>
      </c>
      <c r="AD338" s="20">
        <v>82110</v>
      </c>
      <c r="AE338" s="20">
        <v>0</v>
      </c>
      <c r="AF338" s="20">
        <v>5000</v>
      </c>
      <c r="AG338" s="20">
        <v>114000</v>
      </c>
      <c r="AH338" s="20">
        <v>82110</v>
      </c>
      <c r="AI338" s="20">
        <v>28991</v>
      </c>
      <c r="AJ338" s="20">
        <v>2899</v>
      </c>
      <c r="AK338" s="20">
        <v>31890</v>
      </c>
    </row>
    <row r="339" spans="1:37" ht="16.5" customHeight="1" x14ac:dyDescent="0.3">
      <c r="A339" s="18" t="s">
        <v>1159</v>
      </c>
      <c r="B339" s="18" t="s">
        <v>240</v>
      </c>
      <c r="C339" s="19" t="s">
        <v>241</v>
      </c>
      <c r="D339" s="18" t="s">
        <v>1160</v>
      </c>
      <c r="E339" s="19" t="s">
        <v>847</v>
      </c>
      <c r="F339" s="18" t="s">
        <v>244</v>
      </c>
      <c r="G339" s="18" t="s">
        <v>245</v>
      </c>
      <c r="H339" s="19" t="s">
        <v>175</v>
      </c>
      <c r="I339" s="18" t="s">
        <v>246</v>
      </c>
      <c r="J339" s="19" t="s">
        <v>247</v>
      </c>
      <c r="K339" s="19" t="s">
        <v>248</v>
      </c>
      <c r="L339" s="18" t="s">
        <v>164</v>
      </c>
      <c r="M339" s="18" t="s">
        <v>272</v>
      </c>
      <c r="N339" s="18" t="s">
        <v>250</v>
      </c>
      <c r="O339" s="20">
        <v>119000</v>
      </c>
      <c r="P339" s="20">
        <v>82110</v>
      </c>
      <c r="Q339" s="20">
        <v>1</v>
      </c>
      <c r="R339" s="20">
        <v>0</v>
      </c>
      <c r="S339" s="20">
        <v>0</v>
      </c>
      <c r="T339" s="20">
        <v>0</v>
      </c>
      <c r="U339" s="20">
        <v>0</v>
      </c>
      <c r="V339" s="20">
        <v>0</v>
      </c>
      <c r="W339" s="20">
        <v>31</v>
      </c>
      <c r="X339" s="20">
        <v>0</v>
      </c>
      <c r="Y339" s="20">
        <v>0</v>
      </c>
      <c r="Z339" s="20">
        <v>0</v>
      </c>
      <c r="AA339" s="20">
        <v>0</v>
      </c>
      <c r="AB339" s="20">
        <v>0</v>
      </c>
      <c r="AC339" s="20">
        <v>119000</v>
      </c>
      <c r="AD339" s="20">
        <v>82110</v>
      </c>
      <c r="AE339" s="20">
        <v>0</v>
      </c>
      <c r="AF339" s="20">
        <v>0</v>
      </c>
      <c r="AG339" s="20">
        <v>119000</v>
      </c>
      <c r="AH339" s="20">
        <v>82110</v>
      </c>
      <c r="AI339" s="20">
        <v>33536</v>
      </c>
      <c r="AJ339" s="20">
        <v>3354</v>
      </c>
      <c r="AK339" s="20">
        <v>36890</v>
      </c>
    </row>
    <row r="340" spans="1:37" ht="16.5" customHeight="1" x14ac:dyDescent="0.3">
      <c r="A340" s="18" t="s">
        <v>1161</v>
      </c>
      <c r="B340" s="18" t="s">
        <v>240</v>
      </c>
      <c r="C340" s="19" t="s">
        <v>241</v>
      </c>
      <c r="D340" s="18" t="s">
        <v>1162</v>
      </c>
      <c r="E340" s="19" t="s">
        <v>1163</v>
      </c>
      <c r="F340" s="18" t="s">
        <v>244</v>
      </c>
      <c r="G340" s="18" t="s">
        <v>245</v>
      </c>
      <c r="H340" s="19" t="s">
        <v>175</v>
      </c>
      <c r="I340" s="18" t="s">
        <v>246</v>
      </c>
      <c r="J340" s="19" t="s">
        <v>247</v>
      </c>
      <c r="K340" s="19" t="s">
        <v>314</v>
      </c>
      <c r="L340" s="18" t="s">
        <v>164</v>
      </c>
      <c r="M340" s="18" t="s">
        <v>272</v>
      </c>
      <c r="N340" s="18" t="s">
        <v>250</v>
      </c>
      <c r="O340" s="20">
        <v>119000</v>
      </c>
      <c r="P340" s="20">
        <v>82110</v>
      </c>
      <c r="Q340" s="20">
        <v>1</v>
      </c>
      <c r="R340" s="20">
        <v>0</v>
      </c>
      <c r="S340" s="20">
        <v>0</v>
      </c>
      <c r="T340" s="20">
        <v>0</v>
      </c>
      <c r="U340" s="20">
        <v>0</v>
      </c>
      <c r="V340" s="20">
        <v>0</v>
      </c>
      <c r="W340" s="20">
        <v>31</v>
      </c>
      <c r="X340" s="20">
        <v>0</v>
      </c>
      <c r="Y340" s="20">
        <v>0</v>
      </c>
      <c r="Z340" s="20">
        <v>0</v>
      </c>
      <c r="AA340" s="20">
        <v>0</v>
      </c>
      <c r="AB340" s="20">
        <v>0</v>
      </c>
      <c r="AC340" s="20">
        <v>119000</v>
      </c>
      <c r="AD340" s="20">
        <v>82110</v>
      </c>
      <c r="AE340" s="20">
        <v>0</v>
      </c>
      <c r="AF340" s="20">
        <v>0</v>
      </c>
      <c r="AG340" s="20">
        <v>119000</v>
      </c>
      <c r="AH340" s="20">
        <v>82110</v>
      </c>
      <c r="AI340" s="20">
        <v>33536</v>
      </c>
      <c r="AJ340" s="20">
        <v>3354</v>
      </c>
      <c r="AK340" s="20">
        <v>36890</v>
      </c>
    </row>
    <row r="341" spans="1:37" ht="16.5" customHeight="1" x14ac:dyDescent="0.3">
      <c r="A341" s="18" t="s">
        <v>1164</v>
      </c>
      <c r="B341" s="18" t="s">
        <v>240</v>
      </c>
      <c r="C341" s="19" t="s">
        <v>241</v>
      </c>
      <c r="D341" s="18" t="s">
        <v>601</v>
      </c>
      <c r="E341" s="19" t="s">
        <v>602</v>
      </c>
      <c r="F341" s="18" t="s">
        <v>244</v>
      </c>
      <c r="G341" s="18" t="s">
        <v>245</v>
      </c>
      <c r="H341" s="19" t="s">
        <v>175</v>
      </c>
      <c r="I341" s="18" t="s">
        <v>246</v>
      </c>
      <c r="J341" s="19" t="s">
        <v>247</v>
      </c>
      <c r="K341" s="19" t="s">
        <v>248</v>
      </c>
      <c r="L341" s="18" t="s">
        <v>164</v>
      </c>
      <c r="M341" s="18" t="s">
        <v>272</v>
      </c>
      <c r="N341" s="18" t="s">
        <v>250</v>
      </c>
      <c r="O341" s="20">
        <v>119000</v>
      </c>
      <c r="P341" s="20">
        <v>82110</v>
      </c>
      <c r="Q341" s="20">
        <v>1</v>
      </c>
      <c r="R341" s="20">
        <v>0</v>
      </c>
      <c r="S341" s="20">
        <v>0</v>
      </c>
      <c r="T341" s="20">
        <v>0</v>
      </c>
      <c r="U341" s="20">
        <v>0</v>
      </c>
      <c r="V341" s="20">
        <v>0</v>
      </c>
      <c r="W341" s="20">
        <v>31</v>
      </c>
      <c r="X341" s="20">
        <v>0</v>
      </c>
      <c r="Y341" s="20">
        <v>0</v>
      </c>
      <c r="Z341" s="20">
        <v>0</v>
      </c>
      <c r="AA341" s="20">
        <v>0</v>
      </c>
      <c r="AB341" s="20">
        <v>0</v>
      </c>
      <c r="AC341" s="20">
        <v>119000</v>
      </c>
      <c r="AD341" s="20">
        <v>82110</v>
      </c>
      <c r="AE341" s="20">
        <v>0</v>
      </c>
      <c r="AF341" s="20">
        <v>0</v>
      </c>
      <c r="AG341" s="20">
        <v>119000</v>
      </c>
      <c r="AH341" s="20">
        <v>82110</v>
      </c>
      <c r="AI341" s="20">
        <v>33536</v>
      </c>
      <c r="AJ341" s="20">
        <v>3354</v>
      </c>
      <c r="AK341" s="20">
        <v>36890</v>
      </c>
    </row>
    <row r="342" spans="1:37" ht="16.5" customHeight="1" x14ac:dyDescent="0.3">
      <c r="A342" s="18" t="s">
        <v>1165</v>
      </c>
      <c r="B342" s="18" t="s">
        <v>240</v>
      </c>
      <c r="C342" s="19" t="s">
        <v>241</v>
      </c>
      <c r="D342" s="18" t="s">
        <v>1166</v>
      </c>
      <c r="E342" s="19" t="s">
        <v>645</v>
      </c>
      <c r="F342" s="18" t="s">
        <v>244</v>
      </c>
      <c r="G342" s="18" t="s">
        <v>245</v>
      </c>
      <c r="H342" s="19" t="s">
        <v>175</v>
      </c>
      <c r="I342" s="18" t="s">
        <v>246</v>
      </c>
      <c r="J342" s="19" t="s">
        <v>247</v>
      </c>
      <c r="K342" s="19" t="s">
        <v>248</v>
      </c>
      <c r="L342" s="18" t="s">
        <v>164</v>
      </c>
      <c r="M342" s="18" t="s">
        <v>272</v>
      </c>
      <c r="N342" s="18" t="s">
        <v>250</v>
      </c>
      <c r="O342" s="20">
        <v>119000</v>
      </c>
      <c r="P342" s="20">
        <v>82110</v>
      </c>
      <c r="Q342" s="20">
        <v>1</v>
      </c>
      <c r="R342" s="20">
        <v>0</v>
      </c>
      <c r="S342" s="20">
        <v>0</v>
      </c>
      <c r="T342" s="20">
        <v>0</v>
      </c>
      <c r="U342" s="20">
        <v>0</v>
      </c>
      <c r="V342" s="20">
        <v>0</v>
      </c>
      <c r="W342" s="20">
        <v>31</v>
      </c>
      <c r="X342" s="20">
        <v>0</v>
      </c>
      <c r="Y342" s="20">
        <v>0</v>
      </c>
      <c r="Z342" s="20">
        <v>0</v>
      </c>
      <c r="AA342" s="20">
        <v>0</v>
      </c>
      <c r="AB342" s="20">
        <v>0</v>
      </c>
      <c r="AC342" s="20">
        <v>119000</v>
      </c>
      <c r="AD342" s="20">
        <v>82110</v>
      </c>
      <c r="AE342" s="20">
        <v>0</v>
      </c>
      <c r="AF342" s="20">
        <v>0</v>
      </c>
      <c r="AG342" s="20">
        <v>119000</v>
      </c>
      <c r="AH342" s="20">
        <v>82110</v>
      </c>
      <c r="AI342" s="20">
        <v>33536</v>
      </c>
      <c r="AJ342" s="20">
        <v>3354</v>
      </c>
      <c r="AK342" s="20">
        <v>36890</v>
      </c>
    </row>
    <row r="343" spans="1:37" ht="16.5" customHeight="1" x14ac:dyDescent="0.3">
      <c r="A343" s="18" t="s">
        <v>1167</v>
      </c>
      <c r="B343" s="18" t="s">
        <v>240</v>
      </c>
      <c r="C343" s="19" t="s">
        <v>241</v>
      </c>
      <c r="D343" s="18" t="s">
        <v>1168</v>
      </c>
      <c r="E343" s="19" t="s">
        <v>1169</v>
      </c>
      <c r="F343" s="18" t="s">
        <v>244</v>
      </c>
      <c r="G343" s="18" t="s">
        <v>245</v>
      </c>
      <c r="H343" s="19" t="s">
        <v>175</v>
      </c>
      <c r="I343" s="18" t="s">
        <v>246</v>
      </c>
      <c r="J343" s="19" t="s">
        <v>247</v>
      </c>
      <c r="K343" s="19" t="s">
        <v>248</v>
      </c>
      <c r="L343" s="18" t="s">
        <v>164</v>
      </c>
      <c r="M343" s="18" t="s">
        <v>272</v>
      </c>
      <c r="N343" s="18" t="s">
        <v>250</v>
      </c>
      <c r="O343" s="20">
        <v>119000</v>
      </c>
      <c r="P343" s="20">
        <v>82110</v>
      </c>
      <c r="Q343" s="20">
        <v>1</v>
      </c>
      <c r="R343" s="20">
        <v>0</v>
      </c>
      <c r="S343" s="20">
        <v>0</v>
      </c>
      <c r="T343" s="20">
        <v>0</v>
      </c>
      <c r="U343" s="20">
        <v>0</v>
      </c>
      <c r="V343" s="20">
        <v>0</v>
      </c>
      <c r="W343" s="20">
        <v>31</v>
      </c>
      <c r="X343" s="20">
        <v>0</v>
      </c>
      <c r="Y343" s="20">
        <v>0</v>
      </c>
      <c r="Z343" s="20">
        <v>0</v>
      </c>
      <c r="AA343" s="20">
        <v>0</v>
      </c>
      <c r="AB343" s="20">
        <v>0</v>
      </c>
      <c r="AC343" s="20">
        <v>119000</v>
      </c>
      <c r="AD343" s="20">
        <v>82110</v>
      </c>
      <c r="AE343" s="20">
        <v>0</v>
      </c>
      <c r="AF343" s="20">
        <v>0</v>
      </c>
      <c r="AG343" s="20">
        <v>119000</v>
      </c>
      <c r="AH343" s="20">
        <v>82110</v>
      </c>
      <c r="AI343" s="20">
        <v>33536</v>
      </c>
      <c r="AJ343" s="20">
        <v>3354</v>
      </c>
      <c r="AK343" s="20">
        <v>36890</v>
      </c>
    </row>
    <row r="344" spans="1:37" ht="16.5" customHeight="1" x14ac:dyDescent="0.3">
      <c r="A344" s="18" t="s">
        <v>1170</v>
      </c>
      <c r="B344" s="18" t="s">
        <v>240</v>
      </c>
      <c r="C344" s="19" t="s">
        <v>241</v>
      </c>
      <c r="D344" s="18" t="s">
        <v>1171</v>
      </c>
      <c r="E344" s="19" t="s">
        <v>1172</v>
      </c>
      <c r="F344" s="18" t="s">
        <v>244</v>
      </c>
      <c r="G344" s="18" t="s">
        <v>245</v>
      </c>
      <c r="H344" s="19" t="s">
        <v>175</v>
      </c>
      <c r="I344" s="18" t="s">
        <v>246</v>
      </c>
      <c r="J344" s="19" t="s">
        <v>247</v>
      </c>
      <c r="K344" s="19" t="s">
        <v>248</v>
      </c>
      <c r="L344" s="18" t="s">
        <v>164</v>
      </c>
      <c r="M344" s="18" t="s">
        <v>272</v>
      </c>
      <c r="N344" s="18" t="s">
        <v>250</v>
      </c>
      <c r="O344" s="20">
        <v>119000</v>
      </c>
      <c r="P344" s="20">
        <v>82110</v>
      </c>
      <c r="Q344" s="20">
        <v>1</v>
      </c>
      <c r="R344" s="20">
        <v>0</v>
      </c>
      <c r="S344" s="20">
        <v>0</v>
      </c>
      <c r="T344" s="20">
        <v>0</v>
      </c>
      <c r="U344" s="20">
        <v>0</v>
      </c>
      <c r="V344" s="20">
        <v>0</v>
      </c>
      <c r="W344" s="20">
        <v>31</v>
      </c>
      <c r="X344" s="20">
        <v>0</v>
      </c>
      <c r="Y344" s="20">
        <v>0</v>
      </c>
      <c r="Z344" s="20">
        <v>0</v>
      </c>
      <c r="AA344" s="20">
        <v>0</v>
      </c>
      <c r="AB344" s="20">
        <v>0</v>
      </c>
      <c r="AC344" s="20">
        <v>119000</v>
      </c>
      <c r="AD344" s="20">
        <v>82110</v>
      </c>
      <c r="AE344" s="20">
        <v>0</v>
      </c>
      <c r="AF344" s="20">
        <v>0</v>
      </c>
      <c r="AG344" s="20">
        <v>119000</v>
      </c>
      <c r="AH344" s="20">
        <v>82110</v>
      </c>
      <c r="AI344" s="20">
        <v>33536</v>
      </c>
      <c r="AJ344" s="20">
        <v>3354</v>
      </c>
      <c r="AK344" s="20">
        <v>36890</v>
      </c>
    </row>
    <row r="345" spans="1:37" ht="16.5" customHeight="1" x14ac:dyDescent="0.3">
      <c r="A345" s="18" t="s">
        <v>1173</v>
      </c>
      <c r="B345" s="18" t="s">
        <v>240</v>
      </c>
      <c r="C345" s="19" t="s">
        <v>241</v>
      </c>
      <c r="D345" s="18" t="s">
        <v>1174</v>
      </c>
      <c r="E345" s="19" t="s">
        <v>349</v>
      </c>
      <c r="F345" s="18" t="s">
        <v>244</v>
      </c>
      <c r="G345" s="18" t="s">
        <v>245</v>
      </c>
      <c r="H345" s="19" t="s">
        <v>175</v>
      </c>
      <c r="I345" s="18" t="s">
        <v>246</v>
      </c>
      <c r="J345" s="19" t="s">
        <v>247</v>
      </c>
      <c r="K345" s="19" t="s">
        <v>248</v>
      </c>
      <c r="L345" s="18" t="s">
        <v>164</v>
      </c>
      <c r="M345" s="18" t="s">
        <v>272</v>
      </c>
      <c r="N345" s="18" t="s">
        <v>250</v>
      </c>
      <c r="O345" s="20">
        <v>119000</v>
      </c>
      <c r="P345" s="20">
        <v>82110</v>
      </c>
      <c r="Q345" s="20">
        <v>1</v>
      </c>
      <c r="R345" s="20">
        <v>0</v>
      </c>
      <c r="S345" s="20">
        <v>0</v>
      </c>
      <c r="T345" s="20">
        <v>0</v>
      </c>
      <c r="U345" s="20">
        <v>0</v>
      </c>
      <c r="V345" s="20">
        <v>0</v>
      </c>
      <c r="W345" s="20">
        <v>31</v>
      </c>
      <c r="X345" s="20">
        <v>17850</v>
      </c>
      <c r="Y345" s="20">
        <v>0</v>
      </c>
      <c r="Z345" s="20">
        <v>0</v>
      </c>
      <c r="AA345" s="20">
        <v>0</v>
      </c>
      <c r="AB345" s="20">
        <v>0</v>
      </c>
      <c r="AC345" s="20">
        <v>119000</v>
      </c>
      <c r="AD345" s="20">
        <v>82110</v>
      </c>
      <c r="AE345" s="20">
        <v>0</v>
      </c>
      <c r="AF345" s="20">
        <v>17850</v>
      </c>
      <c r="AG345" s="20">
        <v>101150</v>
      </c>
      <c r="AH345" s="20">
        <v>82110</v>
      </c>
      <c r="AI345" s="20">
        <v>17309</v>
      </c>
      <c r="AJ345" s="20">
        <v>1731</v>
      </c>
      <c r="AK345" s="20">
        <v>19040</v>
      </c>
    </row>
    <row r="346" spans="1:37" ht="16.5" customHeight="1" x14ac:dyDescent="0.3">
      <c r="A346" s="18" t="s">
        <v>1175</v>
      </c>
      <c r="B346" s="18" t="s">
        <v>240</v>
      </c>
      <c r="C346" s="19" t="s">
        <v>241</v>
      </c>
      <c r="D346" s="18" t="s">
        <v>1176</v>
      </c>
      <c r="E346" s="19" t="s">
        <v>357</v>
      </c>
      <c r="F346" s="18" t="s">
        <v>244</v>
      </c>
      <c r="G346" s="18" t="s">
        <v>245</v>
      </c>
      <c r="H346" s="19" t="s">
        <v>175</v>
      </c>
      <c r="I346" s="18" t="s">
        <v>246</v>
      </c>
      <c r="J346" s="19" t="s">
        <v>247</v>
      </c>
      <c r="K346" s="19" t="s">
        <v>248</v>
      </c>
      <c r="L346" s="18" t="s">
        <v>164</v>
      </c>
      <c r="M346" s="18" t="s">
        <v>272</v>
      </c>
      <c r="N346" s="18" t="s">
        <v>250</v>
      </c>
      <c r="O346" s="20">
        <v>119000</v>
      </c>
      <c r="P346" s="20">
        <v>82110</v>
      </c>
      <c r="Q346" s="20">
        <v>1</v>
      </c>
      <c r="R346" s="20">
        <v>0</v>
      </c>
      <c r="S346" s="20">
        <v>0</v>
      </c>
      <c r="T346" s="20">
        <v>0</v>
      </c>
      <c r="U346" s="20">
        <v>0</v>
      </c>
      <c r="V346" s="20">
        <v>0</v>
      </c>
      <c r="W346" s="20">
        <v>31</v>
      </c>
      <c r="X346" s="20">
        <v>0</v>
      </c>
      <c r="Y346" s="20">
        <v>0</v>
      </c>
      <c r="Z346" s="20">
        <v>0</v>
      </c>
      <c r="AA346" s="20">
        <v>0</v>
      </c>
      <c r="AB346" s="20">
        <v>0</v>
      </c>
      <c r="AC346" s="20">
        <v>119000</v>
      </c>
      <c r="AD346" s="20">
        <v>82110</v>
      </c>
      <c r="AE346" s="20">
        <v>0</v>
      </c>
      <c r="AF346" s="20">
        <v>0</v>
      </c>
      <c r="AG346" s="20">
        <v>119000</v>
      </c>
      <c r="AH346" s="20">
        <v>82110</v>
      </c>
      <c r="AI346" s="20">
        <v>33536</v>
      </c>
      <c r="AJ346" s="20">
        <v>3354</v>
      </c>
      <c r="AK346" s="20">
        <v>36890</v>
      </c>
    </row>
    <row r="347" spans="1:37" ht="16.5" customHeight="1" x14ac:dyDescent="0.3">
      <c r="A347" s="18" t="s">
        <v>1177</v>
      </c>
      <c r="B347" s="18" t="s">
        <v>240</v>
      </c>
      <c r="C347" s="19" t="s">
        <v>241</v>
      </c>
      <c r="D347" s="18" t="s">
        <v>1178</v>
      </c>
      <c r="E347" s="19" t="s">
        <v>1179</v>
      </c>
      <c r="F347" s="18" t="s">
        <v>244</v>
      </c>
      <c r="G347" s="18" t="s">
        <v>245</v>
      </c>
      <c r="H347" s="19" t="s">
        <v>175</v>
      </c>
      <c r="I347" s="18" t="s">
        <v>246</v>
      </c>
      <c r="J347" s="19" t="s">
        <v>247</v>
      </c>
      <c r="K347" s="19" t="s">
        <v>248</v>
      </c>
      <c r="L347" s="18" t="s">
        <v>164</v>
      </c>
      <c r="M347" s="18" t="s">
        <v>272</v>
      </c>
      <c r="N347" s="18" t="s">
        <v>250</v>
      </c>
      <c r="O347" s="20">
        <v>119000</v>
      </c>
      <c r="P347" s="20">
        <v>82110</v>
      </c>
      <c r="Q347" s="20">
        <v>1</v>
      </c>
      <c r="R347" s="20">
        <v>0</v>
      </c>
      <c r="S347" s="20">
        <v>0</v>
      </c>
      <c r="T347" s="20">
        <v>0</v>
      </c>
      <c r="U347" s="20">
        <v>0</v>
      </c>
      <c r="V347" s="20">
        <v>0</v>
      </c>
      <c r="W347" s="20">
        <v>31</v>
      </c>
      <c r="X347" s="20">
        <v>0</v>
      </c>
      <c r="Y347" s="20">
        <v>0</v>
      </c>
      <c r="Z347" s="20">
        <v>0</v>
      </c>
      <c r="AA347" s="20">
        <v>0</v>
      </c>
      <c r="AB347" s="20">
        <v>0</v>
      </c>
      <c r="AC347" s="20">
        <v>119000</v>
      </c>
      <c r="AD347" s="20">
        <v>82110</v>
      </c>
      <c r="AE347" s="20">
        <v>0</v>
      </c>
      <c r="AF347" s="20">
        <v>0</v>
      </c>
      <c r="AG347" s="20">
        <v>119000</v>
      </c>
      <c r="AH347" s="20">
        <v>82110</v>
      </c>
      <c r="AI347" s="20">
        <v>33536</v>
      </c>
      <c r="AJ347" s="20">
        <v>3354</v>
      </c>
      <c r="AK347" s="20">
        <v>36890</v>
      </c>
    </row>
    <row r="348" spans="1:37" ht="16.5" customHeight="1" x14ac:dyDescent="0.3">
      <c r="A348" s="18" t="s">
        <v>1180</v>
      </c>
      <c r="B348" s="18" t="s">
        <v>240</v>
      </c>
      <c r="C348" s="19" t="s">
        <v>241</v>
      </c>
      <c r="D348" s="18" t="s">
        <v>1181</v>
      </c>
      <c r="E348" s="19" t="s">
        <v>1182</v>
      </c>
      <c r="F348" s="18" t="s">
        <v>244</v>
      </c>
      <c r="G348" s="18" t="s">
        <v>245</v>
      </c>
      <c r="H348" s="19" t="s">
        <v>175</v>
      </c>
      <c r="I348" s="18" t="s">
        <v>246</v>
      </c>
      <c r="J348" s="19" t="s">
        <v>247</v>
      </c>
      <c r="K348" s="19" t="s">
        <v>248</v>
      </c>
      <c r="L348" s="18" t="s">
        <v>164</v>
      </c>
      <c r="M348" s="18" t="s">
        <v>272</v>
      </c>
      <c r="N348" s="18" t="s">
        <v>250</v>
      </c>
      <c r="O348" s="20">
        <v>119000</v>
      </c>
      <c r="P348" s="20">
        <v>82110</v>
      </c>
      <c r="Q348" s="20">
        <v>1</v>
      </c>
      <c r="R348" s="20">
        <v>0</v>
      </c>
      <c r="S348" s="20">
        <v>0</v>
      </c>
      <c r="T348" s="20">
        <v>0</v>
      </c>
      <c r="U348" s="20">
        <v>0</v>
      </c>
      <c r="V348" s="20">
        <v>0</v>
      </c>
      <c r="W348" s="20">
        <v>31</v>
      </c>
      <c r="X348" s="20">
        <v>0</v>
      </c>
      <c r="Y348" s="20">
        <v>0</v>
      </c>
      <c r="Z348" s="20">
        <v>0</v>
      </c>
      <c r="AA348" s="20">
        <v>0</v>
      </c>
      <c r="AB348" s="20">
        <v>0</v>
      </c>
      <c r="AC348" s="20">
        <v>119000</v>
      </c>
      <c r="AD348" s="20">
        <v>82110</v>
      </c>
      <c r="AE348" s="20">
        <v>0</v>
      </c>
      <c r="AF348" s="20">
        <v>0</v>
      </c>
      <c r="AG348" s="20">
        <v>119000</v>
      </c>
      <c r="AH348" s="20">
        <v>82110</v>
      </c>
      <c r="AI348" s="20">
        <v>33536</v>
      </c>
      <c r="AJ348" s="20">
        <v>3354</v>
      </c>
      <c r="AK348" s="20">
        <v>36890</v>
      </c>
    </row>
    <row r="349" spans="1:37" ht="16.5" customHeight="1" x14ac:dyDescent="0.3">
      <c r="A349" s="18" t="s">
        <v>1183</v>
      </c>
      <c r="B349" s="18" t="s">
        <v>240</v>
      </c>
      <c r="C349" s="19" t="s">
        <v>241</v>
      </c>
      <c r="D349" s="18" t="s">
        <v>1184</v>
      </c>
      <c r="E349" s="19" t="s">
        <v>1185</v>
      </c>
      <c r="F349" s="18" t="s">
        <v>244</v>
      </c>
      <c r="G349" s="18" t="s">
        <v>245</v>
      </c>
      <c r="H349" s="19" t="s">
        <v>175</v>
      </c>
      <c r="I349" s="18" t="s">
        <v>246</v>
      </c>
      <c r="J349" s="19" t="s">
        <v>247</v>
      </c>
      <c r="K349" s="19" t="s">
        <v>248</v>
      </c>
      <c r="L349" s="18" t="s">
        <v>164</v>
      </c>
      <c r="M349" s="18" t="s">
        <v>272</v>
      </c>
      <c r="N349" s="18" t="s">
        <v>250</v>
      </c>
      <c r="O349" s="20">
        <v>119000</v>
      </c>
      <c r="P349" s="20">
        <v>82110</v>
      </c>
      <c r="Q349" s="20">
        <v>1</v>
      </c>
      <c r="R349" s="20">
        <v>0</v>
      </c>
      <c r="S349" s="20">
        <v>0</v>
      </c>
      <c r="T349" s="20">
        <v>0</v>
      </c>
      <c r="U349" s="20">
        <v>0</v>
      </c>
      <c r="V349" s="20">
        <v>0</v>
      </c>
      <c r="W349" s="20">
        <v>31</v>
      </c>
      <c r="X349" s="20">
        <v>0</v>
      </c>
      <c r="Y349" s="20">
        <v>0</v>
      </c>
      <c r="Z349" s="20">
        <v>0</v>
      </c>
      <c r="AA349" s="20">
        <v>0</v>
      </c>
      <c r="AB349" s="20">
        <v>0</v>
      </c>
      <c r="AC349" s="20">
        <v>119000</v>
      </c>
      <c r="AD349" s="20">
        <v>82110</v>
      </c>
      <c r="AE349" s="20">
        <v>0</v>
      </c>
      <c r="AF349" s="20">
        <v>0</v>
      </c>
      <c r="AG349" s="20">
        <v>119000</v>
      </c>
      <c r="AH349" s="20">
        <v>82110</v>
      </c>
      <c r="AI349" s="20">
        <v>33536</v>
      </c>
      <c r="AJ349" s="20">
        <v>3354</v>
      </c>
      <c r="AK349" s="20">
        <v>36890</v>
      </c>
    </row>
    <row r="350" spans="1:37" ht="16.5" customHeight="1" x14ac:dyDescent="0.3">
      <c r="A350" s="18" t="s">
        <v>1186</v>
      </c>
      <c r="B350" s="18" t="s">
        <v>240</v>
      </c>
      <c r="C350" s="19" t="s">
        <v>241</v>
      </c>
      <c r="D350" s="18" t="s">
        <v>1187</v>
      </c>
      <c r="E350" s="19" t="s">
        <v>559</v>
      </c>
      <c r="F350" s="18" t="s">
        <v>244</v>
      </c>
      <c r="G350" s="18" t="s">
        <v>245</v>
      </c>
      <c r="H350" s="19" t="s">
        <v>175</v>
      </c>
      <c r="I350" s="18" t="s">
        <v>246</v>
      </c>
      <c r="J350" s="19" t="s">
        <v>247</v>
      </c>
      <c r="K350" s="19" t="s">
        <v>248</v>
      </c>
      <c r="L350" s="18" t="s">
        <v>164</v>
      </c>
      <c r="M350" s="18" t="s">
        <v>272</v>
      </c>
      <c r="N350" s="18" t="s">
        <v>250</v>
      </c>
      <c r="O350" s="20">
        <v>119000</v>
      </c>
      <c r="P350" s="20">
        <v>82110</v>
      </c>
      <c r="Q350" s="20">
        <v>1</v>
      </c>
      <c r="R350" s="20">
        <v>0</v>
      </c>
      <c r="S350" s="20">
        <v>0</v>
      </c>
      <c r="T350" s="20">
        <v>0</v>
      </c>
      <c r="U350" s="20">
        <v>0</v>
      </c>
      <c r="V350" s="20">
        <v>0</v>
      </c>
      <c r="W350" s="20">
        <v>31</v>
      </c>
      <c r="X350" s="20">
        <v>0</v>
      </c>
      <c r="Y350" s="20">
        <v>0</v>
      </c>
      <c r="Z350" s="20">
        <v>0</v>
      </c>
      <c r="AA350" s="20">
        <v>0</v>
      </c>
      <c r="AB350" s="20">
        <v>0</v>
      </c>
      <c r="AC350" s="20">
        <v>119000</v>
      </c>
      <c r="AD350" s="20">
        <v>82110</v>
      </c>
      <c r="AE350" s="20">
        <v>0</v>
      </c>
      <c r="AF350" s="20">
        <v>0</v>
      </c>
      <c r="AG350" s="20">
        <v>119000</v>
      </c>
      <c r="AH350" s="20">
        <v>82110</v>
      </c>
      <c r="AI350" s="20">
        <v>33536</v>
      </c>
      <c r="AJ350" s="20">
        <v>3354</v>
      </c>
      <c r="AK350" s="20">
        <v>36890</v>
      </c>
    </row>
    <row r="351" spans="1:37" ht="16.5" customHeight="1" x14ac:dyDescent="0.3">
      <c r="A351" s="18" t="s">
        <v>1188</v>
      </c>
      <c r="B351" s="18" t="s">
        <v>240</v>
      </c>
      <c r="C351" s="19" t="s">
        <v>241</v>
      </c>
      <c r="D351" s="18" t="s">
        <v>1189</v>
      </c>
      <c r="E351" s="19" t="s">
        <v>1190</v>
      </c>
      <c r="F351" s="18" t="s">
        <v>244</v>
      </c>
      <c r="G351" s="18" t="s">
        <v>245</v>
      </c>
      <c r="H351" s="19" t="s">
        <v>175</v>
      </c>
      <c r="I351" s="18" t="s">
        <v>246</v>
      </c>
      <c r="J351" s="19" t="s">
        <v>247</v>
      </c>
      <c r="K351" s="19" t="s">
        <v>248</v>
      </c>
      <c r="L351" s="18" t="s">
        <v>164</v>
      </c>
      <c r="M351" s="18" t="s">
        <v>272</v>
      </c>
      <c r="N351" s="18" t="s">
        <v>250</v>
      </c>
      <c r="O351" s="20">
        <v>119000</v>
      </c>
      <c r="P351" s="20">
        <v>82110</v>
      </c>
      <c r="Q351" s="20">
        <v>1</v>
      </c>
      <c r="R351" s="20">
        <v>0</v>
      </c>
      <c r="S351" s="20">
        <v>0</v>
      </c>
      <c r="T351" s="20">
        <v>0</v>
      </c>
      <c r="U351" s="20">
        <v>0</v>
      </c>
      <c r="V351" s="20">
        <v>0</v>
      </c>
      <c r="W351" s="20">
        <v>31</v>
      </c>
      <c r="X351" s="20">
        <v>0</v>
      </c>
      <c r="Y351" s="20">
        <v>0</v>
      </c>
      <c r="Z351" s="20">
        <v>0</v>
      </c>
      <c r="AA351" s="20">
        <v>0</v>
      </c>
      <c r="AB351" s="20">
        <v>0</v>
      </c>
      <c r="AC351" s="20">
        <v>119000</v>
      </c>
      <c r="AD351" s="20">
        <v>82110</v>
      </c>
      <c r="AE351" s="20">
        <v>0</v>
      </c>
      <c r="AF351" s="20">
        <v>0</v>
      </c>
      <c r="AG351" s="20">
        <v>119000</v>
      </c>
      <c r="AH351" s="20">
        <v>82110</v>
      </c>
      <c r="AI351" s="20">
        <v>33536</v>
      </c>
      <c r="AJ351" s="20">
        <v>3354</v>
      </c>
      <c r="AK351" s="20">
        <v>36890</v>
      </c>
    </row>
    <row r="352" spans="1:37" ht="16.5" customHeight="1" x14ac:dyDescent="0.3">
      <c r="A352" s="18" t="s">
        <v>1191</v>
      </c>
      <c r="B352" s="18" t="s">
        <v>240</v>
      </c>
      <c r="C352" s="19" t="s">
        <v>241</v>
      </c>
      <c r="D352" s="18" t="s">
        <v>1192</v>
      </c>
      <c r="E352" s="19" t="s">
        <v>349</v>
      </c>
      <c r="F352" s="18" t="s">
        <v>244</v>
      </c>
      <c r="G352" s="18" t="s">
        <v>245</v>
      </c>
      <c r="H352" s="19" t="s">
        <v>175</v>
      </c>
      <c r="I352" s="18" t="s">
        <v>246</v>
      </c>
      <c r="J352" s="19" t="s">
        <v>247</v>
      </c>
      <c r="K352" s="19" t="s">
        <v>248</v>
      </c>
      <c r="L352" s="18" t="s">
        <v>164</v>
      </c>
      <c r="M352" s="18" t="s">
        <v>272</v>
      </c>
      <c r="N352" s="18" t="s">
        <v>250</v>
      </c>
      <c r="O352" s="20">
        <v>119000</v>
      </c>
      <c r="P352" s="20">
        <v>82110</v>
      </c>
      <c r="Q352" s="20">
        <v>1</v>
      </c>
      <c r="R352" s="20">
        <v>0</v>
      </c>
      <c r="S352" s="20">
        <v>0</v>
      </c>
      <c r="T352" s="20">
        <v>0</v>
      </c>
      <c r="U352" s="20">
        <v>0</v>
      </c>
      <c r="V352" s="20">
        <v>0</v>
      </c>
      <c r="W352" s="20">
        <v>31</v>
      </c>
      <c r="X352" s="20">
        <v>0</v>
      </c>
      <c r="Y352" s="20">
        <v>0</v>
      </c>
      <c r="Z352" s="20">
        <v>0</v>
      </c>
      <c r="AA352" s="20">
        <v>0</v>
      </c>
      <c r="AB352" s="20">
        <v>0</v>
      </c>
      <c r="AC352" s="20">
        <v>119000</v>
      </c>
      <c r="AD352" s="20">
        <v>82110</v>
      </c>
      <c r="AE352" s="20">
        <v>0</v>
      </c>
      <c r="AF352" s="20">
        <v>0</v>
      </c>
      <c r="AG352" s="20">
        <v>119000</v>
      </c>
      <c r="AH352" s="20">
        <v>82110</v>
      </c>
      <c r="AI352" s="20">
        <v>33536</v>
      </c>
      <c r="AJ352" s="20">
        <v>3354</v>
      </c>
      <c r="AK352" s="20">
        <v>36890</v>
      </c>
    </row>
    <row r="353" spans="1:37" ht="16.5" customHeight="1" x14ac:dyDescent="0.3">
      <c r="A353" s="18" t="s">
        <v>1193</v>
      </c>
      <c r="B353" s="18" t="s">
        <v>240</v>
      </c>
      <c r="C353" s="19" t="s">
        <v>241</v>
      </c>
      <c r="D353" s="18" t="s">
        <v>1194</v>
      </c>
      <c r="E353" s="19" t="s">
        <v>535</v>
      </c>
      <c r="F353" s="18" t="s">
        <v>244</v>
      </c>
      <c r="G353" s="18" t="s">
        <v>245</v>
      </c>
      <c r="H353" s="19" t="s">
        <v>175</v>
      </c>
      <c r="I353" s="18" t="s">
        <v>246</v>
      </c>
      <c r="J353" s="19" t="s">
        <v>247</v>
      </c>
      <c r="K353" s="19" t="s">
        <v>248</v>
      </c>
      <c r="L353" s="18" t="s">
        <v>164</v>
      </c>
      <c r="M353" s="18" t="s">
        <v>272</v>
      </c>
      <c r="N353" s="18" t="s">
        <v>250</v>
      </c>
      <c r="O353" s="20">
        <v>119000</v>
      </c>
      <c r="P353" s="20">
        <v>82110</v>
      </c>
      <c r="Q353" s="20">
        <v>1</v>
      </c>
      <c r="R353" s="20">
        <v>0</v>
      </c>
      <c r="S353" s="20">
        <v>0</v>
      </c>
      <c r="T353" s="20">
        <v>0</v>
      </c>
      <c r="U353" s="20">
        <v>0</v>
      </c>
      <c r="V353" s="20">
        <v>0</v>
      </c>
      <c r="W353" s="20">
        <v>31</v>
      </c>
      <c r="X353" s="20">
        <v>0</v>
      </c>
      <c r="Y353" s="20">
        <v>0</v>
      </c>
      <c r="Z353" s="20">
        <v>0</v>
      </c>
      <c r="AA353" s="20">
        <v>0</v>
      </c>
      <c r="AB353" s="20">
        <v>0</v>
      </c>
      <c r="AC353" s="20">
        <v>119000</v>
      </c>
      <c r="AD353" s="20">
        <v>82110</v>
      </c>
      <c r="AE353" s="20">
        <v>0</v>
      </c>
      <c r="AF353" s="20">
        <v>0</v>
      </c>
      <c r="AG353" s="20">
        <v>119000</v>
      </c>
      <c r="AH353" s="20">
        <v>82110</v>
      </c>
      <c r="AI353" s="20">
        <v>33536</v>
      </c>
      <c r="AJ353" s="20">
        <v>3354</v>
      </c>
      <c r="AK353" s="20">
        <v>36890</v>
      </c>
    </row>
    <row r="354" spans="1:37" ht="16.5" customHeight="1" x14ac:dyDescent="0.3">
      <c r="A354" s="18" t="s">
        <v>1195</v>
      </c>
      <c r="B354" s="18" t="s">
        <v>240</v>
      </c>
      <c r="C354" s="19" t="s">
        <v>241</v>
      </c>
      <c r="D354" s="18" t="s">
        <v>1196</v>
      </c>
      <c r="E354" s="19" t="s">
        <v>432</v>
      </c>
      <c r="F354" s="18" t="s">
        <v>244</v>
      </c>
      <c r="G354" s="18" t="s">
        <v>245</v>
      </c>
      <c r="H354" s="19" t="s">
        <v>175</v>
      </c>
      <c r="I354" s="18" t="s">
        <v>246</v>
      </c>
      <c r="J354" s="19" t="s">
        <v>247</v>
      </c>
      <c r="K354" s="19" t="s">
        <v>248</v>
      </c>
      <c r="L354" s="18" t="s">
        <v>164</v>
      </c>
      <c r="M354" s="18" t="s">
        <v>272</v>
      </c>
      <c r="N354" s="18" t="s">
        <v>250</v>
      </c>
      <c r="O354" s="20">
        <v>119000</v>
      </c>
      <c r="P354" s="20">
        <v>82110</v>
      </c>
      <c r="Q354" s="20">
        <v>1</v>
      </c>
      <c r="R354" s="20">
        <v>0</v>
      </c>
      <c r="S354" s="20">
        <v>0</v>
      </c>
      <c r="T354" s="20">
        <v>0</v>
      </c>
      <c r="U354" s="20">
        <v>0</v>
      </c>
      <c r="V354" s="20">
        <v>0</v>
      </c>
      <c r="W354" s="20">
        <v>31</v>
      </c>
      <c r="X354" s="20">
        <v>0</v>
      </c>
      <c r="Y354" s="20">
        <v>0</v>
      </c>
      <c r="Z354" s="20">
        <v>0</v>
      </c>
      <c r="AA354" s="20">
        <v>0</v>
      </c>
      <c r="AB354" s="20">
        <v>0</v>
      </c>
      <c r="AC354" s="20">
        <v>119000</v>
      </c>
      <c r="AD354" s="20">
        <v>82110</v>
      </c>
      <c r="AE354" s="20">
        <v>0</v>
      </c>
      <c r="AF354" s="20">
        <v>0</v>
      </c>
      <c r="AG354" s="20">
        <v>119000</v>
      </c>
      <c r="AH354" s="20">
        <v>82110</v>
      </c>
      <c r="AI354" s="20">
        <v>33536</v>
      </c>
      <c r="AJ354" s="20">
        <v>3354</v>
      </c>
      <c r="AK354" s="20">
        <v>36890</v>
      </c>
    </row>
    <row r="355" spans="1:37" ht="16.5" customHeight="1" x14ac:dyDescent="0.3">
      <c r="A355" s="18" t="s">
        <v>1197</v>
      </c>
      <c r="B355" s="18" t="s">
        <v>240</v>
      </c>
      <c r="C355" s="19" t="s">
        <v>241</v>
      </c>
      <c r="D355" s="18" t="s">
        <v>1198</v>
      </c>
      <c r="E355" s="19" t="s">
        <v>1199</v>
      </c>
      <c r="F355" s="18" t="s">
        <v>244</v>
      </c>
      <c r="G355" s="18" t="s">
        <v>245</v>
      </c>
      <c r="H355" s="19" t="s">
        <v>175</v>
      </c>
      <c r="I355" s="18" t="s">
        <v>246</v>
      </c>
      <c r="J355" s="19" t="s">
        <v>247</v>
      </c>
      <c r="K355" s="19" t="s">
        <v>248</v>
      </c>
      <c r="L355" s="18" t="s">
        <v>164</v>
      </c>
      <c r="M355" s="18" t="s">
        <v>272</v>
      </c>
      <c r="N355" s="18" t="s">
        <v>250</v>
      </c>
      <c r="O355" s="20">
        <v>119000</v>
      </c>
      <c r="P355" s="20">
        <v>82110</v>
      </c>
      <c r="Q355" s="20">
        <v>1</v>
      </c>
      <c r="R355" s="20">
        <v>0</v>
      </c>
      <c r="S355" s="20">
        <v>0</v>
      </c>
      <c r="T355" s="20">
        <v>0</v>
      </c>
      <c r="U355" s="20">
        <v>0</v>
      </c>
      <c r="V355" s="20">
        <v>0</v>
      </c>
      <c r="W355" s="20">
        <v>31</v>
      </c>
      <c r="X355" s="20">
        <v>0</v>
      </c>
      <c r="Y355" s="20">
        <v>0</v>
      </c>
      <c r="Z355" s="20">
        <v>0</v>
      </c>
      <c r="AA355" s="20">
        <v>0</v>
      </c>
      <c r="AB355" s="20">
        <v>0</v>
      </c>
      <c r="AC355" s="20">
        <v>119000</v>
      </c>
      <c r="AD355" s="20">
        <v>82110</v>
      </c>
      <c r="AE355" s="20">
        <v>0</v>
      </c>
      <c r="AF355" s="20">
        <v>0</v>
      </c>
      <c r="AG355" s="20">
        <v>119000</v>
      </c>
      <c r="AH355" s="20">
        <v>82110</v>
      </c>
      <c r="AI355" s="20">
        <v>33536</v>
      </c>
      <c r="AJ355" s="20">
        <v>3354</v>
      </c>
      <c r="AK355" s="20">
        <v>36890</v>
      </c>
    </row>
    <row r="356" spans="1:37" ht="16.5" customHeight="1" x14ac:dyDescent="0.3">
      <c r="A356" s="18" t="s">
        <v>1200</v>
      </c>
      <c r="B356" s="18" t="s">
        <v>240</v>
      </c>
      <c r="C356" s="19" t="s">
        <v>241</v>
      </c>
      <c r="D356" s="18" t="s">
        <v>1201</v>
      </c>
      <c r="E356" s="19" t="s">
        <v>1021</v>
      </c>
      <c r="F356" s="18" t="s">
        <v>244</v>
      </c>
      <c r="G356" s="18" t="s">
        <v>245</v>
      </c>
      <c r="H356" s="19" t="s">
        <v>175</v>
      </c>
      <c r="I356" s="18" t="s">
        <v>246</v>
      </c>
      <c r="J356" s="19" t="s">
        <v>247</v>
      </c>
      <c r="K356" s="19" t="s">
        <v>248</v>
      </c>
      <c r="L356" s="18" t="s">
        <v>164</v>
      </c>
      <c r="M356" s="18" t="s">
        <v>272</v>
      </c>
      <c r="N356" s="18" t="s">
        <v>250</v>
      </c>
      <c r="O356" s="20">
        <v>119000</v>
      </c>
      <c r="P356" s="20">
        <v>82110</v>
      </c>
      <c r="Q356" s="20">
        <v>1</v>
      </c>
      <c r="R356" s="20">
        <v>0</v>
      </c>
      <c r="S356" s="20">
        <v>0</v>
      </c>
      <c r="T356" s="20">
        <v>0</v>
      </c>
      <c r="U356" s="20">
        <v>0</v>
      </c>
      <c r="V356" s="20">
        <v>0</v>
      </c>
      <c r="W356" s="20">
        <v>31</v>
      </c>
      <c r="X356" s="20">
        <v>0</v>
      </c>
      <c r="Y356" s="20">
        <v>0</v>
      </c>
      <c r="Z356" s="20">
        <v>0</v>
      </c>
      <c r="AA356" s="20">
        <v>0</v>
      </c>
      <c r="AB356" s="20">
        <v>0</v>
      </c>
      <c r="AC356" s="20">
        <v>119000</v>
      </c>
      <c r="AD356" s="20">
        <v>82110</v>
      </c>
      <c r="AE356" s="20">
        <v>0</v>
      </c>
      <c r="AF356" s="20">
        <v>0</v>
      </c>
      <c r="AG356" s="20">
        <v>119000</v>
      </c>
      <c r="AH356" s="20">
        <v>82110</v>
      </c>
      <c r="AI356" s="20">
        <v>33536</v>
      </c>
      <c r="AJ356" s="20">
        <v>3354</v>
      </c>
      <c r="AK356" s="20">
        <v>36890</v>
      </c>
    </row>
    <row r="357" spans="1:37" ht="16.5" customHeight="1" x14ac:dyDescent="0.3">
      <c r="A357" s="18" t="s">
        <v>1202</v>
      </c>
      <c r="B357" s="18" t="s">
        <v>240</v>
      </c>
      <c r="C357" s="19" t="s">
        <v>241</v>
      </c>
      <c r="D357" s="18" t="s">
        <v>1203</v>
      </c>
      <c r="E357" s="19" t="s">
        <v>335</v>
      </c>
      <c r="F357" s="18" t="s">
        <v>244</v>
      </c>
      <c r="G357" s="18" t="s">
        <v>245</v>
      </c>
      <c r="H357" s="19" t="s">
        <v>175</v>
      </c>
      <c r="I357" s="18" t="s">
        <v>246</v>
      </c>
      <c r="J357" s="19" t="s">
        <v>247</v>
      </c>
      <c r="K357" s="19" t="s">
        <v>248</v>
      </c>
      <c r="L357" s="18" t="s">
        <v>164</v>
      </c>
      <c r="M357" s="18" t="s">
        <v>272</v>
      </c>
      <c r="N357" s="18" t="s">
        <v>250</v>
      </c>
      <c r="O357" s="20">
        <v>119000</v>
      </c>
      <c r="P357" s="20">
        <v>82110</v>
      </c>
      <c r="Q357" s="20">
        <v>1</v>
      </c>
      <c r="R357" s="20">
        <v>0</v>
      </c>
      <c r="S357" s="20">
        <v>0</v>
      </c>
      <c r="T357" s="20">
        <v>0</v>
      </c>
      <c r="U357" s="20">
        <v>0</v>
      </c>
      <c r="V357" s="20">
        <v>0</v>
      </c>
      <c r="W357" s="20">
        <v>31</v>
      </c>
      <c r="X357" s="20">
        <v>0</v>
      </c>
      <c r="Y357" s="20">
        <v>0</v>
      </c>
      <c r="Z357" s="20">
        <v>0</v>
      </c>
      <c r="AA357" s="20">
        <v>0</v>
      </c>
      <c r="AB357" s="20">
        <v>0</v>
      </c>
      <c r="AC357" s="20">
        <v>119000</v>
      </c>
      <c r="AD357" s="20">
        <v>82110</v>
      </c>
      <c r="AE357" s="20">
        <v>0</v>
      </c>
      <c r="AF357" s="20">
        <v>0</v>
      </c>
      <c r="AG357" s="20">
        <v>119000</v>
      </c>
      <c r="AH357" s="20">
        <v>82110</v>
      </c>
      <c r="AI357" s="20">
        <v>33536</v>
      </c>
      <c r="AJ357" s="20">
        <v>3354</v>
      </c>
      <c r="AK357" s="20">
        <v>36890</v>
      </c>
    </row>
    <row r="358" spans="1:37" ht="16.5" customHeight="1" x14ac:dyDescent="0.3">
      <c r="A358" s="18" t="s">
        <v>1204</v>
      </c>
      <c r="B358" s="18" t="s">
        <v>240</v>
      </c>
      <c r="C358" s="19" t="s">
        <v>241</v>
      </c>
      <c r="D358" s="18" t="s">
        <v>1205</v>
      </c>
      <c r="E358" s="19" t="s">
        <v>599</v>
      </c>
      <c r="F358" s="18" t="s">
        <v>244</v>
      </c>
      <c r="G358" s="18" t="s">
        <v>245</v>
      </c>
      <c r="H358" s="19" t="s">
        <v>175</v>
      </c>
      <c r="I358" s="18" t="s">
        <v>246</v>
      </c>
      <c r="J358" s="19" t="s">
        <v>247</v>
      </c>
      <c r="K358" s="19" t="s">
        <v>248</v>
      </c>
      <c r="L358" s="18" t="s">
        <v>164</v>
      </c>
      <c r="M358" s="18" t="s">
        <v>272</v>
      </c>
      <c r="N358" s="18" t="s">
        <v>250</v>
      </c>
      <c r="O358" s="20">
        <v>119000</v>
      </c>
      <c r="P358" s="20">
        <v>82110</v>
      </c>
      <c r="Q358" s="20">
        <v>1</v>
      </c>
      <c r="R358" s="20">
        <v>0</v>
      </c>
      <c r="S358" s="20">
        <v>0</v>
      </c>
      <c r="T358" s="20">
        <v>0</v>
      </c>
      <c r="U358" s="20">
        <v>0</v>
      </c>
      <c r="V358" s="20">
        <v>0</v>
      </c>
      <c r="W358" s="20">
        <v>31</v>
      </c>
      <c r="X358" s="20">
        <v>0</v>
      </c>
      <c r="Y358" s="20">
        <v>0</v>
      </c>
      <c r="Z358" s="20">
        <v>0</v>
      </c>
      <c r="AA358" s="20">
        <v>0</v>
      </c>
      <c r="AB358" s="20">
        <v>0</v>
      </c>
      <c r="AC358" s="20">
        <v>119000</v>
      </c>
      <c r="AD358" s="20">
        <v>82110</v>
      </c>
      <c r="AE358" s="20">
        <v>0</v>
      </c>
      <c r="AF358" s="20">
        <v>0</v>
      </c>
      <c r="AG358" s="20">
        <v>119000</v>
      </c>
      <c r="AH358" s="20">
        <v>82110</v>
      </c>
      <c r="AI358" s="20">
        <v>33536</v>
      </c>
      <c r="AJ358" s="20">
        <v>3354</v>
      </c>
      <c r="AK358" s="20">
        <v>36890</v>
      </c>
    </row>
    <row r="359" spans="1:37" ht="16.5" customHeight="1" x14ac:dyDescent="0.3">
      <c r="A359" s="18" t="s">
        <v>1206</v>
      </c>
      <c r="B359" s="18" t="s">
        <v>240</v>
      </c>
      <c r="C359" s="19" t="s">
        <v>241</v>
      </c>
      <c r="D359" s="18" t="s">
        <v>1207</v>
      </c>
      <c r="E359" s="19" t="s">
        <v>1208</v>
      </c>
      <c r="F359" s="18" t="s">
        <v>244</v>
      </c>
      <c r="G359" s="18" t="s">
        <v>245</v>
      </c>
      <c r="H359" s="19" t="s">
        <v>175</v>
      </c>
      <c r="I359" s="18" t="s">
        <v>246</v>
      </c>
      <c r="J359" s="19" t="s">
        <v>247</v>
      </c>
      <c r="K359" s="19" t="s">
        <v>248</v>
      </c>
      <c r="L359" s="18" t="s">
        <v>164</v>
      </c>
      <c r="M359" s="18" t="s">
        <v>272</v>
      </c>
      <c r="N359" s="18" t="s">
        <v>250</v>
      </c>
      <c r="O359" s="20">
        <v>119000</v>
      </c>
      <c r="P359" s="20">
        <v>82110</v>
      </c>
      <c r="Q359" s="20">
        <v>1</v>
      </c>
      <c r="R359" s="20">
        <v>0</v>
      </c>
      <c r="S359" s="20">
        <v>0</v>
      </c>
      <c r="T359" s="20">
        <v>0</v>
      </c>
      <c r="U359" s="20">
        <v>0</v>
      </c>
      <c r="V359" s="20">
        <v>0</v>
      </c>
      <c r="W359" s="20">
        <v>31</v>
      </c>
      <c r="X359" s="20">
        <v>0</v>
      </c>
      <c r="Y359" s="20">
        <v>0</v>
      </c>
      <c r="Z359" s="20">
        <v>0</v>
      </c>
      <c r="AA359" s="20">
        <v>0</v>
      </c>
      <c r="AB359" s="20">
        <v>0</v>
      </c>
      <c r="AC359" s="20">
        <v>119000</v>
      </c>
      <c r="AD359" s="20">
        <v>82110</v>
      </c>
      <c r="AE359" s="20">
        <v>0</v>
      </c>
      <c r="AF359" s="20">
        <v>0</v>
      </c>
      <c r="AG359" s="20">
        <v>119000</v>
      </c>
      <c r="AH359" s="20">
        <v>82110</v>
      </c>
      <c r="AI359" s="20">
        <v>33536</v>
      </c>
      <c r="AJ359" s="20">
        <v>3354</v>
      </c>
      <c r="AK359" s="20">
        <v>36890</v>
      </c>
    </row>
    <row r="360" spans="1:37" ht="16.5" customHeight="1" x14ac:dyDescent="0.3">
      <c r="A360" s="18" t="s">
        <v>1209</v>
      </c>
      <c r="B360" s="18" t="s">
        <v>240</v>
      </c>
      <c r="C360" s="19" t="s">
        <v>241</v>
      </c>
      <c r="D360" s="18" t="s">
        <v>1210</v>
      </c>
      <c r="E360" s="19" t="s">
        <v>1211</v>
      </c>
      <c r="F360" s="18" t="s">
        <v>244</v>
      </c>
      <c r="G360" s="18" t="s">
        <v>245</v>
      </c>
      <c r="H360" s="19" t="s">
        <v>175</v>
      </c>
      <c r="I360" s="18" t="s">
        <v>246</v>
      </c>
      <c r="J360" s="19" t="s">
        <v>247</v>
      </c>
      <c r="K360" s="19" t="s">
        <v>314</v>
      </c>
      <c r="L360" s="18" t="s">
        <v>164</v>
      </c>
      <c r="M360" s="18" t="s">
        <v>272</v>
      </c>
      <c r="N360" s="18" t="s">
        <v>250</v>
      </c>
      <c r="O360" s="20">
        <v>119000</v>
      </c>
      <c r="P360" s="20">
        <v>82110</v>
      </c>
      <c r="Q360" s="20">
        <v>1</v>
      </c>
      <c r="R360" s="20">
        <v>0</v>
      </c>
      <c r="S360" s="20">
        <v>0</v>
      </c>
      <c r="T360" s="20">
        <v>0</v>
      </c>
      <c r="U360" s="20">
        <v>0</v>
      </c>
      <c r="V360" s="20">
        <v>0</v>
      </c>
      <c r="W360" s="20">
        <v>31</v>
      </c>
      <c r="X360" s="20">
        <v>0</v>
      </c>
      <c r="Y360" s="20">
        <v>0</v>
      </c>
      <c r="Z360" s="20">
        <v>0</v>
      </c>
      <c r="AA360" s="20">
        <v>0</v>
      </c>
      <c r="AB360" s="20">
        <v>0</v>
      </c>
      <c r="AC360" s="20">
        <v>119000</v>
      </c>
      <c r="AD360" s="20">
        <v>82110</v>
      </c>
      <c r="AE360" s="20">
        <v>0</v>
      </c>
      <c r="AF360" s="20">
        <v>0</v>
      </c>
      <c r="AG360" s="20">
        <v>119000</v>
      </c>
      <c r="AH360" s="20">
        <v>82110</v>
      </c>
      <c r="AI360" s="20">
        <v>33536</v>
      </c>
      <c r="AJ360" s="20">
        <v>3354</v>
      </c>
      <c r="AK360" s="20">
        <v>36890</v>
      </c>
    </row>
    <row r="361" spans="1:37" ht="16.5" customHeight="1" x14ac:dyDescent="0.3">
      <c r="A361" s="18" t="s">
        <v>1212</v>
      </c>
      <c r="B361" s="18" t="s">
        <v>240</v>
      </c>
      <c r="C361" s="19" t="s">
        <v>241</v>
      </c>
      <c r="D361" s="18" t="s">
        <v>1213</v>
      </c>
      <c r="E361" s="19" t="s">
        <v>1214</v>
      </c>
      <c r="F361" s="18" t="s">
        <v>244</v>
      </c>
      <c r="G361" s="18" t="s">
        <v>245</v>
      </c>
      <c r="H361" s="19" t="s">
        <v>175</v>
      </c>
      <c r="I361" s="18" t="s">
        <v>246</v>
      </c>
      <c r="J361" s="19" t="s">
        <v>247</v>
      </c>
      <c r="K361" s="19" t="s">
        <v>248</v>
      </c>
      <c r="L361" s="18" t="s">
        <v>164</v>
      </c>
      <c r="M361" s="18" t="s">
        <v>272</v>
      </c>
      <c r="N361" s="18" t="s">
        <v>250</v>
      </c>
      <c r="O361" s="20">
        <v>119000</v>
      </c>
      <c r="P361" s="20">
        <v>82110</v>
      </c>
      <c r="Q361" s="20">
        <v>1</v>
      </c>
      <c r="R361" s="20">
        <v>0</v>
      </c>
      <c r="S361" s="20">
        <v>0</v>
      </c>
      <c r="T361" s="20">
        <v>0</v>
      </c>
      <c r="U361" s="20">
        <v>0</v>
      </c>
      <c r="V361" s="20">
        <v>0</v>
      </c>
      <c r="W361" s="20">
        <v>31</v>
      </c>
      <c r="X361" s="20">
        <v>19040</v>
      </c>
      <c r="Y361" s="20">
        <v>0</v>
      </c>
      <c r="Z361" s="20">
        <v>0</v>
      </c>
      <c r="AA361" s="20">
        <v>0</v>
      </c>
      <c r="AB361" s="20">
        <v>0</v>
      </c>
      <c r="AC361" s="20">
        <v>119000</v>
      </c>
      <c r="AD361" s="20">
        <v>82110</v>
      </c>
      <c r="AE361" s="20">
        <v>0</v>
      </c>
      <c r="AF361" s="20">
        <v>19040</v>
      </c>
      <c r="AG361" s="20">
        <v>99960</v>
      </c>
      <c r="AH361" s="20">
        <v>82110</v>
      </c>
      <c r="AI361" s="20">
        <v>16227</v>
      </c>
      <c r="AJ361" s="20">
        <v>1623</v>
      </c>
      <c r="AK361" s="20">
        <v>17850</v>
      </c>
    </row>
    <row r="362" spans="1:37" ht="16.5" customHeight="1" x14ac:dyDescent="0.3">
      <c r="A362" s="18" t="s">
        <v>1215</v>
      </c>
      <c r="B362" s="18" t="s">
        <v>240</v>
      </c>
      <c r="C362" s="19" t="s">
        <v>241</v>
      </c>
      <c r="D362" s="18" t="s">
        <v>1216</v>
      </c>
      <c r="E362" s="19" t="s">
        <v>349</v>
      </c>
      <c r="F362" s="18" t="s">
        <v>244</v>
      </c>
      <c r="G362" s="18" t="s">
        <v>245</v>
      </c>
      <c r="H362" s="19" t="s">
        <v>175</v>
      </c>
      <c r="I362" s="18" t="s">
        <v>246</v>
      </c>
      <c r="J362" s="19" t="s">
        <v>247</v>
      </c>
      <c r="K362" s="19" t="s">
        <v>248</v>
      </c>
      <c r="L362" s="18" t="s">
        <v>164</v>
      </c>
      <c r="M362" s="18" t="s">
        <v>272</v>
      </c>
      <c r="N362" s="18" t="s">
        <v>250</v>
      </c>
      <c r="O362" s="20">
        <v>119000</v>
      </c>
      <c r="P362" s="20">
        <v>82110</v>
      </c>
      <c r="Q362" s="20">
        <v>1</v>
      </c>
      <c r="R362" s="20">
        <v>0</v>
      </c>
      <c r="S362" s="20">
        <v>0</v>
      </c>
      <c r="T362" s="20">
        <v>0</v>
      </c>
      <c r="U362" s="20">
        <v>0</v>
      </c>
      <c r="V362" s="20">
        <v>0</v>
      </c>
      <c r="W362" s="20">
        <v>31</v>
      </c>
      <c r="X362" s="20">
        <v>0</v>
      </c>
      <c r="Y362" s="20">
        <v>10000</v>
      </c>
      <c r="Z362" s="20">
        <v>0</v>
      </c>
      <c r="AA362" s="20">
        <v>0</v>
      </c>
      <c r="AB362" s="20">
        <v>0</v>
      </c>
      <c r="AC362" s="20">
        <v>119000</v>
      </c>
      <c r="AD362" s="20">
        <v>82110</v>
      </c>
      <c r="AE362" s="20">
        <v>0</v>
      </c>
      <c r="AF362" s="20">
        <v>10000</v>
      </c>
      <c r="AG362" s="20">
        <v>109000</v>
      </c>
      <c r="AH362" s="20">
        <v>82110</v>
      </c>
      <c r="AI362" s="20">
        <v>24445</v>
      </c>
      <c r="AJ362" s="20">
        <v>2445</v>
      </c>
      <c r="AK362" s="20">
        <v>26890</v>
      </c>
    </row>
    <row r="363" spans="1:37" ht="16.5" customHeight="1" x14ac:dyDescent="0.3">
      <c r="A363" s="18" t="s">
        <v>1217</v>
      </c>
      <c r="B363" s="18" t="s">
        <v>240</v>
      </c>
      <c r="C363" s="19" t="s">
        <v>241</v>
      </c>
      <c r="D363" s="18" t="s">
        <v>1218</v>
      </c>
      <c r="E363" s="19" t="s">
        <v>1219</v>
      </c>
      <c r="F363" s="18" t="s">
        <v>244</v>
      </c>
      <c r="G363" s="18" t="s">
        <v>245</v>
      </c>
      <c r="H363" s="19" t="s">
        <v>175</v>
      </c>
      <c r="I363" s="18" t="s">
        <v>246</v>
      </c>
      <c r="J363" s="19" t="s">
        <v>247</v>
      </c>
      <c r="K363" s="19" t="s">
        <v>248</v>
      </c>
      <c r="L363" s="18" t="s">
        <v>164</v>
      </c>
      <c r="M363" s="18" t="s">
        <v>272</v>
      </c>
      <c r="N363" s="18" t="s">
        <v>250</v>
      </c>
      <c r="O363" s="20">
        <v>119000</v>
      </c>
      <c r="P363" s="20">
        <v>82110</v>
      </c>
      <c r="Q363" s="20">
        <v>1</v>
      </c>
      <c r="R363" s="20">
        <v>0</v>
      </c>
      <c r="S363" s="20">
        <v>0</v>
      </c>
      <c r="T363" s="20">
        <v>0</v>
      </c>
      <c r="U363" s="20">
        <v>0</v>
      </c>
      <c r="V363" s="20">
        <v>0</v>
      </c>
      <c r="W363" s="20">
        <v>31</v>
      </c>
      <c r="X363" s="20">
        <v>0</v>
      </c>
      <c r="Y363" s="20">
        <v>0</v>
      </c>
      <c r="Z363" s="20">
        <v>0</v>
      </c>
      <c r="AA363" s="20">
        <v>0</v>
      </c>
      <c r="AB363" s="20">
        <v>0</v>
      </c>
      <c r="AC363" s="20">
        <v>119000</v>
      </c>
      <c r="AD363" s="20">
        <v>82110</v>
      </c>
      <c r="AE363" s="20">
        <v>0</v>
      </c>
      <c r="AF363" s="20">
        <v>0</v>
      </c>
      <c r="AG363" s="20">
        <v>119000</v>
      </c>
      <c r="AH363" s="20">
        <v>82110</v>
      </c>
      <c r="AI363" s="20">
        <v>33536</v>
      </c>
      <c r="AJ363" s="20">
        <v>3354</v>
      </c>
      <c r="AK363" s="20">
        <v>36890</v>
      </c>
    </row>
    <row r="364" spans="1:37" ht="16.5" customHeight="1" x14ac:dyDescent="0.3">
      <c r="A364" s="18" t="s">
        <v>1220</v>
      </c>
      <c r="B364" s="18" t="s">
        <v>240</v>
      </c>
      <c r="C364" s="19" t="s">
        <v>241</v>
      </c>
      <c r="D364" s="18" t="s">
        <v>1221</v>
      </c>
      <c r="E364" s="19" t="s">
        <v>1222</v>
      </c>
      <c r="F364" s="18" t="s">
        <v>244</v>
      </c>
      <c r="G364" s="18" t="s">
        <v>245</v>
      </c>
      <c r="H364" s="19" t="s">
        <v>175</v>
      </c>
      <c r="I364" s="18" t="s">
        <v>246</v>
      </c>
      <c r="J364" s="19" t="s">
        <v>247</v>
      </c>
      <c r="K364" s="19" t="s">
        <v>248</v>
      </c>
      <c r="L364" s="18" t="s">
        <v>164</v>
      </c>
      <c r="M364" s="18" t="s">
        <v>272</v>
      </c>
      <c r="N364" s="18" t="s">
        <v>250</v>
      </c>
      <c r="O364" s="20">
        <v>119000</v>
      </c>
      <c r="P364" s="20">
        <v>82110</v>
      </c>
      <c r="Q364" s="20">
        <v>1</v>
      </c>
      <c r="R364" s="20">
        <v>0</v>
      </c>
      <c r="S364" s="20">
        <v>0</v>
      </c>
      <c r="T364" s="20">
        <v>0</v>
      </c>
      <c r="U364" s="20">
        <v>0</v>
      </c>
      <c r="V364" s="20">
        <v>0</v>
      </c>
      <c r="W364" s="20">
        <v>31</v>
      </c>
      <c r="X364" s="20">
        <v>0</v>
      </c>
      <c r="Y364" s="20">
        <v>0</v>
      </c>
      <c r="Z364" s="20">
        <v>0</v>
      </c>
      <c r="AA364" s="20">
        <v>0</v>
      </c>
      <c r="AB364" s="20">
        <v>0</v>
      </c>
      <c r="AC364" s="20">
        <v>119000</v>
      </c>
      <c r="AD364" s="20">
        <v>82110</v>
      </c>
      <c r="AE364" s="20">
        <v>0</v>
      </c>
      <c r="AF364" s="20">
        <v>0</v>
      </c>
      <c r="AG364" s="20">
        <v>119000</v>
      </c>
      <c r="AH364" s="20">
        <v>82110</v>
      </c>
      <c r="AI364" s="20">
        <v>33536</v>
      </c>
      <c r="AJ364" s="20">
        <v>3354</v>
      </c>
      <c r="AK364" s="20">
        <v>36890</v>
      </c>
    </row>
    <row r="365" spans="1:37" ht="16.5" customHeight="1" x14ac:dyDescent="0.3">
      <c r="A365" s="18" t="s">
        <v>1223</v>
      </c>
      <c r="B365" s="18" t="s">
        <v>240</v>
      </c>
      <c r="C365" s="19" t="s">
        <v>241</v>
      </c>
      <c r="D365" s="18" t="s">
        <v>1224</v>
      </c>
      <c r="E365" s="19" t="s">
        <v>1225</v>
      </c>
      <c r="F365" s="18" t="s">
        <v>244</v>
      </c>
      <c r="G365" s="18" t="s">
        <v>245</v>
      </c>
      <c r="H365" s="19" t="s">
        <v>175</v>
      </c>
      <c r="I365" s="18" t="s">
        <v>246</v>
      </c>
      <c r="J365" s="19" t="s">
        <v>247</v>
      </c>
      <c r="K365" s="19" t="s">
        <v>248</v>
      </c>
      <c r="L365" s="18" t="s">
        <v>164</v>
      </c>
      <c r="M365" s="18" t="s">
        <v>272</v>
      </c>
      <c r="N365" s="18" t="s">
        <v>250</v>
      </c>
      <c r="O365" s="20">
        <v>119000</v>
      </c>
      <c r="P365" s="20">
        <v>82110</v>
      </c>
      <c r="Q365" s="20">
        <v>1</v>
      </c>
      <c r="R365" s="20">
        <v>0</v>
      </c>
      <c r="S365" s="20">
        <v>0</v>
      </c>
      <c r="T365" s="20">
        <v>0</v>
      </c>
      <c r="U365" s="20">
        <v>0</v>
      </c>
      <c r="V365" s="20">
        <v>0</v>
      </c>
      <c r="W365" s="20">
        <v>31</v>
      </c>
      <c r="X365" s="20">
        <v>0</v>
      </c>
      <c r="Y365" s="20">
        <v>0</v>
      </c>
      <c r="Z365" s="20">
        <v>0</v>
      </c>
      <c r="AA365" s="20">
        <v>0</v>
      </c>
      <c r="AB365" s="20">
        <v>0</v>
      </c>
      <c r="AC365" s="20">
        <v>119000</v>
      </c>
      <c r="AD365" s="20">
        <v>82110</v>
      </c>
      <c r="AE365" s="20">
        <v>0</v>
      </c>
      <c r="AF365" s="20">
        <v>0</v>
      </c>
      <c r="AG365" s="20">
        <v>119000</v>
      </c>
      <c r="AH365" s="20">
        <v>82110</v>
      </c>
      <c r="AI365" s="20">
        <v>33536</v>
      </c>
      <c r="AJ365" s="20">
        <v>3354</v>
      </c>
      <c r="AK365" s="20">
        <v>36890</v>
      </c>
    </row>
    <row r="366" spans="1:37" ht="16.5" customHeight="1" x14ac:dyDescent="0.3">
      <c r="A366" s="18" t="s">
        <v>1226</v>
      </c>
      <c r="B366" s="18" t="s">
        <v>240</v>
      </c>
      <c r="C366" s="19" t="s">
        <v>241</v>
      </c>
      <c r="D366" s="18" t="s">
        <v>1227</v>
      </c>
      <c r="E366" s="19" t="s">
        <v>1228</v>
      </c>
      <c r="F366" s="18" t="s">
        <v>244</v>
      </c>
      <c r="G366" s="18" t="s">
        <v>245</v>
      </c>
      <c r="H366" s="19" t="s">
        <v>175</v>
      </c>
      <c r="I366" s="18" t="s">
        <v>246</v>
      </c>
      <c r="J366" s="19" t="s">
        <v>247</v>
      </c>
      <c r="K366" s="19" t="s">
        <v>248</v>
      </c>
      <c r="L366" s="18" t="s">
        <v>164</v>
      </c>
      <c r="M366" s="18" t="s">
        <v>272</v>
      </c>
      <c r="N366" s="18" t="s">
        <v>250</v>
      </c>
      <c r="O366" s="20">
        <v>119000</v>
      </c>
      <c r="P366" s="20">
        <v>82110</v>
      </c>
      <c r="Q366" s="20">
        <v>1</v>
      </c>
      <c r="R366" s="20">
        <v>0</v>
      </c>
      <c r="S366" s="20">
        <v>0</v>
      </c>
      <c r="T366" s="20">
        <v>0</v>
      </c>
      <c r="U366" s="20">
        <v>0</v>
      </c>
      <c r="V366" s="20">
        <v>0</v>
      </c>
      <c r="W366" s="20">
        <v>31</v>
      </c>
      <c r="X366" s="20">
        <v>0</v>
      </c>
      <c r="Y366" s="20">
        <v>0</v>
      </c>
      <c r="Z366" s="20">
        <v>0</v>
      </c>
      <c r="AA366" s="20">
        <v>0</v>
      </c>
      <c r="AB366" s="20">
        <v>0</v>
      </c>
      <c r="AC366" s="20">
        <v>119000</v>
      </c>
      <c r="AD366" s="20">
        <v>82110</v>
      </c>
      <c r="AE366" s="20">
        <v>0</v>
      </c>
      <c r="AF366" s="20">
        <v>0</v>
      </c>
      <c r="AG366" s="20">
        <v>119000</v>
      </c>
      <c r="AH366" s="20">
        <v>82110</v>
      </c>
      <c r="AI366" s="20">
        <v>33536</v>
      </c>
      <c r="AJ366" s="20">
        <v>3354</v>
      </c>
      <c r="AK366" s="20">
        <v>36890</v>
      </c>
    </row>
    <row r="367" spans="1:37" ht="16.5" customHeight="1" x14ac:dyDescent="0.3">
      <c r="A367" s="18" t="s">
        <v>1229</v>
      </c>
      <c r="B367" s="18" t="s">
        <v>240</v>
      </c>
      <c r="C367" s="19" t="s">
        <v>241</v>
      </c>
      <c r="D367" s="18" t="s">
        <v>1230</v>
      </c>
      <c r="E367" s="19" t="s">
        <v>1231</v>
      </c>
      <c r="F367" s="18" t="s">
        <v>244</v>
      </c>
      <c r="G367" s="18" t="s">
        <v>245</v>
      </c>
      <c r="H367" s="19" t="s">
        <v>175</v>
      </c>
      <c r="I367" s="18" t="s">
        <v>246</v>
      </c>
      <c r="J367" s="19" t="s">
        <v>247</v>
      </c>
      <c r="K367" s="19" t="s">
        <v>248</v>
      </c>
      <c r="L367" s="18" t="s">
        <v>164</v>
      </c>
      <c r="M367" s="18" t="s">
        <v>272</v>
      </c>
      <c r="N367" s="18" t="s">
        <v>250</v>
      </c>
      <c r="O367" s="20">
        <v>119000</v>
      </c>
      <c r="P367" s="20">
        <v>82110</v>
      </c>
      <c r="Q367" s="20">
        <v>1</v>
      </c>
      <c r="R367" s="20">
        <v>0</v>
      </c>
      <c r="S367" s="20">
        <v>0</v>
      </c>
      <c r="T367" s="20">
        <v>0</v>
      </c>
      <c r="U367" s="20">
        <v>0</v>
      </c>
      <c r="V367" s="20">
        <v>0</v>
      </c>
      <c r="W367" s="20">
        <v>31</v>
      </c>
      <c r="X367" s="20">
        <v>0</v>
      </c>
      <c r="Y367" s="20">
        <v>0</v>
      </c>
      <c r="Z367" s="20">
        <v>0</v>
      </c>
      <c r="AA367" s="20">
        <v>0</v>
      </c>
      <c r="AB367" s="20">
        <v>0</v>
      </c>
      <c r="AC367" s="20">
        <v>119000</v>
      </c>
      <c r="AD367" s="20">
        <v>82110</v>
      </c>
      <c r="AE367" s="20">
        <v>0</v>
      </c>
      <c r="AF367" s="20">
        <v>0</v>
      </c>
      <c r="AG367" s="20">
        <v>119000</v>
      </c>
      <c r="AH367" s="20">
        <v>82110</v>
      </c>
      <c r="AI367" s="20">
        <v>33536</v>
      </c>
      <c r="AJ367" s="20">
        <v>3354</v>
      </c>
      <c r="AK367" s="20">
        <v>36890</v>
      </c>
    </row>
    <row r="368" spans="1:37" ht="16.5" customHeight="1" x14ac:dyDescent="0.3">
      <c r="A368" s="18" t="s">
        <v>1232</v>
      </c>
      <c r="B368" s="18" t="s">
        <v>240</v>
      </c>
      <c r="C368" s="19" t="s">
        <v>241</v>
      </c>
      <c r="D368" s="18" t="s">
        <v>1233</v>
      </c>
      <c r="E368" s="19" t="s">
        <v>1234</v>
      </c>
      <c r="F368" s="18" t="s">
        <v>244</v>
      </c>
      <c r="G368" s="18" t="s">
        <v>245</v>
      </c>
      <c r="H368" s="19" t="s">
        <v>175</v>
      </c>
      <c r="I368" s="18" t="s">
        <v>246</v>
      </c>
      <c r="J368" s="19" t="s">
        <v>247</v>
      </c>
      <c r="K368" s="19" t="s">
        <v>248</v>
      </c>
      <c r="L368" s="18" t="s">
        <v>164</v>
      </c>
      <c r="M368" s="18" t="s">
        <v>272</v>
      </c>
      <c r="N368" s="18" t="s">
        <v>250</v>
      </c>
      <c r="O368" s="20">
        <v>119000</v>
      </c>
      <c r="P368" s="20">
        <v>82110</v>
      </c>
      <c r="Q368" s="20">
        <v>1</v>
      </c>
      <c r="R368" s="20">
        <v>0</v>
      </c>
      <c r="S368" s="20">
        <v>0</v>
      </c>
      <c r="T368" s="20">
        <v>0</v>
      </c>
      <c r="U368" s="20">
        <v>0</v>
      </c>
      <c r="V368" s="20">
        <v>0</v>
      </c>
      <c r="W368" s="20">
        <v>31</v>
      </c>
      <c r="X368" s="20">
        <v>0</v>
      </c>
      <c r="Y368" s="20">
        <v>0</v>
      </c>
      <c r="Z368" s="20">
        <v>0</v>
      </c>
      <c r="AA368" s="20">
        <v>0</v>
      </c>
      <c r="AB368" s="20">
        <v>0</v>
      </c>
      <c r="AC368" s="20">
        <v>119000</v>
      </c>
      <c r="AD368" s="20">
        <v>82110</v>
      </c>
      <c r="AE368" s="20">
        <v>0</v>
      </c>
      <c r="AF368" s="20">
        <v>0</v>
      </c>
      <c r="AG368" s="20">
        <v>119000</v>
      </c>
      <c r="AH368" s="20">
        <v>82110</v>
      </c>
      <c r="AI368" s="20">
        <v>33536</v>
      </c>
      <c r="AJ368" s="20">
        <v>3354</v>
      </c>
      <c r="AK368" s="20">
        <v>36890</v>
      </c>
    </row>
    <row r="369" spans="1:37" ht="16.5" customHeight="1" x14ac:dyDescent="0.3">
      <c r="A369" s="18" t="s">
        <v>1235</v>
      </c>
      <c r="B369" s="18" t="s">
        <v>240</v>
      </c>
      <c r="C369" s="19" t="s">
        <v>241</v>
      </c>
      <c r="D369" s="18" t="s">
        <v>1236</v>
      </c>
      <c r="E369" s="19" t="s">
        <v>1237</v>
      </c>
      <c r="F369" s="18" t="s">
        <v>244</v>
      </c>
      <c r="G369" s="18" t="s">
        <v>245</v>
      </c>
      <c r="H369" s="19" t="s">
        <v>175</v>
      </c>
      <c r="I369" s="18" t="s">
        <v>246</v>
      </c>
      <c r="J369" s="19" t="s">
        <v>247</v>
      </c>
      <c r="K369" s="19" t="s">
        <v>248</v>
      </c>
      <c r="L369" s="18" t="s">
        <v>164</v>
      </c>
      <c r="M369" s="18" t="s">
        <v>272</v>
      </c>
      <c r="N369" s="18" t="s">
        <v>250</v>
      </c>
      <c r="O369" s="20">
        <v>119000</v>
      </c>
      <c r="P369" s="20">
        <v>82110</v>
      </c>
      <c r="Q369" s="20">
        <v>1</v>
      </c>
      <c r="R369" s="20">
        <v>0</v>
      </c>
      <c r="S369" s="20">
        <v>0</v>
      </c>
      <c r="T369" s="20">
        <v>0</v>
      </c>
      <c r="U369" s="20">
        <v>0</v>
      </c>
      <c r="V369" s="20">
        <v>0</v>
      </c>
      <c r="W369" s="20">
        <v>31</v>
      </c>
      <c r="X369" s="20">
        <v>0</v>
      </c>
      <c r="Y369" s="20">
        <v>10000</v>
      </c>
      <c r="Z369" s="20">
        <v>0</v>
      </c>
      <c r="AA369" s="20">
        <v>0</v>
      </c>
      <c r="AB369" s="20">
        <v>0</v>
      </c>
      <c r="AC369" s="20">
        <v>119000</v>
      </c>
      <c r="AD369" s="20">
        <v>82110</v>
      </c>
      <c r="AE369" s="20">
        <v>0</v>
      </c>
      <c r="AF369" s="20">
        <v>10000</v>
      </c>
      <c r="AG369" s="20">
        <v>109000</v>
      </c>
      <c r="AH369" s="20">
        <v>82110</v>
      </c>
      <c r="AI369" s="20">
        <v>24445</v>
      </c>
      <c r="AJ369" s="20">
        <v>2445</v>
      </c>
      <c r="AK369" s="20">
        <v>26890</v>
      </c>
    </row>
    <row r="370" spans="1:37" ht="16.5" customHeight="1" x14ac:dyDescent="0.3">
      <c r="A370" s="18" t="s">
        <v>1238</v>
      </c>
      <c r="B370" s="18" t="s">
        <v>240</v>
      </c>
      <c r="C370" s="19" t="s">
        <v>241</v>
      </c>
      <c r="D370" s="18" t="s">
        <v>1239</v>
      </c>
      <c r="E370" s="19" t="s">
        <v>1240</v>
      </c>
      <c r="F370" s="18" t="s">
        <v>244</v>
      </c>
      <c r="G370" s="18" t="s">
        <v>245</v>
      </c>
      <c r="H370" s="19" t="s">
        <v>175</v>
      </c>
      <c r="I370" s="18" t="s">
        <v>246</v>
      </c>
      <c r="J370" s="19" t="s">
        <v>247</v>
      </c>
      <c r="K370" s="19" t="s">
        <v>248</v>
      </c>
      <c r="L370" s="18" t="s">
        <v>164</v>
      </c>
      <c r="M370" s="18" t="s">
        <v>272</v>
      </c>
      <c r="N370" s="18" t="s">
        <v>250</v>
      </c>
      <c r="O370" s="20">
        <v>119000</v>
      </c>
      <c r="P370" s="20">
        <v>82110</v>
      </c>
      <c r="Q370" s="20">
        <v>1</v>
      </c>
      <c r="R370" s="20">
        <v>0</v>
      </c>
      <c r="S370" s="20">
        <v>0</v>
      </c>
      <c r="T370" s="20">
        <v>0</v>
      </c>
      <c r="U370" s="20">
        <v>0</v>
      </c>
      <c r="V370" s="20">
        <v>0</v>
      </c>
      <c r="W370" s="20">
        <v>31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119000</v>
      </c>
      <c r="AD370" s="20">
        <v>82110</v>
      </c>
      <c r="AE370" s="20">
        <v>0</v>
      </c>
      <c r="AF370" s="20">
        <v>0</v>
      </c>
      <c r="AG370" s="20">
        <v>119000</v>
      </c>
      <c r="AH370" s="20">
        <v>82110</v>
      </c>
      <c r="AI370" s="20">
        <v>33536</v>
      </c>
      <c r="AJ370" s="20">
        <v>3354</v>
      </c>
      <c r="AK370" s="20">
        <v>36890</v>
      </c>
    </row>
    <row r="371" spans="1:37" ht="16.5" customHeight="1" x14ac:dyDescent="0.3">
      <c r="A371" s="18" t="s">
        <v>1241</v>
      </c>
      <c r="B371" s="18" t="s">
        <v>240</v>
      </c>
      <c r="C371" s="19" t="s">
        <v>241</v>
      </c>
      <c r="D371" s="18" t="s">
        <v>1242</v>
      </c>
      <c r="E371" s="19" t="s">
        <v>243</v>
      </c>
      <c r="F371" s="18" t="s">
        <v>244</v>
      </c>
      <c r="G371" s="18" t="s">
        <v>245</v>
      </c>
      <c r="H371" s="19" t="s">
        <v>175</v>
      </c>
      <c r="I371" s="18" t="s">
        <v>246</v>
      </c>
      <c r="J371" s="19" t="s">
        <v>247</v>
      </c>
      <c r="K371" s="19" t="s">
        <v>248</v>
      </c>
      <c r="L371" s="18" t="s">
        <v>164</v>
      </c>
      <c r="M371" s="18" t="s">
        <v>272</v>
      </c>
      <c r="N371" s="18" t="s">
        <v>250</v>
      </c>
      <c r="O371" s="20">
        <v>119000</v>
      </c>
      <c r="P371" s="20">
        <v>82110</v>
      </c>
      <c r="Q371" s="20">
        <v>1</v>
      </c>
      <c r="R371" s="20">
        <v>0</v>
      </c>
      <c r="S371" s="20">
        <v>0</v>
      </c>
      <c r="T371" s="20">
        <v>0</v>
      </c>
      <c r="U371" s="20">
        <v>0</v>
      </c>
      <c r="V371" s="20">
        <v>0</v>
      </c>
      <c r="W371" s="20">
        <v>31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119000</v>
      </c>
      <c r="AD371" s="20">
        <v>82110</v>
      </c>
      <c r="AE371" s="20">
        <v>0</v>
      </c>
      <c r="AF371" s="20">
        <v>0</v>
      </c>
      <c r="AG371" s="20">
        <v>119000</v>
      </c>
      <c r="AH371" s="20">
        <v>82110</v>
      </c>
      <c r="AI371" s="20">
        <v>33536</v>
      </c>
      <c r="AJ371" s="20">
        <v>3354</v>
      </c>
      <c r="AK371" s="20">
        <v>36890</v>
      </c>
    </row>
    <row r="372" spans="1:37" ht="16.5" customHeight="1" x14ac:dyDescent="0.3">
      <c r="A372" s="18" t="s">
        <v>1243</v>
      </c>
      <c r="B372" s="18" t="s">
        <v>240</v>
      </c>
      <c r="C372" s="19" t="s">
        <v>241</v>
      </c>
      <c r="D372" s="18" t="s">
        <v>1244</v>
      </c>
      <c r="E372" s="19" t="s">
        <v>1245</v>
      </c>
      <c r="F372" s="18" t="s">
        <v>244</v>
      </c>
      <c r="G372" s="18" t="s">
        <v>245</v>
      </c>
      <c r="H372" s="19" t="s">
        <v>175</v>
      </c>
      <c r="I372" s="18" t="s">
        <v>246</v>
      </c>
      <c r="J372" s="19" t="s">
        <v>247</v>
      </c>
      <c r="K372" s="19" t="s">
        <v>248</v>
      </c>
      <c r="L372" s="18" t="s">
        <v>164</v>
      </c>
      <c r="M372" s="18" t="s">
        <v>272</v>
      </c>
      <c r="N372" s="18" t="s">
        <v>250</v>
      </c>
      <c r="O372" s="20">
        <v>119000</v>
      </c>
      <c r="P372" s="20">
        <v>82110</v>
      </c>
      <c r="Q372" s="20">
        <v>1</v>
      </c>
      <c r="R372" s="20">
        <v>0</v>
      </c>
      <c r="S372" s="20">
        <v>0</v>
      </c>
      <c r="T372" s="20">
        <v>0</v>
      </c>
      <c r="U372" s="20">
        <v>0</v>
      </c>
      <c r="V372" s="20">
        <v>0</v>
      </c>
      <c r="W372" s="20">
        <v>31</v>
      </c>
      <c r="X372" s="20">
        <v>0</v>
      </c>
      <c r="Y372" s="20">
        <v>10000</v>
      </c>
      <c r="Z372" s="20">
        <v>0</v>
      </c>
      <c r="AA372" s="20">
        <v>0</v>
      </c>
      <c r="AB372" s="20">
        <v>0</v>
      </c>
      <c r="AC372" s="20">
        <v>119000</v>
      </c>
      <c r="AD372" s="20">
        <v>82110</v>
      </c>
      <c r="AE372" s="20">
        <v>0</v>
      </c>
      <c r="AF372" s="20">
        <v>10000</v>
      </c>
      <c r="AG372" s="20">
        <v>109000</v>
      </c>
      <c r="AH372" s="20">
        <v>82110</v>
      </c>
      <c r="AI372" s="20">
        <v>24445</v>
      </c>
      <c r="AJ372" s="20">
        <v>2445</v>
      </c>
      <c r="AK372" s="20">
        <v>26890</v>
      </c>
    </row>
    <row r="373" spans="1:37" ht="16.5" customHeight="1" x14ac:dyDescent="0.3">
      <c r="A373" s="18" t="s">
        <v>1246</v>
      </c>
      <c r="B373" s="18" t="s">
        <v>240</v>
      </c>
      <c r="C373" s="19" t="s">
        <v>241</v>
      </c>
      <c r="D373" s="18" t="s">
        <v>1247</v>
      </c>
      <c r="E373" s="19" t="s">
        <v>605</v>
      </c>
      <c r="F373" s="18" t="s">
        <v>244</v>
      </c>
      <c r="G373" s="18" t="s">
        <v>245</v>
      </c>
      <c r="H373" s="19" t="s">
        <v>175</v>
      </c>
      <c r="I373" s="18" t="s">
        <v>246</v>
      </c>
      <c r="J373" s="19" t="s">
        <v>247</v>
      </c>
      <c r="K373" s="19"/>
      <c r="L373" s="18" t="s">
        <v>164</v>
      </c>
      <c r="M373" s="18" t="s">
        <v>272</v>
      </c>
      <c r="N373" s="18" t="s">
        <v>250</v>
      </c>
      <c r="O373" s="20">
        <v>119000</v>
      </c>
      <c r="P373" s="20">
        <v>82110</v>
      </c>
      <c r="Q373" s="20">
        <v>1</v>
      </c>
      <c r="R373" s="20">
        <v>0</v>
      </c>
      <c r="S373" s="20">
        <v>0</v>
      </c>
      <c r="T373" s="20">
        <v>0</v>
      </c>
      <c r="U373" s="20">
        <v>0</v>
      </c>
      <c r="V373" s="20">
        <v>0</v>
      </c>
      <c r="W373" s="20">
        <v>31</v>
      </c>
      <c r="X373" s="20">
        <v>0</v>
      </c>
      <c r="Y373" s="20">
        <v>0</v>
      </c>
      <c r="Z373" s="20">
        <v>0</v>
      </c>
      <c r="AA373" s="20">
        <v>0</v>
      </c>
      <c r="AB373" s="20">
        <v>0</v>
      </c>
      <c r="AC373" s="20">
        <v>119000</v>
      </c>
      <c r="AD373" s="20">
        <v>82110</v>
      </c>
      <c r="AE373" s="20">
        <v>0</v>
      </c>
      <c r="AF373" s="20">
        <v>0</v>
      </c>
      <c r="AG373" s="20">
        <v>119000</v>
      </c>
      <c r="AH373" s="20">
        <v>82110</v>
      </c>
      <c r="AI373" s="20">
        <v>33536</v>
      </c>
      <c r="AJ373" s="20">
        <v>3354</v>
      </c>
      <c r="AK373" s="20">
        <v>36890</v>
      </c>
    </row>
    <row r="374" spans="1:37" ht="16.5" customHeight="1" x14ac:dyDescent="0.3">
      <c r="A374" s="18" t="s">
        <v>1248</v>
      </c>
      <c r="B374" s="18" t="s">
        <v>240</v>
      </c>
      <c r="C374" s="19" t="s">
        <v>241</v>
      </c>
      <c r="D374" s="18" t="s">
        <v>1249</v>
      </c>
      <c r="E374" s="19" t="s">
        <v>870</v>
      </c>
      <c r="F374" s="18" t="s">
        <v>244</v>
      </c>
      <c r="G374" s="18" t="s">
        <v>245</v>
      </c>
      <c r="H374" s="19" t="s">
        <v>175</v>
      </c>
      <c r="I374" s="18" t="s">
        <v>246</v>
      </c>
      <c r="J374" s="19" t="s">
        <v>247</v>
      </c>
      <c r="K374" s="19" t="s">
        <v>248</v>
      </c>
      <c r="L374" s="18" t="s">
        <v>164</v>
      </c>
      <c r="M374" s="18" t="s">
        <v>272</v>
      </c>
      <c r="N374" s="18" t="s">
        <v>250</v>
      </c>
      <c r="O374" s="20">
        <v>119000</v>
      </c>
      <c r="P374" s="20">
        <v>82110</v>
      </c>
      <c r="Q374" s="20">
        <v>1</v>
      </c>
      <c r="R374" s="20">
        <v>0</v>
      </c>
      <c r="S374" s="20">
        <v>0</v>
      </c>
      <c r="T374" s="20">
        <v>0</v>
      </c>
      <c r="U374" s="20">
        <v>0</v>
      </c>
      <c r="V374" s="20">
        <v>0</v>
      </c>
      <c r="W374" s="20">
        <v>31</v>
      </c>
      <c r="X374" s="20">
        <v>0</v>
      </c>
      <c r="Y374" s="20">
        <v>0</v>
      </c>
      <c r="Z374" s="20">
        <v>0</v>
      </c>
      <c r="AA374" s="20">
        <v>0</v>
      </c>
      <c r="AB374" s="20">
        <v>0</v>
      </c>
      <c r="AC374" s="20">
        <v>119000</v>
      </c>
      <c r="AD374" s="20">
        <v>82110</v>
      </c>
      <c r="AE374" s="20">
        <v>0</v>
      </c>
      <c r="AF374" s="20">
        <v>0</v>
      </c>
      <c r="AG374" s="20">
        <v>119000</v>
      </c>
      <c r="AH374" s="20">
        <v>82110</v>
      </c>
      <c r="AI374" s="20">
        <v>33536</v>
      </c>
      <c r="AJ374" s="20">
        <v>3354</v>
      </c>
      <c r="AK374" s="20">
        <v>36890</v>
      </c>
    </row>
    <row r="375" spans="1:37" ht="16.5" customHeight="1" x14ac:dyDescent="0.3">
      <c r="A375" s="18" t="s">
        <v>1250</v>
      </c>
      <c r="B375" s="18" t="s">
        <v>240</v>
      </c>
      <c r="C375" s="19" t="s">
        <v>241</v>
      </c>
      <c r="D375" s="18" t="s">
        <v>1251</v>
      </c>
      <c r="E375" s="19" t="s">
        <v>284</v>
      </c>
      <c r="F375" s="18" t="s">
        <v>244</v>
      </c>
      <c r="G375" s="18" t="s">
        <v>245</v>
      </c>
      <c r="H375" s="19" t="s">
        <v>175</v>
      </c>
      <c r="I375" s="18" t="s">
        <v>246</v>
      </c>
      <c r="J375" s="19" t="s">
        <v>247</v>
      </c>
      <c r="K375" s="19" t="s">
        <v>248</v>
      </c>
      <c r="L375" s="18" t="s">
        <v>164</v>
      </c>
      <c r="M375" s="18" t="s">
        <v>272</v>
      </c>
      <c r="N375" s="18" t="s">
        <v>250</v>
      </c>
      <c r="O375" s="20">
        <v>119000</v>
      </c>
      <c r="P375" s="20">
        <v>82110</v>
      </c>
      <c r="Q375" s="20">
        <v>1</v>
      </c>
      <c r="R375" s="20">
        <v>0</v>
      </c>
      <c r="S375" s="20">
        <v>0</v>
      </c>
      <c r="T375" s="20">
        <v>0</v>
      </c>
      <c r="U375" s="20">
        <v>0</v>
      </c>
      <c r="V375" s="20">
        <v>0</v>
      </c>
      <c r="W375" s="20">
        <v>31</v>
      </c>
      <c r="X375" s="20">
        <v>0</v>
      </c>
      <c r="Y375" s="20">
        <v>0</v>
      </c>
      <c r="Z375" s="20">
        <v>0</v>
      </c>
      <c r="AA375" s="20">
        <v>0</v>
      </c>
      <c r="AB375" s="20">
        <v>0</v>
      </c>
      <c r="AC375" s="20">
        <v>119000</v>
      </c>
      <c r="AD375" s="20">
        <v>82110</v>
      </c>
      <c r="AE375" s="20">
        <v>0</v>
      </c>
      <c r="AF375" s="20">
        <v>0</v>
      </c>
      <c r="AG375" s="20">
        <v>119000</v>
      </c>
      <c r="AH375" s="20">
        <v>82110</v>
      </c>
      <c r="AI375" s="20">
        <v>33536</v>
      </c>
      <c r="AJ375" s="20">
        <v>3354</v>
      </c>
      <c r="AK375" s="20">
        <v>36890</v>
      </c>
    </row>
    <row r="376" spans="1:37" ht="16.5" customHeight="1" x14ac:dyDescent="0.3">
      <c r="A376" s="18" t="s">
        <v>1252</v>
      </c>
      <c r="B376" s="18" t="s">
        <v>240</v>
      </c>
      <c r="C376" s="19" t="s">
        <v>241</v>
      </c>
      <c r="D376" s="18" t="s">
        <v>1253</v>
      </c>
      <c r="E376" s="19" t="s">
        <v>1254</v>
      </c>
      <c r="F376" s="18" t="s">
        <v>244</v>
      </c>
      <c r="G376" s="18" t="s">
        <v>245</v>
      </c>
      <c r="H376" s="19" t="s">
        <v>175</v>
      </c>
      <c r="I376" s="18" t="s">
        <v>246</v>
      </c>
      <c r="J376" s="19" t="s">
        <v>247</v>
      </c>
      <c r="K376" s="19" t="s">
        <v>248</v>
      </c>
      <c r="L376" s="18" t="s">
        <v>164</v>
      </c>
      <c r="M376" s="18" t="s">
        <v>272</v>
      </c>
      <c r="N376" s="18" t="s">
        <v>250</v>
      </c>
      <c r="O376" s="20">
        <v>119000</v>
      </c>
      <c r="P376" s="20">
        <v>82110</v>
      </c>
      <c r="Q376" s="20">
        <v>1</v>
      </c>
      <c r="R376" s="20">
        <v>0</v>
      </c>
      <c r="S376" s="20">
        <v>0</v>
      </c>
      <c r="T376" s="20">
        <v>0</v>
      </c>
      <c r="U376" s="20">
        <v>0</v>
      </c>
      <c r="V376" s="20">
        <v>0</v>
      </c>
      <c r="W376" s="20">
        <v>31</v>
      </c>
      <c r="X376" s="20">
        <v>0</v>
      </c>
      <c r="Y376" s="20">
        <v>0</v>
      </c>
      <c r="Z376" s="20">
        <v>0</v>
      </c>
      <c r="AA376" s="20">
        <v>0</v>
      </c>
      <c r="AB376" s="20">
        <v>0</v>
      </c>
      <c r="AC376" s="20">
        <v>119000</v>
      </c>
      <c r="AD376" s="20">
        <v>82110</v>
      </c>
      <c r="AE376" s="20">
        <v>0</v>
      </c>
      <c r="AF376" s="20">
        <v>0</v>
      </c>
      <c r="AG376" s="20">
        <v>119000</v>
      </c>
      <c r="AH376" s="20">
        <v>82110</v>
      </c>
      <c r="AI376" s="20">
        <v>33536</v>
      </c>
      <c r="AJ376" s="20">
        <v>3354</v>
      </c>
      <c r="AK376" s="20">
        <v>36890</v>
      </c>
    </row>
    <row r="377" spans="1:37" ht="16.5" customHeight="1" x14ac:dyDescent="0.3">
      <c r="A377" s="18" t="s">
        <v>1255</v>
      </c>
      <c r="B377" s="18" t="s">
        <v>240</v>
      </c>
      <c r="C377" s="19" t="s">
        <v>241</v>
      </c>
      <c r="D377" s="18" t="s">
        <v>1256</v>
      </c>
      <c r="E377" s="19" t="s">
        <v>1254</v>
      </c>
      <c r="F377" s="18" t="s">
        <v>244</v>
      </c>
      <c r="G377" s="18" t="s">
        <v>245</v>
      </c>
      <c r="H377" s="19" t="s">
        <v>175</v>
      </c>
      <c r="I377" s="18" t="s">
        <v>246</v>
      </c>
      <c r="J377" s="19" t="s">
        <v>247</v>
      </c>
      <c r="K377" s="19" t="s">
        <v>248</v>
      </c>
      <c r="L377" s="18" t="s">
        <v>164</v>
      </c>
      <c r="M377" s="18" t="s">
        <v>272</v>
      </c>
      <c r="N377" s="18" t="s">
        <v>250</v>
      </c>
      <c r="O377" s="20">
        <v>119000</v>
      </c>
      <c r="P377" s="20">
        <v>82110</v>
      </c>
      <c r="Q377" s="20">
        <v>1</v>
      </c>
      <c r="R377" s="20">
        <v>0</v>
      </c>
      <c r="S377" s="20">
        <v>0</v>
      </c>
      <c r="T377" s="20">
        <v>0</v>
      </c>
      <c r="U377" s="20">
        <v>0</v>
      </c>
      <c r="V377" s="20">
        <v>0</v>
      </c>
      <c r="W377" s="20">
        <v>31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119000</v>
      </c>
      <c r="AD377" s="20">
        <v>82110</v>
      </c>
      <c r="AE377" s="20">
        <v>0</v>
      </c>
      <c r="AF377" s="20">
        <v>0</v>
      </c>
      <c r="AG377" s="20">
        <v>119000</v>
      </c>
      <c r="AH377" s="20">
        <v>82110</v>
      </c>
      <c r="AI377" s="20">
        <v>33536</v>
      </c>
      <c r="AJ377" s="20">
        <v>3354</v>
      </c>
      <c r="AK377" s="20">
        <v>36890</v>
      </c>
    </row>
    <row r="378" spans="1:37" ht="16.5" customHeight="1" x14ac:dyDescent="0.3">
      <c r="A378" s="18" t="s">
        <v>1257</v>
      </c>
      <c r="B378" s="18" t="s">
        <v>240</v>
      </c>
      <c r="C378" s="19" t="s">
        <v>241</v>
      </c>
      <c r="D378" s="18" t="s">
        <v>1258</v>
      </c>
      <c r="E378" s="19" t="s">
        <v>1259</v>
      </c>
      <c r="F378" s="18" t="s">
        <v>244</v>
      </c>
      <c r="G378" s="18" t="s">
        <v>245</v>
      </c>
      <c r="H378" s="19" t="s">
        <v>175</v>
      </c>
      <c r="I378" s="18" t="s">
        <v>246</v>
      </c>
      <c r="J378" s="19" t="s">
        <v>247</v>
      </c>
      <c r="K378" s="19" t="s">
        <v>248</v>
      </c>
      <c r="L378" s="18" t="s">
        <v>164</v>
      </c>
      <c r="M378" s="18" t="s">
        <v>272</v>
      </c>
      <c r="N378" s="18" t="s">
        <v>250</v>
      </c>
      <c r="O378" s="20">
        <v>119000</v>
      </c>
      <c r="P378" s="20">
        <v>82110</v>
      </c>
      <c r="Q378" s="20">
        <v>1</v>
      </c>
      <c r="R378" s="20">
        <v>0</v>
      </c>
      <c r="S378" s="20">
        <v>0</v>
      </c>
      <c r="T378" s="20">
        <v>0</v>
      </c>
      <c r="U378" s="20">
        <v>0</v>
      </c>
      <c r="V378" s="20">
        <v>0</v>
      </c>
      <c r="W378" s="20">
        <v>31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119000</v>
      </c>
      <c r="AD378" s="20">
        <v>82110</v>
      </c>
      <c r="AE378" s="20">
        <v>0</v>
      </c>
      <c r="AF378" s="20">
        <v>0</v>
      </c>
      <c r="AG378" s="20">
        <v>119000</v>
      </c>
      <c r="AH378" s="20">
        <v>82110</v>
      </c>
      <c r="AI378" s="20">
        <v>33536</v>
      </c>
      <c r="AJ378" s="20">
        <v>3354</v>
      </c>
      <c r="AK378" s="20">
        <v>36890</v>
      </c>
    </row>
    <row r="379" spans="1:37" ht="16.5" customHeight="1" x14ac:dyDescent="0.3">
      <c r="A379" s="18" t="s">
        <v>1260</v>
      </c>
      <c r="B379" s="18" t="s">
        <v>240</v>
      </c>
      <c r="C379" s="19" t="s">
        <v>241</v>
      </c>
      <c r="D379" s="18" t="s">
        <v>1261</v>
      </c>
      <c r="E379" s="19" t="s">
        <v>1262</v>
      </c>
      <c r="F379" s="18" t="s">
        <v>244</v>
      </c>
      <c r="G379" s="18" t="s">
        <v>245</v>
      </c>
      <c r="H379" s="19" t="s">
        <v>175</v>
      </c>
      <c r="I379" s="18" t="s">
        <v>246</v>
      </c>
      <c r="J379" s="19" t="s">
        <v>247</v>
      </c>
      <c r="K379" s="19"/>
      <c r="L379" s="18" t="s">
        <v>164</v>
      </c>
      <c r="M379" s="18" t="s">
        <v>272</v>
      </c>
      <c r="N379" s="18" t="s">
        <v>250</v>
      </c>
      <c r="O379" s="20">
        <v>119000</v>
      </c>
      <c r="P379" s="20">
        <v>82110</v>
      </c>
      <c r="Q379" s="20">
        <v>1</v>
      </c>
      <c r="R379" s="20">
        <v>0</v>
      </c>
      <c r="S379" s="20">
        <v>0</v>
      </c>
      <c r="T379" s="20">
        <v>0</v>
      </c>
      <c r="U379" s="20">
        <v>0</v>
      </c>
      <c r="V379" s="20">
        <v>0</v>
      </c>
      <c r="W379" s="20">
        <v>31</v>
      </c>
      <c r="X379" s="20">
        <v>0</v>
      </c>
      <c r="Y379" s="20">
        <v>0</v>
      </c>
      <c r="Z379" s="20">
        <v>0</v>
      </c>
      <c r="AA379" s="20">
        <v>0</v>
      </c>
      <c r="AB379" s="20">
        <v>0</v>
      </c>
      <c r="AC379" s="20">
        <v>119000</v>
      </c>
      <c r="AD379" s="20">
        <v>82110</v>
      </c>
      <c r="AE379" s="20">
        <v>0</v>
      </c>
      <c r="AF379" s="20">
        <v>0</v>
      </c>
      <c r="AG379" s="20">
        <v>119000</v>
      </c>
      <c r="AH379" s="20">
        <v>82110</v>
      </c>
      <c r="AI379" s="20">
        <v>33536</v>
      </c>
      <c r="AJ379" s="20">
        <v>3354</v>
      </c>
      <c r="AK379" s="20">
        <v>36890</v>
      </c>
    </row>
    <row r="380" spans="1:37" ht="16.5" customHeight="1" x14ac:dyDescent="0.3">
      <c r="A380" s="18" t="s">
        <v>1263</v>
      </c>
      <c r="B380" s="18" t="s">
        <v>240</v>
      </c>
      <c r="C380" s="19" t="s">
        <v>241</v>
      </c>
      <c r="D380" s="18" t="s">
        <v>1264</v>
      </c>
      <c r="E380" s="19" t="s">
        <v>1265</v>
      </c>
      <c r="F380" s="18" t="s">
        <v>244</v>
      </c>
      <c r="G380" s="18" t="s">
        <v>245</v>
      </c>
      <c r="H380" s="19" t="s">
        <v>175</v>
      </c>
      <c r="I380" s="18" t="s">
        <v>246</v>
      </c>
      <c r="J380" s="19" t="s">
        <v>247</v>
      </c>
      <c r="K380" s="19" t="s">
        <v>314</v>
      </c>
      <c r="L380" s="18" t="s">
        <v>164</v>
      </c>
      <c r="M380" s="18" t="s">
        <v>272</v>
      </c>
      <c r="N380" s="18" t="s">
        <v>250</v>
      </c>
      <c r="O380" s="20">
        <v>119000</v>
      </c>
      <c r="P380" s="20">
        <v>82110</v>
      </c>
      <c r="Q380" s="20">
        <v>1</v>
      </c>
      <c r="R380" s="20">
        <v>0</v>
      </c>
      <c r="S380" s="20">
        <v>0</v>
      </c>
      <c r="T380" s="20">
        <v>0</v>
      </c>
      <c r="U380" s="20">
        <v>0</v>
      </c>
      <c r="V380" s="20">
        <v>0</v>
      </c>
      <c r="W380" s="20">
        <v>31</v>
      </c>
      <c r="X380" s="20">
        <v>0</v>
      </c>
      <c r="Y380" s="20">
        <v>0</v>
      </c>
      <c r="Z380" s="20">
        <v>0</v>
      </c>
      <c r="AA380" s="20">
        <v>0</v>
      </c>
      <c r="AB380" s="20">
        <v>0</v>
      </c>
      <c r="AC380" s="20">
        <v>119000</v>
      </c>
      <c r="AD380" s="20">
        <v>82110</v>
      </c>
      <c r="AE380" s="20">
        <v>0</v>
      </c>
      <c r="AF380" s="20">
        <v>0</v>
      </c>
      <c r="AG380" s="20">
        <v>119000</v>
      </c>
      <c r="AH380" s="20">
        <v>82110</v>
      </c>
      <c r="AI380" s="20">
        <v>33536</v>
      </c>
      <c r="AJ380" s="20">
        <v>3354</v>
      </c>
      <c r="AK380" s="20">
        <v>36890</v>
      </c>
    </row>
    <row r="381" spans="1:37" ht="16.5" customHeight="1" x14ac:dyDescent="0.3">
      <c r="A381" s="18" t="s">
        <v>1266</v>
      </c>
      <c r="B381" s="18" t="s">
        <v>240</v>
      </c>
      <c r="C381" s="19" t="s">
        <v>241</v>
      </c>
      <c r="D381" s="18" t="s">
        <v>1104</v>
      </c>
      <c r="E381" s="19" t="s">
        <v>432</v>
      </c>
      <c r="F381" s="18" t="s">
        <v>244</v>
      </c>
      <c r="G381" s="18" t="s">
        <v>245</v>
      </c>
      <c r="H381" s="19" t="s">
        <v>175</v>
      </c>
      <c r="I381" s="18" t="s">
        <v>246</v>
      </c>
      <c r="J381" s="19" t="s">
        <v>247</v>
      </c>
      <c r="K381" s="19" t="s">
        <v>248</v>
      </c>
      <c r="L381" s="18" t="s">
        <v>164</v>
      </c>
      <c r="M381" s="18" t="s">
        <v>272</v>
      </c>
      <c r="N381" s="18" t="s">
        <v>250</v>
      </c>
      <c r="O381" s="20">
        <v>119000</v>
      </c>
      <c r="P381" s="20">
        <v>82110</v>
      </c>
      <c r="Q381" s="20">
        <v>1</v>
      </c>
      <c r="R381" s="20">
        <v>0</v>
      </c>
      <c r="S381" s="20">
        <v>0</v>
      </c>
      <c r="T381" s="20">
        <v>0</v>
      </c>
      <c r="U381" s="20">
        <v>0</v>
      </c>
      <c r="V381" s="20">
        <v>0</v>
      </c>
      <c r="W381" s="20">
        <v>31</v>
      </c>
      <c r="X381" s="20">
        <v>0</v>
      </c>
      <c r="Y381" s="20">
        <v>0</v>
      </c>
      <c r="Z381" s="20">
        <v>0</v>
      </c>
      <c r="AA381" s="20">
        <v>0</v>
      </c>
      <c r="AB381" s="20">
        <v>0</v>
      </c>
      <c r="AC381" s="20">
        <v>119000</v>
      </c>
      <c r="AD381" s="20">
        <v>82110</v>
      </c>
      <c r="AE381" s="20">
        <v>0</v>
      </c>
      <c r="AF381" s="20">
        <v>0</v>
      </c>
      <c r="AG381" s="20">
        <v>119000</v>
      </c>
      <c r="AH381" s="20">
        <v>82110</v>
      </c>
      <c r="AI381" s="20">
        <v>33536</v>
      </c>
      <c r="AJ381" s="20">
        <v>3354</v>
      </c>
      <c r="AK381" s="20">
        <v>36890</v>
      </c>
    </row>
    <row r="382" spans="1:37" ht="16.5" customHeight="1" x14ac:dyDescent="0.3">
      <c r="A382" s="18" t="s">
        <v>1267</v>
      </c>
      <c r="B382" s="18" t="s">
        <v>240</v>
      </c>
      <c r="C382" s="19" t="s">
        <v>241</v>
      </c>
      <c r="D382" s="18" t="s">
        <v>1104</v>
      </c>
      <c r="E382" s="19" t="s">
        <v>432</v>
      </c>
      <c r="F382" s="18" t="s">
        <v>244</v>
      </c>
      <c r="G382" s="18" t="s">
        <v>245</v>
      </c>
      <c r="H382" s="19" t="s">
        <v>175</v>
      </c>
      <c r="I382" s="18" t="s">
        <v>246</v>
      </c>
      <c r="J382" s="19" t="s">
        <v>247</v>
      </c>
      <c r="K382" s="19" t="s">
        <v>248</v>
      </c>
      <c r="L382" s="18" t="s">
        <v>164</v>
      </c>
      <c r="M382" s="18" t="s">
        <v>272</v>
      </c>
      <c r="N382" s="18" t="s">
        <v>250</v>
      </c>
      <c r="O382" s="20">
        <v>119000</v>
      </c>
      <c r="P382" s="20">
        <v>82110</v>
      </c>
      <c r="Q382" s="20">
        <v>1</v>
      </c>
      <c r="R382" s="20">
        <v>0</v>
      </c>
      <c r="S382" s="20">
        <v>0</v>
      </c>
      <c r="T382" s="20">
        <v>0</v>
      </c>
      <c r="U382" s="20">
        <v>0</v>
      </c>
      <c r="V382" s="20">
        <v>0</v>
      </c>
      <c r="W382" s="20">
        <v>31</v>
      </c>
      <c r="X382" s="20">
        <v>0</v>
      </c>
      <c r="Y382" s="20">
        <v>0</v>
      </c>
      <c r="Z382" s="20">
        <v>0</v>
      </c>
      <c r="AA382" s="20">
        <v>0</v>
      </c>
      <c r="AB382" s="20">
        <v>0</v>
      </c>
      <c r="AC382" s="20">
        <v>119000</v>
      </c>
      <c r="AD382" s="20">
        <v>82110</v>
      </c>
      <c r="AE382" s="20">
        <v>0</v>
      </c>
      <c r="AF382" s="20">
        <v>0</v>
      </c>
      <c r="AG382" s="20">
        <v>119000</v>
      </c>
      <c r="AH382" s="20">
        <v>82110</v>
      </c>
      <c r="AI382" s="20">
        <v>33536</v>
      </c>
      <c r="AJ382" s="20">
        <v>3354</v>
      </c>
      <c r="AK382" s="20">
        <v>36890</v>
      </c>
    </row>
    <row r="383" spans="1:37" ht="16.5" customHeight="1" x14ac:dyDescent="0.3">
      <c r="A383" s="18" t="s">
        <v>1268</v>
      </c>
      <c r="B383" s="18" t="s">
        <v>240</v>
      </c>
      <c r="C383" s="19" t="s">
        <v>241</v>
      </c>
      <c r="D383" s="18" t="s">
        <v>1269</v>
      </c>
      <c r="E383" s="19" t="s">
        <v>1270</v>
      </c>
      <c r="F383" s="18" t="s">
        <v>244</v>
      </c>
      <c r="G383" s="18" t="s">
        <v>245</v>
      </c>
      <c r="H383" s="19" t="s">
        <v>175</v>
      </c>
      <c r="I383" s="18" t="s">
        <v>246</v>
      </c>
      <c r="J383" s="19" t="s">
        <v>247</v>
      </c>
      <c r="K383" s="19" t="s">
        <v>248</v>
      </c>
      <c r="L383" s="18" t="s">
        <v>164</v>
      </c>
      <c r="M383" s="18" t="s">
        <v>272</v>
      </c>
      <c r="N383" s="18" t="s">
        <v>250</v>
      </c>
      <c r="O383" s="20">
        <v>119000</v>
      </c>
      <c r="P383" s="20">
        <v>82110</v>
      </c>
      <c r="Q383" s="20">
        <v>1</v>
      </c>
      <c r="R383" s="20">
        <v>0</v>
      </c>
      <c r="S383" s="20">
        <v>0</v>
      </c>
      <c r="T383" s="20">
        <v>0</v>
      </c>
      <c r="U383" s="20">
        <v>0</v>
      </c>
      <c r="V383" s="20">
        <v>0</v>
      </c>
      <c r="W383" s="20">
        <v>31</v>
      </c>
      <c r="X383" s="20">
        <v>19040</v>
      </c>
      <c r="Y383" s="20">
        <v>0</v>
      </c>
      <c r="Z383" s="20">
        <v>0</v>
      </c>
      <c r="AA383" s="20">
        <v>0</v>
      </c>
      <c r="AB383" s="20">
        <v>0</v>
      </c>
      <c r="AC383" s="20">
        <v>119000</v>
      </c>
      <c r="AD383" s="20">
        <v>82110</v>
      </c>
      <c r="AE383" s="20">
        <v>0</v>
      </c>
      <c r="AF383" s="20">
        <v>19040</v>
      </c>
      <c r="AG383" s="20">
        <v>99960</v>
      </c>
      <c r="AH383" s="20">
        <v>82110</v>
      </c>
      <c r="AI383" s="20">
        <v>16227</v>
      </c>
      <c r="AJ383" s="20">
        <v>1623</v>
      </c>
      <c r="AK383" s="20">
        <v>17850</v>
      </c>
    </row>
    <row r="384" spans="1:37" ht="16.5" customHeight="1" x14ac:dyDescent="0.3">
      <c r="A384" s="18" t="s">
        <v>1271</v>
      </c>
      <c r="B384" s="18" t="s">
        <v>240</v>
      </c>
      <c r="C384" s="19" t="s">
        <v>241</v>
      </c>
      <c r="D384" s="18" t="s">
        <v>1272</v>
      </c>
      <c r="E384" s="19" t="s">
        <v>302</v>
      </c>
      <c r="F384" s="18" t="s">
        <v>244</v>
      </c>
      <c r="G384" s="18" t="s">
        <v>245</v>
      </c>
      <c r="H384" s="19" t="s">
        <v>175</v>
      </c>
      <c r="I384" s="18" t="s">
        <v>246</v>
      </c>
      <c r="J384" s="19" t="s">
        <v>247</v>
      </c>
      <c r="K384" s="19" t="s">
        <v>248</v>
      </c>
      <c r="L384" s="18" t="s">
        <v>164</v>
      </c>
      <c r="M384" s="18" t="s">
        <v>272</v>
      </c>
      <c r="N384" s="18" t="s">
        <v>250</v>
      </c>
      <c r="O384" s="20">
        <v>119000</v>
      </c>
      <c r="P384" s="20">
        <v>82110</v>
      </c>
      <c r="Q384" s="20">
        <v>1</v>
      </c>
      <c r="R384" s="20">
        <v>0</v>
      </c>
      <c r="S384" s="20">
        <v>0</v>
      </c>
      <c r="T384" s="20">
        <v>0</v>
      </c>
      <c r="U384" s="20">
        <v>0</v>
      </c>
      <c r="V384" s="20">
        <v>0</v>
      </c>
      <c r="W384" s="20">
        <v>31</v>
      </c>
      <c r="X384" s="20">
        <v>0</v>
      </c>
      <c r="Y384" s="20">
        <v>10000</v>
      </c>
      <c r="Z384" s="20">
        <v>0</v>
      </c>
      <c r="AA384" s="20">
        <v>0</v>
      </c>
      <c r="AB384" s="20">
        <v>0</v>
      </c>
      <c r="AC384" s="20">
        <v>119000</v>
      </c>
      <c r="AD384" s="20">
        <v>82110</v>
      </c>
      <c r="AE384" s="20">
        <v>0</v>
      </c>
      <c r="AF384" s="20">
        <v>10000</v>
      </c>
      <c r="AG384" s="20">
        <v>109000</v>
      </c>
      <c r="AH384" s="20">
        <v>82110</v>
      </c>
      <c r="AI384" s="20">
        <v>24445</v>
      </c>
      <c r="AJ384" s="20">
        <v>2445</v>
      </c>
      <c r="AK384" s="20">
        <v>26890</v>
      </c>
    </row>
    <row r="385" spans="1:37" ht="16.5" customHeight="1" x14ac:dyDescent="0.3">
      <c r="A385" s="18" t="s">
        <v>1273</v>
      </c>
      <c r="B385" s="18" t="s">
        <v>240</v>
      </c>
      <c r="C385" s="19" t="s">
        <v>241</v>
      </c>
      <c r="D385" s="18" t="s">
        <v>1274</v>
      </c>
      <c r="E385" s="19" t="s">
        <v>1275</v>
      </c>
      <c r="F385" s="18" t="s">
        <v>244</v>
      </c>
      <c r="G385" s="18" t="s">
        <v>245</v>
      </c>
      <c r="H385" s="19" t="s">
        <v>175</v>
      </c>
      <c r="I385" s="18" t="s">
        <v>246</v>
      </c>
      <c r="J385" s="19" t="s">
        <v>247</v>
      </c>
      <c r="K385" s="19" t="s">
        <v>248</v>
      </c>
      <c r="L385" s="18" t="s">
        <v>164</v>
      </c>
      <c r="M385" s="18" t="s">
        <v>272</v>
      </c>
      <c r="N385" s="18" t="s">
        <v>250</v>
      </c>
      <c r="O385" s="20">
        <v>119000</v>
      </c>
      <c r="P385" s="20">
        <v>82110</v>
      </c>
      <c r="Q385" s="20">
        <v>1</v>
      </c>
      <c r="R385" s="20">
        <v>0</v>
      </c>
      <c r="S385" s="20">
        <v>0</v>
      </c>
      <c r="T385" s="20">
        <v>0</v>
      </c>
      <c r="U385" s="20">
        <v>0</v>
      </c>
      <c r="V385" s="20">
        <v>0</v>
      </c>
      <c r="W385" s="20">
        <v>31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119000</v>
      </c>
      <c r="AD385" s="20">
        <v>82110</v>
      </c>
      <c r="AE385" s="20">
        <v>0</v>
      </c>
      <c r="AF385" s="20">
        <v>0</v>
      </c>
      <c r="AG385" s="20">
        <v>119000</v>
      </c>
      <c r="AH385" s="20">
        <v>82110</v>
      </c>
      <c r="AI385" s="20">
        <v>33536</v>
      </c>
      <c r="AJ385" s="20">
        <v>3354</v>
      </c>
      <c r="AK385" s="20">
        <v>36890</v>
      </c>
    </row>
    <row r="386" spans="1:37" ht="16.5" customHeight="1" x14ac:dyDescent="0.3">
      <c r="A386" s="18" t="s">
        <v>1276</v>
      </c>
      <c r="B386" s="18" t="s">
        <v>240</v>
      </c>
      <c r="C386" s="19" t="s">
        <v>241</v>
      </c>
      <c r="D386" s="18" t="s">
        <v>1277</v>
      </c>
      <c r="E386" s="19" t="s">
        <v>1278</v>
      </c>
      <c r="F386" s="18" t="s">
        <v>244</v>
      </c>
      <c r="G386" s="18" t="s">
        <v>245</v>
      </c>
      <c r="H386" s="19" t="s">
        <v>175</v>
      </c>
      <c r="I386" s="18" t="s">
        <v>246</v>
      </c>
      <c r="J386" s="19" t="s">
        <v>247</v>
      </c>
      <c r="K386" s="19"/>
      <c r="L386" s="18" t="s">
        <v>164</v>
      </c>
      <c r="M386" s="18" t="s">
        <v>272</v>
      </c>
      <c r="N386" s="18" t="s">
        <v>250</v>
      </c>
      <c r="O386" s="20">
        <v>119000</v>
      </c>
      <c r="P386" s="20">
        <v>82110</v>
      </c>
      <c r="Q386" s="20">
        <v>1</v>
      </c>
      <c r="R386" s="20">
        <v>0</v>
      </c>
      <c r="S386" s="20">
        <v>0</v>
      </c>
      <c r="T386" s="20">
        <v>0</v>
      </c>
      <c r="U386" s="20">
        <v>0</v>
      </c>
      <c r="V386" s="20">
        <v>0</v>
      </c>
      <c r="W386" s="20">
        <v>31</v>
      </c>
      <c r="X386" s="20">
        <v>0</v>
      </c>
      <c r="Y386" s="20">
        <v>5950</v>
      </c>
      <c r="Z386" s="20">
        <v>0</v>
      </c>
      <c r="AA386" s="20">
        <v>0</v>
      </c>
      <c r="AB386" s="20">
        <v>0</v>
      </c>
      <c r="AC386" s="20">
        <v>119000</v>
      </c>
      <c r="AD386" s="20">
        <v>82110</v>
      </c>
      <c r="AE386" s="20">
        <v>0</v>
      </c>
      <c r="AF386" s="20">
        <v>5950</v>
      </c>
      <c r="AG386" s="20">
        <v>113050</v>
      </c>
      <c r="AH386" s="20">
        <v>82110</v>
      </c>
      <c r="AI386" s="20">
        <v>28127</v>
      </c>
      <c r="AJ386" s="20">
        <v>2813</v>
      </c>
      <c r="AK386" s="20">
        <v>30940</v>
      </c>
    </row>
    <row r="387" spans="1:37" ht="16.5" customHeight="1" x14ac:dyDescent="0.3">
      <c r="A387" s="18" t="s">
        <v>1279</v>
      </c>
      <c r="B387" s="18" t="s">
        <v>240</v>
      </c>
      <c r="C387" s="19" t="s">
        <v>241</v>
      </c>
      <c r="D387" s="18" t="s">
        <v>1280</v>
      </c>
      <c r="E387" s="19" t="s">
        <v>1281</v>
      </c>
      <c r="F387" s="18" t="s">
        <v>244</v>
      </c>
      <c r="G387" s="18" t="s">
        <v>245</v>
      </c>
      <c r="H387" s="19" t="s">
        <v>175</v>
      </c>
      <c r="I387" s="18" t="s">
        <v>246</v>
      </c>
      <c r="J387" s="19" t="s">
        <v>247</v>
      </c>
      <c r="K387" s="19" t="s">
        <v>314</v>
      </c>
      <c r="L387" s="18" t="s">
        <v>164</v>
      </c>
      <c r="M387" s="18" t="s">
        <v>272</v>
      </c>
      <c r="N387" s="18" t="s">
        <v>250</v>
      </c>
      <c r="O387" s="20">
        <v>119000</v>
      </c>
      <c r="P387" s="20">
        <v>82110</v>
      </c>
      <c r="Q387" s="20">
        <v>1</v>
      </c>
      <c r="R387" s="20">
        <v>0</v>
      </c>
      <c r="S387" s="20">
        <v>0</v>
      </c>
      <c r="T387" s="20">
        <v>0</v>
      </c>
      <c r="U387" s="20">
        <v>0</v>
      </c>
      <c r="V387" s="20">
        <v>0</v>
      </c>
      <c r="W387" s="20">
        <v>31</v>
      </c>
      <c r="X387" s="20">
        <v>0</v>
      </c>
      <c r="Y387" s="20">
        <v>0</v>
      </c>
      <c r="Z387" s="20">
        <v>0</v>
      </c>
      <c r="AA387" s="20">
        <v>0</v>
      </c>
      <c r="AB387" s="20">
        <v>0</v>
      </c>
      <c r="AC387" s="20">
        <v>119000</v>
      </c>
      <c r="AD387" s="20">
        <v>82110</v>
      </c>
      <c r="AE387" s="20">
        <v>0</v>
      </c>
      <c r="AF387" s="20">
        <v>0</v>
      </c>
      <c r="AG387" s="20">
        <v>119000</v>
      </c>
      <c r="AH387" s="20">
        <v>82110</v>
      </c>
      <c r="AI387" s="20">
        <v>33536</v>
      </c>
      <c r="AJ387" s="20">
        <v>3354</v>
      </c>
      <c r="AK387" s="20">
        <v>36890</v>
      </c>
    </row>
    <row r="388" spans="1:37" ht="16.5" customHeight="1" x14ac:dyDescent="0.3">
      <c r="A388" s="18" t="s">
        <v>1282</v>
      </c>
      <c r="B388" s="18" t="s">
        <v>240</v>
      </c>
      <c r="C388" s="19" t="s">
        <v>241</v>
      </c>
      <c r="D388" s="18" t="s">
        <v>1283</v>
      </c>
      <c r="E388" s="19" t="s">
        <v>1284</v>
      </c>
      <c r="F388" s="18" t="s">
        <v>244</v>
      </c>
      <c r="G388" s="18" t="s">
        <v>245</v>
      </c>
      <c r="H388" s="19" t="s">
        <v>175</v>
      </c>
      <c r="I388" s="18" t="s">
        <v>246</v>
      </c>
      <c r="J388" s="19" t="s">
        <v>247</v>
      </c>
      <c r="K388" s="19" t="s">
        <v>248</v>
      </c>
      <c r="L388" s="18" t="s">
        <v>164</v>
      </c>
      <c r="M388" s="18" t="s">
        <v>272</v>
      </c>
      <c r="N388" s="18" t="s">
        <v>250</v>
      </c>
      <c r="O388" s="20">
        <v>119000</v>
      </c>
      <c r="P388" s="20">
        <v>82110</v>
      </c>
      <c r="Q388" s="20">
        <v>1</v>
      </c>
      <c r="R388" s="20">
        <v>0</v>
      </c>
      <c r="S388" s="20">
        <v>0</v>
      </c>
      <c r="T388" s="20">
        <v>0</v>
      </c>
      <c r="U388" s="20">
        <v>0</v>
      </c>
      <c r="V388" s="20">
        <v>0</v>
      </c>
      <c r="W388" s="20">
        <v>31</v>
      </c>
      <c r="X388" s="20">
        <v>0</v>
      </c>
      <c r="Y388" s="20">
        <v>0</v>
      </c>
      <c r="Z388" s="20">
        <v>0</v>
      </c>
      <c r="AA388" s="20">
        <v>0</v>
      </c>
      <c r="AB388" s="20">
        <v>0</v>
      </c>
      <c r="AC388" s="20">
        <v>119000</v>
      </c>
      <c r="AD388" s="20">
        <v>82110</v>
      </c>
      <c r="AE388" s="20">
        <v>0</v>
      </c>
      <c r="AF388" s="20">
        <v>0</v>
      </c>
      <c r="AG388" s="20">
        <v>119000</v>
      </c>
      <c r="AH388" s="20">
        <v>82110</v>
      </c>
      <c r="AI388" s="20">
        <v>33536</v>
      </c>
      <c r="AJ388" s="20">
        <v>3354</v>
      </c>
      <c r="AK388" s="20">
        <v>36890</v>
      </c>
    </row>
    <row r="389" spans="1:37" ht="16.5" customHeight="1" x14ac:dyDescent="0.3">
      <c r="A389" s="18" t="s">
        <v>1285</v>
      </c>
      <c r="B389" s="18" t="s">
        <v>240</v>
      </c>
      <c r="C389" s="19" t="s">
        <v>241</v>
      </c>
      <c r="D389" s="18" t="s">
        <v>1286</v>
      </c>
      <c r="E389" s="19" t="s">
        <v>1179</v>
      </c>
      <c r="F389" s="18" t="s">
        <v>244</v>
      </c>
      <c r="G389" s="18" t="s">
        <v>245</v>
      </c>
      <c r="H389" s="19" t="s">
        <v>175</v>
      </c>
      <c r="I389" s="18" t="s">
        <v>246</v>
      </c>
      <c r="J389" s="19" t="s">
        <v>247</v>
      </c>
      <c r="K389" s="19" t="s">
        <v>314</v>
      </c>
      <c r="L389" s="18" t="s">
        <v>164</v>
      </c>
      <c r="M389" s="18" t="s">
        <v>272</v>
      </c>
      <c r="N389" s="18" t="s">
        <v>250</v>
      </c>
      <c r="O389" s="20">
        <v>119000</v>
      </c>
      <c r="P389" s="20">
        <v>82110</v>
      </c>
      <c r="Q389" s="20">
        <v>1</v>
      </c>
      <c r="R389" s="20">
        <v>0</v>
      </c>
      <c r="S389" s="20">
        <v>0</v>
      </c>
      <c r="T389" s="20">
        <v>0</v>
      </c>
      <c r="U389" s="20">
        <v>0</v>
      </c>
      <c r="V389" s="20">
        <v>0</v>
      </c>
      <c r="W389" s="20">
        <v>31</v>
      </c>
      <c r="X389" s="20">
        <v>0</v>
      </c>
      <c r="Y389" s="20">
        <v>0</v>
      </c>
      <c r="Z389" s="20">
        <v>0</v>
      </c>
      <c r="AA389" s="20">
        <v>0</v>
      </c>
      <c r="AB389" s="20">
        <v>0</v>
      </c>
      <c r="AC389" s="20">
        <v>119000</v>
      </c>
      <c r="AD389" s="20">
        <v>82110</v>
      </c>
      <c r="AE389" s="20">
        <v>0</v>
      </c>
      <c r="AF389" s="20">
        <v>0</v>
      </c>
      <c r="AG389" s="20">
        <v>119000</v>
      </c>
      <c r="AH389" s="20">
        <v>82110</v>
      </c>
      <c r="AI389" s="20">
        <v>33536</v>
      </c>
      <c r="AJ389" s="20">
        <v>3354</v>
      </c>
      <c r="AK389" s="20">
        <v>36890</v>
      </c>
    </row>
    <row r="390" spans="1:37" ht="16.5" customHeight="1" x14ac:dyDescent="0.3">
      <c r="A390" s="18" t="s">
        <v>1287</v>
      </c>
      <c r="B390" s="18" t="s">
        <v>240</v>
      </c>
      <c r="C390" s="19" t="s">
        <v>241</v>
      </c>
      <c r="D390" s="18" t="s">
        <v>1288</v>
      </c>
      <c r="E390" s="19" t="s">
        <v>1289</v>
      </c>
      <c r="F390" s="18" t="s">
        <v>244</v>
      </c>
      <c r="G390" s="18" t="s">
        <v>245</v>
      </c>
      <c r="H390" s="19" t="s">
        <v>175</v>
      </c>
      <c r="I390" s="18" t="s">
        <v>246</v>
      </c>
      <c r="J390" s="19" t="s">
        <v>247</v>
      </c>
      <c r="K390" s="19" t="s">
        <v>248</v>
      </c>
      <c r="L390" s="18" t="s">
        <v>164</v>
      </c>
      <c r="M390" s="18" t="s">
        <v>272</v>
      </c>
      <c r="N390" s="18" t="s">
        <v>250</v>
      </c>
      <c r="O390" s="20">
        <v>119000</v>
      </c>
      <c r="P390" s="20">
        <v>82110</v>
      </c>
      <c r="Q390" s="20">
        <v>1</v>
      </c>
      <c r="R390" s="20">
        <v>0</v>
      </c>
      <c r="S390" s="20">
        <v>0</v>
      </c>
      <c r="T390" s="20">
        <v>0</v>
      </c>
      <c r="U390" s="20">
        <v>0</v>
      </c>
      <c r="V390" s="20">
        <v>0</v>
      </c>
      <c r="W390" s="20">
        <v>31</v>
      </c>
      <c r="X390" s="20">
        <v>0</v>
      </c>
      <c r="Y390" s="20">
        <v>0</v>
      </c>
      <c r="Z390" s="20">
        <v>0</v>
      </c>
      <c r="AA390" s="20">
        <v>0</v>
      </c>
      <c r="AB390" s="20">
        <v>0</v>
      </c>
      <c r="AC390" s="20">
        <v>119000</v>
      </c>
      <c r="AD390" s="20">
        <v>82110</v>
      </c>
      <c r="AE390" s="20">
        <v>0</v>
      </c>
      <c r="AF390" s="20">
        <v>0</v>
      </c>
      <c r="AG390" s="20">
        <v>119000</v>
      </c>
      <c r="AH390" s="20">
        <v>82110</v>
      </c>
      <c r="AI390" s="20">
        <v>33536</v>
      </c>
      <c r="AJ390" s="20">
        <v>3354</v>
      </c>
      <c r="AK390" s="20">
        <v>36890</v>
      </c>
    </row>
    <row r="391" spans="1:37" ht="16.5" customHeight="1" x14ac:dyDescent="0.3">
      <c r="A391" s="18" t="s">
        <v>1290</v>
      </c>
      <c r="B391" s="18" t="s">
        <v>240</v>
      </c>
      <c r="C391" s="19" t="s">
        <v>241</v>
      </c>
      <c r="D391" s="18" t="s">
        <v>1291</v>
      </c>
      <c r="E391" s="19" t="s">
        <v>349</v>
      </c>
      <c r="F391" s="18" t="s">
        <v>244</v>
      </c>
      <c r="G391" s="18" t="s">
        <v>245</v>
      </c>
      <c r="H391" s="19" t="s">
        <v>175</v>
      </c>
      <c r="I391" s="18" t="s">
        <v>246</v>
      </c>
      <c r="J391" s="19" t="s">
        <v>247</v>
      </c>
      <c r="K391" s="19" t="s">
        <v>248</v>
      </c>
      <c r="L391" s="18" t="s">
        <v>164</v>
      </c>
      <c r="M391" s="18" t="s">
        <v>272</v>
      </c>
      <c r="N391" s="18" t="s">
        <v>250</v>
      </c>
      <c r="O391" s="20">
        <v>119000</v>
      </c>
      <c r="P391" s="20">
        <v>82110</v>
      </c>
      <c r="Q391" s="20">
        <v>1</v>
      </c>
      <c r="R391" s="20">
        <v>0</v>
      </c>
      <c r="S391" s="20">
        <v>0</v>
      </c>
      <c r="T391" s="20">
        <v>0</v>
      </c>
      <c r="U391" s="20">
        <v>0</v>
      </c>
      <c r="V391" s="20">
        <v>0</v>
      </c>
      <c r="W391" s="20">
        <v>31</v>
      </c>
      <c r="X391" s="20">
        <v>0</v>
      </c>
      <c r="Y391" s="20">
        <v>0</v>
      </c>
      <c r="Z391" s="20">
        <v>0</v>
      </c>
      <c r="AA391" s="20">
        <v>0</v>
      </c>
      <c r="AB391" s="20">
        <v>0</v>
      </c>
      <c r="AC391" s="20">
        <v>119000</v>
      </c>
      <c r="AD391" s="20">
        <v>82110</v>
      </c>
      <c r="AE391" s="20">
        <v>0</v>
      </c>
      <c r="AF391" s="20">
        <v>0</v>
      </c>
      <c r="AG391" s="20">
        <v>119000</v>
      </c>
      <c r="AH391" s="20">
        <v>82110</v>
      </c>
      <c r="AI391" s="20">
        <v>33536</v>
      </c>
      <c r="AJ391" s="20">
        <v>3354</v>
      </c>
      <c r="AK391" s="20">
        <v>36890</v>
      </c>
    </row>
    <row r="392" spans="1:37" ht="16.5" customHeight="1" x14ac:dyDescent="0.3">
      <c r="A392" s="18" t="s">
        <v>1292</v>
      </c>
      <c r="B392" s="18" t="s">
        <v>240</v>
      </c>
      <c r="C392" s="19" t="s">
        <v>241</v>
      </c>
      <c r="D392" s="18" t="s">
        <v>1293</v>
      </c>
      <c r="E392" s="19" t="s">
        <v>1294</v>
      </c>
      <c r="F392" s="18" t="s">
        <v>244</v>
      </c>
      <c r="G392" s="18" t="s">
        <v>245</v>
      </c>
      <c r="H392" s="19" t="s">
        <v>175</v>
      </c>
      <c r="I392" s="18" t="s">
        <v>246</v>
      </c>
      <c r="J392" s="19" t="s">
        <v>247</v>
      </c>
      <c r="K392" s="19" t="s">
        <v>248</v>
      </c>
      <c r="L392" s="18" t="s">
        <v>164</v>
      </c>
      <c r="M392" s="18" t="s">
        <v>272</v>
      </c>
      <c r="N392" s="18" t="s">
        <v>250</v>
      </c>
      <c r="O392" s="20">
        <v>119000</v>
      </c>
      <c r="P392" s="20">
        <v>82110</v>
      </c>
      <c r="Q392" s="20">
        <v>1</v>
      </c>
      <c r="R392" s="20">
        <v>0</v>
      </c>
      <c r="S392" s="20">
        <v>0</v>
      </c>
      <c r="T392" s="20">
        <v>0</v>
      </c>
      <c r="U392" s="20">
        <v>0</v>
      </c>
      <c r="V392" s="20">
        <v>0</v>
      </c>
      <c r="W392" s="20">
        <v>31</v>
      </c>
      <c r="X392" s="20">
        <v>0</v>
      </c>
      <c r="Y392" s="20">
        <v>0</v>
      </c>
      <c r="Z392" s="20">
        <v>0</v>
      </c>
      <c r="AA392" s="20">
        <v>0</v>
      </c>
      <c r="AB392" s="20">
        <v>0</v>
      </c>
      <c r="AC392" s="20">
        <v>119000</v>
      </c>
      <c r="AD392" s="20">
        <v>82110</v>
      </c>
      <c r="AE392" s="20">
        <v>0</v>
      </c>
      <c r="AF392" s="20">
        <v>0</v>
      </c>
      <c r="AG392" s="20">
        <v>119000</v>
      </c>
      <c r="AH392" s="20">
        <v>82110</v>
      </c>
      <c r="AI392" s="20">
        <v>33536</v>
      </c>
      <c r="AJ392" s="20">
        <v>3354</v>
      </c>
      <c r="AK392" s="20">
        <v>36890</v>
      </c>
    </row>
    <row r="393" spans="1:37" ht="16.5" customHeight="1" x14ac:dyDescent="0.3">
      <c r="A393" s="18" t="s">
        <v>1295</v>
      </c>
      <c r="B393" s="18" t="s">
        <v>240</v>
      </c>
      <c r="C393" s="19" t="s">
        <v>241</v>
      </c>
      <c r="D393" s="18" t="s">
        <v>1296</v>
      </c>
      <c r="E393" s="19" t="s">
        <v>1297</v>
      </c>
      <c r="F393" s="18" t="s">
        <v>244</v>
      </c>
      <c r="G393" s="18" t="s">
        <v>245</v>
      </c>
      <c r="H393" s="19" t="s">
        <v>175</v>
      </c>
      <c r="I393" s="18" t="s">
        <v>246</v>
      </c>
      <c r="J393" s="19" t="s">
        <v>247</v>
      </c>
      <c r="K393" s="19" t="s">
        <v>248</v>
      </c>
      <c r="L393" s="18" t="s">
        <v>164</v>
      </c>
      <c r="M393" s="18" t="s">
        <v>272</v>
      </c>
      <c r="N393" s="18" t="s">
        <v>250</v>
      </c>
      <c r="O393" s="20">
        <v>119000</v>
      </c>
      <c r="P393" s="20">
        <v>82110</v>
      </c>
      <c r="Q393" s="20">
        <v>1</v>
      </c>
      <c r="R393" s="20">
        <v>0</v>
      </c>
      <c r="S393" s="20">
        <v>0</v>
      </c>
      <c r="T393" s="20">
        <v>0</v>
      </c>
      <c r="U393" s="20">
        <v>0</v>
      </c>
      <c r="V393" s="20">
        <v>0</v>
      </c>
      <c r="W393" s="20">
        <v>31</v>
      </c>
      <c r="X393" s="20">
        <v>0</v>
      </c>
      <c r="Y393" s="20">
        <v>0</v>
      </c>
      <c r="Z393" s="20">
        <v>0</v>
      </c>
      <c r="AA393" s="20">
        <v>0</v>
      </c>
      <c r="AB393" s="20">
        <v>0</v>
      </c>
      <c r="AC393" s="20">
        <v>119000</v>
      </c>
      <c r="AD393" s="20">
        <v>82110</v>
      </c>
      <c r="AE393" s="20">
        <v>0</v>
      </c>
      <c r="AF393" s="20">
        <v>0</v>
      </c>
      <c r="AG393" s="20">
        <v>119000</v>
      </c>
      <c r="AH393" s="20">
        <v>82110</v>
      </c>
      <c r="AI393" s="20">
        <v>33536</v>
      </c>
      <c r="AJ393" s="20">
        <v>3354</v>
      </c>
      <c r="AK393" s="20">
        <v>36890</v>
      </c>
    </row>
    <row r="394" spans="1:37" ht="16.5" customHeight="1" x14ac:dyDescent="0.3">
      <c r="A394" s="18" t="s">
        <v>1298</v>
      </c>
      <c r="B394" s="18" t="s">
        <v>240</v>
      </c>
      <c r="C394" s="19" t="s">
        <v>241</v>
      </c>
      <c r="D394" s="18" t="s">
        <v>1299</v>
      </c>
      <c r="E394" s="19" t="s">
        <v>1300</v>
      </c>
      <c r="F394" s="18" t="s">
        <v>244</v>
      </c>
      <c r="G394" s="18" t="s">
        <v>245</v>
      </c>
      <c r="H394" s="19" t="s">
        <v>175</v>
      </c>
      <c r="I394" s="18" t="s">
        <v>246</v>
      </c>
      <c r="J394" s="19" t="s">
        <v>247</v>
      </c>
      <c r="K394" s="19" t="s">
        <v>248</v>
      </c>
      <c r="L394" s="18" t="s">
        <v>164</v>
      </c>
      <c r="M394" s="18" t="s">
        <v>272</v>
      </c>
      <c r="N394" s="18" t="s">
        <v>250</v>
      </c>
      <c r="O394" s="20">
        <v>119000</v>
      </c>
      <c r="P394" s="20">
        <v>82110</v>
      </c>
      <c r="Q394" s="20">
        <v>1</v>
      </c>
      <c r="R394" s="20">
        <v>0</v>
      </c>
      <c r="S394" s="20">
        <v>0</v>
      </c>
      <c r="T394" s="20">
        <v>0</v>
      </c>
      <c r="U394" s="20">
        <v>0</v>
      </c>
      <c r="V394" s="20">
        <v>0</v>
      </c>
      <c r="W394" s="20">
        <v>31</v>
      </c>
      <c r="X394" s="20">
        <v>0</v>
      </c>
      <c r="Y394" s="20">
        <v>10000</v>
      </c>
      <c r="Z394" s="20">
        <v>0</v>
      </c>
      <c r="AA394" s="20">
        <v>0</v>
      </c>
      <c r="AB394" s="20">
        <v>0</v>
      </c>
      <c r="AC394" s="20">
        <v>119000</v>
      </c>
      <c r="AD394" s="20">
        <v>82110</v>
      </c>
      <c r="AE394" s="20">
        <v>0</v>
      </c>
      <c r="AF394" s="20">
        <v>10000</v>
      </c>
      <c r="AG394" s="20">
        <v>109000</v>
      </c>
      <c r="AH394" s="20">
        <v>82110</v>
      </c>
      <c r="AI394" s="20">
        <v>24445</v>
      </c>
      <c r="AJ394" s="20">
        <v>2445</v>
      </c>
      <c r="AK394" s="20">
        <v>26890</v>
      </c>
    </row>
    <row r="395" spans="1:37" ht="16.5" customHeight="1" x14ac:dyDescent="0.3">
      <c r="A395" s="18" t="s">
        <v>1301</v>
      </c>
      <c r="B395" s="18" t="s">
        <v>240</v>
      </c>
      <c r="C395" s="19" t="s">
        <v>241</v>
      </c>
      <c r="D395" s="18" t="s">
        <v>1302</v>
      </c>
      <c r="E395" s="19" t="s">
        <v>1303</v>
      </c>
      <c r="F395" s="18" t="s">
        <v>244</v>
      </c>
      <c r="G395" s="18" t="s">
        <v>245</v>
      </c>
      <c r="H395" s="19" t="s">
        <v>175</v>
      </c>
      <c r="I395" s="18" t="s">
        <v>246</v>
      </c>
      <c r="J395" s="19" t="s">
        <v>247</v>
      </c>
      <c r="K395" s="19" t="s">
        <v>248</v>
      </c>
      <c r="L395" s="18" t="s">
        <v>164</v>
      </c>
      <c r="M395" s="18" t="s">
        <v>272</v>
      </c>
      <c r="N395" s="18" t="s">
        <v>250</v>
      </c>
      <c r="O395" s="20">
        <v>119000</v>
      </c>
      <c r="P395" s="20">
        <v>82110</v>
      </c>
      <c r="Q395" s="20">
        <v>1</v>
      </c>
      <c r="R395" s="20">
        <v>0</v>
      </c>
      <c r="S395" s="20">
        <v>0</v>
      </c>
      <c r="T395" s="20">
        <v>0</v>
      </c>
      <c r="U395" s="20">
        <v>0</v>
      </c>
      <c r="V395" s="20">
        <v>0</v>
      </c>
      <c r="W395" s="20">
        <v>31</v>
      </c>
      <c r="X395" s="20">
        <v>0</v>
      </c>
      <c r="Y395" s="20">
        <v>0</v>
      </c>
      <c r="Z395" s="20">
        <v>0</v>
      </c>
      <c r="AA395" s="20">
        <v>0</v>
      </c>
      <c r="AB395" s="20">
        <v>5950</v>
      </c>
      <c r="AC395" s="20">
        <v>119000</v>
      </c>
      <c r="AD395" s="20">
        <v>82110</v>
      </c>
      <c r="AE395" s="20">
        <v>0</v>
      </c>
      <c r="AF395" s="20">
        <v>5950</v>
      </c>
      <c r="AG395" s="20">
        <v>113050</v>
      </c>
      <c r="AH395" s="20">
        <v>82110</v>
      </c>
      <c r="AI395" s="20">
        <v>28127</v>
      </c>
      <c r="AJ395" s="20">
        <v>2813</v>
      </c>
      <c r="AK395" s="20">
        <v>30940</v>
      </c>
    </row>
    <row r="396" spans="1:37" ht="16.5" customHeight="1" x14ac:dyDescent="0.3">
      <c r="A396" s="18" t="s">
        <v>1304</v>
      </c>
      <c r="B396" s="18" t="s">
        <v>240</v>
      </c>
      <c r="C396" s="19" t="s">
        <v>241</v>
      </c>
      <c r="D396" s="18" t="s">
        <v>1305</v>
      </c>
      <c r="E396" s="19" t="s">
        <v>1306</v>
      </c>
      <c r="F396" s="18" t="s">
        <v>244</v>
      </c>
      <c r="G396" s="18" t="s">
        <v>245</v>
      </c>
      <c r="H396" s="19" t="s">
        <v>175</v>
      </c>
      <c r="I396" s="18" t="s">
        <v>246</v>
      </c>
      <c r="J396" s="19" t="s">
        <v>247</v>
      </c>
      <c r="K396" s="19"/>
      <c r="L396" s="18" t="s">
        <v>164</v>
      </c>
      <c r="M396" s="18" t="s">
        <v>272</v>
      </c>
      <c r="N396" s="18" t="s">
        <v>250</v>
      </c>
      <c r="O396" s="20">
        <v>119000</v>
      </c>
      <c r="P396" s="20">
        <v>82110</v>
      </c>
      <c r="Q396" s="20">
        <v>1</v>
      </c>
      <c r="R396" s="20">
        <v>0</v>
      </c>
      <c r="S396" s="20">
        <v>0</v>
      </c>
      <c r="T396" s="20">
        <v>0</v>
      </c>
      <c r="U396" s="20">
        <v>0</v>
      </c>
      <c r="V396" s="20">
        <v>0</v>
      </c>
      <c r="W396" s="20">
        <v>31</v>
      </c>
      <c r="X396" s="20">
        <v>0</v>
      </c>
      <c r="Y396" s="20">
        <v>0</v>
      </c>
      <c r="Z396" s="20">
        <v>0</v>
      </c>
      <c r="AA396" s="20">
        <v>0</v>
      </c>
      <c r="AB396" s="20">
        <v>0</v>
      </c>
      <c r="AC396" s="20">
        <v>119000</v>
      </c>
      <c r="AD396" s="20">
        <v>82110</v>
      </c>
      <c r="AE396" s="20">
        <v>0</v>
      </c>
      <c r="AF396" s="20">
        <v>0</v>
      </c>
      <c r="AG396" s="20">
        <v>119000</v>
      </c>
      <c r="AH396" s="20">
        <v>82110</v>
      </c>
      <c r="AI396" s="20">
        <v>33536</v>
      </c>
      <c r="AJ396" s="20">
        <v>3354</v>
      </c>
      <c r="AK396" s="20">
        <v>36890</v>
      </c>
    </row>
    <row r="397" spans="1:37" ht="16.5" customHeight="1" x14ac:dyDescent="0.3">
      <c r="A397" s="18" t="s">
        <v>1307</v>
      </c>
      <c r="B397" s="18" t="s">
        <v>240</v>
      </c>
      <c r="C397" s="19" t="s">
        <v>241</v>
      </c>
      <c r="D397" s="18" t="s">
        <v>1308</v>
      </c>
      <c r="E397" s="19" t="s">
        <v>1309</v>
      </c>
      <c r="F397" s="18" t="s">
        <v>244</v>
      </c>
      <c r="G397" s="18" t="s">
        <v>245</v>
      </c>
      <c r="H397" s="19" t="s">
        <v>175</v>
      </c>
      <c r="I397" s="18" t="s">
        <v>246</v>
      </c>
      <c r="J397" s="19" t="s">
        <v>247</v>
      </c>
      <c r="K397" s="19" t="s">
        <v>248</v>
      </c>
      <c r="L397" s="18" t="s">
        <v>164</v>
      </c>
      <c r="M397" s="18" t="s">
        <v>272</v>
      </c>
      <c r="N397" s="18" t="s">
        <v>250</v>
      </c>
      <c r="O397" s="20">
        <v>119000</v>
      </c>
      <c r="P397" s="20">
        <v>82110</v>
      </c>
      <c r="Q397" s="20">
        <v>1</v>
      </c>
      <c r="R397" s="20">
        <v>0</v>
      </c>
      <c r="S397" s="20">
        <v>0</v>
      </c>
      <c r="T397" s="20">
        <v>0</v>
      </c>
      <c r="U397" s="20">
        <v>0</v>
      </c>
      <c r="V397" s="20">
        <v>0</v>
      </c>
      <c r="W397" s="20">
        <v>31</v>
      </c>
      <c r="X397" s="20">
        <v>0</v>
      </c>
      <c r="Y397" s="20">
        <v>0</v>
      </c>
      <c r="Z397" s="20">
        <v>0</v>
      </c>
      <c r="AA397" s="20">
        <v>0</v>
      </c>
      <c r="AB397" s="20">
        <v>0</v>
      </c>
      <c r="AC397" s="20">
        <v>119000</v>
      </c>
      <c r="AD397" s="20">
        <v>82110</v>
      </c>
      <c r="AE397" s="20">
        <v>0</v>
      </c>
      <c r="AF397" s="20">
        <v>0</v>
      </c>
      <c r="AG397" s="20">
        <v>119000</v>
      </c>
      <c r="AH397" s="20">
        <v>82110</v>
      </c>
      <c r="AI397" s="20">
        <v>33536</v>
      </c>
      <c r="AJ397" s="20">
        <v>3354</v>
      </c>
      <c r="AK397" s="20">
        <v>36890</v>
      </c>
    </row>
    <row r="398" spans="1:37" ht="16.5" customHeight="1" x14ac:dyDescent="0.3">
      <c r="A398" s="18" t="s">
        <v>1310</v>
      </c>
      <c r="B398" s="18" t="s">
        <v>240</v>
      </c>
      <c r="C398" s="19" t="s">
        <v>241</v>
      </c>
      <c r="D398" s="18" t="s">
        <v>1311</v>
      </c>
      <c r="E398" s="19" t="s">
        <v>398</v>
      </c>
      <c r="F398" s="18" t="s">
        <v>244</v>
      </c>
      <c r="G398" s="18" t="s">
        <v>245</v>
      </c>
      <c r="H398" s="19" t="s">
        <v>175</v>
      </c>
      <c r="I398" s="18" t="s">
        <v>246</v>
      </c>
      <c r="J398" s="19" t="s">
        <v>247</v>
      </c>
      <c r="K398" s="19"/>
      <c r="L398" s="18" t="s">
        <v>164</v>
      </c>
      <c r="M398" s="18" t="s">
        <v>272</v>
      </c>
      <c r="N398" s="18" t="s">
        <v>250</v>
      </c>
      <c r="O398" s="20">
        <v>119000</v>
      </c>
      <c r="P398" s="20">
        <v>82110</v>
      </c>
      <c r="Q398" s="20">
        <v>1</v>
      </c>
      <c r="R398" s="20">
        <v>0</v>
      </c>
      <c r="S398" s="20">
        <v>0</v>
      </c>
      <c r="T398" s="20">
        <v>0</v>
      </c>
      <c r="U398" s="20">
        <v>0</v>
      </c>
      <c r="V398" s="20">
        <v>0</v>
      </c>
      <c r="W398" s="20">
        <v>31</v>
      </c>
      <c r="X398" s="20">
        <v>0</v>
      </c>
      <c r="Y398" s="20">
        <v>5950</v>
      </c>
      <c r="Z398" s="20">
        <v>0</v>
      </c>
      <c r="AA398" s="20">
        <v>0</v>
      </c>
      <c r="AB398" s="20">
        <v>0</v>
      </c>
      <c r="AC398" s="20">
        <v>119000</v>
      </c>
      <c r="AD398" s="20">
        <v>82110</v>
      </c>
      <c r="AE398" s="20">
        <v>0</v>
      </c>
      <c r="AF398" s="20">
        <v>5950</v>
      </c>
      <c r="AG398" s="20">
        <v>113050</v>
      </c>
      <c r="AH398" s="20">
        <v>82110</v>
      </c>
      <c r="AI398" s="20">
        <v>28127</v>
      </c>
      <c r="AJ398" s="20">
        <v>2813</v>
      </c>
      <c r="AK398" s="20">
        <v>30940</v>
      </c>
    </row>
    <row r="399" spans="1:37" ht="16.5" customHeight="1" x14ac:dyDescent="0.3">
      <c r="A399" s="18" t="s">
        <v>1312</v>
      </c>
      <c r="B399" s="18" t="s">
        <v>240</v>
      </c>
      <c r="C399" s="19" t="s">
        <v>241</v>
      </c>
      <c r="D399" s="18" t="s">
        <v>1313</v>
      </c>
      <c r="E399" s="19" t="s">
        <v>605</v>
      </c>
      <c r="F399" s="18" t="s">
        <v>244</v>
      </c>
      <c r="G399" s="18" t="s">
        <v>245</v>
      </c>
      <c r="H399" s="19" t="s">
        <v>175</v>
      </c>
      <c r="I399" s="18" t="s">
        <v>246</v>
      </c>
      <c r="J399" s="19" t="s">
        <v>247</v>
      </c>
      <c r="K399" s="19"/>
      <c r="L399" s="18" t="s">
        <v>164</v>
      </c>
      <c r="M399" s="18" t="s">
        <v>272</v>
      </c>
      <c r="N399" s="18" t="s">
        <v>250</v>
      </c>
      <c r="O399" s="20">
        <v>119000</v>
      </c>
      <c r="P399" s="20">
        <v>82110</v>
      </c>
      <c r="Q399" s="20">
        <v>1</v>
      </c>
      <c r="R399" s="20">
        <v>0</v>
      </c>
      <c r="S399" s="20">
        <v>0</v>
      </c>
      <c r="T399" s="20">
        <v>0</v>
      </c>
      <c r="U399" s="20">
        <v>0</v>
      </c>
      <c r="V399" s="20">
        <v>0</v>
      </c>
      <c r="W399" s="20">
        <v>31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119000</v>
      </c>
      <c r="AD399" s="20">
        <v>82110</v>
      </c>
      <c r="AE399" s="20">
        <v>0</v>
      </c>
      <c r="AF399" s="20">
        <v>0</v>
      </c>
      <c r="AG399" s="20">
        <v>119000</v>
      </c>
      <c r="AH399" s="20">
        <v>82110</v>
      </c>
      <c r="AI399" s="20">
        <v>33536</v>
      </c>
      <c r="AJ399" s="20">
        <v>3354</v>
      </c>
      <c r="AK399" s="20">
        <v>36890</v>
      </c>
    </row>
    <row r="400" spans="1:37" ht="16.5" customHeight="1" x14ac:dyDescent="0.3">
      <c r="A400" s="18" t="s">
        <v>1314</v>
      </c>
      <c r="B400" s="18" t="s">
        <v>240</v>
      </c>
      <c r="C400" s="19" t="s">
        <v>241</v>
      </c>
      <c r="D400" s="18" t="s">
        <v>1315</v>
      </c>
      <c r="E400" s="19" t="s">
        <v>296</v>
      </c>
      <c r="F400" s="18" t="s">
        <v>244</v>
      </c>
      <c r="G400" s="18" t="s">
        <v>245</v>
      </c>
      <c r="H400" s="19" t="s">
        <v>175</v>
      </c>
      <c r="I400" s="18" t="s">
        <v>246</v>
      </c>
      <c r="J400" s="19" t="s">
        <v>247</v>
      </c>
      <c r="K400" s="19" t="s">
        <v>248</v>
      </c>
      <c r="L400" s="18" t="s">
        <v>164</v>
      </c>
      <c r="M400" s="18" t="s">
        <v>272</v>
      </c>
      <c r="N400" s="18" t="s">
        <v>250</v>
      </c>
      <c r="O400" s="20">
        <v>119000</v>
      </c>
      <c r="P400" s="20">
        <v>82110</v>
      </c>
      <c r="Q400" s="20">
        <v>1</v>
      </c>
      <c r="R400" s="20">
        <v>0</v>
      </c>
      <c r="S400" s="20">
        <v>0</v>
      </c>
      <c r="T400" s="20">
        <v>0</v>
      </c>
      <c r="U400" s="20">
        <v>0</v>
      </c>
      <c r="V400" s="20">
        <v>0</v>
      </c>
      <c r="W400" s="20">
        <v>31</v>
      </c>
      <c r="X400" s="20">
        <v>0</v>
      </c>
      <c r="Y400" s="20">
        <v>0</v>
      </c>
      <c r="Z400" s="20">
        <v>0</v>
      </c>
      <c r="AA400" s="20">
        <v>0</v>
      </c>
      <c r="AB400" s="20">
        <v>0</v>
      </c>
      <c r="AC400" s="20">
        <v>119000</v>
      </c>
      <c r="AD400" s="20">
        <v>82110</v>
      </c>
      <c r="AE400" s="20">
        <v>0</v>
      </c>
      <c r="AF400" s="20">
        <v>0</v>
      </c>
      <c r="AG400" s="20">
        <v>119000</v>
      </c>
      <c r="AH400" s="20">
        <v>82110</v>
      </c>
      <c r="AI400" s="20">
        <v>33536</v>
      </c>
      <c r="AJ400" s="20">
        <v>3354</v>
      </c>
      <c r="AK400" s="20">
        <v>36890</v>
      </c>
    </row>
    <row r="401" spans="1:37" ht="16.5" customHeight="1" x14ac:dyDescent="0.3">
      <c r="A401" s="18" t="s">
        <v>1316</v>
      </c>
      <c r="B401" s="18" t="s">
        <v>240</v>
      </c>
      <c r="C401" s="19" t="s">
        <v>241</v>
      </c>
      <c r="D401" s="18" t="s">
        <v>1317</v>
      </c>
      <c r="E401" s="19" t="s">
        <v>1318</v>
      </c>
      <c r="F401" s="18" t="s">
        <v>244</v>
      </c>
      <c r="G401" s="18" t="s">
        <v>245</v>
      </c>
      <c r="H401" s="19" t="s">
        <v>175</v>
      </c>
      <c r="I401" s="18" t="s">
        <v>246</v>
      </c>
      <c r="J401" s="19" t="s">
        <v>247</v>
      </c>
      <c r="K401" s="19" t="s">
        <v>248</v>
      </c>
      <c r="L401" s="18" t="s">
        <v>164</v>
      </c>
      <c r="M401" s="18" t="s">
        <v>272</v>
      </c>
      <c r="N401" s="18" t="s">
        <v>250</v>
      </c>
      <c r="O401" s="20">
        <v>119000</v>
      </c>
      <c r="P401" s="20">
        <v>82110</v>
      </c>
      <c r="Q401" s="20">
        <v>1</v>
      </c>
      <c r="R401" s="20">
        <v>0</v>
      </c>
      <c r="S401" s="20">
        <v>0</v>
      </c>
      <c r="T401" s="20">
        <v>0</v>
      </c>
      <c r="U401" s="20">
        <v>0</v>
      </c>
      <c r="V401" s="20">
        <v>0</v>
      </c>
      <c r="W401" s="20">
        <v>31</v>
      </c>
      <c r="X401" s="20">
        <v>0</v>
      </c>
      <c r="Y401" s="20">
        <v>0</v>
      </c>
      <c r="Z401" s="20">
        <v>0</v>
      </c>
      <c r="AA401" s="20">
        <v>0</v>
      </c>
      <c r="AB401" s="20">
        <v>0</v>
      </c>
      <c r="AC401" s="20">
        <v>119000</v>
      </c>
      <c r="AD401" s="20">
        <v>82110</v>
      </c>
      <c r="AE401" s="20">
        <v>0</v>
      </c>
      <c r="AF401" s="20">
        <v>0</v>
      </c>
      <c r="AG401" s="20">
        <v>119000</v>
      </c>
      <c r="AH401" s="20">
        <v>82110</v>
      </c>
      <c r="AI401" s="20">
        <v>33536</v>
      </c>
      <c r="AJ401" s="20">
        <v>3354</v>
      </c>
      <c r="AK401" s="20">
        <v>36890</v>
      </c>
    </row>
    <row r="402" spans="1:37" ht="16.5" customHeight="1" x14ac:dyDescent="0.3">
      <c r="A402" s="18" t="s">
        <v>1319</v>
      </c>
      <c r="B402" s="18" t="s">
        <v>240</v>
      </c>
      <c r="C402" s="19" t="s">
        <v>241</v>
      </c>
      <c r="D402" s="18" t="s">
        <v>1320</v>
      </c>
      <c r="E402" s="19" t="s">
        <v>1321</v>
      </c>
      <c r="F402" s="18" t="s">
        <v>244</v>
      </c>
      <c r="G402" s="18" t="s">
        <v>245</v>
      </c>
      <c r="H402" s="19" t="s">
        <v>175</v>
      </c>
      <c r="I402" s="18" t="s">
        <v>246</v>
      </c>
      <c r="J402" s="19" t="s">
        <v>247</v>
      </c>
      <c r="K402" s="19" t="s">
        <v>248</v>
      </c>
      <c r="L402" s="18" t="s">
        <v>164</v>
      </c>
      <c r="M402" s="18" t="s">
        <v>272</v>
      </c>
      <c r="N402" s="18" t="s">
        <v>250</v>
      </c>
      <c r="O402" s="20">
        <v>119000</v>
      </c>
      <c r="P402" s="20">
        <v>82110</v>
      </c>
      <c r="Q402" s="20">
        <v>1</v>
      </c>
      <c r="R402" s="20">
        <v>0</v>
      </c>
      <c r="S402" s="20">
        <v>0</v>
      </c>
      <c r="T402" s="20">
        <v>0</v>
      </c>
      <c r="U402" s="20">
        <v>0</v>
      </c>
      <c r="V402" s="20">
        <v>0</v>
      </c>
      <c r="W402" s="20">
        <v>31</v>
      </c>
      <c r="X402" s="20">
        <v>19040</v>
      </c>
      <c r="Y402" s="20">
        <v>0</v>
      </c>
      <c r="Z402" s="20">
        <v>0</v>
      </c>
      <c r="AA402" s="20">
        <v>0</v>
      </c>
      <c r="AB402" s="20">
        <v>0</v>
      </c>
      <c r="AC402" s="20">
        <v>119000</v>
      </c>
      <c r="AD402" s="20">
        <v>82110</v>
      </c>
      <c r="AE402" s="20">
        <v>0</v>
      </c>
      <c r="AF402" s="20">
        <v>19040</v>
      </c>
      <c r="AG402" s="20">
        <v>99960</v>
      </c>
      <c r="AH402" s="20">
        <v>82110</v>
      </c>
      <c r="AI402" s="20">
        <v>16227</v>
      </c>
      <c r="AJ402" s="20">
        <v>1623</v>
      </c>
      <c r="AK402" s="20">
        <v>17850</v>
      </c>
    </row>
    <row r="403" spans="1:37" ht="16.5" customHeight="1" x14ac:dyDescent="0.3">
      <c r="A403" s="18" t="s">
        <v>1322</v>
      </c>
      <c r="B403" s="18" t="s">
        <v>240</v>
      </c>
      <c r="C403" s="19" t="s">
        <v>241</v>
      </c>
      <c r="D403" s="18" t="s">
        <v>1323</v>
      </c>
      <c r="E403" s="19" t="s">
        <v>1324</v>
      </c>
      <c r="F403" s="18" t="s">
        <v>244</v>
      </c>
      <c r="G403" s="18" t="s">
        <v>245</v>
      </c>
      <c r="H403" s="19" t="s">
        <v>175</v>
      </c>
      <c r="I403" s="18" t="s">
        <v>246</v>
      </c>
      <c r="J403" s="19" t="s">
        <v>247</v>
      </c>
      <c r="K403" s="19" t="s">
        <v>248</v>
      </c>
      <c r="L403" s="18" t="s">
        <v>164</v>
      </c>
      <c r="M403" s="18" t="s">
        <v>272</v>
      </c>
      <c r="N403" s="18" t="s">
        <v>250</v>
      </c>
      <c r="O403" s="20">
        <v>119000</v>
      </c>
      <c r="P403" s="20">
        <v>82110</v>
      </c>
      <c r="Q403" s="20">
        <v>1</v>
      </c>
      <c r="R403" s="20">
        <v>0</v>
      </c>
      <c r="S403" s="20">
        <v>0</v>
      </c>
      <c r="T403" s="20">
        <v>0</v>
      </c>
      <c r="U403" s="20">
        <v>0</v>
      </c>
      <c r="V403" s="20">
        <v>0</v>
      </c>
      <c r="W403" s="20">
        <v>31</v>
      </c>
      <c r="X403" s="20">
        <v>0</v>
      </c>
      <c r="Y403" s="20">
        <v>0</v>
      </c>
      <c r="Z403" s="20">
        <v>0</v>
      </c>
      <c r="AA403" s="20">
        <v>0</v>
      </c>
      <c r="AB403" s="20">
        <v>5950</v>
      </c>
      <c r="AC403" s="20">
        <v>119000</v>
      </c>
      <c r="AD403" s="20">
        <v>82110</v>
      </c>
      <c r="AE403" s="20">
        <v>0</v>
      </c>
      <c r="AF403" s="20">
        <v>5950</v>
      </c>
      <c r="AG403" s="20">
        <v>113050</v>
      </c>
      <c r="AH403" s="20">
        <v>82110</v>
      </c>
      <c r="AI403" s="20">
        <v>28127</v>
      </c>
      <c r="AJ403" s="20">
        <v>2813</v>
      </c>
      <c r="AK403" s="20">
        <v>30940</v>
      </c>
    </row>
    <row r="404" spans="1:37" ht="16.5" customHeight="1" x14ac:dyDescent="0.3">
      <c r="A404" s="18" t="s">
        <v>1325</v>
      </c>
      <c r="B404" s="18" t="s">
        <v>240</v>
      </c>
      <c r="C404" s="19" t="s">
        <v>241</v>
      </c>
      <c r="D404" s="18" t="s">
        <v>1326</v>
      </c>
      <c r="E404" s="19" t="s">
        <v>1327</v>
      </c>
      <c r="F404" s="18" t="s">
        <v>244</v>
      </c>
      <c r="G404" s="18" t="s">
        <v>245</v>
      </c>
      <c r="H404" s="19" t="s">
        <v>175</v>
      </c>
      <c r="I404" s="18" t="s">
        <v>246</v>
      </c>
      <c r="J404" s="19" t="s">
        <v>247</v>
      </c>
      <c r="K404" s="19" t="s">
        <v>248</v>
      </c>
      <c r="L404" s="18" t="s">
        <v>164</v>
      </c>
      <c r="M404" s="18" t="s">
        <v>272</v>
      </c>
      <c r="N404" s="18" t="s">
        <v>250</v>
      </c>
      <c r="O404" s="20">
        <v>119000</v>
      </c>
      <c r="P404" s="20">
        <v>82110</v>
      </c>
      <c r="Q404" s="20">
        <v>1</v>
      </c>
      <c r="R404" s="20">
        <v>0</v>
      </c>
      <c r="S404" s="20">
        <v>0</v>
      </c>
      <c r="T404" s="20">
        <v>0</v>
      </c>
      <c r="U404" s="20">
        <v>0</v>
      </c>
      <c r="V404" s="20">
        <v>0</v>
      </c>
      <c r="W404" s="20">
        <v>31</v>
      </c>
      <c r="X404" s="20">
        <v>0</v>
      </c>
      <c r="Y404" s="20">
        <v>0</v>
      </c>
      <c r="Z404" s="20">
        <v>0</v>
      </c>
      <c r="AA404" s="20">
        <v>0</v>
      </c>
      <c r="AB404" s="20">
        <v>0</v>
      </c>
      <c r="AC404" s="20">
        <v>119000</v>
      </c>
      <c r="AD404" s="20">
        <v>82110</v>
      </c>
      <c r="AE404" s="20">
        <v>0</v>
      </c>
      <c r="AF404" s="20">
        <v>0</v>
      </c>
      <c r="AG404" s="20">
        <v>119000</v>
      </c>
      <c r="AH404" s="20">
        <v>82110</v>
      </c>
      <c r="AI404" s="20">
        <v>33536</v>
      </c>
      <c r="AJ404" s="20">
        <v>3354</v>
      </c>
      <c r="AK404" s="20">
        <v>36890</v>
      </c>
    </row>
    <row r="405" spans="1:37" ht="16.5" customHeight="1" x14ac:dyDescent="0.3">
      <c r="A405" s="18" t="s">
        <v>1328</v>
      </c>
      <c r="B405" s="18" t="s">
        <v>240</v>
      </c>
      <c r="C405" s="19" t="s">
        <v>241</v>
      </c>
      <c r="D405" s="18" t="s">
        <v>1329</v>
      </c>
      <c r="E405" s="19" t="s">
        <v>1058</v>
      </c>
      <c r="F405" s="18" t="s">
        <v>244</v>
      </c>
      <c r="G405" s="18" t="s">
        <v>245</v>
      </c>
      <c r="H405" s="19" t="s">
        <v>175</v>
      </c>
      <c r="I405" s="18" t="s">
        <v>246</v>
      </c>
      <c r="J405" s="19" t="s">
        <v>247</v>
      </c>
      <c r="K405" s="19" t="s">
        <v>248</v>
      </c>
      <c r="L405" s="18" t="s">
        <v>164</v>
      </c>
      <c r="M405" s="18" t="s">
        <v>272</v>
      </c>
      <c r="N405" s="18" t="s">
        <v>250</v>
      </c>
      <c r="O405" s="20">
        <v>119000</v>
      </c>
      <c r="P405" s="20">
        <v>82110</v>
      </c>
      <c r="Q405" s="20">
        <v>1</v>
      </c>
      <c r="R405" s="20">
        <v>0</v>
      </c>
      <c r="S405" s="20">
        <v>0</v>
      </c>
      <c r="T405" s="20">
        <v>0</v>
      </c>
      <c r="U405" s="20">
        <v>0</v>
      </c>
      <c r="V405" s="20">
        <v>0</v>
      </c>
      <c r="W405" s="20">
        <v>31</v>
      </c>
      <c r="X405" s="20">
        <v>0</v>
      </c>
      <c r="Y405" s="20">
        <v>0</v>
      </c>
      <c r="Z405" s="20">
        <v>0</v>
      </c>
      <c r="AA405" s="20">
        <v>0</v>
      </c>
      <c r="AB405" s="20">
        <v>0</v>
      </c>
      <c r="AC405" s="20">
        <v>119000</v>
      </c>
      <c r="AD405" s="20">
        <v>82110</v>
      </c>
      <c r="AE405" s="20">
        <v>0</v>
      </c>
      <c r="AF405" s="20">
        <v>0</v>
      </c>
      <c r="AG405" s="20">
        <v>119000</v>
      </c>
      <c r="AH405" s="20">
        <v>82110</v>
      </c>
      <c r="AI405" s="20">
        <v>33536</v>
      </c>
      <c r="AJ405" s="20">
        <v>3354</v>
      </c>
      <c r="AK405" s="20">
        <v>36890</v>
      </c>
    </row>
    <row r="406" spans="1:37" ht="16.5" customHeight="1" x14ac:dyDescent="0.3">
      <c r="A406" s="18" t="s">
        <v>1330</v>
      </c>
      <c r="B406" s="18" t="s">
        <v>240</v>
      </c>
      <c r="C406" s="19" t="s">
        <v>241</v>
      </c>
      <c r="D406" s="18" t="s">
        <v>1331</v>
      </c>
      <c r="E406" s="19" t="s">
        <v>1332</v>
      </c>
      <c r="F406" s="18" t="s">
        <v>244</v>
      </c>
      <c r="G406" s="18" t="s">
        <v>245</v>
      </c>
      <c r="H406" s="19" t="s">
        <v>175</v>
      </c>
      <c r="I406" s="18" t="s">
        <v>246</v>
      </c>
      <c r="J406" s="19" t="s">
        <v>247</v>
      </c>
      <c r="K406" s="19" t="s">
        <v>248</v>
      </c>
      <c r="L406" s="18" t="s">
        <v>164</v>
      </c>
      <c r="M406" s="18" t="s">
        <v>272</v>
      </c>
      <c r="N406" s="18" t="s">
        <v>250</v>
      </c>
      <c r="O406" s="20">
        <v>119000</v>
      </c>
      <c r="P406" s="20">
        <v>82110</v>
      </c>
      <c r="Q406" s="20">
        <v>1</v>
      </c>
      <c r="R406" s="20">
        <v>0</v>
      </c>
      <c r="S406" s="20">
        <v>0</v>
      </c>
      <c r="T406" s="20">
        <v>0</v>
      </c>
      <c r="U406" s="20">
        <v>0</v>
      </c>
      <c r="V406" s="20">
        <v>0</v>
      </c>
      <c r="W406" s="20">
        <v>31</v>
      </c>
      <c r="X406" s="20">
        <v>19040</v>
      </c>
      <c r="Y406" s="20">
        <v>0</v>
      </c>
      <c r="Z406" s="20">
        <v>0</v>
      </c>
      <c r="AA406" s="20">
        <v>0</v>
      </c>
      <c r="AB406" s="20">
        <v>0</v>
      </c>
      <c r="AC406" s="20">
        <v>119000</v>
      </c>
      <c r="AD406" s="20">
        <v>82110</v>
      </c>
      <c r="AE406" s="20">
        <v>0</v>
      </c>
      <c r="AF406" s="20">
        <v>19040</v>
      </c>
      <c r="AG406" s="20">
        <v>99960</v>
      </c>
      <c r="AH406" s="20">
        <v>82110</v>
      </c>
      <c r="AI406" s="20">
        <v>16227</v>
      </c>
      <c r="AJ406" s="20">
        <v>1623</v>
      </c>
      <c r="AK406" s="20">
        <v>17850</v>
      </c>
    </row>
    <row r="407" spans="1:37" ht="16.5" customHeight="1" x14ac:dyDescent="0.3">
      <c r="A407" s="18" t="s">
        <v>1333</v>
      </c>
      <c r="B407" s="18" t="s">
        <v>240</v>
      </c>
      <c r="C407" s="19" t="s">
        <v>241</v>
      </c>
      <c r="D407" s="18" t="s">
        <v>1334</v>
      </c>
      <c r="E407" s="19" t="s">
        <v>1335</v>
      </c>
      <c r="F407" s="18" t="s">
        <v>244</v>
      </c>
      <c r="G407" s="18" t="s">
        <v>245</v>
      </c>
      <c r="H407" s="19" t="s">
        <v>175</v>
      </c>
      <c r="I407" s="18" t="s">
        <v>246</v>
      </c>
      <c r="J407" s="19" t="s">
        <v>247</v>
      </c>
      <c r="K407" s="19" t="s">
        <v>248</v>
      </c>
      <c r="L407" s="18" t="s">
        <v>164</v>
      </c>
      <c r="M407" s="18" t="s">
        <v>272</v>
      </c>
      <c r="N407" s="18" t="s">
        <v>250</v>
      </c>
      <c r="O407" s="20">
        <v>119000</v>
      </c>
      <c r="P407" s="20">
        <v>82110</v>
      </c>
      <c r="Q407" s="20">
        <v>1</v>
      </c>
      <c r="R407" s="20">
        <v>0</v>
      </c>
      <c r="S407" s="20">
        <v>0</v>
      </c>
      <c r="T407" s="20">
        <v>0</v>
      </c>
      <c r="U407" s="20">
        <v>0</v>
      </c>
      <c r="V407" s="20">
        <v>0</v>
      </c>
      <c r="W407" s="20">
        <v>31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119000</v>
      </c>
      <c r="AD407" s="20">
        <v>82110</v>
      </c>
      <c r="AE407" s="20">
        <v>0</v>
      </c>
      <c r="AF407" s="20">
        <v>0</v>
      </c>
      <c r="AG407" s="20">
        <v>119000</v>
      </c>
      <c r="AH407" s="20">
        <v>82110</v>
      </c>
      <c r="AI407" s="20">
        <v>33536</v>
      </c>
      <c r="AJ407" s="20">
        <v>3354</v>
      </c>
      <c r="AK407" s="20">
        <v>36890</v>
      </c>
    </row>
    <row r="408" spans="1:37" ht="16.5" customHeight="1" x14ac:dyDescent="0.3">
      <c r="A408" s="18" t="s">
        <v>1336</v>
      </c>
      <c r="B408" s="18" t="s">
        <v>240</v>
      </c>
      <c r="C408" s="19" t="s">
        <v>241</v>
      </c>
      <c r="D408" s="18" t="s">
        <v>1337</v>
      </c>
      <c r="E408" s="19" t="s">
        <v>524</v>
      </c>
      <c r="F408" s="18" t="s">
        <v>244</v>
      </c>
      <c r="G408" s="18" t="s">
        <v>245</v>
      </c>
      <c r="H408" s="19" t="s">
        <v>175</v>
      </c>
      <c r="I408" s="18" t="s">
        <v>246</v>
      </c>
      <c r="J408" s="19" t="s">
        <v>247</v>
      </c>
      <c r="K408" s="19" t="s">
        <v>248</v>
      </c>
      <c r="L408" s="18" t="s">
        <v>164</v>
      </c>
      <c r="M408" s="18" t="s">
        <v>272</v>
      </c>
      <c r="N408" s="18" t="s">
        <v>250</v>
      </c>
      <c r="O408" s="20">
        <v>119000</v>
      </c>
      <c r="P408" s="20">
        <v>82110</v>
      </c>
      <c r="Q408" s="20">
        <v>1</v>
      </c>
      <c r="R408" s="20">
        <v>0</v>
      </c>
      <c r="S408" s="20">
        <v>0</v>
      </c>
      <c r="T408" s="20">
        <v>0</v>
      </c>
      <c r="U408" s="20">
        <v>0</v>
      </c>
      <c r="V408" s="20">
        <v>0</v>
      </c>
      <c r="W408" s="20">
        <v>31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119000</v>
      </c>
      <c r="AD408" s="20">
        <v>82110</v>
      </c>
      <c r="AE408" s="20">
        <v>0</v>
      </c>
      <c r="AF408" s="20">
        <v>0</v>
      </c>
      <c r="AG408" s="20">
        <v>119000</v>
      </c>
      <c r="AH408" s="20">
        <v>82110</v>
      </c>
      <c r="AI408" s="20">
        <v>33536</v>
      </c>
      <c r="AJ408" s="20">
        <v>3354</v>
      </c>
      <c r="AK408" s="20">
        <v>36890</v>
      </c>
    </row>
    <row r="409" spans="1:37" ht="16.5" customHeight="1" x14ac:dyDescent="0.3">
      <c r="A409" s="18" t="s">
        <v>1338</v>
      </c>
      <c r="B409" s="18" t="s">
        <v>240</v>
      </c>
      <c r="C409" s="19" t="s">
        <v>241</v>
      </c>
      <c r="D409" s="18" t="s">
        <v>1339</v>
      </c>
      <c r="E409" s="19" t="s">
        <v>1340</v>
      </c>
      <c r="F409" s="18" t="s">
        <v>244</v>
      </c>
      <c r="G409" s="18" t="s">
        <v>245</v>
      </c>
      <c r="H409" s="19" t="s">
        <v>175</v>
      </c>
      <c r="I409" s="18" t="s">
        <v>246</v>
      </c>
      <c r="J409" s="19" t="s">
        <v>247</v>
      </c>
      <c r="K409" s="19" t="s">
        <v>248</v>
      </c>
      <c r="L409" s="18" t="s">
        <v>164</v>
      </c>
      <c r="M409" s="18" t="s">
        <v>272</v>
      </c>
      <c r="N409" s="18" t="s">
        <v>250</v>
      </c>
      <c r="O409" s="20">
        <v>119000</v>
      </c>
      <c r="P409" s="20">
        <v>82110</v>
      </c>
      <c r="Q409" s="20">
        <v>1</v>
      </c>
      <c r="R409" s="20">
        <v>0</v>
      </c>
      <c r="S409" s="20">
        <v>0</v>
      </c>
      <c r="T409" s="20">
        <v>0</v>
      </c>
      <c r="U409" s="20">
        <v>0</v>
      </c>
      <c r="V409" s="20">
        <v>0</v>
      </c>
      <c r="W409" s="20">
        <v>31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119000</v>
      </c>
      <c r="AD409" s="20">
        <v>82110</v>
      </c>
      <c r="AE409" s="20">
        <v>0</v>
      </c>
      <c r="AF409" s="20">
        <v>0</v>
      </c>
      <c r="AG409" s="20">
        <v>119000</v>
      </c>
      <c r="AH409" s="20">
        <v>82110</v>
      </c>
      <c r="AI409" s="20">
        <v>33536</v>
      </c>
      <c r="AJ409" s="20">
        <v>3354</v>
      </c>
      <c r="AK409" s="20">
        <v>36890</v>
      </c>
    </row>
    <row r="410" spans="1:37" ht="16.5" customHeight="1" x14ac:dyDescent="0.3">
      <c r="A410" s="18" t="s">
        <v>1341</v>
      </c>
      <c r="B410" s="18" t="s">
        <v>240</v>
      </c>
      <c r="C410" s="19" t="s">
        <v>241</v>
      </c>
      <c r="D410" s="18" t="s">
        <v>1342</v>
      </c>
      <c r="E410" s="19" t="s">
        <v>432</v>
      </c>
      <c r="F410" s="18" t="s">
        <v>244</v>
      </c>
      <c r="G410" s="18" t="s">
        <v>245</v>
      </c>
      <c r="H410" s="19" t="s">
        <v>175</v>
      </c>
      <c r="I410" s="18" t="s">
        <v>246</v>
      </c>
      <c r="J410" s="19" t="s">
        <v>247</v>
      </c>
      <c r="K410" s="19" t="s">
        <v>248</v>
      </c>
      <c r="L410" s="18" t="s">
        <v>164</v>
      </c>
      <c r="M410" s="18" t="s">
        <v>272</v>
      </c>
      <c r="N410" s="18" t="s">
        <v>250</v>
      </c>
      <c r="O410" s="20">
        <v>119000</v>
      </c>
      <c r="P410" s="20">
        <v>82110</v>
      </c>
      <c r="Q410" s="20">
        <v>1</v>
      </c>
      <c r="R410" s="20">
        <v>0</v>
      </c>
      <c r="S410" s="20">
        <v>0</v>
      </c>
      <c r="T410" s="20">
        <v>0</v>
      </c>
      <c r="U410" s="20">
        <v>0</v>
      </c>
      <c r="V410" s="20">
        <v>0</v>
      </c>
      <c r="W410" s="20">
        <v>31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119000</v>
      </c>
      <c r="AD410" s="20">
        <v>82110</v>
      </c>
      <c r="AE410" s="20">
        <v>0</v>
      </c>
      <c r="AF410" s="20">
        <v>0</v>
      </c>
      <c r="AG410" s="20">
        <v>119000</v>
      </c>
      <c r="AH410" s="20">
        <v>82110</v>
      </c>
      <c r="AI410" s="20">
        <v>33536</v>
      </c>
      <c r="AJ410" s="20">
        <v>3354</v>
      </c>
      <c r="AK410" s="20">
        <v>36890</v>
      </c>
    </row>
    <row r="411" spans="1:37" ht="16.5" customHeight="1" x14ac:dyDescent="0.3">
      <c r="A411" s="18" t="s">
        <v>1343</v>
      </c>
      <c r="B411" s="18" t="s">
        <v>240</v>
      </c>
      <c r="C411" s="19" t="s">
        <v>241</v>
      </c>
      <c r="D411" s="18" t="s">
        <v>1344</v>
      </c>
      <c r="E411" s="19" t="s">
        <v>1345</v>
      </c>
      <c r="F411" s="18" t="s">
        <v>244</v>
      </c>
      <c r="G411" s="18" t="s">
        <v>245</v>
      </c>
      <c r="H411" s="19" t="s">
        <v>175</v>
      </c>
      <c r="I411" s="18" t="s">
        <v>246</v>
      </c>
      <c r="J411" s="19" t="s">
        <v>247</v>
      </c>
      <c r="K411" s="19" t="s">
        <v>248</v>
      </c>
      <c r="L411" s="18" t="s">
        <v>164</v>
      </c>
      <c r="M411" s="18" t="s">
        <v>272</v>
      </c>
      <c r="N411" s="18" t="s">
        <v>250</v>
      </c>
      <c r="O411" s="20">
        <v>119000</v>
      </c>
      <c r="P411" s="20">
        <v>82110</v>
      </c>
      <c r="Q411" s="20">
        <v>1</v>
      </c>
      <c r="R411" s="20">
        <v>0</v>
      </c>
      <c r="S411" s="20">
        <v>0</v>
      </c>
      <c r="T411" s="20">
        <v>0</v>
      </c>
      <c r="U411" s="20">
        <v>0</v>
      </c>
      <c r="V411" s="20">
        <v>0</v>
      </c>
      <c r="W411" s="20">
        <v>31</v>
      </c>
      <c r="X411" s="20">
        <v>0</v>
      </c>
      <c r="Y411" s="20">
        <v>0</v>
      </c>
      <c r="Z411" s="20">
        <v>0</v>
      </c>
      <c r="AA411" s="20">
        <v>0</v>
      </c>
      <c r="AB411" s="20">
        <v>0</v>
      </c>
      <c r="AC411" s="20">
        <v>119000</v>
      </c>
      <c r="AD411" s="20">
        <v>82110</v>
      </c>
      <c r="AE411" s="20">
        <v>0</v>
      </c>
      <c r="AF411" s="20">
        <v>0</v>
      </c>
      <c r="AG411" s="20">
        <v>119000</v>
      </c>
      <c r="AH411" s="20">
        <v>82110</v>
      </c>
      <c r="AI411" s="20">
        <v>33536</v>
      </c>
      <c r="AJ411" s="20">
        <v>3354</v>
      </c>
      <c r="AK411" s="20">
        <v>36890</v>
      </c>
    </row>
    <row r="412" spans="1:37" ht="16.5" customHeight="1" x14ac:dyDescent="0.3">
      <c r="A412" s="18" t="s">
        <v>1346</v>
      </c>
      <c r="B412" s="18" t="s">
        <v>240</v>
      </c>
      <c r="C412" s="19" t="s">
        <v>241</v>
      </c>
      <c r="D412" s="18" t="s">
        <v>1347</v>
      </c>
      <c r="E412" s="19" t="s">
        <v>1348</v>
      </c>
      <c r="F412" s="18" t="s">
        <v>244</v>
      </c>
      <c r="G412" s="18" t="s">
        <v>245</v>
      </c>
      <c r="H412" s="19" t="s">
        <v>175</v>
      </c>
      <c r="I412" s="18" t="s">
        <v>246</v>
      </c>
      <c r="J412" s="19" t="s">
        <v>247</v>
      </c>
      <c r="K412" s="19" t="s">
        <v>248</v>
      </c>
      <c r="L412" s="18" t="s">
        <v>164</v>
      </c>
      <c r="M412" s="18" t="s">
        <v>272</v>
      </c>
      <c r="N412" s="18" t="s">
        <v>250</v>
      </c>
      <c r="O412" s="20">
        <v>119000</v>
      </c>
      <c r="P412" s="20">
        <v>82110</v>
      </c>
      <c r="Q412" s="20">
        <v>1</v>
      </c>
      <c r="R412" s="20">
        <v>0</v>
      </c>
      <c r="S412" s="20">
        <v>0</v>
      </c>
      <c r="T412" s="20">
        <v>0</v>
      </c>
      <c r="U412" s="20">
        <v>0</v>
      </c>
      <c r="V412" s="20">
        <v>0</v>
      </c>
      <c r="W412" s="20">
        <v>31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119000</v>
      </c>
      <c r="AD412" s="20">
        <v>82110</v>
      </c>
      <c r="AE412" s="20">
        <v>0</v>
      </c>
      <c r="AF412" s="20">
        <v>0</v>
      </c>
      <c r="AG412" s="20">
        <v>119000</v>
      </c>
      <c r="AH412" s="20">
        <v>82110</v>
      </c>
      <c r="AI412" s="20">
        <v>33536</v>
      </c>
      <c r="AJ412" s="20">
        <v>3354</v>
      </c>
      <c r="AK412" s="20">
        <v>36890</v>
      </c>
    </row>
    <row r="413" spans="1:37" ht="16.5" customHeight="1" x14ac:dyDescent="0.3">
      <c r="A413" s="18" t="s">
        <v>1349</v>
      </c>
      <c r="B413" s="18" t="s">
        <v>240</v>
      </c>
      <c r="C413" s="19" t="s">
        <v>241</v>
      </c>
      <c r="D413" s="18" t="s">
        <v>1350</v>
      </c>
      <c r="E413" s="19" t="s">
        <v>473</v>
      </c>
      <c r="F413" s="18" t="s">
        <v>244</v>
      </c>
      <c r="G413" s="18" t="s">
        <v>245</v>
      </c>
      <c r="H413" s="19" t="s">
        <v>175</v>
      </c>
      <c r="I413" s="18" t="s">
        <v>246</v>
      </c>
      <c r="J413" s="19" t="s">
        <v>247</v>
      </c>
      <c r="K413" s="19" t="s">
        <v>248</v>
      </c>
      <c r="L413" s="18" t="s">
        <v>164</v>
      </c>
      <c r="M413" s="18" t="s">
        <v>272</v>
      </c>
      <c r="N413" s="18" t="s">
        <v>250</v>
      </c>
      <c r="O413" s="20">
        <v>119000</v>
      </c>
      <c r="P413" s="20">
        <v>82110</v>
      </c>
      <c r="Q413" s="20">
        <v>1</v>
      </c>
      <c r="R413" s="20">
        <v>0</v>
      </c>
      <c r="S413" s="20">
        <v>0</v>
      </c>
      <c r="T413" s="20">
        <v>0</v>
      </c>
      <c r="U413" s="20">
        <v>0</v>
      </c>
      <c r="V413" s="20">
        <v>0</v>
      </c>
      <c r="W413" s="20">
        <v>31</v>
      </c>
      <c r="X413" s="20">
        <v>0</v>
      </c>
      <c r="Y413" s="20">
        <v>0</v>
      </c>
      <c r="Z413" s="20">
        <v>0</v>
      </c>
      <c r="AA413" s="20">
        <v>0</v>
      </c>
      <c r="AB413" s="20">
        <v>5950</v>
      </c>
      <c r="AC413" s="20">
        <v>119000</v>
      </c>
      <c r="AD413" s="20">
        <v>82110</v>
      </c>
      <c r="AE413" s="20">
        <v>0</v>
      </c>
      <c r="AF413" s="20">
        <v>5950</v>
      </c>
      <c r="AG413" s="20">
        <v>113050</v>
      </c>
      <c r="AH413" s="20">
        <v>82110</v>
      </c>
      <c r="AI413" s="20">
        <v>28127</v>
      </c>
      <c r="AJ413" s="20">
        <v>2813</v>
      </c>
      <c r="AK413" s="20">
        <v>30940</v>
      </c>
    </row>
    <row r="414" spans="1:37" ht="16.5" customHeight="1" x14ac:dyDescent="0.3">
      <c r="A414" s="18" t="s">
        <v>1351</v>
      </c>
      <c r="B414" s="18" t="s">
        <v>240</v>
      </c>
      <c r="C414" s="19" t="s">
        <v>241</v>
      </c>
      <c r="D414" s="18" t="s">
        <v>1352</v>
      </c>
      <c r="E414" s="19" t="s">
        <v>349</v>
      </c>
      <c r="F414" s="18" t="s">
        <v>244</v>
      </c>
      <c r="G414" s="18" t="s">
        <v>245</v>
      </c>
      <c r="H414" s="19" t="s">
        <v>175</v>
      </c>
      <c r="I414" s="18" t="s">
        <v>246</v>
      </c>
      <c r="J414" s="19" t="s">
        <v>247</v>
      </c>
      <c r="K414" s="19" t="s">
        <v>248</v>
      </c>
      <c r="L414" s="18" t="s">
        <v>164</v>
      </c>
      <c r="M414" s="18" t="s">
        <v>272</v>
      </c>
      <c r="N414" s="18" t="s">
        <v>250</v>
      </c>
      <c r="O414" s="20">
        <v>119000</v>
      </c>
      <c r="P414" s="20">
        <v>82110</v>
      </c>
      <c r="Q414" s="20">
        <v>1</v>
      </c>
      <c r="R414" s="20">
        <v>0</v>
      </c>
      <c r="S414" s="20">
        <v>0</v>
      </c>
      <c r="T414" s="20">
        <v>0</v>
      </c>
      <c r="U414" s="20">
        <v>0</v>
      </c>
      <c r="V414" s="20">
        <v>0</v>
      </c>
      <c r="W414" s="20">
        <v>31</v>
      </c>
      <c r="X414" s="20">
        <v>0</v>
      </c>
      <c r="Y414" s="20">
        <v>0</v>
      </c>
      <c r="Z414" s="20">
        <v>0</v>
      </c>
      <c r="AA414" s="20">
        <v>0</v>
      </c>
      <c r="AB414" s="20">
        <v>0</v>
      </c>
      <c r="AC414" s="20">
        <v>119000</v>
      </c>
      <c r="AD414" s="20">
        <v>82110</v>
      </c>
      <c r="AE414" s="20">
        <v>0</v>
      </c>
      <c r="AF414" s="20">
        <v>0</v>
      </c>
      <c r="AG414" s="20">
        <v>119000</v>
      </c>
      <c r="AH414" s="20">
        <v>82110</v>
      </c>
      <c r="AI414" s="20">
        <v>33536</v>
      </c>
      <c r="AJ414" s="20">
        <v>3354</v>
      </c>
      <c r="AK414" s="20">
        <v>36890</v>
      </c>
    </row>
    <row r="415" spans="1:37" ht="16.5" customHeight="1" x14ac:dyDescent="0.3">
      <c r="A415" s="18" t="s">
        <v>1353</v>
      </c>
      <c r="B415" s="18" t="s">
        <v>240</v>
      </c>
      <c r="C415" s="19" t="s">
        <v>241</v>
      </c>
      <c r="D415" s="18" t="s">
        <v>1354</v>
      </c>
      <c r="E415" s="19" t="s">
        <v>1355</v>
      </c>
      <c r="F415" s="18" t="s">
        <v>244</v>
      </c>
      <c r="G415" s="18" t="s">
        <v>245</v>
      </c>
      <c r="H415" s="19" t="s">
        <v>175</v>
      </c>
      <c r="I415" s="18" t="s">
        <v>246</v>
      </c>
      <c r="J415" s="19" t="s">
        <v>247</v>
      </c>
      <c r="K415" s="19" t="s">
        <v>248</v>
      </c>
      <c r="L415" s="18" t="s">
        <v>164</v>
      </c>
      <c r="M415" s="18" t="s">
        <v>272</v>
      </c>
      <c r="N415" s="18" t="s">
        <v>250</v>
      </c>
      <c r="O415" s="20">
        <v>119000</v>
      </c>
      <c r="P415" s="20">
        <v>82110</v>
      </c>
      <c r="Q415" s="20">
        <v>1</v>
      </c>
      <c r="R415" s="20">
        <v>0</v>
      </c>
      <c r="S415" s="20">
        <v>0</v>
      </c>
      <c r="T415" s="20">
        <v>0</v>
      </c>
      <c r="U415" s="20">
        <v>0</v>
      </c>
      <c r="V415" s="20">
        <v>0</v>
      </c>
      <c r="W415" s="20">
        <v>31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119000</v>
      </c>
      <c r="AD415" s="20">
        <v>82110</v>
      </c>
      <c r="AE415" s="20">
        <v>0</v>
      </c>
      <c r="AF415" s="20">
        <v>0</v>
      </c>
      <c r="AG415" s="20">
        <v>119000</v>
      </c>
      <c r="AH415" s="20">
        <v>82110</v>
      </c>
      <c r="AI415" s="20">
        <v>33536</v>
      </c>
      <c r="AJ415" s="20">
        <v>3354</v>
      </c>
      <c r="AK415" s="20">
        <v>36890</v>
      </c>
    </row>
    <row r="416" spans="1:37" ht="16.5" customHeight="1" x14ac:dyDescent="0.3">
      <c r="A416" s="18" t="s">
        <v>1356</v>
      </c>
      <c r="B416" s="18" t="s">
        <v>240</v>
      </c>
      <c r="C416" s="19" t="s">
        <v>241</v>
      </c>
      <c r="D416" s="18" t="s">
        <v>1357</v>
      </c>
      <c r="E416" s="19" t="s">
        <v>1358</v>
      </c>
      <c r="F416" s="18" t="s">
        <v>244</v>
      </c>
      <c r="G416" s="18" t="s">
        <v>245</v>
      </c>
      <c r="H416" s="19" t="s">
        <v>175</v>
      </c>
      <c r="I416" s="18" t="s">
        <v>246</v>
      </c>
      <c r="J416" s="19" t="s">
        <v>247</v>
      </c>
      <c r="K416" s="19" t="s">
        <v>248</v>
      </c>
      <c r="L416" s="18" t="s">
        <v>164</v>
      </c>
      <c r="M416" s="18" t="s">
        <v>272</v>
      </c>
      <c r="N416" s="18" t="s">
        <v>250</v>
      </c>
      <c r="O416" s="20">
        <v>119000</v>
      </c>
      <c r="P416" s="20">
        <v>82110</v>
      </c>
      <c r="Q416" s="20">
        <v>1</v>
      </c>
      <c r="R416" s="20">
        <v>0</v>
      </c>
      <c r="S416" s="20">
        <v>0</v>
      </c>
      <c r="T416" s="20">
        <v>0</v>
      </c>
      <c r="U416" s="20">
        <v>0</v>
      </c>
      <c r="V416" s="20">
        <v>0</v>
      </c>
      <c r="W416" s="20">
        <v>31</v>
      </c>
      <c r="X416" s="20">
        <v>0</v>
      </c>
      <c r="Y416" s="20">
        <v>5000</v>
      </c>
      <c r="Z416" s="20">
        <v>0</v>
      </c>
      <c r="AA416" s="20">
        <v>0</v>
      </c>
      <c r="AB416" s="20">
        <v>0</v>
      </c>
      <c r="AC416" s="20">
        <v>119000</v>
      </c>
      <c r="AD416" s="20">
        <v>82110</v>
      </c>
      <c r="AE416" s="20">
        <v>0</v>
      </c>
      <c r="AF416" s="20">
        <v>5000</v>
      </c>
      <c r="AG416" s="20">
        <v>114000</v>
      </c>
      <c r="AH416" s="20">
        <v>82110</v>
      </c>
      <c r="AI416" s="20">
        <v>28991</v>
      </c>
      <c r="AJ416" s="20">
        <v>2899</v>
      </c>
      <c r="AK416" s="20">
        <v>31890</v>
      </c>
    </row>
    <row r="417" spans="1:37" ht="16.5" customHeight="1" x14ac:dyDescent="0.3">
      <c r="A417" s="18" t="s">
        <v>1359</v>
      </c>
      <c r="B417" s="18" t="s">
        <v>240</v>
      </c>
      <c r="C417" s="19" t="s">
        <v>241</v>
      </c>
      <c r="D417" s="18" t="s">
        <v>1360</v>
      </c>
      <c r="E417" s="19" t="s">
        <v>922</v>
      </c>
      <c r="F417" s="18" t="s">
        <v>244</v>
      </c>
      <c r="G417" s="18" t="s">
        <v>245</v>
      </c>
      <c r="H417" s="19" t="s">
        <v>175</v>
      </c>
      <c r="I417" s="18" t="s">
        <v>246</v>
      </c>
      <c r="J417" s="19" t="s">
        <v>247</v>
      </c>
      <c r="K417" s="19" t="s">
        <v>248</v>
      </c>
      <c r="L417" s="18" t="s">
        <v>164</v>
      </c>
      <c r="M417" s="18" t="s">
        <v>272</v>
      </c>
      <c r="N417" s="18" t="s">
        <v>250</v>
      </c>
      <c r="O417" s="20">
        <v>119000</v>
      </c>
      <c r="P417" s="20">
        <v>82110</v>
      </c>
      <c r="Q417" s="20">
        <v>1</v>
      </c>
      <c r="R417" s="20">
        <v>0</v>
      </c>
      <c r="S417" s="20">
        <v>0</v>
      </c>
      <c r="T417" s="20">
        <v>0</v>
      </c>
      <c r="U417" s="20">
        <v>0</v>
      </c>
      <c r="V417" s="20">
        <v>0</v>
      </c>
      <c r="W417" s="20">
        <v>31</v>
      </c>
      <c r="X417" s="20">
        <v>0</v>
      </c>
      <c r="Y417" s="20">
        <v>10000</v>
      </c>
      <c r="Z417" s="20">
        <v>0</v>
      </c>
      <c r="AA417" s="20">
        <v>0</v>
      </c>
      <c r="AB417" s="20">
        <v>0</v>
      </c>
      <c r="AC417" s="20">
        <v>119000</v>
      </c>
      <c r="AD417" s="20">
        <v>82110</v>
      </c>
      <c r="AE417" s="20">
        <v>0</v>
      </c>
      <c r="AF417" s="20">
        <v>10000</v>
      </c>
      <c r="AG417" s="20">
        <v>109000</v>
      </c>
      <c r="AH417" s="20">
        <v>82110</v>
      </c>
      <c r="AI417" s="20">
        <v>24445</v>
      </c>
      <c r="AJ417" s="20">
        <v>2445</v>
      </c>
      <c r="AK417" s="20">
        <v>26890</v>
      </c>
    </row>
    <row r="418" spans="1:37" ht="16.5" customHeight="1" x14ac:dyDescent="0.3">
      <c r="A418" s="18" t="s">
        <v>1361</v>
      </c>
      <c r="B418" s="18" t="s">
        <v>240</v>
      </c>
      <c r="C418" s="19" t="s">
        <v>241</v>
      </c>
      <c r="D418" s="18" t="s">
        <v>1362</v>
      </c>
      <c r="E418" s="19" t="s">
        <v>1363</v>
      </c>
      <c r="F418" s="18" t="s">
        <v>244</v>
      </c>
      <c r="G418" s="18" t="s">
        <v>245</v>
      </c>
      <c r="H418" s="19" t="s">
        <v>175</v>
      </c>
      <c r="I418" s="18" t="s">
        <v>246</v>
      </c>
      <c r="J418" s="19" t="s">
        <v>247</v>
      </c>
      <c r="K418" s="19" t="s">
        <v>248</v>
      </c>
      <c r="L418" s="18" t="s">
        <v>164</v>
      </c>
      <c r="M418" s="18" t="s">
        <v>272</v>
      </c>
      <c r="N418" s="18" t="s">
        <v>250</v>
      </c>
      <c r="O418" s="20">
        <v>119000</v>
      </c>
      <c r="P418" s="20">
        <v>82110</v>
      </c>
      <c r="Q418" s="20">
        <v>1</v>
      </c>
      <c r="R418" s="20">
        <v>0</v>
      </c>
      <c r="S418" s="20">
        <v>0</v>
      </c>
      <c r="T418" s="20">
        <v>0</v>
      </c>
      <c r="U418" s="20">
        <v>0</v>
      </c>
      <c r="V418" s="20">
        <v>0</v>
      </c>
      <c r="W418" s="20">
        <v>31</v>
      </c>
      <c r="X418" s="20">
        <v>0</v>
      </c>
      <c r="Y418" s="20">
        <v>0</v>
      </c>
      <c r="Z418" s="20">
        <v>0</v>
      </c>
      <c r="AA418" s="20">
        <v>0</v>
      </c>
      <c r="AB418" s="20">
        <v>0</v>
      </c>
      <c r="AC418" s="20">
        <v>119000</v>
      </c>
      <c r="AD418" s="20">
        <v>82110</v>
      </c>
      <c r="AE418" s="20">
        <v>0</v>
      </c>
      <c r="AF418" s="20">
        <v>0</v>
      </c>
      <c r="AG418" s="20">
        <v>119000</v>
      </c>
      <c r="AH418" s="20">
        <v>82110</v>
      </c>
      <c r="AI418" s="20">
        <v>33536</v>
      </c>
      <c r="AJ418" s="20">
        <v>3354</v>
      </c>
      <c r="AK418" s="20">
        <v>36890</v>
      </c>
    </row>
    <row r="419" spans="1:37" ht="16.5" customHeight="1" x14ac:dyDescent="0.3">
      <c r="A419" s="18" t="s">
        <v>1364</v>
      </c>
      <c r="B419" s="18" t="s">
        <v>240</v>
      </c>
      <c r="C419" s="19" t="s">
        <v>241</v>
      </c>
      <c r="D419" s="18" t="s">
        <v>1365</v>
      </c>
      <c r="E419" s="19" t="s">
        <v>1366</v>
      </c>
      <c r="F419" s="18" t="s">
        <v>244</v>
      </c>
      <c r="G419" s="18" t="s">
        <v>245</v>
      </c>
      <c r="H419" s="19" t="s">
        <v>175</v>
      </c>
      <c r="I419" s="18" t="s">
        <v>246</v>
      </c>
      <c r="J419" s="19" t="s">
        <v>247</v>
      </c>
      <c r="K419" s="19" t="s">
        <v>248</v>
      </c>
      <c r="L419" s="18" t="s">
        <v>164</v>
      </c>
      <c r="M419" s="18" t="s">
        <v>272</v>
      </c>
      <c r="N419" s="18" t="s">
        <v>250</v>
      </c>
      <c r="O419" s="20">
        <v>119000</v>
      </c>
      <c r="P419" s="20">
        <v>82110</v>
      </c>
      <c r="Q419" s="20">
        <v>1</v>
      </c>
      <c r="R419" s="20">
        <v>0</v>
      </c>
      <c r="S419" s="20">
        <v>0</v>
      </c>
      <c r="T419" s="20">
        <v>0</v>
      </c>
      <c r="U419" s="20">
        <v>0</v>
      </c>
      <c r="V419" s="20">
        <v>0</v>
      </c>
      <c r="W419" s="20">
        <v>31</v>
      </c>
      <c r="X419" s="20">
        <v>0</v>
      </c>
      <c r="Y419" s="20">
        <v>0</v>
      </c>
      <c r="Z419" s="20">
        <v>0</v>
      </c>
      <c r="AA419" s="20">
        <v>0</v>
      </c>
      <c r="AB419" s="20">
        <v>0</v>
      </c>
      <c r="AC419" s="20">
        <v>119000</v>
      </c>
      <c r="AD419" s="20">
        <v>82110</v>
      </c>
      <c r="AE419" s="20">
        <v>0</v>
      </c>
      <c r="AF419" s="20">
        <v>0</v>
      </c>
      <c r="AG419" s="20">
        <v>119000</v>
      </c>
      <c r="AH419" s="20">
        <v>82110</v>
      </c>
      <c r="AI419" s="20">
        <v>33536</v>
      </c>
      <c r="AJ419" s="20">
        <v>3354</v>
      </c>
      <c r="AK419" s="20">
        <v>36890</v>
      </c>
    </row>
    <row r="420" spans="1:37" ht="16.5" customHeight="1" x14ac:dyDescent="0.3">
      <c r="A420" s="18" t="s">
        <v>1367</v>
      </c>
      <c r="B420" s="18" t="s">
        <v>240</v>
      </c>
      <c r="C420" s="19" t="s">
        <v>241</v>
      </c>
      <c r="D420" s="18" t="s">
        <v>1368</v>
      </c>
      <c r="E420" s="19" t="s">
        <v>349</v>
      </c>
      <c r="F420" s="18" t="s">
        <v>244</v>
      </c>
      <c r="G420" s="18" t="s">
        <v>245</v>
      </c>
      <c r="H420" s="19" t="s">
        <v>175</v>
      </c>
      <c r="I420" s="18" t="s">
        <v>246</v>
      </c>
      <c r="J420" s="19" t="s">
        <v>247</v>
      </c>
      <c r="K420" s="19" t="s">
        <v>248</v>
      </c>
      <c r="L420" s="18" t="s">
        <v>164</v>
      </c>
      <c r="M420" s="18" t="s">
        <v>272</v>
      </c>
      <c r="N420" s="18" t="s">
        <v>250</v>
      </c>
      <c r="O420" s="20">
        <v>119000</v>
      </c>
      <c r="P420" s="20">
        <v>82110</v>
      </c>
      <c r="Q420" s="20">
        <v>1</v>
      </c>
      <c r="R420" s="20">
        <v>0</v>
      </c>
      <c r="S420" s="20">
        <v>0</v>
      </c>
      <c r="T420" s="20">
        <v>0</v>
      </c>
      <c r="U420" s="20">
        <v>0</v>
      </c>
      <c r="V420" s="20">
        <v>0</v>
      </c>
      <c r="W420" s="20">
        <v>31</v>
      </c>
      <c r="X420" s="20">
        <v>0</v>
      </c>
      <c r="Y420" s="20">
        <v>0</v>
      </c>
      <c r="Z420" s="20">
        <v>0</v>
      </c>
      <c r="AA420" s="20">
        <v>0</v>
      </c>
      <c r="AB420" s="20">
        <v>5950</v>
      </c>
      <c r="AC420" s="20">
        <v>119000</v>
      </c>
      <c r="AD420" s="20">
        <v>82110</v>
      </c>
      <c r="AE420" s="20">
        <v>0</v>
      </c>
      <c r="AF420" s="20">
        <v>5950</v>
      </c>
      <c r="AG420" s="20">
        <v>113050</v>
      </c>
      <c r="AH420" s="20">
        <v>82110</v>
      </c>
      <c r="AI420" s="20">
        <v>28127</v>
      </c>
      <c r="AJ420" s="20">
        <v>2813</v>
      </c>
      <c r="AK420" s="20">
        <v>30940</v>
      </c>
    </row>
    <row r="421" spans="1:37" ht="16.5" customHeight="1" x14ac:dyDescent="0.3">
      <c r="A421" s="18" t="s">
        <v>1369</v>
      </c>
      <c r="B421" s="18" t="s">
        <v>240</v>
      </c>
      <c r="C421" s="19" t="s">
        <v>241</v>
      </c>
      <c r="D421" s="18" t="s">
        <v>1370</v>
      </c>
      <c r="E421" s="19" t="s">
        <v>349</v>
      </c>
      <c r="F421" s="18" t="s">
        <v>244</v>
      </c>
      <c r="G421" s="18" t="s">
        <v>245</v>
      </c>
      <c r="H421" s="19" t="s">
        <v>175</v>
      </c>
      <c r="I421" s="18" t="s">
        <v>246</v>
      </c>
      <c r="J421" s="19" t="s">
        <v>247</v>
      </c>
      <c r="K421" s="19" t="s">
        <v>248</v>
      </c>
      <c r="L421" s="18" t="s">
        <v>164</v>
      </c>
      <c r="M421" s="18" t="s">
        <v>272</v>
      </c>
      <c r="N421" s="18" t="s">
        <v>250</v>
      </c>
      <c r="O421" s="20">
        <v>119000</v>
      </c>
      <c r="P421" s="20">
        <v>82110</v>
      </c>
      <c r="Q421" s="20">
        <v>1</v>
      </c>
      <c r="R421" s="20">
        <v>0</v>
      </c>
      <c r="S421" s="20">
        <v>0</v>
      </c>
      <c r="T421" s="20">
        <v>0</v>
      </c>
      <c r="U421" s="20">
        <v>0</v>
      </c>
      <c r="V421" s="20">
        <v>0</v>
      </c>
      <c r="W421" s="20">
        <v>31</v>
      </c>
      <c r="X421" s="20">
        <v>0</v>
      </c>
      <c r="Y421" s="20">
        <v>0</v>
      </c>
      <c r="Z421" s="20">
        <v>0</v>
      </c>
      <c r="AA421" s="20">
        <v>0</v>
      </c>
      <c r="AB421" s="20">
        <v>5950</v>
      </c>
      <c r="AC421" s="20">
        <v>119000</v>
      </c>
      <c r="AD421" s="20">
        <v>82110</v>
      </c>
      <c r="AE421" s="20">
        <v>0</v>
      </c>
      <c r="AF421" s="20">
        <v>5950</v>
      </c>
      <c r="AG421" s="20">
        <v>113050</v>
      </c>
      <c r="AH421" s="20">
        <v>82110</v>
      </c>
      <c r="AI421" s="20">
        <v>28127</v>
      </c>
      <c r="AJ421" s="20">
        <v>2813</v>
      </c>
      <c r="AK421" s="20">
        <v>30940</v>
      </c>
    </row>
    <row r="422" spans="1:37" ht="16.5" customHeight="1" x14ac:dyDescent="0.3">
      <c r="A422" s="18" t="s">
        <v>1371</v>
      </c>
      <c r="B422" s="18" t="s">
        <v>240</v>
      </c>
      <c r="C422" s="19" t="s">
        <v>241</v>
      </c>
      <c r="D422" s="18" t="s">
        <v>1372</v>
      </c>
      <c r="E422" s="19" t="s">
        <v>1132</v>
      </c>
      <c r="F422" s="18" t="s">
        <v>244</v>
      </c>
      <c r="G422" s="18" t="s">
        <v>245</v>
      </c>
      <c r="H422" s="19" t="s">
        <v>175</v>
      </c>
      <c r="I422" s="18" t="s">
        <v>246</v>
      </c>
      <c r="J422" s="19" t="s">
        <v>247</v>
      </c>
      <c r="K422" s="19" t="s">
        <v>248</v>
      </c>
      <c r="L422" s="18" t="s">
        <v>164</v>
      </c>
      <c r="M422" s="18" t="s">
        <v>272</v>
      </c>
      <c r="N422" s="18" t="s">
        <v>250</v>
      </c>
      <c r="O422" s="20">
        <v>119000</v>
      </c>
      <c r="P422" s="20">
        <v>82110</v>
      </c>
      <c r="Q422" s="20">
        <v>1</v>
      </c>
      <c r="R422" s="20">
        <v>0</v>
      </c>
      <c r="S422" s="20">
        <v>0</v>
      </c>
      <c r="T422" s="20">
        <v>0</v>
      </c>
      <c r="U422" s="20">
        <v>0</v>
      </c>
      <c r="V422" s="20">
        <v>0</v>
      </c>
      <c r="W422" s="20">
        <v>31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119000</v>
      </c>
      <c r="AD422" s="20">
        <v>82110</v>
      </c>
      <c r="AE422" s="20">
        <v>0</v>
      </c>
      <c r="AF422" s="20">
        <v>0</v>
      </c>
      <c r="AG422" s="20">
        <v>119000</v>
      </c>
      <c r="AH422" s="20">
        <v>82110</v>
      </c>
      <c r="AI422" s="20">
        <v>33536</v>
      </c>
      <c r="AJ422" s="20">
        <v>3354</v>
      </c>
      <c r="AK422" s="20">
        <v>36890</v>
      </c>
    </row>
    <row r="423" spans="1:37" ht="16.5" customHeight="1" x14ac:dyDescent="0.3">
      <c r="A423" s="18" t="s">
        <v>1373</v>
      </c>
      <c r="B423" s="18" t="s">
        <v>240</v>
      </c>
      <c r="C423" s="19" t="s">
        <v>241</v>
      </c>
      <c r="D423" s="18" t="s">
        <v>1374</v>
      </c>
      <c r="E423" s="19" t="s">
        <v>1375</v>
      </c>
      <c r="F423" s="18" t="s">
        <v>244</v>
      </c>
      <c r="G423" s="18" t="s">
        <v>245</v>
      </c>
      <c r="H423" s="19" t="s">
        <v>175</v>
      </c>
      <c r="I423" s="18" t="s">
        <v>246</v>
      </c>
      <c r="J423" s="19" t="s">
        <v>247</v>
      </c>
      <c r="K423" s="19" t="s">
        <v>248</v>
      </c>
      <c r="L423" s="18" t="s">
        <v>164</v>
      </c>
      <c r="M423" s="18" t="s">
        <v>272</v>
      </c>
      <c r="N423" s="18" t="s">
        <v>250</v>
      </c>
      <c r="O423" s="20">
        <v>119000</v>
      </c>
      <c r="P423" s="20">
        <v>82110</v>
      </c>
      <c r="Q423" s="20">
        <v>1</v>
      </c>
      <c r="R423" s="20">
        <v>0</v>
      </c>
      <c r="S423" s="20">
        <v>0</v>
      </c>
      <c r="T423" s="20">
        <v>0</v>
      </c>
      <c r="U423" s="20">
        <v>0</v>
      </c>
      <c r="V423" s="20">
        <v>0</v>
      </c>
      <c r="W423" s="20">
        <v>31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119000</v>
      </c>
      <c r="AD423" s="20">
        <v>82110</v>
      </c>
      <c r="AE423" s="20">
        <v>0</v>
      </c>
      <c r="AF423" s="20">
        <v>0</v>
      </c>
      <c r="AG423" s="20">
        <v>119000</v>
      </c>
      <c r="AH423" s="20">
        <v>82110</v>
      </c>
      <c r="AI423" s="20">
        <v>33536</v>
      </c>
      <c r="AJ423" s="20">
        <v>3354</v>
      </c>
      <c r="AK423" s="20">
        <v>36890</v>
      </c>
    </row>
    <row r="424" spans="1:37" ht="16.5" customHeight="1" x14ac:dyDescent="0.3">
      <c r="A424" s="18" t="s">
        <v>1376</v>
      </c>
      <c r="B424" s="18" t="s">
        <v>240</v>
      </c>
      <c r="C424" s="19" t="s">
        <v>241</v>
      </c>
      <c r="D424" s="18" t="s">
        <v>1377</v>
      </c>
      <c r="E424" s="19" t="s">
        <v>1378</v>
      </c>
      <c r="F424" s="18" t="s">
        <v>244</v>
      </c>
      <c r="G424" s="18" t="s">
        <v>245</v>
      </c>
      <c r="H424" s="19" t="s">
        <v>175</v>
      </c>
      <c r="I424" s="18" t="s">
        <v>246</v>
      </c>
      <c r="J424" s="19" t="s">
        <v>247</v>
      </c>
      <c r="K424" s="19" t="s">
        <v>248</v>
      </c>
      <c r="L424" s="18" t="s">
        <v>164</v>
      </c>
      <c r="M424" s="18" t="s">
        <v>272</v>
      </c>
      <c r="N424" s="18" t="s">
        <v>250</v>
      </c>
      <c r="O424" s="20">
        <v>119000</v>
      </c>
      <c r="P424" s="20">
        <v>82110</v>
      </c>
      <c r="Q424" s="20">
        <v>1</v>
      </c>
      <c r="R424" s="20">
        <v>0</v>
      </c>
      <c r="S424" s="20">
        <v>0</v>
      </c>
      <c r="T424" s="20">
        <v>0</v>
      </c>
      <c r="U424" s="20">
        <v>0</v>
      </c>
      <c r="V424" s="20">
        <v>0</v>
      </c>
      <c r="W424" s="20">
        <v>31</v>
      </c>
      <c r="X424" s="20">
        <v>0</v>
      </c>
      <c r="Y424" s="20">
        <v>0</v>
      </c>
      <c r="Z424" s="20">
        <v>0</v>
      </c>
      <c r="AA424" s="20">
        <v>0</v>
      </c>
      <c r="AB424" s="20">
        <v>0</v>
      </c>
      <c r="AC424" s="20">
        <v>119000</v>
      </c>
      <c r="AD424" s="20">
        <v>82110</v>
      </c>
      <c r="AE424" s="20">
        <v>0</v>
      </c>
      <c r="AF424" s="20">
        <v>0</v>
      </c>
      <c r="AG424" s="20">
        <v>119000</v>
      </c>
      <c r="AH424" s="20">
        <v>82110</v>
      </c>
      <c r="AI424" s="20">
        <v>33536</v>
      </c>
      <c r="AJ424" s="20">
        <v>3354</v>
      </c>
      <c r="AK424" s="20">
        <v>36890</v>
      </c>
    </row>
    <row r="425" spans="1:37" ht="16.5" customHeight="1" x14ac:dyDescent="0.3">
      <c r="A425" s="18" t="s">
        <v>1379</v>
      </c>
      <c r="B425" s="18" t="s">
        <v>240</v>
      </c>
      <c r="C425" s="19" t="s">
        <v>241</v>
      </c>
      <c r="D425" s="18" t="s">
        <v>1380</v>
      </c>
      <c r="E425" s="19" t="s">
        <v>1381</v>
      </c>
      <c r="F425" s="18" t="s">
        <v>244</v>
      </c>
      <c r="G425" s="18" t="s">
        <v>245</v>
      </c>
      <c r="H425" s="19" t="s">
        <v>175</v>
      </c>
      <c r="I425" s="18" t="s">
        <v>246</v>
      </c>
      <c r="J425" s="19" t="s">
        <v>247</v>
      </c>
      <c r="K425" s="19" t="s">
        <v>248</v>
      </c>
      <c r="L425" s="18" t="s">
        <v>164</v>
      </c>
      <c r="M425" s="18" t="s">
        <v>272</v>
      </c>
      <c r="N425" s="18" t="s">
        <v>250</v>
      </c>
      <c r="O425" s="20">
        <v>119000</v>
      </c>
      <c r="P425" s="20">
        <v>82110</v>
      </c>
      <c r="Q425" s="20">
        <v>1</v>
      </c>
      <c r="R425" s="20">
        <v>0</v>
      </c>
      <c r="S425" s="20">
        <v>0</v>
      </c>
      <c r="T425" s="20">
        <v>0</v>
      </c>
      <c r="U425" s="20">
        <v>0</v>
      </c>
      <c r="V425" s="20">
        <v>0</v>
      </c>
      <c r="W425" s="20">
        <v>31</v>
      </c>
      <c r="X425" s="20">
        <v>0</v>
      </c>
      <c r="Y425" s="20">
        <v>0</v>
      </c>
      <c r="Z425" s="20">
        <v>0</v>
      </c>
      <c r="AA425" s="20">
        <v>0</v>
      </c>
      <c r="AB425" s="20">
        <v>0</v>
      </c>
      <c r="AC425" s="20">
        <v>119000</v>
      </c>
      <c r="AD425" s="20">
        <v>82110</v>
      </c>
      <c r="AE425" s="20">
        <v>0</v>
      </c>
      <c r="AF425" s="20">
        <v>0</v>
      </c>
      <c r="AG425" s="20">
        <v>119000</v>
      </c>
      <c r="AH425" s="20">
        <v>82110</v>
      </c>
      <c r="AI425" s="20">
        <v>33536</v>
      </c>
      <c r="AJ425" s="20">
        <v>3354</v>
      </c>
      <c r="AK425" s="20">
        <v>36890</v>
      </c>
    </row>
    <row r="426" spans="1:37" ht="16.5" customHeight="1" x14ac:dyDescent="0.3">
      <c r="A426" s="18" t="s">
        <v>1382</v>
      </c>
      <c r="B426" s="18" t="s">
        <v>240</v>
      </c>
      <c r="C426" s="19" t="s">
        <v>241</v>
      </c>
      <c r="D426" s="18" t="s">
        <v>1383</v>
      </c>
      <c r="E426" s="19" t="s">
        <v>1384</v>
      </c>
      <c r="F426" s="18" t="s">
        <v>244</v>
      </c>
      <c r="G426" s="18" t="s">
        <v>245</v>
      </c>
      <c r="H426" s="19" t="s">
        <v>175</v>
      </c>
      <c r="I426" s="18" t="s">
        <v>246</v>
      </c>
      <c r="J426" s="19" t="s">
        <v>247</v>
      </c>
      <c r="K426" s="19" t="s">
        <v>248</v>
      </c>
      <c r="L426" s="18" t="s">
        <v>164</v>
      </c>
      <c r="M426" s="18" t="s">
        <v>272</v>
      </c>
      <c r="N426" s="18" t="s">
        <v>250</v>
      </c>
      <c r="O426" s="20">
        <v>119000</v>
      </c>
      <c r="P426" s="20">
        <v>82110</v>
      </c>
      <c r="Q426" s="20">
        <v>1</v>
      </c>
      <c r="R426" s="20">
        <v>0</v>
      </c>
      <c r="S426" s="20">
        <v>0</v>
      </c>
      <c r="T426" s="20">
        <v>0</v>
      </c>
      <c r="U426" s="20">
        <v>0</v>
      </c>
      <c r="V426" s="20">
        <v>0</v>
      </c>
      <c r="W426" s="20">
        <v>31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119000</v>
      </c>
      <c r="AD426" s="20">
        <v>82110</v>
      </c>
      <c r="AE426" s="20">
        <v>0</v>
      </c>
      <c r="AF426" s="20">
        <v>0</v>
      </c>
      <c r="AG426" s="20">
        <v>119000</v>
      </c>
      <c r="AH426" s="20">
        <v>82110</v>
      </c>
      <c r="AI426" s="20">
        <v>33536</v>
      </c>
      <c r="AJ426" s="20">
        <v>3354</v>
      </c>
      <c r="AK426" s="20">
        <v>36890</v>
      </c>
    </row>
    <row r="427" spans="1:37" ht="16.5" customHeight="1" x14ac:dyDescent="0.3">
      <c r="A427" s="18" t="s">
        <v>1385</v>
      </c>
      <c r="B427" s="18" t="s">
        <v>240</v>
      </c>
      <c r="C427" s="19" t="s">
        <v>241</v>
      </c>
      <c r="D427" s="18" t="s">
        <v>1386</v>
      </c>
      <c r="E427" s="19" t="s">
        <v>1387</v>
      </c>
      <c r="F427" s="18" t="s">
        <v>244</v>
      </c>
      <c r="G427" s="18" t="s">
        <v>245</v>
      </c>
      <c r="H427" s="19" t="s">
        <v>175</v>
      </c>
      <c r="I427" s="18" t="s">
        <v>246</v>
      </c>
      <c r="J427" s="19" t="s">
        <v>247</v>
      </c>
      <c r="K427" s="19" t="s">
        <v>314</v>
      </c>
      <c r="L427" s="18" t="s">
        <v>164</v>
      </c>
      <c r="M427" s="18" t="s">
        <v>272</v>
      </c>
      <c r="N427" s="18" t="s">
        <v>250</v>
      </c>
      <c r="O427" s="20">
        <v>119000</v>
      </c>
      <c r="P427" s="20">
        <v>82110</v>
      </c>
      <c r="Q427" s="20">
        <v>1</v>
      </c>
      <c r="R427" s="20">
        <v>0</v>
      </c>
      <c r="S427" s="20">
        <v>0</v>
      </c>
      <c r="T427" s="20">
        <v>0</v>
      </c>
      <c r="U427" s="20">
        <v>0</v>
      </c>
      <c r="V427" s="20">
        <v>0</v>
      </c>
      <c r="W427" s="20">
        <v>31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119000</v>
      </c>
      <c r="AD427" s="20">
        <v>82110</v>
      </c>
      <c r="AE427" s="20">
        <v>0</v>
      </c>
      <c r="AF427" s="20">
        <v>0</v>
      </c>
      <c r="AG427" s="20">
        <v>119000</v>
      </c>
      <c r="AH427" s="20">
        <v>82110</v>
      </c>
      <c r="AI427" s="20">
        <v>33536</v>
      </c>
      <c r="AJ427" s="20">
        <v>3354</v>
      </c>
      <c r="AK427" s="20">
        <v>36890</v>
      </c>
    </row>
    <row r="428" spans="1:37" ht="16.5" customHeight="1" x14ac:dyDescent="0.3">
      <c r="A428" s="18" t="s">
        <v>1388</v>
      </c>
      <c r="B428" s="18" t="s">
        <v>240</v>
      </c>
      <c r="C428" s="19" t="s">
        <v>241</v>
      </c>
      <c r="D428" s="18" t="s">
        <v>1389</v>
      </c>
      <c r="E428" s="19" t="s">
        <v>1390</v>
      </c>
      <c r="F428" s="18" t="s">
        <v>244</v>
      </c>
      <c r="G428" s="18" t="s">
        <v>245</v>
      </c>
      <c r="H428" s="19" t="s">
        <v>175</v>
      </c>
      <c r="I428" s="18" t="s">
        <v>246</v>
      </c>
      <c r="J428" s="19" t="s">
        <v>247</v>
      </c>
      <c r="K428" s="19" t="s">
        <v>314</v>
      </c>
      <c r="L428" s="18" t="s">
        <v>164</v>
      </c>
      <c r="M428" s="18" t="s">
        <v>272</v>
      </c>
      <c r="N428" s="18" t="s">
        <v>250</v>
      </c>
      <c r="O428" s="20">
        <v>119000</v>
      </c>
      <c r="P428" s="20">
        <v>82110</v>
      </c>
      <c r="Q428" s="20">
        <v>1</v>
      </c>
      <c r="R428" s="20">
        <v>0</v>
      </c>
      <c r="S428" s="20">
        <v>0</v>
      </c>
      <c r="T428" s="20">
        <v>0</v>
      </c>
      <c r="U428" s="20">
        <v>0</v>
      </c>
      <c r="V428" s="20">
        <v>0</v>
      </c>
      <c r="W428" s="20">
        <v>31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119000</v>
      </c>
      <c r="AD428" s="20">
        <v>82110</v>
      </c>
      <c r="AE428" s="20">
        <v>0</v>
      </c>
      <c r="AF428" s="20">
        <v>0</v>
      </c>
      <c r="AG428" s="20">
        <v>119000</v>
      </c>
      <c r="AH428" s="20">
        <v>82110</v>
      </c>
      <c r="AI428" s="20">
        <v>33536</v>
      </c>
      <c r="AJ428" s="20">
        <v>3354</v>
      </c>
      <c r="AK428" s="20">
        <v>36890</v>
      </c>
    </row>
    <row r="429" spans="1:37" ht="16.5" customHeight="1" x14ac:dyDescent="0.3">
      <c r="A429" s="18" t="s">
        <v>1391</v>
      </c>
      <c r="B429" s="18" t="s">
        <v>240</v>
      </c>
      <c r="C429" s="19" t="s">
        <v>241</v>
      </c>
      <c r="D429" s="18" t="s">
        <v>1392</v>
      </c>
      <c r="E429" s="19" t="s">
        <v>1393</v>
      </c>
      <c r="F429" s="18" t="s">
        <v>244</v>
      </c>
      <c r="G429" s="18" t="s">
        <v>245</v>
      </c>
      <c r="H429" s="19" t="s">
        <v>175</v>
      </c>
      <c r="I429" s="18" t="s">
        <v>246</v>
      </c>
      <c r="J429" s="19" t="s">
        <v>247</v>
      </c>
      <c r="K429" s="19" t="s">
        <v>314</v>
      </c>
      <c r="L429" s="18" t="s">
        <v>164</v>
      </c>
      <c r="M429" s="18" t="s">
        <v>272</v>
      </c>
      <c r="N429" s="18" t="s">
        <v>250</v>
      </c>
      <c r="O429" s="20">
        <v>119000</v>
      </c>
      <c r="P429" s="20">
        <v>82110</v>
      </c>
      <c r="Q429" s="20">
        <v>1</v>
      </c>
      <c r="R429" s="20">
        <v>0</v>
      </c>
      <c r="S429" s="20">
        <v>0</v>
      </c>
      <c r="T429" s="20">
        <v>0</v>
      </c>
      <c r="U429" s="20">
        <v>0</v>
      </c>
      <c r="V429" s="20">
        <v>0</v>
      </c>
      <c r="W429" s="20">
        <v>31</v>
      </c>
      <c r="X429" s="20">
        <v>0</v>
      </c>
      <c r="Y429" s="20">
        <v>0</v>
      </c>
      <c r="Z429" s="20">
        <v>0</v>
      </c>
      <c r="AA429" s="20">
        <v>0</v>
      </c>
      <c r="AB429" s="20">
        <v>0</v>
      </c>
      <c r="AC429" s="20">
        <v>119000</v>
      </c>
      <c r="AD429" s="20">
        <v>82110</v>
      </c>
      <c r="AE429" s="20">
        <v>0</v>
      </c>
      <c r="AF429" s="20">
        <v>0</v>
      </c>
      <c r="AG429" s="20">
        <v>119000</v>
      </c>
      <c r="AH429" s="20">
        <v>82110</v>
      </c>
      <c r="AI429" s="20">
        <v>33536</v>
      </c>
      <c r="AJ429" s="20">
        <v>3354</v>
      </c>
      <c r="AK429" s="20">
        <v>36890</v>
      </c>
    </row>
    <row r="430" spans="1:37" ht="16.5" customHeight="1" x14ac:dyDescent="0.3">
      <c r="A430" s="18" t="s">
        <v>1394</v>
      </c>
      <c r="B430" s="18" t="s">
        <v>240</v>
      </c>
      <c r="C430" s="19" t="s">
        <v>241</v>
      </c>
      <c r="D430" s="18" t="s">
        <v>1395</v>
      </c>
      <c r="E430" s="19" t="s">
        <v>1396</v>
      </c>
      <c r="F430" s="18" t="s">
        <v>244</v>
      </c>
      <c r="G430" s="18" t="s">
        <v>245</v>
      </c>
      <c r="H430" s="19" t="s">
        <v>175</v>
      </c>
      <c r="I430" s="18" t="s">
        <v>246</v>
      </c>
      <c r="J430" s="19" t="s">
        <v>247</v>
      </c>
      <c r="K430" s="19" t="s">
        <v>248</v>
      </c>
      <c r="L430" s="18" t="s">
        <v>164</v>
      </c>
      <c r="M430" s="18" t="s">
        <v>272</v>
      </c>
      <c r="N430" s="18" t="s">
        <v>250</v>
      </c>
      <c r="O430" s="20">
        <v>119000</v>
      </c>
      <c r="P430" s="20">
        <v>82110</v>
      </c>
      <c r="Q430" s="20">
        <v>1</v>
      </c>
      <c r="R430" s="20">
        <v>0</v>
      </c>
      <c r="S430" s="20">
        <v>0</v>
      </c>
      <c r="T430" s="20">
        <v>0</v>
      </c>
      <c r="U430" s="20">
        <v>0</v>
      </c>
      <c r="V430" s="20">
        <v>0</v>
      </c>
      <c r="W430" s="20">
        <v>31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119000</v>
      </c>
      <c r="AD430" s="20">
        <v>82110</v>
      </c>
      <c r="AE430" s="20">
        <v>0</v>
      </c>
      <c r="AF430" s="20">
        <v>0</v>
      </c>
      <c r="AG430" s="20">
        <v>119000</v>
      </c>
      <c r="AH430" s="20">
        <v>82110</v>
      </c>
      <c r="AI430" s="20">
        <v>33536</v>
      </c>
      <c r="AJ430" s="20">
        <v>3354</v>
      </c>
      <c r="AK430" s="20">
        <v>36890</v>
      </c>
    </row>
    <row r="431" spans="1:37" ht="16.5" customHeight="1" x14ac:dyDescent="0.3">
      <c r="A431" s="18" t="s">
        <v>1397</v>
      </c>
      <c r="B431" s="18" t="s">
        <v>240</v>
      </c>
      <c r="C431" s="19" t="s">
        <v>241</v>
      </c>
      <c r="D431" s="18" t="s">
        <v>1398</v>
      </c>
      <c r="E431" s="19" t="s">
        <v>596</v>
      </c>
      <c r="F431" s="18" t="s">
        <v>244</v>
      </c>
      <c r="G431" s="18" t="s">
        <v>245</v>
      </c>
      <c r="H431" s="19" t="s">
        <v>175</v>
      </c>
      <c r="I431" s="18" t="s">
        <v>246</v>
      </c>
      <c r="J431" s="19" t="s">
        <v>247</v>
      </c>
      <c r="K431" s="19" t="s">
        <v>248</v>
      </c>
      <c r="L431" s="18" t="s">
        <v>164</v>
      </c>
      <c r="M431" s="18" t="s">
        <v>272</v>
      </c>
      <c r="N431" s="18" t="s">
        <v>250</v>
      </c>
      <c r="O431" s="20">
        <v>119000</v>
      </c>
      <c r="P431" s="20">
        <v>82110</v>
      </c>
      <c r="Q431" s="20">
        <v>1</v>
      </c>
      <c r="R431" s="20">
        <v>0</v>
      </c>
      <c r="S431" s="20">
        <v>0</v>
      </c>
      <c r="T431" s="20">
        <v>0</v>
      </c>
      <c r="U431" s="20">
        <v>0</v>
      </c>
      <c r="V431" s="20">
        <v>0</v>
      </c>
      <c r="W431" s="20">
        <v>31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119000</v>
      </c>
      <c r="AD431" s="20">
        <v>82110</v>
      </c>
      <c r="AE431" s="20">
        <v>0</v>
      </c>
      <c r="AF431" s="20">
        <v>0</v>
      </c>
      <c r="AG431" s="20">
        <v>119000</v>
      </c>
      <c r="AH431" s="20">
        <v>82110</v>
      </c>
      <c r="AI431" s="20">
        <v>33536</v>
      </c>
      <c r="AJ431" s="20">
        <v>3354</v>
      </c>
      <c r="AK431" s="20">
        <v>36890</v>
      </c>
    </row>
    <row r="432" spans="1:37" ht="16.5" customHeight="1" x14ac:dyDescent="0.3">
      <c r="A432" s="18" t="s">
        <v>1399</v>
      </c>
      <c r="B432" s="18" t="s">
        <v>240</v>
      </c>
      <c r="C432" s="19" t="s">
        <v>241</v>
      </c>
      <c r="D432" s="18" t="s">
        <v>1400</v>
      </c>
      <c r="E432" s="19" t="s">
        <v>585</v>
      </c>
      <c r="F432" s="18" t="s">
        <v>244</v>
      </c>
      <c r="G432" s="18" t="s">
        <v>245</v>
      </c>
      <c r="H432" s="19" t="s">
        <v>175</v>
      </c>
      <c r="I432" s="18" t="s">
        <v>246</v>
      </c>
      <c r="J432" s="19" t="s">
        <v>247</v>
      </c>
      <c r="K432" s="19" t="s">
        <v>248</v>
      </c>
      <c r="L432" s="18" t="s">
        <v>164</v>
      </c>
      <c r="M432" s="18" t="s">
        <v>272</v>
      </c>
      <c r="N432" s="18" t="s">
        <v>250</v>
      </c>
      <c r="O432" s="20">
        <v>119000</v>
      </c>
      <c r="P432" s="20">
        <v>82110</v>
      </c>
      <c r="Q432" s="20">
        <v>1</v>
      </c>
      <c r="R432" s="20">
        <v>0</v>
      </c>
      <c r="S432" s="20">
        <v>0</v>
      </c>
      <c r="T432" s="20">
        <v>0</v>
      </c>
      <c r="U432" s="20">
        <v>0</v>
      </c>
      <c r="V432" s="20">
        <v>0</v>
      </c>
      <c r="W432" s="20">
        <v>31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119000</v>
      </c>
      <c r="AD432" s="20">
        <v>82110</v>
      </c>
      <c r="AE432" s="20">
        <v>0</v>
      </c>
      <c r="AF432" s="20">
        <v>0</v>
      </c>
      <c r="AG432" s="20">
        <v>119000</v>
      </c>
      <c r="AH432" s="20">
        <v>82110</v>
      </c>
      <c r="AI432" s="20">
        <v>33536</v>
      </c>
      <c r="AJ432" s="20">
        <v>3354</v>
      </c>
      <c r="AK432" s="20">
        <v>36890</v>
      </c>
    </row>
    <row r="433" spans="1:37" ht="16.5" customHeight="1" x14ac:dyDescent="0.3">
      <c r="A433" s="18" t="s">
        <v>1401</v>
      </c>
      <c r="B433" s="18" t="s">
        <v>240</v>
      </c>
      <c r="C433" s="19" t="s">
        <v>241</v>
      </c>
      <c r="D433" s="18" t="s">
        <v>1402</v>
      </c>
      <c r="E433" s="19" t="s">
        <v>432</v>
      </c>
      <c r="F433" s="18" t="s">
        <v>244</v>
      </c>
      <c r="G433" s="18" t="s">
        <v>245</v>
      </c>
      <c r="H433" s="19" t="s">
        <v>175</v>
      </c>
      <c r="I433" s="18" t="s">
        <v>246</v>
      </c>
      <c r="J433" s="19" t="s">
        <v>247</v>
      </c>
      <c r="K433" s="19" t="s">
        <v>248</v>
      </c>
      <c r="L433" s="18" t="s">
        <v>164</v>
      </c>
      <c r="M433" s="18" t="s">
        <v>272</v>
      </c>
      <c r="N433" s="18" t="s">
        <v>250</v>
      </c>
      <c r="O433" s="20">
        <v>119000</v>
      </c>
      <c r="P433" s="20">
        <v>82110</v>
      </c>
      <c r="Q433" s="20">
        <v>1</v>
      </c>
      <c r="R433" s="20">
        <v>0</v>
      </c>
      <c r="S433" s="20">
        <v>0</v>
      </c>
      <c r="T433" s="20">
        <v>0</v>
      </c>
      <c r="U433" s="20">
        <v>0</v>
      </c>
      <c r="V433" s="20">
        <v>0</v>
      </c>
      <c r="W433" s="20">
        <v>31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119000</v>
      </c>
      <c r="AD433" s="20">
        <v>82110</v>
      </c>
      <c r="AE433" s="20">
        <v>0</v>
      </c>
      <c r="AF433" s="20">
        <v>0</v>
      </c>
      <c r="AG433" s="20">
        <v>119000</v>
      </c>
      <c r="AH433" s="20">
        <v>82110</v>
      </c>
      <c r="AI433" s="20">
        <v>33536</v>
      </c>
      <c r="AJ433" s="20">
        <v>3354</v>
      </c>
      <c r="AK433" s="20">
        <v>36890</v>
      </c>
    </row>
    <row r="434" spans="1:37" ht="16.5" customHeight="1" x14ac:dyDescent="0.3">
      <c r="A434" s="18" t="s">
        <v>1403</v>
      </c>
      <c r="B434" s="18" t="s">
        <v>240</v>
      </c>
      <c r="C434" s="19" t="s">
        <v>241</v>
      </c>
      <c r="D434" s="18" t="s">
        <v>1404</v>
      </c>
      <c r="E434" s="19" t="s">
        <v>1324</v>
      </c>
      <c r="F434" s="18" t="s">
        <v>244</v>
      </c>
      <c r="G434" s="18" t="s">
        <v>245</v>
      </c>
      <c r="H434" s="19" t="s">
        <v>175</v>
      </c>
      <c r="I434" s="18" t="s">
        <v>246</v>
      </c>
      <c r="J434" s="19" t="s">
        <v>247</v>
      </c>
      <c r="K434" s="19" t="s">
        <v>248</v>
      </c>
      <c r="L434" s="18" t="s">
        <v>164</v>
      </c>
      <c r="M434" s="18" t="s">
        <v>272</v>
      </c>
      <c r="N434" s="18" t="s">
        <v>250</v>
      </c>
      <c r="O434" s="20">
        <v>119000</v>
      </c>
      <c r="P434" s="20">
        <v>82110</v>
      </c>
      <c r="Q434" s="20">
        <v>1</v>
      </c>
      <c r="R434" s="20">
        <v>0</v>
      </c>
      <c r="S434" s="20">
        <v>0</v>
      </c>
      <c r="T434" s="20">
        <v>0</v>
      </c>
      <c r="U434" s="20">
        <v>0</v>
      </c>
      <c r="V434" s="20">
        <v>0</v>
      </c>
      <c r="W434" s="20">
        <v>31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119000</v>
      </c>
      <c r="AD434" s="20">
        <v>82110</v>
      </c>
      <c r="AE434" s="20">
        <v>0</v>
      </c>
      <c r="AF434" s="20">
        <v>0</v>
      </c>
      <c r="AG434" s="20">
        <v>119000</v>
      </c>
      <c r="AH434" s="20">
        <v>82110</v>
      </c>
      <c r="AI434" s="20">
        <v>33536</v>
      </c>
      <c r="AJ434" s="20">
        <v>3354</v>
      </c>
      <c r="AK434" s="20">
        <v>36890</v>
      </c>
    </row>
    <row r="435" spans="1:37" ht="16.5" customHeight="1" x14ac:dyDescent="0.3">
      <c r="A435" s="18" t="s">
        <v>1405</v>
      </c>
      <c r="B435" s="18" t="s">
        <v>240</v>
      </c>
      <c r="C435" s="19" t="s">
        <v>241</v>
      </c>
      <c r="D435" s="18" t="s">
        <v>1406</v>
      </c>
      <c r="E435" s="19" t="s">
        <v>1407</v>
      </c>
      <c r="F435" s="18" t="s">
        <v>262</v>
      </c>
      <c r="G435" s="18" t="s">
        <v>245</v>
      </c>
      <c r="H435" s="19" t="s">
        <v>175</v>
      </c>
      <c r="I435" s="18" t="s">
        <v>246</v>
      </c>
      <c r="J435" s="19" t="s">
        <v>247</v>
      </c>
      <c r="K435" s="19" t="s">
        <v>248</v>
      </c>
      <c r="L435" s="18" t="s">
        <v>164</v>
      </c>
      <c r="M435" s="18" t="s">
        <v>272</v>
      </c>
      <c r="N435" s="18" t="s">
        <v>250</v>
      </c>
      <c r="O435" s="20">
        <v>119000</v>
      </c>
      <c r="P435" s="20">
        <v>82110</v>
      </c>
      <c r="Q435" s="20">
        <v>1</v>
      </c>
      <c r="R435" s="20">
        <v>0</v>
      </c>
      <c r="S435" s="20">
        <v>0</v>
      </c>
      <c r="T435" s="20">
        <v>0</v>
      </c>
      <c r="U435" s="20">
        <v>0</v>
      </c>
      <c r="V435" s="20">
        <v>0</v>
      </c>
      <c r="W435" s="20">
        <v>31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119000</v>
      </c>
      <c r="AD435" s="20">
        <v>82110</v>
      </c>
      <c r="AE435" s="20">
        <v>0</v>
      </c>
      <c r="AF435" s="20">
        <v>0</v>
      </c>
      <c r="AG435" s="20">
        <v>119000</v>
      </c>
      <c r="AH435" s="20">
        <v>82110</v>
      </c>
      <c r="AI435" s="20">
        <v>33536</v>
      </c>
      <c r="AJ435" s="20">
        <v>3354</v>
      </c>
      <c r="AK435" s="20">
        <v>36890</v>
      </c>
    </row>
    <row r="436" spans="1:37" ht="16.5" customHeight="1" x14ac:dyDescent="0.3">
      <c r="A436" s="18" t="s">
        <v>1408</v>
      </c>
      <c r="B436" s="18" t="s">
        <v>240</v>
      </c>
      <c r="C436" s="19" t="s">
        <v>241</v>
      </c>
      <c r="D436" s="18" t="s">
        <v>1409</v>
      </c>
      <c r="E436" s="19" t="s">
        <v>1410</v>
      </c>
      <c r="F436" s="18" t="s">
        <v>262</v>
      </c>
      <c r="G436" s="18" t="s">
        <v>245</v>
      </c>
      <c r="H436" s="19" t="s">
        <v>175</v>
      </c>
      <c r="I436" s="18" t="s">
        <v>246</v>
      </c>
      <c r="J436" s="19" t="s">
        <v>247</v>
      </c>
      <c r="K436" s="19"/>
      <c r="L436" s="18" t="s">
        <v>164</v>
      </c>
      <c r="M436" s="18" t="s">
        <v>272</v>
      </c>
      <c r="N436" s="18" t="s">
        <v>250</v>
      </c>
      <c r="O436" s="20">
        <v>119000</v>
      </c>
      <c r="P436" s="20">
        <v>82110</v>
      </c>
      <c r="Q436" s="20">
        <v>1</v>
      </c>
      <c r="R436" s="20">
        <v>0</v>
      </c>
      <c r="S436" s="20">
        <v>0</v>
      </c>
      <c r="T436" s="20">
        <v>0</v>
      </c>
      <c r="U436" s="20">
        <v>0</v>
      </c>
      <c r="V436" s="20">
        <v>0</v>
      </c>
      <c r="W436" s="20">
        <v>31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119000</v>
      </c>
      <c r="AD436" s="20">
        <v>82110</v>
      </c>
      <c r="AE436" s="20">
        <v>0</v>
      </c>
      <c r="AF436" s="20">
        <v>0</v>
      </c>
      <c r="AG436" s="20">
        <v>119000</v>
      </c>
      <c r="AH436" s="20">
        <v>82110</v>
      </c>
      <c r="AI436" s="20">
        <v>33536</v>
      </c>
      <c r="AJ436" s="20">
        <v>3354</v>
      </c>
      <c r="AK436" s="20">
        <v>36890</v>
      </c>
    </row>
    <row r="437" spans="1:37" ht="16.5" customHeight="1" x14ac:dyDescent="0.3">
      <c r="A437" s="18" t="s">
        <v>1411</v>
      </c>
      <c r="B437" s="18" t="s">
        <v>240</v>
      </c>
      <c r="C437" s="19" t="s">
        <v>241</v>
      </c>
      <c r="D437" s="18" t="s">
        <v>1412</v>
      </c>
      <c r="E437" s="19" t="s">
        <v>1413</v>
      </c>
      <c r="F437" s="18" t="s">
        <v>1414</v>
      </c>
      <c r="G437" s="18" t="s">
        <v>245</v>
      </c>
      <c r="H437" s="19" t="s">
        <v>180</v>
      </c>
      <c r="I437" s="18" t="s">
        <v>246</v>
      </c>
      <c r="J437" s="19" t="s">
        <v>247</v>
      </c>
      <c r="K437" s="19" t="s">
        <v>248</v>
      </c>
      <c r="L437" s="18" t="s">
        <v>164</v>
      </c>
      <c r="M437" s="18" t="s">
        <v>272</v>
      </c>
      <c r="N437" s="18" t="s">
        <v>250</v>
      </c>
      <c r="O437" s="20">
        <v>78000</v>
      </c>
      <c r="P437" s="20">
        <v>53820</v>
      </c>
      <c r="Q437" s="20">
        <v>1</v>
      </c>
      <c r="R437" s="20">
        <v>0</v>
      </c>
      <c r="S437" s="20">
        <v>0</v>
      </c>
      <c r="T437" s="20">
        <v>0</v>
      </c>
      <c r="U437" s="20">
        <v>0</v>
      </c>
      <c r="V437" s="20">
        <v>0</v>
      </c>
      <c r="W437" s="20">
        <v>31</v>
      </c>
      <c r="X437" s="20">
        <v>11700</v>
      </c>
      <c r="Y437" s="20">
        <v>0</v>
      </c>
      <c r="Z437" s="20">
        <v>0</v>
      </c>
      <c r="AA437" s="20">
        <v>0</v>
      </c>
      <c r="AB437" s="20">
        <v>0</v>
      </c>
      <c r="AC437" s="20">
        <v>78000</v>
      </c>
      <c r="AD437" s="20">
        <v>53820</v>
      </c>
      <c r="AE437" s="20">
        <v>0</v>
      </c>
      <c r="AF437" s="20">
        <v>11700</v>
      </c>
      <c r="AG437" s="20">
        <v>66300</v>
      </c>
      <c r="AH437" s="20">
        <v>53820</v>
      </c>
      <c r="AI437" s="20">
        <v>11345</v>
      </c>
      <c r="AJ437" s="20">
        <v>1135</v>
      </c>
      <c r="AK437" s="20">
        <v>12480</v>
      </c>
    </row>
    <row r="438" spans="1:37" ht="16.5" customHeight="1" x14ac:dyDescent="0.3">
      <c r="A438" s="18" t="s">
        <v>1415</v>
      </c>
      <c r="B438" s="18" t="s">
        <v>240</v>
      </c>
      <c r="C438" s="19" t="s">
        <v>241</v>
      </c>
      <c r="D438" s="18" t="s">
        <v>1416</v>
      </c>
      <c r="E438" s="19" t="s">
        <v>1417</v>
      </c>
      <c r="F438" s="18" t="s">
        <v>244</v>
      </c>
      <c r="G438" s="18" t="s">
        <v>245</v>
      </c>
      <c r="H438" s="19" t="s">
        <v>175</v>
      </c>
      <c r="I438" s="18" t="s">
        <v>246</v>
      </c>
      <c r="J438" s="19" t="s">
        <v>247</v>
      </c>
      <c r="K438" s="19" t="s">
        <v>248</v>
      </c>
      <c r="L438" s="18" t="s">
        <v>164</v>
      </c>
      <c r="M438" s="18" t="s">
        <v>1418</v>
      </c>
      <c r="N438" s="18" t="s">
        <v>250</v>
      </c>
      <c r="O438" s="20">
        <v>119000</v>
      </c>
      <c r="P438" s="20">
        <v>82110</v>
      </c>
      <c r="Q438" s="20">
        <v>1</v>
      </c>
      <c r="R438" s="20">
        <v>0</v>
      </c>
      <c r="S438" s="20">
        <v>0</v>
      </c>
      <c r="T438" s="20">
        <v>0</v>
      </c>
      <c r="U438" s="20">
        <v>0</v>
      </c>
      <c r="V438" s="20">
        <v>0</v>
      </c>
      <c r="W438" s="20">
        <v>31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119000</v>
      </c>
      <c r="AD438" s="20">
        <v>82110</v>
      </c>
      <c r="AE438" s="20">
        <v>0</v>
      </c>
      <c r="AF438" s="20">
        <v>0</v>
      </c>
      <c r="AG438" s="20">
        <v>119000</v>
      </c>
      <c r="AH438" s="20">
        <v>82110</v>
      </c>
      <c r="AI438" s="20">
        <v>33536</v>
      </c>
      <c r="AJ438" s="20">
        <v>3354</v>
      </c>
      <c r="AK438" s="20">
        <v>36890</v>
      </c>
    </row>
    <row r="439" spans="1:37" ht="16.5" customHeight="1" x14ac:dyDescent="0.3">
      <c r="A439" s="18" t="s">
        <v>1419</v>
      </c>
      <c r="B439" s="18" t="s">
        <v>240</v>
      </c>
      <c r="C439" s="19" t="s">
        <v>241</v>
      </c>
      <c r="D439" s="18" t="s">
        <v>1420</v>
      </c>
      <c r="E439" s="19" t="s">
        <v>1421</v>
      </c>
      <c r="F439" s="18" t="s">
        <v>244</v>
      </c>
      <c r="G439" s="18" t="s">
        <v>245</v>
      </c>
      <c r="H439" s="19" t="s">
        <v>175</v>
      </c>
      <c r="I439" s="18" t="s">
        <v>246</v>
      </c>
      <c r="J439" s="19" t="s">
        <v>247</v>
      </c>
      <c r="K439" s="19" t="s">
        <v>248</v>
      </c>
      <c r="L439" s="18" t="s">
        <v>164</v>
      </c>
      <c r="M439" s="18" t="s">
        <v>1418</v>
      </c>
      <c r="N439" s="18" t="s">
        <v>250</v>
      </c>
      <c r="O439" s="20">
        <v>119000</v>
      </c>
      <c r="P439" s="20">
        <v>82110</v>
      </c>
      <c r="Q439" s="20">
        <v>1</v>
      </c>
      <c r="R439" s="20">
        <v>0</v>
      </c>
      <c r="S439" s="20">
        <v>0</v>
      </c>
      <c r="T439" s="20">
        <v>0</v>
      </c>
      <c r="U439" s="20">
        <v>0</v>
      </c>
      <c r="V439" s="20">
        <v>0</v>
      </c>
      <c r="W439" s="20">
        <v>31</v>
      </c>
      <c r="X439" s="20">
        <v>0</v>
      </c>
      <c r="Y439" s="20">
        <v>0</v>
      </c>
      <c r="Z439" s="20">
        <v>0</v>
      </c>
      <c r="AA439" s="20">
        <v>0</v>
      </c>
      <c r="AB439" s="20">
        <v>0</v>
      </c>
      <c r="AC439" s="20">
        <v>119000</v>
      </c>
      <c r="AD439" s="20">
        <v>82110</v>
      </c>
      <c r="AE439" s="20">
        <v>0</v>
      </c>
      <c r="AF439" s="20">
        <v>0</v>
      </c>
      <c r="AG439" s="20">
        <v>119000</v>
      </c>
      <c r="AH439" s="20">
        <v>82110</v>
      </c>
      <c r="AI439" s="20">
        <v>33536</v>
      </c>
      <c r="AJ439" s="20">
        <v>3354</v>
      </c>
      <c r="AK439" s="20">
        <v>36890</v>
      </c>
    </row>
    <row r="440" spans="1:37" ht="16.5" customHeight="1" x14ac:dyDescent="0.3">
      <c r="A440" s="18" t="s">
        <v>1422</v>
      </c>
      <c r="B440" s="18" t="s">
        <v>240</v>
      </c>
      <c r="C440" s="19" t="s">
        <v>241</v>
      </c>
      <c r="D440" s="18" t="s">
        <v>1423</v>
      </c>
      <c r="E440" s="19" t="s">
        <v>412</v>
      </c>
      <c r="F440" s="18" t="s">
        <v>244</v>
      </c>
      <c r="G440" s="18" t="s">
        <v>245</v>
      </c>
      <c r="H440" s="19" t="s">
        <v>175</v>
      </c>
      <c r="I440" s="18" t="s">
        <v>246</v>
      </c>
      <c r="J440" s="19" t="s">
        <v>247</v>
      </c>
      <c r="K440" s="19"/>
      <c r="L440" s="18" t="s">
        <v>164</v>
      </c>
      <c r="M440" s="18" t="s">
        <v>1424</v>
      </c>
      <c r="N440" s="18" t="s">
        <v>250</v>
      </c>
      <c r="O440" s="20">
        <v>119000</v>
      </c>
      <c r="P440" s="20">
        <v>82110</v>
      </c>
      <c r="Q440" s="20">
        <v>1</v>
      </c>
      <c r="R440" s="20">
        <v>0</v>
      </c>
      <c r="S440" s="20">
        <v>0</v>
      </c>
      <c r="T440" s="20">
        <v>0</v>
      </c>
      <c r="U440" s="20">
        <v>0</v>
      </c>
      <c r="V440" s="20">
        <v>0</v>
      </c>
      <c r="W440" s="20">
        <v>31</v>
      </c>
      <c r="X440" s="20">
        <v>0</v>
      </c>
      <c r="Y440" s="20">
        <v>5950</v>
      </c>
      <c r="Z440" s="20">
        <v>0</v>
      </c>
      <c r="AA440" s="20">
        <v>0</v>
      </c>
      <c r="AB440" s="20">
        <v>0</v>
      </c>
      <c r="AC440" s="20">
        <v>119000</v>
      </c>
      <c r="AD440" s="20">
        <v>82110</v>
      </c>
      <c r="AE440" s="20">
        <v>0</v>
      </c>
      <c r="AF440" s="20">
        <v>5950</v>
      </c>
      <c r="AG440" s="20">
        <v>113050</v>
      </c>
      <c r="AH440" s="20">
        <v>82110</v>
      </c>
      <c r="AI440" s="20">
        <v>28127</v>
      </c>
      <c r="AJ440" s="20">
        <v>2813</v>
      </c>
      <c r="AK440" s="20">
        <v>30940</v>
      </c>
    </row>
    <row r="441" spans="1:37" ht="16.5" customHeight="1" x14ac:dyDescent="0.3">
      <c r="A441" s="18" t="s">
        <v>1425</v>
      </c>
      <c r="B441" s="18" t="s">
        <v>240</v>
      </c>
      <c r="C441" s="19" t="s">
        <v>241</v>
      </c>
      <c r="D441" s="18" t="s">
        <v>1426</v>
      </c>
      <c r="E441" s="19" t="s">
        <v>412</v>
      </c>
      <c r="F441" s="18" t="s">
        <v>244</v>
      </c>
      <c r="G441" s="18" t="s">
        <v>245</v>
      </c>
      <c r="H441" s="19" t="s">
        <v>175</v>
      </c>
      <c r="I441" s="18" t="s">
        <v>246</v>
      </c>
      <c r="J441" s="19" t="s">
        <v>247</v>
      </c>
      <c r="K441" s="19"/>
      <c r="L441" s="18" t="s">
        <v>164</v>
      </c>
      <c r="M441" s="18" t="s">
        <v>1424</v>
      </c>
      <c r="N441" s="18" t="s">
        <v>250</v>
      </c>
      <c r="O441" s="20">
        <v>119000</v>
      </c>
      <c r="P441" s="20">
        <v>82110</v>
      </c>
      <c r="Q441" s="20">
        <v>1</v>
      </c>
      <c r="R441" s="20">
        <v>0</v>
      </c>
      <c r="S441" s="20">
        <v>0</v>
      </c>
      <c r="T441" s="20">
        <v>0</v>
      </c>
      <c r="U441" s="20">
        <v>0</v>
      </c>
      <c r="V441" s="20">
        <v>0</v>
      </c>
      <c r="W441" s="20">
        <v>31</v>
      </c>
      <c r="X441" s="20">
        <v>0</v>
      </c>
      <c r="Y441" s="20">
        <v>5950</v>
      </c>
      <c r="Z441" s="20">
        <v>0</v>
      </c>
      <c r="AA441" s="20">
        <v>0</v>
      </c>
      <c r="AB441" s="20">
        <v>0</v>
      </c>
      <c r="AC441" s="20">
        <v>119000</v>
      </c>
      <c r="AD441" s="20">
        <v>82110</v>
      </c>
      <c r="AE441" s="20">
        <v>0</v>
      </c>
      <c r="AF441" s="20">
        <v>5950</v>
      </c>
      <c r="AG441" s="20">
        <v>113050</v>
      </c>
      <c r="AH441" s="20">
        <v>82110</v>
      </c>
      <c r="AI441" s="20">
        <v>28127</v>
      </c>
      <c r="AJ441" s="20">
        <v>2813</v>
      </c>
      <c r="AK441" s="20">
        <v>30940</v>
      </c>
    </row>
    <row r="442" spans="1:37" ht="16.5" customHeight="1" x14ac:dyDescent="0.3">
      <c r="A442" s="18" t="s">
        <v>1427</v>
      </c>
      <c r="B442" s="18" t="s">
        <v>240</v>
      </c>
      <c r="C442" s="19" t="s">
        <v>241</v>
      </c>
      <c r="D442" s="18" t="s">
        <v>1428</v>
      </c>
      <c r="E442" s="19" t="s">
        <v>268</v>
      </c>
      <c r="F442" s="18" t="s">
        <v>244</v>
      </c>
      <c r="G442" s="18" t="s">
        <v>245</v>
      </c>
      <c r="H442" s="19" t="s">
        <v>175</v>
      </c>
      <c r="I442" s="18" t="s">
        <v>246</v>
      </c>
      <c r="J442" s="19" t="s">
        <v>247</v>
      </c>
      <c r="K442" s="19"/>
      <c r="L442" s="18" t="s">
        <v>164</v>
      </c>
      <c r="M442" s="18" t="s">
        <v>1424</v>
      </c>
      <c r="N442" s="18" t="s">
        <v>250</v>
      </c>
      <c r="O442" s="20">
        <v>119000</v>
      </c>
      <c r="P442" s="20">
        <v>82110</v>
      </c>
      <c r="Q442" s="20">
        <v>1</v>
      </c>
      <c r="R442" s="20">
        <v>0</v>
      </c>
      <c r="S442" s="20">
        <v>0</v>
      </c>
      <c r="T442" s="20">
        <v>0</v>
      </c>
      <c r="U442" s="20">
        <v>0</v>
      </c>
      <c r="V442" s="20">
        <v>0</v>
      </c>
      <c r="W442" s="20">
        <v>31</v>
      </c>
      <c r="X442" s="20">
        <v>0</v>
      </c>
      <c r="Y442" s="20">
        <v>5950</v>
      </c>
      <c r="Z442" s="20">
        <v>0</v>
      </c>
      <c r="AA442" s="20">
        <v>0</v>
      </c>
      <c r="AB442" s="20">
        <v>0</v>
      </c>
      <c r="AC442" s="20">
        <v>119000</v>
      </c>
      <c r="AD442" s="20">
        <v>82110</v>
      </c>
      <c r="AE442" s="20">
        <v>0</v>
      </c>
      <c r="AF442" s="20">
        <v>5950</v>
      </c>
      <c r="AG442" s="20">
        <v>113050</v>
      </c>
      <c r="AH442" s="20">
        <v>82110</v>
      </c>
      <c r="AI442" s="20">
        <v>28127</v>
      </c>
      <c r="AJ442" s="20">
        <v>2813</v>
      </c>
      <c r="AK442" s="20">
        <v>30940</v>
      </c>
    </row>
    <row r="443" spans="1:37" ht="16.5" customHeight="1" x14ac:dyDescent="0.3">
      <c r="A443" s="18" t="s">
        <v>1429</v>
      </c>
      <c r="B443" s="18" t="s">
        <v>240</v>
      </c>
      <c r="C443" s="19" t="s">
        <v>241</v>
      </c>
      <c r="D443" s="18" t="s">
        <v>1430</v>
      </c>
      <c r="E443" s="19" t="s">
        <v>1431</v>
      </c>
      <c r="F443" s="18" t="s">
        <v>244</v>
      </c>
      <c r="G443" s="18" t="s">
        <v>245</v>
      </c>
      <c r="H443" s="19" t="s">
        <v>175</v>
      </c>
      <c r="I443" s="18" t="s">
        <v>246</v>
      </c>
      <c r="J443" s="19" t="s">
        <v>247</v>
      </c>
      <c r="K443" s="19"/>
      <c r="L443" s="18" t="s">
        <v>164</v>
      </c>
      <c r="M443" s="18" t="s">
        <v>1424</v>
      </c>
      <c r="N443" s="18" t="s">
        <v>250</v>
      </c>
      <c r="O443" s="20">
        <v>119000</v>
      </c>
      <c r="P443" s="20">
        <v>82110</v>
      </c>
      <c r="Q443" s="20">
        <v>1</v>
      </c>
      <c r="R443" s="20">
        <v>0</v>
      </c>
      <c r="S443" s="20">
        <v>0</v>
      </c>
      <c r="T443" s="20">
        <v>0</v>
      </c>
      <c r="U443" s="20">
        <v>0</v>
      </c>
      <c r="V443" s="20">
        <v>0</v>
      </c>
      <c r="W443" s="20">
        <v>31</v>
      </c>
      <c r="X443" s="20">
        <v>0</v>
      </c>
      <c r="Y443" s="20">
        <v>5950</v>
      </c>
      <c r="Z443" s="20">
        <v>0</v>
      </c>
      <c r="AA443" s="20">
        <v>0</v>
      </c>
      <c r="AB443" s="20">
        <v>0</v>
      </c>
      <c r="AC443" s="20">
        <v>119000</v>
      </c>
      <c r="AD443" s="20">
        <v>82110</v>
      </c>
      <c r="AE443" s="20">
        <v>0</v>
      </c>
      <c r="AF443" s="20">
        <v>5950</v>
      </c>
      <c r="AG443" s="20">
        <v>113050</v>
      </c>
      <c r="AH443" s="20">
        <v>82110</v>
      </c>
      <c r="AI443" s="20">
        <v>28127</v>
      </c>
      <c r="AJ443" s="20">
        <v>2813</v>
      </c>
      <c r="AK443" s="20">
        <v>30940</v>
      </c>
    </row>
    <row r="444" spans="1:37" ht="16.5" customHeight="1" x14ac:dyDescent="0.3">
      <c r="A444" s="18" t="s">
        <v>1432</v>
      </c>
      <c r="B444" s="18" t="s">
        <v>240</v>
      </c>
      <c r="C444" s="19" t="s">
        <v>241</v>
      </c>
      <c r="D444" s="18" t="s">
        <v>1433</v>
      </c>
      <c r="E444" s="19" t="s">
        <v>253</v>
      </c>
      <c r="F444" s="18" t="s">
        <v>244</v>
      </c>
      <c r="G444" s="18" t="s">
        <v>245</v>
      </c>
      <c r="H444" s="19" t="s">
        <v>175</v>
      </c>
      <c r="I444" s="18" t="s">
        <v>246</v>
      </c>
      <c r="J444" s="19" t="s">
        <v>247</v>
      </c>
      <c r="K444" s="19"/>
      <c r="L444" s="18" t="s">
        <v>164</v>
      </c>
      <c r="M444" s="18" t="s">
        <v>1424</v>
      </c>
      <c r="N444" s="18" t="s">
        <v>250</v>
      </c>
      <c r="O444" s="20">
        <v>119000</v>
      </c>
      <c r="P444" s="20">
        <v>82110</v>
      </c>
      <c r="Q444" s="20">
        <v>1</v>
      </c>
      <c r="R444" s="20">
        <v>0</v>
      </c>
      <c r="S444" s="20">
        <v>0</v>
      </c>
      <c r="T444" s="20">
        <v>0</v>
      </c>
      <c r="U444" s="20">
        <v>0</v>
      </c>
      <c r="V444" s="20">
        <v>0</v>
      </c>
      <c r="W444" s="20">
        <v>31</v>
      </c>
      <c r="X444" s="20">
        <v>0</v>
      </c>
      <c r="Y444" s="20">
        <v>5950</v>
      </c>
      <c r="Z444" s="20">
        <v>0</v>
      </c>
      <c r="AA444" s="20">
        <v>0</v>
      </c>
      <c r="AB444" s="20">
        <v>0</v>
      </c>
      <c r="AC444" s="20">
        <v>119000</v>
      </c>
      <c r="AD444" s="20">
        <v>82110</v>
      </c>
      <c r="AE444" s="20">
        <v>0</v>
      </c>
      <c r="AF444" s="20">
        <v>5950</v>
      </c>
      <c r="AG444" s="20">
        <v>113050</v>
      </c>
      <c r="AH444" s="20">
        <v>82110</v>
      </c>
      <c r="AI444" s="20">
        <v>28127</v>
      </c>
      <c r="AJ444" s="20">
        <v>2813</v>
      </c>
      <c r="AK444" s="20">
        <v>30940</v>
      </c>
    </row>
    <row r="445" spans="1:37" ht="16.5" customHeight="1" x14ac:dyDescent="0.3">
      <c r="A445" s="18" t="s">
        <v>1434</v>
      </c>
      <c r="B445" s="18" t="s">
        <v>240</v>
      </c>
      <c r="C445" s="19" t="s">
        <v>241</v>
      </c>
      <c r="D445" s="18" t="s">
        <v>1435</v>
      </c>
      <c r="E445" s="19" t="s">
        <v>424</v>
      </c>
      <c r="F445" s="18" t="s">
        <v>244</v>
      </c>
      <c r="G445" s="18" t="s">
        <v>245</v>
      </c>
      <c r="H445" s="19" t="s">
        <v>175</v>
      </c>
      <c r="I445" s="18" t="s">
        <v>246</v>
      </c>
      <c r="J445" s="19" t="s">
        <v>247</v>
      </c>
      <c r="K445" s="19"/>
      <c r="L445" s="18" t="s">
        <v>164</v>
      </c>
      <c r="M445" s="18" t="s">
        <v>1424</v>
      </c>
      <c r="N445" s="18" t="s">
        <v>250</v>
      </c>
      <c r="O445" s="20">
        <v>119000</v>
      </c>
      <c r="P445" s="20">
        <v>82110</v>
      </c>
      <c r="Q445" s="20">
        <v>1</v>
      </c>
      <c r="R445" s="20">
        <v>0</v>
      </c>
      <c r="S445" s="20">
        <v>0</v>
      </c>
      <c r="T445" s="20">
        <v>0</v>
      </c>
      <c r="U445" s="20">
        <v>0</v>
      </c>
      <c r="V445" s="20">
        <v>0</v>
      </c>
      <c r="W445" s="20">
        <v>31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119000</v>
      </c>
      <c r="AD445" s="20">
        <v>82110</v>
      </c>
      <c r="AE445" s="20">
        <v>0</v>
      </c>
      <c r="AF445" s="20">
        <v>0</v>
      </c>
      <c r="AG445" s="20">
        <v>119000</v>
      </c>
      <c r="AH445" s="20">
        <v>82110</v>
      </c>
      <c r="AI445" s="20">
        <v>33536</v>
      </c>
      <c r="AJ445" s="20">
        <v>3354</v>
      </c>
      <c r="AK445" s="20">
        <v>36890</v>
      </c>
    </row>
    <row r="446" spans="1:37" ht="16.5" customHeight="1" x14ac:dyDescent="0.3">
      <c r="A446" s="18" t="s">
        <v>1436</v>
      </c>
      <c r="B446" s="18" t="s">
        <v>240</v>
      </c>
      <c r="C446" s="19" t="s">
        <v>241</v>
      </c>
      <c r="D446" s="18" t="s">
        <v>1437</v>
      </c>
      <c r="E446" s="19" t="s">
        <v>335</v>
      </c>
      <c r="F446" s="18" t="s">
        <v>244</v>
      </c>
      <c r="G446" s="18" t="s">
        <v>245</v>
      </c>
      <c r="H446" s="19" t="s">
        <v>175</v>
      </c>
      <c r="I446" s="18" t="s">
        <v>246</v>
      </c>
      <c r="J446" s="19" t="s">
        <v>247</v>
      </c>
      <c r="K446" s="19" t="s">
        <v>248</v>
      </c>
      <c r="L446" s="18" t="s">
        <v>164</v>
      </c>
      <c r="M446" s="18" t="s">
        <v>1424</v>
      </c>
      <c r="N446" s="18" t="s">
        <v>250</v>
      </c>
      <c r="O446" s="20">
        <v>119000</v>
      </c>
      <c r="P446" s="20">
        <v>80920</v>
      </c>
      <c r="Q446" s="20">
        <v>1</v>
      </c>
      <c r="R446" s="20">
        <v>0</v>
      </c>
      <c r="S446" s="20">
        <v>0</v>
      </c>
      <c r="T446" s="20">
        <v>0</v>
      </c>
      <c r="U446" s="20">
        <v>0</v>
      </c>
      <c r="V446" s="20">
        <v>0</v>
      </c>
      <c r="W446" s="20">
        <v>32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119000</v>
      </c>
      <c r="AD446" s="20">
        <v>80920</v>
      </c>
      <c r="AE446" s="20">
        <v>0</v>
      </c>
      <c r="AF446" s="20">
        <v>0</v>
      </c>
      <c r="AG446" s="20">
        <v>119000</v>
      </c>
      <c r="AH446" s="20">
        <v>80920</v>
      </c>
      <c r="AI446" s="20">
        <v>34618</v>
      </c>
      <c r="AJ446" s="20">
        <v>3462</v>
      </c>
      <c r="AK446" s="20">
        <v>38080</v>
      </c>
    </row>
    <row r="447" spans="1:37" ht="16.5" customHeight="1" x14ac:dyDescent="0.3">
      <c r="A447" s="18" t="s">
        <v>1438</v>
      </c>
      <c r="B447" s="18" t="s">
        <v>240</v>
      </c>
      <c r="C447" s="19" t="s">
        <v>241</v>
      </c>
      <c r="D447" s="18" t="s">
        <v>1439</v>
      </c>
      <c r="E447" s="19" t="s">
        <v>1440</v>
      </c>
      <c r="F447" s="18" t="s">
        <v>244</v>
      </c>
      <c r="G447" s="18" t="s">
        <v>245</v>
      </c>
      <c r="H447" s="19" t="s">
        <v>175</v>
      </c>
      <c r="I447" s="18" t="s">
        <v>246</v>
      </c>
      <c r="J447" s="19" t="s">
        <v>247</v>
      </c>
      <c r="K447" s="19"/>
      <c r="L447" s="18" t="s">
        <v>164</v>
      </c>
      <c r="M447" s="18" t="s">
        <v>1424</v>
      </c>
      <c r="N447" s="18" t="s">
        <v>250</v>
      </c>
      <c r="O447" s="20">
        <v>119000</v>
      </c>
      <c r="P447" s="20">
        <v>82110</v>
      </c>
      <c r="Q447" s="20">
        <v>1</v>
      </c>
      <c r="R447" s="20">
        <v>0</v>
      </c>
      <c r="S447" s="20">
        <v>0</v>
      </c>
      <c r="T447" s="20">
        <v>0</v>
      </c>
      <c r="U447" s="20">
        <v>0</v>
      </c>
      <c r="V447" s="20">
        <v>0</v>
      </c>
      <c r="W447" s="20">
        <v>31</v>
      </c>
      <c r="X447" s="20">
        <v>0</v>
      </c>
      <c r="Y447" s="20">
        <v>5950</v>
      </c>
      <c r="Z447" s="20">
        <v>0</v>
      </c>
      <c r="AA447" s="20">
        <v>0</v>
      </c>
      <c r="AB447" s="20">
        <v>0</v>
      </c>
      <c r="AC447" s="20">
        <v>119000</v>
      </c>
      <c r="AD447" s="20">
        <v>82110</v>
      </c>
      <c r="AE447" s="20">
        <v>0</v>
      </c>
      <c r="AF447" s="20">
        <v>5950</v>
      </c>
      <c r="AG447" s="20">
        <v>113050</v>
      </c>
      <c r="AH447" s="20">
        <v>82110</v>
      </c>
      <c r="AI447" s="20">
        <v>28127</v>
      </c>
      <c r="AJ447" s="20">
        <v>2813</v>
      </c>
      <c r="AK447" s="20">
        <v>30940</v>
      </c>
    </row>
    <row r="448" spans="1:37" ht="16.5" customHeight="1" x14ac:dyDescent="0.3">
      <c r="A448" s="18" t="s">
        <v>1441</v>
      </c>
      <c r="B448" s="18" t="s">
        <v>240</v>
      </c>
      <c r="C448" s="19" t="s">
        <v>241</v>
      </c>
      <c r="D448" s="18" t="s">
        <v>1442</v>
      </c>
      <c r="E448" s="19" t="s">
        <v>362</v>
      </c>
      <c r="F448" s="18" t="s">
        <v>244</v>
      </c>
      <c r="G448" s="18" t="s">
        <v>245</v>
      </c>
      <c r="H448" s="19" t="s">
        <v>175</v>
      </c>
      <c r="I448" s="18" t="s">
        <v>246</v>
      </c>
      <c r="J448" s="19" t="s">
        <v>247</v>
      </c>
      <c r="K448" s="19" t="s">
        <v>248</v>
      </c>
      <c r="L448" s="18" t="s">
        <v>164</v>
      </c>
      <c r="M448" s="18" t="s">
        <v>1424</v>
      </c>
      <c r="N448" s="18" t="s">
        <v>250</v>
      </c>
      <c r="O448" s="20">
        <v>119000</v>
      </c>
      <c r="P448" s="20">
        <v>82110</v>
      </c>
      <c r="Q448" s="20">
        <v>1</v>
      </c>
      <c r="R448" s="20">
        <v>0</v>
      </c>
      <c r="S448" s="20">
        <v>0</v>
      </c>
      <c r="T448" s="20">
        <v>0</v>
      </c>
      <c r="U448" s="20">
        <v>0</v>
      </c>
      <c r="V448" s="20">
        <v>0</v>
      </c>
      <c r="W448" s="20">
        <v>31</v>
      </c>
      <c r="X448" s="20">
        <v>13090</v>
      </c>
      <c r="Y448" s="20">
        <v>0</v>
      </c>
      <c r="Z448" s="20">
        <v>0</v>
      </c>
      <c r="AA448" s="20">
        <v>0</v>
      </c>
      <c r="AB448" s="20">
        <v>0</v>
      </c>
      <c r="AC448" s="20">
        <v>119000</v>
      </c>
      <c r="AD448" s="20">
        <v>82110</v>
      </c>
      <c r="AE448" s="20">
        <v>0</v>
      </c>
      <c r="AF448" s="20">
        <v>13090</v>
      </c>
      <c r="AG448" s="20">
        <v>105910</v>
      </c>
      <c r="AH448" s="20">
        <v>82110</v>
      </c>
      <c r="AI448" s="20">
        <v>21636</v>
      </c>
      <c r="AJ448" s="20">
        <v>2164</v>
      </c>
      <c r="AK448" s="20">
        <v>23800</v>
      </c>
    </row>
    <row r="449" spans="1:37" ht="16.5" customHeight="1" x14ac:dyDescent="0.3">
      <c r="A449" s="18" t="s">
        <v>1443</v>
      </c>
      <c r="B449" s="18" t="s">
        <v>240</v>
      </c>
      <c r="C449" s="19" t="s">
        <v>241</v>
      </c>
      <c r="D449" s="18" t="s">
        <v>1444</v>
      </c>
      <c r="E449" s="19" t="s">
        <v>1145</v>
      </c>
      <c r="F449" s="18" t="s">
        <v>244</v>
      </c>
      <c r="G449" s="18" t="s">
        <v>245</v>
      </c>
      <c r="H449" s="19" t="s">
        <v>175</v>
      </c>
      <c r="I449" s="18" t="s">
        <v>246</v>
      </c>
      <c r="J449" s="19" t="s">
        <v>247</v>
      </c>
      <c r="K449" s="19"/>
      <c r="L449" s="18" t="s">
        <v>164</v>
      </c>
      <c r="M449" s="18" t="s">
        <v>1424</v>
      </c>
      <c r="N449" s="18" t="s">
        <v>250</v>
      </c>
      <c r="O449" s="20">
        <v>119000</v>
      </c>
      <c r="P449" s="20">
        <v>82110</v>
      </c>
      <c r="Q449" s="20">
        <v>1</v>
      </c>
      <c r="R449" s="20">
        <v>0</v>
      </c>
      <c r="S449" s="20">
        <v>0</v>
      </c>
      <c r="T449" s="20">
        <v>0</v>
      </c>
      <c r="U449" s="20">
        <v>0</v>
      </c>
      <c r="V449" s="20">
        <v>0</v>
      </c>
      <c r="W449" s="20">
        <v>31</v>
      </c>
      <c r="X449" s="20">
        <v>0</v>
      </c>
      <c r="Y449" s="20">
        <v>5950</v>
      </c>
      <c r="Z449" s="20">
        <v>0</v>
      </c>
      <c r="AA449" s="20">
        <v>0</v>
      </c>
      <c r="AB449" s="20">
        <v>0</v>
      </c>
      <c r="AC449" s="20">
        <v>119000</v>
      </c>
      <c r="AD449" s="20">
        <v>82110</v>
      </c>
      <c r="AE449" s="20">
        <v>0</v>
      </c>
      <c r="AF449" s="20">
        <v>5950</v>
      </c>
      <c r="AG449" s="20">
        <v>113050</v>
      </c>
      <c r="AH449" s="20">
        <v>82110</v>
      </c>
      <c r="AI449" s="20">
        <v>28127</v>
      </c>
      <c r="AJ449" s="20">
        <v>2813</v>
      </c>
      <c r="AK449" s="20">
        <v>30940</v>
      </c>
    </row>
    <row r="450" spans="1:37" ht="16.5" customHeight="1" x14ac:dyDescent="0.3">
      <c r="A450" s="18" t="s">
        <v>1445</v>
      </c>
      <c r="B450" s="18" t="s">
        <v>240</v>
      </c>
      <c r="C450" s="19" t="s">
        <v>241</v>
      </c>
      <c r="D450" s="18" t="s">
        <v>1446</v>
      </c>
      <c r="E450" s="19" t="s">
        <v>1447</v>
      </c>
      <c r="F450" s="18" t="s">
        <v>244</v>
      </c>
      <c r="G450" s="18" t="s">
        <v>245</v>
      </c>
      <c r="H450" s="19" t="s">
        <v>175</v>
      </c>
      <c r="I450" s="18" t="s">
        <v>246</v>
      </c>
      <c r="J450" s="19" t="s">
        <v>247</v>
      </c>
      <c r="K450" s="19"/>
      <c r="L450" s="18" t="s">
        <v>164</v>
      </c>
      <c r="M450" s="18" t="s">
        <v>1424</v>
      </c>
      <c r="N450" s="18" t="s">
        <v>250</v>
      </c>
      <c r="O450" s="20">
        <v>119000</v>
      </c>
      <c r="P450" s="20">
        <v>82110</v>
      </c>
      <c r="Q450" s="20">
        <v>1</v>
      </c>
      <c r="R450" s="20">
        <v>0</v>
      </c>
      <c r="S450" s="20">
        <v>0</v>
      </c>
      <c r="T450" s="20">
        <v>0</v>
      </c>
      <c r="U450" s="20">
        <v>0</v>
      </c>
      <c r="V450" s="20">
        <v>0</v>
      </c>
      <c r="W450" s="20">
        <v>31</v>
      </c>
      <c r="X450" s="20">
        <v>0</v>
      </c>
      <c r="Y450" s="20">
        <v>5950</v>
      </c>
      <c r="Z450" s="20">
        <v>0</v>
      </c>
      <c r="AA450" s="20">
        <v>0</v>
      </c>
      <c r="AB450" s="20">
        <v>0</v>
      </c>
      <c r="AC450" s="20">
        <v>119000</v>
      </c>
      <c r="AD450" s="20">
        <v>82110</v>
      </c>
      <c r="AE450" s="20">
        <v>0</v>
      </c>
      <c r="AF450" s="20">
        <v>5950</v>
      </c>
      <c r="AG450" s="20">
        <v>113050</v>
      </c>
      <c r="AH450" s="20">
        <v>82110</v>
      </c>
      <c r="AI450" s="20">
        <v>28127</v>
      </c>
      <c r="AJ450" s="20">
        <v>2813</v>
      </c>
      <c r="AK450" s="20">
        <v>30940</v>
      </c>
    </row>
    <row r="451" spans="1:37" ht="16.5" customHeight="1" x14ac:dyDescent="0.3">
      <c r="A451" s="18" t="s">
        <v>1448</v>
      </c>
      <c r="B451" s="18" t="s">
        <v>240</v>
      </c>
      <c r="C451" s="19" t="s">
        <v>241</v>
      </c>
      <c r="D451" s="18" t="s">
        <v>1449</v>
      </c>
      <c r="E451" s="19" t="s">
        <v>1450</v>
      </c>
      <c r="F451" s="18" t="s">
        <v>244</v>
      </c>
      <c r="G451" s="18" t="s">
        <v>245</v>
      </c>
      <c r="H451" s="19" t="s">
        <v>175</v>
      </c>
      <c r="I451" s="18" t="s">
        <v>246</v>
      </c>
      <c r="J451" s="19" t="s">
        <v>247</v>
      </c>
      <c r="K451" s="19"/>
      <c r="L451" s="18" t="s">
        <v>164</v>
      </c>
      <c r="M451" s="18" t="s">
        <v>1424</v>
      </c>
      <c r="N451" s="18" t="s">
        <v>250</v>
      </c>
      <c r="O451" s="20">
        <v>119000</v>
      </c>
      <c r="P451" s="20">
        <v>82110</v>
      </c>
      <c r="Q451" s="20">
        <v>1</v>
      </c>
      <c r="R451" s="20">
        <v>0</v>
      </c>
      <c r="S451" s="20">
        <v>0</v>
      </c>
      <c r="T451" s="20">
        <v>0</v>
      </c>
      <c r="U451" s="20">
        <v>0</v>
      </c>
      <c r="V451" s="20">
        <v>0</v>
      </c>
      <c r="W451" s="20">
        <v>31</v>
      </c>
      <c r="X451" s="20">
        <v>0</v>
      </c>
      <c r="Y451" s="20">
        <v>5950</v>
      </c>
      <c r="Z451" s="20">
        <v>0</v>
      </c>
      <c r="AA451" s="20">
        <v>0</v>
      </c>
      <c r="AB451" s="20">
        <v>0</v>
      </c>
      <c r="AC451" s="20">
        <v>119000</v>
      </c>
      <c r="AD451" s="20">
        <v>82110</v>
      </c>
      <c r="AE451" s="20">
        <v>0</v>
      </c>
      <c r="AF451" s="20">
        <v>5950</v>
      </c>
      <c r="AG451" s="20">
        <v>113050</v>
      </c>
      <c r="AH451" s="20">
        <v>82110</v>
      </c>
      <c r="AI451" s="20">
        <v>28127</v>
      </c>
      <c r="AJ451" s="20">
        <v>2813</v>
      </c>
      <c r="AK451" s="20">
        <v>30940</v>
      </c>
    </row>
    <row r="452" spans="1:37" ht="16.5" customHeight="1" x14ac:dyDescent="0.3">
      <c r="A452" s="18" t="s">
        <v>1451</v>
      </c>
      <c r="B452" s="18" t="s">
        <v>240</v>
      </c>
      <c r="C452" s="19" t="s">
        <v>241</v>
      </c>
      <c r="D452" s="18" t="s">
        <v>1452</v>
      </c>
      <c r="E452" s="19" t="s">
        <v>412</v>
      </c>
      <c r="F452" s="18" t="s">
        <v>244</v>
      </c>
      <c r="G452" s="18" t="s">
        <v>245</v>
      </c>
      <c r="H452" s="19" t="s">
        <v>175</v>
      </c>
      <c r="I452" s="18" t="s">
        <v>246</v>
      </c>
      <c r="J452" s="19" t="s">
        <v>247</v>
      </c>
      <c r="K452" s="19"/>
      <c r="L452" s="18" t="s">
        <v>164</v>
      </c>
      <c r="M452" s="18" t="s">
        <v>1424</v>
      </c>
      <c r="N452" s="18" t="s">
        <v>250</v>
      </c>
      <c r="O452" s="20">
        <v>119000</v>
      </c>
      <c r="P452" s="20">
        <v>82110</v>
      </c>
      <c r="Q452" s="20">
        <v>1</v>
      </c>
      <c r="R452" s="20">
        <v>0</v>
      </c>
      <c r="S452" s="20">
        <v>0</v>
      </c>
      <c r="T452" s="20">
        <v>0</v>
      </c>
      <c r="U452" s="20">
        <v>0</v>
      </c>
      <c r="V452" s="20">
        <v>0</v>
      </c>
      <c r="W452" s="20">
        <v>31</v>
      </c>
      <c r="X452" s="20">
        <v>0</v>
      </c>
      <c r="Y452" s="20">
        <v>5950</v>
      </c>
      <c r="Z452" s="20">
        <v>0</v>
      </c>
      <c r="AA452" s="20">
        <v>0</v>
      </c>
      <c r="AB452" s="20">
        <v>0</v>
      </c>
      <c r="AC452" s="20">
        <v>119000</v>
      </c>
      <c r="AD452" s="20">
        <v>82110</v>
      </c>
      <c r="AE452" s="20">
        <v>0</v>
      </c>
      <c r="AF452" s="20">
        <v>5950</v>
      </c>
      <c r="AG452" s="20">
        <v>113050</v>
      </c>
      <c r="AH452" s="20">
        <v>82110</v>
      </c>
      <c r="AI452" s="20">
        <v>28127</v>
      </c>
      <c r="AJ452" s="20">
        <v>2813</v>
      </c>
      <c r="AK452" s="20">
        <v>30940</v>
      </c>
    </row>
    <row r="453" spans="1:37" ht="16.5" customHeight="1" x14ac:dyDescent="0.3">
      <c r="A453" s="18" t="s">
        <v>1453</v>
      </c>
      <c r="B453" s="18" t="s">
        <v>240</v>
      </c>
      <c r="C453" s="19" t="s">
        <v>241</v>
      </c>
      <c r="D453" s="18" t="s">
        <v>1454</v>
      </c>
      <c r="E453" s="19" t="s">
        <v>1440</v>
      </c>
      <c r="F453" s="18" t="s">
        <v>244</v>
      </c>
      <c r="G453" s="18" t="s">
        <v>245</v>
      </c>
      <c r="H453" s="19" t="s">
        <v>175</v>
      </c>
      <c r="I453" s="18" t="s">
        <v>246</v>
      </c>
      <c r="J453" s="19" t="s">
        <v>247</v>
      </c>
      <c r="K453" s="19"/>
      <c r="L453" s="18" t="s">
        <v>164</v>
      </c>
      <c r="M453" s="18" t="s">
        <v>1424</v>
      </c>
      <c r="N453" s="18" t="s">
        <v>250</v>
      </c>
      <c r="O453" s="20">
        <v>119000</v>
      </c>
      <c r="P453" s="20">
        <v>82110</v>
      </c>
      <c r="Q453" s="20">
        <v>1</v>
      </c>
      <c r="R453" s="20">
        <v>0</v>
      </c>
      <c r="S453" s="20">
        <v>0</v>
      </c>
      <c r="T453" s="20">
        <v>0</v>
      </c>
      <c r="U453" s="20">
        <v>0</v>
      </c>
      <c r="V453" s="20">
        <v>0</v>
      </c>
      <c r="W453" s="20">
        <v>31</v>
      </c>
      <c r="X453" s="20">
        <v>0</v>
      </c>
      <c r="Y453" s="20">
        <v>5950</v>
      </c>
      <c r="Z453" s="20">
        <v>0</v>
      </c>
      <c r="AA453" s="20">
        <v>0</v>
      </c>
      <c r="AB453" s="20">
        <v>0</v>
      </c>
      <c r="AC453" s="20">
        <v>119000</v>
      </c>
      <c r="AD453" s="20">
        <v>82110</v>
      </c>
      <c r="AE453" s="20">
        <v>0</v>
      </c>
      <c r="AF453" s="20">
        <v>5950</v>
      </c>
      <c r="AG453" s="20">
        <v>113050</v>
      </c>
      <c r="AH453" s="20">
        <v>82110</v>
      </c>
      <c r="AI453" s="20">
        <v>28127</v>
      </c>
      <c r="AJ453" s="20">
        <v>2813</v>
      </c>
      <c r="AK453" s="20">
        <v>30940</v>
      </c>
    </row>
    <row r="454" spans="1:37" ht="16.5" customHeight="1" x14ac:dyDescent="0.3">
      <c r="A454" s="18" t="s">
        <v>1455</v>
      </c>
      <c r="B454" s="18" t="s">
        <v>240</v>
      </c>
      <c r="C454" s="19" t="s">
        <v>241</v>
      </c>
      <c r="D454" s="18" t="s">
        <v>1456</v>
      </c>
      <c r="E454" s="19" t="s">
        <v>1440</v>
      </c>
      <c r="F454" s="18" t="s">
        <v>244</v>
      </c>
      <c r="G454" s="18" t="s">
        <v>245</v>
      </c>
      <c r="H454" s="19" t="s">
        <v>175</v>
      </c>
      <c r="I454" s="18" t="s">
        <v>246</v>
      </c>
      <c r="J454" s="19" t="s">
        <v>247</v>
      </c>
      <c r="K454" s="19"/>
      <c r="L454" s="18" t="s">
        <v>164</v>
      </c>
      <c r="M454" s="18" t="s">
        <v>1424</v>
      </c>
      <c r="N454" s="18" t="s">
        <v>250</v>
      </c>
      <c r="O454" s="20">
        <v>119000</v>
      </c>
      <c r="P454" s="20">
        <v>82110</v>
      </c>
      <c r="Q454" s="20">
        <v>1</v>
      </c>
      <c r="R454" s="20">
        <v>0</v>
      </c>
      <c r="S454" s="20">
        <v>0</v>
      </c>
      <c r="T454" s="20">
        <v>0</v>
      </c>
      <c r="U454" s="20">
        <v>0</v>
      </c>
      <c r="V454" s="20">
        <v>0</v>
      </c>
      <c r="W454" s="20">
        <v>31</v>
      </c>
      <c r="X454" s="20">
        <v>0</v>
      </c>
      <c r="Y454" s="20">
        <v>5950</v>
      </c>
      <c r="Z454" s="20">
        <v>0</v>
      </c>
      <c r="AA454" s="20">
        <v>0</v>
      </c>
      <c r="AB454" s="20">
        <v>0</v>
      </c>
      <c r="AC454" s="20">
        <v>119000</v>
      </c>
      <c r="AD454" s="20">
        <v>82110</v>
      </c>
      <c r="AE454" s="20">
        <v>0</v>
      </c>
      <c r="AF454" s="20">
        <v>5950</v>
      </c>
      <c r="AG454" s="20">
        <v>113050</v>
      </c>
      <c r="AH454" s="20">
        <v>82110</v>
      </c>
      <c r="AI454" s="20">
        <v>28127</v>
      </c>
      <c r="AJ454" s="20">
        <v>2813</v>
      </c>
      <c r="AK454" s="20">
        <v>30940</v>
      </c>
    </row>
    <row r="455" spans="1:37" ht="16.5" customHeight="1" x14ac:dyDescent="0.3">
      <c r="A455" s="18" t="s">
        <v>1457</v>
      </c>
      <c r="B455" s="18" t="s">
        <v>240</v>
      </c>
      <c r="C455" s="19" t="s">
        <v>241</v>
      </c>
      <c r="D455" s="18" t="s">
        <v>1458</v>
      </c>
      <c r="E455" s="19" t="s">
        <v>1440</v>
      </c>
      <c r="F455" s="18" t="s">
        <v>244</v>
      </c>
      <c r="G455" s="18" t="s">
        <v>245</v>
      </c>
      <c r="H455" s="19" t="s">
        <v>175</v>
      </c>
      <c r="I455" s="18" t="s">
        <v>246</v>
      </c>
      <c r="J455" s="19" t="s">
        <v>247</v>
      </c>
      <c r="K455" s="19"/>
      <c r="L455" s="18" t="s">
        <v>164</v>
      </c>
      <c r="M455" s="18" t="s">
        <v>1424</v>
      </c>
      <c r="N455" s="18" t="s">
        <v>250</v>
      </c>
      <c r="O455" s="20">
        <v>119000</v>
      </c>
      <c r="P455" s="20">
        <v>82110</v>
      </c>
      <c r="Q455" s="20">
        <v>1</v>
      </c>
      <c r="R455" s="20">
        <v>0</v>
      </c>
      <c r="S455" s="20">
        <v>0</v>
      </c>
      <c r="T455" s="20">
        <v>0</v>
      </c>
      <c r="U455" s="20">
        <v>0</v>
      </c>
      <c r="V455" s="20">
        <v>0</v>
      </c>
      <c r="W455" s="20">
        <v>31</v>
      </c>
      <c r="X455" s="20">
        <v>0</v>
      </c>
      <c r="Y455" s="20">
        <v>5950</v>
      </c>
      <c r="Z455" s="20">
        <v>0</v>
      </c>
      <c r="AA455" s="20">
        <v>0</v>
      </c>
      <c r="AB455" s="20">
        <v>0</v>
      </c>
      <c r="AC455" s="20">
        <v>119000</v>
      </c>
      <c r="AD455" s="20">
        <v>82110</v>
      </c>
      <c r="AE455" s="20">
        <v>0</v>
      </c>
      <c r="AF455" s="20">
        <v>5950</v>
      </c>
      <c r="AG455" s="20">
        <v>113050</v>
      </c>
      <c r="AH455" s="20">
        <v>82110</v>
      </c>
      <c r="AI455" s="20">
        <v>28127</v>
      </c>
      <c r="AJ455" s="20">
        <v>2813</v>
      </c>
      <c r="AK455" s="20">
        <v>30940</v>
      </c>
    </row>
    <row r="456" spans="1:37" ht="16.5" customHeight="1" x14ac:dyDescent="0.3">
      <c r="A456" s="18" t="s">
        <v>1459</v>
      </c>
      <c r="B456" s="18" t="s">
        <v>240</v>
      </c>
      <c r="C456" s="19" t="s">
        <v>241</v>
      </c>
      <c r="D456" s="18" t="s">
        <v>1460</v>
      </c>
      <c r="E456" s="19" t="s">
        <v>412</v>
      </c>
      <c r="F456" s="18" t="s">
        <v>244</v>
      </c>
      <c r="G456" s="18" t="s">
        <v>245</v>
      </c>
      <c r="H456" s="19" t="s">
        <v>175</v>
      </c>
      <c r="I456" s="18" t="s">
        <v>246</v>
      </c>
      <c r="J456" s="19" t="s">
        <v>247</v>
      </c>
      <c r="K456" s="19"/>
      <c r="L456" s="18" t="s">
        <v>164</v>
      </c>
      <c r="M456" s="18" t="s">
        <v>1424</v>
      </c>
      <c r="N456" s="18" t="s">
        <v>250</v>
      </c>
      <c r="O456" s="20">
        <v>119000</v>
      </c>
      <c r="P456" s="20">
        <v>82110</v>
      </c>
      <c r="Q456" s="20">
        <v>1</v>
      </c>
      <c r="R456" s="20">
        <v>0</v>
      </c>
      <c r="S456" s="20">
        <v>0</v>
      </c>
      <c r="T456" s="20">
        <v>0</v>
      </c>
      <c r="U456" s="20">
        <v>0</v>
      </c>
      <c r="V456" s="20">
        <v>0</v>
      </c>
      <c r="W456" s="20">
        <v>31</v>
      </c>
      <c r="X456" s="20">
        <v>0</v>
      </c>
      <c r="Y456" s="20">
        <v>5950</v>
      </c>
      <c r="Z456" s="20">
        <v>0</v>
      </c>
      <c r="AA456" s="20">
        <v>0</v>
      </c>
      <c r="AB456" s="20">
        <v>0</v>
      </c>
      <c r="AC456" s="20">
        <v>119000</v>
      </c>
      <c r="AD456" s="20">
        <v>82110</v>
      </c>
      <c r="AE456" s="20">
        <v>0</v>
      </c>
      <c r="AF456" s="20">
        <v>5950</v>
      </c>
      <c r="AG456" s="20">
        <v>113050</v>
      </c>
      <c r="AH456" s="20">
        <v>82110</v>
      </c>
      <c r="AI456" s="20">
        <v>28127</v>
      </c>
      <c r="AJ456" s="20">
        <v>2813</v>
      </c>
      <c r="AK456" s="20">
        <v>30940</v>
      </c>
    </row>
    <row r="457" spans="1:37" ht="16.5" customHeight="1" x14ac:dyDescent="0.3">
      <c r="A457" s="18" t="s">
        <v>1461</v>
      </c>
      <c r="B457" s="18" t="s">
        <v>240</v>
      </c>
      <c r="C457" s="19" t="s">
        <v>241</v>
      </c>
      <c r="D457" s="18" t="s">
        <v>1462</v>
      </c>
      <c r="E457" s="19" t="s">
        <v>663</v>
      </c>
      <c r="F457" s="18" t="s">
        <v>244</v>
      </c>
      <c r="G457" s="18" t="s">
        <v>245</v>
      </c>
      <c r="H457" s="19" t="s">
        <v>175</v>
      </c>
      <c r="I457" s="18" t="s">
        <v>246</v>
      </c>
      <c r="J457" s="19" t="s">
        <v>247</v>
      </c>
      <c r="K457" s="19" t="s">
        <v>248</v>
      </c>
      <c r="L457" s="18" t="s">
        <v>164</v>
      </c>
      <c r="M457" s="18" t="s">
        <v>1424</v>
      </c>
      <c r="N457" s="18" t="s">
        <v>250</v>
      </c>
      <c r="O457" s="20">
        <v>119000</v>
      </c>
      <c r="P457" s="20">
        <v>82110</v>
      </c>
      <c r="Q457" s="20">
        <v>1</v>
      </c>
      <c r="R457" s="20">
        <v>0</v>
      </c>
      <c r="S457" s="20">
        <v>0</v>
      </c>
      <c r="T457" s="20">
        <v>0</v>
      </c>
      <c r="U457" s="20">
        <v>0</v>
      </c>
      <c r="V457" s="20">
        <v>0</v>
      </c>
      <c r="W457" s="20">
        <v>31</v>
      </c>
      <c r="X457" s="20">
        <v>0</v>
      </c>
      <c r="Y457" s="20">
        <v>0</v>
      </c>
      <c r="Z457" s="20">
        <v>0</v>
      </c>
      <c r="AA457" s="20">
        <v>0</v>
      </c>
      <c r="AB457" s="20">
        <v>0</v>
      </c>
      <c r="AC457" s="20">
        <v>119000</v>
      </c>
      <c r="AD457" s="20">
        <v>82110</v>
      </c>
      <c r="AE457" s="20">
        <v>0</v>
      </c>
      <c r="AF457" s="20">
        <v>0</v>
      </c>
      <c r="AG457" s="20">
        <v>119000</v>
      </c>
      <c r="AH457" s="20">
        <v>82110</v>
      </c>
      <c r="AI457" s="20">
        <v>33536</v>
      </c>
      <c r="AJ457" s="20">
        <v>3354</v>
      </c>
      <c r="AK457" s="20">
        <v>36890</v>
      </c>
    </row>
    <row r="458" spans="1:37" ht="16.5" customHeight="1" x14ac:dyDescent="0.3">
      <c r="A458" s="18" t="s">
        <v>1463</v>
      </c>
      <c r="B458" s="18" t="s">
        <v>240</v>
      </c>
      <c r="C458" s="19" t="s">
        <v>241</v>
      </c>
      <c r="D458" s="18" t="s">
        <v>1464</v>
      </c>
      <c r="E458" s="19" t="s">
        <v>1465</v>
      </c>
      <c r="F458" s="18" t="s">
        <v>244</v>
      </c>
      <c r="G458" s="18" t="s">
        <v>245</v>
      </c>
      <c r="H458" s="19" t="s">
        <v>175</v>
      </c>
      <c r="I458" s="18" t="s">
        <v>246</v>
      </c>
      <c r="J458" s="19" t="s">
        <v>247</v>
      </c>
      <c r="K458" s="19" t="s">
        <v>314</v>
      </c>
      <c r="L458" s="18" t="s">
        <v>164</v>
      </c>
      <c r="M458" s="18" t="s">
        <v>1424</v>
      </c>
      <c r="N458" s="18" t="s">
        <v>250</v>
      </c>
      <c r="O458" s="20">
        <v>119000</v>
      </c>
      <c r="P458" s="20">
        <v>82110</v>
      </c>
      <c r="Q458" s="20">
        <v>1</v>
      </c>
      <c r="R458" s="20">
        <v>0</v>
      </c>
      <c r="S458" s="20">
        <v>0</v>
      </c>
      <c r="T458" s="20">
        <v>0</v>
      </c>
      <c r="U458" s="20">
        <v>0</v>
      </c>
      <c r="V458" s="20">
        <v>0</v>
      </c>
      <c r="W458" s="20">
        <v>31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119000</v>
      </c>
      <c r="AD458" s="20">
        <v>82110</v>
      </c>
      <c r="AE458" s="20">
        <v>0</v>
      </c>
      <c r="AF458" s="20">
        <v>0</v>
      </c>
      <c r="AG458" s="20">
        <v>119000</v>
      </c>
      <c r="AH458" s="20">
        <v>82110</v>
      </c>
      <c r="AI458" s="20">
        <v>33536</v>
      </c>
      <c r="AJ458" s="20">
        <v>3354</v>
      </c>
      <c r="AK458" s="20">
        <v>36890</v>
      </c>
    </row>
    <row r="459" spans="1:37" ht="16.5" customHeight="1" x14ac:dyDescent="0.3">
      <c r="A459" s="18" t="s">
        <v>1466</v>
      </c>
      <c r="B459" s="18" t="s">
        <v>240</v>
      </c>
      <c r="C459" s="19" t="s">
        <v>241</v>
      </c>
      <c r="D459" s="18" t="s">
        <v>1467</v>
      </c>
      <c r="E459" s="19" t="s">
        <v>1468</v>
      </c>
      <c r="F459" s="18" t="s">
        <v>244</v>
      </c>
      <c r="G459" s="18" t="s">
        <v>245</v>
      </c>
      <c r="H459" s="19" t="s">
        <v>175</v>
      </c>
      <c r="I459" s="18" t="s">
        <v>246</v>
      </c>
      <c r="J459" s="19" t="s">
        <v>247</v>
      </c>
      <c r="K459" s="19" t="s">
        <v>314</v>
      </c>
      <c r="L459" s="18" t="s">
        <v>164</v>
      </c>
      <c r="M459" s="18" t="s">
        <v>1424</v>
      </c>
      <c r="N459" s="18" t="s">
        <v>250</v>
      </c>
      <c r="O459" s="20">
        <v>119000</v>
      </c>
      <c r="P459" s="20">
        <v>82110</v>
      </c>
      <c r="Q459" s="20">
        <v>1</v>
      </c>
      <c r="R459" s="20">
        <v>0</v>
      </c>
      <c r="S459" s="20">
        <v>0</v>
      </c>
      <c r="T459" s="20">
        <v>0</v>
      </c>
      <c r="U459" s="20">
        <v>0</v>
      </c>
      <c r="V459" s="20">
        <v>0</v>
      </c>
      <c r="W459" s="20">
        <v>31</v>
      </c>
      <c r="X459" s="20">
        <v>0</v>
      </c>
      <c r="Y459" s="20">
        <v>10000</v>
      </c>
      <c r="Z459" s="20">
        <v>0</v>
      </c>
      <c r="AA459" s="20">
        <v>0</v>
      </c>
      <c r="AB459" s="20">
        <v>0</v>
      </c>
      <c r="AC459" s="20">
        <v>119000</v>
      </c>
      <c r="AD459" s="20">
        <v>82110</v>
      </c>
      <c r="AE459" s="20">
        <v>0</v>
      </c>
      <c r="AF459" s="20">
        <v>10000</v>
      </c>
      <c r="AG459" s="20">
        <v>109000</v>
      </c>
      <c r="AH459" s="20">
        <v>82110</v>
      </c>
      <c r="AI459" s="20">
        <v>24445</v>
      </c>
      <c r="AJ459" s="20">
        <v>2445</v>
      </c>
      <c r="AK459" s="20">
        <v>26890</v>
      </c>
    </row>
    <row r="460" spans="1:37" ht="16.5" customHeight="1" x14ac:dyDescent="0.3">
      <c r="A460" s="18" t="s">
        <v>1469</v>
      </c>
      <c r="B460" s="18" t="s">
        <v>240</v>
      </c>
      <c r="C460" s="19" t="s">
        <v>241</v>
      </c>
      <c r="D460" s="18" t="s">
        <v>1470</v>
      </c>
      <c r="E460" s="19" t="s">
        <v>1471</v>
      </c>
      <c r="F460" s="18" t="s">
        <v>244</v>
      </c>
      <c r="G460" s="18" t="s">
        <v>245</v>
      </c>
      <c r="H460" s="19" t="s">
        <v>175</v>
      </c>
      <c r="I460" s="18" t="s">
        <v>246</v>
      </c>
      <c r="J460" s="19" t="s">
        <v>247</v>
      </c>
      <c r="K460" s="19" t="s">
        <v>248</v>
      </c>
      <c r="L460" s="18" t="s">
        <v>164</v>
      </c>
      <c r="M460" s="18" t="s">
        <v>1424</v>
      </c>
      <c r="N460" s="18" t="s">
        <v>250</v>
      </c>
      <c r="O460" s="20">
        <v>119000</v>
      </c>
      <c r="P460" s="20">
        <v>82110</v>
      </c>
      <c r="Q460" s="20">
        <v>1</v>
      </c>
      <c r="R460" s="20">
        <v>0</v>
      </c>
      <c r="S460" s="20">
        <v>0</v>
      </c>
      <c r="T460" s="20">
        <v>0</v>
      </c>
      <c r="U460" s="20">
        <v>0</v>
      </c>
      <c r="V460" s="20">
        <v>0</v>
      </c>
      <c r="W460" s="20">
        <v>31</v>
      </c>
      <c r="X460" s="20">
        <v>0</v>
      </c>
      <c r="Y460" s="20">
        <v>10000</v>
      </c>
      <c r="Z460" s="20">
        <v>0</v>
      </c>
      <c r="AA460" s="20">
        <v>0</v>
      </c>
      <c r="AB460" s="20">
        <v>0</v>
      </c>
      <c r="AC460" s="20">
        <v>119000</v>
      </c>
      <c r="AD460" s="20">
        <v>82110</v>
      </c>
      <c r="AE460" s="20">
        <v>0</v>
      </c>
      <c r="AF460" s="20">
        <v>10000</v>
      </c>
      <c r="AG460" s="20">
        <v>109000</v>
      </c>
      <c r="AH460" s="20">
        <v>82110</v>
      </c>
      <c r="AI460" s="20">
        <v>24445</v>
      </c>
      <c r="AJ460" s="20">
        <v>2445</v>
      </c>
      <c r="AK460" s="20">
        <v>26890</v>
      </c>
    </row>
    <row r="461" spans="1:37" ht="16.5" customHeight="1" x14ac:dyDescent="0.3">
      <c r="A461" s="18" t="s">
        <v>1472</v>
      </c>
      <c r="B461" s="18" t="s">
        <v>240</v>
      </c>
      <c r="C461" s="19" t="s">
        <v>241</v>
      </c>
      <c r="D461" s="18" t="s">
        <v>1473</v>
      </c>
      <c r="E461" s="19" t="s">
        <v>349</v>
      </c>
      <c r="F461" s="18" t="s">
        <v>244</v>
      </c>
      <c r="G461" s="18" t="s">
        <v>245</v>
      </c>
      <c r="H461" s="19" t="s">
        <v>175</v>
      </c>
      <c r="I461" s="18" t="s">
        <v>246</v>
      </c>
      <c r="J461" s="19" t="s">
        <v>247</v>
      </c>
      <c r="K461" s="19" t="s">
        <v>314</v>
      </c>
      <c r="L461" s="18" t="s">
        <v>164</v>
      </c>
      <c r="M461" s="18" t="s">
        <v>1424</v>
      </c>
      <c r="N461" s="18" t="s">
        <v>250</v>
      </c>
      <c r="O461" s="20">
        <v>119000</v>
      </c>
      <c r="P461" s="20">
        <v>82110</v>
      </c>
      <c r="Q461" s="20">
        <v>1</v>
      </c>
      <c r="R461" s="20">
        <v>0</v>
      </c>
      <c r="S461" s="20">
        <v>0</v>
      </c>
      <c r="T461" s="20">
        <v>0</v>
      </c>
      <c r="U461" s="20">
        <v>0</v>
      </c>
      <c r="V461" s="20">
        <v>0</v>
      </c>
      <c r="W461" s="20">
        <v>31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119000</v>
      </c>
      <c r="AD461" s="20">
        <v>82110</v>
      </c>
      <c r="AE461" s="20">
        <v>0</v>
      </c>
      <c r="AF461" s="20">
        <v>0</v>
      </c>
      <c r="AG461" s="20">
        <v>119000</v>
      </c>
      <c r="AH461" s="20">
        <v>82110</v>
      </c>
      <c r="AI461" s="20">
        <v>33536</v>
      </c>
      <c r="AJ461" s="20">
        <v>3354</v>
      </c>
      <c r="AK461" s="20">
        <v>36890</v>
      </c>
    </row>
    <row r="462" spans="1:37" ht="16.5" customHeight="1" x14ac:dyDescent="0.3">
      <c r="A462" s="18" t="s">
        <v>1474</v>
      </c>
      <c r="B462" s="18" t="s">
        <v>240</v>
      </c>
      <c r="C462" s="19" t="s">
        <v>241</v>
      </c>
      <c r="D462" s="18" t="s">
        <v>1475</v>
      </c>
      <c r="E462" s="19" t="s">
        <v>253</v>
      </c>
      <c r="F462" s="18" t="s">
        <v>244</v>
      </c>
      <c r="G462" s="18" t="s">
        <v>245</v>
      </c>
      <c r="H462" s="19" t="s">
        <v>175</v>
      </c>
      <c r="I462" s="18" t="s">
        <v>246</v>
      </c>
      <c r="J462" s="19" t="s">
        <v>247</v>
      </c>
      <c r="K462" s="19" t="s">
        <v>314</v>
      </c>
      <c r="L462" s="18" t="s">
        <v>164</v>
      </c>
      <c r="M462" s="18" t="s">
        <v>1424</v>
      </c>
      <c r="N462" s="18" t="s">
        <v>250</v>
      </c>
      <c r="O462" s="20">
        <v>119000</v>
      </c>
      <c r="P462" s="20">
        <v>82110</v>
      </c>
      <c r="Q462" s="20">
        <v>3</v>
      </c>
      <c r="R462" s="20">
        <v>0</v>
      </c>
      <c r="S462" s="20">
        <v>0</v>
      </c>
      <c r="T462" s="20">
        <v>0</v>
      </c>
      <c r="U462" s="20">
        <v>0</v>
      </c>
      <c r="V462" s="20">
        <v>0</v>
      </c>
      <c r="W462" s="20">
        <v>31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357000</v>
      </c>
      <c r="AD462" s="20">
        <v>246330</v>
      </c>
      <c r="AE462" s="20">
        <v>0</v>
      </c>
      <c r="AF462" s="20">
        <v>0</v>
      </c>
      <c r="AG462" s="20">
        <v>357000</v>
      </c>
      <c r="AH462" s="20">
        <v>246330</v>
      </c>
      <c r="AI462" s="20">
        <v>100609</v>
      </c>
      <c r="AJ462" s="20">
        <v>10061</v>
      </c>
      <c r="AK462" s="20">
        <v>110670</v>
      </c>
    </row>
    <row r="463" spans="1:37" ht="16.5" customHeight="1" x14ac:dyDescent="0.3">
      <c r="A463" s="18" t="s">
        <v>1476</v>
      </c>
      <c r="B463" s="18" t="s">
        <v>240</v>
      </c>
      <c r="C463" s="19" t="s">
        <v>241</v>
      </c>
      <c r="D463" s="18" t="s">
        <v>1477</v>
      </c>
      <c r="E463" s="19" t="s">
        <v>1348</v>
      </c>
      <c r="F463" s="18" t="s">
        <v>244</v>
      </c>
      <c r="G463" s="18" t="s">
        <v>245</v>
      </c>
      <c r="H463" s="19" t="s">
        <v>175</v>
      </c>
      <c r="I463" s="18" t="s">
        <v>246</v>
      </c>
      <c r="J463" s="19" t="s">
        <v>247</v>
      </c>
      <c r="K463" s="19" t="s">
        <v>314</v>
      </c>
      <c r="L463" s="18" t="s">
        <v>164</v>
      </c>
      <c r="M463" s="18" t="s">
        <v>1424</v>
      </c>
      <c r="N463" s="18" t="s">
        <v>250</v>
      </c>
      <c r="O463" s="20">
        <v>119000</v>
      </c>
      <c r="P463" s="20">
        <v>82110</v>
      </c>
      <c r="Q463" s="20">
        <v>1</v>
      </c>
      <c r="R463" s="20">
        <v>0</v>
      </c>
      <c r="S463" s="20">
        <v>0</v>
      </c>
      <c r="T463" s="20">
        <v>0</v>
      </c>
      <c r="U463" s="20">
        <v>0</v>
      </c>
      <c r="V463" s="20">
        <v>0</v>
      </c>
      <c r="W463" s="20">
        <v>31</v>
      </c>
      <c r="X463" s="20">
        <v>0</v>
      </c>
      <c r="Y463" s="20">
        <v>0</v>
      </c>
      <c r="Z463" s="20">
        <v>0</v>
      </c>
      <c r="AA463" s="20">
        <v>0</v>
      </c>
      <c r="AB463" s="20">
        <v>5950</v>
      </c>
      <c r="AC463" s="20">
        <v>119000</v>
      </c>
      <c r="AD463" s="20">
        <v>82110</v>
      </c>
      <c r="AE463" s="20">
        <v>0</v>
      </c>
      <c r="AF463" s="20">
        <v>5950</v>
      </c>
      <c r="AG463" s="20">
        <v>113050</v>
      </c>
      <c r="AH463" s="20">
        <v>82110</v>
      </c>
      <c r="AI463" s="20">
        <v>28127</v>
      </c>
      <c r="AJ463" s="20">
        <v>2813</v>
      </c>
      <c r="AK463" s="20">
        <v>30940</v>
      </c>
    </row>
    <row r="464" spans="1:37" ht="16.5" customHeight="1" x14ac:dyDescent="0.3">
      <c r="A464" s="18" t="s">
        <v>1478</v>
      </c>
      <c r="B464" s="18" t="s">
        <v>240</v>
      </c>
      <c r="C464" s="19" t="s">
        <v>241</v>
      </c>
      <c r="D464" s="18" t="s">
        <v>1479</v>
      </c>
      <c r="E464" s="19" t="s">
        <v>424</v>
      </c>
      <c r="F464" s="18" t="s">
        <v>244</v>
      </c>
      <c r="G464" s="18" t="s">
        <v>245</v>
      </c>
      <c r="H464" s="19" t="s">
        <v>175</v>
      </c>
      <c r="I464" s="18" t="s">
        <v>246</v>
      </c>
      <c r="J464" s="19" t="s">
        <v>247</v>
      </c>
      <c r="K464" s="19" t="s">
        <v>314</v>
      </c>
      <c r="L464" s="18" t="s">
        <v>164</v>
      </c>
      <c r="M464" s="18" t="s">
        <v>1424</v>
      </c>
      <c r="N464" s="18" t="s">
        <v>250</v>
      </c>
      <c r="O464" s="20">
        <v>119000</v>
      </c>
      <c r="P464" s="20">
        <v>82110</v>
      </c>
      <c r="Q464" s="20">
        <v>1</v>
      </c>
      <c r="R464" s="20">
        <v>0</v>
      </c>
      <c r="S464" s="20">
        <v>0</v>
      </c>
      <c r="T464" s="20">
        <v>0</v>
      </c>
      <c r="U464" s="20">
        <v>0</v>
      </c>
      <c r="V464" s="20">
        <v>0</v>
      </c>
      <c r="W464" s="20">
        <v>31</v>
      </c>
      <c r="X464" s="20">
        <v>0</v>
      </c>
      <c r="Y464" s="20">
        <v>0</v>
      </c>
      <c r="Z464" s="20">
        <v>0</v>
      </c>
      <c r="AA464" s="20">
        <v>0</v>
      </c>
      <c r="AB464" s="20">
        <v>0</v>
      </c>
      <c r="AC464" s="20">
        <v>119000</v>
      </c>
      <c r="AD464" s="20">
        <v>82110</v>
      </c>
      <c r="AE464" s="20">
        <v>0</v>
      </c>
      <c r="AF464" s="20">
        <v>0</v>
      </c>
      <c r="AG464" s="20">
        <v>119000</v>
      </c>
      <c r="AH464" s="20">
        <v>82110</v>
      </c>
      <c r="AI464" s="20">
        <v>33536</v>
      </c>
      <c r="AJ464" s="20">
        <v>3354</v>
      </c>
      <c r="AK464" s="20">
        <v>36890</v>
      </c>
    </row>
    <row r="465" spans="1:37" ht="16.5" customHeight="1" x14ac:dyDescent="0.3">
      <c r="A465" s="18" t="s">
        <v>1480</v>
      </c>
      <c r="B465" s="18" t="s">
        <v>240</v>
      </c>
      <c r="C465" s="19" t="s">
        <v>241</v>
      </c>
      <c r="D465" s="18" t="s">
        <v>1481</v>
      </c>
      <c r="E465" s="19" t="s">
        <v>1482</v>
      </c>
      <c r="F465" s="18" t="s">
        <v>244</v>
      </c>
      <c r="G465" s="18" t="s">
        <v>245</v>
      </c>
      <c r="H465" s="19" t="s">
        <v>175</v>
      </c>
      <c r="I465" s="18" t="s">
        <v>246</v>
      </c>
      <c r="J465" s="19" t="s">
        <v>247</v>
      </c>
      <c r="K465" s="19" t="s">
        <v>314</v>
      </c>
      <c r="L465" s="18" t="s">
        <v>164</v>
      </c>
      <c r="M465" s="18" t="s">
        <v>1424</v>
      </c>
      <c r="N465" s="18" t="s">
        <v>250</v>
      </c>
      <c r="O465" s="20">
        <v>119000</v>
      </c>
      <c r="P465" s="20">
        <v>82110</v>
      </c>
      <c r="Q465" s="20">
        <v>1</v>
      </c>
      <c r="R465" s="20">
        <v>0</v>
      </c>
      <c r="S465" s="20">
        <v>0</v>
      </c>
      <c r="T465" s="20">
        <v>0</v>
      </c>
      <c r="U465" s="20">
        <v>0</v>
      </c>
      <c r="V465" s="20">
        <v>0</v>
      </c>
      <c r="W465" s="20">
        <v>31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119000</v>
      </c>
      <c r="AD465" s="20">
        <v>82110</v>
      </c>
      <c r="AE465" s="20">
        <v>0</v>
      </c>
      <c r="AF465" s="20">
        <v>0</v>
      </c>
      <c r="AG465" s="20">
        <v>119000</v>
      </c>
      <c r="AH465" s="20">
        <v>82110</v>
      </c>
      <c r="AI465" s="20">
        <v>33536</v>
      </c>
      <c r="AJ465" s="20">
        <v>3354</v>
      </c>
      <c r="AK465" s="20">
        <v>36890</v>
      </c>
    </row>
    <row r="466" spans="1:37" ht="16.5" customHeight="1" x14ac:dyDescent="0.3">
      <c r="A466" s="18" t="s">
        <v>1483</v>
      </c>
      <c r="B466" s="18" t="s">
        <v>240</v>
      </c>
      <c r="C466" s="19" t="s">
        <v>241</v>
      </c>
      <c r="D466" s="18" t="s">
        <v>1484</v>
      </c>
      <c r="E466" s="19" t="s">
        <v>1485</v>
      </c>
      <c r="F466" s="18" t="s">
        <v>244</v>
      </c>
      <c r="G466" s="18" t="s">
        <v>245</v>
      </c>
      <c r="H466" s="19" t="s">
        <v>175</v>
      </c>
      <c r="I466" s="18" t="s">
        <v>246</v>
      </c>
      <c r="J466" s="19" t="s">
        <v>247</v>
      </c>
      <c r="K466" s="19" t="s">
        <v>314</v>
      </c>
      <c r="L466" s="18" t="s">
        <v>164</v>
      </c>
      <c r="M466" s="18" t="s">
        <v>1424</v>
      </c>
      <c r="N466" s="18" t="s">
        <v>250</v>
      </c>
      <c r="O466" s="20">
        <v>119000</v>
      </c>
      <c r="P466" s="20">
        <v>82110</v>
      </c>
      <c r="Q466" s="20">
        <v>1</v>
      </c>
      <c r="R466" s="20">
        <v>0</v>
      </c>
      <c r="S466" s="20">
        <v>0</v>
      </c>
      <c r="T466" s="20">
        <v>0</v>
      </c>
      <c r="U466" s="20">
        <v>0</v>
      </c>
      <c r="V466" s="20">
        <v>0</v>
      </c>
      <c r="W466" s="20">
        <v>31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119000</v>
      </c>
      <c r="AD466" s="20">
        <v>82110</v>
      </c>
      <c r="AE466" s="20">
        <v>0</v>
      </c>
      <c r="AF466" s="20">
        <v>0</v>
      </c>
      <c r="AG466" s="20">
        <v>119000</v>
      </c>
      <c r="AH466" s="20">
        <v>82110</v>
      </c>
      <c r="AI466" s="20">
        <v>33536</v>
      </c>
      <c r="AJ466" s="20">
        <v>3354</v>
      </c>
      <c r="AK466" s="20">
        <v>36890</v>
      </c>
    </row>
    <row r="467" spans="1:37" ht="16.5" customHeight="1" x14ac:dyDescent="0.3">
      <c r="A467" s="18" t="s">
        <v>1486</v>
      </c>
      <c r="B467" s="18" t="s">
        <v>240</v>
      </c>
      <c r="C467" s="19" t="s">
        <v>241</v>
      </c>
      <c r="D467" s="18" t="s">
        <v>1487</v>
      </c>
      <c r="E467" s="19" t="s">
        <v>1488</v>
      </c>
      <c r="F467" s="18" t="s">
        <v>244</v>
      </c>
      <c r="G467" s="18" t="s">
        <v>245</v>
      </c>
      <c r="H467" s="19" t="s">
        <v>175</v>
      </c>
      <c r="I467" s="18" t="s">
        <v>246</v>
      </c>
      <c r="J467" s="19" t="s">
        <v>247</v>
      </c>
      <c r="K467" s="19" t="s">
        <v>248</v>
      </c>
      <c r="L467" s="18" t="s">
        <v>164</v>
      </c>
      <c r="M467" s="18" t="s">
        <v>1424</v>
      </c>
      <c r="N467" s="18" t="s">
        <v>250</v>
      </c>
      <c r="O467" s="20">
        <v>119000</v>
      </c>
      <c r="P467" s="20">
        <v>82110</v>
      </c>
      <c r="Q467" s="20">
        <v>1</v>
      </c>
      <c r="R467" s="20">
        <v>0</v>
      </c>
      <c r="S467" s="20">
        <v>0</v>
      </c>
      <c r="T467" s="20">
        <v>0</v>
      </c>
      <c r="U467" s="20">
        <v>0</v>
      </c>
      <c r="V467" s="20">
        <v>0</v>
      </c>
      <c r="W467" s="20">
        <v>31</v>
      </c>
      <c r="X467" s="20">
        <v>0</v>
      </c>
      <c r="Y467" s="20">
        <v>0</v>
      </c>
      <c r="Z467" s="20">
        <v>0</v>
      </c>
      <c r="AA467" s="20">
        <v>0</v>
      </c>
      <c r="AB467" s="20">
        <v>0</v>
      </c>
      <c r="AC467" s="20">
        <v>119000</v>
      </c>
      <c r="AD467" s="20">
        <v>82110</v>
      </c>
      <c r="AE467" s="20">
        <v>0</v>
      </c>
      <c r="AF467" s="20">
        <v>0</v>
      </c>
      <c r="AG467" s="20">
        <v>119000</v>
      </c>
      <c r="AH467" s="20">
        <v>82110</v>
      </c>
      <c r="AI467" s="20">
        <v>33536</v>
      </c>
      <c r="AJ467" s="20">
        <v>3354</v>
      </c>
      <c r="AK467" s="20">
        <v>36890</v>
      </c>
    </row>
    <row r="468" spans="1:37" ht="16.5" customHeight="1" x14ac:dyDescent="0.3">
      <c r="A468" s="18" t="s">
        <v>1489</v>
      </c>
      <c r="B468" s="18" t="s">
        <v>240</v>
      </c>
      <c r="C468" s="19" t="s">
        <v>241</v>
      </c>
      <c r="D468" s="18" t="s">
        <v>1490</v>
      </c>
      <c r="E468" s="19" t="s">
        <v>1491</v>
      </c>
      <c r="F468" s="18" t="s">
        <v>244</v>
      </c>
      <c r="G468" s="18" t="s">
        <v>245</v>
      </c>
      <c r="H468" s="19" t="s">
        <v>175</v>
      </c>
      <c r="I468" s="18" t="s">
        <v>246</v>
      </c>
      <c r="J468" s="19" t="s">
        <v>247</v>
      </c>
      <c r="K468" s="19" t="s">
        <v>314</v>
      </c>
      <c r="L468" s="18" t="s">
        <v>164</v>
      </c>
      <c r="M468" s="18" t="s">
        <v>1424</v>
      </c>
      <c r="N468" s="18" t="s">
        <v>250</v>
      </c>
      <c r="O468" s="20">
        <v>119000</v>
      </c>
      <c r="P468" s="20">
        <v>82110</v>
      </c>
      <c r="Q468" s="20">
        <v>1</v>
      </c>
      <c r="R468" s="20">
        <v>0</v>
      </c>
      <c r="S468" s="20">
        <v>0</v>
      </c>
      <c r="T468" s="20">
        <v>0</v>
      </c>
      <c r="U468" s="20">
        <v>0</v>
      </c>
      <c r="V468" s="20">
        <v>0</v>
      </c>
      <c r="W468" s="20">
        <v>31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119000</v>
      </c>
      <c r="AD468" s="20">
        <v>82110</v>
      </c>
      <c r="AE468" s="20">
        <v>0</v>
      </c>
      <c r="AF468" s="20">
        <v>0</v>
      </c>
      <c r="AG468" s="20">
        <v>119000</v>
      </c>
      <c r="AH468" s="20">
        <v>82110</v>
      </c>
      <c r="AI468" s="20">
        <v>33536</v>
      </c>
      <c r="AJ468" s="20">
        <v>3354</v>
      </c>
      <c r="AK468" s="20">
        <v>36890</v>
      </c>
    </row>
    <row r="469" spans="1:37" ht="16.5" customHeight="1" x14ac:dyDescent="0.3">
      <c r="A469" s="18" t="s">
        <v>1492</v>
      </c>
      <c r="B469" s="18" t="s">
        <v>240</v>
      </c>
      <c r="C469" s="19" t="s">
        <v>241</v>
      </c>
      <c r="D469" s="18" t="s">
        <v>1493</v>
      </c>
      <c r="E469" s="19" t="s">
        <v>1494</v>
      </c>
      <c r="F469" s="18" t="s">
        <v>244</v>
      </c>
      <c r="G469" s="18" t="s">
        <v>245</v>
      </c>
      <c r="H469" s="19" t="s">
        <v>175</v>
      </c>
      <c r="I469" s="18" t="s">
        <v>246</v>
      </c>
      <c r="J469" s="19" t="s">
        <v>247</v>
      </c>
      <c r="K469" s="19" t="s">
        <v>248</v>
      </c>
      <c r="L469" s="18" t="s">
        <v>164</v>
      </c>
      <c r="M469" s="18" t="s">
        <v>1424</v>
      </c>
      <c r="N469" s="18" t="s">
        <v>250</v>
      </c>
      <c r="O469" s="20">
        <v>119000</v>
      </c>
      <c r="P469" s="20">
        <v>82110</v>
      </c>
      <c r="Q469" s="20">
        <v>1</v>
      </c>
      <c r="R469" s="20">
        <v>0</v>
      </c>
      <c r="S469" s="20">
        <v>0</v>
      </c>
      <c r="T469" s="20">
        <v>0</v>
      </c>
      <c r="U469" s="20">
        <v>0</v>
      </c>
      <c r="V469" s="20">
        <v>0</v>
      </c>
      <c r="W469" s="20">
        <v>31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119000</v>
      </c>
      <c r="AD469" s="20">
        <v>82110</v>
      </c>
      <c r="AE469" s="20">
        <v>0</v>
      </c>
      <c r="AF469" s="20">
        <v>0</v>
      </c>
      <c r="AG469" s="20">
        <v>119000</v>
      </c>
      <c r="AH469" s="20">
        <v>82110</v>
      </c>
      <c r="AI469" s="20">
        <v>33536</v>
      </c>
      <c r="AJ469" s="20">
        <v>3354</v>
      </c>
      <c r="AK469" s="20">
        <v>36890</v>
      </c>
    </row>
    <row r="470" spans="1:37" ht="16.5" customHeight="1" x14ac:dyDescent="0.3">
      <c r="A470" s="18" t="s">
        <v>1495</v>
      </c>
      <c r="B470" s="18" t="s">
        <v>240</v>
      </c>
      <c r="C470" s="19" t="s">
        <v>241</v>
      </c>
      <c r="D470" s="18" t="s">
        <v>1496</v>
      </c>
      <c r="E470" s="19" t="s">
        <v>892</v>
      </c>
      <c r="F470" s="18" t="s">
        <v>244</v>
      </c>
      <c r="G470" s="18" t="s">
        <v>245</v>
      </c>
      <c r="H470" s="19" t="s">
        <v>175</v>
      </c>
      <c r="I470" s="18" t="s">
        <v>246</v>
      </c>
      <c r="J470" s="19" t="s">
        <v>247</v>
      </c>
      <c r="K470" s="19" t="s">
        <v>314</v>
      </c>
      <c r="L470" s="18" t="s">
        <v>164</v>
      </c>
      <c r="M470" s="18" t="s">
        <v>1424</v>
      </c>
      <c r="N470" s="18" t="s">
        <v>250</v>
      </c>
      <c r="O470" s="20">
        <v>119000</v>
      </c>
      <c r="P470" s="20">
        <v>82110</v>
      </c>
      <c r="Q470" s="20">
        <v>1</v>
      </c>
      <c r="R470" s="20">
        <v>0</v>
      </c>
      <c r="S470" s="20">
        <v>0</v>
      </c>
      <c r="T470" s="20">
        <v>0</v>
      </c>
      <c r="U470" s="20">
        <v>0</v>
      </c>
      <c r="V470" s="20">
        <v>0</v>
      </c>
      <c r="W470" s="20">
        <v>31</v>
      </c>
      <c r="X470" s="20">
        <v>0</v>
      </c>
      <c r="Y470" s="20">
        <v>0</v>
      </c>
      <c r="Z470" s="20">
        <v>0</v>
      </c>
      <c r="AA470" s="20">
        <v>0</v>
      </c>
      <c r="AB470" s="20">
        <v>0</v>
      </c>
      <c r="AC470" s="20">
        <v>119000</v>
      </c>
      <c r="AD470" s="20">
        <v>82110</v>
      </c>
      <c r="AE470" s="20">
        <v>0</v>
      </c>
      <c r="AF470" s="20">
        <v>0</v>
      </c>
      <c r="AG470" s="20">
        <v>119000</v>
      </c>
      <c r="AH470" s="20">
        <v>82110</v>
      </c>
      <c r="AI470" s="20">
        <v>33536</v>
      </c>
      <c r="AJ470" s="20">
        <v>3354</v>
      </c>
      <c r="AK470" s="20">
        <v>36890</v>
      </c>
    </row>
    <row r="471" spans="1:37" ht="16.5" customHeight="1" x14ac:dyDescent="0.3">
      <c r="A471" s="18" t="s">
        <v>1497</v>
      </c>
      <c r="B471" s="18" t="s">
        <v>240</v>
      </c>
      <c r="C471" s="19" t="s">
        <v>241</v>
      </c>
      <c r="D471" s="18" t="s">
        <v>1498</v>
      </c>
      <c r="E471" s="19" t="s">
        <v>709</v>
      </c>
      <c r="F471" s="18" t="s">
        <v>244</v>
      </c>
      <c r="G471" s="18" t="s">
        <v>245</v>
      </c>
      <c r="H471" s="19" t="s">
        <v>175</v>
      </c>
      <c r="I471" s="18" t="s">
        <v>246</v>
      </c>
      <c r="J471" s="19" t="s">
        <v>247</v>
      </c>
      <c r="K471" s="19" t="s">
        <v>314</v>
      </c>
      <c r="L471" s="18" t="s">
        <v>164</v>
      </c>
      <c r="M471" s="18" t="s">
        <v>1424</v>
      </c>
      <c r="N471" s="18" t="s">
        <v>250</v>
      </c>
      <c r="O471" s="20">
        <v>119000</v>
      </c>
      <c r="P471" s="20">
        <v>82110</v>
      </c>
      <c r="Q471" s="20">
        <v>1</v>
      </c>
      <c r="R471" s="20">
        <v>0</v>
      </c>
      <c r="S471" s="20">
        <v>0</v>
      </c>
      <c r="T471" s="20">
        <v>0</v>
      </c>
      <c r="U471" s="20">
        <v>0</v>
      </c>
      <c r="V471" s="20">
        <v>0</v>
      </c>
      <c r="W471" s="20">
        <v>31</v>
      </c>
      <c r="X471" s="20">
        <v>0</v>
      </c>
      <c r="Y471" s="20">
        <v>0</v>
      </c>
      <c r="Z471" s="20">
        <v>0</v>
      </c>
      <c r="AA471" s="20">
        <v>0</v>
      </c>
      <c r="AB471" s="20">
        <v>0</v>
      </c>
      <c r="AC471" s="20">
        <v>119000</v>
      </c>
      <c r="AD471" s="20">
        <v>82110</v>
      </c>
      <c r="AE471" s="20">
        <v>0</v>
      </c>
      <c r="AF471" s="20">
        <v>0</v>
      </c>
      <c r="AG471" s="20">
        <v>119000</v>
      </c>
      <c r="AH471" s="20">
        <v>82110</v>
      </c>
      <c r="AI471" s="20">
        <v>33536</v>
      </c>
      <c r="AJ471" s="20">
        <v>3354</v>
      </c>
      <c r="AK471" s="20">
        <v>36890</v>
      </c>
    </row>
    <row r="472" spans="1:37" ht="16.5" customHeight="1" x14ac:dyDescent="0.3">
      <c r="A472" s="18" t="s">
        <v>1499</v>
      </c>
      <c r="B472" s="18" t="s">
        <v>240</v>
      </c>
      <c r="C472" s="19" t="s">
        <v>241</v>
      </c>
      <c r="D472" s="18" t="s">
        <v>1500</v>
      </c>
      <c r="E472" s="19" t="s">
        <v>406</v>
      </c>
      <c r="F472" s="18" t="s">
        <v>244</v>
      </c>
      <c r="G472" s="18" t="s">
        <v>245</v>
      </c>
      <c r="H472" s="19" t="s">
        <v>175</v>
      </c>
      <c r="I472" s="18" t="s">
        <v>246</v>
      </c>
      <c r="J472" s="19" t="s">
        <v>247</v>
      </c>
      <c r="K472" s="19" t="s">
        <v>248</v>
      </c>
      <c r="L472" s="18" t="s">
        <v>164</v>
      </c>
      <c r="M472" s="18" t="s">
        <v>1424</v>
      </c>
      <c r="N472" s="18" t="s">
        <v>250</v>
      </c>
      <c r="O472" s="20">
        <v>119000</v>
      </c>
      <c r="P472" s="20">
        <v>82110</v>
      </c>
      <c r="Q472" s="20">
        <v>1</v>
      </c>
      <c r="R472" s="20">
        <v>0</v>
      </c>
      <c r="S472" s="20">
        <v>0</v>
      </c>
      <c r="T472" s="20">
        <v>0</v>
      </c>
      <c r="U472" s="20">
        <v>0</v>
      </c>
      <c r="V472" s="20">
        <v>0</v>
      </c>
      <c r="W472" s="20">
        <v>31</v>
      </c>
      <c r="X472" s="20">
        <v>0</v>
      </c>
      <c r="Y472" s="20">
        <v>0</v>
      </c>
      <c r="Z472" s="20">
        <v>0</v>
      </c>
      <c r="AA472" s="20">
        <v>0</v>
      </c>
      <c r="AB472" s="20">
        <v>0</v>
      </c>
      <c r="AC472" s="20">
        <v>119000</v>
      </c>
      <c r="AD472" s="20">
        <v>82110</v>
      </c>
      <c r="AE472" s="20">
        <v>0</v>
      </c>
      <c r="AF472" s="20">
        <v>0</v>
      </c>
      <c r="AG472" s="20">
        <v>119000</v>
      </c>
      <c r="AH472" s="20">
        <v>82110</v>
      </c>
      <c r="AI472" s="20">
        <v>33536</v>
      </c>
      <c r="AJ472" s="20">
        <v>3354</v>
      </c>
      <c r="AK472" s="20">
        <v>36890</v>
      </c>
    </row>
    <row r="473" spans="1:37" ht="16.5" customHeight="1" x14ac:dyDescent="0.3">
      <c r="A473" s="18" t="s">
        <v>1501</v>
      </c>
      <c r="B473" s="18" t="s">
        <v>240</v>
      </c>
      <c r="C473" s="19" t="s">
        <v>241</v>
      </c>
      <c r="D473" s="18" t="s">
        <v>1502</v>
      </c>
      <c r="E473" s="19" t="s">
        <v>1503</v>
      </c>
      <c r="F473" s="18" t="s">
        <v>244</v>
      </c>
      <c r="G473" s="18" t="s">
        <v>245</v>
      </c>
      <c r="H473" s="19" t="s">
        <v>175</v>
      </c>
      <c r="I473" s="18" t="s">
        <v>246</v>
      </c>
      <c r="J473" s="19" t="s">
        <v>247</v>
      </c>
      <c r="K473" s="19" t="s">
        <v>248</v>
      </c>
      <c r="L473" s="18" t="s">
        <v>164</v>
      </c>
      <c r="M473" s="18" t="s">
        <v>1424</v>
      </c>
      <c r="N473" s="18" t="s">
        <v>250</v>
      </c>
      <c r="O473" s="20">
        <v>119000</v>
      </c>
      <c r="P473" s="20">
        <v>82110</v>
      </c>
      <c r="Q473" s="20">
        <v>1</v>
      </c>
      <c r="R473" s="20">
        <v>0</v>
      </c>
      <c r="S473" s="20">
        <v>0</v>
      </c>
      <c r="T473" s="20">
        <v>0</v>
      </c>
      <c r="U473" s="20">
        <v>0</v>
      </c>
      <c r="V473" s="20">
        <v>0</v>
      </c>
      <c r="W473" s="20">
        <v>31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119000</v>
      </c>
      <c r="AD473" s="20">
        <v>82110</v>
      </c>
      <c r="AE473" s="20">
        <v>0</v>
      </c>
      <c r="AF473" s="20">
        <v>0</v>
      </c>
      <c r="AG473" s="20">
        <v>119000</v>
      </c>
      <c r="AH473" s="20">
        <v>82110</v>
      </c>
      <c r="AI473" s="20">
        <v>33536</v>
      </c>
      <c r="AJ473" s="20">
        <v>3354</v>
      </c>
      <c r="AK473" s="20">
        <v>36890</v>
      </c>
    </row>
    <row r="474" spans="1:37" ht="16.5" customHeight="1" x14ac:dyDescent="0.3">
      <c r="A474" s="18" t="s">
        <v>1504</v>
      </c>
      <c r="B474" s="18" t="s">
        <v>240</v>
      </c>
      <c r="C474" s="19" t="s">
        <v>241</v>
      </c>
      <c r="D474" s="18" t="s">
        <v>1505</v>
      </c>
      <c r="E474" s="19" t="s">
        <v>942</v>
      </c>
      <c r="F474" s="18" t="s">
        <v>244</v>
      </c>
      <c r="G474" s="18" t="s">
        <v>245</v>
      </c>
      <c r="H474" s="19" t="s">
        <v>175</v>
      </c>
      <c r="I474" s="18" t="s">
        <v>246</v>
      </c>
      <c r="J474" s="19" t="s">
        <v>247</v>
      </c>
      <c r="K474" s="19" t="s">
        <v>314</v>
      </c>
      <c r="L474" s="18" t="s">
        <v>164</v>
      </c>
      <c r="M474" s="18" t="s">
        <v>1424</v>
      </c>
      <c r="N474" s="18" t="s">
        <v>250</v>
      </c>
      <c r="O474" s="20">
        <v>119000</v>
      </c>
      <c r="P474" s="20">
        <v>82110</v>
      </c>
      <c r="Q474" s="20">
        <v>1</v>
      </c>
      <c r="R474" s="20">
        <v>0</v>
      </c>
      <c r="S474" s="20">
        <v>0</v>
      </c>
      <c r="T474" s="20">
        <v>0</v>
      </c>
      <c r="U474" s="20">
        <v>0</v>
      </c>
      <c r="V474" s="20">
        <v>0</v>
      </c>
      <c r="W474" s="20">
        <v>31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119000</v>
      </c>
      <c r="AD474" s="20">
        <v>82110</v>
      </c>
      <c r="AE474" s="20">
        <v>0</v>
      </c>
      <c r="AF474" s="20">
        <v>0</v>
      </c>
      <c r="AG474" s="20">
        <v>119000</v>
      </c>
      <c r="AH474" s="20">
        <v>82110</v>
      </c>
      <c r="AI474" s="20">
        <v>33536</v>
      </c>
      <c r="AJ474" s="20">
        <v>3354</v>
      </c>
      <c r="AK474" s="20">
        <v>36890</v>
      </c>
    </row>
    <row r="475" spans="1:37" ht="16.5" customHeight="1" x14ac:dyDescent="0.3">
      <c r="A475" s="18" t="s">
        <v>1506</v>
      </c>
      <c r="B475" s="18" t="s">
        <v>240</v>
      </c>
      <c r="C475" s="19" t="s">
        <v>241</v>
      </c>
      <c r="D475" s="18" t="s">
        <v>1437</v>
      </c>
      <c r="E475" s="19" t="s">
        <v>335</v>
      </c>
      <c r="F475" s="18" t="s">
        <v>244</v>
      </c>
      <c r="G475" s="18" t="s">
        <v>245</v>
      </c>
      <c r="H475" s="19" t="s">
        <v>175</v>
      </c>
      <c r="I475" s="18" t="s">
        <v>246</v>
      </c>
      <c r="J475" s="19" t="s">
        <v>247</v>
      </c>
      <c r="K475" s="19" t="s">
        <v>248</v>
      </c>
      <c r="L475" s="18" t="s">
        <v>164</v>
      </c>
      <c r="M475" s="18" t="s">
        <v>1424</v>
      </c>
      <c r="N475" s="18" t="s">
        <v>257</v>
      </c>
      <c r="O475" s="20">
        <v>119000</v>
      </c>
      <c r="P475" s="20">
        <v>80920</v>
      </c>
      <c r="Q475" s="20">
        <v>-1</v>
      </c>
      <c r="R475" s="20">
        <v>0</v>
      </c>
      <c r="S475" s="20">
        <v>0</v>
      </c>
      <c r="T475" s="20">
        <v>0</v>
      </c>
      <c r="U475" s="20">
        <v>0</v>
      </c>
      <c r="V475" s="20">
        <v>0</v>
      </c>
      <c r="W475" s="20">
        <v>32</v>
      </c>
      <c r="X475" s="20">
        <v>0</v>
      </c>
      <c r="Y475" s="20">
        <v>0</v>
      </c>
      <c r="Z475" s="20">
        <v>0</v>
      </c>
      <c r="AA475" s="20">
        <v>0</v>
      </c>
      <c r="AB475" s="20">
        <v>0</v>
      </c>
      <c r="AC475" s="20">
        <v>-119000</v>
      </c>
      <c r="AD475" s="20">
        <v>-80920</v>
      </c>
      <c r="AE475" s="20">
        <v>0</v>
      </c>
      <c r="AF475" s="20">
        <v>0</v>
      </c>
      <c r="AG475" s="20">
        <v>-119000</v>
      </c>
      <c r="AH475" s="20">
        <v>-80920</v>
      </c>
      <c r="AI475" s="20">
        <v>-34618</v>
      </c>
      <c r="AJ475" s="20">
        <v>-3462</v>
      </c>
      <c r="AK475" s="20">
        <v>-38080</v>
      </c>
    </row>
    <row r="476" spans="1:37" ht="16.5" customHeight="1" x14ac:dyDescent="0.3">
      <c r="A476" s="18" t="s">
        <v>1507</v>
      </c>
      <c r="B476" s="18" t="s">
        <v>240</v>
      </c>
      <c r="C476" s="19" t="s">
        <v>241</v>
      </c>
      <c r="D476" s="18" t="s">
        <v>1508</v>
      </c>
      <c r="E476" s="19" t="s">
        <v>349</v>
      </c>
      <c r="F476" s="18" t="s">
        <v>1414</v>
      </c>
      <c r="G476" s="18" t="s">
        <v>245</v>
      </c>
      <c r="H476" s="19" t="s">
        <v>180</v>
      </c>
      <c r="I476" s="18" t="s">
        <v>246</v>
      </c>
      <c r="J476" s="19" t="s">
        <v>247</v>
      </c>
      <c r="K476" s="19"/>
      <c r="L476" s="18" t="s">
        <v>164</v>
      </c>
      <c r="M476" s="18" t="s">
        <v>1424</v>
      </c>
      <c r="N476" s="18" t="s">
        <v>250</v>
      </c>
      <c r="O476" s="20">
        <v>78000</v>
      </c>
      <c r="P476" s="20">
        <v>53820</v>
      </c>
      <c r="Q476" s="20">
        <v>1</v>
      </c>
      <c r="R476" s="20">
        <v>0</v>
      </c>
      <c r="S476" s="20">
        <v>0</v>
      </c>
      <c r="T476" s="20">
        <v>0</v>
      </c>
      <c r="U476" s="20">
        <v>0</v>
      </c>
      <c r="V476" s="20">
        <v>0</v>
      </c>
      <c r="W476" s="20">
        <v>31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78000</v>
      </c>
      <c r="AD476" s="20">
        <v>53820</v>
      </c>
      <c r="AE476" s="20">
        <v>0</v>
      </c>
      <c r="AF476" s="20">
        <v>0</v>
      </c>
      <c r="AG476" s="20">
        <v>78000</v>
      </c>
      <c r="AH476" s="20">
        <v>53820</v>
      </c>
      <c r="AI476" s="20">
        <v>21982</v>
      </c>
      <c r="AJ476" s="20">
        <v>2198</v>
      </c>
      <c r="AK476" s="20">
        <v>24180</v>
      </c>
    </row>
    <row r="477" spans="1:37" ht="16.5" customHeight="1" x14ac:dyDescent="0.3">
      <c r="A477" s="18" t="s">
        <v>1509</v>
      </c>
      <c r="B477" s="18" t="s">
        <v>240</v>
      </c>
      <c r="C477" s="19" t="s">
        <v>241</v>
      </c>
      <c r="D477" s="18" t="s">
        <v>1510</v>
      </c>
      <c r="E477" s="19" t="s">
        <v>1511</v>
      </c>
      <c r="F477" s="18" t="s">
        <v>1414</v>
      </c>
      <c r="G477" s="18" t="s">
        <v>245</v>
      </c>
      <c r="H477" s="19" t="s">
        <v>180</v>
      </c>
      <c r="I477" s="18" t="s">
        <v>246</v>
      </c>
      <c r="J477" s="19" t="s">
        <v>247</v>
      </c>
      <c r="K477" s="19" t="s">
        <v>248</v>
      </c>
      <c r="L477" s="18" t="s">
        <v>164</v>
      </c>
      <c r="M477" s="18" t="s">
        <v>1424</v>
      </c>
      <c r="N477" s="18" t="s">
        <v>250</v>
      </c>
      <c r="O477" s="20">
        <v>78000</v>
      </c>
      <c r="P477" s="20">
        <v>53820</v>
      </c>
      <c r="Q477" s="20">
        <v>1</v>
      </c>
      <c r="R477" s="20">
        <v>0</v>
      </c>
      <c r="S477" s="20">
        <v>0</v>
      </c>
      <c r="T477" s="20">
        <v>0</v>
      </c>
      <c r="U477" s="20">
        <v>0</v>
      </c>
      <c r="V477" s="20">
        <v>0</v>
      </c>
      <c r="W477" s="20">
        <v>31</v>
      </c>
      <c r="X477" s="20">
        <v>12480</v>
      </c>
      <c r="Y477" s="20">
        <v>0</v>
      </c>
      <c r="Z477" s="20">
        <v>0</v>
      </c>
      <c r="AA477" s="20">
        <v>0</v>
      </c>
      <c r="AB477" s="20">
        <v>0</v>
      </c>
      <c r="AC477" s="20">
        <v>78000</v>
      </c>
      <c r="AD477" s="20">
        <v>53820</v>
      </c>
      <c r="AE477" s="20">
        <v>0</v>
      </c>
      <c r="AF477" s="20">
        <v>12480</v>
      </c>
      <c r="AG477" s="20">
        <v>65520</v>
      </c>
      <c r="AH477" s="20">
        <v>53820</v>
      </c>
      <c r="AI477" s="20">
        <v>10636</v>
      </c>
      <c r="AJ477" s="20">
        <v>1064</v>
      </c>
      <c r="AK477" s="20">
        <v>11700</v>
      </c>
    </row>
    <row r="478" spans="1:37" ht="16.5" customHeight="1" x14ac:dyDescent="0.3">
      <c r="A478" s="18" t="s">
        <v>1512</v>
      </c>
      <c r="B478" s="18" t="s">
        <v>240</v>
      </c>
      <c r="C478" s="19" t="s">
        <v>241</v>
      </c>
      <c r="D478" s="18" t="s">
        <v>1513</v>
      </c>
      <c r="E478" s="19" t="s">
        <v>1413</v>
      </c>
      <c r="F478" s="18" t="s">
        <v>1414</v>
      </c>
      <c r="G478" s="18" t="s">
        <v>245</v>
      </c>
      <c r="H478" s="19" t="s">
        <v>180</v>
      </c>
      <c r="I478" s="18" t="s">
        <v>246</v>
      </c>
      <c r="J478" s="19" t="s">
        <v>247</v>
      </c>
      <c r="K478" s="19" t="s">
        <v>248</v>
      </c>
      <c r="L478" s="18" t="s">
        <v>164</v>
      </c>
      <c r="M478" s="18" t="s">
        <v>1424</v>
      </c>
      <c r="N478" s="18" t="s">
        <v>250</v>
      </c>
      <c r="O478" s="20">
        <v>78000</v>
      </c>
      <c r="P478" s="20">
        <v>53820</v>
      </c>
      <c r="Q478" s="20">
        <v>1</v>
      </c>
      <c r="R478" s="20">
        <v>0</v>
      </c>
      <c r="S478" s="20">
        <v>0</v>
      </c>
      <c r="T478" s="20">
        <v>0</v>
      </c>
      <c r="U478" s="20">
        <v>0</v>
      </c>
      <c r="V478" s="20">
        <v>0</v>
      </c>
      <c r="W478" s="20">
        <v>31</v>
      </c>
      <c r="X478" s="20">
        <v>11700</v>
      </c>
      <c r="Y478" s="20">
        <v>0</v>
      </c>
      <c r="Z478" s="20">
        <v>0</v>
      </c>
      <c r="AA478" s="20">
        <v>0</v>
      </c>
      <c r="AB478" s="20">
        <v>0</v>
      </c>
      <c r="AC478" s="20">
        <v>78000</v>
      </c>
      <c r="AD478" s="20">
        <v>53820</v>
      </c>
      <c r="AE478" s="20">
        <v>0</v>
      </c>
      <c r="AF478" s="20">
        <v>11700</v>
      </c>
      <c r="AG478" s="20">
        <v>66300</v>
      </c>
      <c r="AH478" s="20">
        <v>53820</v>
      </c>
      <c r="AI478" s="20">
        <v>11345</v>
      </c>
      <c r="AJ478" s="20">
        <v>1135</v>
      </c>
      <c r="AK478" s="20">
        <v>12480</v>
      </c>
    </row>
    <row r="479" spans="1:37" ht="16.5" customHeight="1" x14ac:dyDescent="0.3">
      <c r="A479" s="18" t="s">
        <v>1514</v>
      </c>
      <c r="B479" s="18" t="s">
        <v>240</v>
      </c>
      <c r="C479" s="19" t="s">
        <v>241</v>
      </c>
      <c r="D479" s="18" t="s">
        <v>1515</v>
      </c>
      <c r="E479" s="19" t="s">
        <v>518</v>
      </c>
      <c r="F479" s="18" t="s">
        <v>244</v>
      </c>
      <c r="G479" s="18" t="s">
        <v>245</v>
      </c>
      <c r="H479" s="19" t="s">
        <v>175</v>
      </c>
      <c r="I479" s="18" t="s">
        <v>246</v>
      </c>
      <c r="J479" s="19" t="s">
        <v>247</v>
      </c>
      <c r="K479" s="19"/>
      <c r="L479" s="18" t="s">
        <v>164</v>
      </c>
      <c r="M479" s="18" t="s">
        <v>1516</v>
      </c>
      <c r="N479" s="18" t="s">
        <v>250</v>
      </c>
      <c r="O479" s="20">
        <v>119000</v>
      </c>
      <c r="P479" s="20">
        <v>82110</v>
      </c>
      <c r="Q479" s="20">
        <v>1</v>
      </c>
      <c r="R479" s="20">
        <v>0</v>
      </c>
      <c r="S479" s="20">
        <v>0</v>
      </c>
      <c r="T479" s="20">
        <v>0</v>
      </c>
      <c r="U479" s="20">
        <v>0</v>
      </c>
      <c r="V479" s="20">
        <v>0</v>
      </c>
      <c r="W479" s="20">
        <v>31</v>
      </c>
      <c r="X479" s="20">
        <v>0</v>
      </c>
      <c r="Y479" s="20">
        <v>5950</v>
      </c>
      <c r="Z479" s="20">
        <v>0</v>
      </c>
      <c r="AA479" s="20">
        <v>0</v>
      </c>
      <c r="AB479" s="20">
        <v>0</v>
      </c>
      <c r="AC479" s="20">
        <v>119000</v>
      </c>
      <c r="AD479" s="20">
        <v>82110</v>
      </c>
      <c r="AE479" s="20">
        <v>0</v>
      </c>
      <c r="AF479" s="20">
        <v>5950</v>
      </c>
      <c r="AG479" s="20">
        <v>113050</v>
      </c>
      <c r="AH479" s="20">
        <v>82110</v>
      </c>
      <c r="AI479" s="20">
        <v>28127</v>
      </c>
      <c r="AJ479" s="20">
        <v>2813</v>
      </c>
      <c r="AK479" s="20">
        <v>30940</v>
      </c>
    </row>
    <row r="480" spans="1:37" ht="16.5" customHeight="1" x14ac:dyDescent="0.3">
      <c r="A480" s="18" t="s">
        <v>1517</v>
      </c>
      <c r="B480" s="18" t="s">
        <v>240</v>
      </c>
      <c r="C480" s="19" t="s">
        <v>241</v>
      </c>
      <c r="D480" s="18" t="s">
        <v>1518</v>
      </c>
      <c r="E480" s="19" t="s">
        <v>1519</v>
      </c>
      <c r="F480" s="18" t="s">
        <v>244</v>
      </c>
      <c r="G480" s="18" t="s">
        <v>245</v>
      </c>
      <c r="H480" s="19" t="s">
        <v>175</v>
      </c>
      <c r="I480" s="18" t="s">
        <v>246</v>
      </c>
      <c r="J480" s="19" t="s">
        <v>247</v>
      </c>
      <c r="K480" s="19" t="s">
        <v>248</v>
      </c>
      <c r="L480" s="18" t="s">
        <v>164</v>
      </c>
      <c r="M480" s="18" t="s">
        <v>1516</v>
      </c>
      <c r="N480" s="18" t="s">
        <v>257</v>
      </c>
      <c r="O480" s="20">
        <v>119000</v>
      </c>
      <c r="P480" s="20">
        <v>80920</v>
      </c>
      <c r="Q480" s="20">
        <v>-1</v>
      </c>
      <c r="R480" s="20">
        <v>0</v>
      </c>
      <c r="S480" s="20">
        <v>0</v>
      </c>
      <c r="T480" s="20">
        <v>0</v>
      </c>
      <c r="U480" s="20">
        <v>0</v>
      </c>
      <c r="V480" s="20">
        <v>0</v>
      </c>
      <c r="W480" s="20">
        <v>32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-119000</v>
      </c>
      <c r="AD480" s="20">
        <v>-80920</v>
      </c>
      <c r="AE480" s="20">
        <v>0</v>
      </c>
      <c r="AF480" s="20">
        <v>0</v>
      </c>
      <c r="AG480" s="20">
        <v>-119000</v>
      </c>
      <c r="AH480" s="20">
        <v>-80920</v>
      </c>
      <c r="AI480" s="20">
        <v>-34618</v>
      </c>
      <c r="AJ480" s="20">
        <v>-3462</v>
      </c>
      <c r="AK480" s="20">
        <v>-38080</v>
      </c>
    </row>
    <row r="481" spans="1:37" ht="16.5" customHeight="1" x14ac:dyDescent="0.3">
      <c r="A481" s="18" t="s">
        <v>1520</v>
      </c>
      <c r="B481" s="18" t="s">
        <v>240</v>
      </c>
      <c r="C481" s="19" t="s">
        <v>241</v>
      </c>
      <c r="D481" s="18" t="s">
        <v>1518</v>
      </c>
      <c r="E481" s="19" t="s">
        <v>1519</v>
      </c>
      <c r="F481" s="18" t="s">
        <v>244</v>
      </c>
      <c r="G481" s="18" t="s">
        <v>245</v>
      </c>
      <c r="H481" s="19" t="s">
        <v>175</v>
      </c>
      <c r="I481" s="18" t="s">
        <v>246</v>
      </c>
      <c r="J481" s="19" t="s">
        <v>247</v>
      </c>
      <c r="K481" s="19" t="s">
        <v>248</v>
      </c>
      <c r="L481" s="18" t="s">
        <v>164</v>
      </c>
      <c r="M481" s="18" t="s">
        <v>1516</v>
      </c>
      <c r="N481" s="18" t="s">
        <v>250</v>
      </c>
      <c r="O481" s="20">
        <v>119000</v>
      </c>
      <c r="P481" s="20">
        <v>80920</v>
      </c>
      <c r="Q481" s="20">
        <v>1</v>
      </c>
      <c r="R481" s="20">
        <v>0</v>
      </c>
      <c r="S481" s="20">
        <v>0</v>
      </c>
      <c r="T481" s="20">
        <v>0</v>
      </c>
      <c r="U481" s="20">
        <v>0</v>
      </c>
      <c r="V481" s="20">
        <v>0</v>
      </c>
      <c r="W481" s="20">
        <v>32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119000</v>
      </c>
      <c r="AD481" s="20">
        <v>80920</v>
      </c>
      <c r="AE481" s="20">
        <v>0</v>
      </c>
      <c r="AF481" s="20">
        <v>0</v>
      </c>
      <c r="AG481" s="20">
        <v>119000</v>
      </c>
      <c r="AH481" s="20">
        <v>80920</v>
      </c>
      <c r="AI481" s="20">
        <v>34618</v>
      </c>
      <c r="AJ481" s="20">
        <v>3462</v>
      </c>
      <c r="AK481" s="20">
        <v>38080</v>
      </c>
    </row>
    <row r="482" spans="1:37" ht="16.5" customHeight="1" x14ac:dyDescent="0.3">
      <c r="A482" s="18" t="s">
        <v>1521</v>
      </c>
      <c r="B482" s="18" t="s">
        <v>240</v>
      </c>
      <c r="C482" s="19" t="s">
        <v>241</v>
      </c>
      <c r="D482" s="18" t="s">
        <v>1522</v>
      </c>
      <c r="E482" s="19" t="s">
        <v>374</v>
      </c>
      <c r="F482" s="18" t="s">
        <v>244</v>
      </c>
      <c r="G482" s="18" t="s">
        <v>245</v>
      </c>
      <c r="H482" s="19" t="s">
        <v>175</v>
      </c>
      <c r="I482" s="18" t="s">
        <v>246</v>
      </c>
      <c r="J482" s="19" t="s">
        <v>247</v>
      </c>
      <c r="K482" s="19"/>
      <c r="L482" s="18" t="s">
        <v>164</v>
      </c>
      <c r="M482" s="18" t="s">
        <v>1516</v>
      </c>
      <c r="N482" s="18" t="s">
        <v>250</v>
      </c>
      <c r="O482" s="20">
        <v>119000</v>
      </c>
      <c r="P482" s="20">
        <v>80920</v>
      </c>
      <c r="Q482" s="20">
        <v>1</v>
      </c>
      <c r="R482" s="20">
        <v>0</v>
      </c>
      <c r="S482" s="20">
        <v>0</v>
      </c>
      <c r="T482" s="20">
        <v>0</v>
      </c>
      <c r="U482" s="20">
        <v>0</v>
      </c>
      <c r="V482" s="20">
        <v>0</v>
      </c>
      <c r="W482" s="20">
        <v>32</v>
      </c>
      <c r="X482" s="20">
        <v>0</v>
      </c>
      <c r="Y482" s="20">
        <v>0</v>
      </c>
      <c r="Z482" s="20">
        <v>0</v>
      </c>
      <c r="AA482" s="20">
        <v>0</v>
      </c>
      <c r="AB482" s="20">
        <v>0</v>
      </c>
      <c r="AC482" s="20">
        <v>119000</v>
      </c>
      <c r="AD482" s="20">
        <v>80920</v>
      </c>
      <c r="AE482" s="20">
        <v>0</v>
      </c>
      <c r="AF482" s="20">
        <v>0</v>
      </c>
      <c r="AG482" s="20">
        <v>119000</v>
      </c>
      <c r="AH482" s="20">
        <v>80920</v>
      </c>
      <c r="AI482" s="20">
        <v>34618</v>
      </c>
      <c r="AJ482" s="20">
        <v>3462</v>
      </c>
      <c r="AK482" s="20">
        <v>38080</v>
      </c>
    </row>
    <row r="483" spans="1:37" ht="16.5" customHeight="1" x14ac:dyDescent="0.3">
      <c r="A483" s="18" t="s">
        <v>1523</v>
      </c>
      <c r="B483" s="18" t="s">
        <v>240</v>
      </c>
      <c r="C483" s="19" t="s">
        <v>241</v>
      </c>
      <c r="D483" s="18" t="s">
        <v>1524</v>
      </c>
      <c r="E483" s="19" t="s">
        <v>580</v>
      </c>
      <c r="F483" s="18" t="s">
        <v>244</v>
      </c>
      <c r="G483" s="18" t="s">
        <v>245</v>
      </c>
      <c r="H483" s="19" t="s">
        <v>175</v>
      </c>
      <c r="I483" s="18" t="s">
        <v>246</v>
      </c>
      <c r="J483" s="19" t="s">
        <v>247</v>
      </c>
      <c r="K483" s="19"/>
      <c r="L483" s="18" t="s">
        <v>164</v>
      </c>
      <c r="M483" s="18" t="s">
        <v>1516</v>
      </c>
      <c r="N483" s="18" t="s">
        <v>250</v>
      </c>
      <c r="O483" s="20">
        <v>119000</v>
      </c>
      <c r="P483" s="20">
        <v>82110</v>
      </c>
      <c r="Q483" s="20">
        <v>4</v>
      </c>
      <c r="R483" s="20">
        <v>0</v>
      </c>
      <c r="S483" s="20">
        <v>0</v>
      </c>
      <c r="T483" s="20">
        <v>0</v>
      </c>
      <c r="U483" s="20">
        <v>0</v>
      </c>
      <c r="V483" s="20">
        <v>0</v>
      </c>
      <c r="W483" s="20">
        <v>31</v>
      </c>
      <c r="X483" s="20">
        <v>0</v>
      </c>
      <c r="Y483" s="20">
        <v>23800</v>
      </c>
      <c r="Z483" s="20">
        <v>0</v>
      </c>
      <c r="AA483" s="20">
        <v>0</v>
      </c>
      <c r="AB483" s="20">
        <v>0</v>
      </c>
      <c r="AC483" s="20">
        <v>476000</v>
      </c>
      <c r="AD483" s="20">
        <v>328440</v>
      </c>
      <c r="AE483" s="20">
        <v>0</v>
      </c>
      <c r="AF483" s="20">
        <v>23800</v>
      </c>
      <c r="AG483" s="20">
        <v>452200</v>
      </c>
      <c r="AH483" s="20">
        <v>328440</v>
      </c>
      <c r="AI483" s="20">
        <v>112509</v>
      </c>
      <c r="AJ483" s="20">
        <v>11251</v>
      </c>
      <c r="AK483" s="20">
        <v>123760</v>
      </c>
    </row>
    <row r="484" spans="1:37" ht="16.5" customHeight="1" x14ac:dyDescent="0.3">
      <c r="A484" s="18" t="s">
        <v>1525</v>
      </c>
      <c r="B484" s="18" t="s">
        <v>240</v>
      </c>
      <c r="C484" s="19" t="s">
        <v>241</v>
      </c>
      <c r="D484" s="18" t="s">
        <v>1526</v>
      </c>
      <c r="E484" s="19" t="s">
        <v>1527</v>
      </c>
      <c r="F484" s="18" t="s">
        <v>244</v>
      </c>
      <c r="G484" s="18" t="s">
        <v>245</v>
      </c>
      <c r="H484" s="19" t="s">
        <v>175</v>
      </c>
      <c r="I484" s="18" t="s">
        <v>246</v>
      </c>
      <c r="J484" s="19" t="s">
        <v>247</v>
      </c>
      <c r="K484" s="19"/>
      <c r="L484" s="18" t="s">
        <v>164</v>
      </c>
      <c r="M484" s="18" t="s">
        <v>1516</v>
      </c>
      <c r="N484" s="18" t="s">
        <v>250</v>
      </c>
      <c r="O484" s="20">
        <v>119000</v>
      </c>
      <c r="P484" s="20">
        <v>82110</v>
      </c>
      <c r="Q484" s="20">
        <v>1</v>
      </c>
      <c r="R484" s="20">
        <v>0</v>
      </c>
      <c r="S484" s="20">
        <v>0</v>
      </c>
      <c r="T484" s="20">
        <v>0</v>
      </c>
      <c r="U484" s="20">
        <v>0</v>
      </c>
      <c r="V484" s="20">
        <v>0</v>
      </c>
      <c r="W484" s="20">
        <v>31</v>
      </c>
      <c r="X484" s="20">
        <v>0</v>
      </c>
      <c r="Y484" s="20">
        <v>5950</v>
      </c>
      <c r="Z484" s="20">
        <v>0</v>
      </c>
      <c r="AA484" s="20">
        <v>0</v>
      </c>
      <c r="AB484" s="20">
        <v>0</v>
      </c>
      <c r="AC484" s="20">
        <v>119000</v>
      </c>
      <c r="AD484" s="20">
        <v>82110</v>
      </c>
      <c r="AE484" s="20">
        <v>0</v>
      </c>
      <c r="AF484" s="20">
        <v>5950</v>
      </c>
      <c r="AG484" s="20">
        <v>113050</v>
      </c>
      <c r="AH484" s="20">
        <v>82110</v>
      </c>
      <c r="AI484" s="20">
        <v>28127</v>
      </c>
      <c r="AJ484" s="20">
        <v>2813</v>
      </c>
      <c r="AK484" s="20">
        <v>30940</v>
      </c>
    </row>
    <row r="485" spans="1:37" ht="16.5" customHeight="1" x14ac:dyDescent="0.3">
      <c r="A485" s="18" t="s">
        <v>1528</v>
      </c>
      <c r="B485" s="18" t="s">
        <v>240</v>
      </c>
      <c r="C485" s="19" t="s">
        <v>241</v>
      </c>
      <c r="D485" s="18" t="s">
        <v>1529</v>
      </c>
      <c r="E485" s="19" t="s">
        <v>1471</v>
      </c>
      <c r="F485" s="18" t="s">
        <v>244</v>
      </c>
      <c r="G485" s="18" t="s">
        <v>245</v>
      </c>
      <c r="H485" s="19" t="s">
        <v>175</v>
      </c>
      <c r="I485" s="18" t="s">
        <v>246</v>
      </c>
      <c r="J485" s="19" t="s">
        <v>247</v>
      </c>
      <c r="K485" s="19" t="s">
        <v>248</v>
      </c>
      <c r="L485" s="18" t="s">
        <v>164</v>
      </c>
      <c r="M485" s="18" t="s">
        <v>1516</v>
      </c>
      <c r="N485" s="18" t="s">
        <v>250</v>
      </c>
      <c r="O485" s="20">
        <v>119000</v>
      </c>
      <c r="P485" s="20">
        <v>82110</v>
      </c>
      <c r="Q485" s="20">
        <v>1</v>
      </c>
      <c r="R485" s="20">
        <v>0</v>
      </c>
      <c r="S485" s="20">
        <v>0</v>
      </c>
      <c r="T485" s="20">
        <v>0</v>
      </c>
      <c r="U485" s="20">
        <v>0</v>
      </c>
      <c r="V485" s="20">
        <v>0</v>
      </c>
      <c r="W485" s="20">
        <v>31</v>
      </c>
      <c r="X485" s="20">
        <v>0</v>
      </c>
      <c r="Y485" s="20">
        <v>10000</v>
      </c>
      <c r="Z485" s="20">
        <v>0</v>
      </c>
      <c r="AA485" s="20">
        <v>0</v>
      </c>
      <c r="AB485" s="20">
        <v>0</v>
      </c>
      <c r="AC485" s="20">
        <v>119000</v>
      </c>
      <c r="AD485" s="20">
        <v>82110</v>
      </c>
      <c r="AE485" s="20">
        <v>0</v>
      </c>
      <c r="AF485" s="20">
        <v>10000</v>
      </c>
      <c r="AG485" s="20">
        <v>109000</v>
      </c>
      <c r="AH485" s="20">
        <v>82110</v>
      </c>
      <c r="AI485" s="20">
        <v>24445</v>
      </c>
      <c r="AJ485" s="20">
        <v>2445</v>
      </c>
      <c r="AK485" s="20">
        <v>26890</v>
      </c>
    </row>
    <row r="486" spans="1:37" ht="16.5" customHeight="1" x14ac:dyDescent="0.3">
      <c r="A486" s="18" t="s">
        <v>1530</v>
      </c>
      <c r="B486" s="18" t="s">
        <v>240</v>
      </c>
      <c r="C486" s="19" t="s">
        <v>241</v>
      </c>
      <c r="D486" s="18" t="s">
        <v>1531</v>
      </c>
      <c r="E486" s="19" t="s">
        <v>1532</v>
      </c>
      <c r="F486" s="18" t="s">
        <v>244</v>
      </c>
      <c r="G486" s="18" t="s">
        <v>245</v>
      </c>
      <c r="H486" s="19" t="s">
        <v>175</v>
      </c>
      <c r="I486" s="18" t="s">
        <v>246</v>
      </c>
      <c r="J486" s="19" t="s">
        <v>247</v>
      </c>
      <c r="K486" s="19" t="s">
        <v>248</v>
      </c>
      <c r="L486" s="18" t="s">
        <v>164</v>
      </c>
      <c r="M486" s="18" t="s">
        <v>1516</v>
      </c>
      <c r="N486" s="18" t="s">
        <v>250</v>
      </c>
      <c r="O486" s="20">
        <v>119000</v>
      </c>
      <c r="P486" s="20">
        <v>80920</v>
      </c>
      <c r="Q486" s="20">
        <v>1</v>
      </c>
      <c r="R486" s="20">
        <v>0</v>
      </c>
      <c r="S486" s="20">
        <v>0</v>
      </c>
      <c r="T486" s="20">
        <v>0</v>
      </c>
      <c r="U486" s="20">
        <v>0</v>
      </c>
      <c r="V486" s="20">
        <v>0</v>
      </c>
      <c r="W486" s="20">
        <v>32</v>
      </c>
      <c r="X486" s="20">
        <v>23800</v>
      </c>
      <c r="Y486" s="20">
        <v>0</v>
      </c>
      <c r="Z486" s="20">
        <v>0</v>
      </c>
      <c r="AA486" s="20">
        <v>0</v>
      </c>
      <c r="AB486" s="20">
        <v>0</v>
      </c>
      <c r="AC486" s="20">
        <v>119000</v>
      </c>
      <c r="AD486" s="20">
        <v>80920</v>
      </c>
      <c r="AE486" s="20">
        <v>0</v>
      </c>
      <c r="AF486" s="20">
        <v>23800</v>
      </c>
      <c r="AG486" s="20">
        <v>95200</v>
      </c>
      <c r="AH486" s="20">
        <v>80920</v>
      </c>
      <c r="AI486" s="20">
        <v>12982</v>
      </c>
      <c r="AJ486" s="20">
        <v>1298</v>
      </c>
      <c r="AK486" s="20">
        <v>14280</v>
      </c>
    </row>
    <row r="487" spans="1:37" ht="16.5" customHeight="1" x14ac:dyDescent="0.3">
      <c r="A487" s="18" t="s">
        <v>1533</v>
      </c>
      <c r="B487" s="18" t="s">
        <v>240</v>
      </c>
      <c r="C487" s="19" t="s">
        <v>241</v>
      </c>
      <c r="D487" s="18" t="s">
        <v>1534</v>
      </c>
      <c r="E487" s="19" t="s">
        <v>716</v>
      </c>
      <c r="F487" s="18" t="s">
        <v>244</v>
      </c>
      <c r="G487" s="18" t="s">
        <v>245</v>
      </c>
      <c r="H487" s="19" t="s">
        <v>175</v>
      </c>
      <c r="I487" s="18" t="s">
        <v>246</v>
      </c>
      <c r="J487" s="19" t="s">
        <v>247</v>
      </c>
      <c r="K487" s="19" t="s">
        <v>248</v>
      </c>
      <c r="L487" s="18" t="s">
        <v>164</v>
      </c>
      <c r="M487" s="18" t="s">
        <v>1516</v>
      </c>
      <c r="N487" s="18" t="s">
        <v>250</v>
      </c>
      <c r="O487" s="20">
        <v>119000</v>
      </c>
      <c r="P487" s="20">
        <v>82110</v>
      </c>
      <c r="Q487" s="20">
        <v>1</v>
      </c>
      <c r="R487" s="20">
        <v>0</v>
      </c>
      <c r="S487" s="20">
        <v>0</v>
      </c>
      <c r="T487" s="20">
        <v>0</v>
      </c>
      <c r="U487" s="20">
        <v>0</v>
      </c>
      <c r="V487" s="20">
        <v>0</v>
      </c>
      <c r="W487" s="20">
        <v>31</v>
      </c>
      <c r="X487" s="20">
        <v>0</v>
      </c>
      <c r="Y487" s="20">
        <v>0</v>
      </c>
      <c r="Z487" s="20">
        <v>0</v>
      </c>
      <c r="AA487" s="20">
        <v>0</v>
      </c>
      <c r="AB487" s="20">
        <v>0</v>
      </c>
      <c r="AC487" s="20">
        <v>119000</v>
      </c>
      <c r="AD487" s="20">
        <v>82110</v>
      </c>
      <c r="AE487" s="20">
        <v>0</v>
      </c>
      <c r="AF487" s="20">
        <v>0</v>
      </c>
      <c r="AG487" s="20">
        <v>119000</v>
      </c>
      <c r="AH487" s="20">
        <v>82110</v>
      </c>
      <c r="AI487" s="20">
        <v>33536</v>
      </c>
      <c r="AJ487" s="20">
        <v>3354</v>
      </c>
      <c r="AK487" s="20">
        <v>36890</v>
      </c>
    </row>
    <row r="488" spans="1:37" ht="16.5" customHeight="1" x14ac:dyDescent="0.3">
      <c r="A488" s="18" t="s">
        <v>1535</v>
      </c>
      <c r="B488" s="18" t="s">
        <v>240</v>
      </c>
      <c r="C488" s="19" t="s">
        <v>241</v>
      </c>
      <c r="D488" s="18" t="s">
        <v>1536</v>
      </c>
      <c r="E488" s="19" t="s">
        <v>1537</v>
      </c>
      <c r="F488" s="18" t="s">
        <v>244</v>
      </c>
      <c r="G488" s="18" t="s">
        <v>245</v>
      </c>
      <c r="H488" s="19" t="s">
        <v>175</v>
      </c>
      <c r="I488" s="18" t="s">
        <v>246</v>
      </c>
      <c r="J488" s="19" t="s">
        <v>247</v>
      </c>
      <c r="K488" s="19" t="s">
        <v>248</v>
      </c>
      <c r="L488" s="18" t="s">
        <v>164</v>
      </c>
      <c r="M488" s="18" t="s">
        <v>1516</v>
      </c>
      <c r="N488" s="18" t="s">
        <v>250</v>
      </c>
      <c r="O488" s="20">
        <v>119000</v>
      </c>
      <c r="P488" s="20">
        <v>82110</v>
      </c>
      <c r="Q488" s="20">
        <v>1</v>
      </c>
      <c r="R488" s="20">
        <v>0</v>
      </c>
      <c r="S488" s="20">
        <v>0</v>
      </c>
      <c r="T488" s="20">
        <v>0</v>
      </c>
      <c r="U488" s="20">
        <v>0</v>
      </c>
      <c r="V488" s="20">
        <v>0</v>
      </c>
      <c r="W488" s="20">
        <v>31</v>
      </c>
      <c r="X488" s="20">
        <v>0</v>
      </c>
      <c r="Y488" s="20">
        <v>0</v>
      </c>
      <c r="Z488" s="20">
        <v>0</v>
      </c>
      <c r="AA488" s="20">
        <v>0</v>
      </c>
      <c r="AB488" s="20">
        <v>820</v>
      </c>
      <c r="AC488" s="20">
        <v>119000</v>
      </c>
      <c r="AD488" s="20">
        <v>82110</v>
      </c>
      <c r="AE488" s="20">
        <v>0</v>
      </c>
      <c r="AF488" s="20">
        <v>820</v>
      </c>
      <c r="AG488" s="20">
        <v>118180</v>
      </c>
      <c r="AH488" s="20">
        <v>82110</v>
      </c>
      <c r="AI488" s="20">
        <v>32791</v>
      </c>
      <c r="AJ488" s="20">
        <v>3279</v>
      </c>
      <c r="AK488" s="20">
        <v>36070</v>
      </c>
    </row>
    <row r="489" spans="1:37" ht="16.5" customHeight="1" x14ac:dyDescent="0.3">
      <c r="A489" s="18" t="s">
        <v>1538</v>
      </c>
      <c r="B489" s="18" t="s">
        <v>240</v>
      </c>
      <c r="C489" s="19" t="s">
        <v>241</v>
      </c>
      <c r="D489" s="18" t="s">
        <v>1539</v>
      </c>
      <c r="E489" s="19" t="s">
        <v>1390</v>
      </c>
      <c r="F489" s="18" t="s">
        <v>244</v>
      </c>
      <c r="G489" s="18" t="s">
        <v>245</v>
      </c>
      <c r="H489" s="19" t="s">
        <v>175</v>
      </c>
      <c r="I489" s="18" t="s">
        <v>246</v>
      </c>
      <c r="J489" s="19" t="s">
        <v>247</v>
      </c>
      <c r="K489" s="19" t="s">
        <v>314</v>
      </c>
      <c r="L489" s="18" t="s">
        <v>164</v>
      </c>
      <c r="M489" s="18" t="s">
        <v>1516</v>
      </c>
      <c r="N489" s="18" t="s">
        <v>250</v>
      </c>
      <c r="O489" s="20">
        <v>119000</v>
      </c>
      <c r="P489" s="20">
        <v>82110</v>
      </c>
      <c r="Q489" s="20">
        <v>1</v>
      </c>
      <c r="R489" s="20">
        <v>0</v>
      </c>
      <c r="S489" s="20">
        <v>0</v>
      </c>
      <c r="T489" s="20">
        <v>0</v>
      </c>
      <c r="U489" s="20">
        <v>0</v>
      </c>
      <c r="V489" s="20">
        <v>0</v>
      </c>
      <c r="W489" s="20">
        <v>31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119000</v>
      </c>
      <c r="AD489" s="20">
        <v>82110</v>
      </c>
      <c r="AE489" s="20">
        <v>0</v>
      </c>
      <c r="AF489" s="20">
        <v>0</v>
      </c>
      <c r="AG489" s="20">
        <v>119000</v>
      </c>
      <c r="AH489" s="20">
        <v>82110</v>
      </c>
      <c r="AI489" s="20">
        <v>33536</v>
      </c>
      <c r="AJ489" s="20">
        <v>3354</v>
      </c>
      <c r="AK489" s="20">
        <v>36890</v>
      </c>
    </row>
    <row r="490" spans="1:37" ht="16.5" customHeight="1" x14ac:dyDescent="0.3">
      <c r="A490" s="18" t="s">
        <v>1540</v>
      </c>
      <c r="B490" s="18" t="s">
        <v>240</v>
      </c>
      <c r="C490" s="19" t="s">
        <v>241</v>
      </c>
      <c r="D490" s="18" t="s">
        <v>1541</v>
      </c>
      <c r="E490" s="19" t="s">
        <v>349</v>
      </c>
      <c r="F490" s="18" t="s">
        <v>244</v>
      </c>
      <c r="G490" s="18" t="s">
        <v>245</v>
      </c>
      <c r="H490" s="19" t="s">
        <v>175</v>
      </c>
      <c r="I490" s="18" t="s">
        <v>246</v>
      </c>
      <c r="J490" s="19" t="s">
        <v>247</v>
      </c>
      <c r="K490" s="19" t="s">
        <v>314</v>
      </c>
      <c r="L490" s="18" t="s">
        <v>164</v>
      </c>
      <c r="M490" s="18" t="s">
        <v>1516</v>
      </c>
      <c r="N490" s="18" t="s">
        <v>250</v>
      </c>
      <c r="O490" s="20">
        <v>119000</v>
      </c>
      <c r="P490" s="20">
        <v>82110</v>
      </c>
      <c r="Q490" s="20">
        <v>1</v>
      </c>
      <c r="R490" s="20">
        <v>0</v>
      </c>
      <c r="S490" s="20">
        <v>0</v>
      </c>
      <c r="T490" s="20">
        <v>0</v>
      </c>
      <c r="U490" s="20">
        <v>0</v>
      </c>
      <c r="V490" s="20">
        <v>0</v>
      </c>
      <c r="W490" s="20">
        <v>31</v>
      </c>
      <c r="X490" s="20">
        <v>0</v>
      </c>
      <c r="Y490" s="20">
        <v>0</v>
      </c>
      <c r="Z490" s="20">
        <v>0</v>
      </c>
      <c r="AA490" s="20">
        <v>0</v>
      </c>
      <c r="AB490" s="20">
        <v>0</v>
      </c>
      <c r="AC490" s="20">
        <v>119000</v>
      </c>
      <c r="AD490" s="20">
        <v>82110</v>
      </c>
      <c r="AE490" s="20">
        <v>0</v>
      </c>
      <c r="AF490" s="20">
        <v>0</v>
      </c>
      <c r="AG490" s="20">
        <v>119000</v>
      </c>
      <c r="AH490" s="20">
        <v>82110</v>
      </c>
      <c r="AI490" s="20">
        <v>33536</v>
      </c>
      <c r="AJ490" s="20">
        <v>3354</v>
      </c>
      <c r="AK490" s="20">
        <v>36890</v>
      </c>
    </row>
    <row r="491" spans="1:37" ht="16.5" customHeight="1" x14ac:dyDescent="0.3">
      <c r="A491" s="18" t="s">
        <v>1542</v>
      </c>
      <c r="B491" s="18" t="s">
        <v>240</v>
      </c>
      <c r="C491" s="19" t="s">
        <v>241</v>
      </c>
      <c r="D491" s="18" t="s">
        <v>1543</v>
      </c>
      <c r="E491" s="19" t="s">
        <v>1544</v>
      </c>
      <c r="F491" s="18" t="s">
        <v>244</v>
      </c>
      <c r="G491" s="18" t="s">
        <v>245</v>
      </c>
      <c r="H491" s="19" t="s">
        <v>175</v>
      </c>
      <c r="I491" s="18" t="s">
        <v>246</v>
      </c>
      <c r="J491" s="19" t="s">
        <v>247</v>
      </c>
      <c r="K491" s="19" t="s">
        <v>248</v>
      </c>
      <c r="L491" s="18" t="s">
        <v>164</v>
      </c>
      <c r="M491" s="18" t="s">
        <v>1516</v>
      </c>
      <c r="N491" s="18" t="s">
        <v>250</v>
      </c>
      <c r="O491" s="20">
        <v>119000</v>
      </c>
      <c r="P491" s="20">
        <v>80920</v>
      </c>
      <c r="Q491" s="20">
        <v>1</v>
      </c>
      <c r="R491" s="20">
        <v>0</v>
      </c>
      <c r="S491" s="20">
        <v>0</v>
      </c>
      <c r="T491" s="20">
        <v>0</v>
      </c>
      <c r="U491" s="20">
        <v>0</v>
      </c>
      <c r="V491" s="20">
        <v>0</v>
      </c>
      <c r="W491" s="20">
        <v>32</v>
      </c>
      <c r="X491" s="20">
        <v>20230</v>
      </c>
      <c r="Y491" s="20">
        <v>0</v>
      </c>
      <c r="Z491" s="20">
        <v>0</v>
      </c>
      <c r="AA491" s="20">
        <v>0</v>
      </c>
      <c r="AB491" s="20">
        <v>0</v>
      </c>
      <c r="AC491" s="20">
        <v>119000</v>
      </c>
      <c r="AD491" s="20">
        <v>80920</v>
      </c>
      <c r="AE491" s="20">
        <v>0</v>
      </c>
      <c r="AF491" s="20">
        <v>20230</v>
      </c>
      <c r="AG491" s="20">
        <v>98770</v>
      </c>
      <c r="AH491" s="20">
        <v>80920</v>
      </c>
      <c r="AI491" s="20">
        <v>16227</v>
      </c>
      <c r="AJ491" s="20">
        <v>1623</v>
      </c>
      <c r="AK491" s="20">
        <v>17850</v>
      </c>
    </row>
    <row r="492" spans="1:37" ht="16.5" customHeight="1" x14ac:dyDescent="0.3">
      <c r="A492" s="18" t="s">
        <v>1545</v>
      </c>
      <c r="B492" s="18" t="s">
        <v>240</v>
      </c>
      <c r="C492" s="19" t="s">
        <v>241</v>
      </c>
      <c r="D492" s="18" t="s">
        <v>1546</v>
      </c>
      <c r="E492" s="19" t="s">
        <v>1547</v>
      </c>
      <c r="F492" s="18" t="s">
        <v>244</v>
      </c>
      <c r="G492" s="18" t="s">
        <v>245</v>
      </c>
      <c r="H492" s="19" t="s">
        <v>175</v>
      </c>
      <c r="I492" s="18" t="s">
        <v>246</v>
      </c>
      <c r="J492" s="19" t="s">
        <v>247</v>
      </c>
      <c r="K492" s="19" t="s">
        <v>314</v>
      </c>
      <c r="L492" s="18" t="s">
        <v>164</v>
      </c>
      <c r="M492" s="18" t="s">
        <v>1516</v>
      </c>
      <c r="N492" s="18" t="s">
        <v>250</v>
      </c>
      <c r="O492" s="20">
        <v>119000</v>
      </c>
      <c r="P492" s="20">
        <v>82110</v>
      </c>
      <c r="Q492" s="20">
        <v>1</v>
      </c>
      <c r="R492" s="20">
        <v>0</v>
      </c>
      <c r="S492" s="20">
        <v>0</v>
      </c>
      <c r="T492" s="20">
        <v>0</v>
      </c>
      <c r="U492" s="20">
        <v>0</v>
      </c>
      <c r="V492" s="20">
        <v>0</v>
      </c>
      <c r="W492" s="20">
        <v>31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119000</v>
      </c>
      <c r="AD492" s="20">
        <v>82110</v>
      </c>
      <c r="AE492" s="20">
        <v>0</v>
      </c>
      <c r="AF492" s="20">
        <v>0</v>
      </c>
      <c r="AG492" s="20">
        <v>119000</v>
      </c>
      <c r="AH492" s="20">
        <v>82110</v>
      </c>
      <c r="AI492" s="20">
        <v>33536</v>
      </c>
      <c r="AJ492" s="20">
        <v>3354</v>
      </c>
      <c r="AK492" s="20">
        <v>36890</v>
      </c>
    </row>
    <row r="493" spans="1:37" ht="16.5" customHeight="1" x14ac:dyDescent="0.3">
      <c r="A493" s="18" t="s">
        <v>1548</v>
      </c>
      <c r="B493" s="18" t="s">
        <v>240</v>
      </c>
      <c r="C493" s="19" t="s">
        <v>241</v>
      </c>
      <c r="D493" s="18" t="s">
        <v>1549</v>
      </c>
      <c r="E493" s="19" t="s">
        <v>1550</v>
      </c>
      <c r="F493" s="18" t="s">
        <v>244</v>
      </c>
      <c r="G493" s="18" t="s">
        <v>245</v>
      </c>
      <c r="H493" s="19" t="s">
        <v>175</v>
      </c>
      <c r="I493" s="18" t="s">
        <v>246</v>
      </c>
      <c r="J493" s="19" t="s">
        <v>247</v>
      </c>
      <c r="K493" s="19" t="s">
        <v>314</v>
      </c>
      <c r="L493" s="18" t="s">
        <v>164</v>
      </c>
      <c r="M493" s="18" t="s">
        <v>1516</v>
      </c>
      <c r="N493" s="18" t="s">
        <v>250</v>
      </c>
      <c r="O493" s="20">
        <v>119000</v>
      </c>
      <c r="P493" s="20">
        <v>82110</v>
      </c>
      <c r="Q493" s="20">
        <v>1</v>
      </c>
      <c r="R493" s="20">
        <v>0</v>
      </c>
      <c r="S493" s="20">
        <v>0</v>
      </c>
      <c r="T493" s="20">
        <v>0</v>
      </c>
      <c r="U493" s="20">
        <v>0</v>
      </c>
      <c r="V493" s="20">
        <v>0</v>
      </c>
      <c r="W493" s="20">
        <v>31</v>
      </c>
      <c r="X493" s="20">
        <v>0</v>
      </c>
      <c r="Y493" s="20">
        <v>0</v>
      </c>
      <c r="Z493" s="20">
        <v>0</v>
      </c>
      <c r="AA493" s="20">
        <v>0</v>
      </c>
      <c r="AB493" s="20">
        <v>0</v>
      </c>
      <c r="AC493" s="20">
        <v>119000</v>
      </c>
      <c r="AD493" s="20">
        <v>82110</v>
      </c>
      <c r="AE493" s="20">
        <v>0</v>
      </c>
      <c r="AF493" s="20">
        <v>0</v>
      </c>
      <c r="AG493" s="20">
        <v>119000</v>
      </c>
      <c r="AH493" s="20">
        <v>82110</v>
      </c>
      <c r="AI493" s="20">
        <v>33536</v>
      </c>
      <c r="AJ493" s="20">
        <v>3354</v>
      </c>
      <c r="AK493" s="20">
        <v>36890</v>
      </c>
    </row>
    <row r="494" spans="1:37" ht="16.5" customHeight="1" x14ac:dyDescent="0.3">
      <c r="A494" s="18" t="s">
        <v>1551</v>
      </c>
      <c r="B494" s="18" t="s">
        <v>240</v>
      </c>
      <c r="C494" s="19" t="s">
        <v>241</v>
      </c>
      <c r="D494" s="18" t="s">
        <v>1552</v>
      </c>
      <c r="E494" s="19" t="s">
        <v>1553</v>
      </c>
      <c r="F494" s="18" t="s">
        <v>1414</v>
      </c>
      <c r="G494" s="18" t="s">
        <v>245</v>
      </c>
      <c r="H494" s="19" t="s">
        <v>180</v>
      </c>
      <c r="I494" s="18" t="s">
        <v>246</v>
      </c>
      <c r="J494" s="19" t="s">
        <v>247</v>
      </c>
      <c r="K494" s="19" t="s">
        <v>248</v>
      </c>
      <c r="L494" s="18" t="s">
        <v>164</v>
      </c>
      <c r="M494" s="18" t="s">
        <v>1516</v>
      </c>
      <c r="N494" s="18" t="s">
        <v>250</v>
      </c>
      <c r="O494" s="20">
        <v>78000</v>
      </c>
      <c r="P494" s="20">
        <v>53820</v>
      </c>
      <c r="Q494" s="20">
        <v>1</v>
      </c>
      <c r="R494" s="20">
        <v>0</v>
      </c>
      <c r="S494" s="20">
        <v>0</v>
      </c>
      <c r="T494" s="20">
        <v>0</v>
      </c>
      <c r="U494" s="20">
        <v>0</v>
      </c>
      <c r="V494" s="20">
        <v>0</v>
      </c>
      <c r="W494" s="20">
        <v>31</v>
      </c>
      <c r="X494" s="20">
        <v>3900</v>
      </c>
      <c r="Y494" s="20">
        <v>0</v>
      </c>
      <c r="Z494" s="20">
        <v>0</v>
      </c>
      <c r="AA494" s="20">
        <v>0</v>
      </c>
      <c r="AB494" s="20">
        <v>0</v>
      </c>
      <c r="AC494" s="20">
        <v>78000</v>
      </c>
      <c r="AD494" s="20">
        <v>53820</v>
      </c>
      <c r="AE494" s="20">
        <v>0</v>
      </c>
      <c r="AF494" s="20">
        <v>3900</v>
      </c>
      <c r="AG494" s="20">
        <v>74100</v>
      </c>
      <c r="AH494" s="20">
        <v>53820</v>
      </c>
      <c r="AI494" s="20">
        <v>18436</v>
      </c>
      <c r="AJ494" s="20">
        <v>1844</v>
      </c>
      <c r="AK494" s="20">
        <v>20280</v>
      </c>
    </row>
    <row r="495" spans="1:37" ht="16.5" customHeight="1" x14ac:dyDescent="0.3">
      <c r="A495" s="18" t="s">
        <v>1554</v>
      </c>
      <c r="B495" s="18" t="s">
        <v>240</v>
      </c>
      <c r="C495" s="19" t="s">
        <v>241</v>
      </c>
      <c r="D495" s="18" t="s">
        <v>1555</v>
      </c>
      <c r="E495" s="19" t="s">
        <v>657</v>
      </c>
      <c r="F495" s="18" t="s">
        <v>244</v>
      </c>
      <c r="G495" s="18" t="s">
        <v>245</v>
      </c>
      <c r="H495" s="19" t="s">
        <v>175</v>
      </c>
      <c r="I495" s="18" t="s">
        <v>246</v>
      </c>
      <c r="J495" s="19" t="s">
        <v>247</v>
      </c>
      <c r="K495" s="19" t="s">
        <v>248</v>
      </c>
      <c r="L495" s="18" t="s">
        <v>164</v>
      </c>
      <c r="M495" s="18" t="s">
        <v>1556</v>
      </c>
      <c r="N495" s="18" t="s">
        <v>250</v>
      </c>
      <c r="O495" s="20">
        <v>119000</v>
      </c>
      <c r="P495" s="20">
        <v>80920</v>
      </c>
      <c r="Q495" s="20">
        <v>1</v>
      </c>
      <c r="R495" s="20">
        <v>0</v>
      </c>
      <c r="S495" s="20">
        <v>0</v>
      </c>
      <c r="T495" s="20">
        <v>0</v>
      </c>
      <c r="U495" s="20">
        <v>0</v>
      </c>
      <c r="V495" s="20">
        <v>0</v>
      </c>
      <c r="W495" s="20">
        <v>32</v>
      </c>
      <c r="X495" s="20">
        <v>0</v>
      </c>
      <c r="Y495" s="20">
        <v>0</v>
      </c>
      <c r="Z495" s="20">
        <v>0</v>
      </c>
      <c r="AA495" s="20">
        <v>0</v>
      </c>
      <c r="AB495" s="20">
        <v>0</v>
      </c>
      <c r="AC495" s="20">
        <v>119000</v>
      </c>
      <c r="AD495" s="20">
        <v>80920</v>
      </c>
      <c r="AE495" s="20">
        <v>0</v>
      </c>
      <c r="AF495" s="20">
        <v>0</v>
      </c>
      <c r="AG495" s="20">
        <v>119000</v>
      </c>
      <c r="AH495" s="20">
        <v>80920</v>
      </c>
      <c r="AI495" s="20">
        <v>34618</v>
      </c>
      <c r="AJ495" s="20">
        <v>3462</v>
      </c>
      <c r="AK495" s="20">
        <v>38080</v>
      </c>
    </row>
    <row r="496" spans="1:37" ht="16.5" customHeight="1" x14ac:dyDescent="0.3">
      <c r="A496" s="18" t="s">
        <v>1557</v>
      </c>
      <c r="B496" s="18" t="s">
        <v>240</v>
      </c>
      <c r="C496" s="19" t="s">
        <v>241</v>
      </c>
      <c r="D496" s="18" t="s">
        <v>1558</v>
      </c>
      <c r="E496" s="19" t="s">
        <v>1559</v>
      </c>
      <c r="F496" s="18" t="s">
        <v>244</v>
      </c>
      <c r="G496" s="18" t="s">
        <v>245</v>
      </c>
      <c r="H496" s="19" t="s">
        <v>175</v>
      </c>
      <c r="I496" s="18" t="s">
        <v>246</v>
      </c>
      <c r="J496" s="19" t="s">
        <v>247</v>
      </c>
      <c r="K496" s="19" t="s">
        <v>248</v>
      </c>
      <c r="L496" s="18" t="s">
        <v>164</v>
      </c>
      <c r="M496" s="18" t="s">
        <v>1556</v>
      </c>
      <c r="N496" s="18" t="s">
        <v>250</v>
      </c>
      <c r="O496" s="20">
        <v>119000</v>
      </c>
      <c r="P496" s="20">
        <v>80920</v>
      </c>
      <c r="Q496" s="20">
        <v>1</v>
      </c>
      <c r="R496" s="20">
        <v>0</v>
      </c>
      <c r="S496" s="20">
        <v>0</v>
      </c>
      <c r="T496" s="20">
        <v>0</v>
      </c>
      <c r="U496" s="20">
        <v>0</v>
      </c>
      <c r="V496" s="20">
        <v>0</v>
      </c>
      <c r="W496" s="20">
        <v>32</v>
      </c>
      <c r="X496" s="20">
        <v>0</v>
      </c>
      <c r="Y496" s="20">
        <v>0</v>
      </c>
      <c r="Z496" s="20">
        <v>0</v>
      </c>
      <c r="AA496" s="20">
        <v>0</v>
      </c>
      <c r="AB496" s="20">
        <v>0</v>
      </c>
      <c r="AC496" s="20">
        <v>119000</v>
      </c>
      <c r="AD496" s="20">
        <v>80920</v>
      </c>
      <c r="AE496" s="20">
        <v>0</v>
      </c>
      <c r="AF496" s="20">
        <v>0</v>
      </c>
      <c r="AG496" s="20">
        <v>119000</v>
      </c>
      <c r="AH496" s="20">
        <v>80920</v>
      </c>
      <c r="AI496" s="20">
        <v>34618</v>
      </c>
      <c r="AJ496" s="20">
        <v>3462</v>
      </c>
      <c r="AK496" s="20">
        <v>38080</v>
      </c>
    </row>
    <row r="497" spans="1:37" ht="16.5" customHeight="1" x14ac:dyDescent="0.3">
      <c r="A497" s="18" t="s">
        <v>1560</v>
      </c>
      <c r="B497" s="18" t="s">
        <v>240</v>
      </c>
      <c r="C497" s="19" t="s">
        <v>241</v>
      </c>
      <c r="D497" s="18" t="s">
        <v>1561</v>
      </c>
      <c r="E497" s="19" t="s">
        <v>1375</v>
      </c>
      <c r="F497" s="18" t="s">
        <v>244</v>
      </c>
      <c r="G497" s="18" t="s">
        <v>245</v>
      </c>
      <c r="H497" s="19" t="s">
        <v>175</v>
      </c>
      <c r="I497" s="18" t="s">
        <v>246</v>
      </c>
      <c r="J497" s="19" t="s">
        <v>247</v>
      </c>
      <c r="K497" s="19" t="s">
        <v>248</v>
      </c>
      <c r="L497" s="18" t="s">
        <v>164</v>
      </c>
      <c r="M497" s="18" t="s">
        <v>1556</v>
      </c>
      <c r="N497" s="18" t="s">
        <v>250</v>
      </c>
      <c r="O497" s="20">
        <v>119000</v>
      </c>
      <c r="P497" s="20">
        <v>80920</v>
      </c>
      <c r="Q497" s="20">
        <v>1</v>
      </c>
      <c r="R497" s="20">
        <v>0</v>
      </c>
      <c r="S497" s="20">
        <v>0</v>
      </c>
      <c r="T497" s="20">
        <v>0</v>
      </c>
      <c r="U497" s="20">
        <v>0</v>
      </c>
      <c r="V497" s="20">
        <v>0</v>
      </c>
      <c r="W497" s="20">
        <v>32</v>
      </c>
      <c r="X497" s="20">
        <v>0</v>
      </c>
      <c r="Y497" s="20">
        <v>0</v>
      </c>
      <c r="Z497" s="20">
        <v>0</v>
      </c>
      <c r="AA497" s="20">
        <v>0</v>
      </c>
      <c r="AB497" s="20">
        <v>0</v>
      </c>
      <c r="AC497" s="20">
        <v>119000</v>
      </c>
      <c r="AD497" s="20">
        <v>80920</v>
      </c>
      <c r="AE497" s="20">
        <v>0</v>
      </c>
      <c r="AF497" s="20">
        <v>0</v>
      </c>
      <c r="AG497" s="20">
        <v>119000</v>
      </c>
      <c r="AH497" s="20">
        <v>80920</v>
      </c>
      <c r="AI497" s="20">
        <v>34618</v>
      </c>
      <c r="AJ497" s="20">
        <v>3462</v>
      </c>
      <c r="AK497" s="20">
        <v>38080</v>
      </c>
    </row>
    <row r="498" spans="1:37" ht="16.5" customHeight="1" x14ac:dyDescent="0.3">
      <c r="A498" s="18" t="s">
        <v>1562</v>
      </c>
      <c r="B498" s="18" t="s">
        <v>240</v>
      </c>
      <c r="C498" s="19" t="s">
        <v>241</v>
      </c>
      <c r="D498" s="18" t="s">
        <v>1563</v>
      </c>
      <c r="E498" s="19" t="s">
        <v>951</v>
      </c>
      <c r="F498" s="18" t="s">
        <v>244</v>
      </c>
      <c r="G498" s="18" t="s">
        <v>245</v>
      </c>
      <c r="H498" s="19" t="s">
        <v>175</v>
      </c>
      <c r="I498" s="18" t="s">
        <v>246</v>
      </c>
      <c r="J498" s="19" t="s">
        <v>247</v>
      </c>
      <c r="K498" s="19" t="s">
        <v>248</v>
      </c>
      <c r="L498" s="18" t="s">
        <v>164</v>
      </c>
      <c r="M498" s="18" t="s">
        <v>1556</v>
      </c>
      <c r="N498" s="18" t="s">
        <v>250</v>
      </c>
      <c r="O498" s="20">
        <v>119000</v>
      </c>
      <c r="P498" s="20">
        <v>80920</v>
      </c>
      <c r="Q498" s="20">
        <v>1</v>
      </c>
      <c r="R498" s="20">
        <v>0</v>
      </c>
      <c r="S498" s="20">
        <v>0</v>
      </c>
      <c r="T498" s="20">
        <v>0</v>
      </c>
      <c r="U498" s="20">
        <v>0</v>
      </c>
      <c r="V498" s="20">
        <v>0</v>
      </c>
      <c r="W498" s="20">
        <v>32</v>
      </c>
      <c r="X498" s="20">
        <v>0</v>
      </c>
      <c r="Y498" s="20">
        <v>0</v>
      </c>
      <c r="Z498" s="20">
        <v>0</v>
      </c>
      <c r="AA498" s="20">
        <v>0</v>
      </c>
      <c r="AB498" s="20">
        <v>0</v>
      </c>
      <c r="AC498" s="20">
        <v>119000</v>
      </c>
      <c r="AD498" s="20">
        <v>80920</v>
      </c>
      <c r="AE498" s="20">
        <v>0</v>
      </c>
      <c r="AF498" s="20">
        <v>0</v>
      </c>
      <c r="AG498" s="20">
        <v>119000</v>
      </c>
      <c r="AH498" s="20">
        <v>80920</v>
      </c>
      <c r="AI498" s="20">
        <v>34618</v>
      </c>
      <c r="AJ498" s="20">
        <v>3462</v>
      </c>
      <c r="AK498" s="20">
        <v>38080</v>
      </c>
    </row>
    <row r="499" spans="1:37" ht="16.5" customHeight="1" x14ac:dyDescent="0.3">
      <c r="A499" s="18" t="s">
        <v>1564</v>
      </c>
      <c r="B499" s="18" t="s">
        <v>240</v>
      </c>
      <c r="C499" s="19" t="s">
        <v>241</v>
      </c>
      <c r="D499" s="18" t="s">
        <v>1565</v>
      </c>
      <c r="E499" s="19" t="s">
        <v>253</v>
      </c>
      <c r="F499" s="18" t="s">
        <v>244</v>
      </c>
      <c r="G499" s="18" t="s">
        <v>245</v>
      </c>
      <c r="H499" s="19" t="s">
        <v>175</v>
      </c>
      <c r="I499" s="18" t="s">
        <v>246</v>
      </c>
      <c r="J499" s="19" t="s">
        <v>247</v>
      </c>
      <c r="K499" s="19" t="s">
        <v>248</v>
      </c>
      <c r="L499" s="18" t="s">
        <v>164</v>
      </c>
      <c r="M499" s="18" t="s">
        <v>1556</v>
      </c>
      <c r="N499" s="18" t="s">
        <v>250</v>
      </c>
      <c r="O499" s="20">
        <v>119000</v>
      </c>
      <c r="P499" s="20">
        <v>80920</v>
      </c>
      <c r="Q499" s="20">
        <v>1</v>
      </c>
      <c r="R499" s="20">
        <v>0</v>
      </c>
      <c r="S499" s="20">
        <v>0</v>
      </c>
      <c r="T499" s="20">
        <v>0</v>
      </c>
      <c r="U499" s="20">
        <v>0</v>
      </c>
      <c r="V499" s="20">
        <v>0</v>
      </c>
      <c r="W499" s="20">
        <v>32</v>
      </c>
      <c r="X499" s="20">
        <v>0</v>
      </c>
      <c r="Y499" s="20">
        <v>0</v>
      </c>
      <c r="Z499" s="20">
        <v>0</v>
      </c>
      <c r="AA499" s="20">
        <v>0</v>
      </c>
      <c r="AB499" s="20">
        <v>0</v>
      </c>
      <c r="AC499" s="20">
        <v>119000</v>
      </c>
      <c r="AD499" s="20">
        <v>80920</v>
      </c>
      <c r="AE499" s="20">
        <v>0</v>
      </c>
      <c r="AF499" s="20">
        <v>0</v>
      </c>
      <c r="AG499" s="20">
        <v>119000</v>
      </c>
      <c r="AH499" s="20">
        <v>80920</v>
      </c>
      <c r="AI499" s="20">
        <v>34618</v>
      </c>
      <c r="AJ499" s="20">
        <v>3462</v>
      </c>
      <c r="AK499" s="20">
        <v>38080</v>
      </c>
    </row>
    <row r="500" spans="1:37" ht="16.5" customHeight="1" x14ac:dyDescent="0.3">
      <c r="A500" s="18" t="s">
        <v>1566</v>
      </c>
      <c r="B500" s="18" t="s">
        <v>240</v>
      </c>
      <c r="C500" s="19" t="s">
        <v>241</v>
      </c>
      <c r="D500" s="18" t="s">
        <v>1567</v>
      </c>
      <c r="E500" s="19" t="s">
        <v>1318</v>
      </c>
      <c r="F500" s="18" t="s">
        <v>244</v>
      </c>
      <c r="G500" s="18" t="s">
        <v>245</v>
      </c>
      <c r="H500" s="19" t="s">
        <v>175</v>
      </c>
      <c r="I500" s="18" t="s">
        <v>246</v>
      </c>
      <c r="J500" s="19" t="s">
        <v>247</v>
      </c>
      <c r="K500" s="19" t="s">
        <v>248</v>
      </c>
      <c r="L500" s="18" t="s">
        <v>164</v>
      </c>
      <c r="M500" s="18" t="s">
        <v>1556</v>
      </c>
      <c r="N500" s="18" t="s">
        <v>250</v>
      </c>
      <c r="O500" s="20">
        <v>119000</v>
      </c>
      <c r="P500" s="20">
        <v>80920</v>
      </c>
      <c r="Q500" s="20">
        <v>1</v>
      </c>
      <c r="R500" s="20">
        <v>0</v>
      </c>
      <c r="S500" s="20">
        <v>0</v>
      </c>
      <c r="T500" s="20">
        <v>0</v>
      </c>
      <c r="U500" s="20">
        <v>0</v>
      </c>
      <c r="V500" s="20">
        <v>0</v>
      </c>
      <c r="W500" s="20">
        <v>32</v>
      </c>
      <c r="X500" s="20">
        <v>0</v>
      </c>
      <c r="Y500" s="20">
        <v>0</v>
      </c>
      <c r="Z500" s="20">
        <v>0</v>
      </c>
      <c r="AA500" s="20">
        <v>0</v>
      </c>
      <c r="AB500" s="20">
        <v>0</v>
      </c>
      <c r="AC500" s="20">
        <v>119000</v>
      </c>
      <c r="AD500" s="20">
        <v>80920</v>
      </c>
      <c r="AE500" s="20">
        <v>0</v>
      </c>
      <c r="AF500" s="20">
        <v>0</v>
      </c>
      <c r="AG500" s="20">
        <v>119000</v>
      </c>
      <c r="AH500" s="20">
        <v>80920</v>
      </c>
      <c r="AI500" s="20">
        <v>34618</v>
      </c>
      <c r="AJ500" s="20">
        <v>3462</v>
      </c>
      <c r="AK500" s="20">
        <v>38080</v>
      </c>
    </row>
    <row r="501" spans="1:37" ht="16.5" customHeight="1" x14ac:dyDescent="0.3">
      <c r="A501" s="18" t="s">
        <v>1568</v>
      </c>
      <c r="B501" s="18" t="s">
        <v>240</v>
      </c>
      <c r="C501" s="19" t="s">
        <v>241</v>
      </c>
      <c r="D501" s="18" t="s">
        <v>1569</v>
      </c>
      <c r="E501" s="19" t="s">
        <v>461</v>
      </c>
      <c r="F501" s="18" t="s">
        <v>244</v>
      </c>
      <c r="G501" s="18" t="s">
        <v>245</v>
      </c>
      <c r="H501" s="19" t="s">
        <v>175</v>
      </c>
      <c r="I501" s="18" t="s">
        <v>246</v>
      </c>
      <c r="J501" s="19" t="s">
        <v>247</v>
      </c>
      <c r="K501" s="19" t="s">
        <v>248</v>
      </c>
      <c r="L501" s="18" t="s">
        <v>164</v>
      </c>
      <c r="M501" s="18" t="s">
        <v>1556</v>
      </c>
      <c r="N501" s="18" t="s">
        <v>250</v>
      </c>
      <c r="O501" s="20">
        <v>119000</v>
      </c>
      <c r="P501" s="20">
        <v>80920</v>
      </c>
      <c r="Q501" s="20">
        <v>1</v>
      </c>
      <c r="R501" s="20">
        <v>0</v>
      </c>
      <c r="S501" s="20">
        <v>0</v>
      </c>
      <c r="T501" s="20">
        <v>0</v>
      </c>
      <c r="U501" s="20">
        <v>0</v>
      </c>
      <c r="V501" s="20">
        <v>0</v>
      </c>
      <c r="W501" s="20">
        <v>32</v>
      </c>
      <c r="X501" s="20">
        <v>0</v>
      </c>
      <c r="Y501" s="20">
        <v>0</v>
      </c>
      <c r="Z501" s="20">
        <v>0</v>
      </c>
      <c r="AA501" s="20">
        <v>0</v>
      </c>
      <c r="AB501" s="20">
        <v>0</v>
      </c>
      <c r="AC501" s="20">
        <v>119000</v>
      </c>
      <c r="AD501" s="20">
        <v>80920</v>
      </c>
      <c r="AE501" s="20">
        <v>0</v>
      </c>
      <c r="AF501" s="20">
        <v>0</v>
      </c>
      <c r="AG501" s="20">
        <v>119000</v>
      </c>
      <c r="AH501" s="20">
        <v>80920</v>
      </c>
      <c r="AI501" s="20">
        <v>34618</v>
      </c>
      <c r="AJ501" s="20">
        <v>3462</v>
      </c>
      <c r="AK501" s="20">
        <v>38080</v>
      </c>
    </row>
    <row r="502" spans="1:37" ht="16.5" customHeight="1" x14ac:dyDescent="0.3">
      <c r="A502" s="18" t="s">
        <v>1570</v>
      </c>
      <c r="B502" s="18" t="s">
        <v>240</v>
      </c>
      <c r="C502" s="19" t="s">
        <v>241</v>
      </c>
      <c r="D502" s="18" t="s">
        <v>1571</v>
      </c>
      <c r="E502" s="19" t="s">
        <v>1572</v>
      </c>
      <c r="F502" s="18" t="s">
        <v>244</v>
      </c>
      <c r="G502" s="18" t="s">
        <v>245</v>
      </c>
      <c r="H502" s="19" t="s">
        <v>175</v>
      </c>
      <c r="I502" s="18" t="s">
        <v>246</v>
      </c>
      <c r="J502" s="19" t="s">
        <v>247</v>
      </c>
      <c r="K502" s="19" t="s">
        <v>248</v>
      </c>
      <c r="L502" s="18" t="s">
        <v>164</v>
      </c>
      <c r="M502" s="18" t="s">
        <v>1556</v>
      </c>
      <c r="N502" s="18" t="s">
        <v>250</v>
      </c>
      <c r="O502" s="20">
        <v>119000</v>
      </c>
      <c r="P502" s="20">
        <v>80920</v>
      </c>
      <c r="Q502" s="20">
        <v>1</v>
      </c>
      <c r="R502" s="20">
        <v>0</v>
      </c>
      <c r="S502" s="20">
        <v>0</v>
      </c>
      <c r="T502" s="20">
        <v>0</v>
      </c>
      <c r="U502" s="20">
        <v>0</v>
      </c>
      <c r="V502" s="20">
        <v>0</v>
      </c>
      <c r="W502" s="20">
        <v>32</v>
      </c>
      <c r="X502" s="20">
        <v>0</v>
      </c>
      <c r="Y502" s="20">
        <v>0</v>
      </c>
      <c r="Z502" s="20">
        <v>0</v>
      </c>
      <c r="AA502" s="20">
        <v>0</v>
      </c>
      <c r="AB502" s="20">
        <v>0</v>
      </c>
      <c r="AC502" s="20">
        <v>119000</v>
      </c>
      <c r="AD502" s="20">
        <v>80920</v>
      </c>
      <c r="AE502" s="20">
        <v>0</v>
      </c>
      <c r="AF502" s="20">
        <v>0</v>
      </c>
      <c r="AG502" s="20">
        <v>119000</v>
      </c>
      <c r="AH502" s="20">
        <v>80920</v>
      </c>
      <c r="AI502" s="20">
        <v>34618</v>
      </c>
      <c r="AJ502" s="20">
        <v>3462</v>
      </c>
      <c r="AK502" s="20">
        <v>38080</v>
      </c>
    </row>
    <row r="503" spans="1:37" ht="16.5" customHeight="1" x14ac:dyDescent="0.3">
      <c r="A503" s="18" t="s">
        <v>1573</v>
      </c>
      <c r="B503" s="18" t="s">
        <v>240</v>
      </c>
      <c r="C503" s="19" t="s">
        <v>241</v>
      </c>
      <c r="D503" s="18" t="s">
        <v>1574</v>
      </c>
      <c r="E503" s="19" t="s">
        <v>284</v>
      </c>
      <c r="F503" s="18" t="s">
        <v>244</v>
      </c>
      <c r="G503" s="18" t="s">
        <v>245</v>
      </c>
      <c r="H503" s="19" t="s">
        <v>175</v>
      </c>
      <c r="I503" s="18" t="s">
        <v>246</v>
      </c>
      <c r="J503" s="19" t="s">
        <v>247</v>
      </c>
      <c r="K503" s="19" t="s">
        <v>248</v>
      </c>
      <c r="L503" s="18" t="s">
        <v>164</v>
      </c>
      <c r="M503" s="18" t="s">
        <v>1556</v>
      </c>
      <c r="N503" s="18" t="s">
        <v>250</v>
      </c>
      <c r="O503" s="20">
        <v>119000</v>
      </c>
      <c r="P503" s="20">
        <v>80920</v>
      </c>
      <c r="Q503" s="20">
        <v>1</v>
      </c>
      <c r="R503" s="20">
        <v>0</v>
      </c>
      <c r="S503" s="20">
        <v>0</v>
      </c>
      <c r="T503" s="20">
        <v>0</v>
      </c>
      <c r="U503" s="20">
        <v>0</v>
      </c>
      <c r="V503" s="20">
        <v>0</v>
      </c>
      <c r="W503" s="20">
        <v>32</v>
      </c>
      <c r="X503" s="20">
        <v>0</v>
      </c>
      <c r="Y503" s="20">
        <v>0</v>
      </c>
      <c r="Z503" s="20">
        <v>0</v>
      </c>
      <c r="AA503" s="20">
        <v>0</v>
      </c>
      <c r="AB503" s="20">
        <v>0</v>
      </c>
      <c r="AC503" s="20">
        <v>119000</v>
      </c>
      <c r="AD503" s="20">
        <v>80920</v>
      </c>
      <c r="AE503" s="20">
        <v>0</v>
      </c>
      <c r="AF503" s="20">
        <v>0</v>
      </c>
      <c r="AG503" s="20">
        <v>119000</v>
      </c>
      <c r="AH503" s="20">
        <v>80920</v>
      </c>
      <c r="AI503" s="20">
        <v>34618</v>
      </c>
      <c r="AJ503" s="20">
        <v>3462</v>
      </c>
      <c r="AK503" s="20">
        <v>38080</v>
      </c>
    </row>
    <row r="504" spans="1:37" ht="16.5" customHeight="1" x14ac:dyDescent="0.3">
      <c r="A504" s="18" t="s">
        <v>1575</v>
      </c>
      <c r="B504" s="18" t="s">
        <v>240</v>
      </c>
      <c r="C504" s="19" t="s">
        <v>241</v>
      </c>
      <c r="D504" s="18" t="s">
        <v>1576</v>
      </c>
      <c r="E504" s="19" t="s">
        <v>1577</v>
      </c>
      <c r="F504" s="18" t="s">
        <v>244</v>
      </c>
      <c r="G504" s="18" t="s">
        <v>245</v>
      </c>
      <c r="H504" s="19" t="s">
        <v>175</v>
      </c>
      <c r="I504" s="18" t="s">
        <v>246</v>
      </c>
      <c r="J504" s="19" t="s">
        <v>247</v>
      </c>
      <c r="K504" s="19" t="s">
        <v>248</v>
      </c>
      <c r="L504" s="18" t="s">
        <v>164</v>
      </c>
      <c r="M504" s="18" t="s">
        <v>1556</v>
      </c>
      <c r="N504" s="18" t="s">
        <v>250</v>
      </c>
      <c r="O504" s="20">
        <v>119000</v>
      </c>
      <c r="P504" s="20">
        <v>80920</v>
      </c>
      <c r="Q504" s="20">
        <v>1</v>
      </c>
      <c r="R504" s="20">
        <v>0</v>
      </c>
      <c r="S504" s="20">
        <v>0</v>
      </c>
      <c r="T504" s="20">
        <v>0</v>
      </c>
      <c r="U504" s="20">
        <v>0</v>
      </c>
      <c r="V504" s="20">
        <v>0</v>
      </c>
      <c r="W504" s="20">
        <v>32</v>
      </c>
      <c r="X504" s="20">
        <v>0</v>
      </c>
      <c r="Y504" s="20">
        <v>0</v>
      </c>
      <c r="Z504" s="20">
        <v>0</v>
      </c>
      <c r="AA504" s="20">
        <v>0</v>
      </c>
      <c r="AB504" s="20">
        <v>0</v>
      </c>
      <c r="AC504" s="20">
        <v>119000</v>
      </c>
      <c r="AD504" s="20">
        <v>80920</v>
      </c>
      <c r="AE504" s="20">
        <v>0</v>
      </c>
      <c r="AF504" s="20">
        <v>0</v>
      </c>
      <c r="AG504" s="20">
        <v>119000</v>
      </c>
      <c r="AH504" s="20">
        <v>80920</v>
      </c>
      <c r="AI504" s="20">
        <v>34618</v>
      </c>
      <c r="AJ504" s="20">
        <v>3462</v>
      </c>
      <c r="AK504" s="20">
        <v>38080</v>
      </c>
    </row>
    <row r="505" spans="1:37" ht="16.5" customHeight="1" x14ac:dyDescent="0.3">
      <c r="A505" s="18" t="s">
        <v>1578</v>
      </c>
      <c r="B505" s="18" t="s">
        <v>240</v>
      </c>
      <c r="C505" s="19" t="s">
        <v>241</v>
      </c>
      <c r="D505" s="18" t="s">
        <v>1579</v>
      </c>
      <c r="E505" s="19" t="s">
        <v>1580</v>
      </c>
      <c r="F505" s="18" t="s">
        <v>244</v>
      </c>
      <c r="G505" s="18" t="s">
        <v>245</v>
      </c>
      <c r="H505" s="19" t="s">
        <v>175</v>
      </c>
      <c r="I505" s="18" t="s">
        <v>246</v>
      </c>
      <c r="J505" s="19" t="s">
        <v>247</v>
      </c>
      <c r="K505" s="19" t="s">
        <v>248</v>
      </c>
      <c r="L505" s="18" t="s">
        <v>164</v>
      </c>
      <c r="M505" s="18" t="s">
        <v>1556</v>
      </c>
      <c r="N505" s="18" t="s">
        <v>250</v>
      </c>
      <c r="O505" s="20">
        <v>119000</v>
      </c>
      <c r="P505" s="20">
        <v>80920</v>
      </c>
      <c r="Q505" s="20">
        <v>1</v>
      </c>
      <c r="R505" s="20">
        <v>0</v>
      </c>
      <c r="S505" s="20">
        <v>0</v>
      </c>
      <c r="T505" s="20">
        <v>0</v>
      </c>
      <c r="U505" s="20">
        <v>0</v>
      </c>
      <c r="V505" s="20">
        <v>0</v>
      </c>
      <c r="W505" s="20">
        <v>32</v>
      </c>
      <c r="X505" s="20">
        <v>0</v>
      </c>
      <c r="Y505" s="20">
        <v>0</v>
      </c>
      <c r="Z505" s="20">
        <v>0</v>
      </c>
      <c r="AA505" s="20">
        <v>0</v>
      </c>
      <c r="AB505" s="20">
        <v>0</v>
      </c>
      <c r="AC505" s="20">
        <v>119000</v>
      </c>
      <c r="AD505" s="20">
        <v>80920</v>
      </c>
      <c r="AE505" s="20">
        <v>0</v>
      </c>
      <c r="AF505" s="20">
        <v>0</v>
      </c>
      <c r="AG505" s="20">
        <v>119000</v>
      </c>
      <c r="AH505" s="20">
        <v>80920</v>
      </c>
      <c r="AI505" s="20">
        <v>34618</v>
      </c>
      <c r="AJ505" s="20">
        <v>3462</v>
      </c>
      <c r="AK505" s="20">
        <v>38080</v>
      </c>
    </row>
    <row r="506" spans="1:37" ht="16.5" customHeight="1" x14ac:dyDescent="0.3">
      <c r="A506" s="18" t="s">
        <v>1581</v>
      </c>
      <c r="B506" s="18" t="s">
        <v>240</v>
      </c>
      <c r="C506" s="19" t="s">
        <v>241</v>
      </c>
      <c r="D506" s="18" t="s">
        <v>1582</v>
      </c>
      <c r="E506" s="19" t="s">
        <v>1583</v>
      </c>
      <c r="F506" s="18" t="s">
        <v>244</v>
      </c>
      <c r="G506" s="18" t="s">
        <v>245</v>
      </c>
      <c r="H506" s="19" t="s">
        <v>175</v>
      </c>
      <c r="I506" s="18" t="s">
        <v>246</v>
      </c>
      <c r="J506" s="19" t="s">
        <v>247</v>
      </c>
      <c r="K506" s="19" t="s">
        <v>248</v>
      </c>
      <c r="L506" s="18" t="s">
        <v>164</v>
      </c>
      <c r="M506" s="18" t="s">
        <v>1556</v>
      </c>
      <c r="N506" s="18" t="s">
        <v>250</v>
      </c>
      <c r="O506" s="20">
        <v>119000</v>
      </c>
      <c r="P506" s="20">
        <v>80920</v>
      </c>
      <c r="Q506" s="20">
        <v>1</v>
      </c>
      <c r="R506" s="20">
        <v>0</v>
      </c>
      <c r="S506" s="20">
        <v>0</v>
      </c>
      <c r="T506" s="20">
        <v>0</v>
      </c>
      <c r="U506" s="20">
        <v>0</v>
      </c>
      <c r="V506" s="20">
        <v>0</v>
      </c>
      <c r="W506" s="20">
        <v>32</v>
      </c>
      <c r="X506" s="20">
        <v>0</v>
      </c>
      <c r="Y506" s="20">
        <v>0</v>
      </c>
      <c r="Z506" s="20">
        <v>0</v>
      </c>
      <c r="AA506" s="20">
        <v>0</v>
      </c>
      <c r="AB506" s="20">
        <v>5950</v>
      </c>
      <c r="AC506" s="20">
        <v>119000</v>
      </c>
      <c r="AD506" s="20">
        <v>80920</v>
      </c>
      <c r="AE506" s="20">
        <v>0</v>
      </c>
      <c r="AF506" s="20">
        <v>5950</v>
      </c>
      <c r="AG506" s="20">
        <v>113050</v>
      </c>
      <c r="AH506" s="20">
        <v>80920</v>
      </c>
      <c r="AI506" s="20">
        <v>29209</v>
      </c>
      <c r="AJ506" s="20">
        <v>2921</v>
      </c>
      <c r="AK506" s="20">
        <v>32130</v>
      </c>
    </row>
    <row r="507" spans="1:37" ht="16.5" customHeight="1" x14ac:dyDescent="0.3">
      <c r="A507" s="18" t="s">
        <v>1584</v>
      </c>
      <c r="B507" s="18" t="s">
        <v>240</v>
      </c>
      <c r="C507" s="19" t="s">
        <v>241</v>
      </c>
      <c r="D507" s="18" t="s">
        <v>1585</v>
      </c>
      <c r="E507" s="19" t="s">
        <v>1586</v>
      </c>
      <c r="F507" s="18" t="s">
        <v>244</v>
      </c>
      <c r="G507" s="18" t="s">
        <v>245</v>
      </c>
      <c r="H507" s="19" t="s">
        <v>175</v>
      </c>
      <c r="I507" s="18" t="s">
        <v>246</v>
      </c>
      <c r="J507" s="19" t="s">
        <v>247</v>
      </c>
      <c r="K507" s="19" t="s">
        <v>248</v>
      </c>
      <c r="L507" s="18" t="s">
        <v>164</v>
      </c>
      <c r="M507" s="18" t="s">
        <v>1556</v>
      </c>
      <c r="N507" s="18" t="s">
        <v>250</v>
      </c>
      <c r="O507" s="20">
        <v>119000</v>
      </c>
      <c r="P507" s="20">
        <v>80920</v>
      </c>
      <c r="Q507" s="20">
        <v>1</v>
      </c>
      <c r="R507" s="20">
        <v>0</v>
      </c>
      <c r="S507" s="20">
        <v>0</v>
      </c>
      <c r="T507" s="20">
        <v>0</v>
      </c>
      <c r="U507" s="20">
        <v>0</v>
      </c>
      <c r="V507" s="20">
        <v>0</v>
      </c>
      <c r="W507" s="20">
        <v>32</v>
      </c>
      <c r="X507" s="20">
        <v>0</v>
      </c>
      <c r="Y507" s="20">
        <v>0</v>
      </c>
      <c r="Z507" s="20">
        <v>0</v>
      </c>
      <c r="AA507" s="20">
        <v>0</v>
      </c>
      <c r="AB507" s="20">
        <v>0</v>
      </c>
      <c r="AC507" s="20">
        <v>119000</v>
      </c>
      <c r="AD507" s="20">
        <v>80920</v>
      </c>
      <c r="AE507" s="20">
        <v>0</v>
      </c>
      <c r="AF507" s="20">
        <v>0</v>
      </c>
      <c r="AG507" s="20">
        <v>119000</v>
      </c>
      <c r="AH507" s="20">
        <v>80920</v>
      </c>
      <c r="AI507" s="20">
        <v>34618</v>
      </c>
      <c r="AJ507" s="20">
        <v>3462</v>
      </c>
      <c r="AK507" s="20">
        <v>38080</v>
      </c>
    </row>
    <row r="508" spans="1:37" ht="16.5" customHeight="1" x14ac:dyDescent="0.3">
      <c r="A508" s="18" t="s">
        <v>1587</v>
      </c>
      <c r="B508" s="18" t="s">
        <v>240</v>
      </c>
      <c r="C508" s="19" t="s">
        <v>241</v>
      </c>
      <c r="D508" s="18" t="s">
        <v>1588</v>
      </c>
      <c r="E508" s="19" t="s">
        <v>349</v>
      </c>
      <c r="F508" s="18" t="s">
        <v>244</v>
      </c>
      <c r="G508" s="18" t="s">
        <v>245</v>
      </c>
      <c r="H508" s="19" t="s">
        <v>175</v>
      </c>
      <c r="I508" s="18" t="s">
        <v>246</v>
      </c>
      <c r="J508" s="19" t="s">
        <v>247</v>
      </c>
      <c r="K508" s="19" t="s">
        <v>248</v>
      </c>
      <c r="L508" s="18" t="s">
        <v>164</v>
      </c>
      <c r="M508" s="18" t="s">
        <v>1556</v>
      </c>
      <c r="N508" s="18" t="s">
        <v>250</v>
      </c>
      <c r="O508" s="20">
        <v>119000</v>
      </c>
      <c r="P508" s="20">
        <v>80920</v>
      </c>
      <c r="Q508" s="20">
        <v>1</v>
      </c>
      <c r="R508" s="20">
        <v>0</v>
      </c>
      <c r="S508" s="20">
        <v>0</v>
      </c>
      <c r="T508" s="20">
        <v>0</v>
      </c>
      <c r="U508" s="20">
        <v>0</v>
      </c>
      <c r="V508" s="20">
        <v>0</v>
      </c>
      <c r="W508" s="20">
        <v>32</v>
      </c>
      <c r="X508" s="20">
        <v>0</v>
      </c>
      <c r="Y508" s="20">
        <v>0</v>
      </c>
      <c r="Z508" s="20">
        <v>0</v>
      </c>
      <c r="AA508" s="20">
        <v>0</v>
      </c>
      <c r="AB508" s="20">
        <v>0</v>
      </c>
      <c r="AC508" s="20">
        <v>119000</v>
      </c>
      <c r="AD508" s="20">
        <v>80920</v>
      </c>
      <c r="AE508" s="20">
        <v>0</v>
      </c>
      <c r="AF508" s="20">
        <v>0</v>
      </c>
      <c r="AG508" s="20">
        <v>119000</v>
      </c>
      <c r="AH508" s="20">
        <v>80920</v>
      </c>
      <c r="AI508" s="20">
        <v>34618</v>
      </c>
      <c r="AJ508" s="20">
        <v>3462</v>
      </c>
      <c r="AK508" s="20">
        <v>38080</v>
      </c>
    </row>
    <row r="509" spans="1:37" ht="16.5" customHeight="1" x14ac:dyDescent="0.3">
      <c r="A509" s="18" t="s">
        <v>1589</v>
      </c>
      <c r="B509" s="18" t="s">
        <v>240</v>
      </c>
      <c r="C509" s="19" t="s">
        <v>241</v>
      </c>
      <c r="D509" s="18" t="s">
        <v>1590</v>
      </c>
      <c r="E509" s="19" t="s">
        <v>509</v>
      </c>
      <c r="F509" s="18" t="s">
        <v>244</v>
      </c>
      <c r="G509" s="18" t="s">
        <v>245</v>
      </c>
      <c r="H509" s="19" t="s">
        <v>175</v>
      </c>
      <c r="I509" s="18" t="s">
        <v>246</v>
      </c>
      <c r="J509" s="19" t="s">
        <v>247</v>
      </c>
      <c r="K509" s="19" t="s">
        <v>248</v>
      </c>
      <c r="L509" s="18" t="s">
        <v>164</v>
      </c>
      <c r="M509" s="18" t="s">
        <v>1556</v>
      </c>
      <c r="N509" s="18" t="s">
        <v>250</v>
      </c>
      <c r="O509" s="20">
        <v>119000</v>
      </c>
      <c r="P509" s="20">
        <v>80920</v>
      </c>
      <c r="Q509" s="20">
        <v>1</v>
      </c>
      <c r="R509" s="20">
        <v>0</v>
      </c>
      <c r="S509" s="20">
        <v>0</v>
      </c>
      <c r="T509" s="20">
        <v>0</v>
      </c>
      <c r="U509" s="20">
        <v>0</v>
      </c>
      <c r="V509" s="20">
        <v>0</v>
      </c>
      <c r="W509" s="20">
        <v>32</v>
      </c>
      <c r="X509" s="20">
        <v>0</v>
      </c>
      <c r="Y509" s="20">
        <v>0</v>
      </c>
      <c r="Z509" s="20">
        <v>0</v>
      </c>
      <c r="AA509" s="20">
        <v>0</v>
      </c>
      <c r="AB509" s="20">
        <v>0</v>
      </c>
      <c r="AC509" s="20">
        <v>119000</v>
      </c>
      <c r="AD509" s="20">
        <v>80920</v>
      </c>
      <c r="AE509" s="20">
        <v>0</v>
      </c>
      <c r="AF509" s="20">
        <v>0</v>
      </c>
      <c r="AG509" s="20">
        <v>119000</v>
      </c>
      <c r="AH509" s="20">
        <v>80920</v>
      </c>
      <c r="AI509" s="20">
        <v>34618</v>
      </c>
      <c r="AJ509" s="20">
        <v>3462</v>
      </c>
      <c r="AK509" s="20">
        <v>38080</v>
      </c>
    </row>
    <row r="510" spans="1:37" ht="16.5" customHeight="1" x14ac:dyDescent="0.3">
      <c r="A510" s="18" t="s">
        <v>1591</v>
      </c>
      <c r="B510" s="18" t="s">
        <v>240</v>
      </c>
      <c r="C510" s="19" t="s">
        <v>241</v>
      </c>
      <c r="D510" s="18" t="s">
        <v>1592</v>
      </c>
      <c r="E510" s="19" t="s">
        <v>889</v>
      </c>
      <c r="F510" s="18" t="s">
        <v>244</v>
      </c>
      <c r="G510" s="18" t="s">
        <v>245</v>
      </c>
      <c r="H510" s="19" t="s">
        <v>175</v>
      </c>
      <c r="I510" s="18" t="s">
        <v>246</v>
      </c>
      <c r="J510" s="19" t="s">
        <v>247</v>
      </c>
      <c r="K510" s="19" t="s">
        <v>248</v>
      </c>
      <c r="L510" s="18" t="s">
        <v>164</v>
      </c>
      <c r="M510" s="18" t="s">
        <v>1556</v>
      </c>
      <c r="N510" s="18" t="s">
        <v>250</v>
      </c>
      <c r="O510" s="20">
        <v>119000</v>
      </c>
      <c r="P510" s="20">
        <v>80920</v>
      </c>
      <c r="Q510" s="20">
        <v>1</v>
      </c>
      <c r="R510" s="20">
        <v>0</v>
      </c>
      <c r="S510" s="20">
        <v>0</v>
      </c>
      <c r="T510" s="20">
        <v>0</v>
      </c>
      <c r="U510" s="20">
        <v>0</v>
      </c>
      <c r="V510" s="20">
        <v>0</v>
      </c>
      <c r="W510" s="20">
        <v>32</v>
      </c>
      <c r="X510" s="20">
        <v>0</v>
      </c>
      <c r="Y510" s="20">
        <v>0</v>
      </c>
      <c r="Z510" s="20">
        <v>0</v>
      </c>
      <c r="AA510" s="20">
        <v>0</v>
      </c>
      <c r="AB510" s="20">
        <v>0</v>
      </c>
      <c r="AC510" s="20">
        <v>119000</v>
      </c>
      <c r="AD510" s="20">
        <v>80920</v>
      </c>
      <c r="AE510" s="20">
        <v>0</v>
      </c>
      <c r="AF510" s="20">
        <v>0</v>
      </c>
      <c r="AG510" s="20">
        <v>119000</v>
      </c>
      <c r="AH510" s="20">
        <v>80920</v>
      </c>
      <c r="AI510" s="20">
        <v>34618</v>
      </c>
      <c r="AJ510" s="20">
        <v>3462</v>
      </c>
      <c r="AK510" s="20">
        <v>38080</v>
      </c>
    </row>
    <row r="511" spans="1:37" ht="16.5" customHeight="1" x14ac:dyDescent="0.3">
      <c r="A511" s="18" t="s">
        <v>1593</v>
      </c>
      <c r="B511" s="18" t="s">
        <v>240</v>
      </c>
      <c r="C511" s="19" t="s">
        <v>241</v>
      </c>
      <c r="D511" s="18" t="s">
        <v>1594</v>
      </c>
      <c r="E511" s="19" t="s">
        <v>1595</v>
      </c>
      <c r="F511" s="18" t="s">
        <v>244</v>
      </c>
      <c r="G511" s="18" t="s">
        <v>245</v>
      </c>
      <c r="H511" s="19" t="s">
        <v>175</v>
      </c>
      <c r="I511" s="18" t="s">
        <v>246</v>
      </c>
      <c r="J511" s="19" t="s">
        <v>247</v>
      </c>
      <c r="K511" s="19" t="s">
        <v>248</v>
      </c>
      <c r="L511" s="18" t="s">
        <v>164</v>
      </c>
      <c r="M511" s="18" t="s">
        <v>1556</v>
      </c>
      <c r="N511" s="18" t="s">
        <v>250</v>
      </c>
      <c r="O511" s="20">
        <v>119000</v>
      </c>
      <c r="P511" s="20">
        <v>80920</v>
      </c>
      <c r="Q511" s="20">
        <v>1</v>
      </c>
      <c r="R511" s="20">
        <v>0</v>
      </c>
      <c r="S511" s="20">
        <v>0</v>
      </c>
      <c r="T511" s="20">
        <v>0</v>
      </c>
      <c r="U511" s="20">
        <v>0</v>
      </c>
      <c r="V511" s="20">
        <v>0</v>
      </c>
      <c r="W511" s="20">
        <v>32</v>
      </c>
      <c r="X511" s="20">
        <v>0</v>
      </c>
      <c r="Y511" s="20">
        <v>0</v>
      </c>
      <c r="Z511" s="20">
        <v>0</v>
      </c>
      <c r="AA511" s="20">
        <v>0</v>
      </c>
      <c r="AB511" s="20">
        <v>0</v>
      </c>
      <c r="AC511" s="20">
        <v>119000</v>
      </c>
      <c r="AD511" s="20">
        <v>80920</v>
      </c>
      <c r="AE511" s="20">
        <v>0</v>
      </c>
      <c r="AF511" s="20">
        <v>0</v>
      </c>
      <c r="AG511" s="20">
        <v>119000</v>
      </c>
      <c r="AH511" s="20">
        <v>80920</v>
      </c>
      <c r="AI511" s="20">
        <v>34618</v>
      </c>
      <c r="AJ511" s="20">
        <v>3462</v>
      </c>
      <c r="AK511" s="20">
        <v>38080</v>
      </c>
    </row>
    <row r="512" spans="1:37" ht="16.5" customHeight="1" x14ac:dyDescent="0.3">
      <c r="A512" s="18" t="s">
        <v>1596</v>
      </c>
      <c r="B512" s="18" t="s">
        <v>240</v>
      </c>
      <c r="C512" s="19" t="s">
        <v>241</v>
      </c>
      <c r="D512" s="18" t="s">
        <v>1597</v>
      </c>
      <c r="E512" s="19" t="s">
        <v>1598</v>
      </c>
      <c r="F512" s="18" t="s">
        <v>244</v>
      </c>
      <c r="G512" s="18" t="s">
        <v>245</v>
      </c>
      <c r="H512" s="19" t="s">
        <v>175</v>
      </c>
      <c r="I512" s="18" t="s">
        <v>246</v>
      </c>
      <c r="J512" s="19" t="s">
        <v>247</v>
      </c>
      <c r="K512" s="19" t="s">
        <v>248</v>
      </c>
      <c r="L512" s="18" t="s">
        <v>164</v>
      </c>
      <c r="M512" s="18" t="s">
        <v>1556</v>
      </c>
      <c r="N512" s="18" t="s">
        <v>250</v>
      </c>
      <c r="O512" s="20">
        <v>119000</v>
      </c>
      <c r="P512" s="20">
        <v>80920</v>
      </c>
      <c r="Q512" s="20">
        <v>1</v>
      </c>
      <c r="R512" s="20">
        <v>0</v>
      </c>
      <c r="S512" s="20">
        <v>0</v>
      </c>
      <c r="T512" s="20">
        <v>0</v>
      </c>
      <c r="U512" s="20">
        <v>0</v>
      </c>
      <c r="V512" s="20">
        <v>0</v>
      </c>
      <c r="W512" s="20">
        <v>32</v>
      </c>
      <c r="X512" s="20">
        <v>0</v>
      </c>
      <c r="Y512" s="20">
        <v>0</v>
      </c>
      <c r="Z512" s="20">
        <v>0</v>
      </c>
      <c r="AA512" s="20">
        <v>0</v>
      </c>
      <c r="AB512" s="20">
        <v>0</v>
      </c>
      <c r="AC512" s="20">
        <v>119000</v>
      </c>
      <c r="AD512" s="20">
        <v>80920</v>
      </c>
      <c r="AE512" s="20">
        <v>0</v>
      </c>
      <c r="AF512" s="20">
        <v>0</v>
      </c>
      <c r="AG512" s="20">
        <v>119000</v>
      </c>
      <c r="AH512" s="20">
        <v>80920</v>
      </c>
      <c r="AI512" s="20">
        <v>34618</v>
      </c>
      <c r="AJ512" s="20">
        <v>3462</v>
      </c>
      <c r="AK512" s="20">
        <v>38080</v>
      </c>
    </row>
    <row r="513" spans="1:37" ht="16.5" customHeight="1" x14ac:dyDescent="0.3">
      <c r="A513" s="18" t="s">
        <v>1599</v>
      </c>
      <c r="B513" s="18" t="s">
        <v>240</v>
      </c>
      <c r="C513" s="19" t="s">
        <v>241</v>
      </c>
      <c r="D513" s="18" t="s">
        <v>1600</v>
      </c>
      <c r="E513" s="19" t="s">
        <v>1601</v>
      </c>
      <c r="F513" s="18" t="s">
        <v>244</v>
      </c>
      <c r="G513" s="18" t="s">
        <v>245</v>
      </c>
      <c r="H513" s="19" t="s">
        <v>175</v>
      </c>
      <c r="I513" s="18" t="s">
        <v>246</v>
      </c>
      <c r="J513" s="19" t="s">
        <v>247</v>
      </c>
      <c r="K513" s="19" t="s">
        <v>248</v>
      </c>
      <c r="L513" s="18" t="s">
        <v>164</v>
      </c>
      <c r="M513" s="18" t="s">
        <v>1556</v>
      </c>
      <c r="N513" s="18" t="s">
        <v>250</v>
      </c>
      <c r="O513" s="20">
        <v>119000</v>
      </c>
      <c r="P513" s="20">
        <v>80920</v>
      </c>
      <c r="Q513" s="20">
        <v>1</v>
      </c>
      <c r="R513" s="20">
        <v>0</v>
      </c>
      <c r="S513" s="20">
        <v>0</v>
      </c>
      <c r="T513" s="20">
        <v>0</v>
      </c>
      <c r="U513" s="20">
        <v>0</v>
      </c>
      <c r="V513" s="20">
        <v>0</v>
      </c>
      <c r="W513" s="20">
        <v>32</v>
      </c>
      <c r="X513" s="20">
        <v>0</v>
      </c>
      <c r="Y513" s="20">
        <v>0</v>
      </c>
      <c r="Z513" s="20">
        <v>0</v>
      </c>
      <c r="AA513" s="20">
        <v>0</v>
      </c>
      <c r="AB513" s="20">
        <v>0</v>
      </c>
      <c r="AC513" s="20">
        <v>119000</v>
      </c>
      <c r="AD513" s="20">
        <v>80920</v>
      </c>
      <c r="AE513" s="20">
        <v>0</v>
      </c>
      <c r="AF513" s="20">
        <v>0</v>
      </c>
      <c r="AG513" s="20">
        <v>119000</v>
      </c>
      <c r="AH513" s="20">
        <v>80920</v>
      </c>
      <c r="AI513" s="20">
        <v>34618</v>
      </c>
      <c r="AJ513" s="20">
        <v>3462</v>
      </c>
      <c r="AK513" s="20">
        <v>38080</v>
      </c>
    </row>
    <row r="514" spans="1:37" ht="16.5" customHeight="1" x14ac:dyDescent="0.3">
      <c r="A514" s="18" t="s">
        <v>1602</v>
      </c>
      <c r="B514" s="18" t="s">
        <v>240</v>
      </c>
      <c r="C514" s="19" t="s">
        <v>241</v>
      </c>
      <c r="D514" s="18" t="s">
        <v>1603</v>
      </c>
      <c r="E514" s="19" t="s">
        <v>349</v>
      </c>
      <c r="F514" s="18" t="s">
        <v>244</v>
      </c>
      <c r="G514" s="18" t="s">
        <v>245</v>
      </c>
      <c r="H514" s="19" t="s">
        <v>175</v>
      </c>
      <c r="I514" s="18" t="s">
        <v>246</v>
      </c>
      <c r="J514" s="19" t="s">
        <v>247</v>
      </c>
      <c r="K514" s="19" t="s">
        <v>248</v>
      </c>
      <c r="L514" s="18" t="s">
        <v>164</v>
      </c>
      <c r="M514" s="18" t="s">
        <v>1556</v>
      </c>
      <c r="N514" s="18" t="s">
        <v>250</v>
      </c>
      <c r="O514" s="20">
        <v>119000</v>
      </c>
      <c r="P514" s="20">
        <v>80920</v>
      </c>
      <c r="Q514" s="20">
        <v>1</v>
      </c>
      <c r="R514" s="20">
        <v>0</v>
      </c>
      <c r="S514" s="20">
        <v>0</v>
      </c>
      <c r="T514" s="20">
        <v>0</v>
      </c>
      <c r="U514" s="20">
        <v>0</v>
      </c>
      <c r="V514" s="20">
        <v>0</v>
      </c>
      <c r="W514" s="20">
        <v>32</v>
      </c>
      <c r="X514" s="20">
        <v>0</v>
      </c>
      <c r="Y514" s="20">
        <v>0</v>
      </c>
      <c r="Z514" s="20">
        <v>0</v>
      </c>
      <c r="AA514" s="20">
        <v>0</v>
      </c>
      <c r="AB514" s="20">
        <v>0</v>
      </c>
      <c r="AC514" s="20">
        <v>119000</v>
      </c>
      <c r="AD514" s="20">
        <v>80920</v>
      </c>
      <c r="AE514" s="20">
        <v>0</v>
      </c>
      <c r="AF514" s="20">
        <v>0</v>
      </c>
      <c r="AG514" s="20">
        <v>119000</v>
      </c>
      <c r="AH514" s="20">
        <v>80920</v>
      </c>
      <c r="AI514" s="20">
        <v>34618</v>
      </c>
      <c r="AJ514" s="20">
        <v>3462</v>
      </c>
      <c r="AK514" s="20">
        <v>38080</v>
      </c>
    </row>
    <row r="515" spans="1:37" ht="16.5" customHeight="1" x14ac:dyDescent="0.3">
      <c r="A515" s="18" t="s">
        <v>1604</v>
      </c>
      <c r="B515" s="18" t="s">
        <v>240</v>
      </c>
      <c r="C515" s="19" t="s">
        <v>241</v>
      </c>
      <c r="D515" s="18" t="s">
        <v>1605</v>
      </c>
      <c r="E515" s="19" t="s">
        <v>559</v>
      </c>
      <c r="F515" s="18" t="s">
        <v>244</v>
      </c>
      <c r="G515" s="18" t="s">
        <v>245</v>
      </c>
      <c r="H515" s="19" t="s">
        <v>175</v>
      </c>
      <c r="I515" s="18" t="s">
        <v>246</v>
      </c>
      <c r="J515" s="19" t="s">
        <v>247</v>
      </c>
      <c r="K515" s="19" t="s">
        <v>248</v>
      </c>
      <c r="L515" s="18" t="s">
        <v>164</v>
      </c>
      <c r="M515" s="18" t="s">
        <v>1556</v>
      </c>
      <c r="N515" s="18" t="s">
        <v>250</v>
      </c>
      <c r="O515" s="20">
        <v>119000</v>
      </c>
      <c r="P515" s="20">
        <v>80920</v>
      </c>
      <c r="Q515" s="20">
        <v>1</v>
      </c>
      <c r="R515" s="20">
        <v>0</v>
      </c>
      <c r="S515" s="20">
        <v>0</v>
      </c>
      <c r="T515" s="20">
        <v>0</v>
      </c>
      <c r="U515" s="20">
        <v>0</v>
      </c>
      <c r="V515" s="20">
        <v>0</v>
      </c>
      <c r="W515" s="20">
        <v>32</v>
      </c>
      <c r="X515" s="20">
        <v>0</v>
      </c>
      <c r="Y515" s="20">
        <v>0</v>
      </c>
      <c r="Z515" s="20">
        <v>0</v>
      </c>
      <c r="AA515" s="20">
        <v>0</v>
      </c>
      <c r="AB515" s="20">
        <v>0</v>
      </c>
      <c r="AC515" s="20">
        <v>119000</v>
      </c>
      <c r="AD515" s="20">
        <v>80920</v>
      </c>
      <c r="AE515" s="20">
        <v>0</v>
      </c>
      <c r="AF515" s="20">
        <v>0</v>
      </c>
      <c r="AG515" s="20">
        <v>119000</v>
      </c>
      <c r="AH515" s="20">
        <v>80920</v>
      </c>
      <c r="AI515" s="20">
        <v>34618</v>
      </c>
      <c r="AJ515" s="20">
        <v>3462</v>
      </c>
      <c r="AK515" s="20">
        <v>38080</v>
      </c>
    </row>
    <row r="516" spans="1:37" ht="16.5" customHeight="1" x14ac:dyDescent="0.3">
      <c r="A516" s="18" t="s">
        <v>1606</v>
      </c>
      <c r="B516" s="18" t="s">
        <v>240</v>
      </c>
      <c r="C516" s="19" t="s">
        <v>241</v>
      </c>
      <c r="D516" s="18" t="s">
        <v>1607</v>
      </c>
      <c r="E516" s="19" t="s">
        <v>1608</v>
      </c>
      <c r="F516" s="18" t="s">
        <v>244</v>
      </c>
      <c r="G516" s="18" t="s">
        <v>245</v>
      </c>
      <c r="H516" s="19" t="s">
        <v>175</v>
      </c>
      <c r="I516" s="18" t="s">
        <v>246</v>
      </c>
      <c r="J516" s="19" t="s">
        <v>247</v>
      </c>
      <c r="K516" s="19" t="s">
        <v>248</v>
      </c>
      <c r="L516" s="18" t="s">
        <v>164</v>
      </c>
      <c r="M516" s="18" t="s">
        <v>1556</v>
      </c>
      <c r="N516" s="18" t="s">
        <v>250</v>
      </c>
      <c r="O516" s="20">
        <v>119000</v>
      </c>
      <c r="P516" s="20">
        <v>80920</v>
      </c>
      <c r="Q516" s="20">
        <v>1</v>
      </c>
      <c r="R516" s="20">
        <v>0</v>
      </c>
      <c r="S516" s="20">
        <v>0</v>
      </c>
      <c r="T516" s="20">
        <v>0</v>
      </c>
      <c r="U516" s="20">
        <v>0</v>
      </c>
      <c r="V516" s="20">
        <v>0</v>
      </c>
      <c r="W516" s="20">
        <v>32</v>
      </c>
      <c r="X516" s="20">
        <v>0</v>
      </c>
      <c r="Y516" s="20">
        <v>0</v>
      </c>
      <c r="Z516" s="20">
        <v>0</v>
      </c>
      <c r="AA516" s="20">
        <v>0</v>
      </c>
      <c r="AB516" s="20">
        <v>0</v>
      </c>
      <c r="AC516" s="20">
        <v>119000</v>
      </c>
      <c r="AD516" s="20">
        <v>80920</v>
      </c>
      <c r="AE516" s="20">
        <v>0</v>
      </c>
      <c r="AF516" s="20">
        <v>0</v>
      </c>
      <c r="AG516" s="20">
        <v>119000</v>
      </c>
      <c r="AH516" s="20">
        <v>80920</v>
      </c>
      <c r="AI516" s="20">
        <v>34618</v>
      </c>
      <c r="AJ516" s="20">
        <v>3462</v>
      </c>
      <c r="AK516" s="20">
        <v>38080</v>
      </c>
    </row>
    <row r="517" spans="1:37" ht="16.5" customHeight="1" x14ac:dyDescent="0.3">
      <c r="A517" s="18" t="s">
        <v>1609</v>
      </c>
      <c r="B517" s="18" t="s">
        <v>240</v>
      </c>
      <c r="C517" s="19" t="s">
        <v>241</v>
      </c>
      <c r="D517" s="18" t="s">
        <v>1610</v>
      </c>
      <c r="E517" s="19" t="s">
        <v>907</v>
      </c>
      <c r="F517" s="18" t="s">
        <v>244</v>
      </c>
      <c r="G517" s="18" t="s">
        <v>245</v>
      </c>
      <c r="H517" s="19" t="s">
        <v>175</v>
      </c>
      <c r="I517" s="18" t="s">
        <v>246</v>
      </c>
      <c r="J517" s="19" t="s">
        <v>247</v>
      </c>
      <c r="K517" s="19" t="s">
        <v>248</v>
      </c>
      <c r="L517" s="18" t="s">
        <v>164</v>
      </c>
      <c r="M517" s="18" t="s">
        <v>1556</v>
      </c>
      <c r="N517" s="18" t="s">
        <v>250</v>
      </c>
      <c r="O517" s="20">
        <v>119000</v>
      </c>
      <c r="P517" s="20">
        <v>80920</v>
      </c>
      <c r="Q517" s="20">
        <v>1</v>
      </c>
      <c r="R517" s="20">
        <v>0</v>
      </c>
      <c r="S517" s="20">
        <v>0</v>
      </c>
      <c r="T517" s="20">
        <v>0</v>
      </c>
      <c r="U517" s="20">
        <v>0</v>
      </c>
      <c r="V517" s="20">
        <v>0</v>
      </c>
      <c r="W517" s="20">
        <v>32</v>
      </c>
      <c r="X517" s="20">
        <v>0</v>
      </c>
      <c r="Y517" s="20">
        <v>0</v>
      </c>
      <c r="Z517" s="20">
        <v>0</v>
      </c>
      <c r="AA517" s="20">
        <v>0</v>
      </c>
      <c r="AB517" s="20">
        <v>0</v>
      </c>
      <c r="AC517" s="20">
        <v>119000</v>
      </c>
      <c r="AD517" s="20">
        <v>80920</v>
      </c>
      <c r="AE517" s="20">
        <v>0</v>
      </c>
      <c r="AF517" s="20">
        <v>0</v>
      </c>
      <c r="AG517" s="20">
        <v>119000</v>
      </c>
      <c r="AH517" s="20">
        <v>80920</v>
      </c>
      <c r="AI517" s="20">
        <v>34618</v>
      </c>
      <c r="AJ517" s="20">
        <v>3462</v>
      </c>
      <c r="AK517" s="20">
        <v>38080</v>
      </c>
    </row>
    <row r="518" spans="1:37" ht="16.5" customHeight="1" x14ac:dyDescent="0.3">
      <c r="A518" s="18" t="s">
        <v>1611</v>
      </c>
      <c r="B518" s="18" t="s">
        <v>240</v>
      </c>
      <c r="C518" s="19" t="s">
        <v>241</v>
      </c>
      <c r="D518" s="18" t="s">
        <v>1612</v>
      </c>
      <c r="E518" s="19" t="s">
        <v>657</v>
      </c>
      <c r="F518" s="18" t="s">
        <v>244</v>
      </c>
      <c r="G518" s="18" t="s">
        <v>245</v>
      </c>
      <c r="H518" s="19" t="s">
        <v>175</v>
      </c>
      <c r="I518" s="18" t="s">
        <v>246</v>
      </c>
      <c r="J518" s="19" t="s">
        <v>247</v>
      </c>
      <c r="K518" s="19" t="s">
        <v>248</v>
      </c>
      <c r="L518" s="18" t="s">
        <v>164</v>
      </c>
      <c r="M518" s="18" t="s">
        <v>1556</v>
      </c>
      <c r="N518" s="18" t="s">
        <v>250</v>
      </c>
      <c r="O518" s="20">
        <v>119000</v>
      </c>
      <c r="P518" s="20">
        <v>80920</v>
      </c>
      <c r="Q518" s="20">
        <v>1</v>
      </c>
      <c r="R518" s="20">
        <v>0</v>
      </c>
      <c r="S518" s="20">
        <v>0</v>
      </c>
      <c r="T518" s="20">
        <v>0</v>
      </c>
      <c r="U518" s="20">
        <v>0</v>
      </c>
      <c r="V518" s="20">
        <v>0</v>
      </c>
      <c r="W518" s="20">
        <v>32</v>
      </c>
      <c r="X518" s="20">
        <v>0</v>
      </c>
      <c r="Y518" s="20">
        <v>0</v>
      </c>
      <c r="Z518" s="20">
        <v>0</v>
      </c>
      <c r="AA518" s="20">
        <v>0</v>
      </c>
      <c r="AB518" s="20">
        <v>0</v>
      </c>
      <c r="AC518" s="20">
        <v>119000</v>
      </c>
      <c r="AD518" s="20">
        <v>80920</v>
      </c>
      <c r="AE518" s="20">
        <v>0</v>
      </c>
      <c r="AF518" s="20">
        <v>0</v>
      </c>
      <c r="AG518" s="20">
        <v>119000</v>
      </c>
      <c r="AH518" s="20">
        <v>80920</v>
      </c>
      <c r="AI518" s="20">
        <v>34618</v>
      </c>
      <c r="AJ518" s="20">
        <v>3462</v>
      </c>
      <c r="AK518" s="20">
        <v>38080</v>
      </c>
    </row>
    <row r="519" spans="1:37" ht="16.5" customHeight="1" x14ac:dyDescent="0.3">
      <c r="A519" s="18" t="s">
        <v>1613</v>
      </c>
      <c r="B519" s="18" t="s">
        <v>240</v>
      </c>
      <c r="C519" s="19" t="s">
        <v>241</v>
      </c>
      <c r="D519" s="18" t="s">
        <v>1614</v>
      </c>
      <c r="E519" s="19" t="s">
        <v>1040</v>
      </c>
      <c r="F519" s="18" t="s">
        <v>244</v>
      </c>
      <c r="G519" s="18" t="s">
        <v>245</v>
      </c>
      <c r="H519" s="19" t="s">
        <v>175</v>
      </c>
      <c r="I519" s="18" t="s">
        <v>246</v>
      </c>
      <c r="J519" s="19" t="s">
        <v>247</v>
      </c>
      <c r="K519" s="19" t="s">
        <v>248</v>
      </c>
      <c r="L519" s="18" t="s">
        <v>164</v>
      </c>
      <c r="M519" s="18" t="s">
        <v>1556</v>
      </c>
      <c r="N519" s="18" t="s">
        <v>250</v>
      </c>
      <c r="O519" s="20">
        <v>119000</v>
      </c>
      <c r="P519" s="20">
        <v>80920</v>
      </c>
      <c r="Q519" s="20">
        <v>1</v>
      </c>
      <c r="R519" s="20">
        <v>0</v>
      </c>
      <c r="S519" s="20">
        <v>0</v>
      </c>
      <c r="T519" s="20">
        <v>0</v>
      </c>
      <c r="U519" s="20">
        <v>0</v>
      </c>
      <c r="V519" s="20">
        <v>0</v>
      </c>
      <c r="W519" s="20">
        <v>32</v>
      </c>
      <c r="X519" s="20">
        <v>0</v>
      </c>
      <c r="Y519" s="20">
        <v>0</v>
      </c>
      <c r="Z519" s="20">
        <v>0</v>
      </c>
      <c r="AA519" s="20">
        <v>0</v>
      </c>
      <c r="AB519" s="20">
        <v>0</v>
      </c>
      <c r="AC519" s="20">
        <v>119000</v>
      </c>
      <c r="AD519" s="20">
        <v>80920</v>
      </c>
      <c r="AE519" s="20">
        <v>0</v>
      </c>
      <c r="AF519" s="20">
        <v>0</v>
      </c>
      <c r="AG519" s="20">
        <v>119000</v>
      </c>
      <c r="AH519" s="20">
        <v>80920</v>
      </c>
      <c r="AI519" s="20">
        <v>34618</v>
      </c>
      <c r="AJ519" s="20">
        <v>3462</v>
      </c>
      <c r="AK519" s="20">
        <v>38080</v>
      </c>
    </row>
    <row r="520" spans="1:37" ht="16.5" customHeight="1" x14ac:dyDescent="0.3">
      <c r="A520" s="18" t="s">
        <v>1615</v>
      </c>
      <c r="B520" s="18" t="s">
        <v>240</v>
      </c>
      <c r="C520" s="19" t="s">
        <v>241</v>
      </c>
      <c r="D520" s="18" t="s">
        <v>1616</v>
      </c>
      <c r="E520" s="19" t="s">
        <v>406</v>
      </c>
      <c r="F520" s="18" t="s">
        <v>244</v>
      </c>
      <c r="G520" s="18" t="s">
        <v>245</v>
      </c>
      <c r="H520" s="19" t="s">
        <v>175</v>
      </c>
      <c r="I520" s="18" t="s">
        <v>246</v>
      </c>
      <c r="J520" s="19" t="s">
        <v>247</v>
      </c>
      <c r="K520" s="19" t="s">
        <v>248</v>
      </c>
      <c r="L520" s="18" t="s">
        <v>164</v>
      </c>
      <c r="M520" s="18" t="s">
        <v>1556</v>
      </c>
      <c r="N520" s="18" t="s">
        <v>250</v>
      </c>
      <c r="O520" s="20">
        <v>119000</v>
      </c>
      <c r="P520" s="20">
        <v>80920</v>
      </c>
      <c r="Q520" s="20">
        <v>1</v>
      </c>
      <c r="R520" s="20">
        <v>0</v>
      </c>
      <c r="S520" s="20">
        <v>0</v>
      </c>
      <c r="T520" s="20">
        <v>0</v>
      </c>
      <c r="U520" s="20">
        <v>0</v>
      </c>
      <c r="V520" s="20">
        <v>0</v>
      </c>
      <c r="W520" s="20">
        <v>32</v>
      </c>
      <c r="X520" s="20">
        <v>0</v>
      </c>
      <c r="Y520" s="20">
        <v>0</v>
      </c>
      <c r="Z520" s="20">
        <v>0</v>
      </c>
      <c r="AA520" s="20">
        <v>0</v>
      </c>
      <c r="AB520" s="20">
        <v>0</v>
      </c>
      <c r="AC520" s="20">
        <v>119000</v>
      </c>
      <c r="AD520" s="20">
        <v>80920</v>
      </c>
      <c r="AE520" s="20">
        <v>0</v>
      </c>
      <c r="AF520" s="20">
        <v>0</v>
      </c>
      <c r="AG520" s="20">
        <v>119000</v>
      </c>
      <c r="AH520" s="20">
        <v>80920</v>
      </c>
      <c r="AI520" s="20">
        <v>34618</v>
      </c>
      <c r="AJ520" s="20">
        <v>3462</v>
      </c>
      <c r="AK520" s="20">
        <v>38080</v>
      </c>
    </row>
    <row r="521" spans="1:37" ht="16.5" customHeight="1" x14ac:dyDescent="0.3">
      <c r="A521" s="18" t="s">
        <v>1617</v>
      </c>
      <c r="B521" s="18" t="s">
        <v>240</v>
      </c>
      <c r="C521" s="19" t="s">
        <v>241</v>
      </c>
      <c r="D521" s="18" t="s">
        <v>1618</v>
      </c>
      <c r="E521" s="19" t="s">
        <v>1335</v>
      </c>
      <c r="F521" s="18" t="s">
        <v>244</v>
      </c>
      <c r="G521" s="18" t="s">
        <v>245</v>
      </c>
      <c r="H521" s="19" t="s">
        <v>175</v>
      </c>
      <c r="I521" s="18" t="s">
        <v>246</v>
      </c>
      <c r="J521" s="19" t="s">
        <v>247</v>
      </c>
      <c r="K521" s="19" t="s">
        <v>248</v>
      </c>
      <c r="L521" s="18" t="s">
        <v>164</v>
      </c>
      <c r="M521" s="18" t="s">
        <v>1556</v>
      </c>
      <c r="N521" s="18" t="s">
        <v>250</v>
      </c>
      <c r="O521" s="20">
        <v>119000</v>
      </c>
      <c r="P521" s="20">
        <v>80920</v>
      </c>
      <c r="Q521" s="20">
        <v>1</v>
      </c>
      <c r="R521" s="20">
        <v>0</v>
      </c>
      <c r="S521" s="20">
        <v>0</v>
      </c>
      <c r="T521" s="20">
        <v>0</v>
      </c>
      <c r="U521" s="20">
        <v>0</v>
      </c>
      <c r="V521" s="20">
        <v>0</v>
      </c>
      <c r="W521" s="20">
        <v>32</v>
      </c>
      <c r="X521" s="20">
        <v>0</v>
      </c>
      <c r="Y521" s="20">
        <v>0</v>
      </c>
      <c r="Z521" s="20">
        <v>0</v>
      </c>
      <c r="AA521" s="20">
        <v>0</v>
      </c>
      <c r="AB521" s="20">
        <v>0</v>
      </c>
      <c r="AC521" s="20">
        <v>119000</v>
      </c>
      <c r="AD521" s="20">
        <v>80920</v>
      </c>
      <c r="AE521" s="20">
        <v>0</v>
      </c>
      <c r="AF521" s="20">
        <v>0</v>
      </c>
      <c r="AG521" s="20">
        <v>119000</v>
      </c>
      <c r="AH521" s="20">
        <v>80920</v>
      </c>
      <c r="AI521" s="20">
        <v>34618</v>
      </c>
      <c r="AJ521" s="20">
        <v>3462</v>
      </c>
      <c r="AK521" s="20">
        <v>38080</v>
      </c>
    </row>
    <row r="522" spans="1:37" ht="16.5" customHeight="1" x14ac:dyDescent="0.3">
      <c r="A522" s="18" t="s">
        <v>1619</v>
      </c>
      <c r="B522" s="18" t="s">
        <v>240</v>
      </c>
      <c r="C522" s="19" t="s">
        <v>241</v>
      </c>
      <c r="D522" s="18" t="s">
        <v>1620</v>
      </c>
      <c r="E522" s="19" t="s">
        <v>559</v>
      </c>
      <c r="F522" s="18" t="s">
        <v>244</v>
      </c>
      <c r="G522" s="18" t="s">
        <v>245</v>
      </c>
      <c r="H522" s="19" t="s">
        <v>175</v>
      </c>
      <c r="I522" s="18" t="s">
        <v>246</v>
      </c>
      <c r="J522" s="19" t="s">
        <v>247</v>
      </c>
      <c r="K522" s="19" t="s">
        <v>248</v>
      </c>
      <c r="L522" s="18" t="s">
        <v>164</v>
      </c>
      <c r="M522" s="18" t="s">
        <v>1556</v>
      </c>
      <c r="N522" s="18" t="s">
        <v>250</v>
      </c>
      <c r="O522" s="20">
        <v>119000</v>
      </c>
      <c r="P522" s="20">
        <v>80920</v>
      </c>
      <c r="Q522" s="20">
        <v>1</v>
      </c>
      <c r="R522" s="20">
        <v>0</v>
      </c>
      <c r="S522" s="20">
        <v>0</v>
      </c>
      <c r="T522" s="20">
        <v>0</v>
      </c>
      <c r="U522" s="20">
        <v>0</v>
      </c>
      <c r="V522" s="20">
        <v>0</v>
      </c>
      <c r="W522" s="20">
        <v>32</v>
      </c>
      <c r="X522" s="20">
        <v>0</v>
      </c>
      <c r="Y522" s="20">
        <v>0</v>
      </c>
      <c r="Z522" s="20">
        <v>0</v>
      </c>
      <c r="AA522" s="20">
        <v>0</v>
      </c>
      <c r="AB522" s="20">
        <v>0</v>
      </c>
      <c r="AC522" s="20">
        <v>119000</v>
      </c>
      <c r="AD522" s="20">
        <v>80920</v>
      </c>
      <c r="AE522" s="20">
        <v>0</v>
      </c>
      <c r="AF522" s="20">
        <v>0</v>
      </c>
      <c r="AG522" s="20">
        <v>119000</v>
      </c>
      <c r="AH522" s="20">
        <v>80920</v>
      </c>
      <c r="AI522" s="20">
        <v>34618</v>
      </c>
      <c r="AJ522" s="20">
        <v>3462</v>
      </c>
      <c r="AK522" s="20">
        <v>38080</v>
      </c>
    </row>
    <row r="523" spans="1:37" ht="16.5" customHeight="1" x14ac:dyDescent="0.3">
      <c r="A523" s="18" t="s">
        <v>1621</v>
      </c>
      <c r="B523" s="18" t="s">
        <v>240</v>
      </c>
      <c r="C523" s="19" t="s">
        <v>241</v>
      </c>
      <c r="D523" s="18" t="s">
        <v>1622</v>
      </c>
      <c r="E523" s="19" t="s">
        <v>716</v>
      </c>
      <c r="F523" s="18" t="s">
        <v>244</v>
      </c>
      <c r="G523" s="18" t="s">
        <v>245</v>
      </c>
      <c r="H523" s="19" t="s">
        <v>175</v>
      </c>
      <c r="I523" s="18" t="s">
        <v>246</v>
      </c>
      <c r="J523" s="19" t="s">
        <v>247</v>
      </c>
      <c r="K523" s="19" t="s">
        <v>248</v>
      </c>
      <c r="L523" s="18" t="s">
        <v>164</v>
      </c>
      <c r="M523" s="18" t="s">
        <v>1556</v>
      </c>
      <c r="N523" s="18" t="s">
        <v>250</v>
      </c>
      <c r="O523" s="20">
        <v>119000</v>
      </c>
      <c r="P523" s="20">
        <v>80920</v>
      </c>
      <c r="Q523" s="20">
        <v>1</v>
      </c>
      <c r="R523" s="20">
        <v>0</v>
      </c>
      <c r="S523" s="20">
        <v>0</v>
      </c>
      <c r="T523" s="20">
        <v>0</v>
      </c>
      <c r="U523" s="20">
        <v>0</v>
      </c>
      <c r="V523" s="20">
        <v>0</v>
      </c>
      <c r="W523" s="20">
        <v>32</v>
      </c>
      <c r="X523" s="20">
        <v>0</v>
      </c>
      <c r="Y523" s="20">
        <v>0</v>
      </c>
      <c r="Z523" s="20">
        <v>0</v>
      </c>
      <c r="AA523" s="20">
        <v>0</v>
      </c>
      <c r="AB523" s="20">
        <v>0</v>
      </c>
      <c r="AC523" s="20">
        <v>119000</v>
      </c>
      <c r="AD523" s="20">
        <v>80920</v>
      </c>
      <c r="AE523" s="20">
        <v>0</v>
      </c>
      <c r="AF523" s="20">
        <v>0</v>
      </c>
      <c r="AG523" s="20">
        <v>119000</v>
      </c>
      <c r="AH523" s="20">
        <v>80920</v>
      </c>
      <c r="AI523" s="20">
        <v>34618</v>
      </c>
      <c r="AJ523" s="20">
        <v>3462</v>
      </c>
      <c r="AK523" s="20">
        <v>38080</v>
      </c>
    </row>
    <row r="524" spans="1:37" ht="16.5" customHeight="1" x14ac:dyDescent="0.3">
      <c r="A524" s="18" t="s">
        <v>1623</v>
      </c>
      <c r="B524" s="18" t="s">
        <v>240</v>
      </c>
      <c r="C524" s="19" t="s">
        <v>241</v>
      </c>
      <c r="D524" s="18" t="s">
        <v>1624</v>
      </c>
      <c r="E524" s="19" t="s">
        <v>1625</v>
      </c>
      <c r="F524" s="18" t="s">
        <v>244</v>
      </c>
      <c r="G524" s="18" t="s">
        <v>245</v>
      </c>
      <c r="H524" s="19" t="s">
        <v>175</v>
      </c>
      <c r="I524" s="18" t="s">
        <v>246</v>
      </c>
      <c r="J524" s="19" t="s">
        <v>247</v>
      </c>
      <c r="K524" s="19" t="s">
        <v>248</v>
      </c>
      <c r="L524" s="18" t="s">
        <v>164</v>
      </c>
      <c r="M524" s="18" t="s">
        <v>1556</v>
      </c>
      <c r="N524" s="18" t="s">
        <v>250</v>
      </c>
      <c r="O524" s="20">
        <v>119000</v>
      </c>
      <c r="P524" s="20">
        <v>80920</v>
      </c>
      <c r="Q524" s="20">
        <v>1</v>
      </c>
      <c r="R524" s="20">
        <v>0</v>
      </c>
      <c r="S524" s="20">
        <v>0</v>
      </c>
      <c r="T524" s="20">
        <v>0</v>
      </c>
      <c r="U524" s="20">
        <v>0</v>
      </c>
      <c r="V524" s="20">
        <v>0</v>
      </c>
      <c r="W524" s="20">
        <v>32</v>
      </c>
      <c r="X524" s="20">
        <v>0</v>
      </c>
      <c r="Y524" s="20">
        <v>0</v>
      </c>
      <c r="Z524" s="20">
        <v>0</v>
      </c>
      <c r="AA524" s="20">
        <v>0</v>
      </c>
      <c r="AB524" s="20">
        <v>0</v>
      </c>
      <c r="AC524" s="20">
        <v>119000</v>
      </c>
      <c r="AD524" s="20">
        <v>80920</v>
      </c>
      <c r="AE524" s="20">
        <v>0</v>
      </c>
      <c r="AF524" s="20">
        <v>0</v>
      </c>
      <c r="AG524" s="20">
        <v>119000</v>
      </c>
      <c r="AH524" s="20">
        <v>80920</v>
      </c>
      <c r="AI524" s="20">
        <v>34618</v>
      </c>
      <c r="AJ524" s="20">
        <v>3462</v>
      </c>
      <c r="AK524" s="20">
        <v>38080</v>
      </c>
    </row>
    <row r="525" spans="1:37" ht="16.5" customHeight="1" x14ac:dyDescent="0.3">
      <c r="A525" s="18" t="s">
        <v>1626</v>
      </c>
      <c r="B525" s="18" t="s">
        <v>240</v>
      </c>
      <c r="C525" s="19" t="s">
        <v>241</v>
      </c>
      <c r="D525" s="18" t="s">
        <v>1627</v>
      </c>
      <c r="E525" s="19" t="s">
        <v>1628</v>
      </c>
      <c r="F525" s="18" t="s">
        <v>244</v>
      </c>
      <c r="G525" s="18" t="s">
        <v>245</v>
      </c>
      <c r="H525" s="19" t="s">
        <v>175</v>
      </c>
      <c r="I525" s="18" t="s">
        <v>246</v>
      </c>
      <c r="J525" s="19" t="s">
        <v>247</v>
      </c>
      <c r="K525" s="19" t="s">
        <v>248</v>
      </c>
      <c r="L525" s="18" t="s">
        <v>164</v>
      </c>
      <c r="M525" s="18" t="s">
        <v>1556</v>
      </c>
      <c r="N525" s="18" t="s">
        <v>250</v>
      </c>
      <c r="O525" s="20">
        <v>119000</v>
      </c>
      <c r="P525" s="20">
        <v>80920</v>
      </c>
      <c r="Q525" s="20">
        <v>1</v>
      </c>
      <c r="R525" s="20">
        <v>0</v>
      </c>
      <c r="S525" s="20">
        <v>0</v>
      </c>
      <c r="T525" s="20">
        <v>0</v>
      </c>
      <c r="U525" s="20">
        <v>0</v>
      </c>
      <c r="V525" s="20">
        <v>0</v>
      </c>
      <c r="W525" s="20">
        <v>32</v>
      </c>
      <c r="X525" s="20">
        <v>0</v>
      </c>
      <c r="Y525" s="20">
        <v>0</v>
      </c>
      <c r="Z525" s="20">
        <v>0</v>
      </c>
      <c r="AA525" s="20">
        <v>0</v>
      </c>
      <c r="AB525" s="20">
        <v>0</v>
      </c>
      <c r="AC525" s="20">
        <v>119000</v>
      </c>
      <c r="AD525" s="20">
        <v>80920</v>
      </c>
      <c r="AE525" s="20">
        <v>0</v>
      </c>
      <c r="AF525" s="20">
        <v>0</v>
      </c>
      <c r="AG525" s="20">
        <v>119000</v>
      </c>
      <c r="AH525" s="20">
        <v>80920</v>
      </c>
      <c r="AI525" s="20">
        <v>34618</v>
      </c>
      <c r="AJ525" s="20">
        <v>3462</v>
      </c>
      <c r="AK525" s="20">
        <v>38080</v>
      </c>
    </row>
    <row r="526" spans="1:37" ht="16.5" customHeight="1" x14ac:dyDescent="0.3">
      <c r="A526" s="18" t="s">
        <v>1629</v>
      </c>
      <c r="B526" s="18" t="s">
        <v>240</v>
      </c>
      <c r="C526" s="19" t="s">
        <v>241</v>
      </c>
      <c r="D526" s="18" t="s">
        <v>1630</v>
      </c>
      <c r="E526" s="19" t="s">
        <v>637</v>
      </c>
      <c r="F526" s="18" t="s">
        <v>244</v>
      </c>
      <c r="G526" s="18" t="s">
        <v>245</v>
      </c>
      <c r="H526" s="19" t="s">
        <v>175</v>
      </c>
      <c r="I526" s="18" t="s">
        <v>246</v>
      </c>
      <c r="J526" s="19" t="s">
        <v>247</v>
      </c>
      <c r="K526" s="19" t="s">
        <v>248</v>
      </c>
      <c r="L526" s="18" t="s">
        <v>164</v>
      </c>
      <c r="M526" s="18" t="s">
        <v>1556</v>
      </c>
      <c r="N526" s="18" t="s">
        <v>250</v>
      </c>
      <c r="O526" s="20">
        <v>119000</v>
      </c>
      <c r="P526" s="20">
        <v>80920</v>
      </c>
      <c r="Q526" s="20">
        <v>1</v>
      </c>
      <c r="R526" s="20">
        <v>0</v>
      </c>
      <c r="S526" s="20">
        <v>0</v>
      </c>
      <c r="T526" s="20">
        <v>0</v>
      </c>
      <c r="U526" s="20">
        <v>0</v>
      </c>
      <c r="V526" s="20">
        <v>0</v>
      </c>
      <c r="W526" s="20">
        <v>32</v>
      </c>
      <c r="X526" s="20">
        <v>0</v>
      </c>
      <c r="Y526" s="20">
        <v>0</v>
      </c>
      <c r="Z526" s="20">
        <v>0</v>
      </c>
      <c r="AA526" s="20">
        <v>0</v>
      </c>
      <c r="AB526" s="20">
        <v>0</v>
      </c>
      <c r="AC526" s="20">
        <v>119000</v>
      </c>
      <c r="AD526" s="20">
        <v>80920</v>
      </c>
      <c r="AE526" s="20">
        <v>0</v>
      </c>
      <c r="AF526" s="20">
        <v>0</v>
      </c>
      <c r="AG526" s="20">
        <v>119000</v>
      </c>
      <c r="AH526" s="20">
        <v>80920</v>
      </c>
      <c r="AI526" s="20">
        <v>34618</v>
      </c>
      <c r="AJ526" s="20">
        <v>3462</v>
      </c>
      <c r="AK526" s="20">
        <v>38080</v>
      </c>
    </row>
    <row r="527" spans="1:37" ht="16.5" customHeight="1" x14ac:dyDescent="0.3">
      <c r="A527" s="18" t="s">
        <v>1631</v>
      </c>
      <c r="B527" s="18" t="s">
        <v>240</v>
      </c>
      <c r="C527" s="19" t="s">
        <v>241</v>
      </c>
      <c r="D527" s="18" t="s">
        <v>1632</v>
      </c>
      <c r="E527" s="19" t="s">
        <v>1633</v>
      </c>
      <c r="F527" s="18" t="s">
        <v>244</v>
      </c>
      <c r="G527" s="18" t="s">
        <v>245</v>
      </c>
      <c r="H527" s="19" t="s">
        <v>175</v>
      </c>
      <c r="I527" s="18" t="s">
        <v>246</v>
      </c>
      <c r="J527" s="19" t="s">
        <v>247</v>
      </c>
      <c r="K527" s="19" t="s">
        <v>248</v>
      </c>
      <c r="L527" s="18" t="s">
        <v>164</v>
      </c>
      <c r="M527" s="18" t="s">
        <v>1556</v>
      </c>
      <c r="N527" s="18" t="s">
        <v>250</v>
      </c>
      <c r="O527" s="20">
        <v>119000</v>
      </c>
      <c r="P527" s="20">
        <v>80920</v>
      </c>
      <c r="Q527" s="20">
        <v>1</v>
      </c>
      <c r="R527" s="20">
        <v>0</v>
      </c>
      <c r="S527" s="20">
        <v>0</v>
      </c>
      <c r="T527" s="20">
        <v>0</v>
      </c>
      <c r="U527" s="20">
        <v>0</v>
      </c>
      <c r="V527" s="20">
        <v>0</v>
      </c>
      <c r="W527" s="20">
        <v>32</v>
      </c>
      <c r="X527" s="20">
        <v>23800</v>
      </c>
      <c r="Y527" s="20">
        <v>0</v>
      </c>
      <c r="Z527" s="20">
        <v>0</v>
      </c>
      <c r="AA527" s="20">
        <v>0</v>
      </c>
      <c r="AB527" s="20">
        <v>0</v>
      </c>
      <c r="AC527" s="20">
        <v>119000</v>
      </c>
      <c r="AD527" s="20">
        <v>80920</v>
      </c>
      <c r="AE527" s="20">
        <v>0</v>
      </c>
      <c r="AF527" s="20">
        <v>23800</v>
      </c>
      <c r="AG527" s="20">
        <v>95200</v>
      </c>
      <c r="AH527" s="20">
        <v>80920</v>
      </c>
      <c r="AI527" s="20">
        <v>12982</v>
      </c>
      <c r="AJ527" s="20">
        <v>1298</v>
      </c>
      <c r="AK527" s="20">
        <v>14280</v>
      </c>
    </row>
    <row r="528" spans="1:37" ht="16.5" customHeight="1" x14ac:dyDescent="0.3">
      <c r="A528" s="18" t="s">
        <v>1634</v>
      </c>
      <c r="B528" s="18" t="s">
        <v>240</v>
      </c>
      <c r="C528" s="19" t="s">
        <v>241</v>
      </c>
      <c r="D528" s="18" t="s">
        <v>1635</v>
      </c>
      <c r="E528" s="19" t="s">
        <v>1636</v>
      </c>
      <c r="F528" s="18" t="s">
        <v>244</v>
      </c>
      <c r="G528" s="18" t="s">
        <v>245</v>
      </c>
      <c r="H528" s="19" t="s">
        <v>175</v>
      </c>
      <c r="I528" s="18" t="s">
        <v>246</v>
      </c>
      <c r="J528" s="19" t="s">
        <v>247</v>
      </c>
      <c r="K528" s="19" t="s">
        <v>248</v>
      </c>
      <c r="L528" s="18" t="s">
        <v>164</v>
      </c>
      <c r="M528" s="18" t="s">
        <v>1556</v>
      </c>
      <c r="N528" s="18" t="s">
        <v>250</v>
      </c>
      <c r="O528" s="20">
        <v>119000</v>
      </c>
      <c r="P528" s="20">
        <v>80920</v>
      </c>
      <c r="Q528" s="20">
        <v>1</v>
      </c>
      <c r="R528" s="20">
        <v>0</v>
      </c>
      <c r="S528" s="20">
        <v>0</v>
      </c>
      <c r="T528" s="20">
        <v>0</v>
      </c>
      <c r="U528" s="20">
        <v>0</v>
      </c>
      <c r="V528" s="20">
        <v>0</v>
      </c>
      <c r="W528" s="20">
        <v>32</v>
      </c>
      <c r="X528" s="20">
        <v>0</v>
      </c>
      <c r="Y528" s="20">
        <v>0</v>
      </c>
      <c r="Z528" s="20">
        <v>0</v>
      </c>
      <c r="AA528" s="20">
        <v>0</v>
      </c>
      <c r="AB528" s="20">
        <v>0</v>
      </c>
      <c r="AC528" s="20">
        <v>119000</v>
      </c>
      <c r="AD528" s="20">
        <v>80920</v>
      </c>
      <c r="AE528" s="20">
        <v>0</v>
      </c>
      <c r="AF528" s="20">
        <v>0</v>
      </c>
      <c r="AG528" s="20">
        <v>119000</v>
      </c>
      <c r="AH528" s="20">
        <v>80920</v>
      </c>
      <c r="AI528" s="20">
        <v>34618</v>
      </c>
      <c r="AJ528" s="20">
        <v>3462</v>
      </c>
      <c r="AK528" s="20">
        <v>38080</v>
      </c>
    </row>
    <row r="529" spans="1:37" ht="16.5" customHeight="1" x14ac:dyDescent="0.3">
      <c r="A529" s="18" t="s">
        <v>1637</v>
      </c>
      <c r="B529" s="18" t="s">
        <v>240</v>
      </c>
      <c r="C529" s="19" t="s">
        <v>241</v>
      </c>
      <c r="D529" s="18" t="s">
        <v>1638</v>
      </c>
      <c r="E529" s="19" t="s">
        <v>464</v>
      </c>
      <c r="F529" s="18" t="s">
        <v>244</v>
      </c>
      <c r="G529" s="18" t="s">
        <v>245</v>
      </c>
      <c r="H529" s="19" t="s">
        <v>175</v>
      </c>
      <c r="I529" s="18" t="s">
        <v>246</v>
      </c>
      <c r="J529" s="19" t="s">
        <v>247</v>
      </c>
      <c r="K529" s="19" t="s">
        <v>248</v>
      </c>
      <c r="L529" s="18" t="s">
        <v>164</v>
      </c>
      <c r="M529" s="18" t="s">
        <v>1556</v>
      </c>
      <c r="N529" s="18" t="s">
        <v>250</v>
      </c>
      <c r="O529" s="20">
        <v>119000</v>
      </c>
      <c r="P529" s="20">
        <v>80920</v>
      </c>
      <c r="Q529" s="20">
        <v>1</v>
      </c>
      <c r="R529" s="20">
        <v>0</v>
      </c>
      <c r="S529" s="20">
        <v>0</v>
      </c>
      <c r="T529" s="20">
        <v>0</v>
      </c>
      <c r="U529" s="20">
        <v>0</v>
      </c>
      <c r="V529" s="20">
        <v>0</v>
      </c>
      <c r="W529" s="20">
        <v>32</v>
      </c>
      <c r="X529" s="20">
        <v>0</v>
      </c>
      <c r="Y529" s="20">
        <v>0</v>
      </c>
      <c r="Z529" s="20">
        <v>0</v>
      </c>
      <c r="AA529" s="20">
        <v>0</v>
      </c>
      <c r="AB529" s="20">
        <v>0</v>
      </c>
      <c r="AC529" s="20">
        <v>119000</v>
      </c>
      <c r="AD529" s="20">
        <v>80920</v>
      </c>
      <c r="AE529" s="20">
        <v>0</v>
      </c>
      <c r="AF529" s="20">
        <v>0</v>
      </c>
      <c r="AG529" s="20">
        <v>119000</v>
      </c>
      <c r="AH529" s="20">
        <v>80920</v>
      </c>
      <c r="AI529" s="20">
        <v>34618</v>
      </c>
      <c r="AJ529" s="20">
        <v>3462</v>
      </c>
      <c r="AK529" s="20">
        <v>38080</v>
      </c>
    </row>
    <row r="530" spans="1:37" ht="16.5" customHeight="1" x14ac:dyDescent="0.3">
      <c r="A530" s="18" t="s">
        <v>1639</v>
      </c>
      <c r="B530" s="18" t="s">
        <v>240</v>
      </c>
      <c r="C530" s="19" t="s">
        <v>241</v>
      </c>
      <c r="D530" s="18" t="s">
        <v>1640</v>
      </c>
      <c r="E530" s="19" t="s">
        <v>357</v>
      </c>
      <c r="F530" s="18" t="s">
        <v>244</v>
      </c>
      <c r="G530" s="18" t="s">
        <v>245</v>
      </c>
      <c r="H530" s="19" t="s">
        <v>175</v>
      </c>
      <c r="I530" s="18" t="s">
        <v>246</v>
      </c>
      <c r="J530" s="19" t="s">
        <v>247</v>
      </c>
      <c r="K530" s="19" t="s">
        <v>248</v>
      </c>
      <c r="L530" s="18" t="s">
        <v>164</v>
      </c>
      <c r="M530" s="18" t="s">
        <v>1556</v>
      </c>
      <c r="N530" s="18" t="s">
        <v>250</v>
      </c>
      <c r="O530" s="20">
        <v>119000</v>
      </c>
      <c r="P530" s="20">
        <v>80920</v>
      </c>
      <c r="Q530" s="20">
        <v>1</v>
      </c>
      <c r="R530" s="20">
        <v>0</v>
      </c>
      <c r="S530" s="20">
        <v>0</v>
      </c>
      <c r="T530" s="20">
        <v>0</v>
      </c>
      <c r="U530" s="20">
        <v>0</v>
      </c>
      <c r="V530" s="20">
        <v>0</v>
      </c>
      <c r="W530" s="20">
        <v>32</v>
      </c>
      <c r="X530" s="20">
        <v>0</v>
      </c>
      <c r="Y530" s="20">
        <v>0</v>
      </c>
      <c r="Z530" s="20">
        <v>0</v>
      </c>
      <c r="AA530" s="20">
        <v>0</v>
      </c>
      <c r="AB530" s="20">
        <v>0</v>
      </c>
      <c r="AC530" s="20">
        <v>119000</v>
      </c>
      <c r="AD530" s="20">
        <v>80920</v>
      </c>
      <c r="AE530" s="20">
        <v>0</v>
      </c>
      <c r="AF530" s="20">
        <v>0</v>
      </c>
      <c r="AG530" s="20">
        <v>119000</v>
      </c>
      <c r="AH530" s="20">
        <v>80920</v>
      </c>
      <c r="AI530" s="20">
        <v>34618</v>
      </c>
      <c r="AJ530" s="20">
        <v>3462</v>
      </c>
      <c r="AK530" s="20">
        <v>38080</v>
      </c>
    </row>
    <row r="531" spans="1:37" ht="16.5" customHeight="1" x14ac:dyDescent="0.3">
      <c r="A531" s="18" t="s">
        <v>1641</v>
      </c>
      <c r="B531" s="18" t="s">
        <v>240</v>
      </c>
      <c r="C531" s="19" t="s">
        <v>241</v>
      </c>
      <c r="D531" s="18" t="s">
        <v>1642</v>
      </c>
      <c r="E531" s="19" t="s">
        <v>473</v>
      </c>
      <c r="F531" s="18" t="s">
        <v>244</v>
      </c>
      <c r="G531" s="18" t="s">
        <v>245</v>
      </c>
      <c r="H531" s="19" t="s">
        <v>175</v>
      </c>
      <c r="I531" s="18" t="s">
        <v>246</v>
      </c>
      <c r="J531" s="19" t="s">
        <v>247</v>
      </c>
      <c r="K531" s="19" t="s">
        <v>248</v>
      </c>
      <c r="L531" s="18" t="s">
        <v>164</v>
      </c>
      <c r="M531" s="18" t="s">
        <v>1556</v>
      </c>
      <c r="N531" s="18" t="s">
        <v>250</v>
      </c>
      <c r="O531" s="20">
        <v>119000</v>
      </c>
      <c r="P531" s="20">
        <v>80920</v>
      </c>
      <c r="Q531" s="20">
        <v>1</v>
      </c>
      <c r="R531" s="20">
        <v>0</v>
      </c>
      <c r="S531" s="20">
        <v>0</v>
      </c>
      <c r="T531" s="20">
        <v>0</v>
      </c>
      <c r="U531" s="20">
        <v>0</v>
      </c>
      <c r="V531" s="20">
        <v>0</v>
      </c>
      <c r="W531" s="20">
        <v>32</v>
      </c>
      <c r="X531" s="20">
        <v>0</v>
      </c>
      <c r="Y531" s="20">
        <v>0</v>
      </c>
      <c r="Z531" s="20">
        <v>0</v>
      </c>
      <c r="AA531" s="20">
        <v>0</v>
      </c>
      <c r="AB531" s="20">
        <v>0</v>
      </c>
      <c r="AC531" s="20">
        <v>119000</v>
      </c>
      <c r="AD531" s="20">
        <v>80920</v>
      </c>
      <c r="AE531" s="20">
        <v>0</v>
      </c>
      <c r="AF531" s="20">
        <v>0</v>
      </c>
      <c r="AG531" s="20">
        <v>119000</v>
      </c>
      <c r="AH531" s="20">
        <v>80920</v>
      </c>
      <c r="AI531" s="20">
        <v>34618</v>
      </c>
      <c r="AJ531" s="20">
        <v>3462</v>
      </c>
      <c r="AK531" s="20">
        <v>38080</v>
      </c>
    </row>
    <row r="532" spans="1:37" ht="16.5" customHeight="1" x14ac:dyDescent="0.3">
      <c r="A532" s="18" t="s">
        <v>1643</v>
      </c>
      <c r="B532" s="18" t="s">
        <v>240</v>
      </c>
      <c r="C532" s="19" t="s">
        <v>241</v>
      </c>
      <c r="D532" s="18" t="s">
        <v>1644</v>
      </c>
      <c r="E532" s="19" t="s">
        <v>1645</v>
      </c>
      <c r="F532" s="18" t="s">
        <v>244</v>
      </c>
      <c r="G532" s="18" t="s">
        <v>245</v>
      </c>
      <c r="H532" s="19" t="s">
        <v>175</v>
      </c>
      <c r="I532" s="18" t="s">
        <v>246</v>
      </c>
      <c r="J532" s="19" t="s">
        <v>247</v>
      </c>
      <c r="K532" s="19" t="s">
        <v>248</v>
      </c>
      <c r="L532" s="18" t="s">
        <v>164</v>
      </c>
      <c r="M532" s="18" t="s">
        <v>1556</v>
      </c>
      <c r="N532" s="18" t="s">
        <v>250</v>
      </c>
      <c r="O532" s="20">
        <v>119000</v>
      </c>
      <c r="P532" s="20">
        <v>80920</v>
      </c>
      <c r="Q532" s="20">
        <v>1</v>
      </c>
      <c r="R532" s="20">
        <v>0</v>
      </c>
      <c r="S532" s="20">
        <v>0</v>
      </c>
      <c r="T532" s="20">
        <v>0</v>
      </c>
      <c r="U532" s="20">
        <v>0</v>
      </c>
      <c r="V532" s="20">
        <v>0</v>
      </c>
      <c r="W532" s="20">
        <v>32</v>
      </c>
      <c r="X532" s="20">
        <v>0</v>
      </c>
      <c r="Y532" s="20">
        <v>0</v>
      </c>
      <c r="Z532" s="20">
        <v>0</v>
      </c>
      <c r="AA532" s="20">
        <v>0</v>
      </c>
      <c r="AB532" s="20">
        <v>0</v>
      </c>
      <c r="AC532" s="20">
        <v>119000</v>
      </c>
      <c r="AD532" s="20">
        <v>80920</v>
      </c>
      <c r="AE532" s="20">
        <v>0</v>
      </c>
      <c r="AF532" s="20">
        <v>0</v>
      </c>
      <c r="AG532" s="20">
        <v>119000</v>
      </c>
      <c r="AH532" s="20">
        <v>80920</v>
      </c>
      <c r="AI532" s="20">
        <v>34618</v>
      </c>
      <c r="AJ532" s="20">
        <v>3462</v>
      </c>
      <c r="AK532" s="20">
        <v>38080</v>
      </c>
    </row>
    <row r="533" spans="1:37" ht="16.5" customHeight="1" x14ac:dyDescent="0.3">
      <c r="A533" s="18" t="s">
        <v>1646</v>
      </c>
      <c r="B533" s="18" t="s">
        <v>240</v>
      </c>
      <c r="C533" s="19" t="s">
        <v>241</v>
      </c>
      <c r="D533" s="18" t="s">
        <v>1647</v>
      </c>
      <c r="E533" s="19" t="s">
        <v>374</v>
      </c>
      <c r="F533" s="18" t="s">
        <v>244</v>
      </c>
      <c r="G533" s="18" t="s">
        <v>245</v>
      </c>
      <c r="H533" s="19" t="s">
        <v>175</v>
      </c>
      <c r="I533" s="18" t="s">
        <v>246</v>
      </c>
      <c r="J533" s="19" t="s">
        <v>247</v>
      </c>
      <c r="K533" s="19" t="s">
        <v>314</v>
      </c>
      <c r="L533" s="18" t="s">
        <v>164</v>
      </c>
      <c r="M533" s="18" t="s">
        <v>1556</v>
      </c>
      <c r="N533" s="18" t="s">
        <v>250</v>
      </c>
      <c r="O533" s="20">
        <v>119000</v>
      </c>
      <c r="P533" s="20">
        <v>80920</v>
      </c>
      <c r="Q533" s="20">
        <v>1</v>
      </c>
      <c r="R533" s="20">
        <v>0</v>
      </c>
      <c r="S533" s="20">
        <v>0</v>
      </c>
      <c r="T533" s="20">
        <v>0</v>
      </c>
      <c r="U533" s="20">
        <v>0</v>
      </c>
      <c r="V533" s="20">
        <v>0</v>
      </c>
      <c r="W533" s="20">
        <v>32</v>
      </c>
      <c r="X533" s="20">
        <v>0</v>
      </c>
      <c r="Y533" s="20">
        <v>0</v>
      </c>
      <c r="Z533" s="20">
        <v>0</v>
      </c>
      <c r="AA533" s="20">
        <v>0</v>
      </c>
      <c r="AB533" s="20">
        <v>0</v>
      </c>
      <c r="AC533" s="20">
        <v>119000</v>
      </c>
      <c r="AD533" s="20">
        <v>80920</v>
      </c>
      <c r="AE533" s="20">
        <v>0</v>
      </c>
      <c r="AF533" s="20">
        <v>0</v>
      </c>
      <c r="AG533" s="20">
        <v>119000</v>
      </c>
      <c r="AH533" s="20">
        <v>80920</v>
      </c>
      <c r="AI533" s="20">
        <v>34618</v>
      </c>
      <c r="AJ533" s="20">
        <v>3462</v>
      </c>
      <c r="AK533" s="20">
        <v>38080</v>
      </c>
    </row>
    <row r="534" spans="1:37" ht="16.5" customHeight="1" x14ac:dyDescent="0.3">
      <c r="A534" s="18" t="s">
        <v>1648</v>
      </c>
      <c r="B534" s="18" t="s">
        <v>240</v>
      </c>
      <c r="C534" s="19" t="s">
        <v>241</v>
      </c>
      <c r="D534" s="18" t="s">
        <v>1649</v>
      </c>
      <c r="E534" s="19" t="s">
        <v>1650</v>
      </c>
      <c r="F534" s="18" t="s">
        <v>244</v>
      </c>
      <c r="G534" s="18" t="s">
        <v>245</v>
      </c>
      <c r="H534" s="19" t="s">
        <v>175</v>
      </c>
      <c r="I534" s="18" t="s">
        <v>246</v>
      </c>
      <c r="J534" s="19" t="s">
        <v>247</v>
      </c>
      <c r="K534" s="19" t="s">
        <v>248</v>
      </c>
      <c r="L534" s="18" t="s">
        <v>164</v>
      </c>
      <c r="M534" s="18" t="s">
        <v>1556</v>
      </c>
      <c r="N534" s="18" t="s">
        <v>250</v>
      </c>
      <c r="O534" s="20">
        <v>119000</v>
      </c>
      <c r="P534" s="20">
        <v>80920</v>
      </c>
      <c r="Q534" s="20">
        <v>1</v>
      </c>
      <c r="R534" s="20">
        <v>0</v>
      </c>
      <c r="S534" s="20">
        <v>0</v>
      </c>
      <c r="T534" s="20">
        <v>0</v>
      </c>
      <c r="U534" s="20">
        <v>0</v>
      </c>
      <c r="V534" s="20">
        <v>0</v>
      </c>
      <c r="W534" s="20">
        <v>32</v>
      </c>
      <c r="X534" s="20">
        <v>0</v>
      </c>
      <c r="Y534" s="20">
        <v>5000</v>
      </c>
      <c r="Z534" s="20">
        <v>0</v>
      </c>
      <c r="AA534" s="20">
        <v>0</v>
      </c>
      <c r="AB534" s="20">
        <v>0</v>
      </c>
      <c r="AC534" s="20">
        <v>119000</v>
      </c>
      <c r="AD534" s="20">
        <v>80920</v>
      </c>
      <c r="AE534" s="20">
        <v>0</v>
      </c>
      <c r="AF534" s="20">
        <v>5000</v>
      </c>
      <c r="AG534" s="20">
        <v>114000</v>
      </c>
      <c r="AH534" s="20">
        <v>80920</v>
      </c>
      <c r="AI534" s="20">
        <v>30073</v>
      </c>
      <c r="AJ534" s="20">
        <v>3007</v>
      </c>
      <c r="AK534" s="20">
        <v>33080</v>
      </c>
    </row>
    <row r="535" spans="1:37" ht="16.5" customHeight="1" x14ac:dyDescent="0.3">
      <c r="A535" s="18" t="s">
        <v>1651</v>
      </c>
      <c r="B535" s="18" t="s">
        <v>240</v>
      </c>
      <c r="C535" s="19" t="s">
        <v>241</v>
      </c>
      <c r="D535" s="18" t="s">
        <v>1652</v>
      </c>
      <c r="E535" s="19" t="s">
        <v>1653</v>
      </c>
      <c r="F535" s="18" t="s">
        <v>244</v>
      </c>
      <c r="G535" s="18" t="s">
        <v>245</v>
      </c>
      <c r="H535" s="19" t="s">
        <v>175</v>
      </c>
      <c r="I535" s="18" t="s">
        <v>246</v>
      </c>
      <c r="J535" s="19" t="s">
        <v>247</v>
      </c>
      <c r="K535" s="19" t="s">
        <v>248</v>
      </c>
      <c r="L535" s="18" t="s">
        <v>164</v>
      </c>
      <c r="M535" s="18" t="s">
        <v>1556</v>
      </c>
      <c r="N535" s="18" t="s">
        <v>250</v>
      </c>
      <c r="O535" s="20">
        <v>119000</v>
      </c>
      <c r="P535" s="20">
        <v>80920</v>
      </c>
      <c r="Q535" s="20">
        <v>1</v>
      </c>
      <c r="R535" s="20">
        <v>0</v>
      </c>
      <c r="S535" s="20">
        <v>0</v>
      </c>
      <c r="T535" s="20">
        <v>0</v>
      </c>
      <c r="U535" s="20">
        <v>0</v>
      </c>
      <c r="V535" s="20">
        <v>0</v>
      </c>
      <c r="W535" s="20">
        <v>32</v>
      </c>
      <c r="X535" s="20">
        <v>0</v>
      </c>
      <c r="Y535" s="20">
        <v>0</v>
      </c>
      <c r="Z535" s="20">
        <v>0</v>
      </c>
      <c r="AA535" s="20">
        <v>0</v>
      </c>
      <c r="AB535" s="20">
        <v>0</v>
      </c>
      <c r="AC535" s="20">
        <v>119000</v>
      </c>
      <c r="AD535" s="20">
        <v>80920</v>
      </c>
      <c r="AE535" s="20">
        <v>0</v>
      </c>
      <c r="AF535" s="20">
        <v>0</v>
      </c>
      <c r="AG535" s="20">
        <v>119000</v>
      </c>
      <c r="AH535" s="20">
        <v>80920</v>
      </c>
      <c r="AI535" s="20">
        <v>34618</v>
      </c>
      <c r="AJ535" s="20">
        <v>3462</v>
      </c>
      <c r="AK535" s="20">
        <v>38080</v>
      </c>
    </row>
    <row r="536" spans="1:37" ht="16.5" customHeight="1" x14ac:dyDescent="0.3">
      <c r="A536" s="18" t="s">
        <v>1654</v>
      </c>
      <c r="B536" s="18" t="s">
        <v>240</v>
      </c>
      <c r="C536" s="19" t="s">
        <v>241</v>
      </c>
      <c r="D536" s="18" t="s">
        <v>1655</v>
      </c>
      <c r="E536" s="19" t="s">
        <v>1656</v>
      </c>
      <c r="F536" s="18" t="s">
        <v>244</v>
      </c>
      <c r="G536" s="18" t="s">
        <v>245</v>
      </c>
      <c r="H536" s="19" t="s">
        <v>175</v>
      </c>
      <c r="I536" s="18" t="s">
        <v>246</v>
      </c>
      <c r="J536" s="19" t="s">
        <v>247</v>
      </c>
      <c r="K536" s="19" t="s">
        <v>248</v>
      </c>
      <c r="L536" s="18" t="s">
        <v>164</v>
      </c>
      <c r="M536" s="18" t="s">
        <v>1556</v>
      </c>
      <c r="N536" s="18" t="s">
        <v>250</v>
      </c>
      <c r="O536" s="20">
        <v>119000</v>
      </c>
      <c r="P536" s="20">
        <v>80920</v>
      </c>
      <c r="Q536" s="20">
        <v>1</v>
      </c>
      <c r="R536" s="20">
        <v>0</v>
      </c>
      <c r="S536" s="20">
        <v>0</v>
      </c>
      <c r="T536" s="20">
        <v>0</v>
      </c>
      <c r="U536" s="20">
        <v>0</v>
      </c>
      <c r="V536" s="20">
        <v>0</v>
      </c>
      <c r="W536" s="20">
        <v>32</v>
      </c>
      <c r="X536" s="20">
        <v>0</v>
      </c>
      <c r="Y536" s="20">
        <v>0</v>
      </c>
      <c r="Z536" s="20">
        <v>0</v>
      </c>
      <c r="AA536" s="20">
        <v>0</v>
      </c>
      <c r="AB536" s="20">
        <v>5950</v>
      </c>
      <c r="AC536" s="20">
        <v>119000</v>
      </c>
      <c r="AD536" s="20">
        <v>80920</v>
      </c>
      <c r="AE536" s="20">
        <v>0</v>
      </c>
      <c r="AF536" s="20">
        <v>5950</v>
      </c>
      <c r="AG536" s="20">
        <v>113050</v>
      </c>
      <c r="AH536" s="20">
        <v>80920</v>
      </c>
      <c r="AI536" s="20">
        <v>29209</v>
      </c>
      <c r="AJ536" s="20">
        <v>2921</v>
      </c>
      <c r="AK536" s="20">
        <v>32130</v>
      </c>
    </row>
    <row r="537" spans="1:37" ht="16.5" customHeight="1" x14ac:dyDescent="0.3">
      <c r="A537" s="18" t="s">
        <v>1657</v>
      </c>
      <c r="B537" s="18" t="s">
        <v>240</v>
      </c>
      <c r="C537" s="19" t="s">
        <v>241</v>
      </c>
      <c r="D537" s="18" t="s">
        <v>1658</v>
      </c>
      <c r="E537" s="19" t="s">
        <v>1179</v>
      </c>
      <c r="F537" s="18" t="s">
        <v>244</v>
      </c>
      <c r="G537" s="18" t="s">
        <v>245</v>
      </c>
      <c r="H537" s="19" t="s">
        <v>175</v>
      </c>
      <c r="I537" s="18" t="s">
        <v>246</v>
      </c>
      <c r="J537" s="19" t="s">
        <v>247</v>
      </c>
      <c r="K537" s="19" t="s">
        <v>248</v>
      </c>
      <c r="L537" s="18" t="s">
        <v>164</v>
      </c>
      <c r="M537" s="18" t="s">
        <v>1556</v>
      </c>
      <c r="N537" s="18" t="s">
        <v>250</v>
      </c>
      <c r="O537" s="20">
        <v>119000</v>
      </c>
      <c r="P537" s="20">
        <v>80920</v>
      </c>
      <c r="Q537" s="20">
        <v>1</v>
      </c>
      <c r="R537" s="20">
        <v>0</v>
      </c>
      <c r="S537" s="20">
        <v>0</v>
      </c>
      <c r="T537" s="20">
        <v>0</v>
      </c>
      <c r="U537" s="20">
        <v>0</v>
      </c>
      <c r="V537" s="20">
        <v>0</v>
      </c>
      <c r="W537" s="20">
        <v>32</v>
      </c>
      <c r="X537" s="20">
        <v>5950</v>
      </c>
      <c r="Y537" s="20">
        <v>0</v>
      </c>
      <c r="Z537" s="20">
        <v>0</v>
      </c>
      <c r="AA537" s="20">
        <v>0</v>
      </c>
      <c r="AB537" s="20">
        <v>0</v>
      </c>
      <c r="AC537" s="20">
        <v>119000</v>
      </c>
      <c r="AD537" s="20">
        <v>80920</v>
      </c>
      <c r="AE537" s="20">
        <v>0</v>
      </c>
      <c r="AF537" s="20">
        <v>5950</v>
      </c>
      <c r="AG537" s="20">
        <v>113050</v>
      </c>
      <c r="AH537" s="20">
        <v>80920</v>
      </c>
      <c r="AI537" s="20">
        <v>29209</v>
      </c>
      <c r="AJ537" s="20">
        <v>2921</v>
      </c>
      <c r="AK537" s="20">
        <v>32130</v>
      </c>
    </row>
    <row r="538" spans="1:37" ht="16.5" customHeight="1" x14ac:dyDescent="0.3">
      <c r="A538" s="18" t="s">
        <v>1659</v>
      </c>
      <c r="B538" s="18" t="s">
        <v>240</v>
      </c>
      <c r="C538" s="19" t="s">
        <v>241</v>
      </c>
      <c r="D538" s="18" t="s">
        <v>1660</v>
      </c>
      <c r="E538" s="19" t="s">
        <v>492</v>
      </c>
      <c r="F538" s="18" t="s">
        <v>244</v>
      </c>
      <c r="G538" s="18" t="s">
        <v>245</v>
      </c>
      <c r="H538" s="19" t="s">
        <v>175</v>
      </c>
      <c r="I538" s="18" t="s">
        <v>246</v>
      </c>
      <c r="J538" s="19" t="s">
        <v>247</v>
      </c>
      <c r="K538" s="19" t="s">
        <v>248</v>
      </c>
      <c r="L538" s="18" t="s">
        <v>164</v>
      </c>
      <c r="M538" s="18" t="s">
        <v>1556</v>
      </c>
      <c r="N538" s="18" t="s">
        <v>250</v>
      </c>
      <c r="O538" s="20">
        <v>119000</v>
      </c>
      <c r="P538" s="20">
        <v>80920</v>
      </c>
      <c r="Q538" s="20">
        <v>1</v>
      </c>
      <c r="R538" s="20">
        <v>0</v>
      </c>
      <c r="S538" s="20">
        <v>0</v>
      </c>
      <c r="T538" s="20">
        <v>0</v>
      </c>
      <c r="U538" s="20">
        <v>0</v>
      </c>
      <c r="V538" s="20">
        <v>0</v>
      </c>
      <c r="W538" s="20">
        <v>32</v>
      </c>
      <c r="X538" s="20">
        <v>0</v>
      </c>
      <c r="Y538" s="20">
        <v>0</v>
      </c>
      <c r="Z538" s="20">
        <v>0</v>
      </c>
      <c r="AA538" s="20">
        <v>0</v>
      </c>
      <c r="AB538" s="20">
        <v>0</v>
      </c>
      <c r="AC538" s="20">
        <v>119000</v>
      </c>
      <c r="AD538" s="20">
        <v>80920</v>
      </c>
      <c r="AE538" s="20">
        <v>0</v>
      </c>
      <c r="AF538" s="20">
        <v>0</v>
      </c>
      <c r="AG538" s="20">
        <v>119000</v>
      </c>
      <c r="AH538" s="20">
        <v>80920</v>
      </c>
      <c r="AI538" s="20">
        <v>34618</v>
      </c>
      <c r="AJ538" s="20">
        <v>3462</v>
      </c>
      <c r="AK538" s="20">
        <v>38080</v>
      </c>
    </row>
    <row r="539" spans="1:37" ht="16.5" customHeight="1" x14ac:dyDescent="0.3">
      <c r="A539" s="18" t="s">
        <v>1661</v>
      </c>
      <c r="B539" s="18" t="s">
        <v>240</v>
      </c>
      <c r="C539" s="19" t="s">
        <v>241</v>
      </c>
      <c r="D539" s="18" t="s">
        <v>1662</v>
      </c>
      <c r="E539" s="19" t="s">
        <v>1663</v>
      </c>
      <c r="F539" s="18" t="s">
        <v>244</v>
      </c>
      <c r="G539" s="18" t="s">
        <v>245</v>
      </c>
      <c r="H539" s="19" t="s">
        <v>175</v>
      </c>
      <c r="I539" s="18" t="s">
        <v>246</v>
      </c>
      <c r="J539" s="19" t="s">
        <v>247</v>
      </c>
      <c r="K539" s="19" t="s">
        <v>248</v>
      </c>
      <c r="L539" s="18" t="s">
        <v>164</v>
      </c>
      <c r="M539" s="18" t="s">
        <v>1556</v>
      </c>
      <c r="N539" s="18" t="s">
        <v>250</v>
      </c>
      <c r="O539" s="20">
        <v>119000</v>
      </c>
      <c r="P539" s="20">
        <v>80920</v>
      </c>
      <c r="Q539" s="20">
        <v>1</v>
      </c>
      <c r="R539" s="20">
        <v>0</v>
      </c>
      <c r="S539" s="20">
        <v>0</v>
      </c>
      <c r="T539" s="20">
        <v>0</v>
      </c>
      <c r="U539" s="20">
        <v>0</v>
      </c>
      <c r="V539" s="20">
        <v>0</v>
      </c>
      <c r="W539" s="20">
        <v>32</v>
      </c>
      <c r="X539" s="20">
        <v>0</v>
      </c>
      <c r="Y539" s="20">
        <v>0</v>
      </c>
      <c r="Z539" s="20">
        <v>0</v>
      </c>
      <c r="AA539" s="20">
        <v>0</v>
      </c>
      <c r="AB539" s="20">
        <v>0</v>
      </c>
      <c r="AC539" s="20">
        <v>119000</v>
      </c>
      <c r="AD539" s="20">
        <v>80920</v>
      </c>
      <c r="AE539" s="20">
        <v>0</v>
      </c>
      <c r="AF539" s="20">
        <v>0</v>
      </c>
      <c r="AG539" s="20">
        <v>119000</v>
      </c>
      <c r="AH539" s="20">
        <v>80920</v>
      </c>
      <c r="AI539" s="20">
        <v>34618</v>
      </c>
      <c r="AJ539" s="20">
        <v>3462</v>
      </c>
      <c r="AK539" s="20">
        <v>38080</v>
      </c>
    </row>
    <row r="540" spans="1:37" ht="16.5" customHeight="1" x14ac:dyDescent="0.3">
      <c r="A540" s="18" t="s">
        <v>1664</v>
      </c>
      <c r="B540" s="18" t="s">
        <v>240</v>
      </c>
      <c r="C540" s="19" t="s">
        <v>241</v>
      </c>
      <c r="D540" s="18" t="s">
        <v>1665</v>
      </c>
      <c r="E540" s="19" t="s">
        <v>1666</v>
      </c>
      <c r="F540" s="18" t="s">
        <v>244</v>
      </c>
      <c r="G540" s="18" t="s">
        <v>245</v>
      </c>
      <c r="H540" s="19" t="s">
        <v>175</v>
      </c>
      <c r="I540" s="18" t="s">
        <v>246</v>
      </c>
      <c r="J540" s="19" t="s">
        <v>247</v>
      </c>
      <c r="K540" s="19" t="s">
        <v>248</v>
      </c>
      <c r="L540" s="18" t="s">
        <v>164</v>
      </c>
      <c r="M540" s="18" t="s">
        <v>1556</v>
      </c>
      <c r="N540" s="18" t="s">
        <v>250</v>
      </c>
      <c r="O540" s="20">
        <v>119000</v>
      </c>
      <c r="P540" s="20">
        <v>80920</v>
      </c>
      <c r="Q540" s="20">
        <v>1</v>
      </c>
      <c r="R540" s="20">
        <v>0</v>
      </c>
      <c r="S540" s="20">
        <v>0</v>
      </c>
      <c r="T540" s="20">
        <v>0</v>
      </c>
      <c r="U540" s="20">
        <v>0</v>
      </c>
      <c r="V540" s="20">
        <v>0</v>
      </c>
      <c r="W540" s="20">
        <v>32</v>
      </c>
      <c r="X540" s="20">
        <v>0</v>
      </c>
      <c r="Y540" s="20">
        <v>0</v>
      </c>
      <c r="Z540" s="20">
        <v>0</v>
      </c>
      <c r="AA540" s="20">
        <v>0</v>
      </c>
      <c r="AB540" s="20">
        <v>0</v>
      </c>
      <c r="AC540" s="20">
        <v>119000</v>
      </c>
      <c r="AD540" s="20">
        <v>80920</v>
      </c>
      <c r="AE540" s="20">
        <v>0</v>
      </c>
      <c r="AF540" s="20">
        <v>0</v>
      </c>
      <c r="AG540" s="20">
        <v>119000</v>
      </c>
      <c r="AH540" s="20">
        <v>80920</v>
      </c>
      <c r="AI540" s="20">
        <v>34618</v>
      </c>
      <c r="AJ540" s="20">
        <v>3462</v>
      </c>
      <c r="AK540" s="20">
        <v>38080</v>
      </c>
    </row>
    <row r="541" spans="1:37" ht="16.5" customHeight="1" x14ac:dyDescent="0.3">
      <c r="A541" s="18" t="s">
        <v>1667</v>
      </c>
      <c r="B541" s="18" t="s">
        <v>240</v>
      </c>
      <c r="C541" s="19" t="s">
        <v>241</v>
      </c>
      <c r="D541" s="18" t="s">
        <v>1668</v>
      </c>
      <c r="E541" s="19" t="s">
        <v>1669</v>
      </c>
      <c r="F541" s="18" t="s">
        <v>244</v>
      </c>
      <c r="G541" s="18" t="s">
        <v>245</v>
      </c>
      <c r="H541" s="19" t="s">
        <v>175</v>
      </c>
      <c r="I541" s="18" t="s">
        <v>246</v>
      </c>
      <c r="J541" s="19" t="s">
        <v>247</v>
      </c>
      <c r="K541" s="19" t="s">
        <v>248</v>
      </c>
      <c r="L541" s="18" t="s">
        <v>164</v>
      </c>
      <c r="M541" s="18" t="s">
        <v>1556</v>
      </c>
      <c r="N541" s="18" t="s">
        <v>250</v>
      </c>
      <c r="O541" s="20">
        <v>119000</v>
      </c>
      <c r="P541" s="20">
        <v>80920</v>
      </c>
      <c r="Q541" s="20">
        <v>1</v>
      </c>
      <c r="R541" s="20">
        <v>0</v>
      </c>
      <c r="S541" s="20">
        <v>0</v>
      </c>
      <c r="T541" s="20">
        <v>0</v>
      </c>
      <c r="U541" s="20">
        <v>0</v>
      </c>
      <c r="V541" s="20">
        <v>0</v>
      </c>
      <c r="W541" s="20">
        <v>32</v>
      </c>
      <c r="X541" s="20">
        <v>0</v>
      </c>
      <c r="Y541" s="20">
        <v>0</v>
      </c>
      <c r="Z541" s="20">
        <v>0</v>
      </c>
      <c r="AA541" s="20">
        <v>0</v>
      </c>
      <c r="AB541" s="20">
        <v>0</v>
      </c>
      <c r="AC541" s="20">
        <v>119000</v>
      </c>
      <c r="AD541" s="20">
        <v>80920</v>
      </c>
      <c r="AE541" s="20">
        <v>0</v>
      </c>
      <c r="AF541" s="20">
        <v>0</v>
      </c>
      <c r="AG541" s="20">
        <v>119000</v>
      </c>
      <c r="AH541" s="20">
        <v>80920</v>
      </c>
      <c r="AI541" s="20">
        <v>34618</v>
      </c>
      <c r="AJ541" s="20">
        <v>3462</v>
      </c>
      <c r="AK541" s="20">
        <v>38080</v>
      </c>
    </row>
    <row r="542" spans="1:37" ht="16.5" customHeight="1" x14ac:dyDescent="0.3">
      <c r="A542" s="18" t="s">
        <v>1670</v>
      </c>
      <c r="B542" s="18" t="s">
        <v>240</v>
      </c>
      <c r="C542" s="19" t="s">
        <v>241</v>
      </c>
      <c r="D542" s="18" t="s">
        <v>1671</v>
      </c>
      <c r="E542" s="19" t="s">
        <v>1672</v>
      </c>
      <c r="F542" s="18" t="s">
        <v>244</v>
      </c>
      <c r="G542" s="18" t="s">
        <v>245</v>
      </c>
      <c r="H542" s="19" t="s">
        <v>175</v>
      </c>
      <c r="I542" s="18" t="s">
        <v>246</v>
      </c>
      <c r="J542" s="19" t="s">
        <v>247</v>
      </c>
      <c r="K542" s="19" t="s">
        <v>248</v>
      </c>
      <c r="L542" s="18" t="s">
        <v>164</v>
      </c>
      <c r="M542" s="18" t="s">
        <v>1556</v>
      </c>
      <c r="N542" s="18" t="s">
        <v>250</v>
      </c>
      <c r="O542" s="20">
        <v>119000</v>
      </c>
      <c r="P542" s="20">
        <v>80920</v>
      </c>
      <c r="Q542" s="20">
        <v>1</v>
      </c>
      <c r="R542" s="20">
        <v>0</v>
      </c>
      <c r="S542" s="20">
        <v>0</v>
      </c>
      <c r="T542" s="20">
        <v>0</v>
      </c>
      <c r="U542" s="20">
        <v>0</v>
      </c>
      <c r="V542" s="20">
        <v>0</v>
      </c>
      <c r="W542" s="20">
        <v>32</v>
      </c>
      <c r="X542" s="20">
        <v>0</v>
      </c>
      <c r="Y542" s="20">
        <v>0</v>
      </c>
      <c r="Z542" s="20">
        <v>0</v>
      </c>
      <c r="AA542" s="20">
        <v>0</v>
      </c>
      <c r="AB542" s="20">
        <v>0</v>
      </c>
      <c r="AC542" s="20">
        <v>119000</v>
      </c>
      <c r="AD542" s="20">
        <v>80920</v>
      </c>
      <c r="AE542" s="20">
        <v>0</v>
      </c>
      <c r="AF542" s="20">
        <v>0</v>
      </c>
      <c r="AG542" s="20">
        <v>119000</v>
      </c>
      <c r="AH542" s="20">
        <v>80920</v>
      </c>
      <c r="AI542" s="20">
        <v>34618</v>
      </c>
      <c r="AJ542" s="20">
        <v>3462</v>
      </c>
      <c r="AK542" s="20">
        <v>38080</v>
      </c>
    </row>
    <row r="543" spans="1:37" ht="16.5" customHeight="1" x14ac:dyDescent="0.3">
      <c r="A543" s="18" t="s">
        <v>1673</v>
      </c>
      <c r="B543" s="18" t="s">
        <v>240</v>
      </c>
      <c r="C543" s="19" t="s">
        <v>241</v>
      </c>
      <c r="D543" s="18" t="s">
        <v>1674</v>
      </c>
      <c r="E543" s="19" t="s">
        <v>1675</v>
      </c>
      <c r="F543" s="18" t="s">
        <v>244</v>
      </c>
      <c r="G543" s="18" t="s">
        <v>245</v>
      </c>
      <c r="H543" s="19" t="s">
        <v>175</v>
      </c>
      <c r="I543" s="18" t="s">
        <v>246</v>
      </c>
      <c r="J543" s="19" t="s">
        <v>247</v>
      </c>
      <c r="K543" s="19" t="s">
        <v>248</v>
      </c>
      <c r="L543" s="18" t="s">
        <v>164</v>
      </c>
      <c r="M543" s="18" t="s">
        <v>1556</v>
      </c>
      <c r="N543" s="18" t="s">
        <v>250</v>
      </c>
      <c r="O543" s="20">
        <v>119000</v>
      </c>
      <c r="P543" s="20">
        <v>80920</v>
      </c>
      <c r="Q543" s="20">
        <v>1</v>
      </c>
      <c r="R543" s="20">
        <v>0</v>
      </c>
      <c r="S543" s="20">
        <v>0</v>
      </c>
      <c r="T543" s="20">
        <v>0</v>
      </c>
      <c r="U543" s="20">
        <v>0</v>
      </c>
      <c r="V543" s="20">
        <v>0</v>
      </c>
      <c r="W543" s="20">
        <v>32</v>
      </c>
      <c r="X543" s="20">
        <v>0</v>
      </c>
      <c r="Y543" s="20">
        <v>0</v>
      </c>
      <c r="Z543" s="20">
        <v>0</v>
      </c>
      <c r="AA543" s="20">
        <v>0</v>
      </c>
      <c r="AB543" s="20">
        <v>0</v>
      </c>
      <c r="AC543" s="20">
        <v>119000</v>
      </c>
      <c r="AD543" s="20">
        <v>80920</v>
      </c>
      <c r="AE543" s="20">
        <v>0</v>
      </c>
      <c r="AF543" s="20">
        <v>0</v>
      </c>
      <c r="AG543" s="20">
        <v>119000</v>
      </c>
      <c r="AH543" s="20">
        <v>80920</v>
      </c>
      <c r="AI543" s="20">
        <v>34618</v>
      </c>
      <c r="AJ543" s="20">
        <v>3462</v>
      </c>
      <c r="AK543" s="20">
        <v>38080</v>
      </c>
    </row>
    <row r="544" spans="1:37" ht="16.5" customHeight="1" x14ac:dyDescent="0.3">
      <c r="A544" s="18" t="s">
        <v>1676</v>
      </c>
      <c r="B544" s="18" t="s">
        <v>240</v>
      </c>
      <c r="C544" s="19" t="s">
        <v>241</v>
      </c>
      <c r="D544" s="18" t="s">
        <v>1677</v>
      </c>
      <c r="E544" s="19" t="s">
        <v>392</v>
      </c>
      <c r="F544" s="18" t="s">
        <v>244</v>
      </c>
      <c r="G544" s="18" t="s">
        <v>245</v>
      </c>
      <c r="H544" s="19" t="s">
        <v>175</v>
      </c>
      <c r="I544" s="18" t="s">
        <v>246</v>
      </c>
      <c r="J544" s="19" t="s">
        <v>247</v>
      </c>
      <c r="K544" s="19" t="s">
        <v>314</v>
      </c>
      <c r="L544" s="18" t="s">
        <v>164</v>
      </c>
      <c r="M544" s="18" t="s">
        <v>1556</v>
      </c>
      <c r="N544" s="18" t="s">
        <v>250</v>
      </c>
      <c r="O544" s="20">
        <v>119000</v>
      </c>
      <c r="P544" s="20">
        <v>80920</v>
      </c>
      <c r="Q544" s="20">
        <v>1</v>
      </c>
      <c r="R544" s="20">
        <v>0</v>
      </c>
      <c r="S544" s="20">
        <v>0</v>
      </c>
      <c r="T544" s="20">
        <v>0</v>
      </c>
      <c r="U544" s="20">
        <v>0</v>
      </c>
      <c r="V544" s="20">
        <v>0</v>
      </c>
      <c r="W544" s="20">
        <v>32</v>
      </c>
      <c r="X544" s="20">
        <v>0</v>
      </c>
      <c r="Y544" s="20">
        <v>0</v>
      </c>
      <c r="Z544" s="20">
        <v>0</v>
      </c>
      <c r="AA544" s="20">
        <v>0</v>
      </c>
      <c r="AB544" s="20">
        <v>0</v>
      </c>
      <c r="AC544" s="20">
        <v>119000</v>
      </c>
      <c r="AD544" s="20">
        <v>80920</v>
      </c>
      <c r="AE544" s="20">
        <v>0</v>
      </c>
      <c r="AF544" s="20">
        <v>0</v>
      </c>
      <c r="AG544" s="20">
        <v>119000</v>
      </c>
      <c r="AH544" s="20">
        <v>80920</v>
      </c>
      <c r="AI544" s="20">
        <v>34618</v>
      </c>
      <c r="AJ544" s="20">
        <v>3462</v>
      </c>
      <c r="AK544" s="20">
        <v>38080</v>
      </c>
    </row>
    <row r="545" spans="1:37" ht="16.5" customHeight="1" x14ac:dyDescent="0.3">
      <c r="A545" s="18" t="s">
        <v>1678</v>
      </c>
      <c r="B545" s="18" t="s">
        <v>240</v>
      </c>
      <c r="C545" s="19" t="s">
        <v>241</v>
      </c>
      <c r="D545" s="18" t="s">
        <v>1679</v>
      </c>
      <c r="E545" s="19" t="s">
        <v>1680</v>
      </c>
      <c r="F545" s="18" t="s">
        <v>244</v>
      </c>
      <c r="G545" s="18" t="s">
        <v>245</v>
      </c>
      <c r="H545" s="19" t="s">
        <v>175</v>
      </c>
      <c r="I545" s="18" t="s">
        <v>246</v>
      </c>
      <c r="J545" s="19" t="s">
        <v>247</v>
      </c>
      <c r="K545" s="19" t="s">
        <v>248</v>
      </c>
      <c r="L545" s="18" t="s">
        <v>164</v>
      </c>
      <c r="M545" s="18" t="s">
        <v>1556</v>
      </c>
      <c r="N545" s="18" t="s">
        <v>250</v>
      </c>
      <c r="O545" s="20">
        <v>119000</v>
      </c>
      <c r="P545" s="20">
        <v>80920</v>
      </c>
      <c r="Q545" s="20">
        <v>1</v>
      </c>
      <c r="R545" s="20">
        <v>0</v>
      </c>
      <c r="S545" s="20">
        <v>0</v>
      </c>
      <c r="T545" s="20">
        <v>0</v>
      </c>
      <c r="U545" s="20">
        <v>0</v>
      </c>
      <c r="V545" s="20">
        <v>0</v>
      </c>
      <c r="W545" s="20">
        <v>32</v>
      </c>
      <c r="X545" s="20">
        <v>0</v>
      </c>
      <c r="Y545" s="20">
        <v>0</v>
      </c>
      <c r="Z545" s="20">
        <v>0</v>
      </c>
      <c r="AA545" s="20">
        <v>0</v>
      </c>
      <c r="AB545" s="20">
        <v>0</v>
      </c>
      <c r="AC545" s="20">
        <v>119000</v>
      </c>
      <c r="AD545" s="20">
        <v>80920</v>
      </c>
      <c r="AE545" s="20">
        <v>0</v>
      </c>
      <c r="AF545" s="20">
        <v>0</v>
      </c>
      <c r="AG545" s="20">
        <v>119000</v>
      </c>
      <c r="AH545" s="20">
        <v>80920</v>
      </c>
      <c r="AI545" s="20">
        <v>34618</v>
      </c>
      <c r="AJ545" s="20">
        <v>3462</v>
      </c>
      <c r="AK545" s="20">
        <v>38080</v>
      </c>
    </row>
    <row r="546" spans="1:37" ht="16.5" customHeight="1" x14ac:dyDescent="0.3">
      <c r="A546" s="18" t="s">
        <v>1681</v>
      </c>
      <c r="B546" s="18" t="s">
        <v>240</v>
      </c>
      <c r="C546" s="19" t="s">
        <v>241</v>
      </c>
      <c r="D546" s="18" t="s">
        <v>1682</v>
      </c>
      <c r="E546" s="19" t="s">
        <v>907</v>
      </c>
      <c r="F546" s="18" t="s">
        <v>244</v>
      </c>
      <c r="G546" s="18" t="s">
        <v>245</v>
      </c>
      <c r="H546" s="19" t="s">
        <v>175</v>
      </c>
      <c r="I546" s="18" t="s">
        <v>246</v>
      </c>
      <c r="J546" s="19" t="s">
        <v>247</v>
      </c>
      <c r="K546" s="19" t="s">
        <v>248</v>
      </c>
      <c r="L546" s="18" t="s">
        <v>164</v>
      </c>
      <c r="M546" s="18" t="s">
        <v>1556</v>
      </c>
      <c r="N546" s="18" t="s">
        <v>250</v>
      </c>
      <c r="O546" s="20">
        <v>119000</v>
      </c>
      <c r="P546" s="20">
        <v>80920</v>
      </c>
      <c r="Q546" s="20">
        <v>1</v>
      </c>
      <c r="R546" s="20">
        <v>0</v>
      </c>
      <c r="S546" s="20">
        <v>0</v>
      </c>
      <c r="T546" s="20">
        <v>0</v>
      </c>
      <c r="U546" s="20">
        <v>0</v>
      </c>
      <c r="V546" s="20">
        <v>0</v>
      </c>
      <c r="W546" s="20">
        <v>32</v>
      </c>
      <c r="X546" s="20">
        <v>0</v>
      </c>
      <c r="Y546" s="20">
        <v>0</v>
      </c>
      <c r="Z546" s="20">
        <v>0</v>
      </c>
      <c r="AA546" s="20">
        <v>0</v>
      </c>
      <c r="AB546" s="20">
        <v>5950</v>
      </c>
      <c r="AC546" s="20">
        <v>119000</v>
      </c>
      <c r="AD546" s="20">
        <v>80920</v>
      </c>
      <c r="AE546" s="20">
        <v>0</v>
      </c>
      <c r="AF546" s="20">
        <v>5950</v>
      </c>
      <c r="AG546" s="20">
        <v>113050</v>
      </c>
      <c r="AH546" s="20">
        <v>80920</v>
      </c>
      <c r="AI546" s="20">
        <v>29209</v>
      </c>
      <c r="AJ546" s="20">
        <v>2921</v>
      </c>
      <c r="AK546" s="20">
        <v>32130</v>
      </c>
    </row>
    <row r="547" spans="1:37" ht="16.5" customHeight="1" x14ac:dyDescent="0.3">
      <c r="A547" s="18" t="s">
        <v>1683</v>
      </c>
      <c r="B547" s="18" t="s">
        <v>240</v>
      </c>
      <c r="C547" s="19" t="s">
        <v>241</v>
      </c>
      <c r="D547" s="18" t="s">
        <v>1684</v>
      </c>
      <c r="E547" s="19" t="s">
        <v>1685</v>
      </c>
      <c r="F547" s="18" t="s">
        <v>244</v>
      </c>
      <c r="G547" s="18" t="s">
        <v>245</v>
      </c>
      <c r="H547" s="19" t="s">
        <v>175</v>
      </c>
      <c r="I547" s="18" t="s">
        <v>246</v>
      </c>
      <c r="J547" s="19" t="s">
        <v>247</v>
      </c>
      <c r="K547" s="19" t="s">
        <v>248</v>
      </c>
      <c r="L547" s="18" t="s">
        <v>164</v>
      </c>
      <c r="M547" s="18" t="s">
        <v>1556</v>
      </c>
      <c r="N547" s="18" t="s">
        <v>250</v>
      </c>
      <c r="O547" s="20">
        <v>119000</v>
      </c>
      <c r="P547" s="20">
        <v>80920</v>
      </c>
      <c r="Q547" s="20">
        <v>1</v>
      </c>
      <c r="R547" s="20">
        <v>0</v>
      </c>
      <c r="S547" s="20">
        <v>0</v>
      </c>
      <c r="T547" s="20">
        <v>0</v>
      </c>
      <c r="U547" s="20">
        <v>0</v>
      </c>
      <c r="V547" s="20">
        <v>0</v>
      </c>
      <c r="W547" s="20">
        <v>32</v>
      </c>
      <c r="X547" s="20">
        <v>0</v>
      </c>
      <c r="Y547" s="20">
        <v>0</v>
      </c>
      <c r="Z547" s="20">
        <v>0</v>
      </c>
      <c r="AA547" s="20">
        <v>0</v>
      </c>
      <c r="AB547" s="20">
        <v>0</v>
      </c>
      <c r="AC547" s="20">
        <v>119000</v>
      </c>
      <c r="AD547" s="20">
        <v>80920</v>
      </c>
      <c r="AE547" s="20">
        <v>0</v>
      </c>
      <c r="AF547" s="20">
        <v>0</v>
      </c>
      <c r="AG547" s="20">
        <v>119000</v>
      </c>
      <c r="AH547" s="20">
        <v>80920</v>
      </c>
      <c r="AI547" s="20">
        <v>34618</v>
      </c>
      <c r="AJ547" s="20">
        <v>3462</v>
      </c>
      <c r="AK547" s="20">
        <v>38080</v>
      </c>
    </row>
    <row r="548" spans="1:37" ht="16.5" customHeight="1" x14ac:dyDescent="0.3">
      <c r="A548" s="18" t="s">
        <v>1686</v>
      </c>
      <c r="B548" s="18" t="s">
        <v>240</v>
      </c>
      <c r="C548" s="19" t="s">
        <v>241</v>
      </c>
      <c r="D548" s="18" t="s">
        <v>1687</v>
      </c>
      <c r="E548" s="19" t="s">
        <v>1688</v>
      </c>
      <c r="F548" s="18" t="s">
        <v>244</v>
      </c>
      <c r="G548" s="18" t="s">
        <v>245</v>
      </c>
      <c r="H548" s="19" t="s">
        <v>175</v>
      </c>
      <c r="I548" s="18" t="s">
        <v>246</v>
      </c>
      <c r="J548" s="19" t="s">
        <v>247</v>
      </c>
      <c r="K548" s="19" t="s">
        <v>248</v>
      </c>
      <c r="L548" s="18" t="s">
        <v>164</v>
      </c>
      <c r="M548" s="18" t="s">
        <v>1556</v>
      </c>
      <c r="N548" s="18" t="s">
        <v>250</v>
      </c>
      <c r="O548" s="20">
        <v>119000</v>
      </c>
      <c r="P548" s="20">
        <v>80920</v>
      </c>
      <c r="Q548" s="20">
        <v>1</v>
      </c>
      <c r="R548" s="20">
        <v>0</v>
      </c>
      <c r="S548" s="20">
        <v>0</v>
      </c>
      <c r="T548" s="20">
        <v>0</v>
      </c>
      <c r="U548" s="20">
        <v>0</v>
      </c>
      <c r="V548" s="20">
        <v>0</v>
      </c>
      <c r="W548" s="20">
        <v>32</v>
      </c>
      <c r="X548" s="20">
        <v>0</v>
      </c>
      <c r="Y548" s="20">
        <v>0</v>
      </c>
      <c r="Z548" s="20">
        <v>0</v>
      </c>
      <c r="AA548" s="20">
        <v>0</v>
      </c>
      <c r="AB548" s="20">
        <v>0</v>
      </c>
      <c r="AC548" s="20">
        <v>119000</v>
      </c>
      <c r="AD548" s="20">
        <v>80920</v>
      </c>
      <c r="AE548" s="20">
        <v>0</v>
      </c>
      <c r="AF548" s="20">
        <v>0</v>
      </c>
      <c r="AG548" s="20">
        <v>119000</v>
      </c>
      <c r="AH548" s="20">
        <v>80920</v>
      </c>
      <c r="AI548" s="20">
        <v>34618</v>
      </c>
      <c r="AJ548" s="20">
        <v>3462</v>
      </c>
      <c r="AK548" s="20">
        <v>38080</v>
      </c>
    </row>
    <row r="549" spans="1:37" ht="16.5" customHeight="1" x14ac:dyDescent="0.3">
      <c r="A549" s="18" t="s">
        <v>1689</v>
      </c>
      <c r="B549" s="18" t="s">
        <v>240</v>
      </c>
      <c r="C549" s="19" t="s">
        <v>241</v>
      </c>
      <c r="D549" s="18" t="s">
        <v>1690</v>
      </c>
      <c r="E549" s="19" t="s">
        <v>1691</v>
      </c>
      <c r="F549" s="18" t="s">
        <v>244</v>
      </c>
      <c r="G549" s="18" t="s">
        <v>245</v>
      </c>
      <c r="H549" s="19" t="s">
        <v>175</v>
      </c>
      <c r="I549" s="18" t="s">
        <v>246</v>
      </c>
      <c r="J549" s="19" t="s">
        <v>247</v>
      </c>
      <c r="K549" s="19" t="s">
        <v>248</v>
      </c>
      <c r="L549" s="18" t="s">
        <v>164</v>
      </c>
      <c r="M549" s="18" t="s">
        <v>1556</v>
      </c>
      <c r="N549" s="18" t="s">
        <v>250</v>
      </c>
      <c r="O549" s="20">
        <v>119000</v>
      </c>
      <c r="P549" s="20">
        <v>80920</v>
      </c>
      <c r="Q549" s="20">
        <v>1</v>
      </c>
      <c r="R549" s="20">
        <v>0</v>
      </c>
      <c r="S549" s="20">
        <v>0</v>
      </c>
      <c r="T549" s="20">
        <v>0</v>
      </c>
      <c r="U549" s="20">
        <v>0</v>
      </c>
      <c r="V549" s="20">
        <v>0</v>
      </c>
      <c r="W549" s="20">
        <v>32</v>
      </c>
      <c r="X549" s="20">
        <v>0</v>
      </c>
      <c r="Y549" s="20">
        <v>0</v>
      </c>
      <c r="Z549" s="20">
        <v>0</v>
      </c>
      <c r="AA549" s="20">
        <v>0</v>
      </c>
      <c r="AB549" s="20">
        <v>5950</v>
      </c>
      <c r="AC549" s="20">
        <v>119000</v>
      </c>
      <c r="AD549" s="20">
        <v>80920</v>
      </c>
      <c r="AE549" s="20">
        <v>0</v>
      </c>
      <c r="AF549" s="20">
        <v>5950</v>
      </c>
      <c r="AG549" s="20">
        <v>113050</v>
      </c>
      <c r="AH549" s="20">
        <v>80920</v>
      </c>
      <c r="AI549" s="20">
        <v>29209</v>
      </c>
      <c r="AJ549" s="20">
        <v>2921</v>
      </c>
      <c r="AK549" s="20">
        <v>32130</v>
      </c>
    </row>
    <row r="550" spans="1:37" ht="16.5" customHeight="1" x14ac:dyDescent="0.3">
      <c r="A550" s="18" t="s">
        <v>1692</v>
      </c>
      <c r="B550" s="18" t="s">
        <v>240</v>
      </c>
      <c r="C550" s="19" t="s">
        <v>241</v>
      </c>
      <c r="D550" s="18" t="s">
        <v>1693</v>
      </c>
      <c r="E550" s="19" t="s">
        <v>326</v>
      </c>
      <c r="F550" s="18" t="s">
        <v>244</v>
      </c>
      <c r="G550" s="18" t="s">
        <v>245</v>
      </c>
      <c r="H550" s="19" t="s">
        <v>175</v>
      </c>
      <c r="I550" s="18" t="s">
        <v>246</v>
      </c>
      <c r="J550" s="19" t="s">
        <v>247</v>
      </c>
      <c r="K550" s="19" t="s">
        <v>248</v>
      </c>
      <c r="L550" s="18" t="s">
        <v>164</v>
      </c>
      <c r="M550" s="18" t="s">
        <v>1556</v>
      </c>
      <c r="N550" s="18" t="s">
        <v>250</v>
      </c>
      <c r="O550" s="20">
        <v>119000</v>
      </c>
      <c r="P550" s="20">
        <v>80920</v>
      </c>
      <c r="Q550" s="20">
        <v>1</v>
      </c>
      <c r="R550" s="20">
        <v>0</v>
      </c>
      <c r="S550" s="20">
        <v>0</v>
      </c>
      <c r="T550" s="20">
        <v>0</v>
      </c>
      <c r="U550" s="20">
        <v>0</v>
      </c>
      <c r="V550" s="20">
        <v>0</v>
      </c>
      <c r="W550" s="20">
        <v>32</v>
      </c>
      <c r="X550" s="20">
        <v>0</v>
      </c>
      <c r="Y550" s="20">
        <v>0</v>
      </c>
      <c r="Z550" s="20">
        <v>0</v>
      </c>
      <c r="AA550" s="20">
        <v>0</v>
      </c>
      <c r="AB550" s="20">
        <v>0</v>
      </c>
      <c r="AC550" s="20">
        <v>119000</v>
      </c>
      <c r="AD550" s="20">
        <v>80920</v>
      </c>
      <c r="AE550" s="20">
        <v>0</v>
      </c>
      <c r="AF550" s="20">
        <v>0</v>
      </c>
      <c r="AG550" s="20">
        <v>119000</v>
      </c>
      <c r="AH550" s="20">
        <v>80920</v>
      </c>
      <c r="AI550" s="20">
        <v>34618</v>
      </c>
      <c r="AJ550" s="20">
        <v>3462</v>
      </c>
      <c r="AK550" s="20">
        <v>38080</v>
      </c>
    </row>
    <row r="551" spans="1:37" ht="16.5" customHeight="1" x14ac:dyDescent="0.3">
      <c r="A551" s="18" t="s">
        <v>1694</v>
      </c>
      <c r="B551" s="18" t="s">
        <v>240</v>
      </c>
      <c r="C551" s="19" t="s">
        <v>241</v>
      </c>
      <c r="D551" s="18" t="s">
        <v>1695</v>
      </c>
      <c r="E551" s="19" t="s">
        <v>1696</v>
      </c>
      <c r="F551" s="18" t="s">
        <v>244</v>
      </c>
      <c r="G551" s="18" t="s">
        <v>245</v>
      </c>
      <c r="H551" s="19" t="s">
        <v>175</v>
      </c>
      <c r="I551" s="18" t="s">
        <v>246</v>
      </c>
      <c r="J551" s="19" t="s">
        <v>247</v>
      </c>
      <c r="K551" s="19" t="s">
        <v>248</v>
      </c>
      <c r="L551" s="18" t="s">
        <v>164</v>
      </c>
      <c r="M551" s="18" t="s">
        <v>1556</v>
      </c>
      <c r="N551" s="18" t="s">
        <v>250</v>
      </c>
      <c r="O551" s="20">
        <v>119000</v>
      </c>
      <c r="P551" s="20">
        <v>80920</v>
      </c>
      <c r="Q551" s="20">
        <v>1</v>
      </c>
      <c r="R551" s="20">
        <v>0</v>
      </c>
      <c r="S551" s="20">
        <v>0</v>
      </c>
      <c r="T551" s="20">
        <v>0</v>
      </c>
      <c r="U551" s="20">
        <v>0</v>
      </c>
      <c r="V551" s="20">
        <v>0</v>
      </c>
      <c r="W551" s="20">
        <v>32</v>
      </c>
      <c r="X551" s="20">
        <v>0</v>
      </c>
      <c r="Y551" s="20">
        <v>0</v>
      </c>
      <c r="Z551" s="20">
        <v>0</v>
      </c>
      <c r="AA551" s="20">
        <v>0</v>
      </c>
      <c r="AB551" s="20">
        <v>5950</v>
      </c>
      <c r="AC551" s="20">
        <v>119000</v>
      </c>
      <c r="AD551" s="20">
        <v>80920</v>
      </c>
      <c r="AE551" s="20">
        <v>0</v>
      </c>
      <c r="AF551" s="20">
        <v>5950</v>
      </c>
      <c r="AG551" s="20">
        <v>113050</v>
      </c>
      <c r="AH551" s="20">
        <v>80920</v>
      </c>
      <c r="AI551" s="20">
        <v>29209</v>
      </c>
      <c r="AJ551" s="20">
        <v>2921</v>
      </c>
      <c r="AK551" s="20">
        <v>32130</v>
      </c>
    </row>
    <row r="552" spans="1:37" ht="16.5" customHeight="1" x14ac:dyDescent="0.3">
      <c r="A552" s="18" t="s">
        <v>1697</v>
      </c>
      <c r="B552" s="18" t="s">
        <v>240</v>
      </c>
      <c r="C552" s="19" t="s">
        <v>241</v>
      </c>
      <c r="D552" s="18" t="s">
        <v>1698</v>
      </c>
      <c r="E552" s="19" t="s">
        <v>284</v>
      </c>
      <c r="F552" s="18" t="s">
        <v>244</v>
      </c>
      <c r="G552" s="18" t="s">
        <v>245</v>
      </c>
      <c r="H552" s="19" t="s">
        <v>175</v>
      </c>
      <c r="I552" s="18" t="s">
        <v>246</v>
      </c>
      <c r="J552" s="19" t="s">
        <v>247</v>
      </c>
      <c r="K552" s="19" t="s">
        <v>248</v>
      </c>
      <c r="L552" s="18" t="s">
        <v>164</v>
      </c>
      <c r="M552" s="18" t="s">
        <v>1556</v>
      </c>
      <c r="N552" s="18" t="s">
        <v>250</v>
      </c>
      <c r="O552" s="20">
        <v>119000</v>
      </c>
      <c r="P552" s="20">
        <v>80920</v>
      </c>
      <c r="Q552" s="20">
        <v>1</v>
      </c>
      <c r="R552" s="20">
        <v>0</v>
      </c>
      <c r="S552" s="20">
        <v>0</v>
      </c>
      <c r="T552" s="20">
        <v>0</v>
      </c>
      <c r="U552" s="20">
        <v>0</v>
      </c>
      <c r="V552" s="20">
        <v>0</v>
      </c>
      <c r="W552" s="20">
        <v>32</v>
      </c>
      <c r="X552" s="20">
        <v>0</v>
      </c>
      <c r="Y552" s="20">
        <v>0</v>
      </c>
      <c r="Z552" s="20">
        <v>0</v>
      </c>
      <c r="AA552" s="20">
        <v>0</v>
      </c>
      <c r="AB552" s="20">
        <v>0</v>
      </c>
      <c r="AC552" s="20">
        <v>119000</v>
      </c>
      <c r="AD552" s="20">
        <v>80920</v>
      </c>
      <c r="AE552" s="20">
        <v>0</v>
      </c>
      <c r="AF552" s="20">
        <v>0</v>
      </c>
      <c r="AG552" s="20">
        <v>119000</v>
      </c>
      <c r="AH552" s="20">
        <v>80920</v>
      </c>
      <c r="AI552" s="20">
        <v>34618</v>
      </c>
      <c r="AJ552" s="20">
        <v>3462</v>
      </c>
      <c r="AK552" s="20">
        <v>38080</v>
      </c>
    </row>
    <row r="553" spans="1:37" ht="16.5" customHeight="1" x14ac:dyDescent="0.3">
      <c r="A553" s="18" t="s">
        <v>1699</v>
      </c>
      <c r="B553" s="18" t="s">
        <v>240</v>
      </c>
      <c r="C553" s="19" t="s">
        <v>241</v>
      </c>
      <c r="D553" s="18" t="s">
        <v>1700</v>
      </c>
      <c r="E553" s="19" t="s">
        <v>1701</v>
      </c>
      <c r="F553" s="18" t="s">
        <v>244</v>
      </c>
      <c r="G553" s="18" t="s">
        <v>245</v>
      </c>
      <c r="H553" s="19" t="s">
        <v>175</v>
      </c>
      <c r="I553" s="18" t="s">
        <v>246</v>
      </c>
      <c r="J553" s="19" t="s">
        <v>247</v>
      </c>
      <c r="K553" s="19" t="s">
        <v>248</v>
      </c>
      <c r="L553" s="18" t="s">
        <v>164</v>
      </c>
      <c r="M553" s="18" t="s">
        <v>1556</v>
      </c>
      <c r="N553" s="18" t="s">
        <v>250</v>
      </c>
      <c r="O553" s="20">
        <v>119000</v>
      </c>
      <c r="P553" s="20">
        <v>80920</v>
      </c>
      <c r="Q553" s="20">
        <v>1</v>
      </c>
      <c r="R553" s="20">
        <v>0</v>
      </c>
      <c r="S553" s="20">
        <v>0</v>
      </c>
      <c r="T553" s="20">
        <v>0</v>
      </c>
      <c r="U553" s="20">
        <v>0</v>
      </c>
      <c r="V553" s="20">
        <v>0</v>
      </c>
      <c r="W553" s="20">
        <v>32</v>
      </c>
      <c r="X553" s="20">
        <v>5950</v>
      </c>
      <c r="Y553" s="20">
        <v>0</v>
      </c>
      <c r="Z553" s="20">
        <v>0</v>
      </c>
      <c r="AA553" s="20">
        <v>0</v>
      </c>
      <c r="AB553" s="20">
        <v>0</v>
      </c>
      <c r="AC553" s="20">
        <v>119000</v>
      </c>
      <c r="AD553" s="20">
        <v>80920</v>
      </c>
      <c r="AE553" s="20">
        <v>0</v>
      </c>
      <c r="AF553" s="20">
        <v>5950</v>
      </c>
      <c r="AG553" s="20">
        <v>113050</v>
      </c>
      <c r="AH553" s="20">
        <v>80920</v>
      </c>
      <c r="AI553" s="20">
        <v>29209</v>
      </c>
      <c r="AJ553" s="20">
        <v>2921</v>
      </c>
      <c r="AK553" s="20">
        <v>32130</v>
      </c>
    </row>
    <row r="554" spans="1:37" ht="16.5" customHeight="1" x14ac:dyDescent="0.3">
      <c r="A554" s="18" t="s">
        <v>1702</v>
      </c>
      <c r="B554" s="18" t="s">
        <v>240</v>
      </c>
      <c r="C554" s="19" t="s">
        <v>241</v>
      </c>
      <c r="D554" s="18" t="s">
        <v>1703</v>
      </c>
      <c r="E554" s="19" t="s">
        <v>1704</v>
      </c>
      <c r="F554" s="18" t="s">
        <v>244</v>
      </c>
      <c r="G554" s="18" t="s">
        <v>245</v>
      </c>
      <c r="H554" s="19" t="s">
        <v>175</v>
      </c>
      <c r="I554" s="18" t="s">
        <v>246</v>
      </c>
      <c r="J554" s="19" t="s">
        <v>247</v>
      </c>
      <c r="K554" s="19" t="s">
        <v>248</v>
      </c>
      <c r="L554" s="18" t="s">
        <v>164</v>
      </c>
      <c r="M554" s="18" t="s">
        <v>1556</v>
      </c>
      <c r="N554" s="18" t="s">
        <v>250</v>
      </c>
      <c r="O554" s="20">
        <v>119000</v>
      </c>
      <c r="P554" s="20">
        <v>80920</v>
      </c>
      <c r="Q554" s="20">
        <v>1</v>
      </c>
      <c r="R554" s="20">
        <v>0</v>
      </c>
      <c r="S554" s="20">
        <v>0</v>
      </c>
      <c r="T554" s="20">
        <v>0</v>
      </c>
      <c r="U554" s="20">
        <v>0</v>
      </c>
      <c r="V554" s="20">
        <v>0</v>
      </c>
      <c r="W554" s="20">
        <v>32</v>
      </c>
      <c r="X554" s="20">
        <v>0</v>
      </c>
      <c r="Y554" s="20">
        <v>0</v>
      </c>
      <c r="Z554" s="20">
        <v>0</v>
      </c>
      <c r="AA554" s="20">
        <v>0</v>
      </c>
      <c r="AB554" s="20">
        <v>0</v>
      </c>
      <c r="AC554" s="20">
        <v>119000</v>
      </c>
      <c r="AD554" s="20">
        <v>80920</v>
      </c>
      <c r="AE554" s="20">
        <v>0</v>
      </c>
      <c r="AF554" s="20">
        <v>0</v>
      </c>
      <c r="AG554" s="20">
        <v>119000</v>
      </c>
      <c r="AH554" s="20">
        <v>80920</v>
      </c>
      <c r="AI554" s="20">
        <v>34618</v>
      </c>
      <c r="AJ554" s="20">
        <v>3462</v>
      </c>
      <c r="AK554" s="20">
        <v>38080</v>
      </c>
    </row>
    <row r="555" spans="1:37" ht="16.5" customHeight="1" x14ac:dyDescent="0.3">
      <c r="A555" s="18" t="s">
        <v>1705</v>
      </c>
      <c r="B555" s="18" t="s">
        <v>240</v>
      </c>
      <c r="C555" s="19" t="s">
        <v>241</v>
      </c>
      <c r="D555" s="18" t="s">
        <v>1706</v>
      </c>
      <c r="E555" s="19" t="s">
        <v>349</v>
      </c>
      <c r="F555" s="18" t="s">
        <v>244</v>
      </c>
      <c r="G555" s="18" t="s">
        <v>245</v>
      </c>
      <c r="H555" s="19" t="s">
        <v>175</v>
      </c>
      <c r="I555" s="18" t="s">
        <v>246</v>
      </c>
      <c r="J555" s="19" t="s">
        <v>247</v>
      </c>
      <c r="K555" s="19" t="s">
        <v>248</v>
      </c>
      <c r="L555" s="18" t="s">
        <v>164</v>
      </c>
      <c r="M555" s="18" t="s">
        <v>1556</v>
      </c>
      <c r="N555" s="18" t="s">
        <v>250</v>
      </c>
      <c r="O555" s="20">
        <v>119000</v>
      </c>
      <c r="P555" s="20">
        <v>80920</v>
      </c>
      <c r="Q555" s="20">
        <v>1</v>
      </c>
      <c r="R555" s="20">
        <v>0</v>
      </c>
      <c r="S555" s="20">
        <v>0</v>
      </c>
      <c r="T555" s="20">
        <v>0</v>
      </c>
      <c r="U555" s="20">
        <v>0</v>
      </c>
      <c r="V555" s="20">
        <v>0</v>
      </c>
      <c r="W555" s="20">
        <v>32</v>
      </c>
      <c r="X555" s="20">
        <v>0</v>
      </c>
      <c r="Y555" s="20">
        <v>0</v>
      </c>
      <c r="Z555" s="20">
        <v>0</v>
      </c>
      <c r="AA555" s="20">
        <v>0</v>
      </c>
      <c r="AB555" s="20">
        <v>0</v>
      </c>
      <c r="AC555" s="20">
        <v>119000</v>
      </c>
      <c r="AD555" s="20">
        <v>80920</v>
      </c>
      <c r="AE555" s="20">
        <v>0</v>
      </c>
      <c r="AF555" s="20">
        <v>0</v>
      </c>
      <c r="AG555" s="20">
        <v>119000</v>
      </c>
      <c r="AH555" s="20">
        <v>80920</v>
      </c>
      <c r="AI555" s="20">
        <v>34618</v>
      </c>
      <c r="AJ555" s="20">
        <v>3462</v>
      </c>
      <c r="AK555" s="20">
        <v>38080</v>
      </c>
    </row>
    <row r="556" spans="1:37" ht="16.5" customHeight="1" x14ac:dyDescent="0.3">
      <c r="A556" s="18" t="s">
        <v>1707</v>
      </c>
      <c r="B556" s="18" t="s">
        <v>240</v>
      </c>
      <c r="C556" s="19" t="s">
        <v>241</v>
      </c>
      <c r="D556" s="18" t="s">
        <v>1708</v>
      </c>
      <c r="E556" s="19" t="s">
        <v>473</v>
      </c>
      <c r="F556" s="18" t="s">
        <v>244</v>
      </c>
      <c r="G556" s="18" t="s">
        <v>245</v>
      </c>
      <c r="H556" s="19" t="s">
        <v>175</v>
      </c>
      <c r="I556" s="18" t="s">
        <v>246</v>
      </c>
      <c r="J556" s="19" t="s">
        <v>247</v>
      </c>
      <c r="K556" s="19" t="s">
        <v>248</v>
      </c>
      <c r="L556" s="18" t="s">
        <v>164</v>
      </c>
      <c r="M556" s="18" t="s">
        <v>1556</v>
      </c>
      <c r="N556" s="18" t="s">
        <v>250</v>
      </c>
      <c r="O556" s="20">
        <v>119000</v>
      </c>
      <c r="P556" s="20">
        <v>80920</v>
      </c>
      <c r="Q556" s="20">
        <v>1</v>
      </c>
      <c r="R556" s="20">
        <v>0</v>
      </c>
      <c r="S556" s="20">
        <v>0</v>
      </c>
      <c r="T556" s="20">
        <v>0</v>
      </c>
      <c r="U556" s="20">
        <v>0</v>
      </c>
      <c r="V556" s="20">
        <v>0</v>
      </c>
      <c r="W556" s="20">
        <v>32</v>
      </c>
      <c r="X556" s="20">
        <v>0</v>
      </c>
      <c r="Y556" s="20">
        <v>0</v>
      </c>
      <c r="Z556" s="20">
        <v>0</v>
      </c>
      <c r="AA556" s="20">
        <v>0</v>
      </c>
      <c r="AB556" s="20">
        <v>0</v>
      </c>
      <c r="AC556" s="20">
        <v>119000</v>
      </c>
      <c r="AD556" s="20">
        <v>80920</v>
      </c>
      <c r="AE556" s="20">
        <v>0</v>
      </c>
      <c r="AF556" s="20">
        <v>0</v>
      </c>
      <c r="AG556" s="20">
        <v>119000</v>
      </c>
      <c r="AH556" s="20">
        <v>80920</v>
      </c>
      <c r="AI556" s="20">
        <v>34618</v>
      </c>
      <c r="AJ556" s="20">
        <v>3462</v>
      </c>
      <c r="AK556" s="20">
        <v>38080</v>
      </c>
    </row>
    <row r="557" spans="1:37" ht="16.5" customHeight="1" x14ac:dyDescent="0.3">
      <c r="A557" s="18" t="s">
        <v>1709</v>
      </c>
      <c r="B557" s="18" t="s">
        <v>240</v>
      </c>
      <c r="C557" s="19" t="s">
        <v>241</v>
      </c>
      <c r="D557" s="18" t="s">
        <v>1710</v>
      </c>
      <c r="E557" s="19" t="s">
        <v>559</v>
      </c>
      <c r="F557" s="18" t="s">
        <v>244</v>
      </c>
      <c r="G557" s="18" t="s">
        <v>245</v>
      </c>
      <c r="H557" s="19" t="s">
        <v>175</v>
      </c>
      <c r="I557" s="18" t="s">
        <v>246</v>
      </c>
      <c r="J557" s="19" t="s">
        <v>247</v>
      </c>
      <c r="K557" s="19" t="s">
        <v>248</v>
      </c>
      <c r="L557" s="18" t="s">
        <v>164</v>
      </c>
      <c r="M557" s="18" t="s">
        <v>1556</v>
      </c>
      <c r="N557" s="18" t="s">
        <v>250</v>
      </c>
      <c r="O557" s="20">
        <v>119000</v>
      </c>
      <c r="P557" s="20">
        <v>80920</v>
      </c>
      <c r="Q557" s="20">
        <v>1</v>
      </c>
      <c r="R557" s="20">
        <v>0</v>
      </c>
      <c r="S557" s="20">
        <v>0</v>
      </c>
      <c r="T557" s="20">
        <v>0</v>
      </c>
      <c r="U557" s="20">
        <v>0</v>
      </c>
      <c r="V557" s="20">
        <v>0</v>
      </c>
      <c r="W557" s="20">
        <v>32</v>
      </c>
      <c r="X557" s="20">
        <v>0</v>
      </c>
      <c r="Y557" s="20">
        <v>0</v>
      </c>
      <c r="Z557" s="20">
        <v>0</v>
      </c>
      <c r="AA557" s="20">
        <v>0</v>
      </c>
      <c r="AB557" s="20">
        <v>5950</v>
      </c>
      <c r="AC557" s="20">
        <v>119000</v>
      </c>
      <c r="AD557" s="20">
        <v>80920</v>
      </c>
      <c r="AE557" s="20">
        <v>0</v>
      </c>
      <c r="AF557" s="20">
        <v>5950</v>
      </c>
      <c r="AG557" s="20">
        <v>113050</v>
      </c>
      <c r="AH557" s="20">
        <v>80920</v>
      </c>
      <c r="AI557" s="20">
        <v>29209</v>
      </c>
      <c r="AJ557" s="20">
        <v>2921</v>
      </c>
      <c r="AK557" s="20">
        <v>32130</v>
      </c>
    </row>
    <row r="558" spans="1:37" ht="16.5" customHeight="1" x14ac:dyDescent="0.3">
      <c r="A558" s="18" t="s">
        <v>1711</v>
      </c>
      <c r="B558" s="18" t="s">
        <v>240</v>
      </c>
      <c r="C558" s="19" t="s">
        <v>241</v>
      </c>
      <c r="D558" s="18" t="s">
        <v>1712</v>
      </c>
      <c r="E558" s="19" t="s">
        <v>1713</v>
      </c>
      <c r="F558" s="18" t="s">
        <v>244</v>
      </c>
      <c r="G558" s="18" t="s">
        <v>245</v>
      </c>
      <c r="H558" s="19" t="s">
        <v>175</v>
      </c>
      <c r="I558" s="18" t="s">
        <v>246</v>
      </c>
      <c r="J558" s="19" t="s">
        <v>247</v>
      </c>
      <c r="K558" s="19" t="s">
        <v>248</v>
      </c>
      <c r="L558" s="18" t="s">
        <v>164</v>
      </c>
      <c r="M558" s="18" t="s">
        <v>1556</v>
      </c>
      <c r="N558" s="18" t="s">
        <v>250</v>
      </c>
      <c r="O558" s="20">
        <v>119000</v>
      </c>
      <c r="P558" s="20">
        <v>80920</v>
      </c>
      <c r="Q558" s="20">
        <v>1</v>
      </c>
      <c r="R558" s="20">
        <v>0</v>
      </c>
      <c r="S558" s="20">
        <v>0</v>
      </c>
      <c r="T558" s="20">
        <v>0</v>
      </c>
      <c r="U558" s="20">
        <v>0</v>
      </c>
      <c r="V558" s="20">
        <v>0</v>
      </c>
      <c r="W558" s="20">
        <v>32</v>
      </c>
      <c r="X558" s="20">
        <v>0</v>
      </c>
      <c r="Y558" s="20">
        <v>0</v>
      </c>
      <c r="Z558" s="20">
        <v>0</v>
      </c>
      <c r="AA558" s="20">
        <v>0</v>
      </c>
      <c r="AB558" s="20">
        <v>0</v>
      </c>
      <c r="AC558" s="20">
        <v>119000</v>
      </c>
      <c r="AD558" s="20">
        <v>80920</v>
      </c>
      <c r="AE558" s="20">
        <v>0</v>
      </c>
      <c r="AF558" s="20">
        <v>0</v>
      </c>
      <c r="AG558" s="20">
        <v>119000</v>
      </c>
      <c r="AH558" s="20">
        <v>80920</v>
      </c>
      <c r="AI558" s="20">
        <v>34618</v>
      </c>
      <c r="AJ558" s="20">
        <v>3462</v>
      </c>
      <c r="AK558" s="20">
        <v>38080</v>
      </c>
    </row>
    <row r="559" spans="1:37" ht="16.5" customHeight="1" x14ac:dyDescent="0.3">
      <c r="A559" s="18" t="s">
        <v>1714</v>
      </c>
      <c r="B559" s="18" t="s">
        <v>240</v>
      </c>
      <c r="C559" s="19" t="s">
        <v>241</v>
      </c>
      <c r="D559" s="18" t="s">
        <v>1715</v>
      </c>
      <c r="E559" s="19" t="s">
        <v>1680</v>
      </c>
      <c r="F559" s="18" t="s">
        <v>244</v>
      </c>
      <c r="G559" s="18" t="s">
        <v>245</v>
      </c>
      <c r="H559" s="19" t="s">
        <v>175</v>
      </c>
      <c r="I559" s="18" t="s">
        <v>246</v>
      </c>
      <c r="J559" s="19" t="s">
        <v>247</v>
      </c>
      <c r="K559" s="19" t="s">
        <v>248</v>
      </c>
      <c r="L559" s="18" t="s">
        <v>164</v>
      </c>
      <c r="M559" s="18" t="s">
        <v>1556</v>
      </c>
      <c r="N559" s="18" t="s">
        <v>250</v>
      </c>
      <c r="O559" s="20">
        <v>119000</v>
      </c>
      <c r="P559" s="20">
        <v>80920</v>
      </c>
      <c r="Q559" s="20">
        <v>1</v>
      </c>
      <c r="R559" s="20">
        <v>0</v>
      </c>
      <c r="S559" s="20">
        <v>0</v>
      </c>
      <c r="T559" s="20">
        <v>0</v>
      </c>
      <c r="U559" s="20">
        <v>0</v>
      </c>
      <c r="V559" s="20">
        <v>0</v>
      </c>
      <c r="W559" s="20">
        <v>32</v>
      </c>
      <c r="X559" s="20">
        <v>0</v>
      </c>
      <c r="Y559" s="20">
        <v>0</v>
      </c>
      <c r="Z559" s="20">
        <v>0</v>
      </c>
      <c r="AA559" s="20">
        <v>0</v>
      </c>
      <c r="AB559" s="20">
        <v>0</v>
      </c>
      <c r="AC559" s="20">
        <v>119000</v>
      </c>
      <c r="AD559" s="20">
        <v>80920</v>
      </c>
      <c r="AE559" s="20">
        <v>0</v>
      </c>
      <c r="AF559" s="20">
        <v>0</v>
      </c>
      <c r="AG559" s="20">
        <v>119000</v>
      </c>
      <c r="AH559" s="20">
        <v>80920</v>
      </c>
      <c r="AI559" s="20">
        <v>34618</v>
      </c>
      <c r="AJ559" s="20">
        <v>3462</v>
      </c>
      <c r="AK559" s="20">
        <v>38080</v>
      </c>
    </row>
    <row r="560" spans="1:37" ht="16.5" customHeight="1" x14ac:dyDescent="0.3">
      <c r="A560" s="18" t="s">
        <v>1716</v>
      </c>
      <c r="B560" s="18" t="s">
        <v>240</v>
      </c>
      <c r="C560" s="19" t="s">
        <v>241</v>
      </c>
      <c r="D560" s="18" t="s">
        <v>1717</v>
      </c>
      <c r="E560" s="19" t="s">
        <v>1718</v>
      </c>
      <c r="F560" s="18" t="s">
        <v>244</v>
      </c>
      <c r="G560" s="18" t="s">
        <v>245</v>
      </c>
      <c r="H560" s="19" t="s">
        <v>175</v>
      </c>
      <c r="I560" s="18" t="s">
        <v>246</v>
      </c>
      <c r="J560" s="19" t="s">
        <v>247</v>
      </c>
      <c r="K560" s="19" t="s">
        <v>248</v>
      </c>
      <c r="L560" s="18" t="s">
        <v>164</v>
      </c>
      <c r="M560" s="18" t="s">
        <v>1556</v>
      </c>
      <c r="N560" s="18" t="s">
        <v>250</v>
      </c>
      <c r="O560" s="20">
        <v>119000</v>
      </c>
      <c r="P560" s="20">
        <v>80920</v>
      </c>
      <c r="Q560" s="20">
        <v>1</v>
      </c>
      <c r="R560" s="20">
        <v>0</v>
      </c>
      <c r="S560" s="20">
        <v>0</v>
      </c>
      <c r="T560" s="20">
        <v>0</v>
      </c>
      <c r="U560" s="20">
        <v>0</v>
      </c>
      <c r="V560" s="20">
        <v>0</v>
      </c>
      <c r="W560" s="20">
        <v>32</v>
      </c>
      <c r="X560" s="20">
        <v>0</v>
      </c>
      <c r="Y560" s="20">
        <v>0</v>
      </c>
      <c r="Z560" s="20">
        <v>0</v>
      </c>
      <c r="AA560" s="20">
        <v>0</v>
      </c>
      <c r="AB560" s="20">
        <v>0</v>
      </c>
      <c r="AC560" s="20">
        <v>119000</v>
      </c>
      <c r="AD560" s="20">
        <v>80920</v>
      </c>
      <c r="AE560" s="20">
        <v>0</v>
      </c>
      <c r="AF560" s="20">
        <v>0</v>
      </c>
      <c r="AG560" s="20">
        <v>119000</v>
      </c>
      <c r="AH560" s="20">
        <v>80920</v>
      </c>
      <c r="AI560" s="20">
        <v>34618</v>
      </c>
      <c r="AJ560" s="20">
        <v>3462</v>
      </c>
      <c r="AK560" s="20">
        <v>38080</v>
      </c>
    </row>
    <row r="561" spans="1:37" ht="16.5" customHeight="1" x14ac:dyDescent="0.3">
      <c r="A561" s="18" t="s">
        <v>1719</v>
      </c>
      <c r="B561" s="18" t="s">
        <v>240</v>
      </c>
      <c r="C561" s="19" t="s">
        <v>241</v>
      </c>
      <c r="D561" s="18" t="s">
        <v>1720</v>
      </c>
      <c r="E561" s="19" t="s">
        <v>1721</v>
      </c>
      <c r="F561" s="18" t="s">
        <v>244</v>
      </c>
      <c r="G561" s="18" t="s">
        <v>245</v>
      </c>
      <c r="H561" s="19" t="s">
        <v>175</v>
      </c>
      <c r="I561" s="18" t="s">
        <v>246</v>
      </c>
      <c r="J561" s="19" t="s">
        <v>247</v>
      </c>
      <c r="K561" s="19" t="s">
        <v>248</v>
      </c>
      <c r="L561" s="18" t="s">
        <v>164</v>
      </c>
      <c r="M561" s="18" t="s">
        <v>1556</v>
      </c>
      <c r="N561" s="18" t="s">
        <v>250</v>
      </c>
      <c r="O561" s="20">
        <v>119000</v>
      </c>
      <c r="P561" s="20">
        <v>80920</v>
      </c>
      <c r="Q561" s="20">
        <v>1</v>
      </c>
      <c r="R561" s="20">
        <v>0</v>
      </c>
      <c r="S561" s="20">
        <v>0</v>
      </c>
      <c r="T561" s="20">
        <v>0</v>
      </c>
      <c r="U561" s="20">
        <v>0</v>
      </c>
      <c r="V561" s="20">
        <v>0</v>
      </c>
      <c r="W561" s="20">
        <v>32</v>
      </c>
      <c r="X561" s="20">
        <v>0</v>
      </c>
      <c r="Y561" s="20">
        <v>0</v>
      </c>
      <c r="Z561" s="20">
        <v>0</v>
      </c>
      <c r="AA561" s="20">
        <v>0</v>
      </c>
      <c r="AB561" s="20">
        <v>0</v>
      </c>
      <c r="AC561" s="20">
        <v>119000</v>
      </c>
      <c r="AD561" s="20">
        <v>80920</v>
      </c>
      <c r="AE561" s="20">
        <v>0</v>
      </c>
      <c r="AF561" s="20">
        <v>0</v>
      </c>
      <c r="AG561" s="20">
        <v>119000</v>
      </c>
      <c r="AH561" s="20">
        <v>80920</v>
      </c>
      <c r="AI561" s="20">
        <v>34618</v>
      </c>
      <c r="AJ561" s="20">
        <v>3462</v>
      </c>
      <c r="AK561" s="20">
        <v>38080</v>
      </c>
    </row>
    <row r="562" spans="1:37" ht="16.5" customHeight="1" x14ac:dyDescent="0.3">
      <c r="A562" s="18" t="s">
        <v>1722</v>
      </c>
      <c r="B562" s="18" t="s">
        <v>240</v>
      </c>
      <c r="C562" s="19" t="s">
        <v>241</v>
      </c>
      <c r="D562" s="18" t="s">
        <v>1723</v>
      </c>
      <c r="E562" s="19" t="s">
        <v>1724</v>
      </c>
      <c r="F562" s="18" t="s">
        <v>244</v>
      </c>
      <c r="G562" s="18" t="s">
        <v>245</v>
      </c>
      <c r="H562" s="19" t="s">
        <v>175</v>
      </c>
      <c r="I562" s="18" t="s">
        <v>246</v>
      </c>
      <c r="J562" s="19" t="s">
        <v>247</v>
      </c>
      <c r="K562" s="19" t="s">
        <v>248</v>
      </c>
      <c r="L562" s="18" t="s">
        <v>164</v>
      </c>
      <c r="M562" s="18" t="s">
        <v>1556</v>
      </c>
      <c r="N562" s="18" t="s">
        <v>250</v>
      </c>
      <c r="O562" s="20">
        <v>119000</v>
      </c>
      <c r="P562" s="20">
        <v>80920</v>
      </c>
      <c r="Q562" s="20">
        <v>1</v>
      </c>
      <c r="R562" s="20">
        <v>0</v>
      </c>
      <c r="S562" s="20">
        <v>0</v>
      </c>
      <c r="T562" s="20">
        <v>0</v>
      </c>
      <c r="U562" s="20">
        <v>0</v>
      </c>
      <c r="V562" s="20">
        <v>0</v>
      </c>
      <c r="W562" s="20">
        <v>32</v>
      </c>
      <c r="X562" s="20">
        <v>0</v>
      </c>
      <c r="Y562" s="20">
        <v>0</v>
      </c>
      <c r="Z562" s="20">
        <v>0</v>
      </c>
      <c r="AA562" s="20">
        <v>0</v>
      </c>
      <c r="AB562" s="20">
        <v>5950</v>
      </c>
      <c r="AC562" s="20">
        <v>119000</v>
      </c>
      <c r="AD562" s="20">
        <v>80920</v>
      </c>
      <c r="AE562" s="20">
        <v>0</v>
      </c>
      <c r="AF562" s="20">
        <v>5950</v>
      </c>
      <c r="AG562" s="20">
        <v>113050</v>
      </c>
      <c r="AH562" s="20">
        <v>80920</v>
      </c>
      <c r="AI562" s="20">
        <v>29209</v>
      </c>
      <c r="AJ562" s="20">
        <v>2921</v>
      </c>
      <c r="AK562" s="20">
        <v>32130</v>
      </c>
    </row>
    <row r="563" spans="1:37" ht="16.5" customHeight="1" x14ac:dyDescent="0.3">
      <c r="A563" s="18" t="s">
        <v>1725</v>
      </c>
      <c r="B563" s="18" t="s">
        <v>240</v>
      </c>
      <c r="C563" s="19" t="s">
        <v>241</v>
      </c>
      <c r="D563" s="18" t="s">
        <v>1726</v>
      </c>
      <c r="E563" s="19" t="s">
        <v>1727</v>
      </c>
      <c r="F563" s="18" t="s">
        <v>244</v>
      </c>
      <c r="G563" s="18" t="s">
        <v>245</v>
      </c>
      <c r="H563" s="19" t="s">
        <v>175</v>
      </c>
      <c r="I563" s="18" t="s">
        <v>246</v>
      </c>
      <c r="J563" s="19" t="s">
        <v>247</v>
      </c>
      <c r="K563" s="19" t="s">
        <v>314</v>
      </c>
      <c r="L563" s="18" t="s">
        <v>164</v>
      </c>
      <c r="M563" s="18" t="s">
        <v>1556</v>
      </c>
      <c r="N563" s="18" t="s">
        <v>250</v>
      </c>
      <c r="O563" s="20">
        <v>119000</v>
      </c>
      <c r="P563" s="20">
        <v>80920</v>
      </c>
      <c r="Q563" s="20">
        <v>1</v>
      </c>
      <c r="R563" s="20">
        <v>0</v>
      </c>
      <c r="S563" s="20">
        <v>0</v>
      </c>
      <c r="T563" s="20">
        <v>0</v>
      </c>
      <c r="U563" s="20">
        <v>0</v>
      </c>
      <c r="V563" s="20">
        <v>0</v>
      </c>
      <c r="W563" s="20">
        <v>32</v>
      </c>
      <c r="X563" s="20">
        <v>0</v>
      </c>
      <c r="Y563" s="20">
        <v>0</v>
      </c>
      <c r="Z563" s="20">
        <v>0</v>
      </c>
      <c r="AA563" s="20">
        <v>0</v>
      </c>
      <c r="AB563" s="20">
        <v>0</v>
      </c>
      <c r="AC563" s="20">
        <v>119000</v>
      </c>
      <c r="AD563" s="20">
        <v>80920</v>
      </c>
      <c r="AE563" s="20">
        <v>0</v>
      </c>
      <c r="AF563" s="20">
        <v>0</v>
      </c>
      <c r="AG563" s="20">
        <v>119000</v>
      </c>
      <c r="AH563" s="20">
        <v>80920</v>
      </c>
      <c r="AI563" s="20">
        <v>34618</v>
      </c>
      <c r="AJ563" s="20">
        <v>3462</v>
      </c>
      <c r="AK563" s="20">
        <v>38080</v>
      </c>
    </row>
    <row r="564" spans="1:37" ht="16.5" customHeight="1" x14ac:dyDescent="0.3">
      <c r="A564" s="18" t="s">
        <v>1728</v>
      </c>
      <c r="B564" s="18" t="s">
        <v>240</v>
      </c>
      <c r="C564" s="19" t="s">
        <v>241</v>
      </c>
      <c r="D564" s="18" t="s">
        <v>1729</v>
      </c>
      <c r="E564" s="19" t="s">
        <v>1730</v>
      </c>
      <c r="F564" s="18" t="s">
        <v>244</v>
      </c>
      <c r="G564" s="18" t="s">
        <v>245</v>
      </c>
      <c r="H564" s="19" t="s">
        <v>175</v>
      </c>
      <c r="I564" s="18" t="s">
        <v>246</v>
      </c>
      <c r="J564" s="19" t="s">
        <v>247</v>
      </c>
      <c r="K564" s="19" t="s">
        <v>248</v>
      </c>
      <c r="L564" s="18" t="s">
        <v>164</v>
      </c>
      <c r="M564" s="18" t="s">
        <v>1556</v>
      </c>
      <c r="N564" s="18" t="s">
        <v>250</v>
      </c>
      <c r="O564" s="20">
        <v>119000</v>
      </c>
      <c r="P564" s="20">
        <v>80920</v>
      </c>
      <c r="Q564" s="20">
        <v>1</v>
      </c>
      <c r="R564" s="20">
        <v>0</v>
      </c>
      <c r="S564" s="20">
        <v>0</v>
      </c>
      <c r="T564" s="20">
        <v>0</v>
      </c>
      <c r="U564" s="20">
        <v>0</v>
      </c>
      <c r="V564" s="20">
        <v>0</v>
      </c>
      <c r="W564" s="20">
        <v>32</v>
      </c>
      <c r="X564" s="20">
        <v>0</v>
      </c>
      <c r="Y564" s="20">
        <v>0</v>
      </c>
      <c r="Z564" s="20">
        <v>0</v>
      </c>
      <c r="AA564" s="20">
        <v>0</v>
      </c>
      <c r="AB564" s="20">
        <v>0</v>
      </c>
      <c r="AC564" s="20">
        <v>119000</v>
      </c>
      <c r="AD564" s="20">
        <v>80920</v>
      </c>
      <c r="AE564" s="20">
        <v>0</v>
      </c>
      <c r="AF564" s="20">
        <v>0</v>
      </c>
      <c r="AG564" s="20">
        <v>119000</v>
      </c>
      <c r="AH564" s="20">
        <v>80920</v>
      </c>
      <c r="AI564" s="20">
        <v>34618</v>
      </c>
      <c r="AJ564" s="20">
        <v>3462</v>
      </c>
      <c r="AK564" s="20">
        <v>38080</v>
      </c>
    </row>
    <row r="565" spans="1:37" ht="16.5" customHeight="1" x14ac:dyDescent="0.3">
      <c r="A565" s="18" t="s">
        <v>1731</v>
      </c>
      <c r="B565" s="18" t="s">
        <v>240</v>
      </c>
      <c r="C565" s="19" t="s">
        <v>241</v>
      </c>
      <c r="D565" s="18" t="s">
        <v>1732</v>
      </c>
      <c r="E565" s="19" t="s">
        <v>1733</v>
      </c>
      <c r="F565" s="18" t="s">
        <v>244</v>
      </c>
      <c r="G565" s="18" t="s">
        <v>245</v>
      </c>
      <c r="H565" s="19" t="s">
        <v>175</v>
      </c>
      <c r="I565" s="18" t="s">
        <v>246</v>
      </c>
      <c r="J565" s="19" t="s">
        <v>247</v>
      </c>
      <c r="K565" s="19" t="s">
        <v>248</v>
      </c>
      <c r="L565" s="18" t="s">
        <v>164</v>
      </c>
      <c r="M565" s="18" t="s">
        <v>1556</v>
      </c>
      <c r="N565" s="18" t="s">
        <v>250</v>
      </c>
      <c r="O565" s="20">
        <v>119000</v>
      </c>
      <c r="P565" s="20">
        <v>80920</v>
      </c>
      <c r="Q565" s="20">
        <v>1</v>
      </c>
      <c r="R565" s="20">
        <v>0</v>
      </c>
      <c r="S565" s="20">
        <v>0</v>
      </c>
      <c r="T565" s="20">
        <v>0</v>
      </c>
      <c r="U565" s="20">
        <v>0</v>
      </c>
      <c r="V565" s="20">
        <v>0</v>
      </c>
      <c r="W565" s="20">
        <v>32</v>
      </c>
      <c r="X565" s="20">
        <v>0</v>
      </c>
      <c r="Y565" s="20">
        <v>0</v>
      </c>
      <c r="Z565" s="20">
        <v>0</v>
      </c>
      <c r="AA565" s="20">
        <v>0</v>
      </c>
      <c r="AB565" s="20">
        <v>0</v>
      </c>
      <c r="AC565" s="20">
        <v>119000</v>
      </c>
      <c r="AD565" s="20">
        <v>80920</v>
      </c>
      <c r="AE565" s="20">
        <v>0</v>
      </c>
      <c r="AF565" s="20">
        <v>0</v>
      </c>
      <c r="AG565" s="20">
        <v>119000</v>
      </c>
      <c r="AH565" s="20">
        <v>80920</v>
      </c>
      <c r="AI565" s="20">
        <v>34618</v>
      </c>
      <c r="AJ565" s="20">
        <v>3462</v>
      </c>
      <c r="AK565" s="20">
        <v>38080</v>
      </c>
    </row>
    <row r="566" spans="1:37" ht="16.5" customHeight="1" x14ac:dyDescent="0.3">
      <c r="A566" s="18" t="s">
        <v>1734</v>
      </c>
      <c r="B566" s="18" t="s">
        <v>240</v>
      </c>
      <c r="C566" s="19" t="s">
        <v>241</v>
      </c>
      <c r="D566" s="18" t="s">
        <v>1735</v>
      </c>
      <c r="E566" s="19" t="s">
        <v>889</v>
      </c>
      <c r="F566" s="18" t="s">
        <v>244</v>
      </c>
      <c r="G566" s="18" t="s">
        <v>245</v>
      </c>
      <c r="H566" s="19" t="s">
        <v>175</v>
      </c>
      <c r="I566" s="18" t="s">
        <v>246</v>
      </c>
      <c r="J566" s="19" t="s">
        <v>247</v>
      </c>
      <c r="K566" s="19" t="s">
        <v>248</v>
      </c>
      <c r="L566" s="18" t="s">
        <v>164</v>
      </c>
      <c r="M566" s="18" t="s">
        <v>1556</v>
      </c>
      <c r="N566" s="18" t="s">
        <v>250</v>
      </c>
      <c r="O566" s="20">
        <v>119000</v>
      </c>
      <c r="P566" s="20">
        <v>80920</v>
      </c>
      <c r="Q566" s="20">
        <v>1</v>
      </c>
      <c r="R566" s="20">
        <v>0</v>
      </c>
      <c r="S566" s="20">
        <v>0</v>
      </c>
      <c r="T566" s="20">
        <v>0</v>
      </c>
      <c r="U566" s="20">
        <v>0</v>
      </c>
      <c r="V566" s="20">
        <v>0</v>
      </c>
      <c r="W566" s="20">
        <v>32</v>
      </c>
      <c r="X566" s="20">
        <v>0</v>
      </c>
      <c r="Y566" s="20">
        <v>0</v>
      </c>
      <c r="Z566" s="20">
        <v>0</v>
      </c>
      <c r="AA566" s="20">
        <v>0</v>
      </c>
      <c r="AB566" s="20">
        <v>0</v>
      </c>
      <c r="AC566" s="20">
        <v>119000</v>
      </c>
      <c r="AD566" s="20">
        <v>80920</v>
      </c>
      <c r="AE566" s="20">
        <v>0</v>
      </c>
      <c r="AF566" s="20">
        <v>0</v>
      </c>
      <c r="AG566" s="20">
        <v>119000</v>
      </c>
      <c r="AH566" s="20">
        <v>80920</v>
      </c>
      <c r="AI566" s="20">
        <v>34618</v>
      </c>
      <c r="AJ566" s="20">
        <v>3462</v>
      </c>
      <c r="AK566" s="20">
        <v>38080</v>
      </c>
    </row>
    <row r="567" spans="1:37" ht="16.5" customHeight="1" x14ac:dyDescent="0.3">
      <c r="A567" s="18" t="s">
        <v>1736</v>
      </c>
      <c r="B567" s="18" t="s">
        <v>240</v>
      </c>
      <c r="C567" s="19" t="s">
        <v>241</v>
      </c>
      <c r="D567" s="18" t="s">
        <v>1737</v>
      </c>
      <c r="E567" s="19" t="s">
        <v>1738</v>
      </c>
      <c r="F567" s="18" t="s">
        <v>244</v>
      </c>
      <c r="G567" s="18" t="s">
        <v>245</v>
      </c>
      <c r="H567" s="19" t="s">
        <v>175</v>
      </c>
      <c r="I567" s="18" t="s">
        <v>246</v>
      </c>
      <c r="J567" s="19" t="s">
        <v>247</v>
      </c>
      <c r="K567" s="19" t="s">
        <v>248</v>
      </c>
      <c r="L567" s="18" t="s">
        <v>164</v>
      </c>
      <c r="M567" s="18" t="s">
        <v>1556</v>
      </c>
      <c r="N567" s="18" t="s">
        <v>250</v>
      </c>
      <c r="O567" s="20">
        <v>119000</v>
      </c>
      <c r="P567" s="20">
        <v>80920</v>
      </c>
      <c r="Q567" s="20">
        <v>1</v>
      </c>
      <c r="R567" s="20">
        <v>0</v>
      </c>
      <c r="S567" s="20">
        <v>0</v>
      </c>
      <c r="T567" s="20">
        <v>0</v>
      </c>
      <c r="U567" s="20">
        <v>0</v>
      </c>
      <c r="V567" s="20">
        <v>0</v>
      </c>
      <c r="W567" s="20">
        <v>32</v>
      </c>
      <c r="X567" s="20">
        <v>0</v>
      </c>
      <c r="Y567" s="20">
        <v>0</v>
      </c>
      <c r="Z567" s="20">
        <v>0</v>
      </c>
      <c r="AA567" s="20">
        <v>0</v>
      </c>
      <c r="AB567" s="20">
        <v>0</v>
      </c>
      <c r="AC567" s="20">
        <v>119000</v>
      </c>
      <c r="AD567" s="20">
        <v>80920</v>
      </c>
      <c r="AE567" s="20">
        <v>0</v>
      </c>
      <c r="AF567" s="20">
        <v>0</v>
      </c>
      <c r="AG567" s="20">
        <v>119000</v>
      </c>
      <c r="AH567" s="20">
        <v>80920</v>
      </c>
      <c r="AI567" s="20">
        <v>34618</v>
      </c>
      <c r="AJ567" s="20">
        <v>3462</v>
      </c>
      <c r="AK567" s="20">
        <v>38080</v>
      </c>
    </row>
    <row r="568" spans="1:37" ht="16.5" customHeight="1" x14ac:dyDescent="0.3">
      <c r="A568" s="18" t="s">
        <v>1739</v>
      </c>
      <c r="B568" s="18" t="s">
        <v>240</v>
      </c>
      <c r="C568" s="19" t="s">
        <v>241</v>
      </c>
      <c r="D568" s="18" t="s">
        <v>1740</v>
      </c>
      <c r="E568" s="19" t="s">
        <v>1040</v>
      </c>
      <c r="F568" s="18" t="s">
        <v>244</v>
      </c>
      <c r="G568" s="18" t="s">
        <v>245</v>
      </c>
      <c r="H568" s="19" t="s">
        <v>175</v>
      </c>
      <c r="I568" s="18" t="s">
        <v>246</v>
      </c>
      <c r="J568" s="19" t="s">
        <v>247</v>
      </c>
      <c r="K568" s="19" t="s">
        <v>248</v>
      </c>
      <c r="L568" s="18" t="s">
        <v>164</v>
      </c>
      <c r="M568" s="18" t="s">
        <v>1556</v>
      </c>
      <c r="N568" s="18" t="s">
        <v>250</v>
      </c>
      <c r="O568" s="20">
        <v>119000</v>
      </c>
      <c r="P568" s="20">
        <v>80920</v>
      </c>
      <c r="Q568" s="20">
        <v>1</v>
      </c>
      <c r="R568" s="20">
        <v>0</v>
      </c>
      <c r="S568" s="20">
        <v>0</v>
      </c>
      <c r="T568" s="20">
        <v>0</v>
      </c>
      <c r="U568" s="20">
        <v>0</v>
      </c>
      <c r="V568" s="20">
        <v>0</v>
      </c>
      <c r="W568" s="20">
        <v>32</v>
      </c>
      <c r="X568" s="20">
        <v>0</v>
      </c>
      <c r="Y568" s="20">
        <v>0</v>
      </c>
      <c r="Z568" s="20">
        <v>0</v>
      </c>
      <c r="AA568" s="20">
        <v>0</v>
      </c>
      <c r="AB568" s="20">
        <v>0</v>
      </c>
      <c r="AC568" s="20">
        <v>119000</v>
      </c>
      <c r="AD568" s="20">
        <v>80920</v>
      </c>
      <c r="AE568" s="20">
        <v>0</v>
      </c>
      <c r="AF568" s="20">
        <v>0</v>
      </c>
      <c r="AG568" s="20">
        <v>119000</v>
      </c>
      <c r="AH568" s="20">
        <v>80920</v>
      </c>
      <c r="AI568" s="20">
        <v>34618</v>
      </c>
      <c r="AJ568" s="20">
        <v>3462</v>
      </c>
      <c r="AK568" s="20">
        <v>38080</v>
      </c>
    </row>
    <row r="569" spans="1:37" ht="16.5" customHeight="1" x14ac:dyDescent="0.3">
      <c r="A569" s="18" t="s">
        <v>1741</v>
      </c>
      <c r="B569" s="18" t="s">
        <v>240</v>
      </c>
      <c r="C569" s="19" t="s">
        <v>241</v>
      </c>
      <c r="D569" s="18" t="s">
        <v>1742</v>
      </c>
      <c r="E569" s="19" t="s">
        <v>1743</v>
      </c>
      <c r="F569" s="18" t="s">
        <v>244</v>
      </c>
      <c r="G569" s="18" t="s">
        <v>245</v>
      </c>
      <c r="H569" s="19" t="s">
        <v>175</v>
      </c>
      <c r="I569" s="18" t="s">
        <v>246</v>
      </c>
      <c r="J569" s="19" t="s">
        <v>247</v>
      </c>
      <c r="K569" s="19" t="s">
        <v>248</v>
      </c>
      <c r="L569" s="18" t="s">
        <v>164</v>
      </c>
      <c r="M569" s="18" t="s">
        <v>1556</v>
      </c>
      <c r="N569" s="18" t="s">
        <v>250</v>
      </c>
      <c r="O569" s="20">
        <v>119000</v>
      </c>
      <c r="P569" s="20">
        <v>80920</v>
      </c>
      <c r="Q569" s="20">
        <v>1</v>
      </c>
      <c r="R569" s="20">
        <v>0</v>
      </c>
      <c r="S569" s="20">
        <v>0</v>
      </c>
      <c r="T569" s="20">
        <v>0</v>
      </c>
      <c r="U569" s="20">
        <v>0</v>
      </c>
      <c r="V569" s="20">
        <v>0</v>
      </c>
      <c r="W569" s="20">
        <v>32</v>
      </c>
      <c r="X569" s="20">
        <v>0</v>
      </c>
      <c r="Y569" s="20">
        <v>0</v>
      </c>
      <c r="Z569" s="20">
        <v>0</v>
      </c>
      <c r="AA569" s="20">
        <v>0</v>
      </c>
      <c r="AB569" s="20">
        <v>0</v>
      </c>
      <c r="AC569" s="20">
        <v>119000</v>
      </c>
      <c r="AD569" s="20">
        <v>80920</v>
      </c>
      <c r="AE569" s="20">
        <v>0</v>
      </c>
      <c r="AF569" s="20">
        <v>0</v>
      </c>
      <c r="AG569" s="20">
        <v>119000</v>
      </c>
      <c r="AH569" s="20">
        <v>80920</v>
      </c>
      <c r="AI569" s="20">
        <v>34618</v>
      </c>
      <c r="AJ569" s="20">
        <v>3462</v>
      </c>
      <c r="AK569" s="20">
        <v>38080</v>
      </c>
    </row>
    <row r="570" spans="1:37" ht="16.5" customHeight="1" x14ac:dyDescent="0.3">
      <c r="A570" s="18" t="s">
        <v>1744</v>
      </c>
      <c r="B570" s="18" t="s">
        <v>240</v>
      </c>
      <c r="C570" s="19" t="s">
        <v>241</v>
      </c>
      <c r="D570" s="18" t="s">
        <v>1745</v>
      </c>
      <c r="E570" s="19" t="s">
        <v>290</v>
      </c>
      <c r="F570" s="18" t="s">
        <v>244</v>
      </c>
      <c r="G570" s="18" t="s">
        <v>245</v>
      </c>
      <c r="H570" s="19" t="s">
        <v>175</v>
      </c>
      <c r="I570" s="18" t="s">
        <v>246</v>
      </c>
      <c r="J570" s="19" t="s">
        <v>247</v>
      </c>
      <c r="K570" s="19" t="s">
        <v>314</v>
      </c>
      <c r="L570" s="18" t="s">
        <v>164</v>
      </c>
      <c r="M570" s="18" t="s">
        <v>1556</v>
      </c>
      <c r="N570" s="18" t="s">
        <v>250</v>
      </c>
      <c r="O570" s="20">
        <v>119000</v>
      </c>
      <c r="P570" s="20">
        <v>80920</v>
      </c>
      <c r="Q570" s="20">
        <v>1</v>
      </c>
      <c r="R570" s="20">
        <v>0</v>
      </c>
      <c r="S570" s="20">
        <v>0</v>
      </c>
      <c r="T570" s="20">
        <v>0</v>
      </c>
      <c r="U570" s="20">
        <v>0</v>
      </c>
      <c r="V570" s="20">
        <v>0</v>
      </c>
      <c r="W570" s="20">
        <v>32</v>
      </c>
      <c r="X570" s="20">
        <v>0</v>
      </c>
      <c r="Y570" s="20">
        <v>0</v>
      </c>
      <c r="Z570" s="20">
        <v>0</v>
      </c>
      <c r="AA570" s="20">
        <v>0</v>
      </c>
      <c r="AB570" s="20">
        <v>0</v>
      </c>
      <c r="AC570" s="20">
        <v>119000</v>
      </c>
      <c r="AD570" s="20">
        <v>80920</v>
      </c>
      <c r="AE570" s="20">
        <v>0</v>
      </c>
      <c r="AF570" s="20">
        <v>0</v>
      </c>
      <c r="AG570" s="20">
        <v>119000</v>
      </c>
      <c r="AH570" s="20">
        <v>80920</v>
      </c>
      <c r="AI570" s="20">
        <v>34618</v>
      </c>
      <c r="AJ570" s="20">
        <v>3462</v>
      </c>
      <c r="AK570" s="20">
        <v>38080</v>
      </c>
    </row>
    <row r="571" spans="1:37" ht="16.5" customHeight="1" x14ac:dyDescent="0.3">
      <c r="A571" s="18" t="s">
        <v>1746</v>
      </c>
      <c r="B571" s="18" t="s">
        <v>240</v>
      </c>
      <c r="C571" s="19" t="s">
        <v>241</v>
      </c>
      <c r="D571" s="18" t="s">
        <v>1747</v>
      </c>
      <c r="E571" s="19" t="s">
        <v>976</v>
      </c>
      <c r="F571" s="18" t="s">
        <v>244</v>
      </c>
      <c r="G571" s="18" t="s">
        <v>245</v>
      </c>
      <c r="H571" s="19" t="s">
        <v>175</v>
      </c>
      <c r="I571" s="18" t="s">
        <v>246</v>
      </c>
      <c r="J571" s="19" t="s">
        <v>247</v>
      </c>
      <c r="K571" s="19" t="s">
        <v>248</v>
      </c>
      <c r="L571" s="18" t="s">
        <v>164</v>
      </c>
      <c r="M571" s="18" t="s">
        <v>1556</v>
      </c>
      <c r="N571" s="18" t="s">
        <v>250</v>
      </c>
      <c r="O571" s="20">
        <v>119000</v>
      </c>
      <c r="P571" s="20">
        <v>80920</v>
      </c>
      <c r="Q571" s="20">
        <v>1</v>
      </c>
      <c r="R571" s="20">
        <v>0</v>
      </c>
      <c r="S571" s="20">
        <v>0</v>
      </c>
      <c r="T571" s="20">
        <v>0</v>
      </c>
      <c r="U571" s="20">
        <v>0</v>
      </c>
      <c r="V571" s="20">
        <v>0</v>
      </c>
      <c r="W571" s="20">
        <v>32</v>
      </c>
      <c r="X571" s="20">
        <v>0</v>
      </c>
      <c r="Y571" s="20">
        <v>0</v>
      </c>
      <c r="Z571" s="20">
        <v>0</v>
      </c>
      <c r="AA571" s="20">
        <v>0</v>
      </c>
      <c r="AB571" s="20">
        <v>0</v>
      </c>
      <c r="AC571" s="20">
        <v>119000</v>
      </c>
      <c r="AD571" s="20">
        <v>80920</v>
      </c>
      <c r="AE571" s="20">
        <v>0</v>
      </c>
      <c r="AF571" s="20">
        <v>0</v>
      </c>
      <c r="AG571" s="20">
        <v>119000</v>
      </c>
      <c r="AH571" s="20">
        <v>80920</v>
      </c>
      <c r="AI571" s="20">
        <v>34618</v>
      </c>
      <c r="AJ571" s="20">
        <v>3462</v>
      </c>
      <c r="AK571" s="20">
        <v>38080</v>
      </c>
    </row>
    <row r="572" spans="1:37" ht="16.5" customHeight="1" x14ac:dyDescent="0.3">
      <c r="A572" s="18" t="s">
        <v>1748</v>
      </c>
      <c r="B572" s="18" t="s">
        <v>240</v>
      </c>
      <c r="C572" s="19" t="s">
        <v>241</v>
      </c>
      <c r="D572" s="18" t="s">
        <v>1749</v>
      </c>
      <c r="E572" s="19" t="s">
        <v>1750</v>
      </c>
      <c r="F572" s="18" t="s">
        <v>244</v>
      </c>
      <c r="G572" s="18" t="s">
        <v>245</v>
      </c>
      <c r="H572" s="19" t="s">
        <v>175</v>
      </c>
      <c r="I572" s="18" t="s">
        <v>246</v>
      </c>
      <c r="J572" s="19" t="s">
        <v>247</v>
      </c>
      <c r="K572" s="19" t="s">
        <v>248</v>
      </c>
      <c r="L572" s="18" t="s">
        <v>164</v>
      </c>
      <c r="M572" s="18" t="s">
        <v>1556</v>
      </c>
      <c r="N572" s="18" t="s">
        <v>250</v>
      </c>
      <c r="O572" s="20">
        <v>119000</v>
      </c>
      <c r="P572" s="20">
        <v>80920</v>
      </c>
      <c r="Q572" s="20">
        <v>1</v>
      </c>
      <c r="R572" s="20">
        <v>0</v>
      </c>
      <c r="S572" s="20">
        <v>0</v>
      </c>
      <c r="T572" s="20">
        <v>0</v>
      </c>
      <c r="U572" s="20">
        <v>0</v>
      </c>
      <c r="V572" s="20">
        <v>0</v>
      </c>
      <c r="W572" s="20">
        <v>32</v>
      </c>
      <c r="X572" s="20">
        <v>0</v>
      </c>
      <c r="Y572" s="20">
        <v>0</v>
      </c>
      <c r="Z572" s="20">
        <v>0</v>
      </c>
      <c r="AA572" s="20">
        <v>0</v>
      </c>
      <c r="AB572" s="20">
        <v>0</v>
      </c>
      <c r="AC572" s="20">
        <v>119000</v>
      </c>
      <c r="AD572" s="20">
        <v>80920</v>
      </c>
      <c r="AE572" s="20">
        <v>0</v>
      </c>
      <c r="AF572" s="20">
        <v>0</v>
      </c>
      <c r="AG572" s="20">
        <v>119000</v>
      </c>
      <c r="AH572" s="20">
        <v>80920</v>
      </c>
      <c r="AI572" s="20">
        <v>34618</v>
      </c>
      <c r="AJ572" s="20">
        <v>3462</v>
      </c>
      <c r="AK572" s="20">
        <v>38080</v>
      </c>
    </row>
    <row r="573" spans="1:37" ht="16.5" customHeight="1" x14ac:dyDescent="0.3">
      <c r="A573" s="18" t="s">
        <v>1751</v>
      </c>
      <c r="B573" s="18" t="s">
        <v>240</v>
      </c>
      <c r="C573" s="19" t="s">
        <v>241</v>
      </c>
      <c r="D573" s="18" t="s">
        <v>1752</v>
      </c>
      <c r="E573" s="19" t="s">
        <v>1753</v>
      </c>
      <c r="F573" s="18" t="s">
        <v>244</v>
      </c>
      <c r="G573" s="18" t="s">
        <v>245</v>
      </c>
      <c r="H573" s="19" t="s">
        <v>175</v>
      </c>
      <c r="I573" s="18" t="s">
        <v>246</v>
      </c>
      <c r="J573" s="19" t="s">
        <v>247</v>
      </c>
      <c r="K573" s="19" t="s">
        <v>248</v>
      </c>
      <c r="L573" s="18" t="s">
        <v>164</v>
      </c>
      <c r="M573" s="18" t="s">
        <v>1556</v>
      </c>
      <c r="N573" s="18" t="s">
        <v>250</v>
      </c>
      <c r="O573" s="20">
        <v>119000</v>
      </c>
      <c r="P573" s="20">
        <v>80920</v>
      </c>
      <c r="Q573" s="20">
        <v>1</v>
      </c>
      <c r="R573" s="20">
        <v>0</v>
      </c>
      <c r="S573" s="20">
        <v>0</v>
      </c>
      <c r="T573" s="20">
        <v>0</v>
      </c>
      <c r="U573" s="20">
        <v>0</v>
      </c>
      <c r="V573" s="20">
        <v>0</v>
      </c>
      <c r="W573" s="20">
        <v>32</v>
      </c>
      <c r="X573" s="20">
        <v>0</v>
      </c>
      <c r="Y573" s="20">
        <v>0</v>
      </c>
      <c r="Z573" s="20">
        <v>0</v>
      </c>
      <c r="AA573" s="20">
        <v>0</v>
      </c>
      <c r="AB573" s="20">
        <v>0</v>
      </c>
      <c r="AC573" s="20">
        <v>119000</v>
      </c>
      <c r="AD573" s="20">
        <v>80920</v>
      </c>
      <c r="AE573" s="20">
        <v>0</v>
      </c>
      <c r="AF573" s="20">
        <v>0</v>
      </c>
      <c r="AG573" s="20">
        <v>119000</v>
      </c>
      <c r="AH573" s="20">
        <v>80920</v>
      </c>
      <c r="AI573" s="20">
        <v>34618</v>
      </c>
      <c r="AJ573" s="20">
        <v>3462</v>
      </c>
      <c r="AK573" s="20">
        <v>38080</v>
      </c>
    </row>
    <row r="574" spans="1:37" ht="16.5" customHeight="1" x14ac:dyDescent="0.3">
      <c r="A574" s="18" t="s">
        <v>1754</v>
      </c>
      <c r="B574" s="18" t="s">
        <v>240</v>
      </c>
      <c r="C574" s="19" t="s">
        <v>241</v>
      </c>
      <c r="D574" s="18" t="s">
        <v>1755</v>
      </c>
      <c r="E574" s="19" t="s">
        <v>1058</v>
      </c>
      <c r="F574" s="18" t="s">
        <v>244</v>
      </c>
      <c r="G574" s="18" t="s">
        <v>245</v>
      </c>
      <c r="H574" s="19" t="s">
        <v>175</v>
      </c>
      <c r="I574" s="18" t="s">
        <v>246</v>
      </c>
      <c r="J574" s="19" t="s">
        <v>247</v>
      </c>
      <c r="K574" s="19" t="s">
        <v>248</v>
      </c>
      <c r="L574" s="18" t="s">
        <v>164</v>
      </c>
      <c r="M574" s="18" t="s">
        <v>1556</v>
      </c>
      <c r="N574" s="18" t="s">
        <v>250</v>
      </c>
      <c r="O574" s="20">
        <v>119000</v>
      </c>
      <c r="P574" s="20">
        <v>80920</v>
      </c>
      <c r="Q574" s="20">
        <v>1</v>
      </c>
      <c r="R574" s="20">
        <v>0</v>
      </c>
      <c r="S574" s="20">
        <v>0</v>
      </c>
      <c r="T574" s="20">
        <v>0</v>
      </c>
      <c r="U574" s="20">
        <v>0</v>
      </c>
      <c r="V574" s="20">
        <v>0</v>
      </c>
      <c r="W574" s="20">
        <v>32</v>
      </c>
      <c r="X574" s="20">
        <v>0</v>
      </c>
      <c r="Y574" s="20">
        <v>5000</v>
      </c>
      <c r="Z574" s="20">
        <v>0</v>
      </c>
      <c r="AA574" s="20">
        <v>0</v>
      </c>
      <c r="AB574" s="20">
        <v>5700</v>
      </c>
      <c r="AC574" s="20">
        <v>119000</v>
      </c>
      <c r="AD574" s="20">
        <v>80920</v>
      </c>
      <c r="AE574" s="20">
        <v>0</v>
      </c>
      <c r="AF574" s="20">
        <v>10700</v>
      </c>
      <c r="AG574" s="20">
        <v>108300</v>
      </c>
      <c r="AH574" s="20">
        <v>80920</v>
      </c>
      <c r="AI574" s="20">
        <v>24891</v>
      </c>
      <c r="AJ574" s="20">
        <v>2489</v>
      </c>
      <c r="AK574" s="20">
        <v>27380</v>
      </c>
    </row>
    <row r="575" spans="1:37" ht="16.5" customHeight="1" x14ac:dyDescent="0.3">
      <c r="A575" s="18" t="s">
        <v>1756</v>
      </c>
      <c r="B575" s="18" t="s">
        <v>240</v>
      </c>
      <c r="C575" s="19" t="s">
        <v>241</v>
      </c>
      <c r="D575" s="18" t="s">
        <v>1757</v>
      </c>
      <c r="E575" s="19" t="s">
        <v>1375</v>
      </c>
      <c r="F575" s="18" t="s">
        <v>244</v>
      </c>
      <c r="G575" s="18" t="s">
        <v>245</v>
      </c>
      <c r="H575" s="19" t="s">
        <v>175</v>
      </c>
      <c r="I575" s="18" t="s">
        <v>246</v>
      </c>
      <c r="J575" s="19" t="s">
        <v>247</v>
      </c>
      <c r="K575" s="19" t="s">
        <v>248</v>
      </c>
      <c r="L575" s="18" t="s">
        <v>164</v>
      </c>
      <c r="M575" s="18" t="s">
        <v>1556</v>
      </c>
      <c r="N575" s="18" t="s">
        <v>250</v>
      </c>
      <c r="O575" s="20">
        <v>119000</v>
      </c>
      <c r="P575" s="20">
        <v>80920</v>
      </c>
      <c r="Q575" s="20">
        <v>1</v>
      </c>
      <c r="R575" s="20">
        <v>0</v>
      </c>
      <c r="S575" s="20">
        <v>0</v>
      </c>
      <c r="T575" s="20">
        <v>0</v>
      </c>
      <c r="U575" s="20">
        <v>0</v>
      </c>
      <c r="V575" s="20">
        <v>0</v>
      </c>
      <c r="W575" s="20">
        <v>32</v>
      </c>
      <c r="X575" s="20">
        <v>0</v>
      </c>
      <c r="Y575" s="20">
        <v>0</v>
      </c>
      <c r="Z575" s="20">
        <v>0</v>
      </c>
      <c r="AA575" s="20">
        <v>0</v>
      </c>
      <c r="AB575" s="20">
        <v>0</v>
      </c>
      <c r="AC575" s="20">
        <v>119000</v>
      </c>
      <c r="AD575" s="20">
        <v>80920</v>
      </c>
      <c r="AE575" s="20">
        <v>0</v>
      </c>
      <c r="AF575" s="20">
        <v>0</v>
      </c>
      <c r="AG575" s="20">
        <v>119000</v>
      </c>
      <c r="AH575" s="20">
        <v>80920</v>
      </c>
      <c r="AI575" s="20">
        <v>34618</v>
      </c>
      <c r="AJ575" s="20">
        <v>3462</v>
      </c>
      <c r="AK575" s="20">
        <v>38080</v>
      </c>
    </row>
    <row r="576" spans="1:37" ht="16.5" customHeight="1" x14ac:dyDescent="0.3">
      <c r="A576" s="18" t="s">
        <v>1758</v>
      </c>
      <c r="B576" s="18" t="s">
        <v>240</v>
      </c>
      <c r="C576" s="19" t="s">
        <v>241</v>
      </c>
      <c r="D576" s="18" t="s">
        <v>1759</v>
      </c>
      <c r="E576" s="19" t="s">
        <v>432</v>
      </c>
      <c r="F576" s="18" t="s">
        <v>244</v>
      </c>
      <c r="G576" s="18" t="s">
        <v>245</v>
      </c>
      <c r="H576" s="19" t="s">
        <v>175</v>
      </c>
      <c r="I576" s="18" t="s">
        <v>246</v>
      </c>
      <c r="J576" s="19" t="s">
        <v>247</v>
      </c>
      <c r="K576" s="19" t="s">
        <v>248</v>
      </c>
      <c r="L576" s="18" t="s">
        <v>164</v>
      </c>
      <c r="M576" s="18" t="s">
        <v>1556</v>
      </c>
      <c r="N576" s="18" t="s">
        <v>250</v>
      </c>
      <c r="O576" s="20">
        <v>119000</v>
      </c>
      <c r="P576" s="20">
        <v>80920</v>
      </c>
      <c r="Q576" s="20">
        <v>1</v>
      </c>
      <c r="R576" s="20">
        <v>0</v>
      </c>
      <c r="S576" s="20">
        <v>0</v>
      </c>
      <c r="T576" s="20">
        <v>0</v>
      </c>
      <c r="U576" s="20">
        <v>0</v>
      </c>
      <c r="V576" s="20">
        <v>0</v>
      </c>
      <c r="W576" s="20">
        <v>32</v>
      </c>
      <c r="X576" s="20">
        <v>0</v>
      </c>
      <c r="Y576" s="20">
        <v>0</v>
      </c>
      <c r="Z576" s="20">
        <v>0</v>
      </c>
      <c r="AA576" s="20">
        <v>0</v>
      </c>
      <c r="AB576" s="20">
        <v>0</v>
      </c>
      <c r="AC576" s="20">
        <v>119000</v>
      </c>
      <c r="AD576" s="20">
        <v>80920</v>
      </c>
      <c r="AE576" s="20">
        <v>0</v>
      </c>
      <c r="AF576" s="20">
        <v>0</v>
      </c>
      <c r="AG576" s="20">
        <v>119000</v>
      </c>
      <c r="AH576" s="20">
        <v>80920</v>
      </c>
      <c r="AI576" s="20">
        <v>34618</v>
      </c>
      <c r="AJ576" s="20">
        <v>3462</v>
      </c>
      <c r="AK576" s="20">
        <v>38080</v>
      </c>
    </row>
    <row r="577" spans="1:37" ht="16.5" customHeight="1" x14ac:dyDescent="0.3">
      <c r="A577" s="18" t="s">
        <v>1760</v>
      </c>
      <c r="B577" s="18" t="s">
        <v>240</v>
      </c>
      <c r="C577" s="19" t="s">
        <v>241</v>
      </c>
      <c r="D577" s="18" t="s">
        <v>1761</v>
      </c>
      <c r="E577" s="19" t="s">
        <v>1762</v>
      </c>
      <c r="F577" s="18" t="s">
        <v>244</v>
      </c>
      <c r="G577" s="18" t="s">
        <v>245</v>
      </c>
      <c r="H577" s="19" t="s">
        <v>175</v>
      </c>
      <c r="I577" s="18" t="s">
        <v>246</v>
      </c>
      <c r="J577" s="19" t="s">
        <v>247</v>
      </c>
      <c r="K577" s="19" t="s">
        <v>248</v>
      </c>
      <c r="L577" s="18" t="s">
        <v>164</v>
      </c>
      <c r="M577" s="18" t="s">
        <v>1556</v>
      </c>
      <c r="N577" s="18" t="s">
        <v>250</v>
      </c>
      <c r="O577" s="20">
        <v>119000</v>
      </c>
      <c r="P577" s="20">
        <v>80920</v>
      </c>
      <c r="Q577" s="20">
        <v>1</v>
      </c>
      <c r="R577" s="20">
        <v>0</v>
      </c>
      <c r="S577" s="20">
        <v>0</v>
      </c>
      <c r="T577" s="20">
        <v>0</v>
      </c>
      <c r="U577" s="20">
        <v>0</v>
      </c>
      <c r="V577" s="20">
        <v>0</v>
      </c>
      <c r="W577" s="20">
        <v>32</v>
      </c>
      <c r="X577" s="20">
        <v>0</v>
      </c>
      <c r="Y577" s="20">
        <v>0</v>
      </c>
      <c r="Z577" s="20">
        <v>0</v>
      </c>
      <c r="AA577" s="20">
        <v>0</v>
      </c>
      <c r="AB577" s="20">
        <v>5950</v>
      </c>
      <c r="AC577" s="20">
        <v>119000</v>
      </c>
      <c r="AD577" s="20">
        <v>80920</v>
      </c>
      <c r="AE577" s="20">
        <v>0</v>
      </c>
      <c r="AF577" s="20">
        <v>5950</v>
      </c>
      <c r="AG577" s="20">
        <v>113050</v>
      </c>
      <c r="AH577" s="20">
        <v>80920</v>
      </c>
      <c r="AI577" s="20">
        <v>29209</v>
      </c>
      <c r="AJ577" s="20">
        <v>2921</v>
      </c>
      <c r="AK577" s="20">
        <v>32130</v>
      </c>
    </row>
    <row r="578" spans="1:37" ht="16.5" customHeight="1" x14ac:dyDescent="0.3">
      <c r="A578" s="18" t="s">
        <v>1763</v>
      </c>
      <c r="B578" s="18" t="s">
        <v>240</v>
      </c>
      <c r="C578" s="19" t="s">
        <v>241</v>
      </c>
      <c r="D578" s="18" t="s">
        <v>1764</v>
      </c>
      <c r="E578" s="19" t="s">
        <v>1765</v>
      </c>
      <c r="F578" s="18" t="s">
        <v>244</v>
      </c>
      <c r="G578" s="18" t="s">
        <v>245</v>
      </c>
      <c r="H578" s="19" t="s">
        <v>175</v>
      </c>
      <c r="I578" s="18" t="s">
        <v>246</v>
      </c>
      <c r="J578" s="19" t="s">
        <v>247</v>
      </c>
      <c r="K578" s="19" t="s">
        <v>314</v>
      </c>
      <c r="L578" s="18" t="s">
        <v>164</v>
      </c>
      <c r="M578" s="18" t="s">
        <v>1556</v>
      </c>
      <c r="N578" s="18" t="s">
        <v>250</v>
      </c>
      <c r="O578" s="20">
        <v>119000</v>
      </c>
      <c r="P578" s="20">
        <v>80920</v>
      </c>
      <c r="Q578" s="20">
        <v>1</v>
      </c>
      <c r="R578" s="20">
        <v>0</v>
      </c>
      <c r="S578" s="20">
        <v>0</v>
      </c>
      <c r="T578" s="20">
        <v>0</v>
      </c>
      <c r="U578" s="20">
        <v>0</v>
      </c>
      <c r="V578" s="20">
        <v>0</v>
      </c>
      <c r="W578" s="20">
        <v>32</v>
      </c>
      <c r="X578" s="20">
        <v>0</v>
      </c>
      <c r="Y578" s="20">
        <v>0</v>
      </c>
      <c r="Z578" s="20">
        <v>0</v>
      </c>
      <c r="AA578" s="20">
        <v>0</v>
      </c>
      <c r="AB578" s="20">
        <v>0</v>
      </c>
      <c r="AC578" s="20">
        <v>119000</v>
      </c>
      <c r="AD578" s="20">
        <v>80920</v>
      </c>
      <c r="AE578" s="20">
        <v>0</v>
      </c>
      <c r="AF578" s="20">
        <v>0</v>
      </c>
      <c r="AG578" s="20">
        <v>119000</v>
      </c>
      <c r="AH578" s="20">
        <v>80920</v>
      </c>
      <c r="AI578" s="20">
        <v>34618</v>
      </c>
      <c r="AJ578" s="20">
        <v>3462</v>
      </c>
      <c r="AK578" s="20">
        <v>38080</v>
      </c>
    </row>
    <row r="579" spans="1:37" ht="16.5" customHeight="1" x14ac:dyDescent="0.3">
      <c r="A579" s="18" t="s">
        <v>1766</v>
      </c>
      <c r="B579" s="18" t="s">
        <v>240</v>
      </c>
      <c r="C579" s="19" t="s">
        <v>241</v>
      </c>
      <c r="D579" s="18" t="s">
        <v>1767</v>
      </c>
      <c r="E579" s="19" t="s">
        <v>473</v>
      </c>
      <c r="F579" s="18" t="s">
        <v>244</v>
      </c>
      <c r="G579" s="18" t="s">
        <v>245</v>
      </c>
      <c r="H579" s="19" t="s">
        <v>175</v>
      </c>
      <c r="I579" s="18" t="s">
        <v>246</v>
      </c>
      <c r="J579" s="19" t="s">
        <v>247</v>
      </c>
      <c r="K579" s="19" t="s">
        <v>314</v>
      </c>
      <c r="L579" s="18" t="s">
        <v>164</v>
      </c>
      <c r="M579" s="18" t="s">
        <v>1556</v>
      </c>
      <c r="N579" s="18" t="s">
        <v>250</v>
      </c>
      <c r="O579" s="20">
        <v>119000</v>
      </c>
      <c r="P579" s="20">
        <v>80920</v>
      </c>
      <c r="Q579" s="20">
        <v>1</v>
      </c>
      <c r="R579" s="20">
        <v>0</v>
      </c>
      <c r="S579" s="20">
        <v>0</v>
      </c>
      <c r="T579" s="20">
        <v>0</v>
      </c>
      <c r="U579" s="20">
        <v>0</v>
      </c>
      <c r="V579" s="20">
        <v>0</v>
      </c>
      <c r="W579" s="20">
        <v>32</v>
      </c>
      <c r="X579" s="20">
        <v>0</v>
      </c>
      <c r="Y579" s="20">
        <v>0</v>
      </c>
      <c r="Z579" s="20">
        <v>0</v>
      </c>
      <c r="AA579" s="20">
        <v>0</v>
      </c>
      <c r="AB579" s="20">
        <v>0</v>
      </c>
      <c r="AC579" s="20">
        <v>119000</v>
      </c>
      <c r="AD579" s="20">
        <v>80920</v>
      </c>
      <c r="AE579" s="20">
        <v>0</v>
      </c>
      <c r="AF579" s="20">
        <v>0</v>
      </c>
      <c r="AG579" s="20">
        <v>119000</v>
      </c>
      <c r="AH579" s="20">
        <v>80920</v>
      </c>
      <c r="AI579" s="20">
        <v>34618</v>
      </c>
      <c r="AJ579" s="20">
        <v>3462</v>
      </c>
      <c r="AK579" s="20">
        <v>38080</v>
      </c>
    </row>
    <row r="580" spans="1:37" ht="16.5" customHeight="1" x14ac:dyDescent="0.3">
      <c r="A580" s="18" t="s">
        <v>1768</v>
      </c>
      <c r="B580" s="18" t="s">
        <v>240</v>
      </c>
      <c r="C580" s="19" t="s">
        <v>241</v>
      </c>
      <c r="D580" s="18" t="s">
        <v>1769</v>
      </c>
      <c r="E580" s="19" t="s">
        <v>1132</v>
      </c>
      <c r="F580" s="18" t="s">
        <v>244</v>
      </c>
      <c r="G580" s="18" t="s">
        <v>245</v>
      </c>
      <c r="H580" s="19" t="s">
        <v>175</v>
      </c>
      <c r="I580" s="18" t="s">
        <v>246</v>
      </c>
      <c r="J580" s="19" t="s">
        <v>247</v>
      </c>
      <c r="K580" s="19" t="s">
        <v>248</v>
      </c>
      <c r="L580" s="18" t="s">
        <v>164</v>
      </c>
      <c r="M580" s="18" t="s">
        <v>1556</v>
      </c>
      <c r="N580" s="18" t="s">
        <v>250</v>
      </c>
      <c r="O580" s="20">
        <v>119000</v>
      </c>
      <c r="P580" s="20">
        <v>80920</v>
      </c>
      <c r="Q580" s="20">
        <v>1</v>
      </c>
      <c r="R580" s="20">
        <v>0</v>
      </c>
      <c r="S580" s="20">
        <v>0</v>
      </c>
      <c r="T580" s="20">
        <v>0</v>
      </c>
      <c r="U580" s="20">
        <v>0</v>
      </c>
      <c r="V580" s="20">
        <v>0</v>
      </c>
      <c r="W580" s="20">
        <v>32</v>
      </c>
      <c r="X580" s="20">
        <v>0</v>
      </c>
      <c r="Y580" s="20">
        <v>0</v>
      </c>
      <c r="Z580" s="20">
        <v>0</v>
      </c>
      <c r="AA580" s="20">
        <v>0</v>
      </c>
      <c r="AB580" s="20">
        <v>5950</v>
      </c>
      <c r="AC580" s="20">
        <v>119000</v>
      </c>
      <c r="AD580" s="20">
        <v>80920</v>
      </c>
      <c r="AE580" s="20">
        <v>0</v>
      </c>
      <c r="AF580" s="20">
        <v>5950</v>
      </c>
      <c r="AG580" s="20">
        <v>113050</v>
      </c>
      <c r="AH580" s="20">
        <v>80920</v>
      </c>
      <c r="AI580" s="20">
        <v>29209</v>
      </c>
      <c r="AJ580" s="20">
        <v>2921</v>
      </c>
      <c r="AK580" s="20">
        <v>32130</v>
      </c>
    </row>
    <row r="581" spans="1:37" ht="16.5" customHeight="1" x14ac:dyDescent="0.3">
      <c r="A581" s="18" t="s">
        <v>1770</v>
      </c>
      <c r="B581" s="18" t="s">
        <v>240</v>
      </c>
      <c r="C581" s="19" t="s">
        <v>241</v>
      </c>
      <c r="D581" s="18" t="s">
        <v>1771</v>
      </c>
      <c r="E581" s="19" t="s">
        <v>1772</v>
      </c>
      <c r="F581" s="18" t="s">
        <v>244</v>
      </c>
      <c r="G581" s="18" t="s">
        <v>245</v>
      </c>
      <c r="H581" s="19" t="s">
        <v>175</v>
      </c>
      <c r="I581" s="18" t="s">
        <v>246</v>
      </c>
      <c r="J581" s="19" t="s">
        <v>247</v>
      </c>
      <c r="K581" s="19" t="s">
        <v>248</v>
      </c>
      <c r="L581" s="18" t="s">
        <v>164</v>
      </c>
      <c r="M581" s="18" t="s">
        <v>1556</v>
      </c>
      <c r="N581" s="18" t="s">
        <v>250</v>
      </c>
      <c r="O581" s="20">
        <v>119000</v>
      </c>
      <c r="P581" s="20">
        <v>80920</v>
      </c>
      <c r="Q581" s="20">
        <v>1</v>
      </c>
      <c r="R581" s="20">
        <v>0</v>
      </c>
      <c r="S581" s="20">
        <v>0</v>
      </c>
      <c r="T581" s="20">
        <v>0</v>
      </c>
      <c r="U581" s="20">
        <v>0</v>
      </c>
      <c r="V581" s="20">
        <v>0</v>
      </c>
      <c r="W581" s="20">
        <v>32</v>
      </c>
      <c r="X581" s="20">
        <v>20230</v>
      </c>
      <c r="Y581" s="20">
        <v>0</v>
      </c>
      <c r="Z581" s="20">
        <v>0</v>
      </c>
      <c r="AA581" s="20">
        <v>0</v>
      </c>
      <c r="AB581" s="20">
        <v>0</v>
      </c>
      <c r="AC581" s="20">
        <v>119000</v>
      </c>
      <c r="AD581" s="20">
        <v>80920</v>
      </c>
      <c r="AE581" s="20">
        <v>0</v>
      </c>
      <c r="AF581" s="20">
        <v>20230</v>
      </c>
      <c r="AG581" s="20">
        <v>98770</v>
      </c>
      <c r="AH581" s="20">
        <v>80920</v>
      </c>
      <c r="AI581" s="20">
        <v>16227</v>
      </c>
      <c r="AJ581" s="20">
        <v>1623</v>
      </c>
      <c r="AK581" s="20">
        <v>17850</v>
      </c>
    </row>
    <row r="582" spans="1:37" ht="16.5" customHeight="1" x14ac:dyDescent="0.3">
      <c r="A582" s="18" t="s">
        <v>1773</v>
      </c>
      <c r="B582" s="18" t="s">
        <v>240</v>
      </c>
      <c r="C582" s="19" t="s">
        <v>241</v>
      </c>
      <c r="D582" s="18" t="s">
        <v>1774</v>
      </c>
      <c r="E582" s="19" t="s">
        <v>256</v>
      </c>
      <c r="F582" s="18" t="s">
        <v>244</v>
      </c>
      <c r="G582" s="18" t="s">
        <v>245</v>
      </c>
      <c r="H582" s="19" t="s">
        <v>175</v>
      </c>
      <c r="I582" s="18" t="s">
        <v>246</v>
      </c>
      <c r="J582" s="19" t="s">
        <v>247</v>
      </c>
      <c r="K582" s="19" t="s">
        <v>248</v>
      </c>
      <c r="L582" s="18" t="s">
        <v>164</v>
      </c>
      <c r="M582" s="18" t="s">
        <v>1556</v>
      </c>
      <c r="N582" s="18" t="s">
        <v>250</v>
      </c>
      <c r="O582" s="20">
        <v>119000</v>
      </c>
      <c r="P582" s="20">
        <v>80920</v>
      </c>
      <c r="Q582" s="20">
        <v>1</v>
      </c>
      <c r="R582" s="20">
        <v>0</v>
      </c>
      <c r="S582" s="20">
        <v>0</v>
      </c>
      <c r="T582" s="20">
        <v>0</v>
      </c>
      <c r="U582" s="20">
        <v>0</v>
      </c>
      <c r="V582" s="20">
        <v>0</v>
      </c>
      <c r="W582" s="20">
        <v>32</v>
      </c>
      <c r="X582" s="20">
        <v>0</v>
      </c>
      <c r="Y582" s="20">
        <v>0</v>
      </c>
      <c r="Z582" s="20">
        <v>0</v>
      </c>
      <c r="AA582" s="20">
        <v>0</v>
      </c>
      <c r="AB582" s="20">
        <v>0</v>
      </c>
      <c r="AC582" s="20">
        <v>119000</v>
      </c>
      <c r="AD582" s="20">
        <v>80920</v>
      </c>
      <c r="AE582" s="20">
        <v>0</v>
      </c>
      <c r="AF582" s="20">
        <v>0</v>
      </c>
      <c r="AG582" s="20">
        <v>119000</v>
      </c>
      <c r="AH582" s="20">
        <v>80920</v>
      </c>
      <c r="AI582" s="20">
        <v>34618</v>
      </c>
      <c r="AJ582" s="20">
        <v>3462</v>
      </c>
      <c r="AK582" s="20">
        <v>38080</v>
      </c>
    </row>
    <row r="583" spans="1:37" ht="16.5" customHeight="1" x14ac:dyDescent="0.3">
      <c r="A583" s="18" t="s">
        <v>1775</v>
      </c>
      <c r="B583" s="18" t="s">
        <v>240</v>
      </c>
      <c r="C583" s="19" t="s">
        <v>241</v>
      </c>
      <c r="D583" s="18" t="s">
        <v>1776</v>
      </c>
      <c r="E583" s="19" t="s">
        <v>1777</v>
      </c>
      <c r="F583" s="18" t="s">
        <v>244</v>
      </c>
      <c r="G583" s="18" t="s">
        <v>245</v>
      </c>
      <c r="H583" s="19" t="s">
        <v>175</v>
      </c>
      <c r="I583" s="18" t="s">
        <v>246</v>
      </c>
      <c r="J583" s="19" t="s">
        <v>247</v>
      </c>
      <c r="K583" s="19" t="s">
        <v>248</v>
      </c>
      <c r="L583" s="18" t="s">
        <v>164</v>
      </c>
      <c r="M583" s="18" t="s">
        <v>1556</v>
      </c>
      <c r="N583" s="18" t="s">
        <v>250</v>
      </c>
      <c r="O583" s="20">
        <v>119000</v>
      </c>
      <c r="P583" s="20">
        <v>80920</v>
      </c>
      <c r="Q583" s="20">
        <v>1</v>
      </c>
      <c r="R583" s="20">
        <v>0</v>
      </c>
      <c r="S583" s="20">
        <v>0</v>
      </c>
      <c r="T583" s="20">
        <v>0</v>
      </c>
      <c r="U583" s="20">
        <v>0</v>
      </c>
      <c r="V583" s="20">
        <v>0</v>
      </c>
      <c r="W583" s="20">
        <v>32</v>
      </c>
      <c r="X583" s="20">
        <v>0</v>
      </c>
      <c r="Y583" s="20">
        <v>0</v>
      </c>
      <c r="Z583" s="20">
        <v>0</v>
      </c>
      <c r="AA583" s="20">
        <v>0</v>
      </c>
      <c r="AB583" s="20">
        <v>0</v>
      </c>
      <c r="AC583" s="20">
        <v>119000</v>
      </c>
      <c r="AD583" s="20">
        <v>80920</v>
      </c>
      <c r="AE583" s="20">
        <v>0</v>
      </c>
      <c r="AF583" s="20">
        <v>0</v>
      </c>
      <c r="AG583" s="20">
        <v>119000</v>
      </c>
      <c r="AH583" s="20">
        <v>80920</v>
      </c>
      <c r="AI583" s="20">
        <v>34618</v>
      </c>
      <c r="AJ583" s="20">
        <v>3462</v>
      </c>
      <c r="AK583" s="20">
        <v>38080</v>
      </c>
    </row>
    <row r="584" spans="1:37" ht="16.5" customHeight="1" x14ac:dyDescent="0.3">
      <c r="A584" s="18" t="s">
        <v>1778</v>
      </c>
      <c r="B584" s="18" t="s">
        <v>240</v>
      </c>
      <c r="C584" s="19" t="s">
        <v>241</v>
      </c>
      <c r="D584" s="18" t="s">
        <v>1779</v>
      </c>
      <c r="E584" s="19" t="s">
        <v>1780</v>
      </c>
      <c r="F584" s="18" t="s">
        <v>244</v>
      </c>
      <c r="G584" s="18" t="s">
        <v>245</v>
      </c>
      <c r="H584" s="19" t="s">
        <v>175</v>
      </c>
      <c r="I584" s="18" t="s">
        <v>246</v>
      </c>
      <c r="J584" s="19" t="s">
        <v>247</v>
      </c>
      <c r="K584" s="19" t="s">
        <v>248</v>
      </c>
      <c r="L584" s="18" t="s">
        <v>164</v>
      </c>
      <c r="M584" s="18" t="s">
        <v>1556</v>
      </c>
      <c r="N584" s="18" t="s">
        <v>250</v>
      </c>
      <c r="O584" s="20">
        <v>119000</v>
      </c>
      <c r="P584" s="20">
        <v>80920</v>
      </c>
      <c r="Q584" s="20">
        <v>1</v>
      </c>
      <c r="R584" s="20">
        <v>0</v>
      </c>
      <c r="S584" s="20">
        <v>0</v>
      </c>
      <c r="T584" s="20">
        <v>0</v>
      </c>
      <c r="U584" s="20">
        <v>0</v>
      </c>
      <c r="V584" s="20">
        <v>0</v>
      </c>
      <c r="W584" s="20">
        <v>32</v>
      </c>
      <c r="X584" s="20">
        <v>0</v>
      </c>
      <c r="Y584" s="20">
        <v>0</v>
      </c>
      <c r="Z584" s="20">
        <v>0</v>
      </c>
      <c r="AA584" s="20">
        <v>0</v>
      </c>
      <c r="AB584" s="20">
        <v>0</v>
      </c>
      <c r="AC584" s="20">
        <v>119000</v>
      </c>
      <c r="AD584" s="20">
        <v>80920</v>
      </c>
      <c r="AE584" s="20">
        <v>0</v>
      </c>
      <c r="AF584" s="20">
        <v>0</v>
      </c>
      <c r="AG584" s="20">
        <v>119000</v>
      </c>
      <c r="AH584" s="20">
        <v>80920</v>
      </c>
      <c r="AI584" s="20">
        <v>34618</v>
      </c>
      <c r="AJ584" s="20">
        <v>3462</v>
      </c>
      <c r="AK584" s="20">
        <v>38080</v>
      </c>
    </row>
    <row r="585" spans="1:37" ht="16.5" customHeight="1" x14ac:dyDescent="0.3">
      <c r="A585" s="18" t="s">
        <v>1781</v>
      </c>
      <c r="B585" s="18" t="s">
        <v>240</v>
      </c>
      <c r="C585" s="19" t="s">
        <v>241</v>
      </c>
      <c r="D585" s="18" t="s">
        <v>1782</v>
      </c>
      <c r="E585" s="19" t="s">
        <v>1783</v>
      </c>
      <c r="F585" s="18" t="s">
        <v>244</v>
      </c>
      <c r="G585" s="18" t="s">
        <v>245</v>
      </c>
      <c r="H585" s="19" t="s">
        <v>175</v>
      </c>
      <c r="I585" s="18" t="s">
        <v>246</v>
      </c>
      <c r="J585" s="19" t="s">
        <v>247</v>
      </c>
      <c r="K585" s="19" t="s">
        <v>314</v>
      </c>
      <c r="L585" s="18" t="s">
        <v>164</v>
      </c>
      <c r="M585" s="18" t="s">
        <v>1556</v>
      </c>
      <c r="N585" s="18" t="s">
        <v>250</v>
      </c>
      <c r="O585" s="20">
        <v>119000</v>
      </c>
      <c r="P585" s="20">
        <v>80920</v>
      </c>
      <c r="Q585" s="20">
        <v>1</v>
      </c>
      <c r="R585" s="20">
        <v>0</v>
      </c>
      <c r="S585" s="20">
        <v>0</v>
      </c>
      <c r="T585" s="20">
        <v>0</v>
      </c>
      <c r="U585" s="20">
        <v>0</v>
      </c>
      <c r="V585" s="20">
        <v>0</v>
      </c>
      <c r="W585" s="20">
        <v>32</v>
      </c>
      <c r="X585" s="20">
        <v>23800</v>
      </c>
      <c r="Y585" s="20">
        <v>0</v>
      </c>
      <c r="Z585" s="20">
        <v>0</v>
      </c>
      <c r="AA585" s="20">
        <v>0</v>
      </c>
      <c r="AB585" s="20">
        <v>0</v>
      </c>
      <c r="AC585" s="20">
        <v>119000</v>
      </c>
      <c r="AD585" s="20">
        <v>80920</v>
      </c>
      <c r="AE585" s="20">
        <v>0</v>
      </c>
      <c r="AF585" s="20">
        <v>23800</v>
      </c>
      <c r="AG585" s="20">
        <v>95200</v>
      </c>
      <c r="AH585" s="20">
        <v>80920</v>
      </c>
      <c r="AI585" s="20">
        <v>12982</v>
      </c>
      <c r="AJ585" s="20">
        <v>1298</v>
      </c>
      <c r="AK585" s="20">
        <v>14280</v>
      </c>
    </row>
    <row r="586" spans="1:37" ht="16.5" customHeight="1" x14ac:dyDescent="0.3">
      <c r="A586" s="18" t="s">
        <v>1784</v>
      </c>
      <c r="B586" s="18" t="s">
        <v>240</v>
      </c>
      <c r="C586" s="19" t="s">
        <v>241</v>
      </c>
      <c r="D586" s="18" t="s">
        <v>1785</v>
      </c>
      <c r="E586" s="19" t="s">
        <v>1786</v>
      </c>
      <c r="F586" s="18" t="s">
        <v>244</v>
      </c>
      <c r="G586" s="18" t="s">
        <v>245</v>
      </c>
      <c r="H586" s="19" t="s">
        <v>175</v>
      </c>
      <c r="I586" s="18" t="s">
        <v>246</v>
      </c>
      <c r="J586" s="19" t="s">
        <v>247</v>
      </c>
      <c r="K586" s="19" t="s">
        <v>314</v>
      </c>
      <c r="L586" s="18" t="s">
        <v>164</v>
      </c>
      <c r="M586" s="18" t="s">
        <v>1556</v>
      </c>
      <c r="N586" s="18" t="s">
        <v>250</v>
      </c>
      <c r="O586" s="20">
        <v>119000</v>
      </c>
      <c r="P586" s="20">
        <v>80920</v>
      </c>
      <c r="Q586" s="20">
        <v>1</v>
      </c>
      <c r="R586" s="20">
        <v>0</v>
      </c>
      <c r="S586" s="20">
        <v>0</v>
      </c>
      <c r="T586" s="20">
        <v>0</v>
      </c>
      <c r="U586" s="20">
        <v>0</v>
      </c>
      <c r="V586" s="20">
        <v>0</v>
      </c>
      <c r="W586" s="20">
        <v>32</v>
      </c>
      <c r="X586" s="20">
        <v>0</v>
      </c>
      <c r="Y586" s="20">
        <v>0</v>
      </c>
      <c r="Z586" s="20">
        <v>0</v>
      </c>
      <c r="AA586" s="20">
        <v>0</v>
      </c>
      <c r="AB586" s="20">
        <v>0</v>
      </c>
      <c r="AC586" s="20">
        <v>119000</v>
      </c>
      <c r="AD586" s="20">
        <v>80920</v>
      </c>
      <c r="AE586" s="20">
        <v>0</v>
      </c>
      <c r="AF586" s="20">
        <v>0</v>
      </c>
      <c r="AG586" s="20">
        <v>119000</v>
      </c>
      <c r="AH586" s="20">
        <v>80920</v>
      </c>
      <c r="AI586" s="20">
        <v>34618</v>
      </c>
      <c r="AJ586" s="20">
        <v>3462</v>
      </c>
      <c r="AK586" s="20">
        <v>38080</v>
      </c>
    </row>
    <row r="587" spans="1:37" ht="16.5" customHeight="1" x14ac:dyDescent="0.3">
      <c r="A587" s="18" t="s">
        <v>1787</v>
      </c>
      <c r="B587" s="18" t="s">
        <v>240</v>
      </c>
      <c r="C587" s="19" t="s">
        <v>241</v>
      </c>
      <c r="D587" s="18" t="s">
        <v>1788</v>
      </c>
      <c r="E587" s="19" t="s">
        <v>1789</v>
      </c>
      <c r="F587" s="18" t="s">
        <v>244</v>
      </c>
      <c r="G587" s="18" t="s">
        <v>245</v>
      </c>
      <c r="H587" s="19" t="s">
        <v>175</v>
      </c>
      <c r="I587" s="18" t="s">
        <v>246</v>
      </c>
      <c r="J587" s="19" t="s">
        <v>247</v>
      </c>
      <c r="K587" s="19" t="s">
        <v>248</v>
      </c>
      <c r="L587" s="18" t="s">
        <v>164</v>
      </c>
      <c r="M587" s="18" t="s">
        <v>1556</v>
      </c>
      <c r="N587" s="18" t="s">
        <v>250</v>
      </c>
      <c r="O587" s="20">
        <v>119000</v>
      </c>
      <c r="P587" s="20">
        <v>80920</v>
      </c>
      <c r="Q587" s="20">
        <v>1</v>
      </c>
      <c r="R587" s="20">
        <v>0</v>
      </c>
      <c r="S587" s="20">
        <v>0</v>
      </c>
      <c r="T587" s="20">
        <v>0</v>
      </c>
      <c r="U587" s="20">
        <v>0</v>
      </c>
      <c r="V587" s="20">
        <v>0</v>
      </c>
      <c r="W587" s="20">
        <v>32</v>
      </c>
      <c r="X587" s="20">
        <v>0</v>
      </c>
      <c r="Y587" s="20">
        <v>0</v>
      </c>
      <c r="Z587" s="20">
        <v>0</v>
      </c>
      <c r="AA587" s="20">
        <v>0</v>
      </c>
      <c r="AB587" s="20">
        <v>0</v>
      </c>
      <c r="AC587" s="20">
        <v>119000</v>
      </c>
      <c r="AD587" s="20">
        <v>80920</v>
      </c>
      <c r="AE587" s="20">
        <v>0</v>
      </c>
      <c r="AF587" s="20">
        <v>0</v>
      </c>
      <c r="AG587" s="20">
        <v>119000</v>
      </c>
      <c r="AH587" s="20">
        <v>80920</v>
      </c>
      <c r="AI587" s="20">
        <v>34618</v>
      </c>
      <c r="AJ587" s="20">
        <v>3462</v>
      </c>
      <c r="AK587" s="20">
        <v>38080</v>
      </c>
    </row>
    <row r="588" spans="1:37" ht="16.5" customHeight="1" x14ac:dyDescent="0.3">
      <c r="A588" s="18" t="s">
        <v>1790</v>
      </c>
      <c r="B588" s="18" t="s">
        <v>240</v>
      </c>
      <c r="C588" s="19" t="s">
        <v>241</v>
      </c>
      <c r="D588" s="18" t="s">
        <v>1791</v>
      </c>
      <c r="E588" s="19" t="s">
        <v>1024</v>
      </c>
      <c r="F588" s="18" t="s">
        <v>244</v>
      </c>
      <c r="G588" s="18" t="s">
        <v>245</v>
      </c>
      <c r="H588" s="19" t="s">
        <v>175</v>
      </c>
      <c r="I588" s="18" t="s">
        <v>246</v>
      </c>
      <c r="J588" s="19" t="s">
        <v>247</v>
      </c>
      <c r="K588" s="19" t="s">
        <v>248</v>
      </c>
      <c r="L588" s="18" t="s">
        <v>164</v>
      </c>
      <c r="M588" s="18" t="s">
        <v>1556</v>
      </c>
      <c r="N588" s="18" t="s">
        <v>250</v>
      </c>
      <c r="O588" s="20">
        <v>119000</v>
      </c>
      <c r="P588" s="20">
        <v>80920</v>
      </c>
      <c r="Q588" s="20">
        <v>1</v>
      </c>
      <c r="R588" s="20">
        <v>0</v>
      </c>
      <c r="S588" s="20">
        <v>0</v>
      </c>
      <c r="T588" s="20">
        <v>0</v>
      </c>
      <c r="U588" s="20">
        <v>0</v>
      </c>
      <c r="V588" s="20">
        <v>0</v>
      </c>
      <c r="W588" s="20">
        <v>32</v>
      </c>
      <c r="X588" s="20">
        <v>0</v>
      </c>
      <c r="Y588" s="20">
        <v>0</v>
      </c>
      <c r="Z588" s="20">
        <v>0</v>
      </c>
      <c r="AA588" s="20">
        <v>0</v>
      </c>
      <c r="AB588" s="20">
        <v>0</v>
      </c>
      <c r="AC588" s="20">
        <v>119000</v>
      </c>
      <c r="AD588" s="20">
        <v>80920</v>
      </c>
      <c r="AE588" s="20">
        <v>0</v>
      </c>
      <c r="AF588" s="20">
        <v>0</v>
      </c>
      <c r="AG588" s="20">
        <v>119000</v>
      </c>
      <c r="AH588" s="20">
        <v>80920</v>
      </c>
      <c r="AI588" s="20">
        <v>34618</v>
      </c>
      <c r="AJ588" s="20">
        <v>3462</v>
      </c>
      <c r="AK588" s="20">
        <v>38080</v>
      </c>
    </row>
    <row r="589" spans="1:37" ht="16.5" customHeight="1" x14ac:dyDescent="0.3">
      <c r="A589" s="18" t="s">
        <v>1792</v>
      </c>
      <c r="B589" s="18" t="s">
        <v>240</v>
      </c>
      <c r="C589" s="19" t="s">
        <v>241</v>
      </c>
      <c r="D589" s="18" t="s">
        <v>1793</v>
      </c>
      <c r="E589" s="19" t="s">
        <v>253</v>
      </c>
      <c r="F589" s="18" t="s">
        <v>244</v>
      </c>
      <c r="G589" s="18" t="s">
        <v>245</v>
      </c>
      <c r="H589" s="19" t="s">
        <v>175</v>
      </c>
      <c r="I589" s="18" t="s">
        <v>246</v>
      </c>
      <c r="J589" s="19" t="s">
        <v>247</v>
      </c>
      <c r="K589" s="19" t="s">
        <v>248</v>
      </c>
      <c r="L589" s="18" t="s">
        <v>164</v>
      </c>
      <c r="M589" s="18" t="s">
        <v>1556</v>
      </c>
      <c r="N589" s="18" t="s">
        <v>250</v>
      </c>
      <c r="O589" s="20">
        <v>119000</v>
      </c>
      <c r="P589" s="20">
        <v>80920</v>
      </c>
      <c r="Q589" s="20">
        <v>1</v>
      </c>
      <c r="R589" s="20">
        <v>0</v>
      </c>
      <c r="S589" s="20">
        <v>0</v>
      </c>
      <c r="T589" s="20">
        <v>0</v>
      </c>
      <c r="U589" s="20">
        <v>0</v>
      </c>
      <c r="V589" s="20">
        <v>0</v>
      </c>
      <c r="W589" s="20">
        <v>32</v>
      </c>
      <c r="X589" s="20">
        <v>0</v>
      </c>
      <c r="Y589" s="20">
        <v>0</v>
      </c>
      <c r="Z589" s="20">
        <v>0</v>
      </c>
      <c r="AA589" s="20">
        <v>0</v>
      </c>
      <c r="AB589" s="20">
        <v>0</v>
      </c>
      <c r="AC589" s="20">
        <v>119000</v>
      </c>
      <c r="AD589" s="20">
        <v>80920</v>
      </c>
      <c r="AE589" s="20">
        <v>0</v>
      </c>
      <c r="AF589" s="20">
        <v>0</v>
      </c>
      <c r="AG589" s="20">
        <v>119000</v>
      </c>
      <c r="AH589" s="20">
        <v>80920</v>
      </c>
      <c r="AI589" s="20">
        <v>34618</v>
      </c>
      <c r="AJ589" s="20">
        <v>3462</v>
      </c>
      <c r="AK589" s="20">
        <v>38080</v>
      </c>
    </row>
    <row r="590" spans="1:37" ht="16.5" customHeight="1" x14ac:dyDescent="0.3">
      <c r="A590" s="18" t="s">
        <v>1794</v>
      </c>
      <c r="B590" s="18" t="s">
        <v>240</v>
      </c>
      <c r="C590" s="19" t="s">
        <v>241</v>
      </c>
      <c r="D590" s="18" t="s">
        <v>1795</v>
      </c>
      <c r="E590" s="19" t="s">
        <v>473</v>
      </c>
      <c r="F590" s="18" t="s">
        <v>244</v>
      </c>
      <c r="G590" s="18" t="s">
        <v>245</v>
      </c>
      <c r="H590" s="19" t="s">
        <v>175</v>
      </c>
      <c r="I590" s="18" t="s">
        <v>246</v>
      </c>
      <c r="J590" s="19" t="s">
        <v>247</v>
      </c>
      <c r="K590" s="19" t="s">
        <v>248</v>
      </c>
      <c r="L590" s="18" t="s">
        <v>164</v>
      </c>
      <c r="M590" s="18" t="s">
        <v>1556</v>
      </c>
      <c r="N590" s="18" t="s">
        <v>250</v>
      </c>
      <c r="O590" s="20">
        <v>119000</v>
      </c>
      <c r="P590" s="20">
        <v>80920</v>
      </c>
      <c r="Q590" s="20">
        <v>1</v>
      </c>
      <c r="R590" s="20">
        <v>0</v>
      </c>
      <c r="S590" s="20">
        <v>0</v>
      </c>
      <c r="T590" s="20">
        <v>0</v>
      </c>
      <c r="U590" s="20">
        <v>0</v>
      </c>
      <c r="V590" s="20">
        <v>0</v>
      </c>
      <c r="W590" s="20">
        <v>32</v>
      </c>
      <c r="X590" s="20">
        <v>0</v>
      </c>
      <c r="Y590" s="20">
        <v>0</v>
      </c>
      <c r="Z590" s="20">
        <v>0</v>
      </c>
      <c r="AA590" s="20">
        <v>0</v>
      </c>
      <c r="AB590" s="20">
        <v>0</v>
      </c>
      <c r="AC590" s="20">
        <v>119000</v>
      </c>
      <c r="AD590" s="20">
        <v>80920</v>
      </c>
      <c r="AE590" s="20">
        <v>0</v>
      </c>
      <c r="AF590" s="20">
        <v>0</v>
      </c>
      <c r="AG590" s="20">
        <v>119000</v>
      </c>
      <c r="AH590" s="20">
        <v>80920</v>
      </c>
      <c r="AI590" s="20">
        <v>34618</v>
      </c>
      <c r="AJ590" s="20">
        <v>3462</v>
      </c>
      <c r="AK590" s="20">
        <v>38080</v>
      </c>
    </row>
    <row r="591" spans="1:37" ht="16.5" customHeight="1" x14ac:dyDescent="0.3">
      <c r="A591" s="18" t="s">
        <v>1796</v>
      </c>
      <c r="B591" s="18" t="s">
        <v>240</v>
      </c>
      <c r="C591" s="19" t="s">
        <v>241</v>
      </c>
      <c r="D591" s="18" t="s">
        <v>1797</v>
      </c>
      <c r="E591" s="19" t="s">
        <v>1798</v>
      </c>
      <c r="F591" s="18" t="s">
        <v>244</v>
      </c>
      <c r="G591" s="18" t="s">
        <v>245</v>
      </c>
      <c r="H591" s="19" t="s">
        <v>175</v>
      </c>
      <c r="I591" s="18" t="s">
        <v>246</v>
      </c>
      <c r="J591" s="19" t="s">
        <v>247</v>
      </c>
      <c r="K591" s="19" t="s">
        <v>248</v>
      </c>
      <c r="L591" s="18" t="s">
        <v>164</v>
      </c>
      <c r="M591" s="18" t="s">
        <v>1556</v>
      </c>
      <c r="N591" s="18" t="s">
        <v>250</v>
      </c>
      <c r="O591" s="20">
        <v>119000</v>
      </c>
      <c r="P591" s="20">
        <v>80920</v>
      </c>
      <c r="Q591" s="20">
        <v>1</v>
      </c>
      <c r="R591" s="20">
        <v>0</v>
      </c>
      <c r="S591" s="20">
        <v>0</v>
      </c>
      <c r="T591" s="20">
        <v>0</v>
      </c>
      <c r="U591" s="20">
        <v>0</v>
      </c>
      <c r="V591" s="20">
        <v>0</v>
      </c>
      <c r="W591" s="20">
        <v>32</v>
      </c>
      <c r="X591" s="20">
        <v>0</v>
      </c>
      <c r="Y591" s="20">
        <v>0</v>
      </c>
      <c r="Z591" s="20">
        <v>0</v>
      </c>
      <c r="AA591" s="20">
        <v>0</v>
      </c>
      <c r="AB591" s="20">
        <v>0</v>
      </c>
      <c r="AC591" s="20">
        <v>119000</v>
      </c>
      <c r="AD591" s="20">
        <v>80920</v>
      </c>
      <c r="AE591" s="20">
        <v>0</v>
      </c>
      <c r="AF591" s="20">
        <v>0</v>
      </c>
      <c r="AG591" s="20">
        <v>119000</v>
      </c>
      <c r="AH591" s="20">
        <v>80920</v>
      </c>
      <c r="AI591" s="20">
        <v>34618</v>
      </c>
      <c r="AJ591" s="20">
        <v>3462</v>
      </c>
      <c r="AK591" s="20">
        <v>38080</v>
      </c>
    </row>
    <row r="592" spans="1:37" ht="24" customHeight="1" x14ac:dyDescent="0.3">
      <c r="A592" s="18" t="s">
        <v>1799</v>
      </c>
      <c r="B592" s="18" t="s">
        <v>240</v>
      </c>
      <c r="C592" s="19" t="s">
        <v>241</v>
      </c>
      <c r="D592" s="18" t="s">
        <v>1800</v>
      </c>
      <c r="E592" s="19" t="s">
        <v>1245</v>
      </c>
      <c r="F592" s="18" t="s">
        <v>244</v>
      </c>
      <c r="G592" s="18" t="s">
        <v>245</v>
      </c>
      <c r="H592" s="19" t="s">
        <v>175</v>
      </c>
      <c r="I592" s="18" t="s">
        <v>246</v>
      </c>
      <c r="J592" s="19" t="s">
        <v>247</v>
      </c>
      <c r="K592" s="19" t="s">
        <v>248</v>
      </c>
      <c r="L592" s="18" t="s">
        <v>164</v>
      </c>
      <c r="M592" s="18" t="s">
        <v>1556</v>
      </c>
      <c r="N592" s="18" t="s">
        <v>250</v>
      </c>
      <c r="O592" s="20">
        <v>119000</v>
      </c>
      <c r="P592" s="20">
        <v>80920</v>
      </c>
      <c r="Q592" s="20">
        <v>1</v>
      </c>
      <c r="R592" s="20">
        <v>0</v>
      </c>
      <c r="S592" s="20">
        <v>0</v>
      </c>
      <c r="T592" s="20">
        <v>0</v>
      </c>
      <c r="U592" s="20">
        <v>0</v>
      </c>
      <c r="V592" s="20">
        <v>0</v>
      </c>
      <c r="W592" s="20">
        <v>32</v>
      </c>
      <c r="X592" s="20">
        <v>0</v>
      </c>
      <c r="Y592" s="20">
        <v>0</v>
      </c>
      <c r="Z592" s="20">
        <v>0</v>
      </c>
      <c r="AA592" s="20">
        <v>0</v>
      </c>
      <c r="AB592" s="20">
        <v>0</v>
      </c>
      <c r="AC592" s="20">
        <v>119000</v>
      </c>
      <c r="AD592" s="20">
        <v>80920</v>
      </c>
      <c r="AE592" s="20">
        <v>0</v>
      </c>
      <c r="AF592" s="20">
        <v>0</v>
      </c>
      <c r="AG592" s="20">
        <v>119000</v>
      </c>
      <c r="AH592" s="20">
        <v>80920</v>
      </c>
      <c r="AI592" s="20">
        <v>34618</v>
      </c>
      <c r="AJ592" s="20">
        <v>3462</v>
      </c>
      <c r="AK592" s="20">
        <v>38080</v>
      </c>
    </row>
    <row r="593" spans="1:37" ht="24" customHeight="1" x14ac:dyDescent="0.3">
      <c r="A593" s="18" t="s">
        <v>1801</v>
      </c>
      <c r="B593" s="18" t="s">
        <v>240</v>
      </c>
      <c r="C593" s="19" t="s">
        <v>241</v>
      </c>
      <c r="D593" s="18" t="s">
        <v>1802</v>
      </c>
      <c r="E593" s="19" t="s">
        <v>473</v>
      </c>
      <c r="F593" s="18" t="s">
        <v>244</v>
      </c>
      <c r="G593" s="18" t="s">
        <v>245</v>
      </c>
      <c r="H593" s="19" t="s">
        <v>175</v>
      </c>
      <c r="I593" s="18" t="s">
        <v>246</v>
      </c>
      <c r="J593" s="19" t="s">
        <v>247</v>
      </c>
      <c r="K593" s="19" t="s">
        <v>248</v>
      </c>
      <c r="L593" s="18" t="s">
        <v>164</v>
      </c>
      <c r="M593" s="18" t="s">
        <v>1556</v>
      </c>
      <c r="N593" s="18" t="s">
        <v>250</v>
      </c>
      <c r="O593" s="20">
        <v>119000</v>
      </c>
      <c r="P593" s="20">
        <v>80920</v>
      </c>
      <c r="Q593" s="20">
        <v>1</v>
      </c>
      <c r="R593" s="20">
        <v>0</v>
      </c>
      <c r="S593" s="20">
        <v>0</v>
      </c>
      <c r="T593" s="20">
        <v>0</v>
      </c>
      <c r="U593" s="20">
        <v>0</v>
      </c>
      <c r="V593" s="20">
        <v>0</v>
      </c>
      <c r="W593" s="20">
        <v>32</v>
      </c>
      <c r="X593" s="20">
        <v>0</v>
      </c>
      <c r="Y593" s="20">
        <v>0</v>
      </c>
      <c r="Z593" s="20">
        <v>0</v>
      </c>
      <c r="AA593" s="20">
        <v>0</v>
      </c>
      <c r="AB593" s="20">
        <v>0</v>
      </c>
      <c r="AC593" s="20">
        <v>119000</v>
      </c>
      <c r="AD593" s="20">
        <v>80920</v>
      </c>
      <c r="AE593" s="20">
        <v>0</v>
      </c>
      <c r="AF593" s="20">
        <v>0</v>
      </c>
      <c r="AG593" s="20">
        <v>119000</v>
      </c>
      <c r="AH593" s="20">
        <v>80920</v>
      </c>
      <c r="AI593" s="20">
        <v>34618</v>
      </c>
      <c r="AJ593" s="20">
        <v>3462</v>
      </c>
      <c r="AK593" s="20">
        <v>38080</v>
      </c>
    </row>
    <row r="594" spans="1:37" ht="24" customHeight="1" x14ac:dyDescent="0.3">
      <c r="A594" s="18" t="s">
        <v>1803</v>
      </c>
      <c r="B594" s="18" t="s">
        <v>240</v>
      </c>
      <c r="C594" s="19" t="s">
        <v>241</v>
      </c>
      <c r="D594" s="18" t="s">
        <v>1804</v>
      </c>
      <c r="E594" s="19" t="s">
        <v>1327</v>
      </c>
      <c r="F594" s="18" t="s">
        <v>244</v>
      </c>
      <c r="G594" s="18" t="s">
        <v>245</v>
      </c>
      <c r="H594" s="19" t="s">
        <v>175</v>
      </c>
      <c r="I594" s="18" t="s">
        <v>246</v>
      </c>
      <c r="J594" s="19" t="s">
        <v>247</v>
      </c>
      <c r="K594" s="19" t="s">
        <v>248</v>
      </c>
      <c r="L594" s="18" t="s">
        <v>164</v>
      </c>
      <c r="M594" s="18" t="s">
        <v>1556</v>
      </c>
      <c r="N594" s="18" t="s">
        <v>250</v>
      </c>
      <c r="O594" s="20">
        <v>119000</v>
      </c>
      <c r="P594" s="20">
        <v>80920</v>
      </c>
      <c r="Q594" s="20">
        <v>1</v>
      </c>
      <c r="R594" s="20">
        <v>0</v>
      </c>
      <c r="S594" s="20">
        <v>0</v>
      </c>
      <c r="T594" s="20">
        <v>0</v>
      </c>
      <c r="U594" s="20">
        <v>0</v>
      </c>
      <c r="V594" s="20">
        <v>0</v>
      </c>
      <c r="W594" s="20">
        <v>32</v>
      </c>
      <c r="X594" s="20">
        <v>0</v>
      </c>
      <c r="Y594" s="20">
        <v>0</v>
      </c>
      <c r="Z594" s="20">
        <v>0</v>
      </c>
      <c r="AA594" s="20">
        <v>0</v>
      </c>
      <c r="AB594" s="20">
        <v>0</v>
      </c>
      <c r="AC594" s="20">
        <v>119000</v>
      </c>
      <c r="AD594" s="20">
        <v>80920</v>
      </c>
      <c r="AE594" s="20">
        <v>0</v>
      </c>
      <c r="AF594" s="20">
        <v>0</v>
      </c>
      <c r="AG594" s="20">
        <v>119000</v>
      </c>
      <c r="AH594" s="20">
        <v>80920</v>
      </c>
      <c r="AI594" s="20">
        <v>34618</v>
      </c>
      <c r="AJ594" s="20">
        <v>3462</v>
      </c>
      <c r="AK594" s="20">
        <v>38080</v>
      </c>
    </row>
    <row r="595" spans="1:37" ht="24" customHeight="1" x14ac:dyDescent="0.3">
      <c r="A595" s="18" t="s">
        <v>1805</v>
      </c>
      <c r="B595" s="18" t="s">
        <v>240</v>
      </c>
      <c r="C595" s="19" t="s">
        <v>241</v>
      </c>
      <c r="D595" s="18" t="s">
        <v>1806</v>
      </c>
      <c r="E595" s="19" t="s">
        <v>1132</v>
      </c>
      <c r="F595" s="18" t="s">
        <v>244</v>
      </c>
      <c r="G595" s="18" t="s">
        <v>245</v>
      </c>
      <c r="H595" s="19" t="s">
        <v>175</v>
      </c>
      <c r="I595" s="18" t="s">
        <v>246</v>
      </c>
      <c r="J595" s="19" t="s">
        <v>247</v>
      </c>
      <c r="K595" s="19" t="s">
        <v>248</v>
      </c>
      <c r="L595" s="18" t="s">
        <v>164</v>
      </c>
      <c r="M595" s="18" t="s">
        <v>1556</v>
      </c>
      <c r="N595" s="18" t="s">
        <v>250</v>
      </c>
      <c r="O595" s="20">
        <v>119000</v>
      </c>
      <c r="P595" s="20">
        <v>80920</v>
      </c>
      <c r="Q595" s="20">
        <v>1</v>
      </c>
      <c r="R595" s="20">
        <v>0</v>
      </c>
      <c r="S595" s="20">
        <v>0</v>
      </c>
      <c r="T595" s="20">
        <v>0</v>
      </c>
      <c r="U595" s="20">
        <v>0</v>
      </c>
      <c r="V595" s="20">
        <v>0</v>
      </c>
      <c r="W595" s="20">
        <v>32</v>
      </c>
      <c r="X595" s="20">
        <v>0</v>
      </c>
      <c r="Y595" s="20">
        <v>0</v>
      </c>
      <c r="Z595" s="20">
        <v>0</v>
      </c>
      <c r="AA595" s="20">
        <v>0</v>
      </c>
      <c r="AB595" s="20">
        <v>0</v>
      </c>
      <c r="AC595" s="20">
        <v>119000</v>
      </c>
      <c r="AD595" s="20">
        <v>80920</v>
      </c>
      <c r="AE595" s="20">
        <v>0</v>
      </c>
      <c r="AF595" s="20">
        <v>0</v>
      </c>
      <c r="AG595" s="20">
        <v>119000</v>
      </c>
      <c r="AH595" s="20">
        <v>80920</v>
      </c>
      <c r="AI595" s="20">
        <v>34618</v>
      </c>
      <c r="AJ595" s="20">
        <v>3462</v>
      </c>
      <c r="AK595" s="20">
        <v>38080</v>
      </c>
    </row>
    <row r="596" spans="1:37" ht="24" customHeight="1" x14ac:dyDescent="0.3">
      <c r="A596" s="18" t="s">
        <v>1807</v>
      </c>
      <c r="B596" s="18" t="s">
        <v>240</v>
      </c>
      <c r="C596" s="19" t="s">
        <v>241</v>
      </c>
      <c r="D596" s="18" t="s">
        <v>1808</v>
      </c>
      <c r="E596" s="19" t="s">
        <v>349</v>
      </c>
      <c r="F596" s="18" t="s">
        <v>244</v>
      </c>
      <c r="G596" s="18" t="s">
        <v>245</v>
      </c>
      <c r="H596" s="19" t="s">
        <v>175</v>
      </c>
      <c r="I596" s="18" t="s">
        <v>246</v>
      </c>
      <c r="J596" s="19" t="s">
        <v>247</v>
      </c>
      <c r="K596" s="19" t="s">
        <v>248</v>
      </c>
      <c r="L596" s="18" t="s">
        <v>164</v>
      </c>
      <c r="M596" s="18" t="s">
        <v>1556</v>
      </c>
      <c r="N596" s="18" t="s">
        <v>250</v>
      </c>
      <c r="O596" s="20">
        <v>119000</v>
      </c>
      <c r="P596" s="20">
        <v>80920</v>
      </c>
      <c r="Q596" s="20">
        <v>1</v>
      </c>
      <c r="R596" s="20">
        <v>0</v>
      </c>
      <c r="S596" s="20">
        <v>0</v>
      </c>
      <c r="T596" s="20">
        <v>0</v>
      </c>
      <c r="U596" s="20">
        <v>0</v>
      </c>
      <c r="V596" s="20">
        <v>0</v>
      </c>
      <c r="W596" s="20">
        <v>32</v>
      </c>
      <c r="X596" s="20">
        <v>0</v>
      </c>
      <c r="Y596" s="20">
        <v>0</v>
      </c>
      <c r="Z596" s="20">
        <v>0</v>
      </c>
      <c r="AA596" s="20">
        <v>0</v>
      </c>
      <c r="AB596" s="20">
        <v>0</v>
      </c>
      <c r="AC596" s="20">
        <v>119000</v>
      </c>
      <c r="AD596" s="20">
        <v>80920</v>
      </c>
      <c r="AE596" s="20">
        <v>0</v>
      </c>
      <c r="AF596" s="20">
        <v>0</v>
      </c>
      <c r="AG596" s="20">
        <v>119000</v>
      </c>
      <c r="AH596" s="20">
        <v>80920</v>
      </c>
      <c r="AI596" s="20">
        <v>34618</v>
      </c>
      <c r="AJ596" s="20">
        <v>3462</v>
      </c>
      <c r="AK596" s="20">
        <v>38080</v>
      </c>
    </row>
    <row r="597" spans="1:37" ht="24" customHeight="1" x14ac:dyDescent="0.3">
      <c r="A597" s="18" t="s">
        <v>1809</v>
      </c>
      <c r="B597" s="18" t="s">
        <v>240</v>
      </c>
      <c r="C597" s="19" t="s">
        <v>241</v>
      </c>
      <c r="D597" s="18" t="s">
        <v>1810</v>
      </c>
      <c r="E597" s="19" t="s">
        <v>1811</v>
      </c>
      <c r="F597" s="18" t="s">
        <v>244</v>
      </c>
      <c r="G597" s="18" t="s">
        <v>245</v>
      </c>
      <c r="H597" s="19" t="s">
        <v>175</v>
      </c>
      <c r="I597" s="18" t="s">
        <v>246</v>
      </c>
      <c r="J597" s="19" t="s">
        <v>247</v>
      </c>
      <c r="K597" s="19" t="s">
        <v>248</v>
      </c>
      <c r="L597" s="18" t="s">
        <v>164</v>
      </c>
      <c r="M597" s="18" t="s">
        <v>1556</v>
      </c>
      <c r="N597" s="18" t="s">
        <v>250</v>
      </c>
      <c r="O597" s="20">
        <v>119000</v>
      </c>
      <c r="P597" s="20">
        <v>80920</v>
      </c>
      <c r="Q597" s="20">
        <v>1</v>
      </c>
      <c r="R597" s="20">
        <v>0</v>
      </c>
      <c r="S597" s="20">
        <v>0</v>
      </c>
      <c r="T597" s="20">
        <v>0</v>
      </c>
      <c r="U597" s="20">
        <v>0</v>
      </c>
      <c r="V597" s="20">
        <v>0</v>
      </c>
      <c r="W597" s="20">
        <v>32</v>
      </c>
      <c r="X597" s="20">
        <v>0</v>
      </c>
      <c r="Y597" s="20">
        <v>10000</v>
      </c>
      <c r="Z597" s="20">
        <v>0</v>
      </c>
      <c r="AA597" s="20">
        <v>0</v>
      </c>
      <c r="AB597" s="20">
        <v>0</v>
      </c>
      <c r="AC597" s="20">
        <v>119000</v>
      </c>
      <c r="AD597" s="20">
        <v>80920</v>
      </c>
      <c r="AE597" s="20">
        <v>0</v>
      </c>
      <c r="AF597" s="20">
        <v>10000</v>
      </c>
      <c r="AG597" s="20">
        <v>109000</v>
      </c>
      <c r="AH597" s="20">
        <v>80920</v>
      </c>
      <c r="AI597" s="20">
        <v>25527</v>
      </c>
      <c r="AJ597" s="20">
        <v>2553</v>
      </c>
      <c r="AK597" s="20">
        <v>28080</v>
      </c>
    </row>
    <row r="598" spans="1:37" ht="24" customHeight="1" x14ac:dyDescent="0.3">
      <c r="A598" s="18" t="s">
        <v>1812</v>
      </c>
      <c r="B598" s="18" t="s">
        <v>240</v>
      </c>
      <c r="C598" s="19" t="s">
        <v>241</v>
      </c>
      <c r="D598" s="18" t="s">
        <v>1813</v>
      </c>
      <c r="E598" s="19" t="s">
        <v>1814</v>
      </c>
      <c r="F598" s="18" t="s">
        <v>244</v>
      </c>
      <c r="G598" s="18" t="s">
        <v>245</v>
      </c>
      <c r="H598" s="19" t="s">
        <v>175</v>
      </c>
      <c r="I598" s="18" t="s">
        <v>246</v>
      </c>
      <c r="J598" s="19" t="s">
        <v>247</v>
      </c>
      <c r="K598" s="19" t="s">
        <v>248</v>
      </c>
      <c r="L598" s="18" t="s">
        <v>164</v>
      </c>
      <c r="M598" s="18" t="s">
        <v>1556</v>
      </c>
      <c r="N598" s="18" t="s">
        <v>250</v>
      </c>
      <c r="O598" s="20">
        <v>119000</v>
      </c>
      <c r="P598" s="20">
        <v>80920</v>
      </c>
      <c r="Q598" s="20">
        <v>1</v>
      </c>
      <c r="R598" s="20">
        <v>0</v>
      </c>
      <c r="S598" s="20">
        <v>0</v>
      </c>
      <c r="T598" s="20">
        <v>0</v>
      </c>
      <c r="U598" s="20">
        <v>0</v>
      </c>
      <c r="V598" s="20">
        <v>0</v>
      </c>
      <c r="W598" s="20">
        <v>32</v>
      </c>
      <c r="X598" s="20">
        <v>0</v>
      </c>
      <c r="Y598" s="20">
        <v>0</v>
      </c>
      <c r="Z598" s="20">
        <v>0</v>
      </c>
      <c r="AA598" s="20">
        <v>0</v>
      </c>
      <c r="AB598" s="20">
        <v>5950</v>
      </c>
      <c r="AC598" s="20">
        <v>119000</v>
      </c>
      <c r="AD598" s="20">
        <v>80920</v>
      </c>
      <c r="AE598" s="20">
        <v>0</v>
      </c>
      <c r="AF598" s="20">
        <v>5950</v>
      </c>
      <c r="AG598" s="20">
        <v>113050</v>
      </c>
      <c r="AH598" s="20">
        <v>80920</v>
      </c>
      <c r="AI598" s="20">
        <v>29209</v>
      </c>
      <c r="AJ598" s="20">
        <v>2921</v>
      </c>
      <c r="AK598" s="20">
        <v>32130</v>
      </c>
    </row>
    <row r="599" spans="1:37" ht="24" customHeight="1" x14ac:dyDescent="0.3">
      <c r="A599" s="18" t="s">
        <v>1815</v>
      </c>
      <c r="B599" s="18" t="s">
        <v>240</v>
      </c>
      <c r="C599" s="19" t="s">
        <v>241</v>
      </c>
      <c r="D599" s="18" t="s">
        <v>1816</v>
      </c>
      <c r="E599" s="19" t="s">
        <v>1817</v>
      </c>
      <c r="F599" s="18" t="s">
        <v>244</v>
      </c>
      <c r="G599" s="18" t="s">
        <v>245</v>
      </c>
      <c r="H599" s="19" t="s">
        <v>175</v>
      </c>
      <c r="I599" s="18" t="s">
        <v>246</v>
      </c>
      <c r="J599" s="19" t="s">
        <v>247</v>
      </c>
      <c r="K599" s="19" t="s">
        <v>248</v>
      </c>
      <c r="L599" s="18" t="s">
        <v>164</v>
      </c>
      <c r="M599" s="18" t="s">
        <v>1556</v>
      </c>
      <c r="N599" s="18" t="s">
        <v>250</v>
      </c>
      <c r="O599" s="20">
        <v>119000</v>
      </c>
      <c r="P599" s="20">
        <v>80920</v>
      </c>
      <c r="Q599" s="20">
        <v>1</v>
      </c>
      <c r="R599" s="20">
        <v>0</v>
      </c>
      <c r="S599" s="20">
        <v>0</v>
      </c>
      <c r="T599" s="20">
        <v>0</v>
      </c>
      <c r="U599" s="20">
        <v>0</v>
      </c>
      <c r="V599" s="20">
        <v>0</v>
      </c>
      <c r="W599" s="20">
        <v>32</v>
      </c>
      <c r="X599" s="20">
        <v>0</v>
      </c>
      <c r="Y599" s="20">
        <v>0</v>
      </c>
      <c r="Z599" s="20">
        <v>0</v>
      </c>
      <c r="AA599" s="20">
        <v>0</v>
      </c>
      <c r="AB599" s="20">
        <v>0</v>
      </c>
      <c r="AC599" s="20">
        <v>119000</v>
      </c>
      <c r="AD599" s="20">
        <v>80920</v>
      </c>
      <c r="AE599" s="20">
        <v>0</v>
      </c>
      <c r="AF599" s="20">
        <v>0</v>
      </c>
      <c r="AG599" s="20">
        <v>119000</v>
      </c>
      <c r="AH599" s="20">
        <v>80920</v>
      </c>
      <c r="AI599" s="20">
        <v>34618</v>
      </c>
      <c r="AJ599" s="20">
        <v>3462</v>
      </c>
      <c r="AK599" s="20">
        <v>38080</v>
      </c>
    </row>
    <row r="600" spans="1:37" ht="24" customHeight="1" x14ac:dyDescent="0.3">
      <c r="A600" s="18" t="s">
        <v>1818</v>
      </c>
      <c r="B600" s="18" t="s">
        <v>240</v>
      </c>
      <c r="C600" s="19" t="s">
        <v>241</v>
      </c>
      <c r="D600" s="18" t="s">
        <v>1819</v>
      </c>
      <c r="E600" s="19" t="s">
        <v>1820</v>
      </c>
      <c r="F600" s="18" t="s">
        <v>244</v>
      </c>
      <c r="G600" s="18" t="s">
        <v>245</v>
      </c>
      <c r="H600" s="19" t="s">
        <v>175</v>
      </c>
      <c r="I600" s="18" t="s">
        <v>246</v>
      </c>
      <c r="J600" s="19" t="s">
        <v>247</v>
      </c>
      <c r="K600" s="19" t="s">
        <v>248</v>
      </c>
      <c r="L600" s="18" t="s">
        <v>164</v>
      </c>
      <c r="M600" s="18" t="s">
        <v>1556</v>
      </c>
      <c r="N600" s="18" t="s">
        <v>250</v>
      </c>
      <c r="O600" s="20">
        <v>119000</v>
      </c>
      <c r="P600" s="20">
        <v>80920</v>
      </c>
      <c r="Q600" s="20">
        <v>1</v>
      </c>
      <c r="R600" s="20">
        <v>0</v>
      </c>
      <c r="S600" s="20">
        <v>0</v>
      </c>
      <c r="T600" s="20">
        <v>0</v>
      </c>
      <c r="U600" s="20">
        <v>0</v>
      </c>
      <c r="V600" s="20">
        <v>0</v>
      </c>
      <c r="W600" s="20">
        <v>32</v>
      </c>
      <c r="X600" s="20">
        <v>0</v>
      </c>
      <c r="Y600" s="20">
        <v>0</v>
      </c>
      <c r="Z600" s="20">
        <v>0</v>
      </c>
      <c r="AA600" s="20">
        <v>0</v>
      </c>
      <c r="AB600" s="20">
        <v>0</v>
      </c>
      <c r="AC600" s="20">
        <v>119000</v>
      </c>
      <c r="AD600" s="20">
        <v>80920</v>
      </c>
      <c r="AE600" s="20">
        <v>0</v>
      </c>
      <c r="AF600" s="20">
        <v>0</v>
      </c>
      <c r="AG600" s="20">
        <v>119000</v>
      </c>
      <c r="AH600" s="20">
        <v>80920</v>
      </c>
      <c r="AI600" s="20">
        <v>34618</v>
      </c>
      <c r="AJ600" s="20">
        <v>3462</v>
      </c>
      <c r="AK600" s="20">
        <v>38080</v>
      </c>
    </row>
    <row r="601" spans="1:37" ht="24" customHeight="1" x14ac:dyDescent="0.3">
      <c r="A601" s="18" t="s">
        <v>1821</v>
      </c>
      <c r="B601" s="18" t="s">
        <v>240</v>
      </c>
      <c r="C601" s="19" t="s">
        <v>241</v>
      </c>
      <c r="D601" s="18" t="s">
        <v>1822</v>
      </c>
      <c r="E601" s="19" t="s">
        <v>1823</v>
      </c>
      <c r="F601" s="18" t="s">
        <v>244</v>
      </c>
      <c r="G601" s="18" t="s">
        <v>245</v>
      </c>
      <c r="H601" s="19" t="s">
        <v>175</v>
      </c>
      <c r="I601" s="18" t="s">
        <v>246</v>
      </c>
      <c r="J601" s="19" t="s">
        <v>247</v>
      </c>
      <c r="K601" s="19" t="s">
        <v>248</v>
      </c>
      <c r="L601" s="18" t="s">
        <v>164</v>
      </c>
      <c r="M601" s="18" t="s">
        <v>1556</v>
      </c>
      <c r="N601" s="18" t="s">
        <v>250</v>
      </c>
      <c r="O601" s="20">
        <v>119000</v>
      </c>
      <c r="P601" s="20">
        <v>80920</v>
      </c>
      <c r="Q601" s="20">
        <v>1</v>
      </c>
      <c r="R601" s="20">
        <v>0</v>
      </c>
      <c r="S601" s="20">
        <v>0</v>
      </c>
      <c r="T601" s="20">
        <v>0</v>
      </c>
      <c r="U601" s="20">
        <v>0</v>
      </c>
      <c r="V601" s="20">
        <v>0</v>
      </c>
      <c r="W601" s="20">
        <v>32</v>
      </c>
      <c r="X601" s="20">
        <v>0</v>
      </c>
      <c r="Y601" s="20">
        <v>0</v>
      </c>
      <c r="Z601" s="20">
        <v>0</v>
      </c>
      <c r="AA601" s="20">
        <v>0</v>
      </c>
      <c r="AB601" s="20">
        <v>0</v>
      </c>
      <c r="AC601" s="20">
        <v>119000</v>
      </c>
      <c r="AD601" s="20">
        <v>80920</v>
      </c>
      <c r="AE601" s="20">
        <v>0</v>
      </c>
      <c r="AF601" s="20">
        <v>0</v>
      </c>
      <c r="AG601" s="20">
        <v>119000</v>
      </c>
      <c r="AH601" s="20">
        <v>80920</v>
      </c>
      <c r="AI601" s="20">
        <v>34618</v>
      </c>
      <c r="AJ601" s="20">
        <v>3462</v>
      </c>
      <c r="AK601" s="20">
        <v>38080</v>
      </c>
    </row>
    <row r="602" spans="1:37" ht="24" customHeight="1" x14ac:dyDescent="0.3">
      <c r="A602" s="18" t="s">
        <v>1824</v>
      </c>
      <c r="B602" s="18" t="s">
        <v>240</v>
      </c>
      <c r="C602" s="19" t="s">
        <v>241</v>
      </c>
      <c r="D602" s="18" t="s">
        <v>1825</v>
      </c>
      <c r="E602" s="19" t="s">
        <v>907</v>
      </c>
      <c r="F602" s="18" t="s">
        <v>244</v>
      </c>
      <c r="G602" s="18" t="s">
        <v>245</v>
      </c>
      <c r="H602" s="19" t="s">
        <v>175</v>
      </c>
      <c r="I602" s="18" t="s">
        <v>246</v>
      </c>
      <c r="J602" s="19" t="s">
        <v>247</v>
      </c>
      <c r="K602" s="19" t="s">
        <v>248</v>
      </c>
      <c r="L602" s="18" t="s">
        <v>164</v>
      </c>
      <c r="M602" s="18" t="s">
        <v>1556</v>
      </c>
      <c r="N602" s="18" t="s">
        <v>250</v>
      </c>
      <c r="O602" s="20">
        <v>119000</v>
      </c>
      <c r="P602" s="20">
        <v>80920</v>
      </c>
      <c r="Q602" s="20">
        <v>1</v>
      </c>
      <c r="R602" s="20">
        <v>0</v>
      </c>
      <c r="S602" s="20">
        <v>0</v>
      </c>
      <c r="T602" s="20">
        <v>0</v>
      </c>
      <c r="U602" s="20">
        <v>0</v>
      </c>
      <c r="V602" s="20">
        <v>0</v>
      </c>
      <c r="W602" s="20">
        <v>32</v>
      </c>
      <c r="X602" s="20">
        <v>0</v>
      </c>
      <c r="Y602" s="20">
        <v>0</v>
      </c>
      <c r="Z602" s="20">
        <v>0</v>
      </c>
      <c r="AA602" s="20">
        <v>0</v>
      </c>
      <c r="AB602" s="20">
        <v>0</v>
      </c>
      <c r="AC602" s="20">
        <v>119000</v>
      </c>
      <c r="AD602" s="20">
        <v>80920</v>
      </c>
      <c r="AE602" s="20">
        <v>0</v>
      </c>
      <c r="AF602" s="20">
        <v>0</v>
      </c>
      <c r="AG602" s="20">
        <v>119000</v>
      </c>
      <c r="AH602" s="20">
        <v>80920</v>
      </c>
      <c r="AI602" s="20">
        <v>34618</v>
      </c>
      <c r="AJ602" s="20">
        <v>3462</v>
      </c>
      <c r="AK602" s="20">
        <v>38080</v>
      </c>
    </row>
    <row r="603" spans="1:37" ht="24" customHeight="1" x14ac:dyDescent="0.3">
      <c r="A603" s="18" t="s">
        <v>1826</v>
      </c>
      <c r="B603" s="18" t="s">
        <v>240</v>
      </c>
      <c r="C603" s="19" t="s">
        <v>241</v>
      </c>
      <c r="D603" s="18" t="s">
        <v>1827</v>
      </c>
      <c r="E603" s="19" t="s">
        <v>432</v>
      </c>
      <c r="F603" s="18" t="s">
        <v>244</v>
      </c>
      <c r="G603" s="18" t="s">
        <v>245</v>
      </c>
      <c r="H603" s="19" t="s">
        <v>175</v>
      </c>
      <c r="I603" s="18" t="s">
        <v>246</v>
      </c>
      <c r="J603" s="19" t="s">
        <v>247</v>
      </c>
      <c r="K603" s="19" t="s">
        <v>248</v>
      </c>
      <c r="L603" s="18" t="s">
        <v>164</v>
      </c>
      <c r="M603" s="18" t="s">
        <v>1556</v>
      </c>
      <c r="N603" s="18" t="s">
        <v>250</v>
      </c>
      <c r="O603" s="20">
        <v>119000</v>
      </c>
      <c r="P603" s="20">
        <v>80920</v>
      </c>
      <c r="Q603" s="20">
        <v>1</v>
      </c>
      <c r="R603" s="20">
        <v>0</v>
      </c>
      <c r="S603" s="20">
        <v>0</v>
      </c>
      <c r="T603" s="20">
        <v>0</v>
      </c>
      <c r="U603" s="20">
        <v>0</v>
      </c>
      <c r="V603" s="20">
        <v>0</v>
      </c>
      <c r="W603" s="20">
        <v>32</v>
      </c>
      <c r="X603" s="20">
        <v>0</v>
      </c>
      <c r="Y603" s="20">
        <v>0</v>
      </c>
      <c r="Z603" s="20">
        <v>0</v>
      </c>
      <c r="AA603" s="20">
        <v>0</v>
      </c>
      <c r="AB603" s="20">
        <v>0</v>
      </c>
      <c r="AC603" s="20">
        <v>119000</v>
      </c>
      <c r="AD603" s="20">
        <v>80920</v>
      </c>
      <c r="AE603" s="20">
        <v>0</v>
      </c>
      <c r="AF603" s="20">
        <v>0</v>
      </c>
      <c r="AG603" s="20">
        <v>119000</v>
      </c>
      <c r="AH603" s="20">
        <v>80920</v>
      </c>
      <c r="AI603" s="20">
        <v>34618</v>
      </c>
      <c r="AJ603" s="20">
        <v>3462</v>
      </c>
      <c r="AK603" s="20">
        <v>38080</v>
      </c>
    </row>
    <row r="604" spans="1:37" ht="24" customHeight="1" x14ac:dyDescent="0.3">
      <c r="A604" s="18" t="s">
        <v>1828</v>
      </c>
      <c r="B604" s="18" t="s">
        <v>240</v>
      </c>
      <c r="C604" s="19" t="s">
        <v>241</v>
      </c>
      <c r="D604" s="18" t="s">
        <v>1829</v>
      </c>
      <c r="E604" s="19" t="s">
        <v>790</v>
      </c>
      <c r="F604" s="18" t="s">
        <v>244</v>
      </c>
      <c r="G604" s="18" t="s">
        <v>245</v>
      </c>
      <c r="H604" s="19" t="s">
        <v>175</v>
      </c>
      <c r="I604" s="18" t="s">
        <v>246</v>
      </c>
      <c r="J604" s="19" t="s">
        <v>247</v>
      </c>
      <c r="K604" s="19" t="s">
        <v>248</v>
      </c>
      <c r="L604" s="18" t="s">
        <v>164</v>
      </c>
      <c r="M604" s="18" t="s">
        <v>1556</v>
      </c>
      <c r="N604" s="18" t="s">
        <v>250</v>
      </c>
      <c r="O604" s="20">
        <v>119000</v>
      </c>
      <c r="P604" s="20">
        <v>80920</v>
      </c>
      <c r="Q604" s="20">
        <v>1</v>
      </c>
      <c r="R604" s="20">
        <v>0</v>
      </c>
      <c r="S604" s="20">
        <v>0</v>
      </c>
      <c r="T604" s="20">
        <v>0</v>
      </c>
      <c r="U604" s="20">
        <v>0</v>
      </c>
      <c r="V604" s="20">
        <v>0</v>
      </c>
      <c r="W604" s="20">
        <v>32</v>
      </c>
      <c r="X604" s="20">
        <v>0</v>
      </c>
      <c r="Y604" s="20">
        <v>0</v>
      </c>
      <c r="Z604" s="20">
        <v>0</v>
      </c>
      <c r="AA604" s="20">
        <v>0</v>
      </c>
      <c r="AB604" s="20">
        <v>0</v>
      </c>
      <c r="AC604" s="20">
        <v>119000</v>
      </c>
      <c r="AD604" s="20">
        <v>80920</v>
      </c>
      <c r="AE604" s="20">
        <v>0</v>
      </c>
      <c r="AF604" s="20">
        <v>0</v>
      </c>
      <c r="AG604" s="20">
        <v>119000</v>
      </c>
      <c r="AH604" s="20">
        <v>80920</v>
      </c>
      <c r="AI604" s="20">
        <v>34618</v>
      </c>
      <c r="AJ604" s="20">
        <v>3462</v>
      </c>
      <c r="AK604" s="20">
        <v>38080</v>
      </c>
    </row>
    <row r="605" spans="1:37" ht="24" customHeight="1" x14ac:dyDescent="0.3">
      <c r="A605" s="18" t="s">
        <v>1830</v>
      </c>
      <c r="B605" s="18" t="s">
        <v>240</v>
      </c>
      <c r="C605" s="19" t="s">
        <v>241</v>
      </c>
      <c r="D605" s="18" t="s">
        <v>1831</v>
      </c>
      <c r="E605" s="19" t="s">
        <v>716</v>
      </c>
      <c r="F605" s="18" t="s">
        <v>244</v>
      </c>
      <c r="G605" s="18" t="s">
        <v>245</v>
      </c>
      <c r="H605" s="19" t="s">
        <v>175</v>
      </c>
      <c r="I605" s="18" t="s">
        <v>246</v>
      </c>
      <c r="J605" s="19" t="s">
        <v>247</v>
      </c>
      <c r="K605" s="19" t="s">
        <v>248</v>
      </c>
      <c r="L605" s="18" t="s">
        <v>164</v>
      </c>
      <c r="M605" s="18" t="s">
        <v>1556</v>
      </c>
      <c r="N605" s="18" t="s">
        <v>250</v>
      </c>
      <c r="O605" s="20">
        <v>119000</v>
      </c>
      <c r="P605" s="20">
        <v>80920</v>
      </c>
      <c r="Q605" s="20">
        <v>1</v>
      </c>
      <c r="R605" s="20">
        <v>0</v>
      </c>
      <c r="S605" s="20">
        <v>0</v>
      </c>
      <c r="T605" s="20">
        <v>0</v>
      </c>
      <c r="U605" s="20">
        <v>0</v>
      </c>
      <c r="V605" s="20">
        <v>0</v>
      </c>
      <c r="W605" s="20">
        <v>32</v>
      </c>
      <c r="X605" s="20">
        <v>0</v>
      </c>
      <c r="Y605" s="20">
        <v>0</v>
      </c>
      <c r="Z605" s="20">
        <v>0</v>
      </c>
      <c r="AA605" s="20">
        <v>0</v>
      </c>
      <c r="AB605" s="20">
        <v>0</v>
      </c>
      <c r="AC605" s="20">
        <v>119000</v>
      </c>
      <c r="AD605" s="20">
        <v>80920</v>
      </c>
      <c r="AE605" s="20">
        <v>0</v>
      </c>
      <c r="AF605" s="20">
        <v>0</v>
      </c>
      <c r="AG605" s="20">
        <v>119000</v>
      </c>
      <c r="AH605" s="20">
        <v>80920</v>
      </c>
      <c r="AI605" s="20">
        <v>34618</v>
      </c>
      <c r="AJ605" s="20">
        <v>3462</v>
      </c>
      <c r="AK605" s="20">
        <v>38080</v>
      </c>
    </row>
    <row r="606" spans="1:37" ht="24" customHeight="1" x14ac:dyDescent="0.3">
      <c r="A606" s="18" t="s">
        <v>1832</v>
      </c>
      <c r="B606" s="18" t="s">
        <v>240</v>
      </c>
      <c r="C606" s="19" t="s">
        <v>241</v>
      </c>
      <c r="D606" s="18" t="s">
        <v>1833</v>
      </c>
      <c r="E606" s="19" t="s">
        <v>1834</v>
      </c>
      <c r="F606" s="18" t="s">
        <v>244</v>
      </c>
      <c r="G606" s="18" t="s">
        <v>245</v>
      </c>
      <c r="H606" s="19" t="s">
        <v>175</v>
      </c>
      <c r="I606" s="18" t="s">
        <v>246</v>
      </c>
      <c r="J606" s="19" t="s">
        <v>247</v>
      </c>
      <c r="K606" s="19" t="s">
        <v>248</v>
      </c>
      <c r="L606" s="18" t="s">
        <v>164</v>
      </c>
      <c r="M606" s="18" t="s">
        <v>1556</v>
      </c>
      <c r="N606" s="18" t="s">
        <v>250</v>
      </c>
      <c r="O606" s="20">
        <v>119000</v>
      </c>
      <c r="P606" s="20">
        <v>80920</v>
      </c>
      <c r="Q606" s="20">
        <v>1</v>
      </c>
      <c r="R606" s="20">
        <v>0</v>
      </c>
      <c r="S606" s="20">
        <v>0</v>
      </c>
      <c r="T606" s="20">
        <v>0</v>
      </c>
      <c r="U606" s="20">
        <v>0</v>
      </c>
      <c r="V606" s="20">
        <v>0</v>
      </c>
      <c r="W606" s="20">
        <v>32</v>
      </c>
      <c r="X606" s="20">
        <v>0</v>
      </c>
      <c r="Y606" s="20">
        <v>0</v>
      </c>
      <c r="Z606" s="20">
        <v>0</v>
      </c>
      <c r="AA606" s="20">
        <v>0</v>
      </c>
      <c r="AB606" s="20">
        <v>0</v>
      </c>
      <c r="AC606" s="20">
        <v>119000</v>
      </c>
      <c r="AD606" s="20">
        <v>80920</v>
      </c>
      <c r="AE606" s="20">
        <v>0</v>
      </c>
      <c r="AF606" s="20">
        <v>0</v>
      </c>
      <c r="AG606" s="20">
        <v>119000</v>
      </c>
      <c r="AH606" s="20">
        <v>80920</v>
      </c>
      <c r="AI606" s="20">
        <v>34618</v>
      </c>
      <c r="AJ606" s="20">
        <v>3462</v>
      </c>
      <c r="AK606" s="20">
        <v>38080</v>
      </c>
    </row>
    <row r="607" spans="1:37" ht="24" customHeight="1" x14ac:dyDescent="0.3">
      <c r="A607" s="18" t="s">
        <v>1835</v>
      </c>
      <c r="B607" s="18" t="s">
        <v>240</v>
      </c>
      <c r="C607" s="19" t="s">
        <v>241</v>
      </c>
      <c r="D607" s="18" t="s">
        <v>1836</v>
      </c>
      <c r="E607" s="19" t="s">
        <v>1837</v>
      </c>
      <c r="F607" s="18" t="s">
        <v>244</v>
      </c>
      <c r="G607" s="18" t="s">
        <v>245</v>
      </c>
      <c r="H607" s="19" t="s">
        <v>175</v>
      </c>
      <c r="I607" s="18" t="s">
        <v>246</v>
      </c>
      <c r="J607" s="19" t="s">
        <v>247</v>
      </c>
      <c r="K607" s="19" t="s">
        <v>248</v>
      </c>
      <c r="L607" s="18" t="s">
        <v>164</v>
      </c>
      <c r="M607" s="18" t="s">
        <v>1556</v>
      </c>
      <c r="N607" s="18" t="s">
        <v>250</v>
      </c>
      <c r="O607" s="20">
        <v>119000</v>
      </c>
      <c r="P607" s="20">
        <v>80920</v>
      </c>
      <c r="Q607" s="20">
        <v>1</v>
      </c>
      <c r="R607" s="20">
        <v>0</v>
      </c>
      <c r="S607" s="20">
        <v>0</v>
      </c>
      <c r="T607" s="20">
        <v>0</v>
      </c>
      <c r="U607" s="20">
        <v>0</v>
      </c>
      <c r="V607" s="20">
        <v>0</v>
      </c>
      <c r="W607" s="20">
        <v>32</v>
      </c>
      <c r="X607" s="20">
        <v>0</v>
      </c>
      <c r="Y607" s="20">
        <v>0</v>
      </c>
      <c r="Z607" s="20">
        <v>0</v>
      </c>
      <c r="AA607" s="20">
        <v>0</v>
      </c>
      <c r="AB607" s="20">
        <v>0</v>
      </c>
      <c r="AC607" s="20">
        <v>119000</v>
      </c>
      <c r="AD607" s="20">
        <v>80920</v>
      </c>
      <c r="AE607" s="20">
        <v>0</v>
      </c>
      <c r="AF607" s="20">
        <v>0</v>
      </c>
      <c r="AG607" s="20">
        <v>119000</v>
      </c>
      <c r="AH607" s="20">
        <v>80920</v>
      </c>
      <c r="AI607" s="20">
        <v>34618</v>
      </c>
      <c r="AJ607" s="20">
        <v>3462</v>
      </c>
      <c r="AK607" s="20">
        <v>38080</v>
      </c>
    </row>
    <row r="608" spans="1:37" ht="24" customHeight="1" x14ac:dyDescent="0.3">
      <c r="A608" s="18" t="s">
        <v>1838</v>
      </c>
      <c r="B608" s="18" t="s">
        <v>240</v>
      </c>
      <c r="C608" s="19" t="s">
        <v>241</v>
      </c>
      <c r="D608" s="18" t="s">
        <v>1839</v>
      </c>
      <c r="E608" s="19" t="s">
        <v>1840</v>
      </c>
      <c r="F608" s="18" t="s">
        <v>244</v>
      </c>
      <c r="G608" s="18" t="s">
        <v>245</v>
      </c>
      <c r="H608" s="19" t="s">
        <v>175</v>
      </c>
      <c r="I608" s="18" t="s">
        <v>246</v>
      </c>
      <c r="J608" s="19" t="s">
        <v>247</v>
      </c>
      <c r="K608" s="19" t="s">
        <v>248</v>
      </c>
      <c r="L608" s="18" t="s">
        <v>164</v>
      </c>
      <c r="M608" s="18" t="s">
        <v>1556</v>
      </c>
      <c r="N608" s="18" t="s">
        <v>250</v>
      </c>
      <c r="O608" s="20">
        <v>119000</v>
      </c>
      <c r="P608" s="20">
        <v>80920</v>
      </c>
      <c r="Q608" s="20">
        <v>1</v>
      </c>
      <c r="R608" s="20">
        <v>0</v>
      </c>
      <c r="S608" s="20">
        <v>0</v>
      </c>
      <c r="T608" s="20">
        <v>0</v>
      </c>
      <c r="U608" s="20">
        <v>0</v>
      </c>
      <c r="V608" s="20">
        <v>0</v>
      </c>
      <c r="W608" s="20">
        <v>32</v>
      </c>
      <c r="X608" s="20">
        <v>0</v>
      </c>
      <c r="Y608" s="20">
        <v>0</v>
      </c>
      <c r="Z608" s="20">
        <v>0</v>
      </c>
      <c r="AA608" s="20">
        <v>0</v>
      </c>
      <c r="AB608" s="20">
        <v>0</v>
      </c>
      <c r="AC608" s="20">
        <v>119000</v>
      </c>
      <c r="AD608" s="20">
        <v>80920</v>
      </c>
      <c r="AE608" s="20">
        <v>0</v>
      </c>
      <c r="AF608" s="20">
        <v>0</v>
      </c>
      <c r="AG608" s="20">
        <v>119000</v>
      </c>
      <c r="AH608" s="20">
        <v>80920</v>
      </c>
      <c r="AI608" s="20">
        <v>34618</v>
      </c>
      <c r="AJ608" s="20">
        <v>3462</v>
      </c>
      <c r="AK608" s="20">
        <v>38080</v>
      </c>
    </row>
    <row r="609" spans="1:37" ht="24" customHeight="1" x14ac:dyDescent="0.3">
      <c r="A609" s="18" t="s">
        <v>1841</v>
      </c>
      <c r="B609" s="18" t="s">
        <v>240</v>
      </c>
      <c r="C609" s="19" t="s">
        <v>241</v>
      </c>
      <c r="D609" s="18" t="s">
        <v>1842</v>
      </c>
      <c r="E609" s="19" t="s">
        <v>559</v>
      </c>
      <c r="F609" s="18" t="s">
        <v>244</v>
      </c>
      <c r="G609" s="18" t="s">
        <v>245</v>
      </c>
      <c r="H609" s="19" t="s">
        <v>175</v>
      </c>
      <c r="I609" s="18" t="s">
        <v>246</v>
      </c>
      <c r="J609" s="19" t="s">
        <v>247</v>
      </c>
      <c r="K609" s="19" t="s">
        <v>248</v>
      </c>
      <c r="L609" s="18" t="s">
        <v>164</v>
      </c>
      <c r="M609" s="18" t="s">
        <v>1556</v>
      </c>
      <c r="N609" s="18" t="s">
        <v>250</v>
      </c>
      <c r="O609" s="20">
        <v>119000</v>
      </c>
      <c r="P609" s="20">
        <v>80920</v>
      </c>
      <c r="Q609" s="20">
        <v>1</v>
      </c>
      <c r="R609" s="20">
        <v>0</v>
      </c>
      <c r="S609" s="20">
        <v>0</v>
      </c>
      <c r="T609" s="20">
        <v>0</v>
      </c>
      <c r="U609" s="20">
        <v>0</v>
      </c>
      <c r="V609" s="20">
        <v>0</v>
      </c>
      <c r="W609" s="20">
        <v>32</v>
      </c>
      <c r="X609" s="20">
        <v>0</v>
      </c>
      <c r="Y609" s="20">
        <v>0</v>
      </c>
      <c r="Z609" s="20">
        <v>0</v>
      </c>
      <c r="AA609" s="20">
        <v>0</v>
      </c>
      <c r="AB609" s="20">
        <v>0</v>
      </c>
      <c r="AC609" s="20">
        <v>119000</v>
      </c>
      <c r="AD609" s="20">
        <v>80920</v>
      </c>
      <c r="AE609" s="20">
        <v>0</v>
      </c>
      <c r="AF609" s="20">
        <v>0</v>
      </c>
      <c r="AG609" s="20">
        <v>119000</v>
      </c>
      <c r="AH609" s="20">
        <v>80920</v>
      </c>
      <c r="AI609" s="20">
        <v>34618</v>
      </c>
      <c r="AJ609" s="20">
        <v>3462</v>
      </c>
      <c r="AK609" s="20">
        <v>38080</v>
      </c>
    </row>
    <row r="610" spans="1:37" ht="24" customHeight="1" x14ac:dyDescent="0.3">
      <c r="A610" s="18" t="s">
        <v>1843</v>
      </c>
      <c r="B610" s="18" t="s">
        <v>240</v>
      </c>
      <c r="C610" s="19" t="s">
        <v>241</v>
      </c>
      <c r="D610" s="18" t="s">
        <v>1844</v>
      </c>
      <c r="E610" s="19" t="s">
        <v>473</v>
      </c>
      <c r="F610" s="18" t="s">
        <v>244</v>
      </c>
      <c r="G610" s="18" t="s">
        <v>245</v>
      </c>
      <c r="H610" s="19" t="s">
        <v>175</v>
      </c>
      <c r="I610" s="18" t="s">
        <v>246</v>
      </c>
      <c r="J610" s="19" t="s">
        <v>247</v>
      </c>
      <c r="K610" s="19" t="s">
        <v>248</v>
      </c>
      <c r="L610" s="18" t="s">
        <v>164</v>
      </c>
      <c r="M610" s="18" t="s">
        <v>1556</v>
      </c>
      <c r="N610" s="18" t="s">
        <v>250</v>
      </c>
      <c r="O610" s="20">
        <v>119000</v>
      </c>
      <c r="P610" s="20">
        <v>80920</v>
      </c>
      <c r="Q610" s="20">
        <v>1</v>
      </c>
      <c r="R610" s="20">
        <v>0</v>
      </c>
      <c r="S610" s="20">
        <v>0</v>
      </c>
      <c r="T610" s="20">
        <v>0</v>
      </c>
      <c r="U610" s="20">
        <v>0</v>
      </c>
      <c r="V610" s="20">
        <v>0</v>
      </c>
      <c r="W610" s="20">
        <v>32</v>
      </c>
      <c r="X610" s="20">
        <v>0</v>
      </c>
      <c r="Y610" s="20">
        <v>0</v>
      </c>
      <c r="Z610" s="20">
        <v>0</v>
      </c>
      <c r="AA610" s="20">
        <v>0</v>
      </c>
      <c r="AB610" s="20">
        <v>0</v>
      </c>
      <c r="AC610" s="20">
        <v>119000</v>
      </c>
      <c r="AD610" s="20">
        <v>80920</v>
      </c>
      <c r="AE610" s="20">
        <v>0</v>
      </c>
      <c r="AF610" s="20">
        <v>0</v>
      </c>
      <c r="AG610" s="20">
        <v>119000</v>
      </c>
      <c r="AH610" s="20">
        <v>80920</v>
      </c>
      <c r="AI610" s="20">
        <v>34618</v>
      </c>
      <c r="AJ610" s="20">
        <v>3462</v>
      </c>
      <c r="AK610" s="20">
        <v>38080</v>
      </c>
    </row>
    <row r="611" spans="1:37" ht="24" customHeight="1" x14ac:dyDescent="0.3">
      <c r="A611" s="18" t="s">
        <v>1845</v>
      </c>
      <c r="B611" s="18" t="s">
        <v>240</v>
      </c>
      <c r="C611" s="19" t="s">
        <v>241</v>
      </c>
      <c r="D611" s="18" t="s">
        <v>1846</v>
      </c>
      <c r="E611" s="19" t="s">
        <v>1847</v>
      </c>
      <c r="F611" s="18" t="s">
        <v>244</v>
      </c>
      <c r="G611" s="18" t="s">
        <v>245</v>
      </c>
      <c r="H611" s="19" t="s">
        <v>175</v>
      </c>
      <c r="I611" s="18" t="s">
        <v>246</v>
      </c>
      <c r="J611" s="19" t="s">
        <v>247</v>
      </c>
      <c r="K611" s="19" t="s">
        <v>248</v>
      </c>
      <c r="L611" s="18" t="s">
        <v>164</v>
      </c>
      <c r="M611" s="18" t="s">
        <v>1556</v>
      </c>
      <c r="N611" s="18" t="s">
        <v>250</v>
      </c>
      <c r="O611" s="20">
        <v>119000</v>
      </c>
      <c r="P611" s="20">
        <v>80920</v>
      </c>
      <c r="Q611" s="20">
        <v>1</v>
      </c>
      <c r="R611" s="20">
        <v>0</v>
      </c>
      <c r="S611" s="20">
        <v>0</v>
      </c>
      <c r="T611" s="20">
        <v>0</v>
      </c>
      <c r="U611" s="20">
        <v>0</v>
      </c>
      <c r="V611" s="20">
        <v>0</v>
      </c>
      <c r="W611" s="20">
        <v>32</v>
      </c>
      <c r="X611" s="20">
        <v>0</v>
      </c>
      <c r="Y611" s="20">
        <v>0</v>
      </c>
      <c r="Z611" s="20">
        <v>0</v>
      </c>
      <c r="AA611" s="20">
        <v>0</v>
      </c>
      <c r="AB611" s="20">
        <v>0</v>
      </c>
      <c r="AC611" s="20">
        <v>119000</v>
      </c>
      <c r="AD611" s="20">
        <v>80920</v>
      </c>
      <c r="AE611" s="20">
        <v>0</v>
      </c>
      <c r="AF611" s="20">
        <v>0</v>
      </c>
      <c r="AG611" s="20">
        <v>119000</v>
      </c>
      <c r="AH611" s="20">
        <v>80920</v>
      </c>
      <c r="AI611" s="20">
        <v>34618</v>
      </c>
      <c r="AJ611" s="20">
        <v>3462</v>
      </c>
      <c r="AK611" s="20">
        <v>38080</v>
      </c>
    </row>
    <row r="612" spans="1:37" ht="24" customHeight="1" x14ac:dyDescent="0.3">
      <c r="A612" s="18" t="s">
        <v>1848</v>
      </c>
      <c r="B612" s="18" t="s">
        <v>240</v>
      </c>
      <c r="C612" s="19" t="s">
        <v>241</v>
      </c>
      <c r="D612" s="18" t="s">
        <v>1849</v>
      </c>
      <c r="E612" s="19" t="s">
        <v>349</v>
      </c>
      <c r="F612" s="18" t="s">
        <v>244</v>
      </c>
      <c r="G612" s="18" t="s">
        <v>245</v>
      </c>
      <c r="H612" s="19" t="s">
        <v>175</v>
      </c>
      <c r="I612" s="18" t="s">
        <v>246</v>
      </c>
      <c r="J612" s="19" t="s">
        <v>247</v>
      </c>
      <c r="K612" s="19" t="s">
        <v>248</v>
      </c>
      <c r="L612" s="18" t="s">
        <v>164</v>
      </c>
      <c r="M612" s="18" t="s">
        <v>1556</v>
      </c>
      <c r="N612" s="18" t="s">
        <v>250</v>
      </c>
      <c r="O612" s="20">
        <v>119000</v>
      </c>
      <c r="P612" s="20">
        <v>80920</v>
      </c>
      <c r="Q612" s="20">
        <v>1</v>
      </c>
      <c r="R612" s="20">
        <v>0</v>
      </c>
      <c r="S612" s="20">
        <v>0</v>
      </c>
      <c r="T612" s="20">
        <v>0</v>
      </c>
      <c r="U612" s="20">
        <v>0</v>
      </c>
      <c r="V612" s="20">
        <v>0</v>
      </c>
      <c r="W612" s="20">
        <v>32</v>
      </c>
      <c r="X612" s="20">
        <v>0</v>
      </c>
      <c r="Y612" s="20">
        <v>0</v>
      </c>
      <c r="Z612" s="20">
        <v>0</v>
      </c>
      <c r="AA612" s="20">
        <v>0</v>
      </c>
      <c r="AB612" s="20">
        <v>5950</v>
      </c>
      <c r="AC612" s="20">
        <v>119000</v>
      </c>
      <c r="AD612" s="20">
        <v>80920</v>
      </c>
      <c r="AE612" s="20">
        <v>0</v>
      </c>
      <c r="AF612" s="20">
        <v>5950</v>
      </c>
      <c r="AG612" s="20">
        <v>113050</v>
      </c>
      <c r="AH612" s="20">
        <v>80920</v>
      </c>
      <c r="AI612" s="20">
        <v>29209</v>
      </c>
      <c r="AJ612" s="20">
        <v>2921</v>
      </c>
      <c r="AK612" s="20">
        <v>32130</v>
      </c>
    </row>
    <row r="613" spans="1:37" ht="24" customHeight="1" x14ac:dyDescent="0.3">
      <c r="A613" s="18" t="s">
        <v>1850</v>
      </c>
      <c r="B613" s="18" t="s">
        <v>240</v>
      </c>
      <c r="C613" s="19" t="s">
        <v>241</v>
      </c>
      <c r="D613" s="18" t="s">
        <v>1851</v>
      </c>
      <c r="E613" s="19" t="s">
        <v>1852</v>
      </c>
      <c r="F613" s="18" t="s">
        <v>244</v>
      </c>
      <c r="G613" s="18" t="s">
        <v>245</v>
      </c>
      <c r="H613" s="19" t="s">
        <v>175</v>
      </c>
      <c r="I613" s="18" t="s">
        <v>246</v>
      </c>
      <c r="J613" s="19" t="s">
        <v>247</v>
      </c>
      <c r="K613" s="19"/>
      <c r="L613" s="18" t="s">
        <v>164</v>
      </c>
      <c r="M613" s="18" t="s">
        <v>1556</v>
      </c>
      <c r="N613" s="18" t="s">
        <v>250</v>
      </c>
      <c r="O613" s="20">
        <v>119000</v>
      </c>
      <c r="P613" s="20">
        <v>80920</v>
      </c>
      <c r="Q613" s="20">
        <v>1</v>
      </c>
      <c r="R613" s="20">
        <v>0</v>
      </c>
      <c r="S613" s="20">
        <v>0</v>
      </c>
      <c r="T613" s="20">
        <v>0</v>
      </c>
      <c r="U613" s="20">
        <v>0</v>
      </c>
      <c r="V613" s="20">
        <v>0</v>
      </c>
      <c r="W613" s="20">
        <v>32</v>
      </c>
      <c r="X613" s="20">
        <v>0</v>
      </c>
      <c r="Y613" s="20">
        <v>5950</v>
      </c>
      <c r="Z613" s="20">
        <v>0</v>
      </c>
      <c r="AA613" s="20">
        <v>0</v>
      </c>
      <c r="AB613" s="20">
        <v>0</v>
      </c>
      <c r="AC613" s="20">
        <v>119000</v>
      </c>
      <c r="AD613" s="20">
        <v>80920</v>
      </c>
      <c r="AE613" s="20">
        <v>0</v>
      </c>
      <c r="AF613" s="20">
        <v>5950</v>
      </c>
      <c r="AG613" s="20">
        <v>113050</v>
      </c>
      <c r="AH613" s="20">
        <v>80920</v>
      </c>
      <c r="AI613" s="20">
        <v>29209</v>
      </c>
      <c r="AJ613" s="20">
        <v>2921</v>
      </c>
      <c r="AK613" s="20">
        <v>32130</v>
      </c>
    </row>
    <row r="614" spans="1:37" ht="24" customHeight="1" x14ac:dyDescent="0.3">
      <c r="A614" s="18" t="s">
        <v>1853</v>
      </c>
      <c r="B614" s="18" t="s">
        <v>240</v>
      </c>
      <c r="C614" s="19" t="s">
        <v>241</v>
      </c>
      <c r="D614" s="18" t="s">
        <v>1854</v>
      </c>
      <c r="E614" s="19" t="s">
        <v>1783</v>
      </c>
      <c r="F614" s="18" t="s">
        <v>244</v>
      </c>
      <c r="G614" s="18" t="s">
        <v>245</v>
      </c>
      <c r="H614" s="19" t="s">
        <v>175</v>
      </c>
      <c r="I614" s="18" t="s">
        <v>246</v>
      </c>
      <c r="J614" s="19" t="s">
        <v>247</v>
      </c>
      <c r="K614" s="19" t="s">
        <v>314</v>
      </c>
      <c r="L614" s="18" t="s">
        <v>164</v>
      </c>
      <c r="M614" s="18" t="s">
        <v>1556</v>
      </c>
      <c r="N614" s="18" t="s">
        <v>250</v>
      </c>
      <c r="O614" s="20">
        <v>119000</v>
      </c>
      <c r="P614" s="20">
        <v>80920</v>
      </c>
      <c r="Q614" s="20">
        <v>1</v>
      </c>
      <c r="R614" s="20">
        <v>0</v>
      </c>
      <c r="S614" s="20">
        <v>0</v>
      </c>
      <c r="T614" s="20">
        <v>0</v>
      </c>
      <c r="U614" s="20">
        <v>0</v>
      </c>
      <c r="V614" s="20">
        <v>0</v>
      </c>
      <c r="W614" s="20">
        <v>32</v>
      </c>
      <c r="X614" s="20">
        <v>23800</v>
      </c>
      <c r="Y614" s="20">
        <v>0</v>
      </c>
      <c r="Z614" s="20">
        <v>0</v>
      </c>
      <c r="AA614" s="20">
        <v>0</v>
      </c>
      <c r="AB614" s="20">
        <v>0</v>
      </c>
      <c r="AC614" s="20">
        <v>119000</v>
      </c>
      <c r="AD614" s="20">
        <v>80920</v>
      </c>
      <c r="AE614" s="20">
        <v>0</v>
      </c>
      <c r="AF614" s="20">
        <v>23800</v>
      </c>
      <c r="AG614" s="20">
        <v>95200</v>
      </c>
      <c r="AH614" s="20">
        <v>80920</v>
      </c>
      <c r="AI614" s="20">
        <v>12982</v>
      </c>
      <c r="AJ614" s="20">
        <v>1298</v>
      </c>
      <c r="AK614" s="20">
        <v>14280</v>
      </c>
    </row>
    <row r="615" spans="1:37" ht="24" customHeight="1" x14ac:dyDescent="0.3">
      <c r="A615" s="18" t="s">
        <v>1855</v>
      </c>
      <c r="B615" s="18" t="s">
        <v>240</v>
      </c>
      <c r="C615" s="19" t="s">
        <v>241</v>
      </c>
      <c r="D615" s="18" t="s">
        <v>1856</v>
      </c>
      <c r="E615" s="19" t="s">
        <v>1857</v>
      </c>
      <c r="F615" s="18" t="s">
        <v>244</v>
      </c>
      <c r="G615" s="18" t="s">
        <v>245</v>
      </c>
      <c r="H615" s="19" t="s">
        <v>175</v>
      </c>
      <c r="I615" s="18" t="s">
        <v>246</v>
      </c>
      <c r="J615" s="19" t="s">
        <v>247</v>
      </c>
      <c r="K615" s="19" t="s">
        <v>248</v>
      </c>
      <c r="L615" s="18" t="s">
        <v>164</v>
      </c>
      <c r="M615" s="18" t="s">
        <v>1556</v>
      </c>
      <c r="N615" s="18" t="s">
        <v>250</v>
      </c>
      <c r="O615" s="20">
        <v>119000</v>
      </c>
      <c r="P615" s="20">
        <v>80920</v>
      </c>
      <c r="Q615" s="20">
        <v>1</v>
      </c>
      <c r="R615" s="20">
        <v>0</v>
      </c>
      <c r="S615" s="20">
        <v>0</v>
      </c>
      <c r="T615" s="20">
        <v>0</v>
      </c>
      <c r="U615" s="20">
        <v>0</v>
      </c>
      <c r="V615" s="20">
        <v>0</v>
      </c>
      <c r="W615" s="20">
        <v>32</v>
      </c>
      <c r="X615" s="20">
        <v>0</v>
      </c>
      <c r="Y615" s="20">
        <v>10000</v>
      </c>
      <c r="Z615" s="20">
        <v>0</v>
      </c>
      <c r="AA615" s="20">
        <v>0</v>
      </c>
      <c r="AB615" s="20">
        <v>0</v>
      </c>
      <c r="AC615" s="20">
        <v>119000</v>
      </c>
      <c r="AD615" s="20">
        <v>80920</v>
      </c>
      <c r="AE615" s="20">
        <v>0</v>
      </c>
      <c r="AF615" s="20">
        <v>10000</v>
      </c>
      <c r="AG615" s="20">
        <v>109000</v>
      </c>
      <c r="AH615" s="20">
        <v>80920</v>
      </c>
      <c r="AI615" s="20">
        <v>25527</v>
      </c>
      <c r="AJ615" s="20">
        <v>2553</v>
      </c>
      <c r="AK615" s="20">
        <v>28080</v>
      </c>
    </row>
    <row r="616" spans="1:37" ht="24" customHeight="1" x14ac:dyDescent="0.3">
      <c r="A616" s="18" t="s">
        <v>1858</v>
      </c>
      <c r="B616" s="18" t="s">
        <v>240</v>
      </c>
      <c r="C616" s="19" t="s">
        <v>241</v>
      </c>
      <c r="D616" s="18" t="s">
        <v>1859</v>
      </c>
      <c r="E616" s="19" t="s">
        <v>1860</v>
      </c>
      <c r="F616" s="18" t="s">
        <v>244</v>
      </c>
      <c r="G616" s="18" t="s">
        <v>245</v>
      </c>
      <c r="H616" s="19" t="s">
        <v>175</v>
      </c>
      <c r="I616" s="18" t="s">
        <v>246</v>
      </c>
      <c r="J616" s="19" t="s">
        <v>247</v>
      </c>
      <c r="K616" s="19" t="s">
        <v>248</v>
      </c>
      <c r="L616" s="18" t="s">
        <v>164</v>
      </c>
      <c r="M616" s="18" t="s">
        <v>1556</v>
      </c>
      <c r="N616" s="18" t="s">
        <v>250</v>
      </c>
      <c r="O616" s="20">
        <v>119000</v>
      </c>
      <c r="P616" s="20">
        <v>80920</v>
      </c>
      <c r="Q616" s="20">
        <v>1</v>
      </c>
      <c r="R616" s="20">
        <v>0</v>
      </c>
      <c r="S616" s="20">
        <v>0</v>
      </c>
      <c r="T616" s="20">
        <v>0</v>
      </c>
      <c r="U616" s="20">
        <v>0</v>
      </c>
      <c r="V616" s="20">
        <v>0</v>
      </c>
      <c r="W616" s="20">
        <v>32</v>
      </c>
      <c r="X616" s="20">
        <v>23800</v>
      </c>
      <c r="Y616" s="20">
        <v>0</v>
      </c>
      <c r="Z616" s="20">
        <v>0</v>
      </c>
      <c r="AA616" s="20">
        <v>0</v>
      </c>
      <c r="AB616" s="20">
        <v>0</v>
      </c>
      <c r="AC616" s="20">
        <v>119000</v>
      </c>
      <c r="AD616" s="20">
        <v>80920</v>
      </c>
      <c r="AE616" s="20">
        <v>0</v>
      </c>
      <c r="AF616" s="20">
        <v>23800</v>
      </c>
      <c r="AG616" s="20">
        <v>95200</v>
      </c>
      <c r="AH616" s="20">
        <v>80920</v>
      </c>
      <c r="AI616" s="20">
        <v>12982</v>
      </c>
      <c r="AJ616" s="20">
        <v>1298</v>
      </c>
      <c r="AK616" s="20">
        <v>14280</v>
      </c>
    </row>
    <row r="617" spans="1:37" ht="24" customHeight="1" x14ac:dyDescent="0.3">
      <c r="A617" s="18" t="s">
        <v>1861</v>
      </c>
      <c r="B617" s="18" t="s">
        <v>240</v>
      </c>
      <c r="C617" s="19" t="s">
        <v>241</v>
      </c>
      <c r="D617" s="18" t="s">
        <v>1862</v>
      </c>
      <c r="E617" s="19" t="s">
        <v>1863</v>
      </c>
      <c r="F617" s="18" t="s">
        <v>244</v>
      </c>
      <c r="G617" s="18" t="s">
        <v>245</v>
      </c>
      <c r="H617" s="19" t="s">
        <v>175</v>
      </c>
      <c r="I617" s="18" t="s">
        <v>246</v>
      </c>
      <c r="J617" s="19" t="s">
        <v>247</v>
      </c>
      <c r="K617" s="19"/>
      <c r="L617" s="18" t="s">
        <v>164</v>
      </c>
      <c r="M617" s="18" t="s">
        <v>1556</v>
      </c>
      <c r="N617" s="18" t="s">
        <v>250</v>
      </c>
      <c r="O617" s="20">
        <v>119000</v>
      </c>
      <c r="P617" s="20">
        <v>80920</v>
      </c>
      <c r="Q617" s="20">
        <v>1</v>
      </c>
      <c r="R617" s="20">
        <v>0</v>
      </c>
      <c r="S617" s="20">
        <v>0</v>
      </c>
      <c r="T617" s="20">
        <v>0</v>
      </c>
      <c r="U617" s="20">
        <v>0</v>
      </c>
      <c r="V617" s="20">
        <v>0</v>
      </c>
      <c r="W617" s="20">
        <v>32</v>
      </c>
      <c r="X617" s="20">
        <v>0</v>
      </c>
      <c r="Y617" s="20">
        <v>5950</v>
      </c>
      <c r="Z617" s="20">
        <v>0</v>
      </c>
      <c r="AA617" s="20">
        <v>0</v>
      </c>
      <c r="AB617" s="20">
        <v>0</v>
      </c>
      <c r="AC617" s="20">
        <v>119000</v>
      </c>
      <c r="AD617" s="20">
        <v>80920</v>
      </c>
      <c r="AE617" s="20">
        <v>0</v>
      </c>
      <c r="AF617" s="20">
        <v>5950</v>
      </c>
      <c r="AG617" s="20">
        <v>113050</v>
      </c>
      <c r="AH617" s="20">
        <v>80920</v>
      </c>
      <c r="AI617" s="20">
        <v>29209</v>
      </c>
      <c r="AJ617" s="20">
        <v>2921</v>
      </c>
      <c r="AK617" s="20">
        <v>32130</v>
      </c>
    </row>
    <row r="618" spans="1:37" ht="24" customHeight="1" x14ac:dyDescent="0.3">
      <c r="A618" s="18" t="s">
        <v>1864</v>
      </c>
      <c r="B618" s="18" t="s">
        <v>240</v>
      </c>
      <c r="C618" s="19" t="s">
        <v>241</v>
      </c>
      <c r="D618" s="18" t="s">
        <v>1865</v>
      </c>
      <c r="E618" s="19" t="s">
        <v>1866</v>
      </c>
      <c r="F618" s="18" t="s">
        <v>244</v>
      </c>
      <c r="G618" s="18" t="s">
        <v>245</v>
      </c>
      <c r="H618" s="19" t="s">
        <v>175</v>
      </c>
      <c r="I618" s="18" t="s">
        <v>246</v>
      </c>
      <c r="J618" s="19" t="s">
        <v>247</v>
      </c>
      <c r="K618" s="19" t="s">
        <v>248</v>
      </c>
      <c r="L618" s="18" t="s">
        <v>164</v>
      </c>
      <c r="M618" s="18" t="s">
        <v>1556</v>
      </c>
      <c r="N618" s="18" t="s">
        <v>250</v>
      </c>
      <c r="O618" s="20">
        <v>119000</v>
      </c>
      <c r="P618" s="20">
        <v>80920</v>
      </c>
      <c r="Q618" s="20">
        <v>1</v>
      </c>
      <c r="R618" s="20">
        <v>0</v>
      </c>
      <c r="S618" s="20">
        <v>0</v>
      </c>
      <c r="T618" s="20">
        <v>0</v>
      </c>
      <c r="U618" s="20">
        <v>0</v>
      </c>
      <c r="V618" s="20">
        <v>0</v>
      </c>
      <c r="W618" s="20">
        <v>32</v>
      </c>
      <c r="X618" s="20">
        <v>0</v>
      </c>
      <c r="Y618" s="20">
        <v>0</v>
      </c>
      <c r="Z618" s="20">
        <v>0</v>
      </c>
      <c r="AA618" s="20">
        <v>0</v>
      </c>
      <c r="AB618" s="20">
        <v>0</v>
      </c>
      <c r="AC618" s="20">
        <v>119000</v>
      </c>
      <c r="AD618" s="20">
        <v>80920</v>
      </c>
      <c r="AE618" s="20">
        <v>0</v>
      </c>
      <c r="AF618" s="20">
        <v>0</v>
      </c>
      <c r="AG618" s="20">
        <v>119000</v>
      </c>
      <c r="AH618" s="20">
        <v>80920</v>
      </c>
      <c r="AI618" s="20">
        <v>34618</v>
      </c>
      <c r="AJ618" s="20">
        <v>3462</v>
      </c>
      <c r="AK618" s="20">
        <v>38080</v>
      </c>
    </row>
    <row r="619" spans="1:37" ht="24" customHeight="1" x14ac:dyDescent="0.3">
      <c r="A619" s="18" t="s">
        <v>1867</v>
      </c>
      <c r="B619" s="18" t="s">
        <v>240</v>
      </c>
      <c r="C619" s="19" t="s">
        <v>241</v>
      </c>
      <c r="D619" s="18" t="s">
        <v>1868</v>
      </c>
      <c r="E619" s="19" t="s">
        <v>335</v>
      </c>
      <c r="F619" s="18" t="s">
        <v>244</v>
      </c>
      <c r="G619" s="18" t="s">
        <v>245</v>
      </c>
      <c r="H619" s="19" t="s">
        <v>175</v>
      </c>
      <c r="I619" s="18" t="s">
        <v>246</v>
      </c>
      <c r="J619" s="19" t="s">
        <v>247</v>
      </c>
      <c r="K619" s="19" t="s">
        <v>248</v>
      </c>
      <c r="L619" s="18" t="s">
        <v>164</v>
      </c>
      <c r="M619" s="18" t="s">
        <v>1556</v>
      </c>
      <c r="N619" s="18" t="s">
        <v>250</v>
      </c>
      <c r="O619" s="20">
        <v>119000</v>
      </c>
      <c r="P619" s="20">
        <v>80920</v>
      </c>
      <c r="Q619" s="20">
        <v>1</v>
      </c>
      <c r="R619" s="20">
        <v>0</v>
      </c>
      <c r="S619" s="20">
        <v>0</v>
      </c>
      <c r="T619" s="20">
        <v>0</v>
      </c>
      <c r="U619" s="20">
        <v>0</v>
      </c>
      <c r="V619" s="20">
        <v>0</v>
      </c>
      <c r="W619" s="20">
        <v>32</v>
      </c>
      <c r="X619" s="20">
        <v>0</v>
      </c>
      <c r="Y619" s="20">
        <v>0</v>
      </c>
      <c r="Z619" s="20">
        <v>0</v>
      </c>
      <c r="AA619" s="20">
        <v>0</v>
      </c>
      <c r="AB619" s="20">
        <v>0</v>
      </c>
      <c r="AC619" s="20">
        <v>119000</v>
      </c>
      <c r="AD619" s="20">
        <v>80920</v>
      </c>
      <c r="AE619" s="20">
        <v>0</v>
      </c>
      <c r="AF619" s="20">
        <v>0</v>
      </c>
      <c r="AG619" s="20">
        <v>119000</v>
      </c>
      <c r="AH619" s="20">
        <v>80920</v>
      </c>
      <c r="AI619" s="20">
        <v>34618</v>
      </c>
      <c r="AJ619" s="20">
        <v>3462</v>
      </c>
      <c r="AK619" s="20">
        <v>38080</v>
      </c>
    </row>
    <row r="620" spans="1:37" ht="24" customHeight="1" x14ac:dyDescent="0.3">
      <c r="A620" s="18" t="s">
        <v>1869</v>
      </c>
      <c r="B620" s="18" t="s">
        <v>240</v>
      </c>
      <c r="C620" s="19" t="s">
        <v>241</v>
      </c>
      <c r="D620" s="18" t="s">
        <v>1870</v>
      </c>
      <c r="E620" s="19" t="s">
        <v>1871</v>
      </c>
      <c r="F620" s="18" t="s">
        <v>244</v>
      </c>
      <c r="G620" s="18" t="s">
        <v>245</v>
      </c>
      <c r="H620" s="19" t="s">
        <v>175</v>
      </c>
      <c r="I620" s="18" t="s">
        <v>246</v>
      </c>
      <c r="J620" s="19" t="s">
        <v>247</v>
      </c>
      <c r="K620" s="19" t="s">
        <v>248</v>
      </c>
      <c r="L620" s="18" t="s">
        <v>164</v>
      </c>
      <c r="M620" s="18" t="s">
        <v>1556</v>
      </c>
      <c r="N620" s="18" t="s">
        <v>250</v>
      </c>
      <c r="O620" s="20">
        <v>119000</v>
      </c>
      <c r="P620" s="20">
        <v>80920</v>
      </c>
      <c r="Q620" s="20">
        <v>1</v>
      </c>
      <c r="R620" s="20">
        <v>0</v>
      </c>
      <c r="S620" s="20">
        <v>0</v>
      </c>
      <c r="T620" s="20">
        <v>0</v>
      </c>
      <c r="U620" s="20">
        <v>0</v>
      </c>
      <c r="V620" s="20">
        <v>0</v>
      </c>
      <c r="W620" s="20">
        <v>32</v>
      </c>
      <c r="X620" s="20">
        <v>0</v>
      </c>
      <c r="Y620" s="20">
        <v>0</v>
      </c>
      <c r="Z620" s="20">
        <v>0</v>
      </c>
      <c r="AA620" s="20">
        <v>0</v>
      </c>
      <c r="AB620" s="20">
        <v>0</v>
      </c>
      <c r="AC620" s="20">
        <v>119000</v>
      </c>
      <c r="AD620" s="20">
        <v>80920</v>
      </c>
      <c r="AE620" s="20">
        <v>0</v>
      </c>
      <c r="AF620" s="20">
        <v>0</v>
      </c>
      <c r="AG620" s="20">
        <v>119000</v>
      </c>
      <c r="AH620" s="20">
        <v>80920</v>
      </c>
      <c r="AI620" s="20">
        <v>34618</v>
      </c>
      <c r="AJ620" s="20">
        <v>3462</v>
      </c>
      <c r="AK620" s="20">
        <v>38080</v>
      </c>
    </row>
    <row r="621" spans="1:37" ht="24" customHeight="1" x14ac:dyDescent="0.3">
      <c r="A621" s="18" t="s">
        <v>1872</v>
      </c>
      <c r="B621" s="18" t="s">
        <v>240</v>
      </c>
      <c r="C621" s="19" t="s">
        <v>241</v>
      </c>
      <c r="D621" s="18" t="s">
        <v>1873</v>
      </c>
      <c r="E621" s="19" t="s">
        <v>1874</v>
      </c>
      <c r="F621" s="18" t="s">
        <v>244</v>
      </c>
      <c r="G621" s="18" t="s">
        <v>245</v>
      </c>
      <c r="H621" s="19" t="s">
        <v>175</v>
      </c>
      <c r="I621" s="18" t="s">
        <v>246</v>
      </c>
      <c r="J621" s="19" t="s">
        <v>247</v>
      </c>
      <c r="K621" s="19" t="s">
        <v>248</v>
      </c>
      <c r="L621" s="18" t="s">
        <v>164</v>
      </c>
      <c r="M621" s="18" t="s">
        <v>1556</v>
      </c>
      <c r="N621" s="18" t="s">
        <v>250</v>
      </c>
      <c r="O621" s="20">
        <v>119000</v>
      </c>
      <c r="P621" s="20">
        <v>80920</v>
      </c>
      <c r="Q621" s="20">
        <v>1</v>
      </c>
      <c r="R621" s="20">
        <v>0</v>
      </c>
      <c r="S621" s="20">
        <v>0</v>
      </c>
      <c r="T621" s="20">
        <v>0</v>
      </c>
      <c r="U621" s="20">
        <v>0</v>
      </c>
      <c r="V621" s="20">
        <v>0</v>
      </c>
      <c r="W621" s="20">
        <v>32</v>
      </c>
      <c r="X621" s="20">
        <v>0</v>
      </c>
      <c r="Y621" s="20">
        <v>0</v>
      </c>
      <c r="Z621" s="20">
        <v>0</v>
      </c>
      <c r="AA621" s="20">
        <v>0</v>
      </c>
      <c r="AB621" s="20">
        <v>0</v>
      </c>
      <c r="AC621" s="20">
        <v>119000</v>
      </c>
      <c r="AD621" s="20">
        <v>80920</v>
      </c>
      <c r="AE621" s="20">
        <v>0</v>
      </c>
      <c r="AF621" s="20">
        <v>0</v>
      </c>
      <c r="AG621" s="20">
        <v>119000</v>
      </c>
      <c r="AH621" s="20">
        <v>80920</v>
      </c>
      <c r="AI621" s="20">
        <v>34618</v>
      </c>
      <c r="AJ621" s="20">
        <v>3462</v>
      </c>
      <c r="AK621" s="20">
        <v>38080</v>
      </c>
    </row>
    <row r="622" spans="1:37" ht="24" customHeight="1" x14ac:dyDescent="0.3">
      <c r="A622" s="18" t="s">
        <v>1875</v>
      </c>
      <c r="B622" s="18" t="s">
        <v>240</v>
      </c>
      <c r="C622" s="19" t="s">
        <v>241</v>
      </c>
      <c r="D622" s="18" t="s">
        <v>1876</v>
      </c>
      <c r="E622" s="19" t="s">
        <v>461</v>
      </c>
      <c r="F622" s="18" t="s">
        <v>244</v>
      </c>
      <c r="G622" s="18" t="s">
        <v>245</v>
      </c>
      <c r="H622" s="19" t="s">
        <v>175</v>
      </c>
      <c r="I622" s="18" t="s">
        <v>246</v>
      </c>
      <c r="J622" s="19" t="s">
        <v>247</v>
      </c>
      <c r="K622" s="19" t="s">
        <v>314</v>
      </c>
      <c r="L622" s="18" t="s">
        <v>164</v>
      </c>
      <c r="M622" s="18" t="s">
        <v>1556</v>
      </c>
      <c r="N622" s="18" t="s">
        <v>250</v>
      </c>
      <c r="O622" s="20">
        <v>119000</v>
      </c>
      <c r="P622" s="20">
        <v>80920</v>
      </c>
      <c r="Q622" s="20">
        <v>1</v>
      </c>
      <c r="R622" s="20">
        <v>0</v>
      </c>
      <c r="S622" s="20">
        <v>0</v>
      </c>
      <c r="T622" s="20">
        <v>0</v>
      </c>
      <c r="U622" s="20">
        <v>0</v>
      </c>
      <c r="V622" s="20">
        <v>0</v>
      </c>
      <c r="W622" s="20">
        <v>32</v>
      </c>
      <c r="X622" s="20">
        <v>0</v>
      </c>
      <c r="Y622" s="20">
        <v>0</v>
      </c>
      <c r="Z622" s="20">
        <v>0</v>
      </c>
      <c r="AA622" s="20">
        <v>0</v>
      </c>
      <c r="AB622" s="20">
        <v>0</v>
      </c>
      <c r="AC622" s="20">
        <v>119000</v>
      </c>
      <c r="AD622" s="20">
        <v>80920</v>
      </c>
      <c r="AE622" s="20">
        <v>0</v>
      </c>
      <c r="AF622" s="20">
        <v>0</v>
      </c>
      <c r="AG622" s="20">
        <v>119000</v>
      </c>
      <c r="AH622" s="20">
        <v>80920</v>
      </c>
      <c r="AI622" s="20">
        <v>34618</v>
      </c>
      <c r="AJ622" s="20">
        <v>3462</v>
      </c>
      <c r="AK622" s="20">
        <v>38080</v>
      </c>
    </row>
    <row r="623" spans="1:37" ht="24" customHeight="1" x14ac:dyDescent="0.3">
      <c r="A623" s="18" t="s">
        <v>1877</v>
      </c>
      <c r="B623" s="18" t="s">
        <v>240</v>
      </c>
      <c r="C623" s="19" t="s">
        <v>241</v>
      </c>
      <c r="D623" s="18" t="s">
        <v>1878</v>
      </c>
      <c r="E623" s="19" t="s">
        <v>349</v>
      </c>
      <c r="F623" s="18" t="s">
        <v>244</v>
      </c>
      <c r="G623" s="18" t="s">
        <v>245</v>
      </c>
      <c r="H623" s="19" t="s">
        <v>175</v>
      </c>
      <c r="I623" s="18" t="s">
        <v>246</v>
      </c>
      <c r="J623" s="19" t="s">
        <v>247</v>
      </c>
      <c r="K623" s="19" t="s">
        <v>248</v>
      </c>
      <c r="L623" s="18" t="s">
        <v>164</v>
      </c>
      <c r="M623" s="18" t="s">
        <v>1556</v>
      </c>
      <c r="N623" s="18" t="s">
        <v>250</v>
      </c>
      <c r="O623" s="20">
        <v>119000</v>
      </c>
      <c r="P623" s="20">
        <v>80920</v>
      </c>
      <c r="Q623" s="20">
        <v>1</v>
      </c>
      <c r="R623" s="20">
        <v>0</v>
      </c>
      <c r="S623" s="20">
        <v>0</v>
      </c>
      <c r="T623" s="20">
        <v>0</v>
      </c>
      <c r="U623" s="20">
        <v>0</v>
      </c>
      <c r="V623" s="20">
        <v>0</v>
      </c>
      <c r="W623" s="20">
        <v>32</v>
      </c>
      <c r="X623" s="20">
        <v>0</v>
      </c>
      <c r="Y623" s="20">
        <v>0</v>
      </c>
      <c r="Z623" s="20">
        <v>0</v>
      </c>
      <c r="AA623" s="20">
        <v>0</v>
      </c>
      <c r="AB623" s="20">
        <v>0</v>
      </c>
      <c r="AC623" s="20">
        <v>119000</v>
      </c>
      <c r="AD623" s="20">
        <v>80920</v>
      </c>
      <c r="AE623" s="20">
        <v>0</v>
      </c>
      <c r="AF623" s="20">
        <v>0</v>
      </c>
      <c r="AG623" s="20">
        <v>119000</v>
      </c>
      <c r="AH623" s="20">
        <v>80920</v>
      </c>
      <c r="AI623" s="20">
        <v>34618</v>
      </c>
      <c r="AJ623" s="20">
        <v>3462</v>
      </c>
      <c r="AK623" s="20">
        <v>38080</v>
      </c>
    </row>
    <row r="624" spans="1:37" ht="24" customHeight="1" x14ac:dyDescent="0.3">
      <c r="A624" s="18" t="s">
        <v>1879</v>
      </c>
      <c r="B624" s="18" t="s">
        <v>240</v>
      </c>
      <c r="C624" s="19" t="s">
        <v>241</v>
      </c>
      <c r="D624" s="18" t="s">
        <v>1880</v>
      </c>
      <c r="E624" s="19" t="s">
        <v>1881</v>
      </c>
      <c r="F624" s="18" t="s">
        <v>244</v>
      </c>
      <c r="G624" s="18" t="s">
        <v>245</v>
      </c>
      <c r="H624" s="19" t="s">
        <v>175</v>
      </c>
      <c r="I624" s="18" t="s">
        <v>246</v>
      </c>
      <c r="J624" s="19" t="s">
        <v>247</v>
      </c>
      <c r="K624" s="19" t="s">
        <v>248</v>
      </c>
      <c r="L624" s="18" t="s">
        <v>164</v>
      </c>
      <c r="M624" s="18" t="s">
        <v>1556</v>
      </c>
      <c r="N624" s="18" t="s">
        <v>250</v>
      </c>
      <c r="O624" s="20">
        <v>119000</v>
      </c>
      <c r="P624" s="20">
        <v>80920</v>
      </c>
      <c r="Q624" s="20">
        <v>1</v>
      </c>
      <c r="R624" s="20">
        <v>0</v>
      </c>
      <c r="S624" s="20">
        <v>0</v>
      </c>
      <c r="T624" s="20">
        <v>0</v>
      </c>
      <c r="U624" s="20">
        <v>0</v>
      </c>
      <c r="V624" s="20">
        <v>0</v>
      </c>
      <c r="W624" s="20">
        <v>32</v>
      </c>
      <c r="X624" s="20">
        <v>0</v>
      </c>
      <c r="Y624" s="20">
        <v>0</v>
      </c>
      <c r="Z624" s="20">
        <v>0</v>
      </c>
      <c r="AA624" s="20">
        <v>0</v>
      </c>
      <c r="AB624" s="20">
        <v>0</v>
      </c>
      <c r="AC624" s="20">
        <v>119000</v>
      </c>
      <c r="AD624" s="20">
        <v>80920</v>
      </c>
      <c r="AE624" s="20">
        <v>0</v>
      </c>
      <c r="AF624" s="20">
        <v>0</v>
      </c>
      <c r="AG624" s="20">
        <v>119000</v>
      </c>
      <c r="AH624" s="20">
        <v>80920</v>
      </c>
      <c r="AI624" s="20">
        <v>34618</v>
      </c>
      <c r="AJ624" s="20">
        <v>3462</v>
      </c>
      <c r="AK624" s="20">
        <v>38080</v>
      </c>
    </row>
    <row r="625" spans="1:37" ht="24" customHeight="1" x14ac:dyDescent="0.3">
      <c r="A625" s="18" t="s">
        <v>1882</v>
      </c>
      <c r="B625" s="18" t="s">
        <v>240</v>
      </c>
      <c r="C625" s="19" t="s">
        <v>241</v>
      </c>
      <c r="D625" s="18" t="s">
        <v>1883</v>
      </c>
      <c r="E625" s="19" t="s">
        <v>624</v>
      </c>
      <c r="F625" s="18" t="s">
        <v>244</v>
      </c>
      <c r="G625" s="18" t="s">
        <v>245</v>
      </c>
      <c r="H625" s="19" t="s">
        <v>175</v>
      </c>
      <c r="I625" s="18" t="s">
        <v>246</v>
      </c>
      <c r="J625" s="19" t="s">
        <v>247</v>
      </c>
      <c r="K625" s="19" t="s">
        <v>314</v>
      </c>
      <c r="L625" s="18" t="s">
        <v>164</v>
      </c>
      <c r="M625" s="18" t="s">
        <v>1556</v>
      </c>
      <c r="N625" s="18" t="s">
        <v>250</v>
      </c>
      <c r="O625" s="20">
        <v>119000</v>
      </c>
      <c r="P625" s="20">
        <v>80920</v>
      </c>
      <c r="Q625" s="20">
        <v>1</v>
      </c>
      <c r="R625" s="20">
        <v>0</v>
      </c>
      <c r="S625" s="20">
        <v>0</v>
      </c>
      <c r="T625" s="20">
        <v>0</v>
      </c>
      <c r="U625" s="20">
        <v>0</v>
      </c>
      <c r="V625" s="20">
        <v>0</v>
      </c>
      <c r="W625" s="20">
        <v>32</v>
      </c>
      <c r="X625" s="20">
        <v>0</v>
      </c>
      <c r="Y625" s="20">
        <v>0</v>
      </c>
      <c r="Z625" s="20">
        <v>0</v>
      </c>
      <c r="AA625" s="20">
        <v>0</v>
      </c>
      <c r="AB625" s="20">
        <v>0</v>
      </c>
      <c r="AC625" s="20">
        <v>119000</v>
      </c>
      <c r="AD625" s="20">
        <v>80920</v>
      </c>
      <c r="AE625" s="20">
        <v>0</v>
      </c>
      <c r="AF625" s="20">
        <v>0</v>
      </c>
      <c r="AG625" s="20">
        <v>119000</v>
      </c>
      <c r="AH625" s="20">
        <v>80920</v>
      </c>
      <c r="AI625" s="20">
        <v>34618</v>
      </c>
      <c r="AJ625" s="20">
        <v>3462</v>
      </c>
      <c r="AK625" s="20">
        <v>38080</v>
      </c>
    </row>
    <row r="626" spans="1:37" ht="24" customHeight="1" x14ac:dyDescent="0.3">
      <c r="A626" s="18" t="s">
        <v>1884</v>
      </c>
      <c r="B626" s="18" t="s">
        <v>240</v>
      </c>
      <c r="C626" s="19" t="s">
        <v>241</v>
      </c>
      <c r="D626" s="18" t="s">
        <v>1885</v>
      </c>
      <c r="E626" s="19" t="s">
        <v>1886</v>
      </c>
      <c r="F626" s="18" t="s">
        <v>244</v>
      </c>
      <c r="G626" s="18" t="s">
        <v>245</v>
      </c>
      <c r="H626" s="19" t="s">
        <v>175</v>
      </c>
      <c r="I626" s="18" t="s">
        <v>246</v>
      </c>
      <c r="J626" s="19" t="s">
        <v>247</v>
      </c>
      <c r="K626" s="19" t="s">
        <v>248</v>
      </c>
      <c r="L626" s="18" t="s">
        <v>164</v>
      </c>
      <c r="M626" s="18" t="s">
        <v>1556</v>
      </c>
      <c r="N626" s="18" t="s">
        <v>250</v>
      </c>
      <c r="O626" s="20">
        <v>119000</v>
      </c>
      <c r="P626" s="20">
        <v>80920</v>
      </c>
      <c r="Q626" s="20">
        <v>1</v>
      </c>
      <c r="R626" s="20">
        <v>0</v>
      </c>
      <c r="S626" s="20">
        <v>0</v>
      </c>
      <c r="T626" s="20">
        <v>0</v>
      </c>
      <c r="U626" s="20">
        <v>0</v>
      </c>
      <c r="V626" s="20">
        <v>0</v>
      </c>
      <c r="W626" s="20">
        <v>32</v>
      </c>
      <c r="X626" s="20">
        <v>0</v>
      </c>
      <c r="Y626" s="20">
        <v>10000</v>
      </c>
      <c r="Z626" s="20">
        <v>0</v>
      </c>
      <c r="AA626" s="20">
        <v>0</v>
      </c>
      <c r="AB626" s="20">
        <v>0</v>
      </c>
      <c r="AC626" s="20">
        <v>119000</v>
      </c>
      <c r="AD626" s="20">
        <v>80920</v>
      </c>
      <c r="AE626" s="20">
        <v>0</v>
      </c>
      <c r="AF626" s="20">
        <v>10000</v>
      </c>
      <c r="AG626" s="20">
        <v>109000</v>
      </c>
      <c r="AH626" s="20">
        <v>80920</v>
      </c>
      <c r="AI626" s="20">
        <v>25527</v>
      </c>
      <c r="AJ626" s="20">
        <v>2553</v>
      </c>
      <c r="AK626" s="20">
        <v>28080</v>
      </c>
    </row>
    <row r="627" spans="1:37" ht="24" customHeight="1" x14ac:dyDescent="0.3">
      <c r="A627" s="18" t="s">
        <v>1887</v>
      </c>
      <c r="B627" s="18" t="s">
        <v>240</v>
      </c>
      <c r="C627" s="19" t="s">
        <v>241</v>
      </c>
      <c r="D627" s="18" t="s">
        <v>1888</v>
      </c>
      <c r="E627" s="19" t="s">
        <v>1886</v>
      </c>
      <c r="F627" s="18" t="s">
        <v>244</v>
      </c>
      <c r="G627" s="18" t="s">
        <v>245</v>
      </c>
      <c r="H627" s="19" t="s">
        <v>175</v>
      </c>
      <c r="I627" s="18" t="s">
        <v>246</v>
      </c>
      <c r="J627" s="19" t="s">
        <v>247</v>
      </c>
      <c r="K627" s="19" t="s">
        <v>248</v>
      </c>
      <c r="L627" s="18" t="s">
        <v>164</v>
      </c>
      <c r="M627" s="18" t="s">
        <v>1556</v>
      </c>
      <c r="N627" s="18" t="s">
        <v>250</v>
      </c>
      <c r="O627" s="20">
        <v>119000</v>
      </c>
      <c r="P627" s="20">
        <v>80920</v>
      </c>
      <c r="Q627" s="20">
        <v>1</v>
      </c>
      <c r="R627" s="20">
        <v>0</v>
      </c>
      <c r="S627" s="20">
        <v>0</v>
      </c>
      <c r="T627" s="20">
        <v>0</v>
      </c>
      <c r="U627" s="20">
        <v>0</v>
      </c>
      <c r="V627" s="20">
        <v>0</v>
      </c>
      <c r="W627" s="20">
        <v>32</v>
      </c>
      <c r="X627" s="20">
        <v>0</v>
      </c>
      <c r="Y627" s="20">
        <v>0</v>
      </c>
      <c r="Z627" s="20">
        <v>0</v>
      </c>
      <c r="AA627" s="20">
        <v>0</v>
      </c>
      <c r="AB627" s="20">
        <v>0</v>
      </c>
      <c r="AC627" s="20">
        <v>119000</v>
      </c>
      <c r="AD627" s="20">
        <v>80920</v>
      </c>
      <c r="AE627" s="20">
        <v>0</v>
      </c>
      <c r="AF627" s="20">
        <v>0</v>
      </c>
      <c r="AG627" s="20">
        <v>119000</v>
      </c>
      <c r="AH627" s="20">
        <v>80920</v>
      </c>
      <c r="AI627" s="20">
        <v>34618</v>
      </c>
      <c r="AJ627" s="20">
        <v>3462</v>
      </c>
      <c r="AK627" s="20">
        <v>38080</v>
      </c>
    </row>
    <row r="628" spans="1:37" ht="24" customHeight="1" x14ac:dyDescent="0.3">
      <c r="A628" s="18" t="s">
        <v>1889</v>
      </c>
      <c r="B628" s="18" t="s">
        <v>240</v>
      </c>
      <c r="C628" s="19" t="s">
        <v>241</v>
      </c>
      <c r="D628" s="18" t="s">
        <v>1890</v>
      </c>
      <c r="E628" s="19" t="s">
        <v>1891</v>
      </c>
      <c r="F628" s="18" t="s">
        <v>244</v>
      </c>
      <c r="G628" s="18" t="s">
        <v>245</v>
      </c>
      <c r="H628" s="19" t="s">
        <v>175</v>
      </c>
      <c r="I628" s="18" t="s">
        <v>246</v>
      </c>
      <c r="J628" s="19" t="s">
        <v>247</v>
      </c>
      <c r="K628" s="19" t="s">
        <v>248</v>
      </c>
      <c r="L628" s="18" t="s">
        <v>164</v>
      </c>
      <c r="M628" s="18" t="s">
        <v>1556</v>
      </c>
      <c r="N628" s="18" t="s">
        <v>250</v>
      </c>
      <c r="O628" s="20">
        <v>119000</v>
      </c>
      <c r="P628" s="20">
        <v>82110</v>
      </c>
      <c r="Q628" s="20">
        <v>1</v>
      </c>
      <c r="R628" s="20">
        <v>0</v>
      </c>
      <c r="S628" s="20">
        <v>0</v>
      </c>
      <c r="T628" s="20">
        <v>0</v>
      </c>
      <c r="U628" s="20">
        <v>0</v>
      </c>
      <c r="V628" s="20">
        <v>0</v>
      </c>
      <c r="W628" s="20">
        <v>31</v>
      </c>
      <c r="X628" s="20">
        <v>0</v>
      </c>
      <c r="Y628" s="20">
        <v>10000</v>
      </c>
      <c r="Z628" s="20">
        <v>0</v>
      </c>
      <c r="AA628" s="20">
        <v>0</v>
      </c>
      <c r="AB628" s="20">
        <v>0</v>
      </c>
      <c r="AC628" s="20">
        <v>119000</v>
      </c>
      <c r="AD628" s="20">
        <v>82110</v>
      </c>
      <c r="AE628" s="20">
        <v>0</v>
      </c>
      <c r="AF628" s="20">
        <v>10000</v>
      </c>
      <c r="AG628" s="20">
        <v>109000</v>
      </c>
      <c r="AH628" s="20">
        <v>82110</v>
      </c>
      <c r="AI628" s="20">
        <v>24445</v>
      </c>
      <c r="AJ628" s="20">
        <v>2445</v>
      </c>
      <c r="AK628" s="20">
        <v>26890</v>
      </c>
    </row>
    <row r="629" spans="1:37" ht="24" customHeight="1" x14ac:dyDescent="0.3">
      <c r="A629" s="18" t="s">
        <v>1892</v>
      </c>
      <c r="B629" s="18" t="s">
        <v>240</v>
      </c>
      <c r="C629" s="19" t="s">
        <v>241</v>
      </c>
      <c r="D629" s="18" t="s">
        <v>1893</v>
      </c>
      <c r="E629" s="19" t="s">
        <v>1894</v>
      </c>
      <c r="F629" s="18" t="s">
        <v>244</v>
      </c>
      <c r="G629" s="18" t="s">
        <v>245</v>
      </c>
      <c r="H629" s="19" t="s">
        <v>175</v>
      </c>
      <c r="I629" s="18" t="s">
        <v>246</v>
      </c>
      <c r="J629" s="19" t="s">
        <v>247</v>
      </c>
      <c r="K629" s="19" t="s">
        <v>248</v>
      </c>
      <c r="L629" s="18" t="s">
        <v>164</v>
      </c>
      <c r="M629" s="18" t="s">
        <v>1556</v>
      </c>
      <c r="N629" s="18" t="s">
        <v>250</v>
      </c>
      <c r="O629" s="20">
        <v>119000</v>
      </c>
      <c r="P629" s="20">
        <v>80920</v>
      </c>
      <c r="Q629" s="20">
        <v>1</v>
      </c>
      <c r="R629" s="20">
        <v>0</v>
      </c>
      <c r="S629" s="20">
        <v>0</v>
      </c>
      <c r="T629" s="20">
        <v>0</v>
      </c>
      <c r="U629" s="20">
        <v>0</v>
      </c>
      <c r="V629" s="20">
        <v>0</v>
      </c>
      <c r="W629" s="20">
        <v>32</v>
      </c>
      <c r="X629" s="20">
        <v>0</v>
      </c>
      <c r="Y629" s="20">
        <v>0</v>
      </c>
      <c r="Z629" s="20">
        <v>0</v>
      </c>
      <c r="AA629" s="20">
        <v>0</v>
      </c>
      <c r="AB629" s="20">
        <v>0</v>
      </c>
      <c r="AC629" s="20">
        <v>119000</v>
      </c>
      <c r="AD629" s="20">
        <v>80920</v>
      </c>
      <c r="AE629" s="20">
        <v>0</v>
      </c>
      <c r="AF629" s="20">
        <v>0</v>
      </c>
      <c r="AG629" s="20">
        <v>119000</v>
      </c>
      <c r="AH629" s="20">
        <v>80920</v>
      </c>
      <c r="AI629" s="20">
        <v>34618</v>
      </c>
      <c r="AJ629" s="20">
        <v>3462</v>
      </c>
      <c r="AK629" s="20">
        <v>38080</v>
      </c>
    </row>
    <row r="630" spans="1:37" ht="24" customHeight="1" x14ac:dyDescent="0.3">
      <c r="A630" s="18" t="s">
        <v>1895</v>
      </c>
      <c r="B630" s="18" t="s">
        <v>240</v>
      </c>
      <c r="C630" s="19" t="s">
        <v>241</v>
      </c>
      <c r="D630" s="18" t="s">
        <v>1896</v>
      </c>
      <c r="E630" s="19" t="s">
        <v>1897</v>
      </c>
      <c r="F630" s="18" t="s">
        <v>244</v>
      </c>
      <c r="G630" s="18" t="s">
        <v>245</v>
      </c>
      <c r="H630" s="19" t="s">
        <v>175</v>
      </c>
      <c r="I630" s="18" t="s">
        <v>246</v>
      </c>
      <c r="J630" s="19" t="s">
        <v>247</v>
      </c>
      <c r="K630" s="19" t="s">
        <v>248</v>
      </c>
      <c r="L630" s="18" t="s">
        <v>164</v>
      </c>
      <c r="M630" s="18" t="s">
        <v>1556</v>
      </c>
      <c r="N630" s="18" t="s">
        <v>250</v>
      </c>
      <c r="O630" s="20">
        <v>119000</v>
      </c>
      <c r="P630" s="20">
        <v>80920</v>
      </c>
      <c r="Q630" s="20">
        <v>1</v>
      </c>
      <c r="R630" s="20">
        <v>0</v>
      </c>
      <c r="S630" s="20">
        <v>0</v>
      </c>
      <c r="T630" s="20">
        <v>0</v>
      </c>
      <c r="U630" s="20">
        <v>0</v>
      </c>
      <c r="V630" s="20">
        <v>0</v>
      </c>
      <c r="W630" s="20">
        <v>32</v>
      </c>
      <c r="X630" s="20">
        <v>0</v>
      </c>
      <c r="Y630" s="20">
        <v>0</v>
      </c>
      <c r="Z630" s="20">
        <v>0</v>
      </c>
      <c r="AA630" s="20">
        <v>0</v>
      </c>
      <c r="AB630" s="20">
        <v>0</v>
      </c>
      <c r="AC630" s="20">
        <v>119000</v>
      </c>
      <c r="AD630" s="20">
        <v>80920</v>
      </c>
      <c r="AE630" s="20">
        <v>0</v>
      </c>
      <c r="AF630" s="20">
        <v>0</v>
      </c>
      <c r="AG630" s="20">
        <v>119000</v>
      </c>
      <c r="AH630" s="20">
        <v>80920</v>
      </c>
      <c r="AI630" s="20">
        <v>34618</v>
      </c>
      <c r="AJ630" s="20">
        <v>3462</v>
      </c>
      <c r="AK630" s="20">
        <v>38080</v>
      </c>
    </row>
    <row r="631" spans="1:37" ht="24" customHeight="1" x14ac:dyDescent="0.3">
      <c r="A631" s="18" t="s">
        <v>1898</v>
      </c>
      <c r="B631" s="18" t="s">
        <v>240</v>
      </c>
      <c r="C631" s="19" t="s">
        <v>241</v>
      </c>
      <c r="D631" s="18" t="s">
        <v>1899</v>
      </c>
      <c r="E631" s="19" t="s">
        <v>1900</v>
      </c>
      <c r="F631" s="18" t="s">
        <v>244</v>
      </c>
      <c r="G631" s="18" t="s">
        <v>245</v>
      </c>
      <c r="H631" s="19" t="s">
        <v>175</v>
      </c>
      <c r="I631" s="18" t="s">
        <v>246</v>
      </c>
      <c r="J631" s="19" t="s">
        <v>247</v>
      </c>
      <c r="K631" s="19" t="s">
        <v>248</v>
      </c>
      <c r="L631" s="18" t="s">
        <v>164</v>
      </c>
      <c r="M631" s="18" t="s">
        <v>1556</v>
      </c>
      <c r="N631" s="18" t="s">
        <v>250</v>
      </c>
      <c r="O631" s="20">
        <v>119000</v>
      </c>
      <c r="P631" s="20">
        <v>80920</v>
      </c>
      <c r="Q631" s="20">
        <v>1</v>
      </c>
      <c r="R631" s="20">
        <v>0</v>
      </c>
      <c r="S631" s="20">
        <v>0</v>
      </c>
      <c r="T631" s="20">
        <v>0</v>
      </c>
      <c r="U631" s="20">
        <v>0</v>
      </c>
      <c r="V631" s="20">
        <v>0</v>
      </c>
      <c r="W631" s="20">
        <v>32</v>
      </c>
      <c r="X631" s="20">
        <v>0</v>
      </c>
      <c r="Y631" s="20">
        <v>0</v>
      </c>
      <c r="Z631" s="20">
        <v>0</v>
      </c>
      <c r="AA631" s="20">
        <v>0</v>
      </c>
      <c r="AB631" s="20">
        <v>0</v>
      </c>
      <c r="AC631" s="20">
        <v>119000</v>
      </c>
      <c r="AD631" s="20">
        <v>80920</v>
      </c>
      <c r="AE631" s="20">
        <v>0</v>
      </c>
      <c r="AF631" s="20">
        <v>0</v>
      </c>
      <c r="AG631" s="20">
        <v>119000</v>
      </c>
      <c r="AH631" s="20">
        <v>80920</v>
      </c>
      <c r="AI631" s="20">
        <v>34618</v>
      </c>
      <c r="AJ631" s="20">
        <v>3462</v>
      </c>
      <c r="AK631" s="20">
        <v>38080</v>
      </c>
    </row>
    <row r="632" spans="1:37" ht="24" customHeight="1" x14ac:dyDescent="0.3">
      <c r="A632" s="18" t="s">
        <v>1901</v>
      </c>
      <c r="B632" s="18" t="s">
        <v>240</v>
      </c>
      <c r="C632" s="19" t="s">
        <v>241</v>
      </c>
      <c r="D632" s="18" t="s">
        <v>1902</v>
      </c>
      <c r="E632" s="19" t="s">
        <v>1903</v>
      </c>
      <c r="F632" s="18" t="s">
        <v>244</v>
      </c>
      <c r="G632" s="18" t="s">
        <v>245</v>
      </c>
      <c r="H632" s="19" t="s">
        <v>175</v>
      </c>
      <c r="I632" s="18" t="s">
        <v>246</v>
      </c>
      <c r="J632" s="19" t="s">
        <v>247</v>
      </c>
      <c r="K632" s="19" t="s">
        <v>248</v>
      </c>
      <c r="L632" s="18" t="s">
        <v>164</v>
      </c>
      <c r="M632" s="18" t="s">
        <v>1556</v>
      </c>
      <c r="N632" s="18" t="s">
        <v>250</v>
      </c>
      <c r="O632" s="20">
        <v>119000</v>
      </c>
      <c r="P632" s="20">
        <v>80920</v>
      </c>
      <c r="Q632" s="20">
        <v>1</v>
      </c>
      <c r="R632" s="20">
        <v>0</v>
      </c>
      <c r="S632" s="20">
        <v>0</v>
      </c>
      <c r="T632" s="20">
        <v>0</v>
      </c>
      <c r="U632" s="20">
        <v>0</v>
      </c>
      <c r="V632" s="20">
        <v>0</v>
      </c>
      <c r="W632" s="20">
        <v>32</v>
      </c>
      <c r="X632" s="20">
        <v>0</v>
      </c>
      <c r="Y632" s="20">
        <v>0</v>
      </c>
      <c r="Z632" s="20">
        <v>0</v>
      </c>
      <c r="AA632" s="20">
        <v>0</v>
      </c>
      <c r="AB632" s="20">
        <v>0</v>
      </c>
      <c r="AC632" s="20">
        <v>119000</v>
      </c>
      <c r="AD632" s="20">
        <v>80920</v>
      </c>
      <c r="AE632" s="20">
        <v>0</v>
      </c>
      <c r="AF632" s="20">
        <v>0</v>
      </c>
      <c r="AG632" s="20">
        <v>119000</v>
      </c>
      <c r="AH632" s="20">
        <v>80920</v>
      </c>
      <c r="AI632" s="20">
        <v>34618</v>
      </c>
      <c r="AJ632" s="20">
        <v>3462</v>
      </c>
      <c r="AK632" s="20">
        <v>38080</v>
      </c>
    </row>
    <row r="633" spans="1:37" ht="24" customHeight="1" x14ac:dyDescent="0.3">
      <c r="A633" s="18" t="s">
        <v>1904</v>
      </c>
      <c r="B633" s="18" t="s">
        <v>240</v>
      </c>
      <c r="C633" s="19" t="s">
        <v>241</v>
      </c>
      <c r="D633" s="18" t="s">
        <v>1905</v>
      </c>
      <c r="E633" s="19" t="s">
        <v>357</v>
      </c>
      <c r="F633" s="18" t="s">
        <v>244</v>
      </c>
      <c r="G633" s="18" t="s">
        <v>245</v>
      </c>
      <c r="H633" s="19" t="s">
        <v>175</v>
      </c>
      <c r="I633" s="18" t="s">
        <v>246</v>
      </c>
      <c r="J633" s="19" t="s">
        <v>247</v>
      </c>
      <c r="K633" s="19" t="s">
        <v>248</v>
      </c>
      <c r="L633" s="18" t="s">
        <v>164</v>
      </c>
      <c r="M633" s="18" t="s">
        <v>1556</v>
      </c>
      <c r="N633" s="18" t="s">
        <v>250</v>
      </c>
      <c r="O633" s="20">
        <v>119000</v>
      </c>
      <c r="P633" s="20">
        <v>80920</v>
      </c>
      <c r="Q633" s="20">
        <v>1</v>
      </c>
      <c r="R633" s="20">
        <v>0</v>
      </c>
      <c r="S633" s="20">
        <v>0</v>
      </c>
      <c r="T633" s="20">
        <v>0</v>
      </c>
      <c r="U633" s="20">
        <v>0</v>
      </c>
      <c r="V633" s="20">
        <v>0</v>
      </c>
      <c r="W633" s="20">
        <v>32</v>
      </c>
      <c r="X633" s="20">
        <v>0</v>
      </c>
      <c r="Y633" s="20">
        <v>0</v>
      </c>
      <c r="Z633" s="20">
        <v>0</v>
      </c>
      <c r="AA633" s="20">
        <v>0</v>
      </c>
      <c r="AB633" s="20">
        <v>0</v>
      </c>
      <c r="AC633" s="20">
        <v>119000</v>
      </c>
      <c r="AD633" s="20">
        <v>80920</v>
      </c>
      <c r="AE633" s="20">
        <v>0</v>
      </c>
      <c r="AF633" s="20">
        <v>0</v>
      </c>
      <c r="AG633" s="20">
        <v>119000</v>
      </c>
      <c r="AH633" s="20">
        <v>80920</v>
      </c>
      <c r="AI633" s="20">
        <v>34618</v>
      </c>
      <c r="AJ633" s="20">
        <v>3462</v>
      </c>
      <c r="AK633" s="20">
        <v>38080</v>
      </c>
    </row>
    <row r="634" spans="1:37" ht="24" customHeight="1" x14ac:dyDescent="0.3">
      <c r="A634" s="18" t="s">
        <v>1906</v>
      </c>
      <c r="B634" s="18" t="s">
        <v>240</v>
      </c>
      <c r="C634" s="19" t="s">
        <v>241</v>
      </c>
      <c r="D634" s="18" t="s">
        <v>1907</v>
      </c>
      <c r="E634" s="19" t="s">
        <v>302</v>
      </c>
      <c r="F634" s="18" t="s">
        <v>244</v>
      </c>
      <c r="G634" s="18" t="s">
        <v>245</v>
      </c>
      <c r="H634" s="19" t="s">
        <v>175</v>
      </c>
      <c r="I634" s="18" t="s">
        <v>246</v>
      </c>
      <c r="J634" s="19" t="s">
        <v>247</v>
      </c>
      <c r="K634" s="19" t="s">
        <v>248</v>
      </c>
      <c r="L634" s="18" t="s">
        <v>164</v>
      </c>
      <c r="M634" s="18" t="s">
        <v>1556</v>
      </c>
      <c r="N634" s="18" t="s">
        <v>250</v>
      </c>
      <c r="O634" s="20">
        <v>119000</v>
      </c>
      <c r="P634" s="20">
        <v>80920</v>
      </c>
      <c r="Q634" s="20">
        <v>1</v>
      </c>
      <c r="R634" s="20">
        <v>0</v>
      </c>
      <c r="S634" s="20">
        <v>0</v>
      </c>
      <c r="T634" s="20">
        <v>0</v>
      </c>
      <c r="U634" s="20">
        <v>0</v>
      </c>
      <c r="V634" s="20">
        <v>0</v>
      </c>
      <c r="W634" s="20">
        <v>32</v>
      </c>
      <c r="X634" s="20">
        <v>0</v>
      </c>
      <c r="Y634" s="20">
        <v>0</v>
      </c>
      <c r="Z634" s="20">
        <v>0</v>
      </c>
      <c r="AA634" s="20">
        <v>0</v>
      </c>
      <c r="AB634" s="20">
        <v>0</v>
      </c>
      <c r="AC634" s="20">
        <v>119000</v>
      </c>
      <c r="AD634" s="20">
        <v>80920</v>
      </c>
      <c r="AE634" s="20">
        <v>0</v>
      </c>
      <c r="AF634" s="20">
        <v>0</v>
      </c>
      <c r="AG634" s="20">
        <v>119000</v>
      </c>
      <c r="AH634" s="20">
        <v>80920</v>
      </c>
      <c r="AI634" s="20">
        <v>34618</v>
      </c>
      <c r="AJ634" s="20">
        <v>3462</v>
      </c>
      <c r="AK634" s="20">
        <v>38080</v>
      </c>
    </row>
    <row r="635" spans="1:37" ht="24" customHeight="1" x14ac:dyDescent="0.3">
      <c r="A635" s="18" t="s">
        <v>1908</v>
      </c>
      <c r="B635" s="18" t="s">
        <v>240</v>
      </c>
      <c r="C635" s="19" t="s">
        <v>241</v>
      </c>
      <c r="D635" s="18" t="s">
        <v>1909</v>
      </c>
      <c r="E635" s="19" t="s">
        <v>1910</v>
      </c>
      <c r="F635" s="18" t="s">
        <v>244</v>
      </c>
      <c r="G635" s="18" t="s">
        <v>245</v>
      </c>
      <c r="H635" s="19" t="s">
        <v>175</v>
      </c>
      <c r="I635" s="18" t="s">
        <v>246</v>
      </c>
      <c r="J635" s="19" t="s">
        <v>247</v>
      </c>
      <c r="K635" s="19" t="s">
        <v>248</v>
      </c>
      <c r="L635" s="18" t="s">
        <v>164</v>
      </c>
      <c r="M635" s="18" t="s">
        <v>1556</v>
      </c>
      <c r="N635" s="18" t="s">
        <v>250</v>
      </c>
      <c r="O635" s="20">
        <v>119000</v>
      </c>
      <c r="P635" s="20">
        <v>80920</v>
      </c>
      <c r="Q635" s="20">
        <v>1</v>
      </c>
      <c r="R635" s="20">
        <v>0</v>
      </c>
      <c r="S635" s="20">
        <v>0</v>
      </c>
      <c r="T635" s="20">
        <v>0</v>
      </c>
      <c r="U635" s="20">
        <v>0</v>
      </c>
      <c r="V635" s="20">
        <v>0</v>
      </c>
      <c r="W635" s="20">
        <v>32</v>
      </c>
      <c r="X635" s="20">
        <v>0</v>
      </c>
      <c r="Y635" s="20">
        <v>0</v>
      </c>
      <c r="Z635" s="20">
        <v>0</v>
      </c>
      <c r="AA635" s="20">
        <v>0</v>
      </c>
      <c r="AB635" s="20">
        <v>0</v>
      </c>
      <c r="AC635" s="20">
        <v>119000</v>
      </c>
      <c r="AD635" s="20">
        <v>80920</v>
      </c>
      <c r="AE635" s="20">
        <v>0</v>
      </c>
      <c r="AF635" s="20">
        <v>0</v>
      </c>
      <c r="AG635" s="20">
        <v>119000</v>
      </c>
      <c r="AH635" s="20">
        <v>80920</v>
      </c>
      <c r="AI635" s="20">
        <v>34618</v>
      </c>
      <c r="AJ635" s="20">
        <v>3462</v>
      </c>
      <c r="AK635" s="20">
        <v>38080</v>
      </c>
    </row>
    <row r="636" spans="1:37" ht="24" customHeight="1" x14ac:dyDescent="0.3">
      <c r="A636" s="18" t="s">
        <v>1911</v>
      </c>
      <c r="B636" s="18" t="s">
        <v>240</v>
      </c>
      <c r="C636" s="19" t="s">
        <v>241</v>
      </c>
      <c r="D636" s="18" t="s">
        <v>1912</v>
      </c>
      <c r="E636" s="19" t="s">
        <v>271</v>
      </c>
      <c r="F636" s="18" t="s">
        <v>244</v>
      </c>
      <c r="G636" s="18" t="s">
        <v>245</v>
      </c>
      <c r="H636" s="19" t="s">
        <v>175</v>
      </c>
      <c r="I636" s="18" t="s">
        <v>246</v>
      </c>
      <c r="J636" s="19" t="s">
        <v>247</v>
      </c>
      <c r="K636" s="19" t="s">
        <v>248</v>
      </c>
      <c r="L636" s="18" t="s">
        <v>164</v>
      </c>
      <c r="M636" s="18" t="s">
        <v>1556</v>
      </c>
      <c r="N636" s="18" t="s">
        <v>250</v>
      </c>
      <c r="O636" s="20">
        <v>119000</v>
      </c>
      <c r="P636" s="20">
        <v>80920</v>
      </c>
      <c r="Q636" s="20">
        <v>1</v>
      </c>
      <c r="R636" s="20">
        <v>0</v>
      </c>
      <c r="S636" s="20">
        <v>0</v>
      </c>
      <c r="T636" s="20">
        <v>0</v>
      </c>
      <c r="U636" s="20">
        <v>0</v>
      </c>
      <c r="V636" s="20">
        <v>0</v>
      </c>
      <c r="W636" s="20">
        <v>32</v>
      </c>
      <c r="X636" s="20">
        <v>0</v>
      </c>
      <c r="Y636" s="20">
        <v>0</v>
      </c>
      <c r="Z636" s="20">
        <v>0</v>
      </c>
      <c r="AA636" s="20">
        <v>0</v>
      </c>
      <c r="AB636" s="20">
        <v>0</v>
      </c>
      <c r="AC636" s="20">
        <v>119000</v>
      </c>
      <c r="AD636" s="20">
        <v>80920</v>
      </c>
      <c r="AE636" s="20">
        <v>0</v>
      </c>
      <c r="AF636" s="20">
        <v>0</v>
      </c>
      <c r="AG636" s="20">
        <v>119000</v>
      </c>
      <c r="AH636" s="20">
        <v>80920</v>
      </c>
      <c r="AI636" s="20">
        <v>34618</v>
      </c>
      <c r="AJ636" s="20">
        <v>3462</v>
      </c>
      <c r="AK636" s="20">
        <v>38080</v>
      </c>
    </row>
    <row r="637" spans="1:37" ht="24" customHeight="1" x14ac:dyDescent="0.3">
      <c r="A637" s="18" t="s">
        <v>1913</v>
      </c>
      <c r="B637" s="18" t="s">
        <v>240</v>
      </c>
      <c r="C637" s="19" t="s">
        <v>241</v>
      </c>
      <c r="D637" s="18" t="s">
        <v>1914</v>
      </c>
      <c r="E637" s="19" t="s">
        <v>311</v>
      </c>
      <c r="F637" s="18" t="s">
        <v>244</v>
      </c>
      <c r="G637" s="18" t="s">
        <v>245</v>
      </c>
      <c r="H637" s="19" t="s">
        <v>175</v>
      </c>
      <c r="I637" s="18" t="s">
        <v>246</v>
      </c>
      <c r="J637" s="19" t="s">
        <v>247</v>
      </c>
      <c r="K637" s="19" t="s">
        <v>248</v>
      </c>
      <c r="L637" s="18" t="s">
        <v>164</v>
      </c>
      <c r="M637" s="18" t="s">
        <v>1556</v>
      </c>
      <c r="N637" s="18" t="s">
        <v>250</v>
      </c>
      <c r="O637" s="20">
        <v>119000</v>
      </c>
      <c r="P637" s="20">
        <v>80920</v>
      </c>
      <c r="Q637" s="20">
        <v>1</v>
      </c>
      <c r="R637" s="20">
        <v>0</v>
      </c>
      <c r="S637" s="20">
        <v>0</v>
      </c>
      <c r="T637" s="20">
        <v>0</v>
      </c>
      <c r="U637" s="20">
        <v>0</v>
      </c>
      <c r="V637" s="20">
        <v>0</v>
      </c>
      <c r="W637" s="20">
        <v>32</v>
      </c>
      <c r="X637" s="20">
        <v>0</v>
      </c>
      <c r="Y637" s="20">
        <v>0</v>
      </c>
      <c r="Z637" s="20">
        <v>0</v>
      </c>
      <c r="AA637" s="20">
        <v>0</v>
      </c>
      <c r="AB637" s="20">
        <v>0</v>
      </c>
      <c r="AC637" s="20">
        <v>119000</v>
      </c>
      <c r="AD637" s="20">
        <v>80920</v>
      </c>
      <c r="AE637" s="20">
        <v>0</v>
      </c>
      <c r="AF637" s="20">
        <v>0</v>
      </c>
      <c r="AG637" s="20">
        <v>119000</v>
      </c>
      <c r="AH637" s="20">
        <v>80920</v>
      </c>
      <c r="AI637" s="20">
        <v>34618</v>
      </c>
      <c r="AJ637" s="20">
        <v>3462</v>
      </c>
      <c r="AK637" s="20">
        <v>38080</v>
      </c>
    </row>
    <row r="638" spans="1:37" ht="24" customHeight="1" x14ac:dyDescent="0.3">
      <c r="A638" s="18" t="s">
        <v>1915</v>
      </c>
      <c r="B638" s="18" t="s">
        <v>240</v>
      </c>
      <c r="C638" s="19" t="s">
        <v>241</v>
      </c>
      <c r="D638" s="18" t="s">
        <v>1916</v>
      </c>
      <c r="E638" s="19" t="s">
        <v>412</v>
      </c>
      <c r="F638" s="18" t="s">
        <v>244</v>
      </c>
      <c r="G638" s="18" t="s">
        <v>245</v>
      </c>
      <c r="H638" s="19" t="s">
        <v>175</v>
      </c>
      <c r="I638" s="18" t="s">
        <v>246</v>
      </c>
      <c r="J638" s="19" t="s">
        <v>247</v>
      </c>
      <c r="K638" s="19" t="s">
        <v>314</v>
      </c>
      <c r="L638" s="18" t="s">
        <v>164</v>
      </c>
      <c r="M638" s="18" t="s">
        <v>1556</v>
      </c>
      <c r="N638" s="18" t="s">
        <v>250</v>
      </c>
      <c r="O638" s="20">
        <v>119000</v>
      </c>
      <c r="P638" s="20">
        <v>80920</v>
      </c>
      <c r="Q638" s="20">
        <v>1</v>
      </c>
      <c r="R638" s="20">
        <v>0</v>
      </c>
      <c r="S638" s="20">
        <v>0</v>
      </c>
      <c r="T638" s="20">
        <v>0</v>
      </c>
      <c r="U638" s="20">
        <v>0</v>
      </c>
      <c r="V638" s="20">
        <v>0</v>
      </c>
      <c r="W638" s="20">
        <v>32</v>
      </c>
      <c r="X638" s="20">
        <v>0</v>
      </c>
      <c r="Y638" s="20">
        <v>0</v>
      </c>
      <c r="Z638" s="20">
        <v>0</v>
      </c>
      <c r="AA638" s="20">
        <v>0</v>
      </c>
      <c r="AB638" s="20">
        <v>0</v>
      </c>
      <c r="AC638" s="20">
        <v>119000</v>
      </c>
      <c r="AD638" s="20">
        <v>80920</v>
      </c>
      <c r="AE638" s="20">
        <v>0</v>
      </c>
      <c r="AF638" s="20">
        <v>0</v>
      </c>
      <c r="AG638" s="20">
        <v>119000</v>
      </c>
      <c r="AH638" s="20">
        <v>80920</v>
      </c>
      <c r="AI638" s="20">
        <v>34618</v>
      </c>
      <c r="AJ638" s="20">
        <v>3462</v>
      </c>
      <c r="AK638" s="20">
        <v>38080</v>
      </c>
    </row>
    <row r="639" spans="1:37" ht="24" customHeight="1" x14ac:dyDescent="0.3">
      <c r="A639" s="18" t="s">
        <v>1917</v>
      </c>
      <c r="B639" s="18" t="s">
        <v>240</v>
      </c>
      <c r="C639" s="19" t="s">
        <v>241</v>
      </c>
      <c r="D639" s="18" t="s">
        <v>1918</v>
      </c>
      <c r="E639" s="19" t="s">
        <v>296</v>
      </c>
      <c r="F639" s="18" t="s">
        <v>244</v>
      </c>
      <c r="G639" s="18" t="s">
        <v>245</v>
      </c>
      <c r="H639" s="19" t="s">
        <v>175</v>
      </c>
      <c r="I639" s="18" t="s">
        <v>246</v>
      </c>
      <c r="J639" s="19" t="s">
        <v>247</v>
      </c>
      <c r="K639" s="19" t="s">
        <v>248</v>
      </c>
      <c r="L639" s="18" t="s">
        <v>164</v>
      </c>
      <c r="M639" s="18" t="s">
        <v>1556</v>
      </c>
      <c r="N639" s="18" t="s">
        <v>250</v>
      </c>
      <c r="O639" s="20">
        <v>119000</v>
      </c>
      <c r="P639" s="20">
        <v>80920</v>
      </c>
      <c r="Q639" s="20">
        <v>1</v>
      </c>
      <c r="R639" s="20">
        <v>0</v>
      </c>
      <c r="S639" s="20">
        <v>0</v>
      </c>
      <c r="T639" s="20">
        <v>0</v>
      </c>
      <c r="U639" s="20">
        <v>0</v>
      </c>
      <c r="V639" s="20">
        <v>0</v>
      </c>
      <c r="W639" s="20">
        <v>32</v>
      </c>
      <c r="X639" s="20">
        <v>0</v>
      </c>
      <c r="Y639" s="20">
        <v>0</v>
      </c>
      <c r="Z639" s="20">
        <v>0</v>
      </c>
      <c r="AA639" s="20">
        <v>0</v>
      </c>
      <c r="AB639" s="20">
        <v>0</v>
      </c>
      <c r="AC639" s="20">
        <v>119000</v>
      </c>
      <c r="AD639" s="20">
        <v>80920</v>
      </c>
      <c r="AE639" s="20">
        <v>0</v>
      </c>
      <c r="AF639" s="20">
        <v>0</v>
      </c>
      <c r="AG639" s="20">
        <v>119000</v>
      </c>
      <c r="AH639" s="20">
        <v>80920</v>
      </c>
      <c r="AI639" s="20">
        <v>34618</v>
      </c>
      <c r="AJ639" s="20">
        <v>3462</v>
      </c>
      <c r="AK639" s="20">
        <v>38080</v>
      </c>
    </row>
    <row r="640" spans="1:37" ht="24" customHeight="1" x14ac:dyDescent="0.3">
      <c r="A640" s="18" t="s">
        <v>1919</v>
      </c>
      <c r="B640" s="18" t="s">
        <v>240</v>
      </c>
      <c r="C640" s="19" t="s">
        <v>241</v>
      </c>
      <c r="D640" s="18" t="s">
        <v>1920</v>
      </c>
      <c r="E640" s="19" t="s">
        <v>1921</v>
      </c>
      <c r="F640" s="18" t="s">
        <v>244</v>
      </c>
      <c r="G640" s="18" t="s">
        <v>245</v>
      </c>
      <c r="H640" s="19" t="s">
        <v>175</v>
      </c>
      <c r="I640" s="18" t="s">
        <v>246</v>
      </c>
      <c r="J640" s="19" t="s">
        <v>247</v>
      </c>
      <c r="K640" s="19" t="s">
        <v>248</v>
      </c>
      <c r="L640" s="18" t="s">
        <v>164</v>
      </c>
      <c r="M640" s="18" t="s">
        <v>1556</v>
      </c>
      <c r="N640" s="18" t="s">
        <v>250</v>
      </c>
      <c r="O640" s="20">
        <v>119000</v>
      </c>
      <c r="P640" s="20">
        <v>80920</v>
      </c>
      <c r="Q640" s="20">
        <v>1</v>
      </c>
      <c r="R640" s="20">
        <v>0</v>
      </c>
      <c r="S640" s="20">
        <v>0</v>
      </c>
      <c r="T640" s="20">
        <v>0</v>
      </c>
      <c r="U640" s="20">
        <v>0</v>
      </c>
      <c r="V640" s="20">
        <v>0</v>
      </c>
      <c r="W640" s="20">
        <v>32</v>
      </c>
      <c r="X640" s="20">
        <v>0</v>
      </c>
      <c r="Y640" s="20">
        <v>5000</v>
      </c>
      <c r="Z640" s="20">
        <v>0</v>
      </c>
      <c r="AA640" s="20">
        <v>0</v>
      </c>
      <c r="AB640" s="20">
        <v>5700</v>
      </c>
      <c r="AC640" s="20">
        <v>119000</v>
      </c>
      <c r="AD640" s="20">
        <v>80920</v>
      </c>
      <c r="AE640" s="20">
        <v>0</v>
      </c>
      <c r="AF640" s="20">
        <v>10700</v>
      </c>
      <c r="AG640" s="20">
        <v>108300</v>
      </c>
      <c r="AH640" s="20">
        <v>80920</v>
      </c>
      <c r="AI640" s="20">
        <v>24891</v>
      </c>
      <c r="AJ640" s="20">
        <v>2489</v>
      </c>
      <c r="AK640" s="20">
        <v>27380</v>
      </c>
    </row>
    <row r="641" spans="1:37" ht="24" customHeight="1" x14ac:dyDescent="0.3">
      <c r="A641" s="18" t="s">
        <v>1922</v>
      </c>
      <c r="B641" s="18" t="s">
        <v>240</v>
      </c>
      <c r="C641" s="19" t="s">
        <v>241</v>
      </c>
      <c r="D641" s="18" t="s">
        <v>1923</v>
      </c>
      <c r="E641" s="19" t="s">
        <v>1924</v>
      </c>
      <c r="F641" s="18" t="s">
        <v>244</v>
      </c>
      <c r="G641" s="18" t="s">
        <v>245</v>
      </c>
      <c r="H641" s="19" t="s">
        <v>175</v>
      </c>
      <c r="I641" s="18" t="s">
        <v>246</v>
      </c>
      <c r="J641" s="19" t="s">
        <v>247</v>
      </c>
      <c r="K641" s="19" t="s">
        <v>314</v>
      </c>
      <c r="L641" s="18" t="s">
        <v>164</v>
      </c>
      <c r="M641" s="18" t="s">
        <v>1556</v>
      </c>
      <c r="N641" s="18" t="s">
        <v>250</v>
      </c>
      <c r="O641" s="20">
        <v>119000</v>
      </c>
      <c r="P641" s="20">
        <v>80920</v>
      </c>
      <c r="Q641" s="20">
        <v>1</v>
      </c>
      <c r="R641" s="20">
        <v>0</v>
      </c>
      <c r="S641" s="20">
        <v>0</v>
      </c>
      <c r="T641" s="20">
        <v>0</v>
      </c>
      <c r="U641" s="20">
        <v>0</v>
      </c>
      <c r="V641" s="20">
        <v>0</v>
      </c>
      <c r="W641" s="20">
        <v>32</v>
      </c>
      <c r="X641" s="20">
        <v>0</v>
      </c>
      <c r="Y641" s="20">
        <v>0</v>
      </c>
      <c r="Z641" s="20">
        <v>0</v>
      </c>
      <c r="AA641" s="20">
        <v>0</v>
      </c>
      <c r="AB641" s="20">
        <v>0</v>
      </c>
      <c r="AC641" s="20">
        <v>119000</v>
      </c>
      <c r="AD641" s="20">
        <v>80920</v>
      </c>
      <c r="AE641" s="20">
        <v>0</v>
      </c>
      <c r="AF641" s="20">
        <v>0</v>
      </c>
      <c r="AG641" s="20">
        <v>119000</v>
      </c>
      <c r="AH641" s="20">
        <v>80920</v>
      </c>
      <c r="AI641" s="20">
        <v>34618</v>
      </c>
      <c r="AJ641" s="20">
        <v>3462</v>
      </c>
      <c r="AK641" s="20">
        <v>38080</v>
      </c>
    </row>
    <row r="642" spans="1:37" ht="24" customHeight="1" x14ac:dyDescent="0.3">
      <c r="A642" s="18" t="s">
        <v>1925</v>
      </c>
      <c r="B642" s="18" t="s">
        <v>240</v>
      </c>
      <c r="C642" s="19" t="s">
        <v>241</v>
      </c>
      <c r="D642" s="18" t="s">
        <v>1926</v>
      </c>
      <c r="E642" s="19" t="s">
        <v>1675</v>
      </c>
      <c r="F642" s="18" t="s">
        <v>244</v>
      </c>
      <c r="G642" s="18" t="s">
        <v>245</v>
      </c>
      <c r="H642" s="19" t="s">
        <v>175</v>
      </c>
      <c r="I642" s="18" t="s">
        <v>246</v>
      </c>
      <c r="J642" s="19" t="s">
        <v>247</v>
      </c>
      <c r="K642" s="19" t="s">
        <v>248</v>
      </c>
      <c r="L642" s="18" t="s">
        <v>164</v>
      </c>
      <c r="M642" s="18" t="s">
        <v>1556</v>
      </c>
      <c r="N642" s="18" t="s">
        <v>250</v>
      </c>
      <c r="O642" s="20">
        <v>119000</v>
      </c>
      <c r="P642" s="20">
        <v>80920</v>
      </c>
      <c r="Q642" s="20">
        <v>1</v>
      </c>
      <c r="R642" s="20">
        <v>0</v>
      </c>
      <c r="S642" s="20">
        <v>0</v>
      </c>
      <c r="T642" s="20">
        <v>0</v>
      </c>
      <c r="U642" s="20">
        <v>0</v>
      </c>
      <c r="V642" s="20">
        <v>0</v>
      </c>
      <c r="W642" s="20">
        <v>32</v>
      </c>
      <c r="X642" s="20">
        <v>0</v>
      </c>
      <c r="Y642" s="20">
        <v>0</v>
      </c>
      <c r="Z642" s="20">
        <v>0</v>
      </c>
      <c r="AA642" s="20">
        <v>0</v>
      </c>
      <c r="AB642" s="20">
        <v>0</v>
      </c>
      <c r="AC642" s="20">
        <v>119000</v>
      </c>
      <c r="AD642" s="20">
        <v>80920</v>
      </c>
      <c r="AE642" s="20">
        <v>0</v>
      </c>
      <c r="AF642" s="20">
        <v>0</v>
      </c>
      <c r="AG642" s="20">
        <v>119000</v>
      </c>
      <c r="AH642" s="20">
        <v>80920</v>
      </c>
      <c r="AI642" s="20">
        <v>34618</v>
      </c>
      <c r="AJ642" s="20">
        <v>3462</v>
      </c>
      <c r="AK642" s="20">
        <v>38080</v>
      </c>
    </row>
    <row r="643" spans="1:37" ht="24" customHeight="1" x14ac:dyDescent="0.3">
      <c r="A643" s="18" t="s">
        <v>1927</v>
      </c>
      <c r="B643" s="18" t="s">
        <v>240</v>
      </c>
      <c r="C643" s="19" t="s">
        <v>241</v>
      </c>
      <c r="D643" s="18" t="s">
        <v>1928</v>
      </c>
      <c r="E643" s="19" t="s">
        <v>1929</v>
      </c>
      <c r="F643" s="18" t="s">
        <v>244</v>
      </c>
      <c r="G643" s="18" t="s">
        <v>245</v>
      </c>
      <c r="H643" s="19" t="s">
        <v>175</v>
      </c>
      <c r="I643" s="18" t="s">
        <v>246</v>
      </c>
      <c r="J643" s="19" t="s">
        <v>247</v>
      </c>
      <c r="K643" s="19" t="s">
        <v>314</v>
      </c>
      <c r="L643" s="18" t="s">
        <v>164</v>
      </c>
      <c r="M643" s="18" t="s">
        <v>1556</v>
      </c>
      <c r="N643" s="18" t="s">
        <v>250</v>
      </c>
      <c r="O643" s="20">
        <v>119000</v>
      </c>
      <c r="P643" s="20">
        <v>80920</v>
      </c>
      <c r="Q643" s="20">
        <v>1</v>
      </c>
      <c r="R643" s="20">
        <v>0</v>
      </c>
      <c r="S643" s="20">
        <v>0</v>
      </c>
      <c r="T643" s="20">
        <v>0</v>
      </c>
      <c r="U643" s="20">
        <v>0</v>
      </c>
      <c r="V643" s="20">
        <v>0</v>
      </c>
      <c r="W643" s="20">
        <v>32</v>
      </c>
      <c r="X643" s="20">
        <v>0</v>
      </c>
      <c r="Y643" s="20">
        <v>0</v>
      </c>
      <c r="Z643" s="20">
        <v>0</v>
      </c>
      <c r="AA643" s="20">
        <v>0</v>
      </c>
      <c r="AB643" s="20">
        <v>0</v>
      </c>
      <c r="AC643" s="20">
        <v>119000</v>
      </c>
      <c r="AD643" s="20">
        <v>80920</v>
      </c>
      <c r="AE643" s="20">
        <v>0</v>
      </c>
      <c r="AF643" s="20">
        <v>0</v>
      </c>
      <c r="AG643" s="20">
        <v>119000</v>
      </c>
      <c r="AH643" s="20">
        <v>80920</v>
      </c>
      <c r="AI643" s="20">
        <v>34618</v>
      </c>
      <c r="AJ643" s="20">
        <v>3462</v>
      </c>
      <c r="AK643" s="20">
        <v>38080</v>
      </c>
    </row>
    <row r="644" spans="1:37" ht="24" customHeight="1" x14ac:dyDescent="0.3">
      <c r="A644" s="18" t="s">
        <v>1930</v>
      </c>
      <c r="B644" s="18" t="s">
        <v>240</v>
      </c>
      <c r="C644" s="19" t="s">
        <v>241</v>
      </c>
      <c r="D644" s="18" t="s">
        <v>1931</v>
      </c>
      <c r="E644" s="19" t="s">
        <v>1211</v>
      </c>
      <c r="F644" s="18" t="s">
        <v>244</v>
      </c>
      <c r="G644" s="18" t="s">
        <v>245</v>
      </c>
      <c r="H644" s="19" t="s">
        <v>175</v>
      </c>
      <c r="I644" s="18" t="s">
        <v>246</v>
      </c>
      <c r="J644" s="19" t="s">
        <v>247</v>
      </c>
      <c r="K644" s="19" t="s">
        <v>248</v>
      </c>
      <c r="L644" s="18" t="s">
        <v>164</v>
      </c>
      <c r="M644" s="18" t="s">
        <v>1556</v>
      </c>
      <c r="N644" s="18" t="s">
        <v>250</v>
      </c>
      <c r="O644" s="20">
        <v>119000</v>
      </c>
      <c r="P644" s="20">
        <v>80920</v>
      </c>
      <c r="Q644" s="20">
        <v>1</v>
      </c>
      <c r="R644" s="20">
        <v>0</v>
      </c>
      <c r="S644" s="20">
        <v>0</v>
      </c>
      <c r="T644" s="20">
        <v>0</v>
      </c>
      <c r="U644" s="20">
        <v>0</v>
      </c>
      <c r="V644" s="20">
        <v>0</v>
      </c>
      <c r="W644" s="20">
        <v>32</v>
      </c>
      <c r="X644" s="20">
        <v>0</v>
      </c>
      <c r="Y644" s="20">
        <v>0</v>
      </c>
      <c r="Z644" s="20">
        <v>0</v>
      </c>
      <c r="AA644" s="20">
        <v>0</v>
      </c>
      <c r="AB644" s="20">
        <v>5950</v>
      </c>
      <c r="AC644" s="20">
        <v>119000</v>
      </c>
      <c r="AD644" s="20">
        <v>80920</v>
      </c>
      <c r="AE644" s="20">
        <v>0</v>
      </c>
      <c r="AF644" s="20">
        <v>5950</v>
      </c>
      <c r="AG644" s="20">
        <v>113050</v>
      </c>
      <c r="AH644" s="20">
        <v>80920</v>
      </c>
      <c r="AI644" s="20">
        <v>29209</v>
      </c>
      <c r="AJ644" s="20">
        <v>2921</v>
      </c>
      <c r="AK644" s="20">
        <v>32130</v>
      </c>
    </row>
    <row r="645" spans="1:37" ht="24" customHeight="1" x14ac:dyDescent="0.3">
      <c r="A645" s="18" t="s">
        <v>1932</v>
      </c>
      <c r="B645" s="18" t="s">
        <v>240</v>
      </c>
      <c r="C645" s="19" t="s">
        <v>241</v>
      </c>
      <c r="D645" s="18" t="s">
        <v>1933</v>
      </c>
      <c r="E645" s="19" t="s">
        <v>1934</v>
      </c>
      <c r="F645" s="18" t="s">
        <v>244</v>
      </c>
      <c r="G645" s="18" t="s">
        <v>245</v>
      </c>
      <c r="H645" s="19" t="s">
        <v>175</v>
      </c>
      <c r="I645" s="18" t="s">
        <v>246</v>
      </c>
      <c r="J645" s="19" t="s">
        <v>247</v>
      </c>
      <c r="K645" s="19" t="s">
        <v>248</v>
      </c>
      <c r="L645" s="18" t="s">
        <v>164</v>
      </c>
      <c r="M645" s="18" t="s">
        <v>1556</v>
      </c>
      <c r="N645" s="18" t="s">
        <v>250</v>
      </c>
      <c r="O645" s="20">
        <v>119000</v>
      </c>
      <c r="P645" s="20">
        <v>82110</v>
      </c>
      <c r="Q645" s="20">
        <v>1</v>
      </c>
      <c r="R645" s="20">
        <v>0</v>
      </c>
      <c r="S645" s="20">
        <v>0</v>
      </c>
      <c r="T645" s="20">
        <v>0</v>
      </c>
      <c r="U645" s="20">
        <v>0</v>
      </c>
      <c r="V645" s="20">
        <v>0</v>
      </c>
      <c r="W645" s="20">
        <v>31</v>
      </c>
      <c r="X645" s="20">
        <v>0</v>
      </c>
      <c r="Y645" s="20">
        <v>0</v>
      </c>
      <c r="Z645" s="20">
        <v>0</v>
      </c>
      <c r="AA645" s="20">
        <v>0</v>
      </c>
      <c r="AB645" s="20">
        <v>0</v>
      </c>
      <c r="AC645" s="20">
        <v>119000</v>
      </c>
      <c r="AD645" s="20">
        <v>82110</v>
      </c>
      <c r="AE645" s="20">
        <v>0</v>
      </c>
      <c r="AF645" s="20">
        <v>0</v>
      </c>
      <c r="AG645" s="20">
        <v>119000</v>
      </c>
      <c r="AH645" s="20">
        <v>82110</v>
      </c>
      <c r="AI645" s="20">
        <v>33536</v>
      </c>
      <c r="AJ645" s="20">
        <v>3354</v>
      </c>
      <c r="AK645" s="20">
        <v>36890</v>
      </c>
    </row>
    <row r="646" spans="1:37" ht="24" customHeight="1" x14ac:dyDescent="0.3">
      <c r="A646" s="18" t="s">
        <v>1935</v>
      </c>
      <c r="B646" s="18" t="s">
        <v>240</v>
      </c>
      <c r="C646" s="19" t="s">
        <v>241</v>
      </c>
      <c r="D646" s="18" t="s">
        <v>1936</v>
      </c>
      <c r="E646" s="19" t="s">
        <v>1937</v>
      </c>
      <c r="F646" s="18" t="s">
        <v>244</v>
      </c>
      <c r="G646" s="18" t="s">
        <v>245</v>
      </c>
      <c r="H646" s="19" t="s">
        <v>175</v>
      </c>
      <c r="I646" s="18" t="s">
        <v>246</v>
      </c>
      <c r="J646" s="19" t="s">
        <v>247</v>
      </c>
      <c r="K646" s="19" t="s">
        <v>248</v>
      </c>
      <c r="L646" s="18" t="s">
        <v>164</v>
      </c>
      <c r="M646" s="18" t="s">
        <v>1556</v>
      </c>
      <c r="N646" s="18" t="s">
        <v>250</v>
      </c>
      <c r="O646" s="20">
        <v>119000</v>
      </c>
      <c r="P646" s="20">
        <v>80920</v>
      </c>
      <c r="Q646" s="20">
        <v>2</v>
      </c>
      <c r="R646" s="20">
        <v>0</v>
      </c>
      <c r="S646" s="20">
        <v>0</v>
      </c>
      <c r="T646" s="20">
        <v>0</v>
      </c>
      <c r="U646" s="20">
        <v>0</v>
      </c>
      <c r="V646" s="20">
        <v>0</v>
      </c>
      <c r="W646" s="20">
        <v>32</v>
      </c>
      <c r="X646" s="20">
        <v>0</v>
      </c>
      <c r="Y646" s="20">
        <v>0</v>
      </c>
      <c r="Z646" s="20">
        <v>0</v>
      </c>
      <c r="AA646" s="20">
        <v>0</v>
      </c>
      <c r="AB646" s="20">
        <v>0</v>
      </c>
      <c r="AC646" s="20">
        <v>238000</v>
      </c>
      <c r="AD646" s="20">
        <v>161840</v>
      </c>
      <c r="AE646" s="20">
        <v>0</v>
      </c>
      <c r="AF646" s="20">
        <v>0</v>
      </c>
      <c r="AG646" s="20">
        <v>238000</v>
      </c>
      <c r="AH646" s="20">
        <v>161840</v>
      </c>
      <c r="AI646" s="20">
        <v>69236</v>
      </c>
      <c r="AJ646" s="20">
        <v>6924</v>
      </c>
      <c r="AK646" s="20">
        <v>76160</v>
      </c>
    </row>
    <row r="647" spans="1:37" ht="24" customHeight="1" x14ac:dyDescent="0.3">
      <c r="A647" s="18" t="s">
        <v>1938</v>
      </c>
      <c r="B647" s="18" t="s">
        <v>240</v>
      </c>
      <c r="C647" s="19" t="s">
        <v>241</v>
      </c>
      <c r="D647" s="18" t="s">
        <v>1939</v>
      </c>
      <c r="E647" s="19" t="s">
        <v>1940</v>
      </c>
      <c r="F647" s="18" t="s">
        <v>244</v>
      </c>
      <c r="G647" s="18" t="s">
        <v>245</v>
      </c>
      <c r="H647" s="19" t="s">
        <v>175</v>
      </c>
      <c r="I647" s="18" t="s">
        <v>246</v>
      </c>
      <c r="J647" s="19" t="s">
        <v>247</v>
      </c>
      <c r="K647" s="19" t="s">
        <v>248</v>
      </c>
      <c r="L647" s="18" t="s">
        <v>164</v>
      </c>
      <c r="M647" s="18" t="s">
        <v>1556</v>
      </c>
      <c r="N647" s="18" t="s">
        <v>250</v>
      </c>
      <c r="O647" s="20">
        <v>119000</v>
      </c>
      <c r="P647" s="20">
        <v>80920</v>
      </c>
      <c r="Q647" s="20">
        <v>1</v>
      </c>
      <c r="R647" s="20">
        <v>0</v>
      </c>
      <c r="S647" s="20">
        <v>0</v>
      </c>
      <c r="T647" s="20">
        <v>0</v>
      </c>
      <c r="U647" s="20">
        <v>0</v>
      </c>
      <c r="V647" s="20">
        <v>0</v>
      </c>
      <c r="W647" s="20">
        <v>32</v>
      </c>
      <c r="X647" s="20">
        <v>0</v>
      </c>
      <c r="Y647" s="20">
        <v>0</v>
      </c>
      <c r="Z647" s="20">
        <v>0</v>
      </c>
      <c r="AA647" s="20">
        <v>0</v>
      </c>
      <c r="AB647" s="20">
        <v>5950</v>
      </c>
      <c r="AC647" s="20">
        <v>119000</v>
      </c>
      <c r="AD647" s="20">
        <v>80920</v>
      </c>
      <c r="AE647" s="20">
        <v>0</v>
      </c>
      <c r="AF647" s="20">
        <v>5950</v>
      </c>
      <c r="AG647" s="20">
        <v>113050</v>
      </c>
      <c r="AH647" s="20">
        <v>80920</v>
      </c>
      <c r="AI647" s="20">
        <v>29209</v>
      </c>
      <c r="AJ647" s="20">
        <v>2921</v>
      </c>
      <c r="AK647" s="20">
        <v>32130</v>
      </c>
    </row>
    <row r="648" spans="1:37" ht="24" customHeight="1" x14ac:dyDescent="0.3">
      <c r="A648" s="18" t="s">
        <v>1941</v>
      </c>
      <c r="B648" s="18" t="s">
        <v>240</v>
      </c>
      <c r="C648" s="19" t="s">
        <v>241</v>
      </c>
      <c r="D648" s="18" t="s">
        <v>1942</v>
      </c>
      <c r="E648" s="19" t="s">
        <v>925</v>
      </c>
      <c r="F648" s="18" t="s">
        <v>244</v>
      </c>
      <c r="G648" s="18" t="s">
        <v>245</v>
      </c>
      <c r="H648" s="19" t="s">
        <v>175</v>
      </c>
      <c r="I648" s="18" t="s">
        <v>246</v>
      </c>
      <c r="J648" s="19" t="s">
        <v>247</v>
      </c>
      <c r="K648" s="19" t="s">
        <v>248</v>
      </c>
      <c r="L648" s="18" t="s">
        <v>164</v>
      </c>
      <c r="M648" s="18" t="s">
        <v>1556</v>
      </c>
      <c r="N648" s="18" t="s">
        <v>250</v>
      </c>
      <c r="O648" s="20">
        <v>119000</v>
      </c>
      <c r="P648" s="20">
        <v>80920</v>
      </c>
      <c r="Q648" s="20">
        <v>1</v>
      </c>
      <c r="R648" s="20">
        <v>0</v>
      </c>
      <c r="S648" s="20">
        <v>0</v>
      </c>
      <c r="T648" s="20">
        <v>0</v>
      </c>
      <c r="U648" s="20">
        <v>0</v>
      </c>
      <c r="V648" s="20">
        <v>0</v>
      </c>
      <c r="W648" s="20">
        <v>32</v>
      </c>
      <c r="X648" s="20">
        <v>0</v>
      </c>
      <c r="Y648" s="20">
        <v>0</v>
      </c>
      <c r="Z648" s="20">
        <v>0</v>
      </c>
      <c r="AA648" s="20">
        <v>0</v>
      </c>
      <c r="AB648" s="20">
        <v>0</v>
      </c>
      <c r="AC648" s="20">
        <v>119000</v>
      </c>
      <c r="AD648" s="20">
        <v>80920</v>
      </c>
      <c r="AE648" s="20">
        <v>0</v>
      </c>
      <c r="AF648" s="20">
        <v>0</v>
      </c>
      <c r="AG648" s="20">
        <v>119000</v>
      </c>
      <c r="AH648" s="20">
        <v>80920</v>
      </c>
      <c r="AI648" s="20">
        <v>34618</v>
      </c>
      <c r="AJ648" s="20">
        <v>3462</v>
      </c>
      <c r="AK648" s="20">
        <v>38080</v>
      </c>
    </row>
    <row r="649" spans="1:37" ht="24" customHeight="1" x14ac:dyDescent="0.3">
      <c r="A649" s="18" t="s">
        <v>1943</v>
      </c>
      <c r="B649" s="18" t="s">
        <v>240</v>
      </c>
      <c r="C649" s="19" t="s">
        <v>241</v>
      </c>
      <c r="D649" s="18" t="s">
        <v>1944</v>
      </c>
      <c r="E649" s="19" t="s">
        <v>1945</v>
      </c>
      <c r="F649" s="18" t="s">
        <v>244</v>
      </c>
      <c r="G649" s="18" t="s">
        <v>245</v>
      </c>
      <c r="H649" s="19" t="s">
        <v>175</v>
      </c>
      <c r="I649" s="18" t="s">
        <v>246</v>
      </c>
      <c r="J649" s="19" t="s">
        <v>247</v>
      </c>
      <c r="K649" s="19" t="s">
        <v>248</v>
      </c>
      <c r="L649" s="18" t="s">
        <v>164</v>
      </c>
      <c r="M649" s="18" t="s">
        <v>1556</v>
      </c>
      <c r="N649" s="18" t="s">
        <v>250</v>
      </c>
      <c r="O649" s="20">
        <v>119000</v>
      </c>
      <c r="P649" s="20">
        <v>80920</v>
      </c>
      <c r="Q649" s="20">
        <v>1</v>
      </c>
      <c r="R649" s="20">
        <v>0</v>
      </c>
      <c r="S649" s="20">
        <v>0</v>
      </c>
      <c r="T649" s="20">
        <v>0</v>
      </c>
      <c r="U649" s="20">
        <v>0</v>
      </c>
      <c r="V649" s="20">
        <v>0</v>
      </c>
      <c r="W649" s="20">
        <v>32</v>
      </c>
      <c r="X649" s="20">
        <v>0</v>
      </c>
      <c r="Y649" s="20">
        <v>0</v>
      </c>
      <c r="Z649" s="20">
        <v>0</v>
      </c>
      <c r="AA649" s="20">
        <v>0</v>
      </c>
      <c r="AB649" s="20">
        <v>0</v>
      </c>
      <c r="AC649" s="20">
        <v>119000</v>
      </c>
      <c r="AD649" s="20">
        <v>80920</v>
      </c>
      <c r="AE649" s="20">
        <v>0</v>
      </c>
      <c r="AF649" s="20">
        <v>0</v>
      </c>
      <c r="AG649" s="20">
        <v>119000</v>
      </c>
      <c r="AH649" s="20">
        <v>80920</v>
      </c>
      <c r="AI649" s="20">
        <v>34618</v>
      </c>
      <c r="AJ649" s="20">
        <v>3462</v>
      </c>
      <c r="AK649" s="20">
        <v>38080</v>
      </c>
    </row>
    <row r="650" spans="1:37" ht="24" customHeight="1" x14ac:dyDescent="0.3">
      <c r="A650" s="18" t="s">
        <v>1946</v>
      </c>
      <c r="B650" s="18" t="s">
        <v>240</v>
      </c>
      <c r="C650" s="19" t="s">
        <v>241</v>
      </c>
      <c r="D650" s="18" t="s">
        <v>1947</v>
      </c>
      <c r="E650" s="19" t="s">
        <v>1948</v>
      </c>
      <c r="F650" s="18" t="s">
        <v>244</v>
      </c>
      <c r="G650" s="18" t="s">
        <v>245</v>
      </c>
      <c r="H650" s="19" t="s">
        <v>175</v>
      </c>
      <c r="I650" s="18" t="s">
        <v>246</v>
      </c>
      <c r="J650" s="19" t="s">
        <v>247</v>
      </c>
      <c r="K650" s="19" t="s">
        <v>248</v>
      </c>
      <c r="L650" s="18" t="s">
        <v>164</v>
      </c>
      <c r="M650" s="18" t="s">
        <v>1556</v>
      </c>
      <c r="N650" s="18" t="s">
        <v>250</v>
      </c>
      <c r="O650" s="20">
        <v>119000</v>
      </c>
      <c r="P650" s="20">
        <v>80920</v>
      </c>
      <c r="Q650" s="20">
        <v>1</v>
      </c>
      <c r="R650" s="20">
        <v>0</v>
      </c>
      <c r="S650" s="20">
        <v>0</v>
      </c>
      <c r="T650" s="20">
        <v>0</v>
      </c>
      <c r="U650" s="20">
        <v>0</v>
      </c>
      <c r="V650" s="20">
        <v>0</v>
      </c>
      <c r="W650" s="20">
        <v>32</v>
      </c>
      <c r="X650" s="20">
        <v>0</v>
      </c>
      <c r="Y650" s="20">
        <v>0</v>
      </c>
      <c r="Z650" s="20">
        <v>0</v>
      </c>
      <c r="AA650" s="20">
        <v>0</v>
      </c>
      <c r="AB650" s="20">
        <v>0</v>
      </c>
      <c r="AC650" s="20">
        <v>119000</v>
      </c>
      <c r="AD650" s="20">
        <v>80920</v>
      </c>
      <c r="AE650" s="20">
        <v>0</v>
      </c>
      <c r="AF650" s="20">
        <v>0</v>
      </c>
      <c r="AG650" s="20">
        <v>119000</v>
      </c>
      <c r="AH650" s="20">
        <v>80920</v>
      </c>
      <c r="AI650" s="20">
        <v>34618</v>
      </c>
      <c r="AJ650" s="20">
        <v>3462</v>
      </c>
      <c r="AK650" s="20">
        <v>38080</v>
      </c>
    </row>
    <row r="651" spans="1:37" ht="24" customHeight="1" x14ac:dyDescent="0.3">
      <c r="A651" s="18" t="s">
        <v>1949</v>
      </c>
      <c r="B651" s="18" t="s">
        <v>240</v>
      </c>
      <c r="C651" s="19" t="s">
        <v>241</v>
      </c>
      <c r="D651" s="18" t="s">
        <v>1950</v>
      </c>
      <c r="E651" s="19" t="s">
        <v>1450</v>
      </c>
      <c r="F651" s="18" t="s">
        <v>244</v>
      </c>
      <c r="G651" s="18" t="s">
        <v>245</v>
      </c>
      <c r="H651" s="19" t="s">
        <v>175</v>
      </c>
      <c r="I651" s="18" t="s">
        <v>246</v>
      </c>
      <c r="J651" s="19" t="s">
        <v>247</v>
      </c>
      <c r="K651" s="19"/>
      <c r="L651" s="18" t="s">
        <v>164</v>
      </c>
      <c r="M651" s="18" t="s">
        <v>1556</v>
      </c>
      <c r="N651" s="18" t="s">
        <v>250</v>
      </c>
      <c r="O651" s="20">
        <v>119000</v>
      </c>
      <c r="P651" s="20">
        <v>80920</v>
      </c>
      <c r="Q651" s="20">
        <v>1</v>
      </c>
      <c r="R651" s="20">
        <v>0</v>
      </c>
      <c r="S651" s="20">
        <v>0</v>
      </c>
      <c r="T651" s="20">
        <v>0</v>
      </c>
      <c r="U651" s="20">
        <v>0</v>
      </c>
      <c r="V651" s="20">
        <v>0</v>
      </c>
      <c r="W651" s="20">
        <v>32</v>
      </c>
      <c r="X651" s="20">
        <v>0</v>
      </c>
      <c r="Y651" s="20">
        <v>5950</v>
      </c>
      <c r="Z651" s="20">
        <v>0</v>
      </c>
      <c r="AA651" s="20">
        <v>0</v>
      </c>
      <c r="AB651" s="20">
        <v>0</v>
      </c>
      <c r="AC651" s="20">
        <v>119000</v>
      </c>
      <c r="AD651" s="20">
        <v>80920</v>
      </c>
      <c r="AE651" s="20">
        <v>0</v>
      </c>
      <c r="AF651" s="20">
        <v>5950</v>
      </c>
      <c r="AG651" s="20">
        <v>113050</v>
      </c>
      <c r="AH651" s="20">
        <v>80920</v>
      </c>
      <c r="AI651" s="20">
        <v>29209</v>
      </c>
      <c r="AJ651" s="20">
        <v>2921</v>
      </c>
      <c r="AK651" s="20">
        <v>32130</v>
      </c>
    </row>
    <row r="652" spans="1:37" ht="24" customHeight="1" x14ac:dyDescent="0.3">
      <c r="A652" s="18" t="s">
        <v>1951</v>
      </c>
      <c r="B652" s="18" t="s">
        <v>240</v>
      </c>
      <c r="C652" s="19" t="s">
        <v>241</v>
      </c>
      <c r="D652" s="18" t="s">
        <v>1952</v>
      </c>
      <c r="E652" s="19" t="s">
        <v>1953</v>
      </c>
      <c r="F652" s="18" t="s">
        <v>244</v>
      </c>
      <c r="G652" s="18" t="s">
        <v>245</v>
      </c>
      <c r="H652" s="19" t="s">
        <v>175</v>
      </c>
      <c r="I652" s="18" t="s">
        <v>246</v>
      </c>
      <c r="J652" s="19" t="s">
        <v>247</v>
      </c>
      <c r="K652" s="19" t="s">
        <v>248</v>
      </c>
      <c r="L652" s="18" t="s">
        <v>164</v>
      </c>
      <c r="M652" s="18" t="s">
        <v>1556</v>
      </c>
      <c r="N652" s="18" t="s">
        <v>250</v>
      </c>
      <c r="O652" s="20">
        <v>119000</v>
      </c>
      <c r="P652" s="20">
        <v>80920</v>
      </c>
      <c r="Q652" s="20">
        <v>1</v>
      </c>
      <c r="R652" s="20">
        <v>0</v>
      </c>
      <c r="S652" s="20">
        <v>0</v>
      </c>
      <c r="T652" s="20">
        <v>0</v>
      </c>
      <c r="U652" s="20">
        <v>0</v>
      </c>
      <c r="V652" s="20">
        <v>0</v>
      </c>
      <c r="W652" s="20">
        <v>32</v>
      </c>
      <c r="X652" s="20">
        <v>0</v>
      </c>
      <c r="Y652" s="20">
        <v>0</v>
      </c>
      <c r="Z652" s="20">
        <v>0</v>
      </c>
      <c r="AA652" s="20">
        <v>0</v>
      </c>
      <c r="AB652" s="20">
        <v>0</v>
      </c>
      <c r="AC652" s="20">
        <v>119000</v>
      </c>
      <c r="AD652" s="20">
        <v>80920</v>
      </c>
      <c r="AE652" s="20">
        <v>0</v>
      </c>
      <c r="AF652" s="20">
        <v>0</v>
      </c>
      <c r="AG652" s="20">
        <v>119000</v>
      </c>
      <c r="AH652" s="20">
        <v>80920</v>
      </c>
      <c r="AI652" s="20">
        <v>34618</v>
      </c>
      <c r="AJ652" s="20">
        <v>3462</v>
      </c>
      <c r="AK652" s="20">
        <v>38080</v>
      </c>
    </row>
    <row r="653" spans="1:37" ht="24" customHeight="1" x14ac:dyDescent="0.3">
      <c r="A653" s="18" t="s">
        <v>1954</v>
      </c>
      <c r="B653" s="18" t="s">
        <v>240</v>
      </c>
      <c r="C653" s="19" t="s">
        <v>241</v>
      </c>
      <c r="D653" s="18" t="s">
        <v>1955</v>
      </c>
      <c r="E653" s="19" t="s">
        <v>1179</v>
      </c>
      <c r="F653" s="18" t="s">
        <v>244</v>
      </c>
      <c r="G653" s="18" t="s">
        <v>245</v>
      </c>
      <c r="H653" s="19" t="s">
        <v>175</v>
      </c>
      <c r="I653" s="18" t="s">
        <v>246</v>
      </c>
      <c r="J653" s="19" t="s">
        <v>247</v>
      </c>
      <c r="K653" s="19"/>
      <c r="L653" s="18" t="s">
        <v>164</v>
      </c>
      <c r="M653" s="18" t="s">
        <v>1556</v>
      </c>
      <c r="N653" s="18" t="s">
        <v>250</v>
      </c>
      <c r="O653" s="20">
        <v>119000</v>
      </c>
      <c r="P653" s="20">
        <v>80920</v>
      </c>
      <c r="Q653" s="20">
        <v>1</v>
      </c>
      <c r="R653" s="20">
        <v>0</v>
      </c>
      <c r="S653" s="20">
        <v>0</v>
      </c>
      <c r="T653" s="20">
        <v>0</v>
      </c>
      <c r="U653" s="20">
        <v>0</v>
      </c>
      <c r="V653" s="20">
        <v>0</v>
      </c>
      <c r="W653" s="20">
        <v>32</v>
      </c>
      <c r="X653" s="20">
        <v>0</v>
      </c>
      <c r="Y653" s="20">
        <v>5950</v>
      </c>
      <c r="Z653" s="20">
        <v>0</v>
      </c>
      <c r="AA653" s="20">
        <v>0</v>
      </c>
      <c r="AB653" s="20">
        <v>0</v>
      </c>
      <c r="AC653" s="20">
        <v>119000</v>
      </c>
      <c r="AD653" s="20">
        <v>80920</v>
      </c>
      <c r="AE653" s="20">
        <v>0</v>
      </c>
      <c r="AF653" s="20">
        <v>5950</v>
      </c>
      <c r="AG653" s="20">
        <v>113050</v>
      </c>
      <c r="AH653" s="20">
        <v>80920</v>
      </c>
      <c r="AI653" s="20">
        <v>29209</v>
      </c>
      <c r="AJ653" s="20">
        <v>2921</v>
      </c>
      <c r="AK653" s="20">
        <v>32130</v>
      </c>
    </row>
    <row r="654" spans="1:37" ht="24" customHeight="1" x14ac:dyDescent="0.3">
      <c r="A654" s="18" t="s">
        <v>1956</v>
      </c>
      <c r="B654" s="18" t="s">
        <v>240</v>
      </c>
      <c r="C654" s="19" t="s">
        <v>241</v>
      </c>
      <c r="D654" s="18" t="s">
        <v>1957</v>
      </c>
      <c r="E654" s="19" t="s">
        <v>1958</v>
      </c>
      <c r="F654" s="18" t="s">
        <v>244</v>
      </c>
      <c r="G654" s="18" t="s">
        <v>245</v>
      </c>
      <c r="H654" s="19" t="s">
        <v>175</v>
      </c>
      <c r="I654" s="18" t="s">
        <v>246</v>
      </c>
      <c r="J654" s="19" t="s">
        <v>247</v>
      </c>
      <c r="K654" s="19" t="s">
        <v>248</v>
      </c>
      <c r="L654" s="18" t="s">
        <v>164</v>
      </c>
      <c r="M654" s="18" t="s">
        <v>1556</v>
      </c>
      <c r="N654" s="18" t="s">
        <v>250</v>
      </c>
      <c r="O654" s="20">
        <v>119000</v>
      </c>
      <c r="P654" s="20">
        <v>80920</v>
      </c>
      <c r="Q654" s="20">
        <v>1</v>
      </c>
      <c r="R654" s="20">
        <v>0</v>
      </c>
      <c r="S654" s="20">
        <v>0</v>
      </c>
      <c r="T654" s="20">
        <v>0</v>
      </c>
      <c r="U654" s="20">
        <v>0</v>
      </c>
      <c r="V654" s="20">
        <v>0</v>
      </c>
      <c r="W654" s="20">
        <v>32</v>
      </c>
      <c r="X654" s="20">
        <v>0</v>
      </c>
      <c r="Y654" s="20">
        <v>0</v>
      </c>
      <c r="Z654" s="20">
        <v>0</v>
      </c>
      <c r="AA654" s="20">
        <v>0</v>
      </c>
      <c r="AB654" s="20">
        <v>0</v>
      </c>
      <c r="AC654" s="20">
        <v>119000</v>
      </c>
      <c r="AD654" s="20">
        <v>80920</v>
      </c>
      <c r="AE654" s="20">
        <v>0</v>
      </c>
      <c r="AF654" s="20">
        <v>0</v>
      </c>
      <c r="AG654" s="20">
        <v>119000</v>
      </c>
      <c r="AH654" s="20">
        <v>80920</v>
      </c>
      <c r="AI654" s="20">
        <v>34618</v>
      </c>
      <c r="AJ654" s="20">
        <v>3462</v>
      </c>
      <c r="AK654" s="20">
        <v>38080</v>
      </c>
    </row>
    <row r="655" spans="1:37" ht="24" customHeight="1" x14ac:dyDescent="0.3">
      <c r="A655" s="18" t="s">
        <v>1959</v>
      </c>
      <c r="B655" s="18" t="s">
        <v>240</v>
      </c>
      <c r="C655" s="19" t="s">
        <v>241</v>
      </c>
      <c r="D655" s="18" t="s">
        <v>1960</v>
      </c>
      <c r="E655" s="19" t="s">
        <v>599</v>
      </c>
      <c r="F655" s="18" t="s">
        <v>244</v>
      </c>
      <c r="G655" s="18" t="s">
        <v>245</v>
      </c>
      <c r="H655" s="19" t="s">
        <v>175</v>
      </c>
      <c r="I655" s="18" t="s">
        <v>246</v>
      </c>
      <c r="J655" s="19" t="s">
        <v>247</v>
      </c>
      <c r="K655" s="19" t="s">
        <v>314</v>
      </c>
      <c r="L655" s="18" t="s">
        <v>164</v>
      </c>
      <c r="M655" s="18" t="s">
        <v>1556</v>
      </c>
      <c r="N655" s="18" t="s">
        <v>250</v>
      </c>
      <c r="O655" s="20">
        <v>119000</v>
      </c>
      <c r="P655" s="20">
        <v>80920</v>
      </c>
      <c r="Q655" s="20">
        <v>1</v>
      </c>
      <c r="R655" s="20">
        <v>0</v>
      </c>
      <c r="S655" s="20">
        <v>0</v>
      </c>
      <c r="T655" s="20">
        <v>0</v>
      </c>
      <c r="U655" s="20">
        <v>0</v>
      </c>
      <c r="V655" s="20">
        <v>0</v>
      </c>
      <c r="W655" s="20">
        <v>32</v>
      </c>
      <c r="X655" s="20">
        <v>0</v>
      </c>
      <c r="Y655" s="20">
        <v>0</v>
      </c>
      <c r="Z655" s="20">
        <v>0</v>
      </c>
      <c r="AA655" s="20">
        <v>0</v>
      </c>
      <c r="AB655" s="20">
        <v>0</v>
      </c>
      <c r="AC655" s="20">
        <v>119000</v>
      </c>
      <c r="AD655" s="20">
        <v>80920</v>
      </c>
      <c r="AE655" s="20">
        <v>0</v>
      </c>
      <c r="AF655" s="20">
        <v>0</v>
      </c>
      <c r="AG655" s="20">
        <v>119000</v>
      </c>
      <c r="AH655" s="20">
        <v>80920</v>
      </c>
      <c r="AI655" s="20">
        <v>34618</v>
      </c>
      <c r="AJ655" s="20">
        <v>3462</v>
      </c>
      <c r="AK655" s="20">
        <v>38080</v>
      </c>
    </row>
    <row r="656" spans="1:37" ht="24" customHeight="1" x14ac:dyDescent="0.3">
      <c r="A656" s="18" t="s">
        <v>1961</v>
      </c>
      <c r="B656" s="18" t="s">
        <v>240</v>
      </c>
      <c r="C656" s="19" t="s">
        <v>241</v>
      </c>
      <c r="D656" s="18" t="s">
        <v>1962</v>
      </c>
      <c r="E656" s="19" t="s">
        <v>1891</v>
      </c>
      <c r="F656" s="18" t="s">
        <v>244</v>
      </c>
      <c r="G656" s="18" t="s">
        <v>245</v>
      </c>
      <c r="H656" s="19" t="s">
        <v>175</v>
      </c>
      <c r="I656" s="18" t="s">
        <v>246</v>
      </c>
      <c r="J656" s="19" t="s">
        <v>247</v>
      </c>
      <c r="K656" s="19" t="s">
        <v>248</v>
      </c>
      <c r="L656" s="18" t="s">
        <v>164</v>
      </c>
      <c r="M656" s="18" t="s">
        <v>1556</v>
      </c>
      <c r="N656" s="18" t="s">
        <v>250</v>
      </c>
      <c r="O656" s="20">
        <v>119000</v>
      </c>
      <c r="P656" s="20">
        <v>80920</v>
      </c>
      <c r="Q656" s="20">
        <v>1</v>
      </c>
      <c r="R656" s="20">
        <v>0</v>
      </c>
      <c r="S656" s="20">
        <v>0</v>
      </c>
      <c r="T656" s="20">
        <v>0</v>
      </c>
      <c r="U656" s="20">
        <v>0</v>
      </c>
      <c r="V656" s="20">
        <v>0</v>
      </c>
      <c r="W656" s="20">
        <v>32</v>
      </c>
      <c r="X656" s="20">
        <v>0</v>
      </c>
      <c r="Y656" s="20">
        <v>0</v>
      </c>
      <c r="Z656" s="20">
        <v>0</v>
      </c>
      <c r="AA656" s="20">
        <v>0</v>
      </c>
      <c r="AB656" s="20">
        <v>0</v>
      </c>
      <c r="AC656" s="20">
        <v>119000</v>
      </c>
      <c r="AD656" s="20">
        <v>80920</v>
      </c>
      <c r="AE656" s="20">
        <v>0</v>
      </c>
      <c r="AF656" s="20">
        <v>0</v>
      </c>
      <c r="AG656" s="20">
        <v>119000</v>
      </c>
      <c r="AH656" s="20">
        <v>80920</v>
      </c>
      <c r="AI656" s="20">
        <v>34618</v>
      </c>
      <c r="AJ656" s="20">
        <v>3462</v>
      </c>
      <c r="AK656" s="20">
        <v>38080</v>
      </c>
    </row>
    <row r="657" spans="1:37" ht="24" customHeight="1" x14ac:dyDescent="0.3">
      <c r="A657" s="18" t="s">
        <v>1963</v>
      </c>
      <c r="B657" s="18" t="s">
        <v>240</v>
      </c>
      <c r="C657" s="19" t="s">
        <v>241</v>
      </c>
      <c r="D657" s="18" t="s">
        <v>1964</v>
      </c>
      <c r="E657" s="19" t="s">
        <v>907</v>
      </c>
      <c r="F657" s="18" t="s">
        <v>244</v>
      </c>
      <c r="G657" s="18" t="s">
        <v>245</v>
      </c>
      <c r="H657" s="19" t="s">
        <v>175</v>
      </c>
      <c r="I657" s="18" t="s">
        <v>246</v>
      </c>
      <c r="J657" s="19" t="s">
        <v>247</v>
      </c>
      <c r="K657" s="19" t="s">
        <v>248</v>
      </c>
      <c r="L657" s="18" t="s">
        <v>164</v>
      </c>
      <c r="M657" s="18" t="s">
        <v>1556</v>
      </c>
      <c r="N657" s="18" t="s">
        <v>250</v>
      </c>
      <c r="O657" s="20">
        <v>119000</v>
      </c>
      <c r="P657" s="20">
        <v>80920</v>
      </c>
      <c r="Q657" s="20">
        <v>1</v>
      </c>
      <c r="R657" s="20">
        <v>0</v>
      </c>
      <c r="S657" s="20">
        <v>0</v>
      </c>
      <c r="T657" s="20">
        <v>0</v>
      </c>
      <c r="U657" s="20">
        <v>0</v>
      </c>
      <c r="V657" s="20">
        <v>0</v>
      </c>
      <c r="W657" s="20">
        <v>32</v>
      </c>
      <c r="X657" s="20">
        <v>0</v>
      </c>
      <c r="Y657" s="20">
        <v>0</v>
      </c>
      <c r="Z657" s="20">
        <v>0</v>
      </c>
      <c r="AA657" s="20">
        <v>0</v>
      </c>
      <c r="AB657" s="20">
        <v>0</v>
      </c>
      <c r="AC657" s="20">
        <v>119000</v>
      </c>
      <c r="AD657" s="20">
        <v>80920</v>
      </c>
      <c r="AE657" s="20">
        <v>0</v>
      </c>
      <c r="AF657" s="20">
        <v>0</v>
      </c>
      <c r="AG657" s="20">
        <v>119000</v>
      </c>
      <c r="AH657" s="20">
        <v>80920</v>
      </c>
      <c r="AI657" s="20">
        <v>34618</v>
      </c>
      <c r="AJ657" s="20">
        <v>3462</v>
      </c>
      <c r="AK657" s="20">
        <v>38080</v>
      </c>
    </row>
    <row r="658" spans="1:37" ht="24" customHeight="1" x14ac:dyDescent="0.3">
      <c r="A658" s="18" t="s">
        <v>1965</v>
      </c>
      <c r="B658" s="18" t="s">
        <v>240</v>
      </c>
      <c r="C658" s="19" t="s">
        <v>241</v>
      </c>
      <c r="D658" s="18" t="s">
        <v>1966</v>
      </c>
      <c r="E658" s="19" t="s">
        <v>1811</v>
      </c>
      <c r="F658" s="18" t="s">
        <v>244</v>
      </c>
      <c r="G658" s="18" t="s">
        <v>245</v>
      </c>
      <c r="H658" s="19" t="s">
        <v>175</v>
      </c>
      <c r="I658" s="18" t="s">
        <v>246</v>
      </c>
      <c r="J658" s="19" t="s">
        <v>247</v>
      </c>
      <c r="K658" s="19" t="s">
        <v>248</v>
      </c>
      <c r="L658" s="18" t="s">
        <v>164</v>
      </c>
      <c r="M658" s="18" t="s">
        <v>1556</v>
      </c>
      <c r="N658" s="18" t="s">
        <v>250</v>
      </c>
      <c r="O658" s="20">
        <v>119000</v>
      </c>
      <c r="P658" s="20">
        <v>80920</v>
      </c>
      <c r="Q658" s="20">
        <v>1</v>
      </c>
      <c r="R658" s="20">
        <v>0</v>
      </c>
      <c r="S658" s="20">
        <v>0</v>
      </c>
      <c r="T658" s="20">
        <v>0</v>
      </c>
      <c r="U658" s="20">
        <v>0</v>
      </c>
      <c r="V658" s="20">
        <v>0</v>
      </c>
      <c r="W658" s="20">
        <v>32</v>
      </c>
      <c r="X658" s="20">
        <v>0</v>
      </c>
      <c r="Y658" s="20">
        <v>10000</v>
      </c>
      <c r="Z658" s="20">
        <v>0</v>
      </c>
      <c r="AA658" s="20">
        <v>0</v>
      </c>
      <c r="AB658" s="20">
        <v>0</v>
      </c>
      <c r="AC658" s="20">
        <v>119000</v>
      </c>
      <c r="AD658" s="20">
        <v>80920</v>
      </c>
      <c r="AE658" s="20">
        <v>0</v>
      </c>
      <c r="AF658" s="20">
        <v>10000</v>
      </c>
      <c r="AG658" s="20">
        <v>109000</v>
      </c>
      <c r="AH658" s="20">
        <v>80920</v>
      </c>
      <c r="AI658" s="20">
        <v>25527</v>
      </c>
      <c r="AJ658" s="20">
        <v>2553</v>
      </c>
      <c r="AK658" s="20">
        <v>28080</v>
      </c>
    </row>
    <row r="659" spans="1:37" ht="24" customHeight="1" x14ac:dyDescent="0.3">
      <c r="A659" s="18" t="s">
        <v>1967</v>
      </c>
      <c r="B659" s="18" t="s">
        <v>240</v>
      </c>
      <c r="C659" s="19" t="s">
        <v>241</v>
      </c>
      <c r="D659" s="18" t="s">
        <v>1968</v>
      </c>
      <c r="E659" s="19" t="s">
        <v>461</v>
      </c>
      <c r="F659" s="18" t="s">
        <v>244</v>
      </c>
      <c r="G659" s="18" t="s">
        <v>245</v>
      </c>
      <c r="H659" s="19" t="s">
        <v>175</v>
      </c>
      <c r="I659" s="18" t="s">
        <v>246</v>
      </c>
      <c r="J659" s="19" t="s">
        <v>247</v>
      </c>
      <c r="K659" s="19" t="s">
        <v>248</v>
      </c>
      <c r="L659" s="18" t="s">
        <v>164</v>
      </c>
      <c r="M659" s="18" t="s">
        <v>1556</v>
      </c>
      <c r="N659" s="18" t="s">
        <v>250</v>
      </c>
      <c r="O659" s="20">
        <v>119000</v>
      </c>
      <c r="P659" s="20">
        <v>80920</v>
      </c>
      <c r="Q659" s="20">
        <v>1</v>
      </c>
      <c r="R659" s="20">
        <v>0</v>
      </c>
      <c r="S659" s="20">
        <v>0</v>
      </c>
      <c r="T659" s="20">
        <v>0</v>
      </c>
      <c r="U659" s="20">
        <v>0</v>
      </c>
      <c r="V659" s="20">
        <v>0</v>
      </c>
      <c r="W659" s="20">
        <v>32</v>
      </c>
      <c r="X659" s="20">
        <v>0</v>
      </c>
      <c r="Y659" s="20">
        <v>0</v>
      </c>
      <c r="Z659" s="20">
        <v>0</v>
      </c>
      <c r="AA659" s="20">
        <v>0</v>
      </c>
      <c r="AB659" s="20">
        <v>0</v>
      </c>
      <c r="AC659" s="20">
        <v>119000</v>
      </c>
      <c r="AD659" s="20">
        <v>80920</v>
      </c>
      <c r="AE659" s="20">
        <v>0</v>
      </c>
      <c r="AF659" s="20">
        <v>0</v>
      </c>
      <c r="AG659" s="20">
        <v>119000</v>
      </c>
      <c r="AH659" s="20">
        <v>80920</v>
      </c>
      <c r="AI659" s="20">
        <v>34618</v>
      </c>
      <c r="AJ659" s="20">
        <v>3462</v>
      </c>
      <c r="AK659" s="20">
        <v>38080</v>
      </c>
    </row>
    <row r="660" spans="1:37" ht="24" customHeight="1" x14ac:dyDescent="0.3">
      <c r="A660" s="18" t="s">
        <v>1969</v>
      </c>
      <c r="B660" s="18" t="s">
        <v>240</v>
      </c>
      <c r="C660" s="19" t="s">
        <v>241</v>
      </c>
      <c r="D660" s="18" t="s">
        <v>1970</v>
      </c>
      <c r="E660" s="19" t="s">
        <v>461</v>
      </c>
      <c r="F660" s="18" t="s">
        <v>244</v>
      </c>
      <c r="G660" s="18" t="s">
        <v>245</v>
      </c>
      <c r="H660" s="19" t="s">
        <v>175</v>
      </c>
      <c r="I660" s="18" t="s">
        <v>246</v>
      </c>
      <c r="J660" s="19" t="s">
        <v>247</v>
      </c>
      <c r="K660" s="19" t="s">
        <v>248</v>
      </c>
      <c r="L660" s="18" t="s">
        <v>164</v>
      </c>
      <c r="M660" s="18" t="s">
        <v>1556</v>
      </c>
      <c r="N660" s="18" t="s">
        <v>250</v>
      </c>
      <c r="O660" s="20">
        <v>119000</v>
      </c>
      <c r="P660" s="20">
        <v>80920</v>
      </c>
      <c r="Q660" s="20">
        <v>1</v>
      </c>
      <c r="R660" s="20">
        <v>0</v>
      </c>
      <c r="S660" s="20">
        <v>0</v>
      </c>
      <c r="T660" s="20">
        <v>0</v>
      </c>
      <c r="U660" s="20">
        <v>0</v>
      </c>
      <c r="V660" s="20">
        <v>0</v>
      </c>
      <c r="W660" s="20">
        <v>32</v>
      </c>
      <c r="X660" s="20">
        <v>0</v>
      </c>
      <c r="Y660" s="20">
        <v>0</v>
      </c>
      <c r="Z660" s="20">
        <v>0</v>
      </c>
      <c r="AA660" s="20">
        <v>0</v>
      </c>
      <c r="AB660" s="20">
        <v>0</v>
      </c>
      <c r="AC660" s="20">
        <v>119000</v>
      </c>
      <c r="AD660" s="20">
        <v>80920</v>
      </c>
      <c r="AE660" s="20">
        <v>0</v>
      </c>
      <c r="AF660" s="20">
        <v>0</v>
      </c>
      <c r="AG660" s="20">
        <v>119000</v>
      </c>
      <c r="AH660" s="20">
        <v>80920</v>
      </c>
      <c r="AI660" s="20">
        <v>34618</v>
      </c>
      <c r="AJ660" s="20">
        <v>3462</v>
      </c>
      <c r="AK660" s="20">
        <v>38080</v>
      </c>
    </row>
    <row r="661" spans="1:37" ht="24" customHeight="1" x14ac:dyDescent="0.3">
      <c r="A661" s="18" t="s">
        <v>1971</v>
      </c>
      <c r="B661" s="18" t="s">
        <v>240</v>
      </c>
      <c r="C661" s="19" t="s">
        <v>241</v>
      </c>
      <c r="D661" s="18" t="s">
        <v>1972</v>
      </c>
      <c r="E661" s="19" t="s">
        <v>1145</v>
      </c>
      <c r="F661" s="18" t="s">
        <v>244</v>
      </c>
      <c r="G661" s="18" t="s">
        <v>245</v>
      </c>
      <c r="H661" s="19" t="s">
        <v>175</v>
      </c>
      <c r="I661" s="18" t="s">
        <v>246</v>
      </c>
      <c r="J661" s="19" t="s">
        <v>247</v>
      </c>
      <c r="K661" s="19" t="s">
        <v>248</v>
      </c>
      <c r="L661" s="18" t="s">
        <v>164</v>
      </c>
      <c r="M661" s="18" t="s">
        <v>1556</v>
      </c>
      <c r="N661" s="18" t="s">
        <v>250</v>
      </c>
      <c r="O661" s="20">
        <v>119000</v>
      </c>
      <c r="P661" s="20">
        <v>80920</v>
      </c>
      <c r="Q661" s="20">
        <v>1</v>
      </c>
      <c r="R661" s="20">
        <v>0</v>
      </c>
      <c r="S661" s="20">
        <v>0</v>
      </c>
      <c r="T661" s="20">
        <v>0</v>
      </c>
      <c r="U661" s="20">
        <v>0</v>
      </c>
      <c r="V661" s="20">
        <v>0</v>
      </c>
      <c r="W661" s="20">
        <v>32</v>
      </c>
      <c r="X661" s="20">
        <v>5950</v>
      </c>
      <c r="Y661" s="20">
        <v>0</v>
      </c>
      <c r="Z661" s="20">
        <v>0</v>
      </c>
      <c r="AA661" s="20">
        <v>0</v>
      </c>
      <c r="AB661" s="20">
        <v>0</v>
      </c>
      <c r="AC661" s="20">
        <v>119000</v>
      </c>
      <c r="AD661" s="20">
        <v>80920</v>
      </c>
      <c r="AE661" s="20">
        <v>0</v>
      </c>
      <c r="AF661" s="20">
        <v>5950</v>
      </c>
      <c r="AG661" s="20">
        <v>113050</v>
      </c>
      <c r="AH661" s="20">
        <v>80920</v>
      </c>
      <c r="AI661" s="20">
        <v>29209</v>
      </c>
      <c r="AJ661" s="20">
        <v>2921</v>
      </c>
      <c r="AK661" s="20">
        <v>32130</v>
      </c>
    </row>
    <row r="662" spans="1:37" ht="24" customHeight="1" x14ac:dyDescent="0.3">
      <c r="A662" s="18" t="s">
        <v>1973</v>
      </c>
      <c r="B662" s="18" t="s">
        <v>240</v>
      </c>
      <c r="C662" s="19" t="s">
        <v>241</v>
      </c>
      <c r="D662" s="18" t="s">
        <v>1974</v>
      </c>
      <c r="E662" s="19" t="s">
        <v>706</v>
      </c>
      <c r="F662" s="18" t="s">
        <v>244</v>
      </c>
      <c r="G662" s="18" t="s">
        <v>245</v>
      </c>
      <c r="H662" s="19" t="s">
        <v>175</v>
      </c>
      <c r="I662" s="18" t="s">
        <v>246</v>
      </c>
      <c r="J662" s="19" t="s">
        <v>247</v>
      </c>
      <c r="K662" s="19" t="s">
        <v>248</v>
      </c>
      <c r="L662" s="18" t="s">
        <v>164</v>
      </c>
      <c r="M662" s="18" t="s">
        <v>1556</v>
      </c>
      <c r="N662" s="18" t="s">
        <v>250</v>
      </c>
      <c r="O662" s="20">
        <v>119000</v>
      </c>
      <c r="P662" s="20">
        <v>80920</v>
      </c>
      <c r="Q662" s="20">
        <v>1</v>
      </c>
      <c r="R662" s="20">
        <v>0</v>
      </c>
      <c r="S662" s="20">
        <v>0</v>
      </c>
      <c r="T662" s="20">
        <v>0</v>
      </c>
      <c r="U662" s="20">
        <v>0</v>
      </c>
      <c r="V662" s="20">
        <v>0</v>
      </c>
      <c r="W662" s="20">
        <v>32</v>
      </c>
      <c r="X662" s="20">
        <v>0</v>
      </c>
      <c r="Y662" s="20">
        <v>0</v>
      </c>
      <c r="Z662" s="20">
        <v>0</v>
      </c>
      <c r="AA662" s="20">
        <v>0</v>
      </c>
      <c r="AB662" s="20">
        <v>0</v>
      </c>
      <c r="AC662" s="20">
        <v>119000</v>
      </c>
      <c r="AD662" s="20">
        <v>80920</v>
      </c>
      <c r="AE662" s="20">
        <v>0</v>
      </c>
      <c r="AF662" s="20">
        <v>0</v>
      </c>
      <c r="AG662" s="20">
        <v>119000</v>
      </c>
      <c r="AH662" s="20">
        <v>80920</v>
      </c>
      <c r="AI662" s="20">
        <v>34618</v>
      </c>
      <c r="AJ662" s="20">
        <v>3462</v>
      </c>
      <c r="AK662" s="20">
        <v>38080</v>
      </c>
    </row>
    <row r="663" spans="1:37" ht="24" customHeight="1" x14ac:dyDescent="0.3">
      <c r="A663" s="18" t="s">
        <v>1975</v>
      </c>
      <c r="B663" s="18" t="s">
        <v>240</v>
      </c>
      <c r="C663" s="19" t="s">
        <v>241</v>
      </c>
      <c r="D663" s="18" t="s">
        <v>1976</v>
      </c>
      <c r="E663" s="19" t="s">
        <v>1977</v>
      </c>
      <c r="F663" s="18" t="s">
        <v>244</v>
      </c>
      <c r="G663" s="18" t="s">
        <v>245</v>
      </c>
      <c r="H663" s="19" t="s">
        <v>175</v>
      </c>
      <c r="I663" s="18" t="s">
        <v>246</v>
      </c>
      <c r="J663" s="19" t="s">
        <v>247</v>
      </c>
      <c r="K663" s="19" t="s">
        <v>248</v>
      </c>
      <c r="L663" s="18" t="s">
        <v>164</v>
      </c>
      <c r="M663" s="18" t="s">
        <v>1556</v>
      </c>
      <c r="N663" s="18" t="s">
        <v>250</v>
      </c>
      <c r="O663" s="20">
        <v>119000</v>
      </c>
      <c r="P663" s="20">
        <v>80920</v>
      </c>
      <c r="Q663" s="20">
        <v>1</v>
      </c>
      <c r="R663" s="20">
        <v>0</v>
      </c>
      <c r="S663" s="20">
        <v>0</v>
      </c>
      <c r="T663" s="20">
        <v>0</v>
      </c>
      <c r="U663" s="20">
        <v>0</v>
      </c>
      <c r="V663" s="20">
        <v>0</v>
      </c>
      <c r="W663" s="20">
        <v>32</v>
      </c>
      <c r="X663" s="20">
        <v>0</v>
      </c>
      <c r="Y663" s="20">
        <v>15000</v>
      </c>
      <c r="Z663" s="20">
        <v>0</v>
      </c>
      <c r="AA663" s="20">
        <v>0</v>
      </c>
      <c r="AB663" s="20">
        <v>5200</v>
      </c>
      <c r="AC663" s="20">
        <v>119000</v>
      </c>
      <c r="AD663" s="20">
        <v>80920</v>
      </c>
      <c r="AE663" s="20">
        <v>0</v>
      </c>
      <c r="AF663" s="20">
        <v>20200</v>
      </c>
      <c r="AG663" s="20">
        <v>98800</v>
      </c>
      <c r="AH663" s="20">
        <v>80920</v>
      </c>
      <c r="AI663" s="20">
        <v>16255</v>
      </c>
      <c r="AJ663" s="20">
        <v>1625</v>
      </c>
      <c r="AK663" s="20">
        <v>17880</v>
      </c>
    </row>
    <row r="664" spans="1:37" ht="24" customHeight="1" x14ac:dyDescent="0.3">
      <c r="A664" s="18" t="s">
        <v>1978</v>
      </c>
      <c r="B664" s="18" t="s">
        <v>240</v>
      </c>
      <c r="C664" s="19" t="s">
        <v>241</v>
      </c>
      <c r="D664" s="18" t="s">
        <v>1979</v>
      </c>
      <c r="E664" s="19" t="s">
        <v>1980</v>
      </c>
      <c r="F664" s="18" t="s">
        <v>244</v>
      </c>
      <c r="G664" s="18" t="s">
        <v>245</v>
      </c>
      <c r="H664" s="19" t="s">
        <v>175</v>
      </c>
      <c r="I664" s="18" t="s">
        <v>246</v>
      </c>
      <c r="J664" s="19" t="s">
        <v>247</v>
      </c>
      <c r="K664" s="19"/>
      <c r="L664" s="18" t="s">
        <v>164</v>
      </c>
      <c r="M664" s="18" t="s">
        <v>1556</v>
      </c>
      <c r="N664" s="18" t="s">
        <v>250</v>
      </c>
      <c r="O664" s="20">
        <v>119000</v>
      </c>
      <c r="P664" s="20">
        <v>80920</v>
      </c>
      <c r="Q664" s="20">
        <v>1</v>
      </c>
      <c r="R664" s="20">
        <v>0</v>
      </c>
      <c r="S664" s="20">
        <v>0</v>
      </c>
      <c r="T664" s="20">
        <v>0</v>
      </c>
      <c r="U664" s="20">
        <v>0</v>
      </c>
      <c r="V664" s="20">
        <v>0</v>
      </c>
      <c r="W664" s="20">
        <v>32</v>
      </c>
      <c r="X664" s="20">
        <v>0</v>
      </c>
      <c r="Y664" s="20">
        <v>5950</v>
      </c>
      <c r="Z664" s="20">
        <v>0</v>
      </c>
      <c r="AA664" s="20">
        <v>0</v>
      </c>
      <c r="AB664" s="20">
        <v>0</v>
      </c>
      <c r="AC664" s="20">
        <v>119000</v>
      </c>
      <c r="AD664" s="20">
        <v>80920</v>
      </c>
      <c r="AE664" s="20">
        <v>0</v>
      </c>
      <c r="AF664" s="20">
        <v>5950</v>
      </c>
      <c r="AG664" s="20">
        <v>113050</v>
      </c>
      <c r="AH664" s="20">
        <v>80920</v>
      </c>
      <c r="AI664" s="20">
        <v>29209</v>
      </c>
      <c r="AJ664" s="20">
        <v>2921</v>
      </c>
      <c r="AK664" s="20">
        <v>32130</v>
      </c>
    </row>
    <row r="665" spans="1:37" ht="24" customHeight="1" x14ac:dyDescent="0.3">
      <c r="A665" s="18" t="s">
        <v>1981</v>
      </c>
      <c r="B665" s="18" t="s">
        <v>240</v>
      </c>
      <c r="C665" s="19" t="s">
        <v>241</v>
      </c>
      <c r="D665" s="18" t="s">
        <v>1982</v>
      </c>
      <c r="E665" s="19" t="s">
        <v>1983</v>
      </c>
      <c r="F665" s="18" t="s">
        <v>244</v>
      </c>
      <c r="G665" s="18" t="s">
        <v>245</v>
      </c>
      <c r="H665" s="19" t="s">
        <v>175</v>
      </c>
      <c r="I665" s="18" t="s">
        <v>246</v>
      </c>
      <c r="J665" s="19" t="s">
        <v>247</v>
      </c>
      <c r="K665" s="19" t="s">
        <v>248</v>
      </c>
      <c r="L665" s="18" t="s">
        <v>164</v>
      </c>
      <c r="M665" s="18" t="s">
        <v>1556</v>
      </c>
      <c r="N665" s="18" t="s">
        <v>250</v>
      </c>
      <c r="O665" s="20">
        <v>119000</v>
      </c>
      <c r="P665" s="20">
        <v>80920</v>
      </c>
      <c r="Q665" s="20">
        <v>1</v>
      </c>
      <c r="R665" s="20">
        <v>0</v>
      </c>
      <c r="S665" s="20">
        <v>0</v>
      </c>
      <c r="T665" s="20">
        <v>0</v>
      </c>
      <c r="U665" s="20">
        <v>0</v>
      </c>
      <c r="V665" s="20">
        <v>0</v>
      </c>
      <c r="W665" s="20">
        <v>32</v>
      </c>
      <c r="X665" s="20">
        <v>0</v>
      </c>
      <c r="Y665" s="20">
        <v>0</v>
      </c>
      <c r="Z665" s="20">
        <v>0</v>
      </c>
      <c r="AA665" s="20">
        <v>0</v>
      </c>
      <c r="AB665" s="20">
        <v>0</v>
      </c>
      <c r="AC665" s="20">
        <v>119000</v>
      </c>
      <c r="AD665" s="20">
        <v>80920</v>
      </c>
      <c r="AE665" s="20">
        <v>0</v>
      </c>
      <c r="AF665" s="20">
        <v>0</v>
      </c>
      <c r="AG665" s="20">
        <v>119000</v>
      </c>
      <c r="AH665" s="20">
        <v>80920</v>
      </c>
      <c r="AI665" s="20">
        <v>34618</v>
      </c>
      <c r="AJ665" s="20">
        <v>3462</v>
      </c>
      <c r="AK665" s="20">
        <v>38080</v>
      </c>
    </row>
    <row r="666" spans="1:37" ht="24" customHeight="1" x14ac:dyDescent="0.3">
      <c r="A666" s="18" t="s">
        <v>1984</v>
      </c>
      <c r="B666" s="18" t="s">
        <v>240</v>
      </c>
      <c r="C666" s="19" t="s">
        <v>241</v>
      </c>
      <c r="D666" s="18" t="s">
        <v>1985</v>
      </c>
      <c r="E666" s="19" t="s">
        <v>1986</v>
      </c>
      <c r="F666" s="18" t="s">
        <v>244</v>
      </c>
      <c r="G666" s="18" t="s">
        <v>245</v>
      </c>
      <c r="H666" s="19" t="s">
        <v>175</v>
      </c>
      <c r="I666" s="18" t="s">
        <v>246</v>
      </c>
      <c r="J666" s="19" t="s">
        <v>247</v>
      </c>
      <c r="K666" s="19" t="s">
        <v>248</v>
      </c>
      <c r="L666" s="18" t="s">
        <v>164</v>
      </c>
      <c r="M666" s="18" t="s">
        <v>1556</v>
      </c>
      <c r="N666" s="18" t="s">
        <v>250</v>
      </c>
      <c r="O666" s="20">
        <v>119000</v>
      </c>
      <c r="P666" s="20">
        <v>80920</v>
      </c>
      <c r="Q666" s="20">
        <v>1</v>
      </c>
      <c r="R666" s="20">
        <v>0</v>
      </c>
      <c r="S666" s="20">
        <v>0</v>
      </c>
      <c r="T666" s="20">
        <v>0</v>
      </c>
      <c r="U666" s="20">
        <v>0</v>
      </c>
      <c r="V666" s="20">
        <v>0</v>
      </c>
      <c r="W666" s="20">
        <v>32</v>
      </c>
      <c r="X666" s="20">
        <v>0</v>
      </c>
      <c r="Y666" s="20">
        <v>0</v>
      </c>
      <c r="Z666" s="20">
        <v>0</v>
      </c>
      <c r="AA666" s="20">
        <v>0</v>
      </c>
      <c r="AB666" s="20">
        <v>0</v>
      </c>
      <c r="AC666" s="20">
        <v>119000</v>
      </c>
      <c r="AD666" s="20">
        <v>80920</v>
      </c>
      <c r="AE666" s="20">
        <v>0</v>
      </c>
      <c r="AF666" s="20">
        <v>0</v>
      </c>
      <c r="AG666" s="20">
        <v>119000</v>
      </c>
      <c r="AH666" s="20">
        <v>80920</v>
      </c>
      <c r="AI666" s="20">
        <v>34618</v>
      </c>
      <c r="AJ666" s="20">
        <v>3462</v>
      </c>
      <c r="AK666" s="20">
        <v>38080</v>
      </c>
    </row>
    <row r="667" spans="1:37" ht="24" customHeight="1" x14ac:dyDescent="0.3">
      <c r="A667" s="18" t="s">
        <v>1987</v>
      </c>
      <c r="B667" s="18" t="s">
        <v>240</v>
      </c>
      <c r="C667" s="19" t="s">
        <v>241</v>
      </c>
      <c r="D667" s="18" t="s">
        <v>1988</v>
      </c>
      <c r="E667" s="19" t="s">
        <v>302</v>
      </c>
      <c r="F667" s="18" t="s">
        <v>244</v>
      </c>
      <c r="G667" s="18" t="s">
        <v>245</v>
      </c>
      <c r="H667" s="19" t="s">
        <v>175</v>
      </c>
      <c r="I667" s="18" t="s">
        <v>246</v>
      </c>
      <c r="J667" s="19" t="s">
        <v>247</v>
      </c>
      <c r="K667" s="19" t="s">
        <v>248</v>
      </c>
      <c r="L667" s="18" t="s">
        <v>164</v>
      </c>
      <c r="M667" s="18" t="s">
        <v>1556</v>
      </c>
      <c r="N667" s="18" t="s">
        <v>250</v>
      </c>
      <c r="O667" s="20">
        <v>119000</v>
      </c>
      <c r="P667" s="20">
        <v>80920</v>
      </c>
      <c r="Q667" s="20">
        <v>1</v>
      </c>
      <c r="R667" s="20">
        <v>0</v>
      </c>
      <c r="S667" s="20">
        <v>0</v>
      </c>
      <c r="T667" s="20">
        <v>0</v>
      </c>
      <c r="U667" s="20">
        <v>0</v>
      </c>
      <c r="V667" s="20">
        <v>0</v>
      </c>
      <c r="W667" s="20">
        <v>32</v>
      </c>
      <c r="X667" s="20">
        <v>0</v>
      </c>
      <c r="Y667" s="20">
        <v>0</v>
      </c>
      <c r="Z667" s="20">
        <v>0</v>
      </c>
      <c r="AA667" s="20">
        <v>0</v>
      </c>
      <c r="AB667" s="20">
        <v>0</v>
      </c>
      <c r="AC667" s="20">
        <v>119000</v>
      </c>
      <c r="AD667" s="20">
        <v>80920</v>
      </c>
      <c r="AE667" s="20">
        <v>0</v>
      </c>
      <c r="AF667" s="20">
        <v>0</v>
      </c>
      <c r="AG667" s="20">
        <v>119000</v>
      </c>
      <c r="AH667" s="20">
        <v>80920</v>
      </c>
      <c r="AI667" s="20">
        <v>34618</v>
      </c>
      <c r="AJ667" s="20">
        <v>3462</v>
      </c>
      <c r="AK667" s="20">
        <v>38080</v>
      </c>
    </row>
    <row r="668" spans="1:37" ht="24" customHeight="1" x14ac:dyDescent="0.3">
      <c r="A668" s="18" t="s">
        <v>1989</v>
      </c>
      <c r="B668" s="18" t="s">
        <v>240</v>
      </c>
      <c r="C668" s="19" t="s">
        <v>241</v>
      </c>
      <c r="D668" s="18" t="s">
        <v>1990</v>
      </c>
      <c r="E668" s="19" t="s">
        <v>777</v>
      </c>
      <c r="F668" s="18" t="s">
        <v>244</v>
      </c>
      <c r="G668" s="18" t="s">
        <v>245</v>
      </c>
      <c r="H668" s="19" t="s">
        <v>175</v>
      </c>
      <c r="I668" s="18" t="s">
        <v>246</v>
      </c>
      <c r="J668" s="19" t="s">
        <v>247</v>
      </c>
      <c r="K668" s="19" t="s">
        <v>248</v>
      </c>
      <c r="L668" s="18" t="s">
        <v>164</v>
      </c>
      <c r="M668" s="18" t="s">
        <v>1556</v>
      </c>
      <c r="N668" s="18" t="s">
        <v>250</v>
      </c>
      <c r="O668" s="20">
        <v>119000</v>
      </c>
      <c r="P668" s="20">
        <v>80920</v>
      </c>
      <c r="Q668" s="20">
        <v>1</v>
      </c>
      <c r="R668" s="20">
        <v>0</v>
      </c>
      <c r="S668" s="20">
        <v>0</v>
      </c>
      <c r="T668" s="20">
        <v>0</v>
      </c>
      <c r="U668" s="20">
        <v>0</v>
      </c>
      <c r="V668" s="20">
        <v>0</v>
      </c>
      <c r="W668" s="20">
        <v>32</v>
      </c>
      <c r="X668" s="20">
        <v>23800</v>
      </c>
      <c r="Y668" s="20">
        <v>0</v>
      </c>
      <c r="Z668" s="20">
        <v>0</v>
      </c>
      <c r="AA668" s="20">
        <v>0</v>
      </c>
      <c r="AB668" s="20">
        <v>0</v>
      </c>
      <c r="AC668" s="20">
        <v>119000</v>
      </c>
      <c r="AD668" s="20">
        <v>80920</v>
      </c>
      <c r="AE668" s="20">
        <v>0</v>
      </c>
      <c r="AF668" s="20">
        <v>23800</v>
      </c>
      <c r="AG668" s="20">
        <v>95200</v>
      </c>
      <c r="AH668" s="20">
        <v>80920</v>
      </c>
      <c r="AI668" s="20">
        <v>12982</v>
      </c>
      <c r="AJ668" s="20">
        <v>1298</v>
      </c>
      <c r="AK668" s="20">
        <v>14280</v>
      </c>
    </row>
    <row r="669" spans="1:37" ht="24" customHeight="1" x14ac:dyDescent="0.3">
      <c r="A669" s="18" t="s">
        <v>1991</v>
      </c>
      <c r="B669" s="18" t="s">
        <v>240</v>
      </c>
      <c r="C669" s="19" t="s">
        <v>241</v>
      </c>
      <c r="D669" s="18" t="s">
        <v>1992</v>
      </c>
      <c r="E669" s="19" t="s">
        <v>624</v>
      </c>
      <c r="F669" s="18" t="s">
        <v>244</v>
      </c>
      <c r="G669" s="18" t="s">
        <v>245</v>
      </c>
      <c r="H669" s="19" t="s">
        <v>175</v>
      </c>
      <c r="I669" s="18" t="s">
        <v>246</v>
      </c>
      <c r="J669" s="19" t="s">
        <v>247</v>
      </c>
      <c r="K669" s="19" t="s">
        <v>248</v>
      </c>
      <c r="L669" s="18" t="s">
        <v>164</v>
      </c>
      <c r="M669" s="18" t="s">
        <v>1556</v>
      </c>
      <c r="N669" s="18" t="s">
        <v>250</v>
      </c>
      <c r="O669" s="20">
        <v>119000</v>
      </c>
      <c r="P669" s="20">
        <v>80920</v>
      </c>
      <c r="Q669" s="20">
        <v>1</v>
      </c>
      <c r="R669" s="20">
        <v>0</v>
      </c>
      <c r="S669" s="20">
        <v>0</v>
      </c>
      <c r="T669" s="20">
        <v>0</v>
      </c>
      <c r="U669" s="20">
        <v>0</v>
      </c>
      <c r="V669" s="20">
        <v>0</v>
      </c>
      <c r="W669" s="20">
        <v>32</v>
      </c>
      <c r="X669" s="20">
        <v>0</v>
      </c>
      <c r="Y669" s="20">
        <v>0</v>
      </c>
      <c r="Z669" s="20">
        <v>0</v>
      </c>
      <c r="AA669" s="20">
        <v>0</v>
      </c>
      <c r="AB669" s="20">
        <v>0</v>
      </c>
      <c r="AC669" s="20">
        <v>119000</v>
      </c>
      <c r="AD669" s="20">
        <v>80920</v>
      </c>
      <c r="AE669" s="20">
        <v>0</v>
      </c>
      <c r="AF669" s="20">
        <v>0</v>
      </c>
      <c r="AG669" s="20">
        <v>119000</v>
      </c>
      <c r="AH669" s="20">
        <v>80920</v>
      </c>
      <c r="AI669" s="20">
        <v>34618</v>
      </c>
      <c r="AJ669" s="20">
        <v>3462</v>
      </c>
      <c r="AK669" s="20">
        <v>38080</v>
      </c>
    </row>
    <row r="670" spans="1:37" ht="24" customHeight="1" x14ac:dyDescent="0.3">
      <c r="A670" s="18" t="s">
        <v>1993</v>
      </c>
      <c r="B670" s="18" t="s">
        <v>240</v>
      </c>
      <c r="C670" s="19" t="s">
        <v>241</v>
      </c>
      <c r="D670" s="18" t="s">
        <v>1994</v>
      </c>
      <c r="E670" s="19" t="s">
        <v>302</v>
      </c>
      <c r="F670" s="18" t="s">
        <v>244</v>
      </c>
      <c r="G670" s="18" t="s">
        <v>245</v>
      </c>
      <c r="H670" s="19" t="s">
        <v>175</v>
      </c>
      <c r="I670" s="18" t="s">
        <v>246</v>
      </c>
      <c r="J670" s="19" t="s">
        <v>247</v>
      </c>
      <c r="K670" s="19" t="s">
        <v>248</v>
      </c>
      <c r="L670" s="18" t="s">
        <v>164</v>
      </c>
      <c r="M670" s="18" t="s">
        <v>1556</v>
      </c>
      <c r="N670" s="18" t="s">
        <v>250</v>
      </c>
      <c r="O670" s="20">
        <v>119000</v>
      </c>
      <c r="P670" s="20">
        <v>80920</v>
      </c>
      <c r="Q670" s="20">
        <v>1</v>
      </c>
      <c r="R670" s="20">
        <v>0</v>
      </c>
      <c r="S670" s="20">
        <v>0</v>
      </c>
      <c r="T670" s="20">
        <v>0</v>
      </c>
      <c r="U670" s="20">
        <v>0</v>
      </c>
      <c r="V670" s="20">
        <v>0</v>
      </c>
      <c r="W670" s="20">
        <v>32</v>
      </c>
      <c r="X670" s="20">
        <v>0</v>
      </c>
      <c r="Y670" s="20">
        <v>0</v>
      </c>
      <c r="Z670" s="20">
        <v>0</v>
      </c>
      <c r="AA670" s="20">
        <v>0</v>
      </c>
      <c r="AB670" s="20">
        <v>0</v>
      </c>
      <c r="AC670" s="20">
        <v>119000</v>
      </c>
      <c r="AD670" s="20">
        <v>80920</v>
      </c>
      <c r="AE670" s="20">
        <v>0</v>
      </c>
      <c r="AF670" s="20">
        <v>0</v>
      </c>
      <c r="AG670" s="20">
        <v>119000</v>
      </c>
      <c r="AH670" s="20">
        <v>80920</v>
      </c>
      <c r="AI670" s="20">
        <v>34618</v>
      </c>
      <c r="AJ670" s="20">
        <v>3462</v>
      </c>
      <c r="AK670" s="20">
        <v>38080</v>
      </c>
    </row>
    <row r="671" spans="1:37" ht="24" customHeight="1" x14ac:dyDescent="0.3">
      <c r="A671" s="18" t="s">
        <v>1995</v>
      </c>
      <c r="B671" s="18" t="s">
        <v>240</v>
      </c>
      <c r="C671" s="19" t="s">
        <v>241</v>
      </c>
      <c r="D671" s="18" t="s">
        <v>1996</v>
      </c>
      <c r="E671" s="19" t="s">
        <v>349</v>
      </c>
      <c r="F671" s="18" t="s">
        <v>244</v>
      </c>
      <c r="G671" s="18" t="s">
        <v>245</v>
      </c>
      <c r="H671" s="19" t="s">
        <v>175</v>
      </c>
      <c r="I671" s="18" t="s">
        <v>246</v>
      </c>
      <c r="J671" s="19" t="s">
        <v>247</v>
      </c>
      <c r="K671" s="19" t="s">
        <v>248</v>
      </c>
      <c r="L671" s="18" t="s">
        <v>164</v>
      </c>
      <c r="M671" s="18" t="s">
        <v>1556</v>
      </c>
      <c r="N671" s="18" t="s">
        <v>250</v>
      </c>
      <c r="O671" s="20">
        <v>119000</v>
      </c>
      <c r="P671" s="20">
        <v>80920</v>
      </c>
      <c r="Q671" s="20">
        <v>1</v>
      </c>
      <c r="R671" s="20">
        <v>0</v>
      </c>
      <c r="S671" s="20">
        <v>0</v>
      </c>
      <c r="T671" s="20">
        <v>0</v>
      </c>
      <c r="U671" s="20">
        <v>0</v>
      </c>
      <c r="V671" s="20">
        <v>0</v>
      </c>
      <c r="W671" s="20">
        <v>32</v>
      </c>
      <c r="X671" s="20">
        <v>0</v>
      </c>
      <c r="Y671" s="20">
        <v>0</v>
      </c>
      <c r="Z671" s="20">
        <v>0</v>
      </c>
      <c r="AA671" s="20">
        <v>0</v>
      </c>
      <c r="AB671" s="20">
        <v>0</v>
      </c>
      <c r="AC671" s="20">
        <v>119000</v>
      </c>
      <c r="AD671" s="20">
        <v>80920</v>
      </c>
      <c r="AE671" s="20">
        <v>0</v>
      </c>
      <c r="AF671" s="20">
        <v>0</v>
      </c>
      <c r="AG671" s="20">
        <v>119000</v>
      </c>
      <c r="AH671" s="20">
        <v>80920</v>
      </c>
      <c r="AI671" s="20">
        <v>34618</v>
      </c>
      <c r="AJ671" s="20">
        <v>3462</v>
      </c>
      <c r="AK671" s="20">
        <v>38080</v>
      </c>
    </row>
    <row r="672" spans="1:37" ht="24" customHeight="1" x14ac:dyDescent="0.3">
      <c r="A672" s="18" t="s">
        <v>1997</v>
      </c>
      <c r="B672" s="18" t="s">
        <v>240</v>
      </c>
      <c r="C672" s="19" t="s">
        <v>241</v>
      </c>
      <c r="D672" s="18" t="s">
        <v>1998</v>
      </c>
      <c r="E672" s="19" t="s">
        <v>398</v>
      </c>
      <c r="F672" s="18" t="s">
        <v>244</v>
      </c>
      <c r="G672" s="18" t="s">
        <v>245</v>
      </c>
      <c r="H672" s="19" t="s">
        <v>175</v>
      </c>
      <c r="I672" s="18" t="s">
        <v>246</v>
      </c>
      <c r="J672" s="19" t="s">
        <v>247</v>
      </c>
      <c r="K672" s="19" t="s">
        <v>248</v>
      </c>
      <c r="L672" s="18" t="s">
        <v>164</v>
      </c>
      <c r="M672" s="18" t="s">
        <v>1556</v>
      </c>
      <c r="N672" s="18" t="s">
        <v>250</v>
      </c>
      <c r="O672" s="20">
        <v>119000</v>
      </c>
      <c r="P672" s="20">
        <v>80920</v>
      </c>
      <c r="Q672" s="20">
        <v>1</v>
      </c>
      <c r="R672" s="20">
        <v>0</v>
      </c>
      <c r="S672" s="20">
        <v>0</v>
      </c>
      <c r="T672" s="20">
        <v>0</v>
      </c>
      <c r="U672" s="20">
        <v>0</v>
      </c>
      <c r="V672" s="20">
        <v>0</v>
      </c>
      <c r="W672" s="20">
        <v>32</v>
      </c>
      <c r="X672" s="20">
        <v>0</v>
      </c>
      <c r="Y672" s="20">
        <v>0</v>
      </c>
      <c r="Z672" s="20">
        <v>0</v>
      </c>
      <c r="AA672" s="20">
        <v>0</v>
      </c>
      <c r="AB672" s="20">
        <v>0</v>
      </c>
      <c r="AC672" s="20">
        <v>119000</v>
      </c>
      <c r="AD672" s="20">
        <v>80920</v>
      </c>
      <c r="AE672" s="20">
        <v>0</v>
      </c>
      <c r="AF672" s="20">
        <v>0</v>
      </c>
      <c r="AG672" s="20">
        <v>119000</v>
      </c>
      <c r="AH672" s="20">
        <v>80920</v>
      </c>
      <c r="AI672" s="20">
        <v>34618</v>
      </c>
      <c r="AJ672" s="20">
        <v>3462</v>
      </c>
      <c r="AK672" s="20">
        <v>38080</v>
      </c>
    </row>
    <row r="673" spans="1:37" ht="24" customHeight="1" x14ac:dyDescent="0.3">
      <c r="A673" s="18" t="s">
        <v>1999</v>
      </c>
      <c r="B673" s="18" t="s">
        <v>240</v>
      </c>
      <c r="C673" s="19" t="s">
        <v>241</v>
      </c>
      <c r="D673" s="18" t="s">
        <v>2000</v>
      </c>
      <c r="E673" s="19" t="s">
        <v>2001</v>
      </c>
      <c r="F673" s="18" t="s">
        <v>244</v>
      </c>
      <c r="G673" s="18" t="s">
        <v>245</v>
      </c>
      <c r="H673" s="19" t="s">
        <v>175</v>
      </c>
      <c r="I673" s="18" t="s">
        <v>246</v>
      </c>
      <c r="J673" s="19" t="s">
        <v>247</v>
      </c>
      <c r="K673" s="19" t="s">
        <v>248</v>
      </c>
      <c r="L673" s="18" t="s">
        <v>164</v>
      </c>
      <c r="M673" s="18" t="s">
        <v>1556</v>
      </c>
      <c r="N673" s="18" t="s">
        <v>250</v>
      </c>
      <c r="O673" s="20">
        <v>119000</v>
      </c>
      <c r="P673" s="20">
        <v>80920</v>
      </c>
      <c r="Q673" s="20">
        <v>1</v>
      </c>
      <c r="R673" s="20">
        <v>0</v>
      </c>
      <c r="S673" s="20">
        <v>0</v>
      </c>
      <c r="T673" s="20">
        <v>0</v>
      </c>
      <c r="U673" s="20">
        <v>0</v>
      </c>
      <c r="V673" s="20">
        <v>0</v>
      </c>
      <c r="W673" s="20">
        <v>32</v>
      </c>
      <c r="X673" s="20">
        <v>0</v>
      </c>
      <c r="Y673" s="20">
        <v>0</v>
      </c>
      <c r="Z673" s="20">
        <v>0</v>
      </c>
      <c r="AA673" s="20">
        <v>0</v>
      </c>
      <c r="AB673" s="20">
        <v>0</v>
      </c>
      <c r="AC673" s="20">
        <v>119000</v>
      </c>
      <c r="AD673" s="20">
        <v>80920</v>
      </c>
      <c r="AE673" s="20">
        <v>0</v>
      </c>
      <c r="AF673" s="20">
        <v>0</v>
      </c>
      <c r="AG673" s="20">
        <v>119000</v>
      </c>
      <c r="AH673" s="20">
        <v>80920</v>
      </c>
      <c r="AI673" s="20">
        <v>34618</v>
      </c>
      <c r="AJ673" s="20">
        <v>3462</v>
      </c>
      <c r="AK673" s="20">
        <v>38080</v>
      </c>
    </row>
    <row r="674" spans="1:37" ht="24" customHeight="1" x14ac:dyDescent="0.3">
      <c r="A674" s="18" t="s">
        <v>2002</v>
      </c>
      <c r="B674" s="18" t="s">
        <v>240</v>
      </c>
      <c r="C674" s="19" t="s">
        <v>241</v>
      </c>
      <c r="D674" s="18" t="s">
        <v>2003</v>
      </c>
      <c r="E674" s="19" t="s">
        <v>1586</v>
      </c>
      <c r="F674" s="18" t="s">
        <v>244</v>
      </c>
      <c r="G674" s="18" t="s">
        <v>245</v>
      </c>
      <c r="H674" s="19" t="s">
        <v>175</v>
      </c>
      <c r="I674" s="18" t="s">
        <v>246</v>
      </c>
      <c r="J674" s="19" t="s">
        <v>247</v>
      </c>
      <c r="K674" s="19" t="s">
        <v>248</v>
      </c>
      <c r="L674" s="18" t="s">
        <v>164</v>
      </c>
      <c r="M674" s="18" t="s">
        <v>1556</v>
      </c>
      <c r="N674" s="18" t="s">
        <v>250</v>
      </c>
      <c r="O674" s="20">
        <v>119000</v>
      </c>
      <c r="P674" s="20">
        <v>80920</v>
      </c>
      <c r="Q674" s="20">
        <v>1</v>
      </c>
      <c r="R674" s="20">
        <v>0</v>
      </c>
      <c r="S674" s="20">
        <v>0</v>
      </c>
      <c r="T674" s="20">
        <v>0</v>
      </c>
      <c r="U674" s="20">
        <v>0</v>
      </c>
      <c r="V674" s="20">
        <v>0</v>
      </c>
      <c r="W674" s="20">
        <v>32</v>
      </c>
      <c r="X674" s="20">
        <v>0</v>
      </c>
      <c r="Y674" s="20">
        <v>0</v>
      </c>
      <c r="Z674" s="20">
        <v>0</v>
      </c>
      <c r="AA674" s="20">
        <v>0</v>
      </c>
      <c r="AB674" s="20">
        <v>0</v>
      </c>
      <c r="AC674" s="20">
        <v>119000</v>
      </c>
      <c r="AD674" s="20">
        <v>80920</v>
      </c>
      <c r="AE674" s="20">
        <v>0</v>
      </c>
      <c r="AF674" s="20">
        <v>0</v>
      </c>
      <c r="AG674" s="20">
        <v>119000</v>
      </c>
      <c r="AH674" s="20">
        <v>80920</v>
      </c>
      <c r="AI674" s="20">
        <v>34618</v>
      </c>
      <c r="AJ674" s="20">
        <v>3462</v>
      </c>
      <c r="AK674" s="20">
        <v>38080</v>
      </c>
    </row>
    <row r="675" spans="1:37" ht="24" customHeight="1" x14ac:dyDescent="0.3">
      <c r="A675" s="18" t="s">
        <v>2004</v>
      </c>
      <c r="B675" s="18" t="s">
        <v>240</v>
      </c>
      <c r="C675" s="19" t="s">
        <v>241</v>
      </c>
      <c r="D675" s="18" t="s">
        <v>2005</v>
      </c>
      <c r="E675" s="19" t="s">
        <v>284</v>
      </c>
      <c r="F675" s="18" t="s">
        <v>244</v>
      </c>
      <c r="G675" s="18" t="s">
        <v>245</v>
      </c>
      <c r="H675" s="19" t="s">
        <v>175</v>
      </c>
      <c r="I675" s="18" t="s">
        <v>246</v>
      </c>
      <c r="J675" s="19" t="s">
        <v>247</v>
      </c>
      <c r="K675" s="19" t="s">
        <v>248</v>
      </c>
      <c r="L675" s="18" t="s">
        <v>164</v>
      </c>
      <c r="M675" s="18" t="s">
        <v>1556</v>
      </c>
      <c r="N675" s="18" t="s">
        <v>250</v>
      </c>
      <c r="O675" s="20">
        <v>119000</v>
      </c>
      <c r="P675" s="20">
        <v>80920</v>
      </c>
      <c r="Q675" s="20">
        <v>1</v>
      </c>
      <c r="R675" s="20">
        <v>0</v>
      </c>
      <c r="S675" s="20">
        <v>0</v>
      </c>
      <c r="T675" s="20">
        <v>0</v>
      </c>
      <c r="U675" s="20">
        <v>0</v>
      </c>
      <c r="V675" s="20">
        <v>0</v>
      </c>
      <c r="W675" s="20">
        <v>32</v>
      </c>
      <c r="X675" s="20">
        <v>0</v>
      </c>
      <c r="Y675" s="20">
        <v>0</v>
      </c>
      <c r="Z675" s="20">
        <v>0</v>
      </c>
      <c r="AA675" s="20">
        <v>0</v>
      </c>
      <c r="AB675" s="20">
        <v>0</v>
      </c>
      <c r="AC675" s="20">
        <v>119000</v>
      </c>
      <c r="AD675" s="20">
        <v>80920</v>
      </c>
      <c r="AE675" s="20">
        <v>0</v>
      </c>
      <c r="AF675" s="20">
        <v>0</v>
      </c>
      <c r="AG675" s="20">
        <v>119000</v>
      </c>
      <c r="AH675" s="20">
        <v>80920</v>
      </c>
      <c r="AI675" s="20">
        <v>34618</v>
      </c>
      <c r="AJ675" s="20">
        <v>3462</v>
      </c>
      <c r="AK675" s="20">
        <v>38080</v>
      </c>
    </row>
    <row r="676" spans="1:37" ht="24" customHeight="1" x14ac:dyDescent="0.3">
      <c r="A676" s="18" t="s">
        <v>2006</v>
      </c>
      <c r="B676" s="18" t="s">
        <v>240</v>
      </c>
      <c r="C676" s="19" t="s">
        <v>241</v>
      </c>
      <c r="D676" s="18" t="s">
        <v>2007</v>
      </c>
      <c r="E676" s="19" t="s">
        <v>2008</v>
      </c>
      <c r="F676" s="18" t="s">
        <v>244</v>
      </c>
      <c r="G676" s="18" t="s">
        <v>245</v>
      </c>
      <c r="H676" s="19" t="s">
        <v>175</v>
      </c>
      <c r="I676" s="18" t="s">
        <v>246</v>
      </c>
      <c r="J676" s="19" t="s">
        <v>247</v>
      </c>
      <c r="K676" s="19" t="s">
        <v>314</v>
      </c>
      <c r="L676" s="18" t="s">
        <v>164</v>
      </c>
      <c r="M676" s="18" t="s">
        <v>1556</v>
      </c>
      <c r="N676" s="18" t="s">
        <v>250</v>
      </c>
      <c r="O676" s="20">
        <v>119000</v>
      </c>
      <c r="P676" s="20">
        <v>80920</v>
      </c>
      <c r="Q676" s="20">
        <v>1</v>
      </c>
      <c r="R676" s="20">
        <v>0</v>
      </c>
      <c r="S676" s="20">
        <v>0</v>
      </c>
      <c r="T676" s="20">
        <v>0</v>
      </c>
      <c r="U676" s="20">
        <v>0</v>
      </c>
      <c r="V676" s="20">
        <v>0</v>
      </c>
      <c r="W676" s="20">
        <v>32</v>
      </c>
      <c r="X676" s="20">
        <v>0</v>
      </c>
      <c r="Y676" s="20">
        <v>0</v>
      </c>
      <c r="Z676" s="20">
        <v>0</v>
      </c>
      <c r="AA676" s="20">
        <v>0</v>
      </c>
      <c r="AB676" s="20">
        <v>0</v>
      </c>
      <c r="AC676" s="20">
        <v>119000</v>
      </c>
      <c r="AD676" s="20">
        <v>80920</v>
      </c>
      <c r="AE676" s="20">
        <v>0</v>
      </c>
      <c r="AF676" s="20">
        <v>0</v>
      </c>
      <c r="AG676" s="20">
        <v>119000</v>
      </c>
      <c r="AH676" s="20">
        <v>80920</v>
      </c>
      <c r="AI676" s="20">
        <v>34618</v>
      </c>
      <c r="AJ676" s="20">
        <v>3462</v>
      </c>
      <c r="AK676" s="20">
        <v>38080</v>
      </c>
    </row>
    <row r="677" spans="1:37" ht="24" customHeight="1" x14ac:dyDescent="0.3">
      <c r="A677" s="18" t="s">
        <v>2009</v>
      </c>
      <c r="B677" s="18" t="s">
        <v>240</v>
      </c>
      <c r="C677" s="19" t="s">
        <v>241</v>
      </c>
      <c r="D677" s="18" t="s">
        <v>2010</v>
      </c>
      <c r="E677" s="19" t="s">
        <v>577</v>
      </c>
      <c r="F677" s="18" t="s">
        <v>244</v>
      </c>
      <c r="G677" s="18" t="s">
        <v>245</v>
      </c>
      <c r="H677" s="19" t="s">
        <v>175</v>
      </c>
      <c r="I677" s="18" t="s">
        <v>246</v>
      </c>
      <c r="J677" s="19" t="s">
        <v>247</v>
      </c>
      <c r="K677" s="19" t="s">
        <v>248</v>
      </c>
      <c r="L677" s="18" t="s">
        <v>164</v>
      </c>
      <c r="M677" s="18" t="s">
        <v>1556</v>
      </c>
      <c r="N677" s="18" t="s">
        <v>250</v>
      </c>
      <c r="O677" s="20">
        <v>119000</v>
      </c>
      <c r="P677" s="20">
        <v>80920</v>
      </c>
      <c r="Q677" s="20">
        <v>1</v>
      </c>
      <c r="R677" s="20">
        <v>0</v>
      </c>
      <c r="S677" s="20">
        <v>0</v>
      </c>
      <c r="T677" s="20">
        <v>0</v>
      </c>
      <c r="U677" s="20">
        <v>0</v>
      </c>
      <c r="V677" s="20">
        <v>0</v>
      </c>
      <c r="W677" s="20">
        <v>32</v>
      </c>
      <c r="X677" s="20">
        <v>0</v>
      </c>
      <c r="Y677" s="20">
        <v>0</v>
      </c>
      <c r="Z677" s="20">
        <v>0</v>
      </c>
      <c r="AA677" s="20">
        <v>0</v>
      </c>
      <c r="AB677" s="20">
        <v>0</v>
      </c>
      <c r="AC677" s="20">
        <v>119000</v>
      </c>
      <c r="AD677" s="20">
        <v>80920</v>
      </c>
      <c r="AE677" s="20">
        <v>0</v>
      </c>
      <c r="AF677" s="20">
        <v>0</v>
      </c>
      <c r="AG677" s="20">
        <v>119000</v>
      </c>
      <c r="AH677" s="20">
        <v>80920</v>
      </c>
      <c r="AI677" s="20">
        <v>34618</v>
      </c>
      <c r="AJ677" s="20">
        <v>3462</v>
      </c>
      <c r="AK677" s="20">
        <v>38080</v>
      </c>
    </row>
    <row r="678" spans="1:37" ht="24" customHeight="1" x14ac:dyDescent="0.3">
      <c r="A678" s="18" t="s">
        <v>2011</v>
      </c>
      <c r="B678" s="18" t="s">
        <v>240</v>
      </c>
      <c r="C678" s="19" t="s">
        <v>241</v>
      </c>
      <c r="D678" s="18" t="s">
        <v>2012</v>
      </c>
      <c r="E678" s="19" t="s">
        <v>509</v>
      </c>
      <c r="F678" s="18" t="s">
        <v>244</v>
      </c>
      <c r="G678" s="18" t="s">
        <v>245</v>
      </c>
      <c r="H678" s="19" t="s">
        <v>175</v>
      </c>
      <c r="I678" s="18" t="s">
        <v>246</v>
      </c>
      <c r="J678" s="19" t="s">
        <v>247</v>
      </c>
      <c r="K678" s="19" t="s">
        <v>248</v>
      </c>
      <c r="L678" s="18" t="s">
        <v>164</v>
      </c>
      <c r="M678" s="18" t="s">
        <v>1556</v>
      </c>
      <c r="N678" s="18" t="s">
        <v>250</v>
      </c>
      <c r="O678" s="20">
        <v>119000</v>
      </c>
      <c r="P678" s="20">
        <v>80920</v>
      </c>
      <c r="Q678" s="20">
        <v>1</v>
      </c>
      <c r="R678" s="20">
        <v>0</v>
      </c>
      <c r="S678" s="20">
        <v>0</v>
      </c>
      <c r="T678" s="20">
        <v>0</v>
      </c>
      <c r="U678" s="20">
        <v>0</v>
      </c>
      <c r="V678" s="20">
        <v>0</v>
      </c>
      <c r="W678" s="20">
        <v>32</v>
      </c>
      <c r="X678" s="20">
        <v>0</v>
      </c>
      <c r="Y678" s="20">
        <v>0</v>
      </c>
      <c r="Z678" s="20">
        <v>0</v>
      </c>
      <c r="AA678" s="20">
        <v>0</v>
      </c>
      <c r="AB678" s="20">
        <v>0</v>
      </c>
      <c r="AC678" s="20">
        <v>119000</v>
      </c>
      <c r="AD678" s="20">
        <v>80920</v>
      </c>
      <c r="AE678" s="20">
        <v>0</v>
      </c>
      <c r="AF678" s="20">
        <v>0</v>
      </c>
      <c r="AG678" s="20">
        <v>119000</v>
      </c>
      <c r="AH678" s="20">
        <v>80920</v>
      </c>
      <c r="AI678" s="20">
        <v>34618</v>
      </c>
      <c r="AJ678" s="20">
        <v>3462</v>
      </c>
      <c r="AK678" s="20">
        <v>38080</v>
      </c>
    </row>
    <row r="679" spans="1:37" ht="24" customHeight="1" x14ac:dyDescent="0.3">
      <c r="A679" s="18" t="s">
        <v>2013</v>
      </c>
      <c r="B679" s="18" t="s">
        <v>240</v>
      </c>
      <c r="C679" s="19" t="s">
        <v>241</v>
      </c>
      <c r="D679" s="18" t="s">
        <v>2014</v>
      </c>
      <c r="E679" s="19" t="s">
        <v>380</v>
      </c>
      <c r="F679" s="18" t="s">
        <v>244</v>
      </c>
      <c r="G679" s="18" t="s">
        <v>245</v>
      </c>
      <c r="H679" s="19" t="s">
        <v>175</v>
      </c>
      <c r="I679" s="18" t="s">
        <v>246</v>
      </c>
      <c r="J679" s="19" t="s">
        <v>247</v>
      </c>
      <c r="K679" s="19" t="s">
        <v>248</v>
      </c>
      <c r="L679" s="18" t="s">
        <v>164</v>
      </c>
      <c r="M679" s="18" t="s">
        <v>1556</v>
      </c>
      <c r="N679" s="18" t="s">
        <v>250</v>
      </c>
      <c r="O679" s="20">
        <v>119000</v>
      </c>
      <c r="P679" s="20">
        <v>80920</v>
      </c>
      <c r="Q679" s="20">
        <v>1</v>
      </c>
      <c r="R679" s="20">
        <v>0</v>
      </c>
      <c r="S679" s="20">
        <v>0</v>
      </c>
      <c r="T679" s="20">
        <v>0</v>
      </c>
      <c r="U679" s="20">
        <v>0</v>
      </c>
      <c r="V679" s="20">
        <v>0</v>
      </c>
      <c r="W679" s="20">
        <v>32</v>
      </c>
      <c r="X679" s="20">
        <v>0</v>
      </c>
      <c r="Y679" s="20">
        <v>0</v>
      </c>
      <c r="Z679" s="20">
        <v>0</v>
      </c>
      <c r="AA679" s="20">
        <v>0</v>
      </c>
      <c r="AB679" s="20">
        <v>0</v>
      </c>
      <c r="AC679" s="20">
        <v>119000</v>
      </c>
      <c r="AD679" s="20">
        <v>80920</v>
      </c>
      <c r="AE679" s="20">
        <v>0</v>
      </c>
      <c r="AF679" s="20">
        <v>0</v>
      </c>
      <c r="AG679" s="20">
        <v>119000</v>
      </c>
      <c r="AH679" s="20">
        <v>80920</v>
      </c>
      <c r="AI679" s="20">
        <v>34618</v>
      </c>
      <c r="AJ679" s="20">
        <v>3462</v>
      </c>
      <c r="AK679" s="20">
        <v>38080</v>
      </c>
    </row>
    <row r="680" spans="1:37" ht="24" customHeight="1" x14ac:dyDescent="0.3">
      <c r="A680" s="18" t="s">
        <v>2015</v>
      </c>
      <c r="B680" s="18" t="s">
        <v>240</v>
      </c>
      <c r="C680" s="19" t="s">
        <v>241</v>
      </c>
      <c r="D680" s="18" t="s">
        <v>2016</v>
      </c>
      <c r="E680" s="19" t="s">
        <v>2017</v>
      </c>
      <c r="F680" s="18" t="s">
        <v>244</v>
      </c>
      <c r="G680" s="18" t="s">
        <v>245</v>
      </c>
      <c r="H680" s="19" t="s">
        <v>175</v>
      </c>
      <c r="I680" s="18" t="s">
        <v>246</v>
      </c>
      <c r="J680" s="19" t="s">
        <v>247</v>
      </c>
      <c r="K680" s="19" t="s">
        <v>248</v>
      </c>
      <c r="L680" s="18" t="s">
        <v>164</v>
      </c>
      <c r="M680" s="18" t="s">
        <v>1556</v>
      </c>
      <c r="N680" s="18" t="s">
        <v>250</v>
      </c>
      <c r="O680" s="20">
        <v>119000</v>
      </c>
      <c r="P680" s="20">
        <v>80920</v>
      </c>
      <c r="Q680" s="20">
        <v>1</v>
      </c>
      <c r="R680" s="20">
        <v>0</v>
      </c>
      <c r="S680" s="20">
        <v>0</v>
      </c>
      <c r="T680" s="20">
        <v>0</v>
      </c>
      <c r="U680" s="20">
        <v>0</v>
      </c>
      <c r="V680" s="20">
        <v>0</v>
      </c>
      <c r="W680" s="20">
        <v>32</v>
      </c>
      <c r="X680" s="20">
        <v>0</v>
      </c>
      <c r="Y680" s="20">
        <v>0</v>
      </c>
      <c r="Z680" s="20">
        <v>0</v>
      </c>
      <c r="AA680" s="20">
        <v>0</v>
      </c>
      <c r="AB680" s="20">
        <v>0</v>
      </c>
      <c r="AC680" s="20">
        <v>119000</v>
      </c>
      <c r="AD680" s="20">
        <v>80920</v>
      </c>
      <c r="AE680" s="20">
        <v>0</v>
      </c>
      <c r="AF680" s="20">
        <v>0</v>
      </c>
      <c r="AG680" s="20">
        <v>119000</v>
      </c>
      <c r="AH680" s="20">
        <v>80920</v>
      </c>
      <c r="AI680" s="20">
        <v>34618</v>
      </c>
      <c r="AJ680" s="20">
        <v>3462</v>
      </c>
      <c r="AK680" s="20">
        <v>38080</v>
      </c>
    </row>
    <row r="681" spans="1:37" ht="24" customHeight="1" x14ac:dyDescent="0.3">
      <c r="A681" s="18" t="s">
        <v>2018</v>
      </c>
      <c r="B681" s="18" t="s">
        <v>240</v>
      </c>
      <c r="C681" s="19" t="s">
        <v>241</v>
      </c>
      <c r="D681" s="18" t="s">
        <v>2019</v>
      </c>
      <c r="E681" s="19" t="s">
        <v>2020</v>
      </c>
      <c r="F681" s="18" t="s">
        <v>244</v>
      </c>
      <c r="G681" s="18" t="s">
        <v>245</v>
      </c>
      <c r="H681" s="19" t="s">
        <v>175</v>
      </c>
      <c r="I681" s="18" t="s">
        <v>246</v>
      </c>
      <c r="J681" s="19" t="s">
        <v>247</v>
      </c>
      <c r="K681" s="19" t="s">
        <v>248</v>
      </c>
      <c r="L681" s="18" t="s">
        <v>164</v>
      </c>
      <c r="M681" s="18" t="s">
        <v>1556</v>
      </c>
      <c r="N681" s="18" t="s">
        <v>250</v>
      </c>
      <c r="O681" s="20">
        <v>119000</v>
      </c>
      <c r="P681" s="20">
        <v>80920</v>
      </c>
      <c r="Q681" s="20">
        <v>1</v>
      </c>
      <c r="R681" s="20">
        <v>0</v>
      </c>
      <c r="S681" s="20">
        <v>0</v>
      </c>
      <c r="T681" s="20">
        <v>0</v>
      </c>
      <c r="U681" s="20">
        <v>0</v>
      </c>
      <c r="V681" s="20">
        <v>0</v>
      </c>
      <c r="W681" s="20">
        <v>32</v>
      </c>
      <c r="X681" s="20">
        <v>0</v>
      </c>
      <c r="Y681" s="20">
        <v>0</v>
      </c>
      <c r="Z681" s="20">
        <v>0</v>
      </c>
      <c r="AA681" s="20">
        <v>0</v>
      </c>
      <c r="AB681" s="20">
        <v>0</v>
      </c>
      <c r="AC681" s="20">
        <v>119000</v>
      </c>
      <c r="AD681" s="20">
        <v>80920</v>
      </c>
      <c r="AE681" s="20">
        <v>0</v>
      </c>
      <c r="AF681" s="20">
        <v>0</v>
      </c>
      <c r="AG681" s="20">
        <v>119000</v>
      </c>
      <c r="AH681" s="20">
        <v>80920</v>
      </c>
      <c r="AI681" s="20">
        <v>34618</v>
      </c>
      <c r="AJ681" s="20">
        <v>3462</v>
      </c>
      <c r="AK681" s="20">
        <v>38080</v>
      </c>
    </row>
    <row r="682" spans="1:37" ht="24" customHeight="1" x14ac:dyDescent="0.3">
      <c r="A682" s="18" t="s">
        <v>2021</v>
      </c>
      <c r="B682" s="18" t="s">
        <v>240</v>
      </c>
      <c r="C682" s="19" t="s">
        <v>241</v>
      </c>
      <c r="D682" s="18" t="s">
        <v>2022</v>
      </c>
      <c r="E682" s="19" t="s">
        <v>2023</v>
      </c>
      <c r="F682" s="18" t="s">
        <v>244</v>
      </c>
      <c r="G682" s="18" t="s">
        <v>245</v>
      </c>
      <c r="H682" s="19" t="s">
        <v>175</v>
      </c>
      <c r="I682" s="18" t="s">
        <v>246</v>
      </c>
      <c r="J682" s="19" t="s">
        <v>247</v>
      </c>
      <c r="K682" s="19" t="s">
        <v>248</v>
      </c>
      <c r="L682" s="18" t="s">
        <v>164</v>
      </c>
      <c r="M682" s="18" t="s">
        <v>1556</v>
      </c>
      <c r="N682" s="18" t="s">
        <v>250</v>
      </c>
      <c r="O682" s="20">
        <v>119000</v>
      </c>
      <c r="P682" s="20">
        <v>80920</v>
      </c>
      <c r="Q682" s="20">
        <v>1</v>
      </c>
      <c r="R682" s="20">
        <v>0</v>
      </c>
      <c r="S682" s="20">
        <v>0</v>
      </c>
      <c r="T682" s="20">
        <v>0</v>
      </c>
      <c r="U682" s="20">
        <v>0</v>
      </c>
      <c r="V682" s="20">
        <v>0</v>
      </c>
      <c r="W682" s="20">
        <v>32</v>
      </c>
      <c r="X682" s="20">
        <v>0</v>
      </c>
      <c r="Y682" s="20">
        <v>0</v>
      </c>
      <c r="Z682" s="20">
        <v>0</v>
      </c>
      <c r="AA682" s="20">
        <v>0</v>
      </c>
      <c r="AB682" s="20">
        <v>0</v>
      </c>
      <c r="AC682" s="20">
        <v>119000</v>
      </c>
      <c r="AD682" s="20">
        <v>80920</v>
      </c>
      <c r="AE682" s="20">
        <v>0</v>
      </c>
      <c r="AF682" s="20">
        <v>0</v>
      </c>
      <c r="AG682" s="20">
        <v>119000</v>
      </c>
      <c r="AH682" s="20">
        <v>80920</v>
      </c>
      <c r="AI682" s="20">
        <v>34618</v>
      </c>
      <c r="AJ682" s="20">
        <v>3462</v>
      </c>
      <c r="AK682" s="20">
        <v>38080</v>
      </c>
    </row>
    <row r="683" spans="1:37" ht="24" customHeight="1" x14ac:dyDescent="0.3">
      <c r="A683" s="18" t="s">
        <v>2024</v>
      </c>
      <c r="B683" s="18" t="s">
        <v>240</v>
      </c>
      <c r="C683" s="19" t="s">
        <v>241</v>
      </c>
      <c r="D683" s="18" t="s">
        <v>2025</v>
      </c>
      <c r="E683" s="19" t="s">
        <v>2026</v>
      </c>
      <c r="F683" s="18" t="s">
        <v>244</v>
      </c>
      <c r="G683" s="18" t="s">
        <v>245</v>
      </c>
      <c r="H683" s="19" t="s">
        <v>175</v>
      </c>
      <c r="I683" s="18" t="s">
        <v>246</v>
      </c>
      <c r="J683" s="19" t="s">
        <v>247</v>
      </c>
      <c r="K683" s="19" t="s">
        <v>248</v>
      </c>
      <c r="L683" s="18" t="s">
        <v>164</v>
      </c>
      <c r="M683" s="18" t="s">
        <v>1556</v>
      </c>
      <c r="N683" s="18" t="s">
        <v>250</v>
      </c>
      <c r="O683" s="20">
        <v>119000</v>
      </c>
      <c r="P683" s="20">
        <v>80920</v>
      </c>
      <c r="Q683" s="20">
        <v>1</v>
      </c>
      <c r="R683" s="20">
        <v>0</v>
      </c>
      <c r="S683" s="20">
        <v>0</v>
      </c>
      <c r="T683" s="20">
        <v>0</v>
      </c>
      <c r="U683" s="20">
        <v>0</v>
      </c>
      <c r="V683" s="20">
        <v>0</v>
      </c>
      <c r="W683" s="20">
        <v>32</v>
      </c>
      <c r="X683" s="20">
        <v>0</v>
      </c>
      <c r="Y683" s="20">
        <v>0</v>
      </c>
      <c r="Z683" s="20">
        <v>0</v>
      </c>
      <c r="AA683" s="20">
        <v>0</v>
      </c>
      <c r="AB683" s="20">
        <v>0</v>
      </c>
      <c r="AC683" s="20">
        <v>119000</v>
      </c>
      <c r="AD683" s="20">
        <v>80920</v>
      </c>
      <c r="AE683" s="20">
        <v>0</v>
      </c>
      <c r="AF683" s="20">
        <v>0</v>
      </c>
      <c r="AG683" s="20">
        <v>119000</v>
      </c>
      <c r="AH683" s="20">
        <v>80920</v>
      </c>
      <c r="AI683" s="20">
        <v>34618</v>
      </c>
      <c r="AJ683" s="20">
        <v>3462</v>
      </c>
      <c r="AK683" s="20">
        <v>38080</v>
      </c>
    </row>
    <row r="684" spans="1:37" ht="24" customHeight="1" x14ac:dyDescent="0.3">
      <c r="A684" s="18" t="s">
        <v>2027</v>
      </c>
      <c r="B684" s="18" t="s">
        <v>240</v>
      </c>
      <c r="C684" s="19" t="s">
        <v>241</v>
      </c>
      <c r="D684" s="18" t="s">
        <v>2028</v>
      </c>
      <c r="E684" s="19" t="s">
        <v>907</v>
      </c>
      <c r="F684" s="18" t="s">
        <v>244</v>
      </c>
      <c r="G684" s="18" t="s">
        <v>245</v>
      </c>
      <c r="H684" s="19" t="s">
        <v>175</v>
      </c>
      <c r="I684" s="18" t="s">
        <v>246</v>
      </c>
      <c r="J684" s="19" t="s">
        <v>247</v>
      </c>
      <c r="K684" s="19" t="s">
        <v>314</v>
      </c>
      <c r="L684" s="18" t="s">
        <v>164</v>
      </c>
      <c r="M684" s="18" t="s">
        <v>1556</v>
      </c>
      <c r="N684" s="18" t="s">
        <v>250</v>
      </c>
      <c r="O684" s="20">
        <v>119000</v>
      </c>
      <c r="P684" s="20">
        <v>80920</v>
      </c>
      <c r="Q684" s="20">
        <v>1</v>
      </c>
      <c r="R684" s="20">
        <v>0</v>
      </c>
      <c r="S684" s="20">
        <v>0</v>
      </c>
      <c r="T684" s="20">
        <v>0</v>
      </c>
      <c r="U684" s="20">
        <v>0</v>
      </c>
      <c r="V684" s="20">
        <v>0</v>
      </c>
      <c r="W684" s="20">
        <v>32</v>
      </c>
      <c r="X684" s="20">
        <v>0</v>
      </c>
      <c r="Y684" s="20">
        <v>0</v>
      </c>
      <c r="Z684" s="20">
        <v>0</v>
      </c>
      <c r="AA684" s="20">
        <v>0</v>
      </c>
      <c r="AB684" s="20">
        <v>0</v>
      </c>
      <c r="AC684" s="20">
        <v>119000</v>
      </c>
      <c r="AD684" s="20">
        <v>80920</v>
      </c>
      <c r="AE684" s="20">
        <v>0</v>
      </c>
      <c r="AF684" s="20">
        <v>0</v>
      </c>
      <c r="AG684" s="20">
        <v>119000</v>
      </c>
      <c r="AH684" s="20">
        <v>80920</v>
      </c>
      <c r="AI684" s="20">
        <v>34618</v>
      </c>
      <c r="AJ684" s="20">
        <v>3462</v>
      </c>
      <c r="AK684" s="20">
        <v>38080</v>
      </c>
    </row>
    <row r="685" spans="1:37" ht="24" customHeight="1" x14ac:dyDescent="0.3">
      <c r="A685" s="18" t="s">
        <v>2029</v>
      </c>
      <c r="B685" s="18" t="s">
        <v>240</v>
      </c>
      <c r="C685" s="19" t="s">
        <v>241</v>
      </c>
      <c r="D685" s="18" t="s">
        <v>2030</v>
      </c>
      <c r="E685" s="19" t="s">
        <v>1335</v>
      </c>
      <c r="F685" s="18" t="s">
        <v>244</v>
      </c>
      <c r="G685" s="18" t="s">
        <v>245</v>
      </c>
      <c r="H685" s="19" t="s">
        <v>175</v>
      </c>
      <c r="I685" s="18" t="s">
        <v>246</v>
      </c>
      <c r="J685" s="19" t="s">
        <v>247</v>
      </c>
      <c r="K685" s="19" t="s">
        <v>248</v>
      </c>
      <c r="L685" s="18" t="s">
        <v>164</v>
      </c>
      <c r="M685" s="18" t="s">
        <v>1556</v>
      </c>
      <c r="N685" s="18" t="s">
        <v>250</v>
      </c>
      <c r="O685" s="20">
        <v>119000</v>
      </c>
      <c r="P685" s="20">
        <v>80920</v>
      </c>
      <c r="Q685" s="20">
        <v>1</v>
      </c>
      <c r="R685" s="20">
        <v>0</v>
      </c>
      <c r="S685" s="20">
        <v>0</v>
      </c>
      <c r="T685" s="20">
        <v>0</v>
      </c>
      <c r="U685" s="20">
        <v>0</v>
      </c>
      <c r="V685" s="20">
        <v>0</v>
      </c>
      <c r="W685" s="20">
        <v>32</v>
      </c>
      <c r="X685" s="20">
        <v>0</v>
      </c>
      <c r="Y685" s="20">
        <v>0</v>
      </c>
      <c r="Z685" s="20">
        <v>0</v>
      </c>
      <c r="AA685" s="20">
        <v>0</v>
      </c>
      <c r="AB685" s="20">
        <v>0</v>
      </c>
      <c r="AC685" s="20">
        <v>119000</v>
      </c>
      <c r="AD685" s="20">
        <v>80920</v>
      </c>
      <c r="AE685" s="20">
        <v>0</v>
      </c>
      <c r="AF685" s="20">
        <v>0</v>
      </c>
      <c r="AG685" s="20">
        <v>119000</v>
      </c>
      <c r="AH685" s="20">
        <v>80920</v>
      </c>
      <c r="AI685" s="20">
        <v>34618</v>
      </c>
      <c r="AJ685" s="20">
        <v>3462</v>
      </c>
      <c r="AK685" s="20">
        <v>38080</v>
      </c>
    </row>
    <row r="686" spans="1:37" ht="24" customHeight="1" x14ac:dyDescent="0.3">
      <c r="A686" s="18" t="s">
        <v>2031</v>
      </c>
      <c r="B686" s="18" t="s">
        <v>240</v>
      </c>
      <c r="C686" s="19" t="s">
        <v>241</v>
      </c>
      <c r="D686" s="18" t="s">
        <v>2032</v>
      </c>
      <c r="E686" s="19" t="s">
        <v>2033</v>
      </c>
      <c r="F686" s="18" t="s">
        <v>244</v>
      </c>
      <c r="G686" s="18" t="s">
        <v>245</v>
      </c>
      <c r="H686" s="19" t="s">
        <v>175</v>
      </c>
      <c r="I686" s="18" t="s">
        <v>246</v>
      </c>
      <c r="J686" s="19" t="s">
        <v>247</v>
      </c>
      <c r="K686" s="19" t="s">
        <v>248</v>
      </c>
      <c r="L686" s="18" t="s">
        <v>164</v>
      </c>
      <c r="M686" s="18" t="s">
        <v>1556</v>
      </c>
      <c r="N686" s="18" t="s">
        <v>250</v>
      </c>
      <c r="O686" s="20">
        <v>119000</v>
      </c>
      <c r="P686" s="20">
        <v>80920</v>
      </c>
      <c r="Q686" s="20">
        <v>1</v>
      </c>
      <c r="R686" s="20">
        <v>0</v>
      </c>
      <c r="S686" s="20">
        <v>0</v>
      </c>
      <c r="T686" s="20">
        <v>0</v>
      </c>
      <c r="U686" s="20">
        <v>0</v>
      </c>
      <c r="V686" s="20">
        <v>0</v>
      </c>
      <c r="W686" s="20">
        <v>32</v>
      </c>
      <c r="X686" s="20">
        <v>0</v>
      </c>
      <c r="Y686" s="20">
        <v>0</v>
      </c>
      <c r="Z686" s="20">
        <v>0</v>
      </c>
      <c r="AA686" s="20">
        <v>0</v>
      </c>
      <c r="AB686" s="20">
        <v>0</v>
      </c>
      <c r="AC686" s="20">
        <v>119000</v>
      </c>
      <c r="AD686" s="20">
        <v>80920</v>
      </c>
      <c r="AE686" s="20">
        <v>0</v>
      </c>
      <c r="AF686" s="20">
        <v>0</v>
      </c>
      <c r="AG686" s="20">
        <v>119000</v>
      </c>
      <c r="AH686" s="20">
        <v>80920</v>
      </c>
      <c r="AI686" s="20">
        <v>34618</v>
      </c>
      <c r="AJ686" s="20">
        <v>3462</v>
      </c>
      <c r="AK686" s="20">
        <v>38080</v>
      </c>
    </row>
    <row r="687" spans="1:37" ht="24" customHeight="1" x14ac:dyDescent="0.3">
      <c r="A687" s="18" t="s">
        <v>2034</v>
      </c>
      <c r="B687" s="18" t="s">
        <v>240</v>
      </c>
      <c r="C687" s="19" t="s">
        <v>241</v>
      </c>
      <c r="D687" s="18" t="s">
        <v>2035</v>
      </c>
      <c r="E687" s="19" t="s">
        <v>2036</v>
      </c>
      <c r="F687" s="18" t="s">
        <v>244</v>
      </c>
      <c r="G687" s="18" t="s">
        <v>245</v>
      </c>
      <c r="H687" s="19" t="s">
        <v>175</v>
      </c>
      <c r="I687" s="18" t="s">
        <v>246</v>
      </c>
      <c r="J687" s="19" t="s">
        <v>247</v>
      </c>
      <c r="K687" s="19" t="s">
        <v>248</v>
      </c>
      <c r="L687" s="18" t="s">
        <v>164</v>
      </c>
      <c r="M687" s="18" t="s">
        <v>1556</v>
      </c>
      <c r="N687" s="18" t="s">
        <v>250</v>
      </c>
      <c r="O687" s="20">
        <v>119000</v>
      </c>
      <c r="P687" s="20">
        <v>80920</v>
      </c>
      <c r="Q687" s="20">
        <v>1</v>
      </c>
      <c r="R687" s="20">
        <v>0</v>
      </c>
      <c r="S687" s="20">
        <v>0</v>
      </c>
      <c r="T687" s="20">
        <v>0</v>
      </c>
      <c r="U687" s="20">
        <v>0</v>
      </c>
      <c r="V687" s="20">
        <v>0</v>
      </c>
      <c r="W687" s="20">
        <v>32</v>
      </c>
      <c r="X687" s="20">
        <v>0</v>
      </c>
      <c r="Y687" s="20">
        <v>0</v>
      </c>
      <c r="Z687" s="20">
        <v>0</v>
      </c>
      <c r="AA687" s="20">
        <v>0</v>
      </c>
      <c r="AB687" s="20">
        <v>5950</v>
      </c>
      <c r="AC687" s="20">
        <v>119000</v>
      </c>
      <c r="AD687" s="20">
        <v>80920</v>
      </c>
      <c r="AE687" s="20">
        <v>0</v>
      </c>
      <c r="AF687" s="20">
        <v>5950</v>
      </c>
      <c r="AG687" s="20">
        <v>113050</v>
      </c>
      <c r="AH687" s="20">
        <v>80920</v>
      </c>
      <c r="AI687" s="20">
        <v>29209</v>
      </c>
      <c r="AJ687" s="20">
        <v>2921</v>
      </c>
      <c r="AK687" s="20">
        <v>32130</v>
      </c>
    </row>
    <row r="688" spans="1:37" ht="24" customHeight="1" x14ac:dyDescent="0.3">
      <c r="A688" s="18" t="s">
        <v>2037</v>
      </c>
      <c r="B688" s="18" t="s">
        <v>240</v>
      </c>
      <c r="C688" s="19" t="s">
        <v>241</v>
      </c>
      <c r="D688" s="18" t="s">
        <v>2038</v>
      </c>
      <c r="E688" s="19" t="s">
        <v>2039</v>
      </c>
      <c r="F688" s="18" t="s">
        <v>244</v>
      </c>
      <c r="G688" s="18" t="s">
        <v>245</v>
      </c>
      <c r="H688" s="19" t="s">
        <v>175</v>
      </c>
      <c r="I688" s="18" t="s">
        <v>246</v>
      </c>
      <c r="J688" s="19" t="s">
        <v>247</v>
      </c>
      <c r="K688" s="19" t="s">
        <v>248</v>
      </c>
      <c r="L688" s="18" t="s">
        <v>164</v>
      </c>
      <c r="M688" s="18" t="s">
        <v>1556</v>
      </c>
      <c r="N688" s="18" t="s">
        <v>250</v>
      </c>
      <c r="O688" s="20">
        <v>119000</v>
      </c>
      <c r="P688" s="20">
        <v>80920</v>
      </c>
      <c r="Q688" s="20">
        <v>1</v>
      </c>
      <c r="R688" s="20">
        <v>0</v>
      </c>
      <c r="S688" s="20">
        <v>0</v>
      </c>
      <c r="T688" s="20">
        <v>0</v>
      </c>
      <c r="U688" s="20">
        <v>0</v>
      </c>
      <c r="V688" s="20">
        <v>0</v>
      </c>
      <c r="W688" s="20">
        <v>32</v>
      </c>
      <c r="X688" s="20">
        <v>0</v>
      </c>
      <c r="Y688" s="20">
        <v>0</v>
      </c>
      <c r="Z688" s="20">
        <v>0</v>
      </c>
      <c r="AA688" s="20">
        <v>0</v>
      </c>
      <c r="AB688" s="20">
        <v>0</v>
      </c>
      <c r="AC688" s="20">
        <v>119000</v>
      </c>
      <c r="AD688" s="20">
        <v>80920</v>
      </c>
      <c r="AE688" s="20">
        <v>0</v>
      </c>
      <c r="AF688" s="20">
        <v>0</v>
      </c>
      <c r="AG688" s="20">
        <v>119000</v>
      </c>
      <c r="AH688" s="20">
        <v>80920</v>
      </c>
      <c r="AI688" s="20">
        <v>34618</v>
      </c>
      <c r="AJ688" s="20">
        <v>3462</v>
      </c>
      <c r="AK688" s="20">
        <v>38080</v>
      </c>
    </row>
    <row r="689" spans="1:37" ht="24" customHeight="1" x14ac:dyDescent="0.3">
      <c r="A689" s="18" t="s">
        <v>2040</v>
      </c>
      <c r="B689" s="18" t="s">
        <v>240</v>
      </c>
      <c r="C689" s="19" t="s">
        <v>241</v>
      </c>
      <c r="D689" s="18" t="s">
        <v>2041</v>
      </c>
      <c r="E689" s="19" t="s">
        <v>473</v>
      </c>
      <c r="F689" s="18" t="s">
        <v>244</v>
      </c>
      <c r="G689" s="18" t="s">
        <v>245</v>
      </c>
      <c r="H689" s="19" t="s">
        <v>175</v>
      </c>
      <c r="I689" s="18" t="s">
        <v>246</v>
      </c>
      <c r="J689" s="19" t="s">
        <v>247</v>
      </c>
      <c r="K689" s="19" t="s">
        <v>248</v>
      </c>
      <c r="L689" s="18" t="s">
        <v>164</v>
      </c>
      <c r="M689" s="18" t="s">
        <v>1556</v>
      </c>
      <c r="N689" s="18" t="s">
        <v>250</v>
      </c>
      <c r="O689" s="20">
        <v>119000</v>
      </c>
      <c r="P689" s="20">
        <v>80920</v>
      </c>
      <c r="Q689" s="20">
        <v>1</v>
      </c>
      <c r="R689" s="20">
        <v>0</v>
      </c>
      <c r="S689" s="20">
        <v>0</v>
      </c>
      <c r="T689" s="20">
        <v>0</v>
      </c>
      <c r="U689" s="20">
        <v>0</v>
      </c>
      <c r="V689" s="20">
        <v>0</v>
      </c>
      <c r="W689" s="20">
        <v>32</v>
      </c>
      <c r="X689" s="20">
        <v>0</v>
      </c>
      <c r="Y689" s="20">
        <v>0</v>
      </c>
      <c r="Z689" s="20">
        <v>0</v>
      </c>
      <c r="AA689" s="20">
        <v>0</v>
      </c>
      <c r="AB689" s="20">
        <v>0</v>
      </c>
      <c r="AC689" s="20">
        <v>119000</v>
      </c>
      <c r="AD689" s="20">
        <v>80920</v>
      </c>
      <c r="AE689" s="20">
        <v>0</v>
      </c>
      <c r="AF689" s="20">
        <v>0</v>
      </c>
      <c r="AG689" s="20">
        <v>119000</v>
      </c>
      <c r="AH689" s="20">
        <v>80920</v>
      </c>
      <c r="AI689" s="20">
        <v>34618</v>
      </c>
      <c r="AJ689" s="20">
        <v>3462</v>
      </c>
      <c r="AK689" s="20">
        <v>38080</v>
      </c>
    </row>
    <row r="690" spans="1:37" ht="24" customHeight="1" x14ac:dyDescent="0.3">
      <c r="A690" s="18" t="s">
        <v>2042</v>
      </c>
      <c r="B690" s="18" t="s">
        <v>240</v>
      </c>
      <c r="C690" s="19" t="s">
        <v>241</v>
      </c>
      <c r="D690" s="18" t="s">
        <v>2043</v>
      </c>
      <c r="E690" s="19" t="s">
        <v>2044</v>
      </c>
      <c r="F690" s="18" t="s">
        <v>244</v>
      </c>
      <c r="G690" s="18" t="s">
        <v>245</v>
      </c>
      <c r="H690" s="19" t="s">
        <v>175</v>
      </c>
      <c r="I690" s="18" t="s">
        <v>246</v>
      </c>
      <c r="J690" s="19" t="s">
        <v>247</v>
      </c>
      <c r="K690" s="19" t="s">
        <v>248</v>
      </c>
      <c r="L690" s="18" t="s">
        <v>164</v>
      </c>
      <c r="M690" s="18" t="s">
        <v>1556</v>
      </c>
      <c r="N690" s="18" t="s">
        <v>250</v>
      </c>
      <c r="O690" s="20">
        <v>119000</v>
      </c>
      <c r="P690" s="20">
        <v>80920</v>
      </c>
      <c r="Q690" s="20">
        <v>1</v>
      </c>
      <c r="R690" s="20">
        <v>0</v>
      </c>
      <c r="S690" s="20">
        <v>0</v>
      </c>
      <c r="T690" s="20">
        <v>0</v>
      </c>
      <c r="U690" s="20">
        <v>0</v>
      </c>
      <c r="V690" s="20">
        <v>0</v>
      </c>
      <c r="W690" s="20">
        <v>32</v>
      </c>
      <c r="X690" s="20">
        <v>0</v>
      </c>
      <c r="Y690" s="20">
        <v>0</v>
      </c>
      <c r="Z690" s="20">
        <v>0</v>
      </c>
      <c r="AA690" s="20">
        <v>0</v>
      </c>
      <c r="AB690" s="20">
        <v>5950</v>
      </c>
      <c r="AC690" s="20">
        <v>119000</v>
      </c>
      <c r="AD690" s="20">
        <v>80920</v>
      </c>
      <c r="AE690" s="20">
        <v>0</v>
      </c>
      <c r="AF690" s="20">
        <v>5950</v>
      </c>
      <c r="AG690" s="20">
        <v>113050</v>
      </c>
      <c r="AH690" s="20">
        <v>80920</v>
      </c>
      <c r="AI690" s="20">
        <v>29209</v>
      </c>
      <c r="AJ690" s="20">
        <v>2921</v>
      </c>
      <c r="AK690" s="20">
        <v>32130</v>
      </c>
    </row>
    <row r="691" spans="1:37" ht="24" customHeight="1" x14ac:dyDescent="0.3">
      <c r="A691" s="18" t="s">
        <v>2045</v>
      </c>
      <c r="B691" s="18" t="s">
        <v>240</v>
      </c>
      <c r="C691" s="19" t="s">
        <v>241</v>
      </c>
      <c r="D691" s="18" t="s">
        <v>2046</v>
      </c>
      <c r="E691" s="19" t="s">
        <v>2047</v>
      </c>
      <c r="F691" s="18" t="s">
        <v>244</v>
      </c>
      <c r="G691" s="18" t="s">
        <v>245</v>
      </c>
      <c r="H691" s="19" t="s">
        <v>175</v>
      </c>
      <c r="I691" s="18" t="s">
        <v>246</v>
      </c>
      <c r="J691" s="19" t="s">
        <v>247</v>
      </c>
      <c r="K691" s="19"/>
      <c r="L691" s="18" t="s">
        <v>164</v>
      </c>
      <c r="M691" s="18" t="s">
        <v>1556</v>
      </c>
      <c r="N691" s="18" t="s">
        <v>250</v>
      </c>
      <c r="O691" s="20">
        <v>119000</v>
      </c>
      <c r="P691" s="20">
        <v>80920</v>
      </c>
      <c r="Q691" s="20">
        <v>1</v>
      </c>
      <c r="R691" s="20">
        <v>0</v>
      </c>
      <c r="S691" s="20">
        <v>0</v>
      </c>
      <c r="T691" s="20">
        <v>0</v>
      </c>
      <c r="U691" s="20">
        <v>0</v>
      </c>
      <c r="V691" s="20">
        <v>0</v>
      </c>
      <c r="W691" s="20">
        <v>32</v>
      </c>
      <c r="X691" s="20">
        <v>0</v>
      </c>
      <c r="Y691" s="20">
        <v>5950</v>
      </c>
      <c r="Z691" s="20">
        <v>0</v>
      </c>
      <c r="AA691" s="20">
        <v>0</v>
      </c>
      <c r="AB691" s="20">
        <v>0</v>
      </c>
      <c r="AC691" s="20">
        <v>119000</v>
      </c>
      <c r="AD691" s="20">
        <v>80920</v>
      </c>
      <c r="AE691" s="20">
        <v>0</v>
      </c>
      <c r="AF691" s="20">
        <v>5950</v>
      </c>
      <c r="AG691" s="20">
        <v>113050</v>
      </c>
      <c r="AH691" s="20">
        <v>80920</v>
      </c>
      <c r="AI691" s="20">
        <v>29209</v>
      </c>
      <c r="AJ691" s="20">
        <v>2921</v>
      </c>
      <c r="AK691" s="20">
        <v>32130</v>
      </c>
    </row>
    <row r="692" spans="1:37" ht="24" customHeight="1" x14ac:dyDescent="0.3">
      <c r="A692" s="18" t="s">
        <v>2048</v>
      </c>
      <c r="B692" s="18" t="s">
        <v>240</v>
      </c>
      <c r="C692" s="19" t="s">
        <v>241</v>
      </c>
      <c r="D692" s="18" t="s">
        <v>2049</v>
      </c>
      <c r="E692" s="19" t="s">
        <v>2050</v>
      </c>
      <c r="F692" s="18" t="s">
        <v>244</v>
      </c>
      <c r="G692" s="18" t="s">
        <v>245</v>
      </c>
      <c r="H692" s="19" t="s">
        <v>175</v>
      </c>
      <c r="I692" s="18" t="s">
        <v>246</v>
      </c>
      <c r="J692" s="19" t="s">
        <v>247</v>
      </c>
      <c r="K692" s="19"/>
      <c r="L692" s="18" t="s">
        <v>164</v>
      </c>
      <c r="M692" s="18" t="s">
        <v>1556</v>
      </c>
      <c r="N692" s="18" t="s">
        <v>250</v>
      </c>
      <c r="O692" s="20">
        <v>119000</v>
      </c>
      <c r="P692" s="20">
        <v>80920</v>
      </c>
      <c r="Q692" s="20">
        <v>1</v>
      </c>
      <c r="R692" s="20">
        <v>0</v>
      </c>
      <c r="S692" s="20">
        <v>0</v>
      </c>
      <c r="T692" s="20">
        <v>0</v>
      </c>
      <c r="U692" s="20">
        <v>0</v>
      </c>
      <c r="V692" s="20">
        <v>0</v>
      </c>
      <c r="W692" s="20">
        <v>32</v>
      </c>
      <c r="X692" s="20">
        <v>0</v>
      </c>
      <c r="Y692" s="20">
        <v>5950</v>
      </c>
      <c r="Z692" s="20">
        <v>0</v>
      </c>
      <c r="AA692" s="20">
        <v>0</v>
      </c>
      <c r="AB692" s="20">
        <v>0</v>
      </c>
      <c r="AC692" s="20">
        <v>119000</v>
      </c>
      <c r="AD692" s="20">
        <v>80920</v>
      </c>
      <c r="AE692" s="20">
        <v>0</v>
      </c>
      <c r="AF692" s="20">
        <v>5950</v>
      </c>
      <c r="AG692" s="20">
        <v>113050</v>
      </c>
      <c r="AH692" s="20">
        <v>80920</v>
      </c>
      <c r="AI692" s="20">
        <v>29209</v>
      </c>
      <c r="AJ692" s="20">
        <v>2921</v>
      </c>
      <c r="AK692" s="20">
        <v>32130</v>
      </c>
    </row>
    <row r="693" spans="1:37" ht="24" customHeight="1" x14ac:dyDescent="0.3">
      <c r="A693" s="18" t="s">
        <v>2051</v>
      </c>
      <c r="B693" s="18" t="s">
        <v>240</v>
      </c>
      <c r="C693" s="19" t="s">
        <v>241</v>
      </c>
      <c r="D693" s="18" t="s">
        <v>2052</v>
      </c>
      <c r="E693" s="19" t="s">
        <v>2053</v>
      </c>
      <c r="F693" s="18" t="s">
        <v>244</v>
      </c>
      <c r="G693" s="18" t="s">
        <v>245</v>
      </c>
      <c r="H693" s="19" t="s">
        <v>175</v>
      </c>
      <c r="I693" s="18" t="s">
        <v>246</v>
      </c>
      <c r="J693" s="19" t="s">
        <v>247</v>
      </c>
      <c r="K693" s="19" t="s">
        <v>248</v>
      </c>
      <c r="L693" s="18" t="s">
        <v>164</v>
      </c>
      <c r="M693" s="18" t="s">
        <v>1556</v>
      </c>
      <c r="N693" s="18" t="s">
        <v>250</v>
      </c>
      <c r="O693" s="20">
        <v>119000</v>
      </c>
      <c r="P693" s="20">
        <v>80920</v>
      </c>
      <c r="Q693" s="20">
        <v>1</v>
      </c>
      <c r="R693" s="20">
        <v>0</v>
      </c>
      <c r="S693" s="20">
        <v>0</v>
      </c>
      <c r="T693" s="20">
        <v>0</v>
      </c>
      <c r="U693" s="20">
        <v>0</v>
      </c>
      <c r="V693" s="20">
        <v>0</v>
      </c>
      <c r="W693" s="20">
        <v>32</v>
      </c>
      <c r="X693" s="20">
        <v>0</v>
      </c>
      <c r="Y693" s="20">
        <v>0</v>
      </c>
      <c r="Z693" s="20">
        <v>0</v>
      </c>
      <c r="AA693" s="20">
        <v>0</v>
      </c>
      <c r="AB693" s="20">
        <v>0</v>
      </c>
      <c r="AC693" s="20">
        <v>119000</v>
      </c>
      <c r="AD693" s="20">
        <v>80920</v>
      </c>
      <c r="AE693" s="20">
        <v>0</v>
      </c>
      <c r="AF693" s="20">
        <v>0</v>
      </c>
      <c r="AG693" s="20">
        <v>119000</v>
      </c>
      <c r="AH693" s="20">
        <v>80920</v>
      </c>
      <c r="AI693" s="20">
        <v>34618</v>
      </c>
      <c r="AJ693" s="20">
        <v>3462</v>
      </c>
      <c r="AK693" s="20">
        <v>38080</v>
      </c>
    </row>
    <row r="694" spans="1:37" ht="24" customHeight="1" x14ac:dyDescent="0.3">
      <c r="A694" s="18" t="s">
        <v>2054</v>
      </c>
      <c r="B694" s="18" t="s">
        <v>240</v>
      </c>
      <c r="C694" s="19" t="s">
        <v>241</v>
      </c>
      <c r="D694" s="18" t="s">
        <v>2055</v>
      </c>
      <c r="E694" s="19" t="s">
        <v>2056</v>
      </c>
      <c r="F694" s="18" t="s">
        <v>244</v>
      </c>
      <c r="G694" s="18" t="s">
        <v>245</v>
      </c>
      <c r="H694" s="19" t="s">
        <v>175</v>
      </c>
      <c r="I694" s="18" t="s">
        <v>246</v>
      </c>
      <c r="J694" s="19" t="s">
        <v>247</v>
      </c>
      <c r="K694" s="19" t="s">
        <v>248</v>
      </c>
      <c r="L694" s="18" t="s">
        <v>164</v>
      </c>
      <c r="M694" s="18" t="s">
        <v>1556</v>
      </c>
      <c r="N694" s="18" t="s">
        <v>250</v>
      </c>
      <c r="O694" s="20">
        <v>119000</v>
      </c>
      <c r="P694" s="20">
        <v>80920</v>
      </c>
      <c r="Q694" s="20">
        <v>1</v>
      </c>
      <c r="R694" s="20">
        <v>0</v>
      </c>
      <c r="S694" s="20">
        <v>0</v>
      </c>
      <c r="T694" s="20">
        <v>0</v>
      </c>
      <c r="U694" s="20">
        <v>0</v>
      </c>
      <c r="V694" s="20">
        <v>0</v>
      </c>
      <c r="W694" s="20">
        <v>32</v>
      </c>
      <c r="X694" s="20">
        <v>0</v>
      </c>
      <c r="Y694" s="20">
        <v>0</v>
      </c>
      <c r="Z694" s="20">
        <v>0</v>
      </c>
      <c r="AA694" s="20">
        <v>0</v>
      </c>
      <c r="AB694" s="20">
        <v>0</v>
      </c>
      <c r="AC694" s="20">
        <v>119000</v>
      </c>
      <c r="AD694" s="20">
        <v>80920</v>
      </c>
      <c r="AE694" s="20">
        <v>0</v>
      </c>
      <c r="AF694" s="20">
        <v>0</v>
      </c>
      <c r="AG694" s="20">
        <v>119000</v>
      </c>
      <c r="AH694" s="20">
        <v>80920</v>
      </c>
      <c r="AI694" s="20">
        <v>34618</v>
      </c>
      <c r="AJ694" s="20">
        <v>3462</v>
      </c>
      <c r="AK694" s="20">
        <v>38080</v>
      </c>
    </row>
    <row r="695" spans="1:37" ht="24" customHeight="1" x14ac:dyDescent="0.3">
      <c r="A695" s="18" t="s">
        <v>2057</v>
      </c>
      <c r="B695" s="18" t="s">
        <v>240</v>
      </c>
      <c r="C695" s="19" t="s">
        <v>241</v>
      </c>
      <c r="D695" s="18" t="s">
        <v>2058</v>
      </c>
      <c r="E695" s="19" t="s">
        <v>349</v>
      </c>
      <c r="F695" s="18" t="s">
        <v>244</v>
      </c>
      <c r="G695" s="18" t="s">
        <v>245</v>
      </c>
      <c r="H695" s="19" t="s">
        <v>175</v>
      </c>
      <c r="I695" s="18" t="s">
        <v>246</v>
      </c>
      <c r="J695" s="19" t="s">
        <v>247</v>
      </c>
      <c r="K695" s="19" t="s">
        <v>248</v>
      </c>
      <c r="L695" s="18" t="s">
        <v>164</v>
      </c>
      <c r="M695" s="18" t="s">
        <v>1556</v>
      </c>
      <c r="N695" s="18" t="s">
        <v>250</v>
      </c>
      <c r="O695" s="20">
        <v>119000</v>
      </c>
      <c r="P695" s="20">
        <v>80920</v>
      </c>
      <c r="Q695" s="20">
        <v>1</v>
      </c>
      <c r="R695" s="20">
        <v>0</v>
      </c>
      <c r="S695" s="20">
        <v>0</v>
      </c>
      <c r="T695" s="20">
        <v>0</v>
      </c>
      <c r="U695" s="20">
        <v>0</v>
      </c>
      <c r="V695" s="20">
        <v>0</v>
      </c>
      <c r="W695" s="20">
        <v>32</v>
      </c>
      <c r="X695" s="20">
        <v>0</v>
      </c>
      <c r="Y695" s="20">
        <v>0</v>
      </c>
      <c r="Z695" s="20">
        <v>0</v>
      </c>
      <c r="AA695" s="20">
        <v>0</v>
      </c>
      <c r="AB695" s="20">
        <v>0</v>
      </c>
      <c r="AC695" s="20">
        <v>119000</v>
      </c>
      <c r="AD695" s="20">
        <v>80920</v>
      </c>
      <c r="AE695" s="20">
        <v>0</v>
      </c>
      <c r="AF695" s="20">
        <v>0</v>
      </c>
      <c r="AG695" s="20">
        <v>119000</v>
      </c>
      <c r="AH695" s="20">
        <v>80920</v>
      </c>
      <c r="AI695" s="20">
        <v>34618</v>
      </c>
      <c r="AJ695" s="20">
        <v>3462</v>
      </c>
      <c r="AK695" s="20">
        <v>38080</v>
      </c>
    </row>
    <row r="696" spans="1:37" ht="24" customHeight="1" x14ac:dyDescent="0.3">
      <c r="A696" s="18" t="s">
        <v>2059</v>
      </c>
      <c r="B696" s="18" t="s">
        <v>240</v>
      </c>
      <c r="C696" s="19" t="s">
        <v>241</v>
      </c>
      <c r="D696" s="18" t="s">
        <v>2060</v>
      </c>
      <c r="E696" s="19" t="s">
        <v>2061</v>
      </c>
      <c r="F696" s="18" t="s">
        <v>244</v>
      </c>
      <c r="G696" s="18" t="s">
        <v>245</v>
      </c>
      <c r="H696" s="19" t="s">
        <v>175</v>
      </c>
      <c r="I696" s="18" t="s">
        <v>246</v>
      </c>
      <c r="J696" s="19" t="s">
        <v>247</v>
      </c>
      <c r="K696" s="19" t="s">
        <v>248</v>
      </c>
      <c r="L696" s="18" t="s">
        <v>164</v>
      </c>
      <c r="M696" s="18" t="s">
        <v>1556</v>
      </c>
      <c r="N696" s="18" t="s">
        <v>250</v>
      </c>
      <c r="O696" s="20">
        <v>119000</v>
      </c>
      <c r="P696" s="20">
        <v>80920</v>
      </c>
      <c r="Q696" s="20">
        <v>1</v>
      </c>
      <c r="R696" s="20">
        <v>0</v>
      </c>
      <c r="S696" s="20">
        <v>0</v>
      </c>
      <c r="T696" s="20">
        <v>0</v>
      </c>
      <c r="U696" s="20">
        <v>0</v>
      </c>
      <c r="V696" s="20">
        <v>0</v>
      </c>
      <c r="W696" s="20">
        <v>32</v>
      </c>
      <c r="X696" s="20">
        <v>0</v>
      </c>
      <c r="Y696" s="20">
        <v>0</v>
      </c>
      <c r="Z696" s="20">
        <v>0</v>
      </c>
      <c r="AA696" s="20">
        <v>0</v>
      </c>
      <c r="AB696" s="20">
        <v>0</v>
      </c>
      <c r="AC696" s="20">
        <v>119000</v>
      </c>
      <c r="AD696" s="20">
        <v>80920</v>
      </c>
      <c r="AE696" s="20">
        <v>0</v>
      </c>
      <c r="AF696" s="20">
        <v>0</v>
      </c>
      <c r="AG696" s="20">
        <v>119000</v>
      </c>
      <c r="AH696" s="20">
        <v>80920</v>
      </c>
      <c r="AI696" s="20">
        <v>34618</v>
      </c>
      <c r="AJ696" s="20">
        <v>3462</v>
      </c>
      <c r="AK696" s="20">
        <v>38080</v>
      </c>
    </row>
    <row r="697" spans="1:37" ht="24" customHeight="1" x14ac:dyDescent="0.3">
      <c r="A697" s="18" t="s">
        <v>2062</v>
      </c>
      <c r="B697" s="18" t="s">
        <v>240</v>
      </c>
      <c r="C697" s="19" t="s">
        <v>241</v>
      </c>
      <c r="D697" s="18" t="s">
        <v>2063</v>
      </c>
      <c r="E697" s="19" t="s">
        <v>2061</v>
      </c>
      <c r="F697" s="18" t="s">
        <v>244</v>
      </c>
      <c r="G697" s="18" t="s">
        <v>245</v>
      </c>
      <c r="H697" s="19" t="s">
        <v>175</v>
      </c>
      <c r="I697" s="18" t="s">
        <v>246</v>
      </c>
      <c r="J697" s="19" t="s">
        <v>247</v>
      </c>
      <c r="K697" s="19" t="s">
        <v>248</v>
      </c>
      <c r="L697" s="18" t="s">
        <v>164</v>
      </c>
      <c r="M697" s="18" t="s">
        <v>1556</v>
      </c>
      <c r="N697" s="18" t="s">
        <v>250</v>
      </c>
      <c r="O697" s="20">
        <v>119000</v>
      </c>
      <c r="P697" s="20">
        <v>80920</v>
      </c>
      <c r="Q697" s="20">
        <v>1</v>
      </c>
      <c r="R697" s="20">
        <v>0</v>
      </c>
      <c r="S697" s="20">
        <v>0</v>
      </c>
      <c r="T697" s="20">
        <v>0</v>
      </c>
      <c r="U697" s="20">
        <v>0</v>
      </c>
      <c r="V697" s="20">
        <v>0</v>
      </c>
      <c r="W697" s="20">
        <v>32</v>
      </c>
      <c r="X697" s="20">
        <v>0</v>
      </c>
      <c r="Y697" s="20">
        <v>0</v>
      </c>
      <c r="Z697" s="20">
        <v>0</v>
      </c>
      <c r="AA697" s="20">
        <v>0</v>
      </c>
      <c r="AB697" s="20">
        <v>0</v>
      </c>
      <c r="AC697" s="20">
        <v>119000</v>
      </c>
      <c r="AD697" s="20">
        <v>80920</v>
      </c>
      <c r="AE697" s="20">
        <v>0</v>
      </c>
      <c r="AF697" s="20">
        <v>0</v>
      </c>
      <c r="AG697" s="20">
        <v>119000</v>
      </c>
      <c r="AH697" s="20">
        <v>80920</v>
      </c>
      <c r="AI697" s="20">
        <v>34618</v>
      </c>
      <c r="AJ697" s="20">
        <v>3462</v>
      </c>
      <c r="AK697" s="20">
        <v>38080</v>
      </c>
    </row>
    <row r="698" spans="1:37" ht="24" customHeight="1" x14ac:dyDescent="0.3">
      <c r="A698" s="18" t="s">
        <v>2064</v>
      </c>
      <c r="B698" s="18" t="s">
        <v>240</v>
      </c>
      <c r="C698" s="19" t="s">
        <v>241</v>
      </c>
      <c r="D698" s="18" t="s">
        <v>2065</v>
      </c>
      <c r="E698" s="19" t="s">
        <v>1123</v>
      </c>
      <c r="F698" s="18" t="s">
        <v>244</v>
      </c>
      <c r="G698" s="18" t="s">
        <v>245</v>
      </c>
      <c r="H698" s="19" t="s">
        <v>175</v>
      </c>
      <c r="I698" s="18" t="s">
        <v>246</v>
      </c>
      <c r="J698" s="19" t="s">
        <v>247</v>
      </c>
      <c r="K698" s="19" t="s">
        <v>248</v>
      </c>
      <c r="L698" s="18" t="s">
        <v>164</v>
      </c>
      <c r="M698" s="18" t="s">
        <v>1556</v>
      </c>
      <c r="N698" s="18" t="s">
        <v>250</v>
      </c>
      <c r="O698" s="20">
        <v>119000</v>
      </c>
      <c r="P698" s="20">
        <v>80920</v>
      </c>
      <c r="Q698" s="20">
        <v>1</v>
      </c>
      <c r="R698" s="20">
        <v>0</v>
      </c>
      <c r="S698" s="20">
        <v>0</v>
      </c>
      <c r="T698" s="20">
        <v>0</v>
      </c>
      <c r="U698" s="20">
        <v>0</v>
      </c>
      <c r="V698" s="20">
        <v>0</v>
      </c>
      <c r="W698" s="20">
        <v>32</v>
      </c>
      <c r="X698" s="20">
        <v>0</v>
      </c>
      <c r="Y698" s="20">
        <v>0</v>
      </c>
      <c r="Z698" s="20">
        <v>0</v>
      </c>
      <c r="AA698" s="20">
        <v>0</v>
      </c>
      <c r="AB698" s="20">
        <v>0</v>
      </c>
      <c r="AC698" s="20">
        <v>119000</v>
      </c>
      <c r="AD698" s="20">
        <v>80920</v>
      </c>
      <c r="AE698" s="20">
        <v>0</v>
      </c>
      <c r="AF698" s="20">
        <v>0</v>
      </c>
      <c r="AG698" s="20">
        <v>119000</v>
      </c>
      <c r="AH698" s="20">
        <v>80920</v>
      </c>
      <c r="AI698" s="20">
        <v>34618</v>
      </c>
      <c r="AJ698" s="20">
        <v>3462</v>
      </c>
      <c r="AK698" s="20">
        <v>38080</v>
      </c>
    </row>
    <row r="699" spans="1:37" ht="24" customHeight="1" x14ac:dyDescent="0.3">
      <c r="A699" s="18" t="s">
        <v>2066</v>
      </c>
      <c r="B699" s="18" t="s">
        <v>240</v>
      </c>
      <c r="C699" s="19" t="s">
        <v>241</v>
      </c>
      <c r="D699" s="18" t="s">
        <v>2067</v>
      </c>
      <c r="E699" s="19" t="s">
        <v>599</v>
      </c>
      <c r="F699" s="18" t="s">
        <v>244</v>
      </c>
      <c r="G699" s="18" t="s">
        <v>245</v>
      </c>
      <c r="H699" s="19" t="s">
        <v>175</v>
      </c>
      <c r="I699" s="18" t="s">
        <v>246</v>
      </c>
      <c r="J699" s="19" t="s">
        <v>247</v>
      </c>
      <c r="K699" s="19" t="s">
        <v>248</v>
      </c>
      <c r="L699" s="18" t="s">
        <v>164</v>
      </c>
      <c r="M699" s="18" t="s">
        <v>1556</v>
      </c>
      <c r="N699" s="18" t="s">
        <v>250</v>
      </c>
      <c r="O699" s="20">
        <v>119000</v>
      </c>
      <c r="P699" s="20">
        <v>80920</v>
      </c>
      <c r="Q699" s="20">
        <v>1</v>
      </c>
      <c r="R699" s="20">
        <v>0</v>
      </c>
      <c r="S699" s="20">
        <v>0</v>
      </c>
      <c r="T699" s="20">
        <v>0</v>
      </c>
      <c r="U699" s="20">
        <v>0</v>
      </c>
      <c r="V699" s="20">
        <v>0</v>
      </c>
      <c r="W699" s="20">
        <v>32</v>
      </c>
      <c r="X699" s="20">
        <v>0</v>
      </c>
      <c r="Y699" s="20">
        <v>0</v>
      </c>
      <c r="Z699" s="20">
        <v>0</v>
      </c>
      <c r="AA699" s="20">
        <v>0</v>
      </c>
      <c r="AB699" s="20">
        <v>0</v>
      </c>
      <c r="AC699" s="20">
        <v>119000</v>
      </c>
      <c r="AD699" s="20">
        <v>80920</v>
      </c>
      <c r="AE699" s="20">
        <v>0</v>
      </c>
      <c r="AF699" s="20">
        <v>0</v>
      </c>
      <c r="AG699" s="20">
        <v>119000</v>
      </c>
      <c r="AH699" s="20">
        <v>80920</v>
      </c>
      <c r="AI699" s="20">
        <v>34618</v>
      </c>
      <c r="AJ699" s="20">
        <v>3462</v>
      </c>
      <c r="AK699" s="20">
        <v>38080</v>
      </c>
    </row>
    <row r="700" spans="1:37" ht="24" customHeight="1" x14ac:dyDescent="0.3">
      <c r="A700" s="18" t="s">
        <v>2068</v>
      </c>
      <c r="B700" s="18" t="s">
        <v>240</v>
      </c>
      <c r="C700" s="19" t="s">
        <v>241</v>
      </c>
      <c r="D700" s="18" t="s">
        <v>2069</v>
      </c>
      <c r="E700" s="19" t="s">
        <v>506</v>
      </c>
      <c r="F700" s="18" t="s">
        <v>244</v>
      </c>
      <c r="G700" s="18" t="s">
        <v>245</v>
      </c>
      <c r="H700" s="19" t="s">
        <v>175</v>
      </c>
      <c r="I700" s="18" t="s">
        <v>246</v>
      </c>
      <c r="J700" s="19" t="s">
        <v>247</v>
      </c>
      <c r="K700" s="19" t="s">
        <v>248</v>
      </c>
      <c r="L700" s="18" t="s">
        <v>164</v>
      </c>
      <c r="M700" s="18" t="s">
        <v>1556</v>
      </c>
      <c r="N700" s="18" t="s">
        <v>250</v>
      </c>
      <c r="O700" s="20">
        <v>119000</v>
      </c>
      <c r="P700" s="20">
        <v>80920</v>
      </c>
      <c r="Q700" s="20">
        <v>1</v>
      </c>
      <c r="R700" s="20">
        <v>0</v>
      </c>
      <c r="S700" s="20">
        <v>0</v>
      </c>
      <c r="T700" s="20">
        <v>0</v>
      </c>
      <c r="U700" s="20">
        <v>0</v>
      </c>
      <c r="V700" s="20">
        <v>0</v>
      </c>
      <c r="W700" s="20">
        <v>32</v>
      </c>
      <c r="X700" s="20">
        <v>0</v>
      </c>
      <c r="Y700" s="20">
        <v>0</v>
      </c>
      <c r="Z700" s="20">
        <v>0</v>
      </c>
      <c r="AA700" s="20">
        <v>0</v>
      </c>
      <c r="AB700" s="20">
        <v>0</v>
      </c>
      <c r="AC700" s="20">
        <v>119000</v>
      </c>
      <c r="AD700" s="20">
        <v>80920</v>
      </c>
      <c r="AE700" s="20">
        <v>0</v>
      </c>
      <c r="AF700" s="20">
        <v>0</v>
      </c>
      <c r="AG700" s="20">
        <v>119000</v>
      </c>
      <c r="AH700" s="20">
        <v>80920</v>
      </c>
      <c r="AI700" s="20">
        <v>34618</v>
      </c>
      <c r="AJ700" s="20">
        <v>3462</v>
      </c>
      <c r="AK700" s="20">
        <v>38080</v>
      </c>
    </row>
    <row r="701" spans="1:37" ht="24" customHeight="1" x14ac:dyDescent="0.3">
      <c r="A701" s="18" t="s">
        <v>2070</v>
      </c>
      <c r="B701" s="18" t="s">
        <v>240</v>
      </c>
      <c r="C701" s="19" t="s">
        <v>241</v>
      </c>
      <c r="D701" s="18" t="s">
        <v>2071</v>
      </c>
      <c r="E701" s="19" t="s">
        <v>907</v>
      </c>
      <c r="F701" s="18" t="s">
        <v>244</v>
      </c>
      <c r="G701" s="18" t="s">
        <v>245</v>
      </c>
      <c r="H701" s="19" t="s">
        <v>175</v>
      </c>
      <c r="I701" s="18" t="s">
        <v>246</v>
      </c>
      <c r="J701" s="19" t="s">
        <v>247</v>
      </c>
      <c r="K701" s="19" t="s">
        <v>248</v>
      </c>
      <c r="L701" s="18" t="s">
        <v>164</v>
      </c>
      <c r="M701" s="18" t="s">
        <v>1556</v>
      </c>
      <c r="N701" s="18" t="s">
        <v>250</v>
      </c>
      <c r="O701" s="20">
        <v>119000</v>
      </c>
      <c r="P701" s="20">
        <v>80920</v>
      </c>
      <c r="Q701" s="20">
        <v>1</v>
      </c>
      <c r="R701" s="20">
        <v>0</v>
      </c>
      <c r="S701" s="20">
        <v>0</v>
      </c>
      <c r="T701" s="20">
        <v>0</v>
      </c>
      <c r="U701" s="20">
        <v>0</v>
      </c>
      <c r="V701" s="20">
        <v>0</v>
      </c>
      <c r="W701" s="20">
        <v>32</v>
      </c>
      <c r="X701" s="20">
        <v>0</v>
      </c>
      <c r="Y701" s="20">
        <v>0</v>
      </c>
      <c r="Z701" s="20">
        <v>0</v>
      </c>
      <c r="AA701" s="20">
        <v>0</v>
      </c>
      <c r="AB701" s="20">
        <v>0</v>
      </c>
      <c r="AC701" s="20">
        <v>119000</v>
      </c>
      <c r="AD701" s="20">
        <v>80920</v>
      </c>
      <c r="AE701" s="20">
        <v>0</v>
      </c>
      <c r="AF701" s="20">
        <v>0</v>
      </c>
      <c r="AG701" s="20">
        <v>119000</v>
      </c>
      <c r="AH701" s="20">
        <v>80920</v>
      </c>
      <c r="AI701" s="20">
        <v>34618</v>
      </c>
      <c r="AJ701" s="20">
        <v>3462</v>
      </c>
      <c r="AK701" s="20">
        <v>38080</v>
      </c>
    </row>
    <row r="702" spans="1:37" ht="24" customHeight="1" x14ac:dyDescent="0.3">
      <c r="A702" s="18" t="s">
        <v>2072</v>
      </c>
      <c r="B702" s="18" t="s">
        <v>240</v>
      </c>
      <c r="C702" s="19" t="s">
        <v>241</v>
      </c>
      <c r="D702" s="18" t="s">
        <v>2073</v>
      </c>
      <c r="E702" s="19" t="s">
        <v>2074</v>
      </c>
      <c r="F702" s="18" t="s">
        <v>244</v>
      </c>
      <c r="G702" s="18" t="s">
        <v>245</v>
      </c>
      <c r="H702" s="19" t="s">
        <v>175</v>
      </c>
      <c r="I702" s="18" t="s">
        <v>246</v>
      </c>
      <c r="J702" s="19" t="s">
        <v>247</v>
      </c>
      <c r="K702" s="19" t="s">
        <v>248</v>
      </c>
      <c r="L702" s="18" t="s">
        <v>164</v>
      </c>
      <c r="M702" s="18" t="s">
        <v>1556</v>
      </c>
      <c r="N702" s="18" t="s">
        <v>250</v>
      </c>
      <c r="O702" s="20">
        <v>119000</v>
      </c>
      <c r="P702" s="20">
        <v>80920</v>
      </c>
      <c r="Q702" s="20">
        <v>1</v>
      </c>
      <c r="R702" s="20">
        <v>0</v>
      </c>
      <c r="S702" s="20">
        <v>0</v>
      </c>
      <c r="T702" s="20">
        <v>0</v>
      </c>
      <c r="U702" s="20">
        <v>0</v>
      </c>
      <c r="V702" s="20">
        <v>0</v>
      </c>
      <c r="W702" s="20">
        <v>32</v>
      </c>
      <c r="X702" s="20">
        <v>0</v>
      </c>
      <c r="Y702" s="20">
        <v>0</v>
      </c>
      <c r="Z702" s="20">
        <v>0</v>
      </c>
      <c r="AA702" s="20">
        <v>0</v>
      </c>
      <c r="AB702" s="20">
        <v>0</v>
      </c>
      <c r="AC702" s="20">
        <v>119000</v>
      </c>
      <c r="AD702" s="20">
        <v>80920</v>
      </c>
      <c r="AE702" s="20">
        <v>0</v>
      </c>
      <c r="AF702" s="20">
        <v>0</v>
      </c>
      <c r="AG702" s="20">
        <v>119000</v>
      </c>
      <c r="AH702" s="20">
        <v>80920</v>
      </c>
      <c r="AI702" s="20">
        <v>34618</v>
      </c>
      <c r="AJ702" s="20">
        <v>3462</v>
      </c>
      <c r="AK702" s="20">
        <v>38080</v>
      </c>
    </row>
    <row r="703" spans="1:37" ht="24" customHeight="1" x14ac:dyDescent="0.3">
      <c r="A703" s="18" t="s">
        <v>2075</v>
      </c>
      <c r="B703" s="18" t="s">
        <v>240</v>
      </c>
      <c r="C703" s="19" t="s">
        <v>241</v>
      </c>
      <c r="D703" s="18" t="s">
        <v>2076</v>
      </c>
      <c r="E703" s="19" t="s">
        <v>418</v>
      </c>
      <c r="F703" s="18" t="s">
        <v>244</v>
      </c>
      <c r="G703" s="18" t="s">
        <v>245</v>
      </c>
      <c r="H703" s="19" t="s">
        <v>175</v>
      </c>
      <c r="I703" s="18" t="s">
        <v>246</v>
      </c>
      <c r="J703" s="19" t="s">
        <v>247</v>
      </c>
      <c r="K703" s="19" t="s">
        <v>248</v>
      </c>
      <c r="L703" s="18" t="s">
        <v>164</v>
      </c>
      <c r="M703" s="18" t="s">
        <v>1556</v>
      </c>
      <c r="N703" s="18" t="s">
        <v>250</v>
      </c>
      <c r="O703" s="20">
        <v>119000</v>
      </c>
      <c r="P703" s="20">
        <v>80920</v>
      </c>
      <c r="Q703" s="20">
        <v>1</v>
      </c>
      <c r="R703" s="20">
        <v>0</v>
      </c>
      <c r="S703" s="20">
        <v>0</v>
      </c>
      <c r="T703" s="20">
        <v>0</v>
      </c>
      <c r="U703" s="20">
        <v>0</v>
      </c>
      <c r="V703" s="20">
        <v>0</v>
      </c>
      <c r="W703" s="20">
        <v>32</v>
      </c>
      <c r="X703" s="20">
        <v>0</v>
      </c>
      <c r="Y703" s="20">
        <v>0</v>
      </c>
      <c r="Z703" s="20">
        <v>0</v>
      </c>
      <c r="AA703" s="20">
        <v>0</v>
      </c>
      <c r="AB703" s="20">
        <v>0</v>
      </c>
      <c r="AC703" s="20">
        <v>119000</v>
      </c>
      <c r="AD703" s="20">
        <v>80920</v>
      </c>
      <c r="AE703" s="20">
        <v>0</v>
      </c>
      <c r="AF703" s="20">
        <v>0</v>
      </c>
      <c r="AG703" s="20">
        <v>119000</v>
      </c>
      <c r="AH703" s="20">
        <v>80920</v>
      </c>
      <c r="AI703" s="20">
        <v>34618</v>
      </c>
      <c r="AJ703" s="20">
        <v>3462</v>
      </c>
      <c r="AK703" s="20">
        <v>38080</v>
      </c>
    </row>
    <row r="704" spans="1:37" ht="24" customHeight="1" x14ac:dyDescent="0.3">
      <c r="A704" s="18" t="s">
        <v>2077</v>
      </c>
      <c r="B704" s="18" t="s">
        <v>240</v>
      </c>
      <c r="C704" s="19" t="s">
        <v>241</v>
      </c>
      <c r="D704" s="18" t="s">
        <v>2078</v>
      </c>
      <c r="E704" s="19" t="s">
        <v>418</v>
      </c>
      <c r="F704" s="18" t="s">
        <v>244</v>
      </c>
      <c r="G704" s="18" t="s">
        <v>245</v>
      </c>
      <c r="H704" s="19" t="s">
        <v>175</v>
      </c>
      <c r="I704" s="18" t="s">
        <v>246</v>
      </c>
      <c r="J704" s="19" t="s">
        <v>247</v>
      </c>
      <c r="K704" s="19" t="s">
        <v>248</v>
      </c>
      <c r="L704" s="18" t="s">
        <v>164</v>
      </c>
      <c r="M704" s="18" t="s">
        <v>1556</v>
      </c>
      <c r="N704" s="18" t="s">
        <v>250</v>
      </c>
      <c r="O704" s="20">
        <v>119000</v>
      </c>
      <c r="P704" s="20">
        <v>80920</v>
      </c>
      <c r="Q704" s="20">
        <v>1</v>
      </c>
      <c r="R704" s="20">
        <v>0</v>
      </c>
      <c r="S704" s="20">
        <v>0</v>
      </c>
      <c r="T704" s="20">
        <v>0</v>
      </c>
      <c r="U704" s="20">
        <v>0</v>
      </c>
      <c r="V704" s="20">
        <v>0</v>
      </c>
      <c r="W704" s="20">
        <v>32</v>
      </c>
      <c r="X704" s="20">
        <v>0</v>
      </c>
      <c r="Y704" s="20">
        <v>0</v>
      </c>
      <c r="Z704" s="20">
        <v>0</v>
      </c>
      <c r="AA704" s="20">
        <v>0</v>
      </c>
      <c r="AB704" s="20">
        <v>0</v>
      </c>
      <c r="AC704" s="20">
        <v>119000</v>
      </c>
      <c r="AD704" s="20">
        <v>80920</v>
      </c>
      <c r="AE704" s="20">
        <v>0</v>
      </c>
      <c r="AF704" s="20">
        <v>0</v>
      </c>
      <c r="AG704" s="20">
        <v>119000</v>
      </c>
      <c r="AH704" s="20">
        <v>80920</v>
      </c>
      <c r="AI704" s="20">
        <v>34618</v>
      </c>
      <c r="AJ704" s="20">
        <v>3462</v>
      </c>
      <c r="AK704" s="20">
        <v>38080</v>
      </c>
    </row>
    <row r="705" spans="1:37" ht="24" customHeight="1" x14ac:dyDescent="0.3">
      <c r="A705" s="18" t="s">
        <v>2079</v>
      </c>
      <c r="B705" s="18" t="s">
        <v>240</v>
      </c>
      <c r="C705" s="19" t="s">
        <v>241</v>
      </c>
      <c r="D705" s="18" t="s">
        <v>2080</v>
      </c>
      <c r="E705" s="19" t="s">
        <v>2081</v>
      </c>
      <c r="F705" s="18" t="s">
        <v>244</v>
      </c>
      <c r="G705" s="18" t="s">
        <v>245</v>
      </c>
      <c r="H705" s="19" t="s">
        <v>175</v>
      </c>
      <c r="I705" s="18" t="s">
        <v>246</v>
      </c>
      <c r="J705" s="19" t="s">
        <v>247</v>
      </c>
      <c r="K705" s="19" t="s">
        <v>248</v>
      </c>
      <c r="L705" s="18" t="s">
        <v>164</v>
      </c>
      <c r="M705" s="18" t="s">
        <v>1556</v>
      </c>
      <c r="N705" s="18" t="s">
        <v>250</v>
      </c>
      <c r="O705" s="20">
        <v>119000</v>
      </c>
      <c r="P705" s="20">
        <v>80920</v>
      </c>
      <c r="Q705" s="20">
        <v>1</v>
      </c>
      <c r="R705" s="20">
        <v>0</v>
      </c>
      <c r="S705" s="20">
        <v>0</v>
      </c>
      <c r="T705" s="20">
        <v>0</v>
      </c>
      <c r="U705" s="20">
        <v>0</v>
      </c>
      <c r="V705" s="20">
        <v>0</v>
      </c>
      <c r="W705" s="20">
        <v>32</v>
      </c>
      <c r="X705" s="20">
        <v>0</v>
      </c>
      <c r="Y705" s="20">
        <v>0</v>
      </c>
      <c r="Z705" s="20">
        <v>0</v>
      </c>
      <c r="AA705" s="20">
        <v>0</v>
      </c>
      <c r="AB705" s="20">
        <v>0</v>
      </c>
      <c r="AC705" s="20">
        <v>119000</v>
      </c>
      <c r="AD705" s="20">
        <v>80920</v>
      </c>
      <c r="AE705" s="20">
        <v>0</v>
      </c>
      <c r="AF705" s="20">
        <v>0</v>
      </c>
      <c r="AG705" s="20">
        <v>119000</v>
      </c>
      <c r="AH705" s="20">
        <v>80920</v>
      </c>
      <c r="AI705" s="20">
        <v>34618</v>
      </c>
      <c r="AJ705" s="20">
        <v>3462</v>
      </c>
      <c r="AK705" s="20">
        <v>38080</v>
      </c>
    </row>
    <row r="706" spans="1:37" ht="24" customHeight="1" x14ac:dyDescent="0.3">
      <c r="A706" s="18" t="s">
        <v>2082</v>
      </c>
      <c r="B706" s="18" t="s">
        <v>240</v>
      </c>
      <c r="C706" s="19" t="s">
        <v>241</v>
      </c>
      <c r="D706" s="18" t="s">
        <v>2083</v>
      </c>
      <c r="E706" s="19" t="s">
        <v>907</v>
      </c>
      <c r="F706" s="18" t="s">
        <v>244</v>
      </c>
      <c r="G706" s="18" t="s">
        <v>245</v>
      </c>
      <c r="H706" s="19" t="s">
        <v>175</v>
      </c>
      <c r="I706" s="18" t="s">
        <v>246</v>
      </c>
      <c r="J706" s="19" t="s">
        <v>247</v>
      </c>
      <c r="K706" s="19" t="s">
        <v>248</v>
      </c>
      <c r="L706" s="18" t="s">
        <v>164</v>
      </c>
      <c r="M706" s="18" t="s">
        <v>1556</v>
      </c>
      <c r="N706" s="18" t="s">
        <v>250</v>
      </c>
      <c r="O706" s="20">
        <v>119000</v>
      </c>
      <c r="P706" s="20">
        <v>80920</v>
      </c>
      <c r="Q706" s="20">
        <v>1</v>
      </c>
      <c r="R706" s="20">
        <v>0</v>
      </c>
      <c r="S706" s="20">
        <v>0</v>
      </c>
      <c r="T706" s="20">
        <v>0</v>
      </c>
      <c r="U706" s="20">
        <v>0</v>
      </c>
      <c r="V706" s="20">
        <v>0</v>
      </c>
      <c r="W706" s="20">
        <v>32</v>
      </c>
      <c r="X706" s="20">
        <v>0</v>
      </c>
      <c r="Y706" s="20">
        <v>0</v>
      </c>
      <c r="Z706" s="20">
        <v>0</v>
      </c>
      <c r="AA706" s="20">
        <v>0</v>
      </c>
      <c r="AB706" s="20">
        <v>0</v>
      </c>
      <c r="AC706" s="20">
        <v>119000</v>
      </c>
      <c r="AD706" s="20">
        <v>80920</v>
      </c>
      <c r="AE706" s="20">
        <v>0</v>
      </c>
      <c r="AF706" s="20">
        <v>0</v>
      </c>
      <c r="AG706" s="20">
        <v>119000</v>
      </c>
      <c r="AH706" s="20">
        <v>80920</v>
      </c>
      <c r="AI706" s="20">
        <v>34618</v>
      </c>
      <c r="AJ706" s="20">
        <v>3462</v>
      </c>
      <c r="AK706" s="20">
        <v>38080</v>
      </c>
    </row>
    <row r="707" spans="1:37" ht="24" customHeight="1" x14ac:dyDescent="0.3">
      <c r="A707" s="18" t="s">
        <v>2084</v>
      </c>
      <c r="B707" s="18" t="s">
        <v>240</v>
      </c>
      <c r="C707" s="19" t="s">
        <v>241</v>
      </c>
      <c r="D707" s="18" t="s">
        <v>2085</v>
      </c>
      <c r="E707" s="19" t="s">
        <v>2086</v>
      </c>
      <c r="F707" s="18" t="s">
        <v>244</v>
      </c>
      <c r="G707" s="18" t="s">
        <v>245</v>
      </c>
      <c r="H707" s="19" t="s">
        <v>175</v>
      </c>
      <c r="I707" s="18" t="s">
        <v>246</v>
      </c>
      <c r="J707" s="19" t="s">
        <v>247</v>
      </c>
      <c r="K707" s="19" t="s">
        <v>248</v>
      </c>
      <c r="L707" s="18" t="s">
        <v>164</v>
      </c>
      <c r="M707" s="18" t="s">
        <v>1556</v>
      </c>
      <c r="N707" s="18" t="s">
        <v>250</v>
      </c>
      <c r="O707" s="20">
        <v>119000</v>
      </c>
      <c r="P707" s="20">
        <v>80920</v>
      </c>
      <c r="Q707" s="20">
        <v>1</v>
      </c>
      <c r="R707" s="20">
        <v>0</v>
      </c>
      <c r="S707" s="20">
        <v>0</v>
      </c>
      <c r="T707" s="20">
        <v>0</v>
      </c>
      <c r="U707" s="20">
        <v>0</v>
      </c>
      <c r="V707" s="20">
        <v>0</v>
      </c>
      <c r="W707" s="20">
        <v>32</v>
      </c>
      <c r="X707" s="20">
        <v>0</v>
      </c>
      <c r="Y707" s="20">
        <v>0</v>
      </c>
      <c r="Z707" s="20">
        <v>0</v>
      </c>
      <c r="AA707" s="20">
        <v>0</v>
      </c>
      <c r="AB707" s="20">
        <v>0</v>
      </c>
      <c r="AC707" s="20">
        <v>119000</v>
      </c>
      <c r="AD707" s="20">
        <v>80920</v>
      </c>
      <c r="AE707" s="20">
        <v>0</v>
      </c>
      <c r="AF707" s="20">
        <v>0</v>
      </c>
      <c r="AG707" s="20">
        <v>119000</v>
      </c>
      <c r="AH707" s="20">
        <v>80920</v>
      </c>
      <c r="AI707" s="20">
        <v>34618</v>
      </c>
      <c r="AJ707" s="20">
        <v>3462</v>
      </c>
      <c r="AK707" s="20">
        <v>38080</v>
      </c>
    </row>
    <row r="708" spans="1:37" ht="24" customHeight="1" x14ac:dyDescent="0.3">
      <c r="A708" s="18" t="s">
        <v>2087</v>
      </c>
      <c r="B708" s="18" t="s">
        <v>240</v>
      </c>
      <c r="C708" s="19" t="s">
        <v>241</v>
      </c>
      <c r="D708" s="18" t="s">
        <v>2088</v>
      </c>
      <c r="E708" s="19" t="s">
        <v>907</v>
      </c>
      <c r="F708" s="18" t="s">
        <v>244</v>
      </c>
      <c r="G708" s="18" t="s">
        <v>245</v>
      </c>
      <c r="H708" s="19" t="s">
        <v>175</v>
      </c>
      <c r="I708" s="18" t="s">
        <v>246</v>
      </c>
      <c r="J708" s="19" t="s">
        <v>247</v>
      </c>
      <c r="K708" s="19" t="s">
        <v>248</v>
      </c>
      <c r="L708" s="18" t="s">
        <v>164</v>
      </c>
      <c r="M708" s="18" t="s">
        <v>1556</v>
      </c>
      <c r="N708" s="18" t="s">
        <v>250</v>
      </c>
      <c r="O708" s="20">
        <v>119000</v>
      </c>
      <c r="P708" s="20">
        <v>80920</v>
      </c>
      <c r="Q708" s="20">
        <v>1</v>
      </c>
      <c r="R708" s="20">
        <v>0</v>
      </c>
      <c r="S708" s="20">
        <v>0</v>
      </c>
      <c r="T708" s="20">
        <v>0</v>
      </c>
      <c r="U708" s="20">
        <v>0</v>
      </c>
      <c r="V708" s="20">
        <v>0</v>
      </c>
      <c r="W708" s="20">
        <v>32</v>
      </c>
      <c r="X708" s="20">
        <v>0</v>
      </c>
      <c r="Y708" s="20">
        <v>0</v>
      </c>
      <c r="Z708" s="20">
        <v>0</v>
      </c>
      <c r="AA708" s="20">
        <v>0</v>
      </c>
      <c r="AB708" s="20">
        <v>0</v>
      </c>
      <c r="AC708" s="20">
        <v>119000</v>
      </c>
      <c r="AD708" s="20">
        <v>80920</v>
      </c>
      <c r="AE708" s="20">
        <v>0</v>
      </c>
      <c r="AF708" s="20">
        <v>0</v>
      </c>
      <c r="AG708" s="20">
        <v>119000</v>
      </c>
      <c r="AH708" s="20">
        <v>80920</v>
      </c>
      <c r="AI708" s="20">
        <v>34618</v>
      </c>
      <c r="AJ708" s="20">
        <v>3462</v>
      </c>
      <c r="AK708" s="20">
        <v>38080</v>
      </c>
    </row>
    <row r="709" spans="1:37" ht="24" customHeight="1" x14ac:dyDescent="0.3">
      <c r="A709" s="18" t="s">
        <v>2089</v>
      </c>
      <c r="B709" s="18" t="s">
        <v>240</v>
      </c>
      <c r="C709" s="19" t="s">
        <v>241</v>
      </c>
      <c r="D709" s="18" t="s">
        <v>2090</v>
      </c>
      <c r="E709" s="19" t="s">
        <v>2091</v>
      </c>
      <c r="F709" s="18" t="s">
        <v>244</v>
      </c>
      <c r="G709" s="18" t="s">
        <v>245</v>
      </c>
      <c r="H709" s="19" t="s">
        <v>175</v>
      </c>
      <c r="I709" s="18" t="s">
        <v>246</v>
      </c>
      <c r="J709" s="19" t="s">
        <v>247</v>
      </c>
      <c r="K709" s="19" t="s">
        <v>248</v>
      </c>
      <c r="L709" s="18" t="s">
        <v>164</v>
      </c>
      <c r="M709" s="18" t="s">
        <v>1556</v>
      </c>
      <c r="N709" s="18" t="s">
        <v>250</v>
      </c>
      <c r="O709" s="20">
        <v>119000</v>
      </c>
      <c r="P709" s="20">
        <v>80920</v>
      </c>
      <c r="Q709" s="20">
        <v>1</v>
      </c>
      <c r="R709" s="20">
        <v>0</v>
      </c>
      <c r="S709" s="20">
        <v>0</v>
      </c>
      <c r="T709" s="20">
        <v>0</v>
      </c>
      <c r="U709" s="20">
        <v>0</v>
      </c>
      <c r="V709" s="20">
        <v>0</v>
      </c>
      <c r="W709" s="20">
        <v>32</v>
      </c>
      <c r="X709" s="20">
        <v>0</v>
      </c>
      <c r="Y709" s="20">
        <v>0</v>
      </c>
      <c r="Z709" s="20">
        <v>0</v>
      </c>
      <c r="AA709" s="20">
        <v>0</v>
      </c>
      <c r="AB709" s="20">
        <v>0</v>
      </c>
      <c r="AC709" s="20">
        <v>119000</v>
      </c>
      <c r="AD709" s="20">
        <v>80920</v>
      </c>
      <c r="AE709" s="20">
        <v>0</v>
      </c>
      <c r="AF709" s="20">
        <v>0</v>
      </c>
      <c r="AG709" s="20">
        <v>119000</v>
      </c>
      <c r="AH709" s="20">
        <v>80920</v>
      </c>
      <c r="AI709" s="20">
        <v>34618</v>
      </c>
      <c r="AJ709" s="20">
        <v>3462</v>
      </c>
      <c r="AK709" s="20">
        <v>38080</v>
      </c>
    </row>
    <row r="710" spans="1:37" ht="24" customHeight="1" x14ac:dyDescent="0.3">
      <c r="A710" s="18" t="s">
        <v>2092</v>
      </c>
      <c r="B710" s="18" t="s">
        <v>240</v>
      </c>
      <c r="C710" s="19" t="s">
        <v>241</v>
      </c>
      <c r="D710" s="18" t="s">
        <v>2093</v>
      </c>
      <c r="E710" s="19" t="s">
        <v>362</v>
      </c>
      <c r="F710" s="18" t="s">
        <v>244</v>
      </c>
      <c r="G710" s="18" t="s">
        <v>245</v>
      </c>
      <c r="H710" s="19" t="s">
        <v>175</v>
      </c>
      <c r="I710" s="18" t="s">
        <v>246</v>
      </c>
      <c r="J710" s="19" t="s">
        <v>247</v>
      </c>
      <c r="K710" s="19" t="s">
        <v>248</v>
      </c>
      <c r="L710" s="18" t="s">
        <v>164</v>
      </c>
      <c r="M710" s="18" t="s">
        <v>1556</v>
      </c>
      <c r="N710" s="18" t="s">
        <v>250</v>
      </c>
      <c r="O710" s="20">
        <v>119000</v>
      </c>
      <c r="P710" s="20">
        <v>80920</v>
      </c>
      <c r="Q710" s="20">
        <v>1</v>
      </c>
      <c r="R710" s="20">
        <v>0</v>
      </c>
      <c r="S710" s="20">
        <v>0</v>
      </c>
      <c r="T710" s="20">
        <v>0</v>
      </c>
      <c r="U710" s="20">
        <v>0</v>
      </c>
      <c r="V710" s="20">
        <v>0</v>
      </c>
      <c r="W710" s="20">
        <v>32</v>
      </c>
      <c r="X710" s="20">
        <v>0</v>
      </c>
      <c r="Y710" s="20">
        <v>0</v>
      </c>
      <c r="Z710" s="20">
        <v>0</v>
      </c>
      <c r="AA710" s="20">
        <v>0</v>
      </c>
      <c r="AB710" s="20">
        <v>0</v>
      </c>
      <c r="AC710" s="20">
        <v>119000</v>
      </c>
      <c r="AD710" s="20">
        <v>80920</v>
      </c>
      <c r="AE710" s="20">
        <v>0</v>
      </c>
      <c r="AF710" s="20">
        <v>0</v>
      </c>
      <c r="AG710" s="20">
        <v>119000</v>
      </c>
      <c r="AH710" s="20">
        <v>80920</v>
      </c>
      <c r="AI710" s="20">
        <v>34618</v>
      </c>
      <c r="AJ710" s="20">
        <v>3462</v>
      </c>
      <c r="AK710" s="20">
        <v>38080</v>
      </c>
    </row>
    <row r="711" spans="1:37" ht="24" customHeight="1" x14ac:dyDescent="0.3">
      <c r="A711" s="18" t="s">
        <v>2094</v>
      </c>
      <c r="B711" s="18" t="s">
        <v>240</v>
      </c>
      <c r="C711" s="19" t="s">
        <v>241</v>
      </c>
      <c r="D711" s="18" t="s">
        <v>2095</v>
      </c>
      <c r="E711" s="19" t="s">
        <v>2096</v>
      </c>
      <c r="F711" s="18" t="s">
        <v>244</v>
      </c>
      <c r="G711" s="18" t="s">
        <v>245</v>
      </c>
      <c r="H711" s="19" t="s">
        <v>175</v>
      </c>
      <c r="I711" s="18" t="s">
        <v>246</v>
      </c>
      <c r="J711" s="19" t="s">
        <v>247</v>
      </c>
      <c r="K711" s="19" t="s">
        <v>248</v>
      </c>
      <c r="L711" s="18" t="s">
        <v>164</v>
      </c>
      <c r="M711" s="18" t="s">
        <v>1556</v>
      </c>
      <c r="N711" s="18" t="s">
        <v>250</v>
      </c>
      <c r="O711" s="20">
        <v>119000</v>
      </c>
      <c r="P711" s="20">
        <v>80920</v>
      </c>
      <c r="Q711" s="20">
        <v>1</v>
      </c>
      <c r="R711" s="20">
        <v>0</v>
      </c>
      <c r="S711" s="20">
        <v>0</v>
      </c>
      <c r="T711" s="20">
        <v>0</v>
      </c>
      <c r="U711" s="20">
        <v>0</v>
      </c>
      <c r="V711" s="20">
        <v>0</v>
      </c>
      <c r="W711" s="20">
        <v>32</v>
      </c>
      <c r="X711" s="20">
        <v>0</v>
      </c>
      <c r="Y711" s="20">
        <v>0</v>
      </c>
      <c r="Z711" s="20">
        <v>0</v>
      </c>
      <c r="AA711" s="20">
        <v>0</v>
      </c>
      <c r="AB711" s="20">
        <v>0</v>
      </c>
      <c r="AC711" s="20">
        <v>119000</v>
      </c>
      <c r="AD711" s="20">
        <v>80920</v>
      </c>
      <c r="AE711" s="20">
        <v>0</v>
      </c>
      <c r="AF711" s="20">
        <v>0</v>
      </c>
      <c r="AG711" s="20">
        <v>119000</v>
      </c>
      <c r="AH711" s="20">
        <v>80920</v>
      </c>
      <c r="AI711" s="20">
        <v>34618</v>
      </c>
      <c r="AJ711" s="20">
        <v>3462</v>
      </c>
      <c r="AK711" s="20">
        <v>38080</v>
      </c>
    </row>
    <row r="712" spans="1:37" ht="24" customHeight="1" x14ac:dyDescent="0.3">
      <c r="A712" s="18" t="s">
        <v>2097</v>
      </c>
      <c r="B712" s="18" t="s">
        <v>240</v>
      </c>
      <c r="C712" s="19" t="s">
        <v>241</v>
      </c>
      <c r="D712" s="18" t="s">
        <v>2098</v>
      </c>
      <c r="E712" s="19" t="s">
        <v>1318</v>
      </c>
      <c r="F712" s="18" t="s">
        <v>244</v>
      </c>
      <c r="G712" s="18" t="s">
        <v>245</v>
      </c>
      <c r="H712" s="19" t="s">
        <v>175</v>
      </c>
      <c r="I712" s="18" t="s">
        <v>246</v>
      </c>
      <c r="J712" s="19" t="s">
        <v>247</v>
      </c>
      <c r="K712" s="19" t="s">
        <v>248</v>
      </c>
      <c r="L712" s="18" t="s">
        <v>164</v>
      </c>
      <c r="M712" s="18" t="s">
        <v>1556</v>
      </c>
      <c r="N712" s="18" t="s">
        <v>250</v>
      </c>
      <c r="O712" s="20">
        <v>119000</v>
      </c>
      <c r="P712" s="20">
        <v>80920</v>
      </c>
      <c r="Q712" s="20">
        <v>1</v>
      </c>
      <c r="R712" s="20">
        <v>0</v>
      </c>
      <c r="S712" s="20">
        <v>0</v>
      </c>
      <c r="T712" s="20">
        <v>0</v>
      </c>
      <c r="U712" s="20">
        <v>0</v>
      </c>
      <c r="V712" s="20">
        <v>0</v>
      </c>
      <c r="W712" s="20">
        <v>32</v>
      </c>
      <c r="X712" s="20">
        <v>0</v>
      </c>
      <c r="Y712" s="20">
        <v>0</v>
      </c>
      <c r="Z712" s="20">
        <v>0</v>
      </c>
      <c r="AA712" s="20">
        <v>0</v>
      </c>
      <c r="AB712" s="20">
        <v>0</v>
      </c>
      <c r="AC712" s="20">
        <v>119000</v>
      </c>
      <c r="AD712" s="20">
        <v>80920</v>
      </c>
      <c r="AE712" s="20">
        <v>0</v>
      </c>
      <c r="AF712" s="20">
        <v>0</v>
      </c>
      <c r="AG712" s="20">
        <v>119000</v>
      </c>
      <c r="AH712" s="20">
        <v>80920</v>
      </c>
      <c r="AI712" s="20">
        <v>34618</v>
      </c>
      <c r="AJ712" s="20">
        <v>3462</v>
      </c>
      <c r="AK712" s="20">
        <v>38080</v>
      </c>
    </row>
    <row r="713" spans="1:37" ht="24" customHeight="1" x14ac:dyDescent="0.3">
      <c r="A713" s="18" t="s">
        <v>2099</v>
      </c>
      <c r="B713" s="18" t="s">
        <v>240</v>
      </c>
      <c r="C713" s="19" t="s">
        <v>241</v>
      </c>
      <c r="D713" s="18" t="s">
        <v>2100</v>
      </c>
      <c r="E713" s="19" t="s">
        <v>2101</v>
      </c>
      <c r="F713" s="18" t="s">
        <v>244</v>
      </c>
      <c r="G713" s="18" t="s">
        <v>245</v>
      </c>
      <c r="H713" s="19" t="s">
        <v>175</v>
      </c>
      <c r="I713" s="18" t="s">
        <v>246</v>
      </c>
      <c r="J713" s="19" t="s">
        <v>247</v>
      </c>
      <c r="K713" s="19" t="s">
        <v>248</v>
      </c>
      <c r="L713" s="18" t="s">
        <v>164</v>
      </c>
      <c r="M713" s="18" t="s">
        <v>1556</v>
      </c>
      <c r="N713" s="18" t="s">
        <v>250</v>
      </c>
      <c r="O713" s="20">
        <v>119000</v>
      </c>
      <c r="P713" s="20">
        <v>80920</v>
      </c>
      <c r="Q713" s="20">
        <v>1</v>
      </c>
      <c r="R713" s="20">
        <v>0</v>
      </c>
      <c r="S713" s="20">
        <v>0</v>
      </c>
      <c r="T713" s="20">
        <v>0</v>
      </c>
      <c r="U713" s="20">
        <v>0</v>
      </c>
      <c r="V713" s="20">
        <v>0</v>
      </c>
      <c r="W713" s="20">
        <v>32</v>
      </c>
      <c r="X713" s="20">
        <v>0</v>
      </c>
      <c r="Y713" s="20">
        <v>0</v>
      </c>
      <c r="Z713" s="20">
        <v>0</v>
      </c>
      <c r="AA713" s="20">
        <v>0</v>
      </c>
      <c r="AB713" s="20">
        <v>0</v>
      </c>
      <c r="AC713" s="20">
        <v>119000</v>
      </c>
      <c r="AD713" s="20">
        <v>80920</v>
      </c>
      <c r="AE713" s="20">
        <v>0</v>
      </c>
      <c r="AF713" s="20">
        <v>0</v>
      </c>
      <c r="AG713" s="20">
        <v>119000</v>
      </c>
      <c r="AH713" s="20">
        <v>80920</v>
      </c>
      <c r="AI713" s="20">
        <v>34618</v>
      </c>
      <c r="AJ713" s="20">
        <v>3462</v>
      </c>
      <c r="AK713" s="20">
        <v>38080</v>
      </c>
    </row>
    <row r="714" spans="1:37" ht="24" customHeight="1" x14ac:dyDescent="0.3">
      <c r="A714" s="18" t="s">
        <v>2102</v>
      </c>
      <c r="B714" s="18" t="s">
        <v>240</v>
      </c>
      <c r="C714" s="19" t="s">
        <v>241</v>
      </c>
      <c r="D714" s="18" t="s">
        <v>2103</v>
      </c>
      <c r="E714" s="19" t="s">
        <v>284</v>
      </c>
      <c r="F714" s="18" t="s">
        <v>244</v>
      </c>
      <c r="G714" s="18" t="s">
        <v>245</v>
      </c>
      <c r="H714" s="19" t="s">
        <v>175</v>
      </c>
      <c r="I714" s="18" t="s">
        <v>246</v>
      </c>
      <c r="J714" s="19" t="s">
        <v>247</v>
      </c>
      <c r="K714" s="19" t="s">
        <v>248</v>
      </c>
      <c r="L714" s="18" t="s">
        <v>164</v>
      </c>
      <c r="M714" s="18" t="s">
        <v>1556</v>
      </c>
      <c r="N714" s="18" t="s">
        <v>250</v>
      </c>
      <c r="O714" s="20">
        <v>119000</v>
      </c>
      <c r="P714" s="20">
        <v>80920</v>
      </c>
      <c r="Q714" s="20">
        <v>1</v>
      </c>
      <c r="R714" s="20">
        <v>0</v>
      </c>
      <c r="S714" s="20">
        <v>0</v>
      </c>
      <c r="T714" s="20">
        <v>0</v>
      </c>
      <c r="U714" s="20">
        <v>0</v>
      </c>
      <c r="V714" s="20">
        <v>0</v>
      </c>
      <c r="W714" s="20">
        <v>32</v>
      </c>
      <c r="X714" s="20">
        <v>0</v>
      </c>
      <c r="Y714" s="20">
        <v>0</v>
      </c>
      <c r="Z714" s="20">
        <v>0</v>
      </c>
      <c r="AA714" s="20">
        <v>0</v>
      </c>
      <c r="AB714" s="20">
        <v>0</v>
      </c>
      <c r="AC714" s="20">
        <v>119000</v>
      </c>
      <c r="AD714" s="20">
        <v>80920</v>
      </c>
      <c r="AE714" s="20">
        <v>0</v>
      </c>
      <c r="AF714" s="20">
        <v>0</v>
      </c>
      <c r="AG714" s="20">
        <v>119000</v>
      </c>
      <c r="AH714" s="20">
        <v>80920</v>
      </c>
      <c r="AI714" s="20">
        <v>34618</v>
      </c>
      <c r="AJ714" s="20">
        <v>3462</v>
      </c>
      <c r="AK714" s="20">
        <v>38080</v>
      </c>
    </row>
    <row r="715" spans="1:37" ht="24" customHeight="1" x14ac:dyDescent="0.3">
      <c r="A715" s="18" t="s">
        <v>2104</v>
      </c>
      <c r="B715" s="18" t="s">
        <v>240</v>
      </c>
      <c r="C715" s="19" t="s">
        <v>241</v>
      </c>
      <c r="D715" s="18" t="s">
        <v>2105</v>
      </c>
      <c r="E715" s="19" t="s">
        <v>284</v>
      </c>
      <c r="F715" s="18" t="s">
        <v>244</v>
      </c>
      <c r="G715" s="18" t="s">
        <v>245</v>
      </c>
      <c r="H715" s="19" t="s">
        <v>175</v>
      </c>
      <c r="I715" s="18" t="s">
        <v>246</v>
      </c>
      <c r="J715" s="19" t="s">
        <v>247</v>
      </c>
      <c r="K715" s="19" t="s">
        <v>248</v>
      </c>
      <c r="L715" s="18" t="s">
        <v>164</v>
      </c>
      <c r="M715" s="18" t="s">
        <v>1556</v>
      </c>
      <c r="N715" s="18" t="s">
        <v>250</v>
      </c>
      <c r="O715" s="20">
        <v>119000</v>
      </c>
      <c r="P715" s="20">
        <v>80920</v>
      </c>
      <c r="Q715" s="20">
        <v>1</v>
      </c>
      <c r="R715" s="20">
        <v>0</v>
      </c>
      <c r="S715" s="20">
        <v>0</v>
      </c>
      <c r="T715" s="20">
        <v>0</v>
      </c>
      <c r="U715" s="20">
        <v>0</v>
      </c>
      <c r="V715" s="20">
        <v>0</v>
      </c>
      <c r="W715" s="20">
        <v>32</v>
      </c>
      <c r="X715" s="20">
        <v>0</v>
      </c>
      <c r="Y715" s="20">
        <v>0</v>
      </c>
      <c r="Z715" s="20">
        <v>0</v>
      </c>
      <c r="AA715" s="20">
        <v>0</v>
      </c>
      <c r="AB715" s="20">
        <v>0</v>
      </c>
      <c r="AC715" s="20">
        <v>119000</v>
      </c>
      <c r="AD715" s="20">
        <v>80920</v>
      </c>
      <c r="AE715" s="20">
        <v>0</v>
      </c>
      <c r="AF715" s="20">
        <v>0</v>
      </c>
      <c r="AG715" s="20">
        <v>119000</v>
      </c>
      <c r="AH715" s="20">
        <v>80920</v>
      </c>
      <c r="AI715" s="20">
        <v>34618</v>
      </c>
      <c r="AJ715" s="20">
        <v>3462</v>
      </c>
      <c r="AK715" s="20">
        <v>38080</v>
      </c>
    </row>
    <row r="716" spans="1:37" ht="24" customHeight="1" x14ac:dyDescent="0.3">
      <c r="A716" s="18" t="s">
        <v>2106</v>
      </c>
      <c r="B716" s="18" t="s">
        <v>240</v>
      </c>
      <c r="C716" s="19" t="s">
        <v>241</v>
      </c>
      <c r="D716" s="18" t="s">
        <v>2107</v>
      </c>
      <c r="E716" s="19" t="s">
        <v>2108</v>
      </c>
      <c r="F716" s="18" t="s">
        <v>244</v>
      </c>
      <c r="G716" s="18" t="s">
        <v>245</v>
      </c>
      <c r="H716" s="19" t="s">
        <v>175</v>
      </c>
      <c r="I716" s="18" t="s">
        <v>246</v>
      </c>
      <c r="J716" s="19" t="s">
        <v>247</v>
      </c>
      <c r="K716" s="19" t="s">
        <v>248</v>
      </c>
      <c r="L716" s="18" t="s">
        <v>164</v>
      </c>
      <c r="M716" s="18" t="s">
        <v>1556</v>
      </c>
      <c r="N716" s="18" t="s">
        <v>250</v>
      </c>
      <c r="O716" s="20">
        <v>119000</v>
      </c>
      <c r="P716" s="20">
        <v>80920</v>
      </c>
      <c r="Q716" s="20">
        <v>1</v>
      </c>
      <c r="R716" s="20">
        <v>0</v>
      </c>
      <c r="S716" s="20">
        <v>0</v>
      </c>
      <c r="T716" s="20">
        <v>0</v>
      </c>
      <c r="U716" s="20">
        <v>0</v>
      </c>
      <c r="V716" s="20">
        <v>0</v>
      </c>
      <c r="W716" s="20">
        <v>32</v>
      </c>
      <c r="X716" s="20">
        <v>0</v>
      </c>
      <c r="Y716" s="20">
        <v>0</v>
      </c>
      <c r="Z716" s="20">
        <v>0</v>
      </c>
      <c r="AA716" s="20">
        <v>0</v>
      </c>
      <c r="AB716" s="20">
        <v>0</v>
      </c>
      <c r="AC716" s="20">
        <v>119000</v>
      </c>
      <c r="AD716" s="20">
        <v>80920</v>
      </c>
      <c r="AE716" s="20">
        <v>0</v>
      </c>
      <c r="AF716" s="20">
        <v>0</v>
      </c>
      <c r="AG716" s="20">
        <v>119000</v>
      </c>
      <c r="AH716" s="20">
        <v>80920</v>
      </c>
      <c r="AI716" s="20">
        <v>34618</v>
      </c>
      <c r="AJ716" s="20">
        <v>3462</v>
      </c>
      <c r="AK716" s="20">
        <v>38080</v>
      </c>
    </row>
    <row r="717" spans="1:37" ht="24" customHeight="1" x14ac:dyDescent="0.3">
      <c r="A717" s="18" t="s">
        <v>2109</v>
      </c>
      <c r="B717" s="18" t="s">
        <v>240</v>
      </c>
      <c r="C717" s="19" t="s">
        <v>241</v>
      </c>
      <c r="D717" s="18" t="s">
        <v>2110</v>
      </c>
      <c r="E717" s="19" t="s">
        <v>925</v>
      </c>
      <c r="F717" s="18" t="s">
        <v>244</v>
      </c>
      <c r="G717" s="18" t="s">
        <v>245</v>
      </c>
      <c r="H717" s="19" t="s">
        <v>175</v>
      </c>
      <c r="I717" s="18" t="s">
        <v>246</v>
      </c>
      <c r="J717" s="19" t="s">
        <v>247</v>
      </c>
      <c r="K717" s="19" t="s">
        <v>314</v>
      </c>
      <c r="L717" s="18" t="s">
        <v>164</v>
      </c>
      <c r="M717" s="18" t="s">
        <v>1556</v>
      </c>
      <c r="N717" s="18" t="s">
        <v>250</v>
      </c>
      <c r="O717" s="20">
        <v>119000</v>
      </c>
      <c r="P717" s="20">
        <v>80920</v>
      </c>
      <c r="Q717" s="20">
        <v>1</v>
      </c>
      <c r="R717" s="20">
        <v>0</v>
      </c>
      <c r="S717" s="20">
        <v>0</v>
      </c>
      <c r="T717" s="20">
        <v>0</v>
      </c>
      <c r="U717" s="20">
        <v>0</v>
      </c>
      <c r="V717" s="20">
        <v>0</v>
      </c>
      <c r="W717" s="20">
        <v>32</v>
      </c>
      <c r="X717" s="20">
        <v>0</v>
      </c>
      <c r="Y717" s="20">
        <v>0</v>
      </c>
      <c r="Z717" s="20">
        <v>0</v>
      </c>
      <c r="AA717" s="20">
        <v>0</v>
      </c>
      <c r="AB717" s="20">
        <v>0</v>
      </c>
      <c r="AC717" s="20">
        <v>119000</v>
      </c>
      <c r="AD717" s="20">
        <v>80920</v>
      </c>
      <c r="AE717" s="20">
        <v>0</v>
      </c>
      <c r="AF717" s="20">
        <v>0</v>
      </c>
      <c r="AG717" s="20">
        <v>119000</v>
      </c>
      <c r="AH717" s="20">
        <v>80920</v>
      </c>
      <c r="AI717" s="20">
        <v>34618</v>
      </c>
      <c r="AJ717" s="20">
        <v>3462</v>
      </c>
      <c r="AK717" s="20">
        <v>38080</v>
      </c>
    </row>
    <row r="718" spans="1:37" ht="24" customHeight="1" x14ac:dyDescent="0.3">
      <c r="A718" s="18" t="s">
        <v>2111</v>
      </c>
      <c r="B718" s="18" t="s">
        <v>240</v>
      </c>
      <c r="C718" s="19" t="s">
        <v>241</v>
      </c>
      <c r="D718" s="18" t="s">
        <v>2112</v>
      </c>
      <c r="E718" s="19" t="s">
        <v>2113</v>
      </c>
      <c r="F718" s="18" t="s">
        <v>244</v>
      </c>
      <c r="G718" s="18" t="s">
        <v>245</v>
      </c>
      <c r="H718" s="19" t="s">
        <v>175</v>
      </c>
      <c r="I718" s="18" t="s">
        <v>246</v>
      </c>
      <c r="J718" s="19" t="s">
        <v>247</v>
      </c>
      <c r="K718" s="19" t="s">
        <v>248</v>
      </c>
      <c r="L718" s="18" t="s">
        <v>164</v>
      </c>
      <c r="M718" s="18" t="s">
        <v>1556</v>
      </c>
      <c r="N718" s="18" t="s">
        <v>250</v>
      </c>
      <c r="O718" s="20">
        <v>119000</v>
      </c>
      <c r="P718" s="20">
        <v>80920</v>
      </c>
      <c r="Q718" s="20">
        <v>1</v>
      </c>
      <c r="R718" s="20">
        <v>0</v>
      </c>
      <c r="S718" s="20">
        <v>0</v>
      </c>
      <c r="T718" s="20">
        <v>0</v>
      </c>
      <c r="U718" s="20">
        <v>0</v>
      </c>
      <c r="V718" s="20">
        <v>0</v>
      </c>
      <c r="W718" s="20">
        <v>32</v>
      </c>
      <c r="X718" s="20">
        <v>0</v>
      </c>
      <c r="Y718" s="20">
        <v>0</v>
      </c>
      <c r="Z718" s="20">
        <v>0</v>
      </c>
      <c r="AA718" s="20">
        <v>0</v>
      </c>
      <c r="AB718" s="20">
        <v>0</v>
      </c>
      <c r="AC718" s="20">
        <v>119000</v>
      </c>
      <c r="AD718" s="20">
        <v>80920</v>
      </c>
      <c r="AE718" s="20">
        <v>0</v>
      </c>
      <c r="AF718" s="20">
        <v>0</v>
      </c>
      <c r="AG718" s="20">
        <v>119000</v>
      </c>
      <c r="AH718" s="20">
        <v>80920</v>
      </c>
      <c r="AI718" s="20">
        <v>34618</v>
      </c>
      <c r="AJ718" s="20">
        <v>3462</v>
      </c>
      <c r="AK718" s="20">
        <v>38080</v>
      </c>
    </row>
    <row r="719" spans="1:37" ht="24" customHeight="1" x14ac:dyDescent="0.3">
      <c r="A719" s="18" t="s">
        <v>2114</v>
      </c>
      <c r="B719" s="18" t="s">
        <v>240</v>
      </c>
      <c r="C719" s="19" t="s">
        <v>241</v>
      </c>
      <c r="D719" s="18" t="s">
        <v>2115</v>
      </c>
      <c r="E719" s="19" t="s">
        <v>296</v>
      </c>
      <c r="F719" s="18" t="s">
        <v>244</v>
      </c>
      <c r="G719" s="18" t="s">
        <v>245</v>
      </c>
      <c r="H719" s="19" t="s">
        <v>175</v>
      </c>
      <c r="I719" s="18" t="s">
        <v>246</v>
      </c>
      <c r="J719" s="19" t="s">
        <v>247</v>
      </c>
      <c r="K719" s="19" t="s">
        <v>248</v>
      </c>
      <c r="L719" s="18" t="s">
        <v>164</v>
      </c>
      <c r="M719" s="18" t="s">
        <v>1556</v>
      </c>
      <c r="N719" s="18" t="s">
        <v>250</v>
      </c>
      <c r="O719" s="20">
        <v>119000</v>
      </c>
      <c r="P719" s="20">
        <v>80920</v>
      </c>
      <c r="Q719" s="20">
        <v>1</v>
      </c>
      <c r="R719" s="20">
        <v>0</v>
      </c>
      <c r="S719" s="20">
        <v>0</v>
      </c>
      <c r="T719" s="20">
        <v>0</v>
      </c>
      <c r="U719" s="20">
        <v>0</v>
      </c>
      <c r="V719" s="20">
        <v>0</v>
      </c>
      <c r="W719" s="20">
        <v>32</v>
      </c>
      <c r="X719" s="20">
        <v>0</v>
      </c>
      <c r="Y719" s="20">
        <v>0</v>
      </c>
      <c r="Z719" s="20">
        <v>0</v>
      </c>
      <c r="AA719" s="20">
        <v>0</v>
      </c>
      <c r="AB719" s="20">
        <v>0</v>
      </c>
      <c r="AC719" s="20">
        <v>119000</v>
      </c>
      <c r="AD719" s="20">
        <v>80920</v>
      </c>
      <c r="AE719" s="20">
        <v>0</v>
      </c>
      <c r="AF719" s="20">
        <v>0</v>
      </c>
      <c r="AG719" s="20">
        <v>119000</v>
      </c>
      <c r="AH719" s="20">
        <v>80920</v>
      </c>
      <c r="AI719" s="20">
        <v>34618</v>
      </c>
      <c r="AJ719" s="20">
        <v>3462</v>
      </c>
      <c r="AK719" s="20">
        <v>38080</v>
      </c>
    </row>
    <row r="720" spans="1:37" ht="24" customHeight="1" x14ac:dyDescent="0.3">
      <c r="A720" s="18" t="s">
        <v>2116</v>
      </c>
      <c r="B720" s="18" t="s">
        <v>240</v>
      </c>
      <c r="C720" s="19" t="s">
        <v>241</v>
      </c>
      <c r="D720" s="18" t="s">
        <v>2117</v>
      </c>
      <c r="E720" s="19" t="s">
        <v>2118</v>
      </c>
      <c r="F720" s="18" t="s">
        <v>244</v>
      </c>
      <c r="G720" s="18" t="s">
        <v>245</v>
      </c>
      <c r="H720" s="19" t="s">
        <v>175</v>
      </c>
      <c r="I720" s="18" t="s">
        <v>246</v>
      </c>
      <c r="J720" s="19" t="s">
        <v>247</v>
      </c>
      <c r="K720" s="19" t="s">
        <v>248</v>
      </c>
      <c r="L720" s="18" t="s">
        <v>164</v>
      </c>
      <c r="M720" s="18" t="s">
        <v>1556</v>
      </c>
      <c r="N720" s="18" t="s">
        <v>250</v>
      </c>
      <c r="O720" s="20">
        <v>119000</v>
      </c>
      <c r="P720" s="20">
        <v>80920</v>
      </c>
      <c r="Q720" s="20">
        <v>1</v>
      </c>
      <c r="R720" s="20">
        <v>0</v>
      </c>
      <c r="S720" s="20">
        <v>0</v>
      </c>
      <c r="T720" s="20">
        <v>0</v>
      </c>
      <c r="U720" s="20">
        <v>0</v>
      </c>
      <c r="V720" s="20">
        <v>0</v>
      </c>
      <c r="W720" s="20">
        <v>32</v>
      </c>
      <c r="X720" s="20">
        <v>0</v>
      </c>
      <c r="Y720" s="20">
        <v>0</v>
      </c>
      <c r="Z720" s="20">
        <v>0</v>
      </c>
      <c r="AA720" s="20">
        <v>0</v>
      </c>
      <c r="AB720" s="20">
        <v>0</v>
      </c>
      <c r="AC720" s="20">
        <v>119000</v>
      </c>
      <c r="AD720" s="20">
        <v>80920</v>
      </c>
      <c r="AE720" s="20">
        <v>0</v>
      </c>
      <c r="AF720" s="20">
        <v>0</v>
      </c>
      <c r="AG720" s="20">
        <v>119000</v>
      </c>
      <c r="AH720" s="20">
        <v>80920</v>
      </c>
      <c r="AI720" s="20">
        <v>34618</v>
      </c>
      <c r="AJ720" s="20">
        <v>3462</v>
      </c>
      <c r="AK720" s="20">
        <v>38080</v>
      </c>
    </row>
    <row r="721" spans="1:37" ht="24" customHeight="1" x14ac:dyDescent="0.3">
      <c r="A721" s="18" t="s">
        <v>2119</v>
      </c>
      <c r="B721" s="18" t="s">
        <v>240</v>
      </c>
      <c r="C721" s="19" t="s">
        <v>241</v>
      </c>
      <c r="D721" s="18" t="s">
        <v>2120</v>
      </c>
      <c r="E721" s="19" t="s">
        <v>284</v>
      </c>
      <c r="F721" s="18" t="s">
        <v>244</v>
      </c>
      <c r="G721" s="18" t="s">
        <v>245</v>
      </c>
      <c r="H721" s="19" t="s">
        <v>175</v>
      </c>
      <c r="I721" s="18" t="s">
        <v>246</v>
      </c>
      <c r="J721" s="19" t="s">
        <v>247</v>
      </c>
      <c r="K721" s="19" t="s">
        <v>248</v>
      </c>
      <c r="L721" s="18" t="s">
        <v>164</v>
      </c>
      <c r="M721" s="18" t="s">
        <v>1556</v>
      </c>
      <c r="N721" s="18" t="s">
        <v>250</v>
      </c>
      <c r="O721" s="20">
        <v>119000</v>
      </c>
      <c r="P721" s="20">
        <v>80920</v>
      </c>
      <c r="Q721" s="20">
        <v>1</v>
      </c>
      <c r="R721" s="20">
        <v>0</v>
      </c>
      <c r="S721" s="20">
        <v>0</v>
      </c>
      <c r="T721" s="20">
        <v>0</v>
      </c>
      <c r="U721" s="20">
        <v>0</v>
      </c>
      <c r="V721" s="20">
        <v>0</v>
      </c>
      <c r="W721" s="20">
        <v>32</v>
      </c>
      <c r="X721" s="20">
        <v>0</v>
      </c>
      <c r="Y721" s="20">
        <v>10000</v>
      </c>
      <c r="Z721" s="20">
        <v>0</v>
      </c>
      <c r="AA721" s="20">
        <v>0</v>
      </c>
      <c r="AB721" s="20">
        <v>0</v>
      </c>
      <c r="AC721" s="20">
        <v>119000</v>
      </c>
      <c r="AD721" s="20">
        <v>80920</v>
      </c>
      <c r="AE721" s="20">
        <v>0</v>
      </c>
      <c r="AF721" s="20">
        <v>10000</v>
      </c>
      <c r="AG721" s="20">
        <v>109000</v>
      </c>
      <c r="AH721" s="20">
        <v>80920</v>
      </c>
      <c r="AI721" s="20">
        <v>25527</v>
      </c>
      <c r="AJ721" s="20">
        <v>2553</v>
      </c>
      <c r="AK721" s="20">
        <v>28080</v>
      </c>
    </row>
    <row r="722" spans="1:37" ht="24" customHeight="1" x14ac:dyDescent="0.3">
      <c r="A722" s="18" t="s">
        <v>2121</v>
      </c>
      <c r="B722" s="18" t="s">
        <v>240</v>
      </c>
      <c r="C722" s="19" t="s">
        <v>241</v>
      </c>
      <c r="D722" s="18" t="s">
        <v>2122</v>
      </c>
      <c r="E722" s="19" t="s">
        <v>2123</v>
      </c>
      <c r="F722" s="18" t="s">
        <v>244</v>
      </c>
      <c r="G722" s="18" t="s">
        <v>245</v>
      </c>
      <c r="H722" s="19" t="s">
        <v>175</v>
      </c>
      <c r="I722" s="18" t="s">
        <v>246</v>
      </c>
      <c r="J722" s="19" t="s">
        <v>247</v>
      </c>
      <c r="K722" s="19" t="s">
        <v>248</v>
      </c>
      <c r="L722" s="18" t="s">
        <v>164</v>
      </c>
      <c r="M722" s="18" t="s">
        <v>1556</v>
      </c>
      <c r="N722" s="18" t="s">
        <v>250</v>
      </c>
      <c r="O722" s="20">
        <v>119000</v>
      </c>
      <c r="P722" s="20">
        <v>80920</v>
      </c>
      <c r="Q722" s="20">
        <v>1</v>
      </c>
      <c r="R722" s="20">
        <v>0</v>
      </c>
      <c r="S722" s="20">
        <v>0</v>
      </c>
      <c r="T722" s="20">
        <v>0</v>
      </c>
      <c r="U722" s="20">
        <v>0</v>
      </c>
      <c r="V722" s="20">
        <v>0</v>
      </c>
      <c r="W722" s="20">
        <v>32</v>
      </c>
      <c r="X722" s="20">
        <v>0</v>
      </c>
      <c r="Y722" s="20">
        <v>0</v>
      </c>
      <c r="Z722" s="20">
        <v>0</v>
      </c>
      <c r="AA722" s="20">
        <v>0</v>
      </c>
      <c r="AB722" s="20">
        <v>0</v>
      </c>
      <c r="AC722" s="20">
        <v>119000</v>
      </c>
      <c r="AD722" s="20">
        <v>80920</v>
      </c>
      <c r="AE722" s="20">
        <v>0</v>
      </c>
      <c r="AF722" s="20">
        <v>0</v>
      </c>
      <c r="AG722" s="20">
        <v>119000</v>
      </c>
      <c r="AH722" s="20">
        <v>80920</v>
      </c>
      <c r="AI722" s="20">
        <v>34618</v>
      </c>
      <c r="AJ722" s="20">
        <v>3462</v>
      </c>
      <c r="AK722" s="20">
        <v>38080</v>
      </c>
    </row>
    <row r="723" spans="1:37" ht="24" customHeight="1" x14ac:dyDescent="0.3">
      <c r="A723" s="18" t="s">
        <v>2124</v>
      </c>
      <c r="B723" s="18" t="s">
        <v>240</v>
      </c>
      <c r="C723" s="19" t="s">
        <v>241</v>
      </c>
      <c r="D723" s="18" t="s">
        <v>2125</v>
      </c>
      <c r="E723" s="19" t="s">
        <v>1137</v>
      </c>
      <c r="F723" s="18" t="s">
        <v>244</v>
      </c>
      <c r="G723" s="18" t="s">
        <v>245</v>
      </c>
      <c r="H723" s="19" t="s">
        <v>175</v>
      </c>
      <c r="I723" s="18" t="s">
        <v>246</v>
      </c>
      <c r="J723" s="19" t="s">
        <v>247</v>
      </c>
      <c r="K723" s="19" t="s">
        <v>248</v>
      </c>
      <c r="L723" s="18" t="s">
        <v>164</v>
      </c>
      <c r="M723" s="18" t="s">
        <v>1556</v>
      </c>
      <c r="N723" s="18" t="s">
        <v>250</v>
      </c>
      <c r="O723" s="20">
        <v>119000</v>
      </c>
      <c r="P723" s="20">
        <v>80920</v>
      </c>
      <c r="Q723" s="20">
        <v>1</v>
      </c>
      <c r="R723" s="20">
        <v>0</v>
      </c>
      <c r="S723" s="20">
        <v>0</v>
      </c>
      <c r="T723" s="20">
        <v>0</v>
      </c>
      <c r="U723" s="20">
        <v>0</v>
      </c>
      <c r="V723" s="20">
        <v>0</v>
      </c>
      <c r="W723" s="20">
        <v>32</v>
      </c>
      <c r="X723" s="20">
        <v>0</v>
      </c>
      <c r="Y723" s="20">
        <v>0</v>
      </c>
      <c r="Z723" s="20">
        <v>0</v>
      </c>
      <c r="AA723" s="20">
        <v>0</v>
      </c>
      <c r="AB723" s="20">
        <v>0</v>
      </c>
      <c r="AC723" s="20">
        <v>119000</v>
      </c>
      <c r="AD723" s="20">
        <v>80920</v>
      </c>
      <c r="AE723" s="20">
        <v>0</v>
      </c>
      <c r="AF723" s="20">
        <v>0</v>
      </c>
      <c r="AG723" s="20">
        <v>119000</v>
      </c>
      <c r="AH723" s="20">
        <v>80920</v>
      </c>
      <c r="AI723" s="20">
        <v>34618</v>
      </c>
      <c r="AJ723" s="20">
        <v>3462</v>
      </c>
      <c r="AK723" s="20">
        <v>38080</v>
      </c>
    </row>
    <row r="724" spans="1:37" ht="24" customHeight="1" x14ac:dyDescent="0.3">
      <c r="A724" s="18" t="s">
        <v>2126</v>
      </c>
      <c r="B724" s="18" t="s">
        <v>240</v>
      </c>
      <c r="C724" s="19" t="s">
        <v>241</v>
      </c>
      <c r="D724" s="18" t="s">
        <v>2127</v>
      </c>
      <c r="E724" s="19" t="s">
        <v>2128</v>
      </c>
      <c r="F724" s="18" t="s">
        <v>244</v>
      </c>
      <c r="G724" s="18" t="s">
        <v>245</v>
      </c>
      <c r="H724" s="19" t="s">
        <v>175</v>
      </c>
      <c r="I724" s="18" t="s">
        <v>246</v>
      </c>
      <c r="J724" s="19" t="s">
        <v>247</v>
      </c>
      <c r="K724" s="19" t="s">
        <v>248</v>
      </c>
      <c r="L724" s="18" t="s">
        <v>164</v>
      </c>
      <c r="M724" s="18" t="s">
        <v>1556</v>
      </c>
      <c r="N724" s="18" t="s">
        <v>250</v>
      </c>
      <c r="O724" s="20">
        <v>119000</v>
      </c>
      <c r="P724" s="20">
        <v>80920</v>
      </c>
      <c r="Q724" s="20">
        <v>1</v>
      </c>
      <c r="R724" s="20">
        <v>0</v>
      </c>
      <c r="S724" s="20">
        <v>0</v>
      </c>
      <c r="T724" s="20">
        <v>0</v>
      </c>
      <c r="U724" s="20">
        <v>0</v>
      </c>
      <c r="V724" s="20">
        <v>0</v>
      </c>
      <c r="W724" s="20">
        <v>32</v>
      </c>
      <c r="X724" s="20">
        <v>0</v>
      </c>
      <c r="Y724" s="20">
        <v>0</v>
      </c>
      <c r="Z724" s="20">
        <v>0</v>
      </c>
      <c r="AA724" s="20">
        <v>0</v>
      </c>
      <c r="AB724" s="20">
        <v>0</v>
      </c>
      <c r="AC724" s="20">
        <v>119000</v>
      </c>
      <c r="AD724" s="20">
        <v>80920</v>
      </c>
      <c r="AE724" s="20">
        <v>0</v>
      </c>
      <c r="AF724" s="20">
        <v>0</v>
      </c>
      <c r="AG724" s="20">
        <v>119000</v>
      </c>
      <c r="AH724" s="20">
        <v>80920</v>
      </c>
      <c r="AI724" s="20">
        <v>34618</v>
      </c>
      <c r="AJ724" s="20">
        <v>3462</v>
      </c>
      <c r="AK724" s="20">
        <v>38080</v>
      </c>
    </row>
    <row r="725" spans="1:37" ht="24" customHeight="1" x14ac:dyDescent="0.3">
      <c r="A725" s="18" t="s">
        <v>2129</v>
      </c>
      <c r="B725" s="18" t="s">
        <v>240</v>
      </c>
      <c r="C725" s="19" t="s">
        <v>241</v>
      </c>
      <c r="D725" s="18" t="s">
        <v>2130</v>
      </c>
      <c r="E725" s="19" t="s">
        <v>253</v>
      </c>
      <c r="F725" s="18" t="s">
        <v>244</v>
      </c>
      <c r="G725" s="18" t="s">
        <v>245</v>
      </c>
      <c r="H725" s="19" t="s">
        <v>175</v>
      </c>
      <c r="I725" s="18" t="s">
        <v>246</v>
      </c>
      <c r="J725" s="19" t="s">
        <v>247</v>
      </c>
      <c r="K725" s="19" t="s">
        <v>248</v>
      </c>
      <c r="L725" s="18" t="s">
        <v>164</v>
      </c>
      <c r="M725" s="18" t="s">
        <v>1556</v>
      </c>
      <c r="N725" s="18" t="s">
        <v>250</v>
      </c>
      <c r="O725" s="20">
        <v>119000</v>
      </c>
      <c r="P725" s="20">
        <v>80920</v>
      </c>
      <c r="Q725" s="20">
        <v>1</v>
      </c>
      <c r="R725" s="20">
        <v>0</v>
      </c>
      <c r="S725" s="20">
        <v>0</v>
      </c>
      <c r="T725" s="20">
        <v>0</v>
      </c>
      <c r="U725" s="20">
        <v>0</v>
      </c>
      <c r="V725" s="20">
        <v>0</v>
      </c>
      <c r="W725" s="20">
        <v>32</v>
      </c>
      <c r="X725" s="20">
        <v>0</v>
      </c>
      <c r="Y725" s="20">
        <v>0</v>
      </c>
      <c r="Z725" s="20">
        <v>0</v>
      </c>
      <c r="AA725" s="20">
        <v>0</v>
      </c>
      <c r="AB725" s="20">
        <v>0</v>
      </c>
      <c r="AC725" s="20">
        <v>119000</v>
      </c>
      <c r="AD725" s="20">
        <v>80920</v>
      </c>
      <c r="AE725" s="20">
        <v>0</v>
      </c>
      <c r="AF725" s="20">
        <v>0</v>
      </c>
      <c r="AG725" s="20">
        <v>119000</v>
      </c>
      <c r="AH725" s="20">
        <v>80920</v>
      </c>
      <c r="AI725" s="20">
        <v>34618</v>
      </c>
      <c r="AJ725" s="20">
        <v>3462</v>
      </c>
      <c r="AK725" s="20">
        <v>38080</v>
      </c>
    </row>
    <row r="726" spans="1:37" ht="24" customHeight="1" x14ac:dyDescent="0.3">
      <c r="A726" s="18" t="s">
        <v>2131</v>
      </c>
      <c r="B726" s="18" t="s">
        <v>240</v>
      </c>
      <c r="C726" s="19" t="s">
        <v>241</v>
      </c>
      <c r="D726" s="18" t="s">
        <v>2132</v>
      </c>
      <c r="E726" s="19" t="s">
        <v>535</v>
      </c>
      <c r="F726" s="18" t="s">
        <v>244</v>
      </c>
      <c r="G726" s="18" t="s">
        <v>245</v>
      </c>
      <c r="H726" s="19" t="s">
        <v>175</v>
      </c>
      <c r="I726" s="18" t="s">
        <v>246</v>
      </c>
      <c r="J726" s="19" t="s">
        <v>247</v>
      </c>
      <c r="K726" s="19" t="s">
        <v>248</v>
      </c>
      <c r="L726" s="18" t="s">
        <v>164</v>
      </c>
      <c r="M726" s="18" t="s">
        <v>1556</v>
      </c>
      <c r="N726" s="18" t="s">
        <v>250</v>
      </c>
      <c r="O726" s="20">
        <v>119000</v>
      </c>
      <c r="P726" s="20">
        <v>80920</v>
      </c>
      <c r="Q726" s="20">
        <v>1</v>
      </c>
      <c r="R726" s="20">
        <v>0</v>
      </c>
      <c r="S726" s="20">
        <v>0</v>
      </c>
      <c r="T726" s="20">
        <v>0</v>
      </c>
      <c r="U726" s="20">
        <v>0</v>
      </c>
      <c r="V726" s="20">
        <v>0</v>
      </c>
      <c r="W726" s="20">
        <v>32</v>
      </c>
      <c r="X726" s="20">
        <v>0</v>
      </c>
      <c r="Y726" s="20">
        <v>0</v>
      </c>
      <c r="Z726" s="20">
        <v>0</v>
      </c>
      <c r="AA726" s="20">
        <v>0</v>
      </c>
      <c r="AB726" s="20">
        <v>0</v>
      </c>
      <c r="AC726" s="20">
        <v>119000</v>
      </c>
      <c r="AD726" s="20">
        <v>80920</v>
      </c>
      <c r="AE726" s="20">
        <v>0</v>
      </c>
      <c r="AF726" s="20">
        <v>0</v>
      </c>
      <c r="AG726" s="20">
        <v>119000</v>
      </c>
      <c r="AH726" s="20">
        <v>80920</v>
      </c>
      <c r="AI726" s="20">
        <v>34618</v>
      </c>
      <c r="AJ726" s="20">
        <v>3462</v>
      </c>
      <c r="AK726" s="20">
        <v>38080</v>
      </c>
    </row>
    <row r="727" spans="1:37" ht="24" customHeight="1" x14ac:dyDescent="0.3">
      <c r="A727" s="18" t="s">
        <v>2133</v>
      </c>
      <c r="B727" s="18" t="s">
        <v>240</v>
      </c>
      <c r="C727" s="19" t="s">
        <v>241</v>
      </c>
      <c r="D727" s="18" t="s">
        <v>2134</v>
      </c>
      <c r="E727" s="19" t="s">
        <v>308</v>
      </c>
      <c r="F727" s="18" t="s">
        <v>244</v>
      </c>
      <c r="G727" s="18" t="s">
        <v>245</v>
      </c>
      <c r="H727" s="19" t="s">
        <v>175</v>
      </c>
      <c r="I727" s="18" t="s">
        <v>246</v>
      </c>
      <c r="J727" s="19" t="s">
        <v>247</v>
      </c>
      <c r="K727" s="19" t="s">
        <v>248</v>
      </c>
      <c r="L727" s="18" t="s">
        <v>164</v>
      </c>
      <c r="M727" s="18" t="s">
        <v>1556</v>
      </c>
      <c r="N727" s="18" t="s">
        <v>250</v>
      </c>
      <c r="O727" s="20">
        <v>119000</v>
      </c>
      <c r="P727" s="20">
        <v>80920</v>
      </c>
      <c r="Q727" s="20">
        <v>1</v>
      </c>
      <c r="R727" s="20">
        <v>0</v>
      </c>
      <c r="S727" s="20">
        <v>0</v>
      </c>
      <c r="T727" s="20">
        <v>0</v>
      </c>
      <c r="U727" s="20">
        <v>0</v>
      </c>
      <c r="V727" s="20">
        <v>0</v>
      </c>
      <c r="W727" s="20">
        <v>32</v>
      </c>
      <c r="X727" s="20">
        <v>0</v>
      </c>
      <c r="Y727" s="20">
        <v>0</v>
      </c>
      <c r="Z727" s="20">
        <v>0</v>
      </c>
      <c r="AA727" s="20">
        <v>0</v>
      </c>
      <c r="AB727" s="20">
        <v>0</v>
      </c>
      <c r="AC727" s="20">
        <v>119000</v>
      </c>
      <c r="AD727" s="20">
        <v>80920</v>
      </c>
      <c r="AE727" s="20">
        <v>0</v>
      </c>
      <c r="AF727" s="20">
        <v>0</v>
      </c>
      <c r="AG727" s="20">
        <v>119000</v>
      </c>
      <c r="AH727" s="20">
        <v>80920</v>
      </c>
      <c r="AI727" s="20">
        <v>34618</v>
      </c>
      <c r="AJ727" s="20">
        <v>3462</v>
      </c>
      <c r="AK727" s="20">
        <v>38080</v>
      </c>
    </row>
    <row r="728" spans="1:37" ht="24" customHeight="1" x14ac:dyDescent="0.3">
      <c r="A728" s="18" t="s">
        <v>2135</v>
      </c>
      <c r="B728" s="18" t="s">
        <v>240</v>
      </c>
      <c r="C728" s="19" t="s">
        <v>241</v>
      </c>
      <c r="D728" s="18" t="s">
        <v>2136</v>
      </c>
      <c r="E728" s="19" t="s">
        <v>716</v>
      </c>
      <c r="F728" s="18" t="s">
        <v>244</v>
      </c>
      <c r="G728" s="18" t="s">
        <v>245</v>
      </c>
      <c r="H728" s="19" t="s">
        <v>175</v>
      </c>
      <c r="I728" s="18" t="s">
        <v>246</v>
      </c>
      <c r="J728" s="19" t="s">
        <v>247</v>
      </c>
      <c r="K728" s="19" t="s">
        <v>248</v>
      </c>
      <c r="L728" s="18" t="s">
        <v>164</v>
      </c>
      <c r="M728" s="18" t="s">
        <v>1556</v>
      </c>
      <c r="N728" s="18" t="s">
        <v>250</v>
      </c>
      <c r="O728" s="20">
        <v>119000</v>
      </c>
      <c r="P728" s="20">
        <v>80920</v>
      </c>
      <c r="Q728" s="20">
        <v>1</v>
      </c>
      <c r="R728" s="20">
        <v>0</v>
      </c>
      <c r="S728" s="20">
        <v>0</v>
      </c>
      <c r="T728" s="20">
        <v>0</v>
      </c>
      <c r="U728" s="20">
        <v>0</v>
      </c>
      <c r="V728" s="20">
        <v>0</v>
      </c>
      <c r="W728" s="20">
        <v>32</v>
      </c>
      <c r="X728" s="20">
        <v>0</v>
      </c>
      <c r="Y728" s="20">
        <v>0</v>
      </c>
      <c r="Z728" s="20">
        <v>0</v>
      </c>
      <c r="AA728" s="20">
        <v>0</v>
      </c>
      <c r="AB728" s="20">
        <v>0</v>
      </c>
      <c r="AC728" s="20">
        <v>119000</v>
      </c>
      <c r="AD728" s="20">
        <v>80920</v>
      </c>
      <c r="AE728" s="20">
        <v>0</v>
      </c>
      <c r="AF728" s="20">
        <v>0</v>
      </c>
      <c r="AG728" s="20">
        <v>119000</v>
      </c>
      <c r="AH728" s="20">
        <v>80920</v>
      </c>
      <c r="AI728" s="20">
        <v>34618</v>
      </c>
      <c r="AJ728" s="20">
        <v>3462</v>
      </c>
      <c r="AK728" s="20">
        <v>38080</v>
      </c>
    </row>
    <row r="729" spans="1:37" ht="24" customHeight="1" x14ac:dyDescent="0.3">
      <c r="A729" s="18" t="s">
        <v>2137</v>
      </c>
      <c r="B729" s="18" t="s">
        <v>240</v>
      </c>
      <c r="C729" s="19" t="s">
        <v>241</v>
      </c>
      <c r="D729" s="18" t="s">
        <v>2138</v>
      </c>
      <c r="E729" s="19" t="s">
        <v>2139</v>
      </c>
      <c r="F729" s="18" t="s">
        <v>244</v>
      </c>
      <c r="G729" s="18" t="s">
        <v>245</v>
      </c>
      <c r="H729" s="19" t="s">
        <v>175</v>
      </c>
      <c r="I729" s="18" t="s">
        <v>246</v>
      </c>
      <c r="J729" s="19" t="s">
        <v>247</v>
      </c>
      <c r="K729" s="19" t="s">
        <v>248</v>
      </c>
      <c r="L729" s="18" t="s">
        <v>164</v>
      </c>
      <c r="M729" s="18" t="s">
        <v>1556</v>
      </c>
      <c r="N729" s="18" t="s">
        <v>250</v>
      </c>
      <c r="O729" s="20">
        <v>119000</v>
      </c>
      <c r="P729" s="20">
        <v>80920</v>
      </c>
      <c r="Q729" s="20">
        <v>1</v>
      </c>
      <c r="R729" s="20">
        <v>0</v>
      </c>
      <c r="S729" s="20">
        <v>0</v>
      </c>
      <c r="T729" s="20">
        <v>0</v>
      </c>
      <c r="U729" s="20">
        <v>0</v>
      </c>
      <c r="V729" s="20">
        <v>0</v>
      </c>
      <c r="W729" s="20">
        <v>32</v>
      </c>
      <c r="X729" s="20">
        <v>0</v>
      </c>
      <c r="Y729" s="20">
        <v>0</v>
      </c>
      <c r="Z729" s="20">
        <v>0</v>
      </c>
      <c r="AA729" s="20">
        <v>0</v>
      </c>
      <c r="AB729" s="20">
        <v>5950</v>
      </c>
      <c r="AC729" s="20">
        <v>119000</v>
      </c>
      <c r="AD729" s="20">
        <v>80920</v>
      </c>
      <c r="AE729" s="20">
        <v>0</v>
      </c>
      <c r="AF729" s="20">
        <v>5950</v>
      </c>
      <c r="AG729" s="20">
        <v>113050</v>
      </c>
      <c r="AH729" s="20">
        <v>80920</v>
      </c>
      <c r="AI729" s="20">
        <v>29209</v>
      </c>
      <c r="AJ729" s="20">
        <v>2921</v>
      </c>
      <c r="AK729" s="20">
        <v>32130</v>
      </c>
    </row>
    <row r="730" spans="1:37" ht="24" customHeight="1" x14ac:dyDescent="0.3">
      <c r="A730" s="18" t="s">
        <v>2140</v>
      </c>
      <c r="B730" s="18" t="s">
        <v>240</v>
      </c>
      <c r="C730" s="19" t="s">
        <v>241</v>
      </c>
      <c r="D730" s="18" t="s">
        <v>2141</v>
      </c>
      <c r="E730" s="19" t="s">
        <v>320</v>
      </c>
      <c r="F730" s="18" t="s">
        <v>244</v>
      </c>
      <c r="G730" s="18" t="s">
        <v>245</v>
      </c>
      <c r="H730" s="19" t="s">
        <v>175</v>
      </c>
      <c r="I730" s="18" t="s">
        <v>246</v>
      </c>
      <c r="J730" s="19" t="s">
        <v>247</v>
      </c>
      <c r="K730" s="19" t="s">
        <v>248</v>
      </c>
      <c r="L730" s="18" t="s">
        <v>164</v>
      </c>
      <c r="M730" s="18" t="s">
        <v>1556</v>
      </c>
      <c r="N730" s="18" t="s">
        <v>250</v>
      </c>
      <c r="O730" s="20">
        <v>119000</v>
      </c>
      <c r="P730" s="20">
        <v>80920</v>
      </c>
      <c r="Q730" s="20">
        <v>1</v>
      </c>
      <c r="R730" s="20">
        <v>0</v>
      </c>
      <c r="S730" s="20">
        <v>0</v>
      </c>
      <c r="T730" s="20">
        <v>0</v>
      </c>
      <c r="U730" s="20">
        <v>0</v>
      </c>
      <c r="V730" s="20">
        <v>0</v>
      </c>
      <c r="W730" s="20">
        <v>32</v>
      </c>
      <c r="X730" s="20">
        <v>0</v>
      </c>
      <c r="Y730" s="20">
        <v>0</v>
      </c>
      <c r="Z730" s="20">
        <v>0</v>
      </c>
      <c r="AA730" s="20">
        <v>0</v>
      </c>
      <c r="AB730" s="20">
        <v>0</v>
      </c>
      <c r="AC730" s="20">
        <v>119000</v>
      </c>
      <c r="AD730" s="20">
        <v>80920</v>
      </c>
      <c r="AE730" s="20">
        <v>0</v>
      </c>
      <c r="AF730" s="20">
        <v>0</v>
      </c>
      <c r="AG730" s="20">
        <v>119000</v>
      </c>
      <c r="AH730" s="20">
        <v>80920</v>
      </c>
      <c r="AI730" s="20">
        <v>34618</v>
      </c>
      <c r="AJ730" s="20">
        <v>3462</v>
      </c>
      <c r="AK730" s="20">
        <v>38080</v>
      </c>
    </row>
    <row r="731" spans="1:37" ht="24" customHeight="1" x14ac:dyDescent="0.3">
      <c r="A731" s="18" t="s">
        <v>2142</v>
      </c>
      <c r="B731" s="18" t="s">
        <v>240</v>
      </c>
      <c r="C731" s="19" t="s">
        <v>241</v>
      </c>
      <c r="D731" s="18" t="s">
        <v>2143</v>
      </c>
      <c r="E731" s="19" t="s">
        <v>374</v>
      </c>
      <c r="F731" s="18" t="s">
        <v>244</v>
      </c>
      <c r="G731" s="18" t="s">
        <v>245</v>
      </c>
      <c r="H731" s="19" t="s">
        <v>175</v>
      </c>
      <c r="I731" s="18" t="s">
        <v>246</v>
      </c>
      <c r="J731" s="19" t="s">
        <v>247</v>
      </c>
      <c r="K731" s="19" t="s">
        <v>248</v>
      </c>
      <c r="L731" s="18" t="s">
        <v>164</v>
      </c>
      <c r="M731" s="18" t="s">
        <v>1556</v>
      </c>
      <c r="N731" s="18" t="s">
        <v>250</v>
      </c>
      <c r="O731" s="20">
        <v>119000</v>
      </c>
      <c r="P731" s="20">
        <v>80920</v>
      </c>
      <c r="Q731" s="20">
        <v>1</v>
      </c>
      <c r="R731" s="20">
        <v>0</v>
      </c>
      <c r="S731" s="20">
        <v>0</v>
      </c>
      <c r="T731" s="20">
        <v>0</v>
      </c>
      <c r="U731" s="20">
        <v>0</v>
      </c>
      <c r="V731" s="20">
        <v>0</v>
      </c>
      <c r="W731" s="20">
        <v>32</v>
      </c>
      <c r="X731" s="20">
        <v>0</v>
      </c>
      <c r="Y731" s="20">
        <v>0</v>
      </c>
      <c r="Z731" s="20">
        <v>0</v>
      </c>
      <c r="AA731" s="20">
        <v>0</v>
      </c>
      <c r="AB731" s="20">
        <v>0</v>
      </c>
      <c r="AC731" s="20">
        <v>119000</v>
      </c>
      <c r="AD731" s="20">
        <v>80920</v>
      </c>
      <c r="AE731" s="20">
        <v>0</v>
      </c>
      <c r="AF731" s="20">
        <v>0</v>
      </c>
      <c r="AG731" s="20">
        <v>119000</v>
      </c>
      <c r="AH731" s="20">
        <v>80920</v>
      </c>
      <c r="AI731" s="20">
        <v>34618</v>
      </c>
      <c r="AJ731" s="20">
        <v>3462</v>
      </c>
      <c r="AK731" s="20">
        <v>38080</v>
      </c>
    </row>
    <row r="732" spans="1:37" ht="24" customHeight="1" x14ac:dyDescent="0.3">
      <c r="A732" s="18" t="s">
        <v>2144</v>
      </c>
      <c r="B732" s="18" t="s">
        <v>240</v>
      </c>
      <c r="C732" s="19" t="s">
        <v>241</v>
      </c>
      <c r="D732" s="18" t="s">
        <v>2145</v>
      </c>
      <c r="E732" s="19" t="s">
        <v>2146</v>
      </c>
      <c r="F732" s="18" t="s">
        <v>244</v>
      </c>
      <c r="G732" s="18" t="s">
        <v>245</v>
      </c>
      <c r="H732" s="19" t="s">
        <v>175</v>
      </c>
      <c r="I732" s="18" t="s">
        <v>246</v>
      </c>
      <c r="J732" s="19" t="s">
        <v>247</v>
      </c>
      <c r="K732" s="19" t="s">
        <v>314</v>
      </c>
      <c r="L732" s="18" t="s">
        <v>164</v>
      </c>
      <c r="M732" s="18" t="s">
        <v>1556</v>
      </c>
      <c r="N732" s="18" t="s">
        <v>250</v>
      </c>
      <c r="O732" s="20">
        <v>119000</v>
      </c>
      <c r="P732" s="20">
        <v>80920</v>
      </c>
      <c r="Q732" s="20">
        <v>1</v>
      </c>
      <c r="R732" s="20">
        <v>0</v>
      </c>
      <c r="S732" s="20">
        <v>0</v>
      </c>
      <c r="T732" s="20">
        <v>0</v>
      </c>
      <c r="U732" s="20">
        <v>0</v>
      </c>
      <c r="V732" s="20">
        <v>0</v>
      </c>
      <c r="W732" s="20">
        <v>32</v>
      </c>
      <c r="X732" s="20">
        <v>14280</v>
      </c>
      <c r="Y732" s="20">
        <v>0</v>
      </c>
      <c r="Z732" s="20">
        <v>0</v>
      </c>
      <c r="AA732" s="20">
        <v>0</v>
      </c>
      <c r="AB732" s="20">
        <v>0</v>
      </c>
      <c r="AC732" s="20">
        <v>119000</v>
      </c>
      <c r="AD732" s="20">
        <v>80920</v>
      </c>
      <c r="AE732" s="20">
        <v>0</v>
      </c>
      <c r="AF732" s="20">
        <v>14280</v>
      </c>
      <c r="AG732" s="20">
        <v>104720</v>
      </c>
      <c r="AH732" s="20">
        <v>80920</v>
      </c>
      <c r="AI732" s="20">
        <v>21636</v>
      </c>
      <c r="AJ732" s="20">
        <v>2164</v>
      </c>
      <c r="AK732" s="20">
        <v>23800</v>
      </c>
    </row>
    <row r="733" spans="1:37" ht="24" customHeight="1" x14ac:dyDescent="0.3">
      <c r="A733" s="18" t="s">
        <v>2147</v>
      </c>
      <c r="B733" s="18" t="s">
        <v>240</v>
      </c>
      <c r="C733" s="19" t="s">
        <v>241</v>
      </c>
      <c r="D733" s="18" t="s">
        <v>2148</v>
      </c>
      <c r="E733" s="19" t="s">
        <v>424</v>
      </c>
      <c r="F733" s="18" t="s">
        <v>244</v>
      </c>
      <c r="G733" s="18" t="s">
        <v>245</v>
      </c>
      <c r="H733" s="19" t="s">
        <v>175</v>
      </c>
      <c r="I733" s="18" t="s">
        <v>246</v>
      </c>
      <c r="J733" s="19" t="s">
        <v>247</v>
      </c>
      <c r="K733" s="19" t="s">
        <v>248</v>
      </c>
      <c r="L733" s="18" t="s">
        <v>164</v>
      </c>
      <c r="M733" s="18" t="s">
        <v>1556</v>
      </c>
      <c r="N733" s="18" t="s">
        <v>250</v>
      </c>
      <c r="O733" s="20">
        <v>119000</v>
      </c>
      <c r="P733" s="20">
        <v>80920</v>
      </c>
      <c r="Q733" s="20">
        <v>1</v>
      </c>
      <c r="R733" s="20">
        <v>0</v>
      </c>
      <c r="S733" s="20">
        <v>0</v>
      </c>
      <c r="T733" s="20">
        <v>0</v>
      </c>
      <c r="U733" s="20">
        <v>0</v>
      </c>
      <c r="V733" s="20">
        <v>0</v>
      </c>
      <c r="W733" s="20">
        <v>32</v>
      </c>
      <c r="X733" s="20">
        <v>0</v>
      </c>
      <c r="Y733" s="20">
        <v>0</v>
      </c>
      <c r="Z733" s="20">
        <v>0</v>
      </c>
      <c r="AA733" s="20">
        <v>0</v>
      </c>
      <c r="AB733" s="20">
        <v>0</v>
      </c>
      <c r="AC733" s="20">
        <v>119000</v>
      </c>
      <c r="AD733" s="20">
        <v>80920</v>
      </c>
      <c r="AE733" s="20">
        <v>0</v>
      </c>
      <c r="AF733" s="20">
        <v>0</v>
      </c>
      <c r="AG733" s="20">
        <v>119000</v>
      </c>
      <c r="AH733" s="20">
        <v>80920</v>
      </c>
      <c r="AI733" s="20">
        <v>34618</v>
      </c>
      <c r="AJ733" s="20">
        <v>3462</v>
      </c>
      <c r="AK733" s="20">
        <v>38080</v>
      </c>
    </row>
    <row r="734" spans="1:37" ht="24" customHeight="1" x14ac:dyDescent="0.3">
      <c r="A734" s="18" t="s">
        <v>2149</v>
      </c>
      <c r="B734" s="18" t="s">
        <v>240</v>
      </c>
      <c r="C734" s="19" t="s">
        <v>241</v>
      </c>
      <c r="D734" s="18" t="s">
        <v>2150</v>
      </c>
      <c r="E734" s="19" t="s">
        <v>2151</v>
      </c>
      <c r="F734" s="18" t="s">
        <v>244</v>
      </c>
      <c r="G734" s="18" t="s">
        <v>245</v>
      </c>
      <c r="H734" s="19" t="s">
        <v>175</v>
      </c>
      <c r="I734" s="18" t="s">
        <v>246</v>
      </c>
      <c r="J734" s="19" t="s">
        <v>247</v>
      </c>
      <c r="K734" s="19" t="s">
        <v>248</v>
      </c>
      <c r="L734" s="18" t="s">
        <v>164</v>
      </c>
      <c r="M734" s="18" t="s">
        <v>1556</v>
      </c>
      <c r="N734" s="18" t="s">
        <v>250</v>
      </c>
      <c r="O734" s="20">
        <v>119000</v>
      </c>
      <c r="P734" s="20">
        <v>80920</v>
      </c>
      <c r="Q734" s="20">
        <v>1</v>
      </c>
      <c r="R734" s="20">
        <v>0</v>
      </c>
      <c r="S734" s="20">
        <v>0</v>
      </c>
      <c r="T734" s="20">
        <v>0</v>
      </c>
      <c r="U734" s="20">
        <v>0</v>
      </c>
      <c r="V734" s="20">
        <v>0</v>
      </c>
      <c r="W734" s="20">
        <v>32</v>
      </c>
      <c r="X734" s="20">
        <v>0</v>
      </c>
      <c r="Y734" s="20">
        <v>0</v>
      </c>
      <c r="Z734" s="20">
        <v>0</v>
      </c>
      <c r="AA734" s="20">
        <v>0</v>
      </c>
      <c r="AB734" s="20">
        <v>0</v>
      </c>
      <c r="AC734" s="20">
        <v>119000</v>
      </c>
      <c r="AD734" s="20">
        <v>80920</v>
      </c>
      <c r="AE734" s="20">
        <v>0</v>
      </c>
      <c r="AF734" s="20">
        <v>0</v>
      </c>
      <c r="AG734" s="20">
        <v>119000</v>
      </c>
      <c r="AH734" s="20">
        <v>80920</v>
      </c>
      <c r="AI734" s="20">
        <v>34618</v>
      </c>
      <c r="AJ734" s="20">
        <v>3462</v>
      </c>
      <c r="AK734" s="20">
        <v>38080</v>
      </c>
    </row>
    <row r="735" spans="1:37" ht="24" customHeight="1" x14ac:dyDescent="0.3">
      <c r="A735" s="18" t="s">
        <v>2152</v>
      </c>
      <c r="B735" s="18" t="s">
        <v>240</v>
      </c>
      <c r="C735" s="19" t="s">
        <v>241</v>
      </c>
      <c r="D735" s="18" t="s">
        <v>2153</v>
      </c>
      <c r="E735" s="19" t="s">
        <v>2154</v>
      </c>
      <c r="F735" s="18" t="s">
        <v>244</v>
      </c>
      <c r="G735" s="18" t="s">
        <v>245</v>
      </c>
      <c r="H735" s="19" t="s">
        <v>175</v>
      </c>
      <c r="I735" s="18" t="s">
        <v>246</v>
      </c>
      <c r="J735" s="19" t="s">
        <v>247</v>
      </c>
      <c r="K735" s="19" t="s">
        <v>248</v>
      </c>
      <c r="L735" s="18" t="s">
        <v>164</v>
      </c>
      <c r="M735" s="18" t="s">
        <v>1556</v>
      </c>
      <c r="N735" s="18" t="s">
        <v>250</v>
      </c>
      <c r="O735" s="20">
        <v>119000</v>
      </c>
      <c r="P735" s="20">
        <v>80920</v>
      </c>
      <c r="Q735" s="20">
        <v>1</v>
      </c>
      <c r="R735" s="20">
        <v>0</v>
      </c>
      <c r="S735" s="20">
        <v>0</v>
      </c>
      <c r="T735" s="20">
        <v>0</v>
      </c>
      <c r="U735" s="20">
        <v>0</v>
      </c>
      <c r="V735" s="20">
        <v>0</v>
      </c>
      <c r="W735" s="20">
        <v>32</v>
      </c>
      <c r="X735" s="20">
        <v>0</v>
      </c>
      <c r="Y735" s="20">
        <v>0</v>
      </c>
      <c r="Z735" s="20">
        <v>0</v>
      </c>
      <c r="AA735" s="20">
        <v>0</v>
      </c>
      <c r="AB735" s="20">
        <v>0</v>
      </c>
      <c r="AC735" s="20">
        <v>119000</v>
      </c>
      <c r="AD735" s="20">
        <v>80920</v>
      </c>
      <c r="AE735" s="20">
        <v>0</v>
      </c>
      <c r="AF735" s="20">
        <v>0</v>
      </c>
      <c r="AG735" s="20">
        <v>119000</v>
      </c>
      <c r="AH735" s="20">
        <v>80920</v>
      </c>
      <c r="AI735" s="20">
        <v>34618</v>
      </c>
      <c r="AJ735" s="20">
        <v>3462</v>
      </c>
      <c r="AK735" s="20">
        <v>38080</v>
      </c>
    </row>
    <row r="736" spans="1:37" ht="24" customHeight="1" x14ac:dyDescent="0.3">
      <c r="A736" s="18" t="s">
        <v>2155</v>
      </c>
      <c r="B736" s="18" t="s">
        <v>240</v>
      </c>
      <c r="C736" s="19" t="s">
        <v>241</v>
      </c>
      <c r="D736" s="18" t="s">
        <v>2156</v>
      </c>
      <c r="E736" s="19" t="s">
        <v>1318</v>
      </c>
      <c r="F736" s="18" t="s">
        <v>244</v>
      </c>
      <c r="G736" s="18" t="s">
        <v>245</v>
      </c>
      <c r="H736" s="19" t="s">
        <v>175</v>
      </c>
      <c r="I736" s="18" t="s">
        <v>246</v>
      </c>
      <c r="J736" s="19" t="s">
        <v>247</v>
      </c>
      <c r="K736" s="19" t="s">
        <v>248</v>
      </c>
      <c r="L736" s="18" t="s">
        <v>164</v>
      </c>
      <c r="M736" s="18" t="s">
        <v>1556</v>
      </c>
      <c r="N736" s="18" t="s">
        <v>250</v>
      </c>
      <c r="O736" s="20">
        <v>119000</v>
      </c>
      <c r="P736" s="20">
        <v>80920</v>
      </c>
      <c r="Q736" s="20">
        <v>1</v>
      </c>
      <c r="R736" s="20">
        <v>0</v>
      </c>
      <c r="S736" s="20">
        <v>0</v>
      </c>
      <c r="T736" s="20">
        <v>0</v>
      </c>
      <c r="U736" s="20">
        <v>0</v>
      </c>
      <c r="V736" s="20">
        <v>0</v>
      </c>
      <c r="W736" s="20">
        <v>32</v>
      </c>
      <c r="X736" s="20">
        <v>0</v>
      </c>
      <c r="Y736" s="20">
        <v>0</v>
      </c>
      <c r="Z736" s="20">
        <v>0</v>
      </c>
      <c r="AA736" s="20">
        <v>0</v>
      </c>
      <c r="AB736" s="20">
        <v>0</v>
      </c>
      <c r="AC736" s="20">
        <v>119000</v>
      </c>
      <c r="AD736" s="20">
        <v>80920</v>
      </c>
      <c r="AE736" s="20">
        <v>0</v>
      </c>
      <c r="AF736" s="20">
        <v>0</v>
      </c>
      <c r="AG736" s="20">
        <v>119000</v>
      </c>
      <c r="AH736" s="20">
        <v>80920</v>
      </c>
      <c r="AI736" s="20">
        <v>34618</v>
      </c>
      <c r="AJ736" s="20">
        <v>3462</v>
      </c>
      <c r="AK736" s="20">
        <v>38080</v>
      </c>
    </row>
    <row r="737" spans="1:37" ht="24" customHeight="1" x14ac:dyDescent="0.3">
      <c r="A737" s="18" t="s">
        <v>2157</v>
      </c>
      <c r="B737" s="18" t="s">
        <v>240</v>
      </c>
      <c r="C737" s="19" t="s">
        <v>241</v>
      </c>
      <c r="D737" s="18" t="s">
        <v>2158</v>
      </c>
      <c r="E737" s="19" t="s">
        <v>588</v>
      </c>
      <c r="F737" s="18" t="s">
        <v>244</v>
      </c>
      <c r="G737" s="18" t="s">
        <v>245</v>
      </c>
      <c r="H737" s="19" t="s">
        <v>175</v>
      </c>
      <c r="I737" s="18" t="s">
        <v>246</v>
      </c>
      <c r="J737" s="19" t="s">
        <v>247</v>
      </c>
      <c r="K737" s="19" t="s">
        <v>248</v>
      </c>
      <c r="L737" s="18" t="s">
        <v>164</v>
      </c>
      <c r="M737" s="18" t="s">
        <v>1556</v>
      </c>
      <c r="N737" s="18" t="s">
        <v>250</v>
      </c>
      <c r="O737" s="20">
        <v>119000</v>
      </c>
      <c r="P737" s="20">
        <v>80920</v>
      </c>
      <c r="Q737" s="20">
        <v>1</v>
      </c>
      <c r="R737" s="20">
        <v>0</v>
      </c>
      <c r="S737" s="20">
        <v>0</v>
      </c>
      <c r="T737" s="20">
        <v>0</v>
      </c>
      <c r="U737" s="20">
        <v>0</v>
      </c>
      <c r="V737" s="20">
        <v>0</v>
      </c>
      <c r="W737" s="20">
        <v>32</v>
      </c>
      <c r="X737" s="20">
        <v>0</v>
      </c>
      <c r="Y737" s="20">
        <v>0</v>
      </c>
      <c r="Z737" s="20">
        <v>0</v>
      </c>
      <c r="AA737" s="20">
        <v>0</v>
      </c>
      <c r="AB737" s="20">
        <v>0</v>
      </c>
      <c r="AC737" s="20">
        <v>119000</v>
      </c>
      <c r="AD737" s="20">
        <v>80920</v>
      </c>
      <c r="AE737" s="20">
        <v>0</v>
      </c>
      <c r="AF737" s="20">
        <v>0</v>
      </c>
      <c r="AG737" s="20">
        <v>119000</v>
      </c>
      <c r="AH737" s="20">
        <v>80920</v>
      </c>
      <c r="AI737" s="20">
        <v>34618</v>
      </c>
      <c r="AJ737" s="20">
        <v>3462</v>
      </c>
      <c r="AK737" s="20">
        <v>38080</v>
      </c>
    </row>
    <row r="738" spans="1:37" ht="24" customHeight="1" x14ac:dyDescent="0.3">
      <c r="A738" s="18" t="s">
        <v>2159</v>
      </c>
      <c r="B738" s="18" t="s">
        <v>240</v>
      </c>
      <c r="C738" s="19" t="s">
        <v>241</v>
      </c>
      <c r="D738" s="18" t="s">
        <v>2160</v>
      </c>
      <c r="E738" s="19" t="s">
        <v>2161</v>
      </c>
      <c r="F738" s="18" t="s">
        <v>244</v>
      </c>
      <c r="G738" s="18" t="s">
        <v>245</v>
      </c>
      <c r="H738" s="19" t="s">
        <v>175</v>
      </c>
      <c r="I738" s="18" t="s">
        <v>246</v>
      </c>
      <c r="J738" s="19" t="s">
        <v>247</v>
      </c>
      <c r="K738" s="19" t="s">
        <v>248</v>
      </c>
      <c r="L738" s="18" t="s">
        <v>164</v>
      </c>
      <c r="M738" s="18" t="s">
        <v>1556</v>
      </c>
      <c r="N738" s="18" t="s">
        <v>250</v>
      </c>
      <c r="O738" s="20">
        <v>119000</v>
      </c>
      <c r="P738" s="20">
        <v>80920</v>
      </c>
      <c r="Q738" s="20">
        <v>1</v>
      </c>
      <c r="R738" s="20">
        <v>0</v>
      </c>
      <c r="S738" s="20">
        <v>0</v>
      </c>
      <c r="T738" s="20">
        <v>0</v>
      </c>
      <c r="U738" s="20">
        <v>0</v>
      </c>
      <c r="V738" s="20">
        <v>0</v>
      </c>
      <c r="W738" s="20">
        <v>32</v>
      </c>
      <c r="X738" s="20">
        <v>0</v>
      </c>
      <c r="Y738" s="20">
        <v>0</v>
      </c>
      <c r="Z738" s="20">
        <v>0</v>
      </c>
      <c r="AA738" s="20">
        <v>0</v>
      </c>
      <c r="AB738" s="20">
        <v>0</v>
      </c>
      <c r="AC738" s="20">
        <v>119000</v>
      </c>
      <c r="AD738" s="20">
        <v>80920</v>
      </c>
      <c r="AE738" s="20">
        <v>0</v>
      </c>
      <c r="AF738" s="20">
        <v>0</v>
      </c>
      <c r="AG738" s="20">
        <v>119000</v>
      </c>
      <c r="AH738" s="20">
        <v>80920</v>
      </c>
      <c r="AI738" s="20">
        <v>34618</v>
      </c>
      <c r="AJ738" s="20">
        <v>3462</v>
      </c>
      <c r="AK738" s="20">
        <v>38080</v>
      </c>
    </row>
    <row r="739" spans="1:37" ht="24" customHeight="1" x14ac:dyDescent="0.3">
      <c r="A739" s="18" t="s">
        <v>2162</v>
      </c>
      <c r="B739" s="18" t="s">
        <v>240</v>
      </c>
      <c r="C739" s="19" t="s">
        <v>241</v>
      </c>
      <c r="D739" s="18" t="s">
        <v>2163</v>
      </c>
      <c r="E739" s="19" t="s">
        <v>1318</v>
      </c>
      <c r="F739" s="18" t="s">
        <v>244</v>
      </c>
      <c r="G739" s="18" t="s">
        <v>245</v>
      </c>
      <c r="H739" s="19" t="s">
        <v>175</v>
      </c>
      <c r="I739" s="18" t="s">
        <v>246</v>
      </c>
      <c r="J739" s="19" t="s">
        <v>247</v>
      </c>
      <c r="K739" s="19" t="s">
        <v>248</v>
      </c>
      <c r="L739" s="18" t="s">
        <v>164</v>
      </c>
      <c r="M739" s="18" t="s">
        <v>1556</v>
      </c>
      <c r="N739" s="18" t="s">
        <v>250</v>
      </c>
      <c r="O739" s="20">
        <v>119000</v>
      </c>
      <c r="P739" s="20">
        <v>80920</v>
      </c>
      <c r="Q739" s="20">
        <v>1</v>
      </c>
      <c r="R739" s="20">
        <v>0</v>
      </c>
      <c r="S739" s="20">
        <v>0</v>
      </c>
      <c r="T739" s="20">
        <v>0</v>
      </c>
      <c r="U739" s="20">
        <v>0</v>
      </c>
      <c r="V739" s="20">
        <v>0</v>
      </c>
      <c r="W739" s="20">
        <v>32</v>
      </c>
      <c r="X739" s="20">
        <v>0</v>
      </c>
      <c r="Y739" s="20">
        <v>0</v>
      </c>
      <c r="Z739" s="20">
        <v>0</v>
      </c>
      <c r="AA739" s="20">
        <v>0</v>
      </c>
      <c r="AB739" s="20">
        <v>0</v>
      </c>
      <c r="AC739" s="20">
        <v>119000</v>
      </c>
      <c r="AD739" s="20">
        <v>80920</v>
      </c>
      <c r="AE739" s="20">
        <v>0</v>
      </c>
      <c r="AF739" s="20">
        <v>0</v>
      </c>
      <c r="AG739" s="20">
        <v>119000</v>
      </c>
      <c r="AH739" s="20">
        <v>80920</v>
      </c>
      <c r="AI739" s="20">
        <v>34618</v>
      </c>
      <c r="AJ739" s="20">
        <v>3462</v>
      </c>
      <c r="AK739" s="20">
        <v>38080</v>
      </c>
    </row>
    <row r="740" spans="1:37" ht="24" customHeight="1" x14ac:dyDescent="0.3">
      <c r="A740" s="18" t="s">
        <v>2164</v>
      </c>
      <c r="B740" s="18" t="s">
        <v>240</v>
      </c>
      <c r="C740" s="19" t="s">
        <v>241</v>
      </c>
      <c r="D740" s="18" t="s">
        <v>2165</v>
      </c>
      <c r="E740" s="19" t="s">
        <v>574</v>
      </c>
      <c r="F740" s="18" t="s">
        <v>244</v>
      </c>
      <c r="G740" s="18" t="s">
        <v>245</v>
      </c>
      <c r="H740" s="19" t="s">
        <v>175</v>
      </c>
      <c r="I740" s="18" t="s">
        <v>246</v>
      </c>
      <c r="J740" s="19" t="s">
        <v>247</v>
      </c>
      <c r="K740" s="19" t="s">
        <v>248</v>
      </c>
      <c r="L740" s="18" t="s">
        <v>164</v>
      </c>
      <c r="M740" s="18" t="s">
        <v>1556</v>
      </c>
      <c r="N740" s="18" t="s">
        <v>250</v>
      </c>
      <c r="O740" s="20">
        <v>119000</v>
      </c>
      <c r="P740" s="20">
        <v>80920</v>
      </c>
      <c r="Q740" s="20">
        <v>1</v>
      </c>
      <c r="R740" s="20">
        <v>0</v>
      </c>
      <c r="S740" s="20">
        <v>0</v>
      </c>
      <c r="T740" s="20">
        <v>0</v>
      </c>
      <c r="U740" s="20">
        <v>0</v>
      </c>
      <c r="V740" s="20">
        <v>0</v>
      </c>
      <c r="W740" s="20">
        <v>32</v>
      </c>
      <c r="X740" s="20">
        <v>0</v>
      </c>
      <c r="Y740" s="20">
        <v>0</v>
      </c>
      <c r="Z740" s="20">
        <v>0</v>
      </c>
      <c r="AA740" s="20">
        <v>0</v>
      </c>
      <c r="AB740" s="20">
        <v>0</v>
      </c>
      <c r="AC740" s="20">
        <v>119000</v>
      </c>
      <c r="AD740" s="20">
        <v>80920</v>
      </c>
      <c r="AE740" s="20">
        <v>0</v>
      </c>
      <c r="AF740" s="20">
        <v>0</v>
      </c>
      <c r="AG740" s="20">
        <v>119000</v>
      </c>
      <c r="AH740" s="20">
        <v>80920</v>
      </c>
      <c r="AI740" s="20">
        <v>34618</v>
      </c>
      <c r="AJ740" s="20">
        <v>3462</v>
      </c>
      <c r="AK740" s="20">
        <v>38080</v>
      </c>
    </row>
    <row r="741" spans="1:37" ht="24" customHeight="1" x14ac:dyDescent="0.3">
      <c r="A741" s="18" t="s">
        <v>2166</v>
      </c>
      <c r="B741" s="18" t="s">
        <v>240</v>
      </c>
      <c r="C741" s="19" t="s">
        <v>241</v>
      </c>
      <c r="D741" s="18" t="s">
        <v>2167</v>
      </c>
      <c r="E741" s="19" t="s">
        <v>2168</v>
      </c>
      <c r="F741" s="18" t="s">
        <v>244</v>
      </c>
      <c r="G741" s="18" t="s">
        <v>245</v>
      </c>
      <c r="H741" s="19" t="s">
        <v>175</v>
      </c>
      <c r="I741" s="18" t="s">
        <v>246</v>
      </c>
      <c r="J741" s="19" t="s">
        <v>247</v>
      </c>
      <c r="K741" s="19" t="s">
        <v>248</v>
      </c>
      <c r="L741" s="18" t="s">
        <v>164</v>
      </c>
      <c r="M741" s="18" t="s">
        <v>1556</v>
      </c>
      <c r="N741" s="18" t="s">
        <v>250</v>
      </c>
      <c r="O741" s="20">
        <v>119000</v>
      </c>
      <c r="P741" s="20">
        <v>80920</v>
      </c>
      <c r="Q741" s="20">
        <v>1</v>
      </c>
      <c r="R741" s="20">
        <v>0</v>
      </c>
      <c r="S741" s="20">
        <v>0</v>
      </c>
      <c r="T741" s="20">
        <v>0</v>
      </c>
      <c r="U741" s="20">
        <v>0</v>
      </c>
      <c r="V741" s="20">
        <v>0</v>
      </c>
      <c r="W741" s="20">
        <v>32</v>
      </c>
      <c r="X741" s="20">
        <v>0</v>
      </c>
      <c r="Y741" s="20">
        <v>0</v>
      </c>
      <c r="Z741" s="20">
        <v>0</v>
      </c>
      <c r="AA741" s="20">
        <v>0</v>
      </c>
      <c r="AB741" s="20">
        <v>0</v>
      </c>
      <c r="AC741" s="20">
        <v>119000</v>
      </c>
      <c r="AD741" s="20">
        <v>80920</v>
      </c>
      <c r="AE741" s="20">
        <v>0</v>
      </c>
      <c r="AF741" s="20">
        <v>0</v>
      </c>
      <c r="AG741" s="20">
        <v>119000</v>
      </c>
      <c r="AH741" s="20">
        <v>80920</v>
      </c>
      <c r="AI741" s="20">
        <v>34618</v>
      </c>
      <c r="AJ741" s="20">
        <v>3462</v>
      </c>
      <c r="AK741" s="20">
        <v>38080</v>
      </c>
    </row>
    <row r="742" spans="1:37" ht="24" customHeight="1" x14ac:dyDescent="0.3">
      <c r="A742" s="18" t="s">
        <v>2169</v>
      </c>
      <c r="B742" s="18" t="s">
        <v>240</v>
      </c>
      <c r="C742" s="19" t="s">
        <v>241</v>
      </c>
      <c r="D742" s="18" t="s">
        <v>2170</v>
      </c>
      <c r="E742" s="19" t="s">
        <v>432</v>
      </c>
      <c r="F742" s="18" t="s">
        <v>244</v>
      </c>
      <c r="G742" s="18" t="s">
        <v>245</v>
      </c>
      <c r="H742" s="19" t="s">
        <v>175</v>
      </c>
      <c r="I742" s="18" t="s">
        <v>246</v>
      </c>
      <c r="J742" s="19" t="s">
        <v>247</v>
      </c>
      <c r="K742" s="19" t="s">
        <v>248</v>
      </c>
      <c r="L742" s="18" t="s">
        <v>164</v>
      </c>
      <c r="M742" s="18" t="s">
        <v>1556</v>
      </c>
      <c r="N742" s="18" t="s">
        <v>250</v>
      </c>
      <c r="O742" s="20">
        <v>119000</v>
      </c>
      <c r="P742" s="20">
        <v>80920</v>
      </c>
      <c r="Q742" s="20">
        <v>1</v>
      </c>
      <c r="R742" s="20">
        <v>0</v>
      </c>
      <c r="S742" s="20">
        <v>0</v>
      </c>
      <c r="T742" s="20">
        <v>0</v>
      </c>
      <c r="U742" s="20">
        <v>0</v>
      </c>
      <c r="V742" s="20">
        <v>0</v>
      </c>
      <c r="W742" s="20">
        <v>32</v>
      </c>
      <c r="X742" s="20">
        <v>0</v>
      </c>
      <c r="Y742" s="20">
        <v>0</v>
      </c>
      <c r="Z742" s="20">
        <v>0</v>
      </c>
      <c r="AA742" s="20">
        <v>0</v>
      </c>
      <c r="AB742" s="20">
        <v>0</v>
      </c>
      <c r="AC742" s="20">
        <v>119000</v>
      </c>
      <c r="AD742" s="20">
        <v>80920</v>
      </c>
      <c r="AE742" s="20">
        <v>0</v>
      </c>
      <c r="AF742" s="20">
        <v>0</v>
      </c>
      <c r="AG742" s="20">
        <v>119000</v>
      </c>
      <c r="AH742" s="20">
        <v>80920</v>
      </c>
      <c r="AI742" s="20">
        <v>34618</v>
      </c>
      <c r="AJ742" s="20">
        <v>3462</v>
      </c>
      <c r="AK742" s="20">
        <v>38080</v>
      </c>
    </row>
    <row r="743" spans="1:37" ht="24" customHeight="1" x14ac:dyDescent="0.3">
      <c r="A743" s="18" t="s">
        <v>2171</v>
      </c>
      <c r="B743" s="18" t="s">
        <v>240</v>
      </c>
      <c r="C743" s="19" t="s">
        <v>241</v>
      </c>
      <c r="D743" s="18" t="s">
        <v>2172</v>
      </c>
      <c r="E743" s="19" t="s">
        <v>1948</v>
      </c>
      <c r="F743" s="18" t="s">
        <v>244</v>
      </c>
      <c r="G743" s="18" t="s">
        <v>245</v>
      </c>
      <c r="H743" s="19" t="s">
        <v>175</v>
      </c>
      <c r="I743" s="18" t="s">
        <v>246</v>
      </c>
      <c r="J743" s="19" t="s">
        <v>247</v>
      </c>
      <c r="K743" s="19" t="s">
        <v>248</v>
      </c>
      <c r="L743" s="18" t="s">
        <v>164</v>
      </c>
      <c r="M743" s="18" t="s">
        <v>1556</v>
      </c>
      <c r="N743" s="18" t="s">
        <v>250</v>
      </c>
      <c r="O743" s="20">
        <v>119000</v>
      </c>
      <c r="P743" s="20">
        <v>80920</v>
      </c>
      <c r="Q743" s="20">
        <v>1</v>
      </c>
      <c r="R743" s="20">
        <v>0</v>
      </c>
      <c r="S743" s="20">
        <v>0</v>
      </c>
      <c r="T743" s="20">
        <v>0</v>
      </c>
      <c r="U743" s="20">
        <v>0</v>
      </c>
      <c r="V743" s="20">
        <v>0</v>
      </c>
      <c r="W743" s="20">
        <v>32</v>
      </c>
      <c r="X743" s="20">
        <v>0</v>
      </c>
      <c r="Y743" s="20">
        <v>0</v>
      </c>
      <c r="Z743" s="20">
        <v>0</v>
      </c>
      <c r="AA743" s="20">
        <v>0</v>
      </c>
      <c r="AB743" s="20">
        <v>0</v>
      </c>
      <c r="AC743" s="20">
        <v>119000</v>
      </c>
      <c r="AD743" s="20">
        <v>80920</v>
      </c>
      <c r="AE743" s="20">
        <v>0</v>
      </c>
      <c r="AF743" s="20">
        <v>0</v>
      </c>
      <c r="AG743" s="20">
        <v>119000</v>
      </c>
      <c r="AH743" s="20">
        <v>80920</v>
      </c>
      <c r="AI743" s="20">
        <v>34618</v>
      </c>
      <c r="AJ743" s="20">
        <v>3462</v>
      </c>
      <c r="AK743" s="20">
        <v>38080</v>
      </c>
    </row>
    <row r="744" spans="1:37" ht="24" customHeight="1" x14ac:dyDescent="0.3">
      <c r="A744" s="18" t="s">
        <v>2173</v>
      </c>
      <c r="B744" s="18" t="s">
        <v>240</v>
      </c>
      <c r="C744" s="19" t="s">
        <v>241</v>
      </c>
      <c r="D744" s="18" t="s">
        <v>2174</v>
      </c>
      <c r="E744" s="19" t="s">
        <v>1948</v>
      </c>
      <c r="F744" s="18" t="s">
        <v>244</v>
      </c>
      <c r="G744" s="18" t="s">
        <v>245</v>
      </c>
      <c r="H744" s="19" t="s">
        <v>175</v>
      </c>
      <c r="I744" s="18" t="s">
        <v>246</v>
      </c>
      <c r="J744" s="19" t="s">
        <v>247</v>
      </c>
      <c r="K744" s="19" t="s">
        <v>248</v>
      </c>
      <c r="L744" s="18" t="s">
        <v>164</v>
      </c>
      <c r="M744" s="18" t="s">
        <v>1556</v>
      </c>
      <c r="N744" s="18" t="s">
        <v>250</v>
      </c>
      <c r="O744" s="20">
        <v>119000</v>
      </c>
      <c r="P744" s="20">
        <v>80920</v>
      </c>
      <c r="Q744" s="20">
        <v>1</v>
      </c>
      <c r="R744" s="20">
        <v>0</v>
      </c>
      <c r="S744" s="20">
        <v>0</v>
      </c>
      <c r="T744" s="20">
        <v>0</v>
      </c>
      <c r="U744" s="20">
        <v>0</v>
      </c>
      <c r="V744" s="20">
        <v>0</v>
      </c>
      <c r="W744" s="20">
        <v>32</v>
      </c>
      <c r="X744" s="20">
        <v>0</v>
      </c>
      <c r="Y744" s="20">
        <v>0</v>
      </c>
      <c r="Z744" s="20">
        <v>0</v>
      </c>
      <c r="AA744" s="20">
        <v>0</v>
      </c>
      <c r="AB744" s="20">
        <v>0</v>
      </c>
      <c r="AC744" s="20">
        <v>119000</v>
      </c>
      <c r="AD744" s="20">
        <v>80920</v>
      </c>
      <c r="AE744" s="20">
        <v>0</v>
      </c>
      <c r="AF744" s="20">
        <v>0</v>
      </c>
      <c r="AG744" s="20">
        <v>119000</v>
      </c>
      <c r="AH744" s="20">
        <v>80920</v>
      </c>
      <c r="AI744" s="20">
        <v>34618</v>
      </c>
      <c r="AJ744" s="20">
        <v>3462</v>
      </c>
      <c r="AK744" s="20">
        <v>38080</v>
      </c>
    </row>
    <row r="745" spans="1:37" ht="24" customHeight="1" x14ac:dyDescent="0.3">
      <c r="A745" s="18" t="s">
        <v>2175</v>
      </c>
      <c r="B745" s="18" t="s">
        <v>240</v>
      </c>
      <c r="C745" s="19" t="s">
        <v>241</v>
      </c>
      <c r="D745" s="18" t="s">
        <v>2176</v>
      </c>
      <c r="E745" s="19" t="s">
        <v>2177</v>
      </c>
      <c r="F745" s="18" t="s">
        <v>244</v>
      </c>
      <c r="G745" s="18" t="s">
        <v>245</v>
      </c>
      <c r="H745" s="19" t="s">
        <v>175</v>
      </c>
      <c r="I745" s="18" t="s">
        <v>246</v>
      </c>
      <c r="J745" s="19" t="s">
        <v>247</v>
      </c>
      <c r="K745" s="19" t="s">
        <v>248</v>
      </c>
      <c r="L745" s="18" t="s">
        <v>164</v>
      </c>
      <c r="M745" s="18" t="s">
        <v>1556</v>
      </c>
      <c r="N745" s="18" t="s">
        <v>250</v>
      </c>
      <c r="O745" s="20">
        <v>119000</v>
      </c>
      <c r="P745" s="20">
        <v>80920</v>
      </c>
      <c r="Q745" s="20">
        <v>1</v>
      </c>
      <c r="R745" s="20">
        <v>0</v>
      </c>
      <c r="S745" s="20">
        <v>0</v>
      </c>
      <c r="T745" s="20">
        <v>0</v>
      </c>
      <c r="U745" s="20">
        <v>0</v>
      </c>
      <c r="V745" s="20">
        <v>0</v>
      </c>
      <c r="W745" s="20">
        <v>32</v>
      </c>
      <c r="X745" s="20">
        <v>0</v>
      </c>
      <c r="Y745" s="20">
        <v>0</v>
      </c>
      <c r="Z745" s="20">
        <v>0</v>
      </c>
      <c r="AA745" s="20">
        <v>0</v>
      </c>
      <c r="AB745" s="20">
        <v>0</v>
      </c>
      <c r="AC745" s="20">
        <v>119000</v>
      </c>
      <c r="AD745" s="20">
        <v>80920</v>
      </c>
      <c r="AE745" s="20">
        <v>0</v>
      </c>
      <c r="AF745" s="20">
        <v>0</v>
      </c>
      <c r="AG745" s="20">
        <v>119000</v>
      </c>
      <c r="AH745" s="20">
        <v>80920</v>
      </c>
      <c r="AI745" s="20">
        <v>34618</v>
      </c>
      <c r="AJ745" s="20">
        <v>3462</v>
      </c>
      <c r="AK745" s="20">
        <v>38080</v>
      </c>
    </row>
    <row r="746" spans="1:37" ht="24" customHeight="1" x14ac:dyDescent="0.3">
      <c r="A746" s="18" t="s">
        <v>2178</v>
      </c>
      <c r="B746" s="18" t="s">
        <v>240</v>
      </c>
      <c r="C746" s="19" t="s">
        <v>241</v>
      </c>
      <c r="D746" s="18" t="s">
        <v>2179</v>
      </c>
      <c r="E746" s="19" t="s">
        <v>473</v>
      </c>
      <c r="F746" s="18" t="s">
        <v>244</v>
      </c>
      <c r="G746" s="18" t="s">
        <v>245</v>
      </c>
      <c r="H746" s="19" t="s">
        <v>175</v>
      </c>
      <c r="I746" s="18" t="s">
        <v>246</v>
      </c>
      <c r="J746" s="19" t="s">
        <v>247</v>
      </c>
      <c r="K746" s="19" t="s">
        <v>248</v>
      </c>
      <c r="L746" s="18" t="s">
        <v>164</v>
      </c>
      <c r="M746" s="18" t="s">
        <v>1556</v>
      </c>
      <c r="N746" s="18" t="s">
        <v>250</v>
      </c>
      <c r="O746" s="20">
        <v>119000</v>
      </c>
      <c r="P746" s="20">
        <v>80920</v>
      </c>
      <c r="Q746" s="20">
        <v>1</v>
      </c>
      <c r="R746" s="20">
        <v>0</v>
      </c>
      <c r="S746" s="20">
        <v>0</v>
      </c>
      <c r="T746" s="20">
        <v>0</v>
      </c>
      <c r="U746" s="20">
        <v>0</v>
      </c>
      <c r="V746" s="20">
        <v>0</v>
      </c>
      <c r="W746" s="20">
        <v>32</v>
      </c>
      <c r="X746" s="20">
        <v>0</v>
      </c>
      <c r="Y746" s="20">
        <v>0</v>
      </c>
      <c r="Z746" s="20">
        <v>0</v>
      </c>
      <c r="AA746" s="20">
        <v>0</v>
      </c>
      <c r="AB746" s="20">
        <v>0</v>
      </c>
      <c r="AC746" s="20">
        <v>119000</v>
      </c>
      <c r="AD746" s="20">
        <v>80920</v>
      </c>
      <c r="AE746" s="20">
        <v>0</v>
      </c>
      <c r="AF746" s="20">
        <v>0</v>
      </c>
      <c r="AG746" s="20">
        <v>119000</v>
      </c>
      <c r="AH746" s="20">
        <v>80920</v>
      </c>
      <c r="AI746" s="20">
        <v>34618</v>
      </c>
      <c r="AJ746" s="20">
        <v>3462</v>
      </c>
      <c r="AK746" s="20">
        <v>38080</v>
      </c>
    </row>
    <row r="747" spans="1:37" ht="24" customHeight="1" x14ac:dyDescent="0.3">
      <c r="A747" s="18" t="s">
        <v>2180</v>
      </c>
      <c r="B747" s="18" t="s">
        <v>240</v>
      </c>
      <c r="C747" s="19" t="s">
        <v>241</v>
      </c>
      <c r="D747" s="18" t="s">
        <v>2181</v>
      </c>
      <c r="E747" s="19" t="s">
        <v>461</v>
      </c>
      <c r="F747" s="18" t="s">
        <v>244</v>
      </c>
      <c r="G747" s="18" t="s">
        <v>245</v>
      </c>
      <c r="H747" s="19" t="s">
        <v>175</v>
      </c>
      <c r="I747" s="18" t="s">
        <v>246</v>
      </c>
      <c r="J747" s="19" t="s">
        <v>247</v>
      </c>
      <c r="K747" s="19" t="s">
        <v>248</v>
      </c>
      <c r="L747" s="18" t="s">
        <v>164</v>
      </c>
      <c r="M747" s="18" t="s">
        <v>1556</v>
      </c>
      <c r="N747" s="18" t="s">
        <v>250</v>
      </c>
      <c r="O747" s="20">
        <v>119000</v>
      </c>
      <c r="P747" s="20">
        <v>80920</v>
      </c>
      <c r="Q747" s="20">
        <v>1</v>
      </c>
      <c r="R747" s="20">
        <v>0</v>
      </c>
      <c r="S747" s="20">
        <v>0</v>
      </c>
      <c r="T747" s="20">
        <v>0</v>
      </c>
      <c r="U747" s="20">
        <v>0</v>
      </c>
      <c r="V747" s="20">
        <v>0</v>
      </c>
      <c r="W747" s="20">
        <v>32</v>
      </c>
      <c r="X747" s="20">
        <v>0</v>
      </c>
      <c r="Y747" s="20">
        <v>0</v>
      </c>
      <c r="Z747" s="20">
        <v>0</v>
      </c>
      <c r="AA747" s="20">
        <v>0</v>
      </c>
      <c r="AB747" s="20">
        <v>0</v>
      </c>
      <c r="AC747" s="20">
        <v>119000</v>
      </c>
      <c r="AD747" s="20">
        <v>80920</v>
      </c>
      <c r="AE747" s="20">
        <v>0</v>
      </c>
      <c r="AF747" s="20">
        <v>0</v>
      </c>
      <c r="AG747" s="20">
        <v>119000</v>
      </c>
      <c r="AH747" s="20">
        <v>80920</v>
      </c>
      <c r="AI747" s="20">
        <v>34618</v>
      </c>
      <c r="AJ747" s="20">
        <v>3462</v>
      </c>
      <c r="AK747" s="20">
        <v>38080</v>
      </c>
    </row>
    <row r="748" spans="1:37" ht="24" customHeight="1" x14ac:dyDescent="0.3">
      <c r="A748" s="18" t="s">
        <v>2182</v>
      </c>
      <c r="B748" s="18" t="s">
        <v>240</v>
      </c>
      <c r="C748" s="19" t="s">
        <v>241</v>
      </c>
      <c r="D748" s="18" t="s">
        <v>2183</v>
      </c>
      <c r="E748" s="19" t="s">
        <v>461</v>
      </c>
      <c r="F748" s="18" t="s">
        <v>244</v>
      </c>
      <c r="G748" s="18" t="s">
        <v>245</v>
      </c>
      <c r="H748" s="19" t="s">
        <v>175</v>
      </c>
      <c r="I748" s="18" t="s">
        <v>246</v>
      </c>
      <c r="J748" s="19" t="s">
        <v>247</v>
      </c>
      <c r="K748" s="19" t="s">
        <v>248</v>
      </c>
      <c r="L748" s="18" t="s">
        <v>164</v>
      </c>
      <c r="M748" s="18" t="s">
        <v>1556</v>
      </c>
      <c r="N748" s="18" t="s">
        <v>250</v>
      </c>
      <c r="O748" s="20">
        <v>119000</v>
      </c>
      <c r="P748" s="20">
        <v>80920</v>
      </c>
      <c r="Q748" s="20">
        <v>1</v>
      </c>
      <c r="R748" s="20">
        <v>0</v>
      </c>
      <c r="S748" s="20">
        <v>0</v>
      </c>
      <c r="T748" s="20">
        <v>0</v>
      </c>
      <c r="U748" s="20">
        <v>0</v>
      </c>
      <c r="V748" s="20">
        <v>0</v>
      </c>
      <c r="W748" s="20">
        <v>32</v>
      </c>
      <c r="X748" s="20">
        <v>0</v>
      </c>
      <c r="Y748" s="20">
        <v>0</v>
      </c>
      <c r="Z748" s="20">
        <v>0</v>
      </c>
      <c r="AA748" s="20">
        <v>0</v>
      </c>
      <c r="AB748" s="20">
        <v>0</v>
      </c>
      <c r="AC748" s="20">
        <v>119000</v>
      </c>
      <c r="AD748" s="20">
        <v>80920</v>
      </c>
      <c r="AE748" s="20">
        <v>0</v>
      </c>
      <c r="AF748" s="20">
        <v>0</v>
      </c>
      <c r="AG748" s="20">
        <v>119000</v>
      </c>
      <c r="AH748" s="20">
        <v>80920</v>
      </c>
      <c r="AI748" s="20">
        <v>34618</v>
      </c>
      <c r="AJ748" s="20">
        <v>3462</v>
      </c>
      <c r="AK748" s="20">
        <v>38080</v>
      </c>
    </row>
    <row r="749" spans="1:37" ht="24" customHeight="1" x14ac:dyDescent="0.3">
      <c r="A749" s="18" t="s">
        <v>2184</v>
      </c>
      <c r="B749" s="18" t="s">
        <v>240</v>
      </c>
      <c r="C749" s="19" t="s">
        <v>241</v>
      </c>
      <c r="D749" s="18" t="s">
        <v>2185</v>
      </c>
      <c r="E749" s="19" t="s">
        <v>461</v>
      </c>
      <c r="F749" s="18" t="s">
        <v>244</v>
      </c>
      <c r="G749" s="18" t="s">
        <v>245</v>
      </c>
      <c r="H749" s="19" t="s">
        <v>175</v>
      </c>
      <c r="I749" s="18" t="s">
        <v>246</v>
      </c>
      <c r="J749" s="19" t="s">
        <v>247</v>
      </c>
      <c r="K749" s="19" t="s">
        <v>248</v>
      </c>
      <c r="L749" s="18" t="s">
        <v>164</v>
      </c>
      <c r="M749" s="18" t="s">
        <v>1556</v>
      </c>
      <c r="N749" s="18" t="s">
        <v>250</v>
      </c>
      <c r="O749" s="20">
        <v>119000</v>
      </c>
      <c r="P749" s="20">
        <v>80920</v>
      </c>
      <c r="Q749" s="20">
        <v>1</v>
      </c>
      <c r="R749" s="20">
        <v>0</v>
      </c>
      <c r="S749" s="20">
        <v>0</v>
      </c>
      <c r="T749" s="20">
        <v>0</v>
      </c>
      <c r="U749" s="20">
        <v>0</v>
      </c>
      <c r="V749" s="20">
        <v>0</v>
      </c>
      <c r="W749" s="20">
        <v>32</v>
      </c>
      <c r="X749" s="20">
        <v>0</v>
      </c>
      <c r="Y749" s="20">
        <v>0</v>
      </c>
      <c r="Z749" s="20">
        <v>0</v>
      </c>
      <c r="AA749" s="20">
        <v>0</v>
      </c>
      <c r="AB749" s="20">
        <v>0</v>
      </c>
      <c r="AC749" s="20">
        <v>119000</v>
      </c>
      <c r="AD749" s="20">
        <v>80920</v>
      </c>
      <c r="AE749" s="20">
        <v>0</v>
      </c>
      <c r="AF749" s="20">
        <v>0</v>
      </c>
      <c r="AG749" s="20">
        <v>119000</v>
      </c>
      <c r="AH749" s="20">
        <v>80920</v>
      </c>
      <c r="AI749" s="20">
        <v>34618</v>
      </c>
      <c r="AJ749" s="20">
        <v>3462</v>
      </c>
      <c r="AK749" s="20">
        <v>38080</v>
      </c>
    </row>
    <row r="750" spans="1:37" ht="24" customHeight="1" x14ac:dyDescent="0.3">
      <c r="A750" s="18" t="s">
        <v>2186</v>
      </c>
      <c r="B750" s="18" t="s">
        <v>240</v>
      </c>
      <c r="C750" s="19" t="s">
        <v>241</v>
      </c>
      <c r="D750" s="18" t="s">
        <v>2187</v>
      </c>
      <c r="E750" s="19" t="s">
        <v>2188</v>
      </c>
      <c r="F750" s="18" t="s">
        <v>244</v>
      </c>
      <c r="G750" s="18" t="s">
        <v>245</v>
      </c>
      <c r="H750" s="19" t="s">
        <v>175</v>
      </c>
      <c r="I750" s="18" t="s">
        <v>246</v>
      </c>
      <c r="J750" s="19" t="s">
        <v>247</v>
      </c>
      <c r="K750" s="19" t="s">
        <v>248</v>
      </c>
      <c r="L750" s="18" t="s">
        <v>164</v>
      </c>
      <c r="M750" s="18" t="s">
        <v>1556</v>
      </c>
      <c r="N750" s="18" t="s">
        <v>250</v>
      </c>
      <c r="O750" s="20">
        <v>119000</v>
      </c>
      <c r="P750" s="20">
        <v>80920</v>
      </c>
      <c r="Q750" s="20">
        <v>1</v>
      </c>
      <c r="R750" s="20">
        <v>0</v>
      </c>
      <c r="S750" s="20">
        <v>0</v>
      </c>
      <c r="T750" s="20">
        <v>0</v>
      </c>
      <c r="U750" s="20">
        <v>0</v>
      </c>
      <c r="V750" s="20">
        <v>0</v>
      </c>
      <c r="W750" s="20">
        <v>32</v>
      </c>
      <c r="X750" s="20">
        <v>0</v>
      </c>
      <c r="Y750" s="20">
        <v>0</v>
      </c>
      <c r="Z750" s="20">
        <v>0</v>
      </c>
      <c r="AA750" s="20">
        <v>0</v>
      </c>
      <c r="AB750" s="20">
        <v>0</v>
      </c>
      <c r="AC750" s="20">
        <v>119000</v>
      </c>
      <c r="AD750" s="20">
        <v>80920</v>
      </c>
      <c r="AE750" s="20">
        <v>0</v>
      </c>
      <c r="AF750" s="20">
        <v>0</v>
      </c>
      <c r="AG750" s="20">
        <v>119000</v>
      </c>
      <c r="AH750" s="20">
        <v>80920</v>
      </c>
      <c r="AI750" s="20">
        <v>34618</v>
      </c>
      <c r="AJ750" s="20">
        <v>3462</v>
      </c>
      <c r="AK750" s="20">
        <v>38080</v>
      </c>
    </row>
    <row r="751" spans="1:37" ht="24" customHeight="1" x14ac:dyDescent="0.3">
      <c r="A751" s="18" t="s">
        <v>2189</v>
      </c>
      <c r="B751" s="18" t="s">
        <v>240</v>
      </c>
      <c r="C751" s="19" t="s">
        <v>241</v>
      </c>
      <c r="D751" s="18" t="s">
        <v>2190</v>
      </c>
      <c r="E751" s="19" t="s">
        <v>727</v>
      </c>
      <c r="F751" s="18" t="s">
        <v>244</v>
      </c>
      <c r="G751" s="18" t="s">
        <v>245</v>
      </c>
      <c r="H751" s="19" t="s">
        <v>175</v>
      </c>
      <c r="I751" s="18" t="s">
        <v>246</v>
      </c>
      <c r="J751" s="19" t="s">
        <v>247</v>
      </c>
      <c r="K751" s="19" t="s">
        <v>248</v>
      </c>
      <c r="L751" s="18" t="s">
        <v>164</v>
      </c>
      <c r="M751" s="18" t="s">
        <v>1556</v>
      </c>
      <c r="N751" s="18" t="s">
        <v>250</v>
      </c>
      <c r="O751" s="20">
        <v>119000</v>
      </c>
      <c r="P751" s="20">
        <v>80920</v>
      </c>
      <c r="Q751" s="20">
        <v>1</v>
      </c>
      <c r="R751" s="20">
        <v>0</v>
      </c>
      <c r="S751" s="20">
        <v>0</v>
      </c>
      <c r="T751" s="20">
        <v>0</v>
      </c>
      <c r="U751" s="20">
        <v>0</v>
      </c>
      <c r="V751" s="20">
        <v>0</v>
      </c>
      <c r="W751" s="20">
        <v>32</v>
      </c>
      <c r="X751" s="20">
        <v>23800</v>
      </c>
      <c r="Y751" s="20">
        <v>0</v>
      </c>
      <c r="Z751" s="20">
        <v>0</v>
      </c>
      <c r="AA751" s="20">
        <v>0</v>
      </c>
      <c r="AB751" s="20">
        <v>0</v>
      </c>
      <c r="AC751" s="20">
        <v>119000</v>
      </c>
      <c r="AD751" s="20">
        <v>80920</v>
      </c>
      <c r="AE751" s="20">
        <v>0</v>
      </c>
      <c r="AF751" s="20">
        <v>23800</v>
      </c>
      <c r="AG751" s="20">
        <v>95200</v>
      </c>
      <c r="AH751" s="20">
        <v>80920</v>
      </c>
      <c r="AI751" s="20">
        <v>12982</v>
      </c>
      <c r="AJ751" s="20">
        <v>1298</v>
      </c>
      <c r="AK751" s="20">
        <v>14280</v>
      </c>
    </row>
    <row r="752" spans="1:37" ht="24" customHeight="1" x14ac:dyDescent="0.3">
      <c r="A752" s="18" t="s">
        <v>2191</v>
      </c>
      <c r="B752" s="18" t="s">
        <v>240</v>
      </c>
      <c r="C752" s="19" t="s">
        <v>241</v>
      </c>
      <c r="D752" s="18" t="s">
        <v>2192</v>
      </c>
      <c r="E752" s="19" t="s">
        <v>2193</v>
      </c>
      <c r="F752" s="18" t="s">
        <v>244</v>
      </c>
      <c r="G752" s="18" t="s">
        <v>245</v>
      </c>
      <c r="H752" s="19" t="s">
        <v>175</v>
      </c>
      <c r="I752" s="18" t="s">
        <v>246</v>
      </c>
      <c r="J752" s="19" t="s">
        <v>247</v>
      </c>
      <c r="K752" s="19" t="s">
        <v>314</v>
      </c>
      <c r="L752" s="18" t="s">
        <v>164</v>
      </c>
      <c r="M752" s="18" t="s">
        <v>1556</v>
      </c>
      <c r="N752" s="18" t="s">
        <v>250</v>
      </c>
      <c r="O752" s="20">
        <v>119000</v>
      </c>
      <c r="P752" s="20">
        <v>80920</v>
      </c>
      <c r="Q752" s="20">
        <v>1</v>
      </c>
      <c r="R752" s="20">
        <v>0</v>
      </c>
      <c r="S752" s="20">
        <v>0</v>
      </c>
      <c r="T752" s="20">
        <v>0</v>
      </c>
      <c r="U752" s="20">
        <v>0</v>
      </c>
      <c r="V752" s="20">
        <v>0</v>
      </c>
      <c r="W752" s="20">
        <v>32</v>
      </c>
      <c r="X752" s="20">
        <v>0</v>
      </c>
      <c r="Y752" s="20">
        <v>0</v>
      </c>
      <c r="Z752" s="20">
        <v>0</v>
      </c>
      <c r="AA752" s="20">
        <v>0</v>
      </c>
      <c r="AB752" s="20">
        <v>0</v>
      </c>
      <c r="AC752" s="20">
        <v>119000</v>
      </c>
      <c r="AD752" s="20">
        <v>80920</v>
      </c>
      <c r="AE752" s="20">
        <v>0</v>
      </c>
      <c r="AF752" s="20">
        <v>0</v>
      </c>
      <c r="AG752" s="20">
        <v>119000</v>
      </c>
      <c r="AH752" s="20">
        <v>80920</v>
      </c>
      <c r="AI752" s="20">
        <v>34618</v>
      </c>
      <c r="AJ752" s="20">
        <v>3462</v>
      </c>
      <c r="AK752" s="20">
        <v>38080</v>
      </c>
    </row>
    <row r="753" spans="1:37" ht="24" customHeight="1" x14ac:dyDescent="0.3">
      <c r="A753" s="18" t="s">
        <v>2194</v>
      </c>
      <c r="B753" s="18" t="s">
        <v>240</v>
      </c>
      <c r="C753" s="19" t="s">
        <v>241</v>
      </c>
      <c r="D753" s="18" t="s">
        <v>2195</v>
      </c>
      <c r="E753" s="19" t="s">
        <v>473</v>
      </c>
      <c r="F753" s="18" t="s">
        <v>244</v>
      </c>
      <c r="G753" s="18" t="s">
        <v>245</v>
      </c>
      <c r="H753" s="19" t="s">
        <v>175</v>
      </c>
      <c r="I753" s="18" t="s">
        <v>246</v>
      </c>
      <c r="J753" s="19" t="s">
        <v>247</v>
      </c>
      <c r="K753" s="19" t="s">
        <v>314</v>
      </c>
      <c r="L753" s="18" t="s">
        <v>164</v>
      </c>
      <c r="M753" s="18" t="s">
        <v>1556</v>
      </c>
      <c r="N753" s="18" t="s">
        <v>250</v>
      </c>
      <c r="O753" s="20">
        <v>119000</v>
      </c>
      <c r="P753" s="20">
        <v>80920</v>
      </c>
      <c r="Q753" s="20">
        <v>1</v>
      </c>
      <c r="R753" s="20">
        <v>0</v>
      </c>
      <c r="S753" s="20">
        <v>0</v>
      </c>
      <c r="T753" s="20">
        <v>0</v>
      </c>
      <c r="U753" s="20">
        <v>0</v>
      </c>
      <c r="V753" s="20">
        <v>0</v>
      </c>
      <c r="W753" s="20">
        <v>32</v>
      </c>
      <c r="X753" s="20">
        <v>0</v>
      </c>
      <c r="Y753" s="20">
        <v>0</v>
      </c>
      <c r="Z753" s="20">
        <v>0</v>
      </c>
      <c r="AA753" s="20">
        <v>0</v>
      </c>
      <c r="AB753" s="20">
        <v>0</v>
      </c>
      <c r="AC753" s="20">
        <v>119000</v>
      </c>
      <c r="AD753" s="20">
        <v>80920</v>
      </c>
      <c r="AE753" s="20">
        <v>0</v>
      </c>
      <c r="AF753" s="20">
        <v>0</v>
      </c>
      <c r="AG753" s="20">
        <v>119000</v>
      </c>
      <c r="AH753" s="20">
        <v>80920</v>
      </c>
      <c r="AI753" s="20">
        <v>34618</v>
      </c>
      <c r="AJ753" s="20">
        <v>3462</v>
      </c>
      <c r="AK753" s="20">
        <v>38080</v>
      </c>
    </row>
    <row r="754" spans="1:37" ht="24" customHeight="1" x14ac:dyDescent="0.3">
      <c r="A754" s="18" t="s">
        <v>2196</v>
      </c>
      <c r="B754" s="18" t="s">
        <v>240</v>
      </c>
      <c r="C754" s="19" t="s">
        <v>241</v>
      </c>
      <c r="D754" s="18" t="s">
        <v>2197</v>
      </c>
      <c r="E754" s="19" t="s">
        <v>2198</v>
      </c>
      <c r="F754" s="18" t="s">
        <v>244</v>
      </c>
      <c r="G754" s="18" t="s">
        <v>245</v>
      </c>
      <c r="H754" s="19" t="s">
        <v>175</v>
      </c>
      <c r="I754" s="18" t="s">
        <v>246</v>
      </c>
      <c r="J754" s="19" t="s">
        <v>247</v>
      </c>
      <c r="K754" s="19" t="s">
        <v>248</v>
      </c>
      <c r="L754" s="18" t="s">
        <v>164</v>
      </c>
      <c r="M754" s="18" t="s">
        <v>1556</v>
      </c>
      <c r="N754" s="18" t="s">
        <v>250</v>
      </c>
      <c r="O754" s="20">
        <v>119000</v>
      </c>
      <c r="P754" s="20">
        <v>80920</v>
      </c>
      <c r="Q754" s="20">
        <v>1</v>
      </c>
      <c r="R754" s="20">
        <v>0</v>
      </c>
      <c r="S754" s="20">
        <v>0</v>
      </c>
      <c r="T754" s="20">
        <v>0</v>
      </c>
      <c r="U754" s="20">
        <v>0</v>
      </c>
      <c r="V754" s="20">
        <v>0</v>
      </c>
      <c r="W754" s="20">
        <v>32</v>
      </c>
      <c r="X754" s="20">
        <v>0</v>
      </c>
      <c r="Y754" s="20">
        <v>0</v>
      </c>
      <c r="Z754" s="20">
        <v>0</v>
      </c>
      <c r="AA754" s="20">
        <v>0</v>
      </c>
      <c r="AB754" s="20">
        <v>5950</v>
      </c>
      <c r="AC754" s="20">
        <v>119000</v>
      </c>
      <c r="AD754" s="20">
        <v>80920</v>
      </c>
      <c r="AE754" s="20">
        <v>0</v>
      </c>
      <c r="AF754" s="20">
        <v>5950</v>
      </c>
      <c r="AG754" s="20">
        <v>113050</v>
      </c>
      <c r="AH754" s="20">
        <v>80920</v>
      </c>
      <c r="AI754" s="20">
        <v>29209</v>
      </c>
      <c r="AJ754" s="20">
        <v>2921</v>
      </c>
      <c r="AK754" s="20">
        <v>32130</v>
      </c>
    </row>
    <row r="755" spans="1:37" ht="24" customHeight="1" x14ac:dyDescent="0.3">
      <c r="A755" s="18" t="s">
        <v>2199</v>
      </c>
      <c r="B755" s="18" t="s">
        <v>240</v>
      </c>
      <c r="C755" s="19" t="s">
        <v>241</v>
      </c>
      <c r="D755" s="18" t="s">
        <v>2200</v>
      </c>
      <c r="E755" s="19" t="s">
        <v>907</v>
      </c>
      <c r="F755" s="18" t="s">
        <v>244</v>
      </c>
      <c r="G755" s="18" t="s">
        <v>245</v>
      </c>
      <c r="H755" s="19" t="s">
        <v>175</v>
      </c>
      <c r="I755" s="18" t="s">
        <v>246</v>
      </c>
      <c r="J755" s="19" t="s">
        <v>247</v>
      </c>
      <c r="K755" s="19" t="s">
        <v>248</v>
      </c>
      <c r="L755" s="18" t="s">
        <v>164</v>
      </c>
      <c r="M755" s="18" t="s">
        <v>1556</v>
      </c>
      <c r="N755" s="18" t="s">
        <v>250</v>
      </c>
      <c r="O755" s="20">
        <v>119000</v>
      </c>
      <c r="P755" s="20">
        <v>80920</v>
      </c>
      <c r="Q755" s="20">
        <v>1</v>
      </c>
      <c r="R755" s="20">
        <v>0</v>
      </c>
      <c r="S755" s="20">
        <v>0</v>
      </c>
      <c r="T755" s="20">
        <v>0</v>
      </c>
      <c r="U755" s="20">
        <v>0</v>
      </c>
      <c r="V755" s="20">
        <v>0</v>
      </c>
      <c r="W755" s="20">
        <v>32</v>
      </c>
      <c r="X755" s="20">
        <v>0</v>
      </c>
      <c r="Y755" s="20">
        <v>0</v>
      </c>
      <c r="Z755" s="20">
        <v>0</v>
      </c>
      <c r="AA755" s="20">
        <v>0</v>
      </c>
      <c r="AB755" s="20">
        <v>0</v>
      </c>
      <c r="AC755" s="20">
        <v>119000</v>
      </c>
      <c r="AD755" s="20">
        <v>80920</v>
      </c>
      <c r="AE755" s="20">
        <v>0</v>
      </c>
      <c r="AF755" s="20">
        <v>0</v>
      </c>
      <c r="AG755" s="20">
        <v>119000</v>
      </c>
      <c r="AH755" s="20">
        <v>80920</v>
      </c>
      <c r="AI755" s="20">
        <v>34618</v>
      </c>
      <c r="AJ755" s="20">
        <v>3462</v>
      </c>
      <c r="AK755" s="20">
        <v>38080</v>
      </c>
    </row>
    <row r="756" spans="1:37" ht="24" customHeight="1" x14ac:dyDescent="0.3">
      <c r="A756" s="18" t="s">
        <v>2201</v>
      </c>
      <c r="B756" s="18" t="s">
        <v>240</v>
      </c>
      <c r="C756" s="19" t="s">
        <v>241</v>
      </c>
      <c r="D756" s="18" t="s">
        <v>2202</v>
      </c>
      <c r="E756" s="19" t="s">
        <v>383</v>
      </c>
      <c r="F756" s="18" t="s">
        <v>244</v>
      </c>
      <c r="G756" s="18" t="s">
        <v>245</v>
      </c>
      <c r="H756" s="19" t="s">
        <v>175</v>
      </c>
      <c r="I756" s="18" t="s">
        <v>246</v>
      </c>
      <c r="J756" s="19" t="s">
        <v>247</v>
      </c>
      <c r="K756" s="19" t="s">
        <v>248</v>
      </c>
      <c r="L756" s="18" t="s">
        <v>164</v>
      </c>
      <c r="M756" s="18" t="s">
        <v>1556</v>
      </c>
      <c r="N756" s="18" t="s">
        <v>250</v>
      </c>
      <c r="O756" s="20">
        <v>119000</v>
      </c>
      <c r="P756" s="20">
        <v>80920</v>
      </c>
      <c r="Q756" s="20">
        <v>1</v>
      </c>
      <c r="R756" s="20">
        <v>0</v>
      </c>
      <c r="S756" s="20">
        <v>0</v>
      </c>
      <c r="T756" s="20">
        <v>0</v>
      </c>
      <c r="U756" s="20">
        <v>0</v>
      </c>
      <c r="V756" s="20">
        <v>0</v>
      </c>
      <c r="W756" s="20">
        <v>32</v>
      </c>
      <c r="X756" s="20">
        <v>0</v>
      </c>
      <c r="Y756" s="20">
        <v>5000</v>
      </c>
      <c r="Z756" s="20">
        <v>0</v>
      </c>
      <c r="AA756" s="20">
        <v>0</v>
      </c>
      <c r="AB756" s="20">
        <v>0</v>
      </c>
      <c r="AC756" s="20">
        <v>119000</v>
      </c>
      <c r="AD756" s="20">
        <v>80920</v>
      </c>
      <c r="AE756" s="20">
        <v>0</v>
      </c>
      <c r="AF756" s="20">
        <v>5000</v>
      </c>
      <c r="AG756" s="20">
        <v>114000</v>
      </c>
      <c r="AH756" s="20">
        <v>80920</v>
      </c>
      <c r="AI756" s="20">
        <v>30073</v>
      </c>
      <c r="AJ756" s="20">
        <v>3007</v>
      </c>
      <c r="AK756" s="20">
        <v>33080</v>
      </c>
    </row>
    <row r="757" spans="1:37" ht="24" customHeight="1" x14ac:dyDescent="0.3">
      <c r="A757" s="18" t="s">
        <v>2203</v>
      </c>
      <c r="B757" s="18" t="s">
        <v>240</v>
      </c>
      <c r="C757" s="19" t="s">
        <v>241</v>
      </c>
      <c r="D757" s="18" t="s">
        <v>2204</v>
      </c>
      <c r="E757" s="19" t="s">
        <v>2205</v>
      </c>
      <c r="F757" s="18" t="s">
        <v>244</v>
      </c>
      <c r="G757" s="18" t="s">
        <v>245</v>
      </c>
      <c r="H757" s="19" t="s">
        <v>175</v>
      </c>
      <c r="I757" s="18" t="s">
        <v>246</v>
      </c>
      <c r="J757" s="19" t="s">
        <v>247</v>
      </c>
      <c r="K757" s="19" t="s">
        <v>248</v>
      </c>
      <c r="L757" s="18" t="s">
        <v>164</v>
      </c>
      <c r="M757" s="18" t="s">
        <v>1556</v>
      </c>
      <c r="N757" s="18" t="s">
        <v>250</v>
      </c>
      <c r="O757" s="20">
        <v>119000</v>
      </c>
      <c r="P757" s="20">
        <v>80920</v>
      </c>
      <c r="Q757" s="20">
        <v>1</v>
      </c>
      <c r="R757" s="20">
        <v>0</v>
      </c>
      <c r="S757" s="20">
        <v>0</v>
      </c>
      <c r="T757" s="20">
        <v>0</v>
      </c>
      <c r="U757" s="20">
        <v>0</v>
      </c>
      <c r="V757" s="20">
        <v>0</v>
      </c>
      <c r="W757" s="20">
        <v>32</v>
      </c>
      <c r="X757" s="20">
        <v>0</v>
      </c>
      <c r="Y757" s="20">
        <v>0</v>
      </c>
      <c r="Z757" s="20">
        <v>0</v>
      </c>
      <c r="AA757" s="20">
        <v>0</v>
      </c>
      <c r="AB757" s="20">
        <v>0</v>
      </c>
      <c r="AC757" s="20">
        <v>119000</v>
      </c>
      <c r="AD757" s="20">
        <v>80920</v>
      </c>
      <c r="AE757" s="20">
        <v>0</v>
      </c>
      <c r="AF757" s="20">
        <v>0</v>
      </c>
      <c r="AG757" s="20">
        <v>119000</v>
      </c>
      <c r="AH757" s="20">
        <v>80920</v>
      </c>
      <c r="AI757" s="20">
        <v>34618</v>
      </c>
      <c r="AJ757" s="20">
        <v>3462</v>
      </c>
      <c r="AK757" s="20">
        <v>38080</v>
      </c>
    </row>
    <row r="758" spans="1:37" ht="24" customHeight="1" x14ac:dyDescent="0.3">
      <c r="A758" s="18" t="s">
        <v>2206</v>
      </c>
      <c r="B758" s="18" t="s">
        <v>240</v>
      </c>
      <c r="C758" s="19" t="s">
        <v>241</v>
      </c>
      <c r="D758" s="18" t="s">
        <v>2207</v>
      </c>
      <c r="E758" s="19" t="s">
        <v>2208</v>
      </c>
      <c r="F758" s="18" t="s">
        <v>244</v>
      </c>
      <c r="G758" s="18" t="s">
        <v>245</v>
      </c>
      <c r="H758" s="19" t="s">
        <v>175</v>
      </c>
      <c r="I758" s="18" t="s">
        <v>246</v>
      </c>
      <c r="J758" s="19" t="s">
        <v>247</v>
      </c>
      <c r="K758" s="19" t="s">
        <v>248</v>
      </c>
      <c r="L758" s="18" t="s">
        <v>164</v>
      </c>
      <c r="M758" s="18" t="s">
        <v>1556</v>
      </c>
      <c r="N758" s="18" t="s">
        <v>250</v>
      </c>
      <c r="O758" s="20">
        <v>119000</v>
      </c>
      <c r="P758" s="20">
        <v>80920</v>
      </c>
      <c r="Q758" s="20">
        <v>1</v>
      </c>
      <c r="R758" s="20">
        <v>0</v>
      </c>
      <c r="S758" s="20">
        <v>0</v>
      </c>
      <c r="T758" s="20">
        <v>0</v>
      </c>
      <c r="U758" s="20">
        <v>0</v>
      </c>
      <c r="V758" s="20">
        <v>0</v>
      </c>
      <c r="W758" s="20">
        <v>32</v>
      </c>
      <c r="X758" s="20">
        <v>0</v>
      </c>
      <c r="Y758" s="20">
        <v>0</v>
      </c>
      <c r="Z758" s="20">
        <v>0</v>
      </c>
      <c r="AA758" s="20">
        <v>0</v>
      </c>
      <c r="AB758" s="20">
        <v>0</v>
      </c>
      <c r="AC758" s="20">
        <v>119000</v>
      </c>
      <c r="AD758" s="20">
        <v>80920</v>
      </c>
      <c r="AE758" s="20">
        <v>0</v>
      </c>
      <c r="AF758" s="20">
        <v>0</v>
      </c>
      <c r="AG758" s="20">
        <v>119000</v>
      </c>
      <c r="AH758" s="20">
        <v>80920</v>
      </c>
      <c r="AI758" s="20">
        <v>34618</v>
      </c>
      <c r="AJ758" s="20">
        <v>3462</v>
      </c>
      <c r="AK758" s="20">
        <v>38080</v>
      </c>
    </row>
    <row r="759" spans="1:37" ht="24" customHeight="1" x14ac:dyDescent="0.3">
      <c r="A759" s="18" t="s">
        <v>2209</v>
      </c>
      <c r="B759" s="18" t="s">
        <v>240</v>
      </c>
      <c r="C759" s="19" t="s">
        <v>241</v>
      </c>
      <c r="D759" s="18" t="s">
        <v>2210</v>
      </c>
      <c r="E759" s="19" t="s">
        <v>473</v>
      </c>
      <c r="F759" s="18" t="s">
        <v>244</v>
      </c>
      <c r="G759" s="18" t="s">
        <v>245</v>
      </c>
      <c r="H759" s="19" t="s">
        <v>175</v>
      </c>
      <c r="I759" s="18" t="s">
        <v>246</v>
      </c>
      <c r="J759" s="19" t="s">
        <v>247</v>
      </c>
      <c r="K759" s="19" t="s">
        <v>248</v>
      </c>
      <c r="L759" s="18" t="s">
        <v>164</v>
      </c>
      <c r="M759" s="18" t="s">
        <v>1556</v>
      </c>
      <c r="N759" s="18" t="s">
        <v>250</v>
      </c>
      <c r="O759" s="20">
        <v>119000</v>
      </c>
      <c r="P759" s="20">
        <v>80920</v>
      </c>
      <c r="Q759" s="20">
        <v>1</v>
      </c>
      <c r="R759" s="20">
        <v>0</v>
      </c>
      <c r="S759" s="20">
        <v>0</v>
      </c>
      <c r="T759" s="20">
        <v>0</v>
      </c>
      <c r="U759" s="20">
        <v>0</v>
      </c>
      <c r="V759" s="20">
        <v>0</v>
      </c>
      <c r="W759" s="20">
        <v>32</v>
      </c>
      <c r="X759" s="20">
        <v>0</v>
      </c>
      <c r="Y759" s="20">
        <v>0</v>
      </c>
      <c r="Z759" s="20">
        <v>0</v>
      </c>
      <c r="AA759" s="20">
        <v>0</v>
      </c>
      <c r="AB759" s="20">
        <v>0</v>
      </c>
      <c r="AC759" s="20">
        <v>119000</v>
      </c>
      <c r="AD759" s="20">
        <v>80920</v>
      </c>
      <c r="AE759" s="20">
        <v>0</v>
      </c>
      <c r="AF759" s="20">
        <v>0</v>
      </c>
      <c r="AG759" s="20">
        <v>119000</v>
      </c>
      <c r="AH759" s="20">
        <v>80920</v>
      </c>
      <c r="AI759" s="20">
        <v>34618</v>
      </c>
      <c r="AJ759" s="20">
        <v>3462</v>
      </c>
      <c r="AK759" s="20">
        <v>38080</v>
      </c>
    </row>
    <row r="760" spans="1:37" ht="24" customHeight="1" x14ac:dyDescent="0.3">
      <c r="A760" s="18" t="s">
        <v>2211</v>
      </c>
      <c r="B760" s="18" t="s">
        <v>240</v>
      </c>
      <c r="C760" s="19" t="s">
        <v>241</v>
      </c>
      <c r="D760" s="18" t="s">
        <v>2212</v>
      </c>
      <c r="E760" s="19" t="s">
        <v>907</v>
      </c>
      <c r="F760" s="18" t="s">
        <v>244</v>
      </c>
      <c r="G760" s="18" t="s">
        <v>245</v>
      </c>
      <c r="H760" s="19" t="s">
        <v>175</v>
      </c>
      <c r="I760" s="18" t="s">
        <v>246</v>
      </c>
      <c r="J760" s="19" t="s">
        <v>247</v>
      </c>
      <c r="K760" s="19" t="s">
        <v>248</v>
      </c>
      <c r="L760" s="18" t="s">
        <v>164</v>
      </c>
      <c r="M760" s="18" t="s">
        <v>1556</v>
      </c>
      <c r="N760" s="18" t="s">
        <v>250</v>
      </c>
      <c r="O760" s="20">
        <v>119000</v>
      </c>
      <c r="P760" s="20">
        <v>80920</v>
      </c>
      <c r="Q760" s="20">
        <v>1</v>
      </c>
      <c r="R760" s="20">
        <v>0</v>
      </c>
      <c r="S760" s="20">
        <v>0</v>
      </c>
      <c r="T760" s="20">
        <v>0</v>
      </c>
      <c r="U760" s="20">
        <v>0</v>
      </c>
      <c r="V760" s="20">
        <v>0</v>
      </c>
      <c r="W760" s="20">
        <v>32</v>
      </c>
      <c r="X760" s="20">
        <v>0</v>
      </c>
      <c r="Y760" s="20">
        <v>0</v>
      </c>
      <c r="Z760" s="20">
        <v>0</v>
      </c>
      <c r="AA760" s="20">
        <v>0</v>
      </c>
      <c r="AB760" s="20">
        <v>0</v>
      </c>
      <c r="AC760" s="20">
        <v>119000</v>
      </c>
      <c r="AD760" s="20">
        <v>80920</v>
      </c>
      <c r="AE760" s="20">
        <v>0</v>
      </c>
      <c r="AF760" s="20">
        <v>0</v>
      </c>
      <c r="AG760" s="20">
        <v>119000</v>
      </c>
      <c r="AH760" s="20">
        <v>80920</v>
      </c>
      <c r="AI760" s="20">
        <v>34618</v>
      </c>
      <c r="AJ760" s="20">
        <v>3462</v>
      </c>
      <c r="AK760" s="20">
        <v>38080</v>
      </c>
    </row>
    <row r="761" spans="1:37" ht="24" customHeight="1" x14ac:dyDescent="0.3">
      <c r="A761" s="18" t="s">
        <v>2213</v>
      </c>
      <c r="B761" s="18" t="s">
        <v>240</v>
      </c>
      <c r="C761" s="19" t="s">
        <v>241</v>
      </c>
      <c r="D761" s="18" t="s">
        <v>2214</v>
      </c>
      <c r="E761" s="19" t="s">
        <v>2215</v>
      </c>
      <c r="F761" s="18" t="s">
        <v>244</v>
      </c>
      <c r="G761" s="18" t="s">
        <v>245</v>
      </c>
      <c r="H761" s="19" t="s">
        <v>175</v>
      </c>
      <c r="I761" s="18" t="s">
        <v>246</v>
      </c>
      <c r="J761" s="19" t="s">
        <v>247</v>
      </c>
      <c r="K761" s="19" t="s">
        <v>248</v>
      </c>
      <c r="L761" s="18" t="s">
        <v>164</v>
      </c>
      <c r="M761" s="18" t="s">
        <v>1556</v>
      </c>
      <c r="N761" s="18" t="s">
        <v>250</v>
      </c>
      <c r="O761" s="20">
        <v>119000</v>
      </c>
      <c r="P761" s="20">
        <v>80920</v>
      </c>
      <c r="Q761" s="20">
        <v>1</v>
      </c>
      <c r="R761" s="20">
        <v>0</v>
      </c>
      <c r="S761" s="20">
        <v>0</v>
      </c>
      <c r="T761" s="20">
        <v>0</v>
      </c>
      <c r="U761" s="20">
        <v>0</v>
      </c>
      <c r="V761" s="20">
        <v>0</v>
      </c>
      <c r="W761" s="20">
        <v>32</v>
      </c>
      <c r="X761" s="20">
        <v>0</v>
      </c>
      <c r="Y761" s="20">
        <v>0</v>
      </c>
      <c r="Z761" s="20">
        <v>0</v>
      </c>
      <c r="AA761" s="20">
        <v>0</v>
      </c>
      <c r="AB761" s="20">
        <v>0</v>
      </c>
      <c r="AC761" s="20">
        <v>119000</v>
      </c>
      <c r="AD761" s="20">
        <v>80920</v>
      </c>
      <c r="AE761" s="20">
        <v>0</v>
      </c>
      <c r="AF761" s="20">
        <v>0</v>
      </c>
      <c r="AG761" s="20">
        <v>119000</v>
      </c>
      <c r="AH761" s="20">
        <v>80920</v>
      </c>
      <c r="AI761" s="20">
        <v>34618</v>
      </c>
      <c r="AJ761" s="20">
        <v>3462</v>
      </c>
      <c r="AK761" s="20">
        <v>38080</v>
      </c>
    </row>
    <row r="762" spans="1:37" ht="24" customHeight="1" x14ac:dyDescent="0.3">
      <c r="A762" s="18" t="s">
        <v>2216</v>
      </c>
      <c r="B762" s="18" t="s">
        <v>240</v>
      </c>
      <c r="C762" s="19" t="s">
        <v>241</v>
      </c>
      <c r="D762" s="18" t="s">
        <v>2217</v>
      </c>
      <c r="E762" s="19" t="s">
        <v>506</v>
      </c>
      <c r="F762" s="18" t="s">
        <v>244</v>
      </c>
      <c r="G762" s="18" t="s">
        <v>245</v>
      </c>
      <c r="H762" s="19" t="s">
        <v>175</v>
      </c>
      <c r="I762" s="18" t="s">
        <v>246</v>
      </c>
      <c r="J762" s="19" t="s">
        <v>247</v>
      </c>
      <c r="K762" s="19" t="s">
        <v>248</v>
      </c>
      <c r="L762" s="18" t="s">
        <v>164</v>
      </c>
      <c r="M762" s="18" t="s">
        <v>1556</v>
      </c>
      <c r="N762" s="18" t="s">
        <v>250</v>
      </c>
      <c r="O762" s="20">
        <v>119000</v>
      </c>
      <c r="P762" s="20">
        <v>80920</v>
      </c>
      <c r="Q762" s="20">
        <v>1</v>
      </c>
      <c r="R762" s="20">
        <v>0</v>
      </c>
      <c r="S762" s="20">
        <v>0</v>
      </c>
      <c r="T762" s="20">
        <v>0</v>
      </c>
      <c r="U762" s="20">
        <v>0</v>
      </c>
      <c r="V762" s="20">
        <v>0</v>
      </c>
      <c r="W762" s="20">
        <v>32</v>
      </c>
      <c r="X762" s="20">
        <v>0</v>
      </c>
      <c r="Y762" s="20">
        <v>0</v>
      </c>
      <c r="Z762" s="20">
        <v>0</v>
      </c>
      <c r="AA762" s="20">
        <v>0</v>
      </c>
      <c r="AB762" s="20">
        <v>0</v>
      </c>
      <c r="AC762" s="20">
        <v>119000</v>
      </c>
      <c r="AD762" s="20">
        <v>80920</v>
      </c>
      <c r="AE762" s="20">
        <v>0</v>
      </c>
      <c r="AF762" s="20">
        <v>0</v>
      </c>
      <c r="AG762" s="20">
        <v>119000</v>
      </c>
      <c r="AH762" s="20">
        <v>80920</v>
      </c>
      <c r="AI762" s="20">
        <v>34618</v>
      </c>
      <c r="AJ762" s="20">
        <v>3462</v>
      </c>
      <c r="AK762" s="20">
        <v>38080</v>
      </c>
    </row>
    <row r="763" spans="1:37" ht="24" customHeight="1" x14ac:dyDescent="0.3">
      <c r="A763" s="18" t="s">
        <v>2218</v>
      </c>
      <c r="B763" s="18" t="s">
        <v>240</v>
      </c>
      <c r="C763" s="19" t="s">
        <v>241</v>
      </c>
      <c r="D763" s="18" t="s">
        <v>2219</v>
      </c>
      <c r="E763" s="19" t="s">
        <v>317</v>
      </c>
      <c r="F763" s="18" t="s">
        <v>244</v>
      </c>
      <c r="G763" s="18" t="s">
        <v>245</v>
      </c>
      <c r="H763" s="19" t="s">
        <v>175</v>
      </c>
      <c r="I763" s="18" t="s">
        <v>246</v>
      </c>
      <c r="J763" s="19" t="s">
        <v>247</v>
      </c>
      <c r="K763" s="19" t="s">
        <v>248</v>
      </c>
      <c r="L763" s="18" t="s">
        <v>164</v>
      </c>
      <c r="M763" s="18" t="s">
        <v>1556</v>
      </c>
      <c r="N763" s="18" t="s">
        <v>250</v>
      </c>
      <c r="O763" s="20">
        <v>119000</v>
      </c>
      <c r="P763" s="20">
        <v>80920</v>
      </c>
      <c r="Q763" s="20">
        <v>1</v>
      </c>
      <c r="R763" s="20">
        <v>0</v>
      </c>
      <c r="S763" s="20">
        <v>0</v>
      </c>
      <c r="T763" s="20">
        <v>0</v>
      </c>
      <c r="U763" s="20">
        <v>0</v>
      </c>
      <c r="V763" s="20">
        <v>0</v>
      </c>
      <c r="W763" s="20">
        <v>32</v>
      </c>
      <c r="X763" s="20">
        <v>0</v>
      </c>
      <c r="Y763" s="20">
        <v>0</v>
      </c>
      <c r="Z763" s="20">
        <v>0</v>
      </c>
      <c r="AA763" s="20">
        <v>0</v>
      </c>
      <c r="AB763" s="20">
        <v>5950</v>
      </c>
      <c r="AC763" s="20">
        <v>119000</v>
      </c>
      <c r="AD763" s="20">
        <v>80920</v>
      </c>
      <c r="AE763" s="20">
        <v>0</v>
      </c>
      <c r="AF763" s="20">
        <v>5950</v>
      </c>
      <c r="AG763" s="20">
        <v>113050</v>
      </c>
      <c r="AH763" s="20">
        <v>80920</v>
      </c>
      <c r="AI763" s="20">
        <v>29209</v>
      </c>
      <c r="AJ763" s="20">
        <v>2921</v>
      </c>
      <c r="AK763" s="20">
        <v>32130</v>
      </c>
    </row>
    <row r="764" spans="1:37" ht="24" customHeight="1" x14ac:dyDescent="0.3">
      <c r="A764" s="18" t="s">
        <v>2220</v>
      </c>
      <c r="B764" s="18" t="s">
        <v>240</v>
      </c>
      <c r="C764" s="19" t="s">
        <v>241</v>
      </c>
      <c r="D764" s="18" t="s">
        <v>2221</v>
      </c>
      <c r="E764" s="19" t="s">
        <v>640</v>
      </c>
      <c r="F764" s="18" t="s">
        <v>244</v>
      </c>
      <c r="G764" s="18" t="s">
        <v>245</v>
      </c>
      <c r="H764" s="19" t="s">
        <v>175</v>
      </c>
      <c r="I764" s="18" t="s">
        <v>246</v>
      </c>
      <c r="J764" s="19" t="s">
        <v>247</v>
      </c>
      <c r="K764" s="19" t="s">
        <v>248</v>
      </c>
      <c r="L764" s="18" t="s">
        <v>164</v>
      </c>
      <c r="M764" s="18" t="s">
        <v>1556</v>
      </c>
      <c r="N764" s="18" t="s">
        <v>250</v>
      </c>
      <c r="O764" s="20">
        <v>119000</v>
      </c>
      <c r="P764" s="20">
        <v>80920</v>
      </c>
      <c r="Q764" s="20">
        <v>1</v>
      </c>
      <c r="R764" s="20">
        <v>0</v>
      </c>
      <c r="S764" s="20">
        <v>0</v>
      </c>
      <c r="T764" s="20">
        <v>0</v>
      </c>
      <c r="U764" s="20">
        <v>0</v>
      </c>
      <c r="V764" s="20">
        <v>0</v>
      </c>
      <c r="W764" s="20">
        <v>32</v>
      </c>
      <c r="X764" s="20">
        <v>0</v>
      </c>
      <c r="Y764" s="20">
        <v>0</v>
      </c>
      <c r="Z764" s="20">
        <v>0</v>
      </c>
      <c r="AA764" s="20">
        <v>0</v>
      </c>
      <c r="AB764" s="20">
        <v>5950</v>
      </c>
      <c r="AC764" s="20">
        <v>119000</v>
      </c>
      <c r="AD764" s="20">
        <v>80920</v>
      </c>
      <c r="AE764" s="20">
        <v>0</v>
      </c>
      <c r="AF764" s="20">
        <v>5950</v>
      </c>
      <c r="AG764" s="20">
        <v>113050</v>
      </c>
      <c r="AH764" s="20">
        <v>80920</v>
      </c>
      <c r="AI764" s="20">
        <v>29209</v>
      </c>
      <c r="AJ764" s="20">
        <v>2921</v>
      </c>
      <c r="AK764" s="20">
        <v>32130</v>
      </c>
    </row>
    <row r="765" spans="1:37" ht="24" customHeight="1" x14ac:dyDescent="0.3">
      <c r="A765" s="18" t="s">
        <v>2222</v>
      </c>
      <c r="B765" s="18" t="s">
        <v>240</v>
      </c>
      <c r="C765" s="19" t="s">
        <v>241</v>
      </c>
      <c r="D765" s="18" t="s">
        <v>2223</v>
      </c>
      <c r="E765" s="19" t="s">
        <v>2224</v>
      </c>
      <c r="F765" s="18" t="s">
        <v>244</v>
      </c>
      <c r="G765" s="18" t="s">
        <v>245</v>
      </c>
      <c r="H765" s="19" t="s">
        <v>175</v>
      </c>
      <c r="I765" s="18" t="s">
        <v>246</v>
      </c>
      <c r="J765" s="19" t="s">
        <v>247</v>
      </c>
      <c r="K765" s="19" t="s">
        <v>248</v>
      </c>
      <c r="L765" s="18" t="s">
        <v>164</v>
      </c>
      <c r="M765" s="18" t="s">
        <v>1556</v>
      </c>
      <c r="N765" s="18" t="s">
        <v>250</v>
      </c>
      <c r="O765" s="20">
        <v>119000</v>
      </c>
      <c r="P765" s="20">
        <v>80920</v>
      </c>
      <c r="Q765" s="20">
        <v>1</v>
      </c>
      <c r="R765" s="20">
        <v>0</v>
      </c>
      <c r="S765" s="20">
        <v>0</v>
      </c>
      <c r="T765" s="20">
        <v>0</v>
      </c>
      <c r="U765" s="20">
        <v>0</v>
      </c>
      <c r="V765" s="20">
        <v>0</v>
      </c>
      <c r="W765" s="20">
        <v>32</v>
      </c>
      <c r="X765" s="20">
        <v>0</v>
      </c>
      <c r="Y765" s="20">
        <v>0</v>
      </c>
      <c r="Z765" s="20">
        <v>0</v>
      </c>
      <c r="AA765" s="20">
        <v>0</v>
      </c>
      <c r="AB765" s="20">
        <v>0</v>
      </c>
      <c r="AC765" s="20">
        <v>119000</v>
      </c>
      <c r="AD765" s="20">
        <v>80920</v>
      </c>
      <c r="AE765" s="20">
        <v>0</v>
      </c>
      <c r="AF765" s="20">
        <v>0</v>
      </c>
      <c r="AG765" s="20">
        <v>119000</v>
      </c>
      <c r="AH765" s="20">
        <v>80920</v>
      </c>
      <c r="AI765" s="20">
        <v>34618</v>
      </c>
      <c r="AJ765" s="20">
        <v>3462</v>
      </c>
      <c r="AK765" s="20">
        <v>38080</v>
      </c>
    </row>
    <row r="766" spans="1:37" ht="24" customHeight="1" x14ac:dyDescent="0.3">
      <c r="A766" s="18" t="s">
        <v>2225</v>
      </c>
      <c r="B766" s="18" t="s">
        <v>240</v>
      </c>
      <c r="C766" s="19" t="s">
        <v>241</v>
      </c>
      <c r="D766" s="18" t="s">
        <v>2226</v>
      </c>
      <c r="E766" s="19" t="s">
        <v>1211</v>
      </c>
      <c r="F766" s="18" t="s">
        <v>244</v>
      </c>
      <c r="G766" s="18" t="s">
        <v>245</v>
      </c>
      <c r="H766" s="19" t="s">
        <v>175</v>
      </c>
      <c r="I766" s="18" t="s">
        <v>246</v>
      </c>
      <c r="J766" s="19" t="s">
        <v>247</v>
      </c>
      <c r="K766" s="19" t="s">
        <v>248</v>
      </c>
      <c r="L766" s="18" t="s">
        <v>164</v>
      </c>
      <c r="M766" s="18" t="s">
        <v>1556</v>
      </c>
      <c r="N766" s="18" t="s">
        <v>250</v>
      </c>
      <c r="O766" s="20">
        <v>119000</v>
      </c>
      <c r="P766" s="20">
        <v>80920</v>
      </c>
      <c r="Q766" s="20">
        <v>1</v>
      </c>
      <c r="R766" s="20">
        <v>0</v>
      </c>
      <c r="S766" s="20">
        <v>0</v>
      </c>
      <c r="T766" s="20">
        <v>0</v>
      </c>
      <c r="U766" s="20">
        <v>0</v>
      </c>
      <c r="V766" s="20">
        <v>0</v>
      </c>
      <c r="W766" s="20">
        <v>32</v>
      </c>
      <c r="X766" s="20">
        <v>0</v>
      </c>
      <c r="Y766" s="20">
        <v>0</v>
      </c>
      <c r="Z766" s="20">
        <v>0</v>
      </c>
      <c r="AA766" s="20">
        <v>0</v>
      </c>
      <c r="AB766" s="20">
        <v>5950</v>
      </c>
      <c r="AC766" s="20">
        <v>119000</v>
      </c>
      <c r="AD766" s="20">
        <v>80920</v>
      </c>
      <c r="AE766" s="20">
        <v>0</v>
      </c>
      <c r="AF766" s="20">
        <v>5950</v>
      </c>
      <c r="AG766" s="20">
        <v>113050</v>
      </c>
      <c r="AH766" s="20">
        <v>80920</v>
      </c>
      <c r="AI766" s="20">
        <v>29209</v>
      </c>
      <c r="AJ766" s="20">
        <v>2921</v>
      </c>
      <c r="AK766" s="20">
        <v>32130</v>
      </c>
    </row>
    <row r="767" spans="1:37" ht="24" customHeight="1" x14ac:dyDescent="0.3">
      <c r="A767" s="18" t="s">
        <v>2227</v>
      </c>
      <c r="B767" s="18" t="s">
        <v>240</v>
      </c>
      <c r="C767" s="19" t="s">
        <v>241</v>
      </c>
      <c r="D767" s="18" t="s">
        <v>2228</v>
      </c>
      <c r="E767" s="19" t="s">
        <v>435</v>
      </c>
      <c r="F767" s="18" t="s">
        <v>244</v>
      </c>
      <c r="G767" s="18" t="s">
        <v>245</v>
      </c>
      <c r="H767" s="19" t="s">
        <v>175</v>
      </c>
      <c r="I767" s="18" t="s">
        <v>246</v>
      </c>
      <c r="J767" s="19" t="s">
        <v>247</v>
      </c>
      <c r="K767" s="19" t="s">
        <v>248</v>
      </c>
      <c r="L767" s="18" t="s">
        <v>164</v>
      </c>
      <c r="M767" s="18" t="s">
        <v>1556</v>
      </c>
      <c r="N767" s="18" t="s">
        <v>250</v>
      </c>
      <c r="O767" s="20">
        <v>119000</v>
      </c>
      <c r="P767" s="20">
        <v>80920</v>
      </c>
      <c r="Q767" s="20">
        <v>1</v>
      </c>
      <c r="R767" s="20">
        <v>0</v>
      </c>
      <c r="S767" s="20">
        <v>0</v>
      </c>
      <c r="T767" s="20">
        <v>0</v>
      </c>
      <c r="U767" s="20">
        <v>0</v>
      </c>
      <c r="V767" s="20">
        <v>0</v>
      </c>
      <c r="W767" s="20">
        <v>32</v>
      </c>
      <c r="X767" s="20">
        <v>0</v>
      </c>
      <c r="Y767" s="20">
        <v>0</v>
      </c>
      <c r="Z767" s="20">
        <v>0</v>
      </c>
      <c r="AA767" s="20">
        <v>0</v>
      </c>
      <c r="AB767" s="20">
        <v>0</v>
      </c>
      <c r="AC767" s="20">
        <v>119000</v>
      </c>
      <c r="AD767" s="20">
        <v>80920</v>
      </c>
      <c r="AE767" s="20">
        <v>0</v>
      </c>
      <c r="AF767" s="20">
        <v>0</v>
      </c>
      <c r="AG767" s="20">
        <v>119000</v>
      </c>
      <c r="AH767" s="20">
        <v>80920</v>
      </c>
      <c r="AI767" s="20">
        <v>34618</v>
      </c>
      <c r="AJ767" s="20">
        <v>3462</v>
      </c>
      <c r="AK767" s="20">
        <v>38080</v>
      </c>
    </row>
    <row r="768" spans="1:37" ht="24" customHeight="1" x14ac:dyDescent="0.3">
      <c r="A768" s="18" t="s">
        <v>2229</v>
      </c>
      <c r="B768" s="18" t="s">
        <v>240</v>
      </c>
      <c r="C768" s="19" t="s">
        <v>241</v>
      </c>
      <c r="D768" s="18" t="s">
        <v>2230</v>
      </c>
      <c r="E768" s="19" t="s">
        <v>2231</v>
      </c>
      <c r="F768" s="18" t="s">
        <v>244</v>
      </c>
      <c r="G768" s="18" t="s">
        <v>245</v>
      </c>
      <c r="H768" s="19" t="s">
        <v>175</v>
      </c>
      <c r="I768" s="18" t="s">
        <v>246</v>
      </c>
      <c r="J768" s="19" t="s">
        <v>247</v>
      </c>
      <c r="K768" s="19" t="s">
        <v>248</v>
      </c>
      <c r="L768" s="18" t="s">
        <v>164</v>
      </c>
      <c r="M768" s="18" t="s">
        <v>1556</v>
      </c>
      <c r="N768" s="18" t="s">
        <v>250</v>
      </c>
      <c r="O768" s="20">
        <v>119000</v>
      </c>
      <c r="P768" s="20">
        <v>80920</v>
      </c>
      <c r="Q768" s="20">
        <v>1</v>
      </c>
      <c r="R768" s="20">
        <v>0</v>
      </c>
      <c r="S768" s="20">
        <v>0</v>
      </c>
      <c r="T768" s="20">
        <v>0</v>
      </c>
      <c r="U768" s="20">
        <v>0</v>
      </c>
      <c r="V768" s="20">
        <v>0</v>
      </c>
      <c r="W768" s="20">
        <v>32</v>
      </c>
      <c r="X768" s="20">
        <v>0</v>
      </c>
      <c r="Y768" s="20">
        <v>0</v>
      </c>
      <c r="Z768" s="20">
        <v>0</v>
      </c>
      <c r="AA768" s="20">
        <v>0</v>
      </c>
      <c r="AB768" s="20">
        <v>0</v>
      </c>
      <c r="AC768" s="20">
        <v>119000</v>
      </c>
      <c r="AD768" s="20">
        <v>80920</v>
      </c>
      <c r="AE768" s="20">
        <v>0</v>
      </c>
      <c r="AF768" s="20">
        <v>0</v>
      </c>
      <c r="AG768" s="20">
        <v>119000</v>
      </c>
      <c r="AH768" s="20">
        <v>80920</v>
      </c>
      <c r="AI768" s="20">
        <v>34618</v>
      </c>
      <c r="AJ768" s="20">
        <v>3462</v>
      </c>
      <c r="AK768" s="20">
        <v>38080</v>
      </c>
    </row>
    <row r="769" spans="1:37" ht="24" customHeight="1" x14ac:dyDescent="0.3">
      <c r="A769" s="18" t="s">
        <v>2232</v>
      </c>
      <c r="B769" s="18" t="s">
        <v>240</v>
      </c>
      <c r="C769" s="19" t="s">
        <v>241</v>
      </c>
      <c r="D769" s="18" t="s">
        <v>2233</v>
      </c>
      <c r="E769" s="19" t="s">
        <v>2234</v>
      </c>
      <c r="F769" s="18" t="s">
        <v>244</v>
      </c>
      <c r="G769" s="18" t="s">
        <v>245</v>
      </c>
      <c r="H769" s="19" t="s">
        <v>175</v>
      </c>
      <c r="I769" s="18" t="s">
        <v>246</v>
      </c>
      <c r="J769" s="19" t="s">
        <v>247</v>
      </c>
      <c r="K769" s="19" t="s">
        <v>248</v>
      </c>
      <c r="L769" s="18" t="s">
        <v>164</v>
      </c>
      <c r="M769" s="18" t="s">
        <v>1556</v>
      </c>
      <c r="N769" s="18" t="s">
        <v>250</v>
      </c>
      <c r="O769" s="20">
        <v>119000</v>
      </c>
      <c r="P769" s="20">
        <v>80920</v>
      </c>
      <c r="Q769" s="20">
        <v>1</v>
      </c>
      <c r="R769" s="20">
        <v>0</v>
      </c>
      <c r="S769" s="20">
        <v>0</v>
      </c>
      <c r="T769" s="20">
        <v>0</v>
      </c>
      <c r="U769" s="20">
        <v>0</v>
      </c>
      <c r="V769" s="20">
        <v>0</v>
      </c>
      <c r="W769" s="20">
        <v>32</v>
      </c>
      <c r="X769" s="20">
        <v>0</v>
      </c>
      <c r="Y769" s="20">
        <v>0</v>
      </c>
      <c r="Z769" s="20">
        <v>0</v>
      </c>
      <c r="AA769" s="20">
        <v>0</v>
      </c>
      <c r="AB769" s="20">
        <v>0</v>
      </c>
      <c r="AC769" s="20">
        <v>119000</v>
      </c>
      <c r="AD769" s="20">
        <v>80920</v>
      </c>
      <c r="AE769" s="20">
        <v>0</v>
      </c>
      <c r="AF769" s="20">
        <v>0</v>
      </c>
      <c r="AG769" s="20">
        <v>119000</v>
      </c>
      <c r="AH769" s="20">
        <v>80920</v>
      </c>
      <c r="AI769" s="20">
        <v>34618</v>
      </c>
      <c r="AJ769" s="20">
        <v>3462</v>
      </c>
      <c r="AK769" s="20">
        <v>38080</v>
      </c>
    </row>
    <row r="770" spans="1:37" ht="24" customHeight="1" x14ac:dyDescent="0.3">
      <c r="A770" s="18" t="s">
        <v>2235</v>
      </c>
      <c r="B770" s="18" t="s">
        <v>240</v>
      </c>
      <c r="C770" s="19" t="s">
        <v>241</v>
      </c>
      <c r="D770" s="18" t="s">
        <v>2236</v>
      </c>
      <c r="E770" s="19" t="s">
        <v>970</v>
      </c>
      <c r="F770" s="18" t="s">
        <v>244</v>
      </c>
      <c r="G770" s="18" t="s">
        <v>245</v>
      </c>
      <c r="H770" s="19" t="s">
        <v>175</v>
      </c>
      <c r="I770" s="18" t="s">
        <v>246</v>
      </c>
      <c r="J770" s="19" t="s">
        <v>247</v>
      </c>
      <c r="K770" s="19" t="s">
        <v>248</v>
      </c>
      <c r="L770" s="18" t="s">
        <v>164</v>
      </c>
      <c r="M770" s="18" t="s">
        <v>1556</v>
      </c>
      <c r="N770" s="18" t="s">
        <v>250</v>
      </c>
      <c r="O770" s="20">
        <v>119000</v>
      </c>
      <c r="P770" s="20">
        <v>80920</v>
      </c>
      <c r="Q770" s="20">
        <v>1</v>
      </c>
      <c r="R770" s="20">
        <v>0</v>
      </c>
      <c r="S770" s="20">
        <v>0</v>
      </c>
      <c r="T770" s="20">
        <v>0</v>
      </c>
      <c r="U770" s="20">
        <v>0</v>
      </c>
      <c r="V770" s="20">
        <v>0</v>
      </c>
      <c r="W770" s="20">
        <v>32</v>
      </c>
      <c r="X770" s="20">
        <v>0</v>
      </c>
      <c r="Y770" s="20">
        <v>0</v>
      </c>
      <c r="Z770" s="20">
        <v>0</v>
      </c>
      <c r="AA770" s="20">
        <v>0</v>
      </c>
      <c r="AB770" s="20">
        <v>0</v>
      </c>
      <c r="AC770" s="20">
        <v>119000</v>
      </c>
      <c r="AD770" s="20">
        <v>80920</v>
      </c>
      <c r="AE770" s="20">
        <v>0</v>
      </c>
      <c r="AF770" s="20">
        <v>0</v>
      </c>
      <c r="AG770" s="20">
        <v>119000</v>
      </c>
      <c r="AH770" s="20">
        <v>80920</v>
      </c>
      <c r="AI770" s="20">
        <v>34618</v>
      </c>
      <c r="AJ770" s="20">
        <v>3462</v>
      </c>
      <c r="AK770" s="20">
        <v>38080</v>
      </c>
    </row>
    <row r="771" spans="1:37" ht="24" customHeight="1" x14ac:dyDescent="0.3">
      <c r="A771" s="18" t="s">
        <v>2237</v>
      </c>
      <c r="B771" s="18" t="s">
        <v>240</v>
      </c>
      <c r="C771" s="19" t="s">
        <v>241</v>
      </c>
      <c r="D771" s="18" t="s">
        <v>2238</v>
      </c>
      <c r="E771" s="19" t="s">
        <v>2239</v>
      </c>
      <c r="F771" s="18" t="s">
        <v>244</v>
      </c>
      <c r="G771" s="18" t="s">
        <v>245</v>
      </c>
      <c r="H771" s="19" t="s">
        <v>175</v>
      </c>
      <c r="I771" s="18" t="s">
        <v>246</v>
      </c>
      <c r="J771" s="19" t="s">
        <v>247</v>
      </c>
      <c r="K771" s="19" t="s">
        <v>248</v>
      </c>
      <c r="L771" s="18" t="s">
        <v>164</v>
      </c>
      <c r="M771" s="18" t="s">
        <v>1556</v>
      </c>
      <c r="N771" s="18" t="s">
        <v>250</v>
      </c>
      <c r="O771" s="20">
        <v>119000</v>
      </c>
      <c r="P771" s="20">
        <v>80920</v>
      </c>
      <c r="Q771" s="20">
        <v>1</v>
      </c>
      <c r="R771" s="20">
        <v>0</v>
      </c>
      <c r="S771" s="20">
        <v>0</v>
      </c>
      <c r="T771" s="20">
        <v>0</v>
      </c>
      <c r="U771" s="20">
        <v>0</v>
      </c>
      <c r="V771" s="20">
        <v>0</v>
      </c>
      <c r="W771" s="20">
        <v>32</v>
      </c>
      <c r="X771" s="20">
        <v>0</v>
      </c>
      <c r="Y771" s="20">
        <v>0</v>
      </c>
      <c r="Z771" s="20">
        <v>0</v>
      </c>
      <c r="AA771" s="20">
        <v>0</v>
      </c>
      <c r="AB771" s="20">
        <v>0</v>
      </c>
      <c r="AC771" s="20">
        <v>119000</v>
      </c>
      <c r="AD771" s="20">
        <v>80920</v>
      </c>
      <c r="AE771" s="20">
        <v>0</v>
      </c>
      <c r="AF771" s="20">
        <v>0</v>
      </c>
      <c r="AG771" s="20">
        <v>119000</v>
      </c>
      <c r="AH771" s="20">
        <v>80920</v>
      </c>
      <c r="AI771" s="20">
        <v>34618</v>
      </c>
      <c r="AJ771" s="20">
        <v>3462</v>
      </c>
      <c r="AK771" s="20">
        <v>38080</v>
      </c>
    </row>
    <row r="772" spans="1:37" ht="24" customHeight="1" x14ac:dyDescent="0.3">
      <c r="A772" s="18" t="s">
        <v>2240</v>
      </c>
      <c r="B772" s="18" t="s">
        <v>240</v>
      </c>
      <c r="C772" s="19" t="s">
        <v>241</v>
      </c>
      <c r="D772" s="18" t="s">
        <v>2241</v>
      </c>
      <c r="E772" s="19" t="s">
        <v>1222</v>
      </c>
      <c r="F772" s="18" t="s">
        <v>244</v>
      </c>
      <c r="G772" s="18" t="s">
        <v>245</v>
      </c>
      <c r="H772" s="19" t="s">
        <v>175</v>
      </c>
      <c r="I772" s="18" t="s">
        <v>246</v>
      </c>
      <c r="J772" s="19" t="s">
        <v>247</v>
      </c>
      <c r="K772" s="19" t="s">
        <v>248</v>
      </c>
      <c r="L772" s="18" t="s">
        <v>164</v>
      </c>
      <c r="M772" s="18" t="s">
        <v>1556</v>
      </c>
      <c r="N772" s="18" t="s">
        <v>250</v>
      </c>
      <c r="O772" s="20">
        <v>119000</v>
      </c>
      <c r="P772" s="20">
        <v>80920</v>
      </c>
      <c r="Q772" s="20">
        <v>1</v>
      </c>
      <c r="R772" s="20">
        <v>0</v>
      </c>
      <c r="S772" s="20">
        <v>0</v>
      </c>
      <c r="T772" s="20">
        <v>0</v>
      </c>
      <c r="U772" s="20">
        <v>0</v>
      </c>
      <c r="V772" s="20">
        <v>0</v>
      </c>
      <c r="W772" s="20">
        <v>32</v>
      </c>
      <c r="X772" s="20">
        <v>0</v>
      </c>
      <c r="Y772" s="20">
        <v>0</v>
      </c>
      <c r="Z772" s="20">
        <v>0</v>
      </c>
      <c r="AA772" s="20">
        <v>0</v>
      </c>
      <c r="AB772" s="20">
        <v>0</v>
      </c>
      <c r="AC772" s="20">
        <v>119000</v>
      </c>
      <c r="AD772" s="20">
        <v>80920</v>
      </c>
      <c r="AE772" s="20">
        <v>0</v>
      </c>
      <c r="AF772" s="20">
        <v>0</v>
      </c>
      <c r="AG772" s="20">
        <v>119000</v>
      </c>
      <c r="AH772" s="20">
        <v>80920</v>
      </c>
      <c r="AI772" s="20">
        <v>34618</v>
      </c>
      <c r="AJ772" s="20">
        <v>3462</v>
      </c>
      <c r="AK772" s="20">
        <v>38080</v>
      </c>
    </row>
    <row r="773" spans="1:37" ht="24" customHeight="1" x14ac:dyDescent="0.3">
      <c r="A773" s="18" t="s">
        <v>2242</v>
      </c>
      <c r="B773" s="18" t="s">
        <v>240</v>
      </c>
      <c r="C773" s="19" t="s">
        <v>241</v>
      </c>
      <c r="D773" s="18" t="s">
        <v>2243</v>
      </c>
      <c r="E773" s="19" t="s">
        <v>2244</v>
      </c>
      <c r="F773" s="18" t="s">
        <v>244</v>
      </c>
      <c r="G773" s="18" t="s">
        <v>245</v>
      </c>
      <c r="H773" s="19" t="s">
        <v>175</v>
      </c>
      <c r="I773" s="18" t="s">
        <v>246</v>
      </c>
      <c r="J773" s="19" t="s">
        <v>247</v>
      </c>
      <c r="K773" s="19" t="s">
        <v>248</v>
      </c>
      <c r="L773" s="18" t="s">
        <v>164</v>
      </c>
      <c r="M773" s="18" t="s">
        <v>1556</v>
      </c>
      <c r="N773" s="18" t="s">
        <v>250</v>
      </c>
      <c r="O773" s="20">
        <v>119000</v>
      </c>
      <c r="P773" s="20">
        <v>80920</v>
      </c>
      <c r="Q773" s="20">
        <v>1</v>
      </c>
      <c r="R773" s="20">
        <v>0</v>
      </c>
      <c r="S773" s="20">
        <v>0</v>
      </c>
      <c r="T773" s="20">
        <v>0</v>
      </c>
      <c r="U773" s="20">
        <v>0</v>
      </c>
      <c r="V773" s="20">
        <v>0</v>
      </c>
      <c r="W773" s="20">
        <v>32</v>
      </c>
      <c r="X773" s="20">
        <v>0</v>
      </c>
      <c r="Y773" s="20">
        <v>0</v>
      </c>
      <c r="Z773" s="20">
        <v>0</v>
      </c>
      <c r="AA773" s="20">
        <v>0</v>
      </c>
      <c r="AB773" s="20">
        <v>0</v>
      </c>
      <c r="AC773" s="20">
        <v>119000</v>
      </c>
      <c r="AD773" s="20">
        <v>80920</v>
      </c>
      <c r="AE773" s="20">
        <v>0</v>
      </c>
      <c r="AF773" s="20">
        <v>0</v>
      </c>
      <c r="AG773" s="20">
        <v>119000</v>
      </c>
      <c r="AH773" s="20">
        <v>80920</v>
      </c>
      <c r="AI773" s="20">
        <v>34618</v>
      </c>
      <c r="AJ773" s="20">
        <v>3462</v>
      </c>
      <c r="AK773" s="20">
        <v>38080</v>
      </c>
    </row>
    <row r="774" spans="1:37" ht="24" customHeight="1" x14ac:dyDescent="0.3">
      <c r="A774" s="18" t="s">
        <v>2245</v>
      </c>
      <c r="B774" s="18" t="s">
        <v>240</v>
      </c>
      <c r="C774" s="19" t="s">
        <v>241</v>
      </c>
      <c r="D774" s="18" t="s">
        <v>2246</v>
      </c>
      <c r="E774" s="19" t="s">
        <v>2247</v>
      </c>
      <c r="F774" s="18" t="s">
        <v>244</v>
      </c>
      <c r="G774" s="18" t="s">
        <v>245</v>
      </c>
      <c r="H774" s="19" t="s">
        <v>175</v>
      </c>
      <c r="I774" s="18" t="s">
        <v>246</v>
      </c>
      <c r="J774" s="19" t="s">
        <v>247</v>
      </c>
      <c r="K774" s="19" t="s">
        <v>248</v>
      </c>
      <c r="L774" s="18" t="s">
        <v>164</v>
      </c>
      <c r="M774" s="18" t="s">
        <v>1556</v>
      </c>
      <c r="N774" s="18" t="s">
        <v>250</v>
      </c>
      <c r="O774" s="20">
        <v>119000</v>
      </c>
      <c r="P774" s="20">
        <v>80920</v>
      </c>
      <c r="Q774" s="20">
        <v>1</v>
      </c>
      <c r="R774" s="20">
        <v>0</v>
      </c>
      <c r="S774" s="20">
        <v>0</v>
      </c>
      <c r="T774" s="20">
        <v>0</v>
      </c>
      <c r="U774" s="20">
        <v>0</v>
      </c>
      <c r="V774" s="20">
        <v>0</v>
      </c>
      <c r="W774" s="20">
        <v>32</v>
      </c>
      <c r="X774" s="20">
        <v>0</v>
      </c>
      <c r="Y774" s="20">
        <v>0</v>
      </c>
      <c r="Z774" s="20">
        <v>0</v>
      </c>
      <c r="AA774" s="20">
        <v>0</v>
      </c>
      <c r="AB774" s="20">
        <v>0</v>
      </c>
      <c r="AC774" s="20">
        <v>119000</v>
      </c>
      <c r="AD774" s="20">
        <v>80920</v>
      </c>
      <c r="AE774" s="20">
        <v>0</v>
      </c>
      <c r="AF774" s="20">
        <v>0</v>
      </c>
      <c r="AG774" s="20">
        <v>119000</v>
      </c>
      <c r="AH774" s="20">
        <v>80920</v>
      </c>
      <c r="AI774" s="20">
        <v>34618</v>
      </c>
      <c r="AJ774" s="20">
        <v>3462</v>
      </c>
      <c r="AK774" s="20">
        <v>38080</v>
      </c>
    </row>
    <row r="775" spans="1:37" ht="24" customHeight="1" x14ac:dyDescent="0.3">
      <c r="A775" s="18" t="s">
        <v>2248</v>
      </c>
      <c r="B775" s="18" t="s">
        <v>240</v>
      </c>
      <c r="C775" s="19" t="s">
        <v>241</v>
      </c>
      <c r="D775" s="18" t="s">
        <v>2249</v>
      </c>
      <c r="E775" s="19" t="s">
        <v>253</v>
      </c>
      <c r="F775" s="18" t="s">
        <v>244</v>
      </c>
      <c r="G775" s="18" t="s">
        <v>245</v>
      </c>
      <c r="H775" s="19" t="s">
        <v>175</v>
      </c>
      <c r="I775" s="18" t="s">
        <v>246</v>
      </c>
      <c r="J775" s="19" t="s">
        <v>247</v>
      </c>
      <c r="K775" s="19" t="s">
        <v>248</v>
      </c>
      <c r="L775" s="18" t="s">
        <v>164</v>
      </c>
      <c r="M775" s="18" t="s">
        <v>1556</v>
      </c>
      <c r="N775" s="18" t="s">
        <v>250</v>
      </c>
      <c r="O775" s="20">
        <v>119000</v>
      </c>
      <c r="P775" s="20">
        <v>80920</v>
      </c>
      <c r="Q775" s="20">
        <v>1</v>
      </c>
      <c r="R775" s="20">
        <v>0</v>
      </c>
      <c r="S775" s="20">
        <v>0</v>
      </c>
      <c r="T775" s="20">
        <v>0</v>
      </c>
      <c r="U775" s="20">
        <v>0</v>
      </c>
      <c r="V775" s="20">
        <v>0</v>
      </c>
      <c r="W775" s="20">
        <v>32</v>
      </c>
      <c r="X775" s="20">
        <v>0</v>
      </c>
      <c r="Y775" s="20">
        <v>0</v>
      </c>
      <c r="Z775" s="20">
        <v>0</v>
      </c>
      <c r="AA775" s="20">
        <v>0</v>
      </c>
      <c r="AB775" s="20">
        <v>0</v>
      </c>
      <c r="AC775" s="20">
        <v>119000</v>
      </c>
      <c r="AD775" s="20">
        <v>80920</v>
      </c>
      <c r="AE775" s="20">
        <v>0</v>
      </c>
      <c r="AF775" s="20">
        <v>0</v>
      </c>
      <c r="AG775" s="20">
        <v>119000</v>
      </c>
      <c r="AH775" s="20">
        <v>80920</v>
      </c>
      <c r="AI775" s="20">
        <v>34618</v>
      </c>
      <c r="AJ775" s="20">
        <v>3462</v>
      </c>
      <c r="AK775" s="20">
        <v>38080</v>
      </c>
    </row>
    <row r="776" spans="1:37" ht="24" customHeight="1" x14ac:dyDescent="0.3">
      <c r="A776" s="18" t="s">
        <v>2250</v>
      </c>
      <c r="B776" s="18" t="s">
        <v>240</v>
      </c>
      <c r="C776" s="19" t="s">
        <v>241</v>
      </c>
      <c r="D776" s="18" t="s">
        <v>2251</v>
      </c>
      <c r="E776" s="19" t="s">
        <v>716</v>
      </c>
      <c r="F776" s="18" t="s">
        <v>244</v>
      </c>
      <c r="G776" s="18" t="s">
        <v>245</v>
      </c>
      <c r="H776" s="19" t="s">
        <v>175</v>
      </c>
      <c r="I776" s="18" t="s">
        <v>246</v>
      </c>
      <c r="J776" s="19" t="s">
        <v>247</v>
      </c>
      <c r="K776" s="19" t="s">
        <v>314</v>
      </c>
      <c r="L776" s="18" t="s">
        <v>164</v>
      </c>
      <c r="M776" s="18" t="s">
        <v>1556</v>
      </c>
      <c r="N776" s="18" t="s">
        <v>250</v>
      </c>
      <c r="O776" s="20">
        <v>119000</v>
      </c>
      <c r="P776" s="20">
        <v>80920</v>
      </c>
      <c r="Q776" s="20">
        <v>1</v>
      </c>
      <c r="R776" s="20">
        <v>0</v>
      </c>
      <c r="S776" s="20">
        <v>0</v>
      </c>
      <c r="T776" s="20">
        <v>0</v>
      </c>
      <c r="U776" s="20">
        <v>0</v>
      </c>
      <c r="V776" s="20">
        <v>0</v>
      </c>
      <c r="W776" s="20">
        <v>32</v>
      </c>
      <c r="X776" s="20">
        <v>0</v>
      </c>
      <c r="Y776" s="20">
        <v>0</v>
      </c>
      <c r="Z776" s="20">
        <v>0</v>
      </c>
      <c r="AA776" s="20">
        <v>0</v>
      </c>
      <c r="AB776" s="20">
        <v>0</v>
      </c>
      <c r="AC776" s="20">
        <v>119000</v>
      </c>
      <c r="AD776" s="20">
        <v>80920</v>
      </c>
      <c r="AE776" s="20">
        <v>0</v>
      </c>
      <c r="AF776" s="20">
        <v>0</v>
      </c>
      <c r="AG776" s="20">
        <v>119000</v>
      </c>
      <c r="AH776" s="20">
        <v>80920</v>
      </c>
      <c r="AI776" s="20">
        <v>34618</v>
      </c>
      <c r="AJ776" s="20">
        <v>3462</v>
      </c>
      <c r="AK776" s="20">
        <v>38080</v>
      </c>
    </row>
    <row r="777" spans="1:37" ht="24" customHeight="1" x14ac:dyDescent="0.3">
      <c r="A777" s="18" t="s">
        <v>2252</v>
      </c>
      <c r="B777" s="18" t="s">
        <v>240</v>
      </c>
      <c r="C777" s="19" t="s">
        <v>241</v>
      </c>
      <c r="D777" s="18" t="s">
        <v>2253</v>
      </c>
      <c r="E777" s="19" t="s">
        <v>2254</v>
      </c>
      <c r="F777" s="18" t="s">
        <v>244</v>
      </c>
      <c r="G777" s="18" t="s">
        <v>245</v>
      </c>
      <c r="H777" s="19" t="s">
        <v>175</v>
      </c>
      <c r="I777" s="18" t="s">
        <v>246</v>
      </c>
      <c r="J777" s="19" t="s">
        <v>247</v>
      </c>
      <c r="K777" s="19" t="s">
        <v>248</v>
      </c>
      <c r="L777" s="18" t="s">
        <v>164</v>
      </c>
      <c r="M777" s="18" t="s">
        <v>1556</v>
      </c>
      <c r="N777" s="18" t="s">
        <v>250</v>
      </c>
      <c r="O777" s="20">
        <v>119000</v>
      </c>
      <c r="P777" s="20">
        <v>80920</v>
      </c>
      <c r="Q777" s="20">
        <v>1</v>
      </c>
      <c r="R777" s="20">
        <v>0</v>
      </c>
      <c r="S777" s="20">
        <v>0</v>
      </c>
      <c r="T777" s="20">
        <v>0</v>
      </c>
      <c r="U777" s="20">
        <v>0</v>
      </c>
      <c r="V777" s="20">
        <v>0</v>
      </c>
      <c r="W777" s="20">
        <v>32</v>
      </c>
      <c r="X777" s="20">
        <v>0</v>
      </c>
      <c r="Y777" s="20">
        <v>0</v>
      </c>
      <c r="Z777" s="20">
        <v>0</v>
      </c>
      <c r="AA777" s="20">
        <v>0</v>
      </c>
      <c r="AB777" s="20">
        <v>0</v>
      </c>
      <c r="AC777" s="20">
        <v>119000</v>
      </c>
      <c r="AD777" s="20">
        <v>80920</v>
      </c>
      <c r="AE777" s="20">
        <v>0</v>
      </c>
      <c r="AF777" s="20">
        <v>0</v>
      </c>
      <c r="AG777" s="20">
        <v>119000</v>
      </c>
      <c r="AH777" s="20">
        <v>80920</v>
      </c>
      <c r="AI777" s="20">
        <v>34618</v>
      </c>
      <c r="AJ777" s="20">
        <v>3462</v>
      </c>
      <c r="AK777" s="20">
        <v>38080</v>
      </c>
    </row>
    <row r="778" spans="1:37" ht="24" customHeight="1" x14ac:dyDescent="0.3">
      <c r="A778" s="18" t="s">
        <v>2255</v>
      </c>
      <c r="B778" s="18" t="s">
        <v>240</v>
      </c>
      <c r="C778" s="19" t="s">
        <v>241</v>
      </c>
      <c r="D778" s="18" t="s">
        <v>2256</v>
      </c>
      <c r="E778" s="19" t="s">
        <v>2257</v>
      </c>
      <c r="F778" s="18" t="s">
        <v>244</v>
      </c>
      <c r="G778" s="18" t="s">
        <v>245</v>
      </c>
      <c r="H778" s="19" t="s">
        <v>175</v>
      </c>
      <c r="I778" s="18" t="s">
        <v>246</v>
      </c>
      <c r="J778" s="19" t="s">
        <v>247</v>
      </c>
      <c r="K778" s="19" t="s">
        <v>248</v>
      </c>
      <c r="L778" s="18" t="s">
        <v>164</v>
      </c>
      <c r="M778" s="18" t="s">
        <v>1556</v>
      </c>
      <c r="N778" s="18" t="s">
        <v>250</v>
      </c>
      <c r="O778" s="20">
        <v>119000</v>
      </c>
      <c r="P778" s="20">
        <v>80920</v>
      </c>
      <c r="Q778" s="20">
        <v>1</v>
      </c>
      <c r="R778" s="20">
        <v>0</v>
      </c>
      <c r="S778" s="20">
        <v>0</v>
      </c>
      <c r="T778" s="20">
        <v>0</v>
      </c>
      <c r="U778" s="20">
        <v>0</v>
      </c>
      <c r="V778" s="20">
        <v>0</v>
      </c>
      <c r="W778" s="20">
        <v>32</v>
      </c>
      <c r="X778" s="20">
        <v>0</v>
      </c>
      <c r="Y778" s="20">
        <v>0</v>
      </c>
      <c r="Z778" s="20">
        <v>0</v>
      </c>
      <c r="AA778" s="20">
        <v>0</v>
      </c>
      <c r="AB778" s="20">
        <v>0</v>
      </c>
      <c r="AC778" s="20">
        <v>119000</v>
      </c>
      <c r="AD778" s="20">
        <v>80920</v>
      </c>
      <c r="AE778" s="20">
        <v>0</v>
      </c>
      <c r="AF778" s="20">
        <v>0</v>
      </c>
      <c r="AG778" s="20">
        <v>119000</v>
      </c>
      <c r="AH778" s="20">
        <v>80920</v>
      </c>
      <c r="AI778" s="20">
        <v>34618</v>
      </c>
      <c r="AJ778" s="20">
        <v>3462</v>
      </c>
      <c r="AK778" s="20">
        <v>38080</v>
      </c>
    </row>
    <row r="779" spans="1:37" ht="24" customHeight="1" x14ac:dyDescent="0.3">
      <c r="A779" s="18" t="s">
        <v>2258</v>
      </c>
      <c r="B779" s="18" t="s">
        <v>240</v>
      </c>
      <c r="C779" s="19" t="s">
        <v>241</v>
      </c>
      <c r="D779" s="18" t="s">
        <v>2259</v>
      </c>
      <c r="E779" s="19" t="s">
        <v>1608</v>
      </c>
      <c r="F779" s="18" t="s">
        <v>244</v>
      </c>
      <c r="G779" s="18" t="s">
        <v>245</v>
      </c>
      <c r="H779" s="19" t="s">
        <v>175</v>
      </c>
      <c r="I779" s="18" t="s">
        <v>246</v>
      </c>
      <c r="J779" s="19" t="s">
        <v>247</v>
      </c>
      <c r="K779" s="19" t="s">
        <v>248</v>
      </c>
      <c r="L779" s="18" t="s">
        <v>164</v>
      </c>
      <c r="M779" s="18" t="s">
        <v>1556</v>
      </c>
      <c r="N779" s="18" t="s">
        <v>250</v>
      </c>
      <c r="O779" s="20">
        <v>119000</v>
      </c>
      <c r="P779" s="20">
        <v>80920</v>
      </c>
      <c r="Q779" s="20">
        <v>1</v>
      </c>
      <c r="R779" s="20">
        <v>0</v>
      </c>
      <c r="S779" s="20">
        <v>0</v>
      </c>
      <c r="T779" s="20">
        <v>0</v>
      </c>
      <c r="U779" s="20">
        <v>0</v>
      </c>
      <c r="V779" s="20">
        <v>0</v>
      </c>
      <c r="W779" s="20">
        <v>32</v>
      </c>
      <c r="X779" s="20">
        <v>0</v>
      </c>
      <c r="Y779" s="20">
        <v>0</v>
      </c>
      <c r="Z779" s="20">
        <v>0</v>
      </c>
      <c r="AA779" s="20">
        <v>0</v>
      </c>
      <c r="AB779" s="20">
        <v>0</v>
      </c>
      <c r="AC779" s="20">
        <v>119000</v>
      </c>
      <c r="AD779" s="20">
        <v>80920</v>
      </c>
      <c r="AE779" s="20">
        <v>0</v>
      </c>
      <c r="AF779" s="20">
        <v>0</v>
      </c>
      <c r="AG779" s="20">
        <v>119000</v>
      </c>
      <c r="AH779" s="20">
        <v>80920</v>
      </c>
      <c r="AI779" s="20">
        <v>34618</v>
      </c>
      <c r="AJ779" s="20">
        <v>3462</v>
      </c>
      <c r="AK779" s="20">
        <v>38080</v>
      </c>
    </row>
    <row r="780" spans="1:37" ht="24" customHeight="1" x14ac:dyDescent="0.3">
      <c r="A780" s="18" t="s">
        <v>2260</v>
      </c>
      <c r="B780" s="18" t="s">
        <v>240</v>
      </c>
      <c r="C780" s="19" t="s">
        <v>241</v>
      </c>
      <c r="D780" s="18" t="s">
        <v>2261</v>
      </c>
      <c r="E780" s="19" t="s">
        <v>2262</v>
      </c>
      <c r="F780" s="18" t="s">
        <v>244</v>
      </c>
      <c r="G780" s="18" t="s">
        <v>245</v>
      </c>
      <c r="H780" s="19" t="s">
        <v>175</v>
      </c>
      <c r="I780" s="18" t="s">
        <v>246</v>
      </c>
      <c r="J780" s="19" t="s">
        <v>247</v>
      </c>
      <c r="K780" s="19" t="s">
        <v>248</v>
      </c>
      <c r="L780" s="18" t="s">
        <v>164</v>
      </c>
      <c r="M780" s="18" t="s">
        <v>1556</v>
      </c>
      <c r="N780" s="18" t="s">
        <v>250</v>
      </c>
      <c r="O780" s="20">
        <v>119000</v>
      </c>
      <c r="P780" s="20">
        <v>80920</v>
      </c>
      <c r="Q780" s="20">
        <v>1</v>
      </c>
      <c r="R780" s="20">
        <v>0</v>
      </c>
      <c r="S780" s="20">
        <v>0</v>
      </c>
      <c r="T780" s="20">
        <v>0</v>
      </c>
      <c r="U780" s="20">
        <v>0</v>
      </c>
      <c r="V780" s="20">
        <v>0</v>
      </c>
      <c r="W780" s="20">
        <v>32</v>
      </c>
      <c r="X780" s="20">
        <v>0</v>
      </c>
      <c r="Y780" s="20">
        <v>0</v>
      </c>
      <c r="Z780" s="20">
        <v>0</v>
      </c>
      <c r="AA780" s="20">
        <v>0</v>
      </c>
      <c r="AB780" s="20">
        <v>0</v>
      </c>
      <c r="AC780" s="20">
        <v>119000</v>
      </c>
      <c r="AD780" s="20">
        <v>80920</v>
      </c>
      <c r="AE780" s="20">
        <v>0</v>
      </c>
      <c r="AF780" s="20">
        <v>0</v>
      </c>
      <c r="AG780" s="20">
        <v>119000</v>
      </c>
      <c r="AH780" s="20">
        <v>80920</v>
      </c>
      <c r="AI780" s="20">
        <v>34618</v>
      </c>
      <c r="AJ780" s="20">
        <v>3462</v>
      </c>
      <c r="AK780" s="20">
        <v>38080</v>
      </c>
    </row>
    <row r="781" spans="1:37" ht="24" customHeight="1" x14ac:dyDescent="0.3">
      <c r="A781" s="18" t="s">
        <v>2263</v>
      </c>
      <c r="B781" s="18" t="s">
        <v>240</v>
      </c>
      <c r="C781" s="19" t="s">
        <v>241</v>
      </c>
      <c r="D781" s="18" t="s">
        <v>2264</v>
      </c>
      <c r="E781" s="19" t="s">
        <v>2265</v>
      </c>
      <c r="F781" s="18" t="s">
        <v>244</v>
      </c>
      <c r="G781" s="18" t="s">
        <v>245</v>
      </c>
      <c r="H781" s="19" t="s">
        <v>175</v>
      </c>
      <c r="I781" s="18" t="s">
        <v>246</v>
      </c>
      <c r="J781" s="19" t="s">
        <v>247</v>
      </c>
      <c r="K781" s="19" t="s">
        <v>248</v>
      </c>
      <c r="L781" s="18" t="s">
        <v>164</v>
      </c>
      <c r="M781" s="18" t="s">
        <v>1556</v>
      </c>
      <c r="N781" s="18" t="s">
        <v>250</v>
      </c>
      <c r="O781" s="20">
        <v>119000</v>
      </c>
      <c r="P781" s="20">
        <v>80920</v>
      </c>
      <c r="Q781" s="20">
        <v>1</v>
      </c>
      <c r="R781" s="20">
        <v>0</v>
      </c>
      <c r="S781" s="20">
        <v>0</v>
      </c>
      <c r="T781" s="20">
        <v>0</v>
      </c>
      <c r="U781" s="20">
        <v>0</v>
      </c>
      <c r="V781" s="20">
        <v>0</v>
      </c>
      <c r="W781" s="20">
        <v>32</v>
      </c>
      <c r="X781" s="20">
        <v>0</v>
      </c>
      <c r="Y781" s="20">
        <v>0</v>
      </c>
      <c r="Z781" s="20">
        <v>0</v>
      </c>
      <c r="AA781" s="20">
        <v>0</v>
      </c>
      <c r="AB781" s="20">
        <v>0</v>
      </c>
      <c r="AC781" s="20">
        <v>119000</v>
      </c>
      <c r="AD781" s="20">
        <v>80920</v>
      </c>
      <c r="AE781" s="20">
        <v>0</v>
      </c>
      <c r="AF781" s="20">
        <v>0</v>
      </c>
      <c r="AG781" s="20">
        <v>119000</v>
      </c>
      <c r="AH781" s="20">
        <v>80920</v>
      </c>
      <c r="AI781" s="20">
        <v>34618</v>
      </c>
      <c r="AJ781" s="20">
        <v>3462</v>
      </c>
      <c r="AK781" s="20">
        <v>38080</v>
      </c>
    </row>
    <row r="782" spans="1:37" ht="24" customHeight="1" x14ac:dyDescent="0.3">
      <c r="A782" s="18" t="s">
        <v>2266</v>
      </c>
      <c r="B782" s="18" t="s">
        <v>240</v>
      </c>
      <c r="C782" s="19" t="s">
        <v>241</v>
      </c>
      <c r="D782" s="18" t="s">
        <v>2267</v>
      </c>
      <c r="E782" s="19" t="s">
        <v>2268</v>
      </c>
      <c r="F782" s="18" t="s">
        <v>244</v>
      </c>
      <c r="G782" s="18" t="s">
        <v>245</v>
      </c>
      <c r="H782" s="19" t="s">
        <v>175</v>
      </c>
      <c r="I782" s="18" t="s">
        <v>246</v>
      </c>
      <c r="J782" s="19" t="s">
        <v>247</v>
      </c>
      <c r="K782" s="19" t="s">
        <v>248</v>
      </c>
      <c r="L782" s="18" t="s">
        <v>164</v>
      </c>
      <c r="M782" s="18" t="s">
        <v>1556</v>
      </c>
      <c r="N782" s="18" t="s">
        <v>250</v>
      </c>
      <c r="O782" s="20">
        <v>119000</v>
      </c>
      <c r="P782" s="20">
        <v>80920</v>
      </c>
      <c r="Q782" s="20">
        <v>1</v>
      </c>
      <c r="R782" s="20">
        <v>0</v>
      </c>
      <c r="S782" s="20">
        <v>0</v>
      </c>
      <c r="T782" s="20">
        <v>0</v>
      </c>
      <c r="U782" s="20">
        <v>0</v>
      </c>
      <c r="V782" s="20">
        <v>0</v>
      </c>
      <c r="W782" s="20">
        <v>32</v>
      </c>
      <c r="X782" s="20">
        <v>0</v>
      </c>
      <c r="Y782" s="20">
        <v>0</v>
      </c>
      <c r="Z782" s="20">
        <v>0</v>
      </c>
      <c r="AA782" s="20">
        <v>0</v>
      </c>
      <c r="AB782" s="20">
        <v>0</v>
      </c>
      <c r="AC782" s="20">
        <v>119000</v>
      </c>
      <c r="AD782" s="20">
        <v>80920</v>
      </c>
      <c r="AE782" s="20">
        <v>0</v>
      </c>
      <c r="AF782" s="20">
        <v>0</v>
      </c>
      <c r="AG782" s="20">
        <v>119000</v>
      </c>
      <c r="AH782" s="20">
        <v>80920</v>
      </c>
      <c r="AI782" s="20">
        <v>34618</v>
      </c>
      <c r="AJ782" s="20">
        <v>3462</v>
      </c>
      <c r="AK782" s="20">
        <v>38080</v>
      </c>
    </row>
    <row r="783" spans="1:37" ht="24" customHeight="1" x14ac:dyDescent="0.3">
      <c r="A783" s="18" t="s">
        <v>2269</v>
      </c>
      <c r="B783" s="18" t="s">
        <v>240</v>
      </c>
      <c r="C783" s="19" t="s">
        <v>241</v>
      </c>
      <c r="D783" s="18" t="s">
        <v>2270</v>
      </c>
      <c r="E783" s="19" t="s">
        <v>615</v>
      </c>
      <c r="F783" s="18" t="s">
        <v>244</v>
      </c>
      <c r="G783" s="18" t="s">
        <v>245</v>
      </c>
      <c r="H783" s="19" t="s">
        <v>175</v>
      </c>
      <c r="I783" s="18" t="s">
        <v>246</v>
      </c>
      <c r="J783" s="19" t="s">
        <v>247</v>
      </c>
      <c r="K783" s="19" t="s">
        <v>248</v>
      </c>
      <c r="L783" s="18" t="s">
        <v>164</v>
      </c>
      <c r="M783" s="18" t="s">
        <v>1556</v>
      </c>
      <c r="N783" s="18" t="s">
        <v>250</v>
      </c>
      <c r="O783" s="20">
        <v>119000</v>
      </c>
      <c r="P783" s="20">
        <v>80920</v>
      </c>
      <c r="Q783" s="20">
        <v>1</v>
      </c>
      <c r="R783" s="20">
        <v>0</v>
      </c>
      <c r="S783" s="20">
        <v>0</v>
      </c>
      <c r="T783" s="20">
        <v>0</v>
      </c>
      <c r="U783" s="20">
        <v>0</v>
      </c>
      <c r="V783" s="20">
        <v>0</v>
      </c>
      <c r="W783" s="20">
        <v>32</v>
      </c>
      <c r="X783" s="20">
        <v>0</v>
      </c>
      <c r="Y783" s="20">
        <v>0</v>
      </c>
      <c r="Z783" s="20">
        <v>0</v>
      </c>
      <c r="AA783" s="20">
        <v>0</v>
      </c>
      <c r="AB783" s="20">
        <v>0</v>
      </c>
      <c r="AC783" s="20">
        <v>119000</v>
      </c>
      <c r="AD783" s="20">
        <v>80920</v>
      </c>
      <c r="AE783" s="20">
        <v>0</v>
      </c>
      <c r="AF783" s="20">
        <v>0</v>
      </c>
      <c r="AG783" s="20">
        <v>119000</v>
      </c>
      <c r="AH783" s="20">
        <v>80920</v>
      </c>
      <c r="AI783" s="20">
        <v>34618</v>
      </c>
      <c r="AJ783" s="20">
        <v>3462</v>
      </c>
      <c r="AK783" s="20">
        <v>38080</v>
      </c>
    </row>
    <row r="784" spans="1:37" ht="24" customHeight="1" x14ac:dyDescent="0.3">
      <c r="A784" s="18" t="s">
        <v>2271</v>
      </c>
      <c r="B784" s="18" t="s">
        <v>240</v>
      </c>
      <c r="C784" s="19" t="s">
        <v>241</v>
      </c>
      <c r="D784" s="18" t="s">
        <v>2272</v>
      </c>
      <c r="E784" s="19" t="s">
        <v>2273</v>
      </c>
      <c r="F784" s="18" t="s">
        <v>244</v>
      </c>
      <c r="G784" s="18" t="s">
        <v>245</v>
      </c>
      <c r="H784" s="19" t="s">
        <v>175</v>
      </c>
      <c r="I784" s="18" t="s">
        <v>246</v>
      </c>
      <c r="J784" s="19" t="s">
        <v>247</v>
      </c>
      <c r="K784" s="19" t="s">
        <v>248</v>
      </c>
      <c r="L784" s="18" t="s">
        <v>164</v>
      </c>
      <c r="M784" s="18" t="s">
        <v>1556</v>
      </c>
      <c r="N784" s="18" t="s">
        <v>250</v>
      </c>
      <c r="O784" s="20">
        <v>119000</v>
      </c>
      <c r="P784" s="20">
        <v>80920</v>
      </c>
      <c r="Q784" s="20">
        <v>1</v>
      </c>
      <c r="R784" s="20">
        <v>0</v>
      </c>
      <c r="S784" s="20">
        <v>0</v>
      </c>
      <c r="T784" s="20">
        <v>0</v>
      </c>
      <c r="U784" s="20">
        <v>0</v>
      </c>
      <c r="V784" s="20">
        <v>0</v>
      </c>
      <c r="W784" s="20">
        <v>32</v>
      </c>
      <c r="X784" s="20">
        <v>0</v>
      </c>
      <c r="Y784" s="20">
        <v>0</v>
      </c>
      <c r="Z784" s="20">
        <v>0</v>
      </c>
      <c r="AA784" s="20">
        <v>0</v>
      </c>
      <c r="AB784" s="20">
        <v>0</v>
      </c>
      <c r="AC784" s="20">
        <v>119000</v>
      </c>
      <c r="AD784" s="20">
        <v>80920</v>
      </c>
      <c r="AE784" s="20">
        <v>0</v>
      </c>
      <c r="AF784" s="20">
        <v>0</v>
      </c>
      <c r="AG784" s="20">
        <v>119000</v>
      </c>
      <c r="AH784" s="20">
        <v>80920</v>
      </c>
      <c r="AI784" s="20">
        <v>34618</v>
      </c>
      <c r="AJ784" s="20">
        <v>3462</v>
      </c>
      <c r="AK784" s="20">
        <v>38080</v>
      </c>
    </row>
    <row r="785" spans="1:37" ht="24" customHeight="1" x14ac:dyDescent="0.3">
      <c r="A785" s="18" t="s">
        <v>2274</v>
      </c>
      <c r="B785" s="18" t="s">
        <v>240</v>
      </c>
      <c r="C785" s="19" t="s">
        <v>241</v>
      </c>
      <c r="D785" s="18" t="s">
        <v>2275</v>
      </c>
      <c r="E785" s="19" t="s">
        <v>284</v>
      </c>
      <c r="F785" s="18" t="s">
        <v>244</v>
      </c>
      <c r="G785" s="18" t="s">
        <v>245</v>
      </c>
      <c r="H785" s="19" t="s">
        <v>175</v>
      </c>
      <c r="I785" s="18" t="s">
        <v>246</v>
      </c>
      <c r="J785" s="19" t="s">
        <v>247</v>
      </c>
      <c r="K785" s="19" t="s">
        <v>248</v>
      </c>
      <c r="L785" s="18" t="s">
        <v>164</v>
      </c>
      <c r="M785" s="18" t="s">
        <v>1556</v>
      </c>
      <c r="N785" s="18" t="s">
        <v>250</v>
      </c>
      <c r="O785" s="20">
        <v>119000</v>
      </c>
      <c r="P785" s="20">
        <v>80920</v>
      </c>
      <c r="Q785" s="20">
        <v>1</v>
      </c>
      <c r="R785" s="20">
        <v>0</v>
      </c>
      <c r="S785" s="20">
        <v>0</v>
      </c>
      <c r="T785" s="20">
        <v>0</v>
      </c>
      <c r="U785" s="20">
        <v>0</v>
      </c>
      <c r="V785" s="20">
        <v>0</v>
      </c>
      <c r="W785" s="20">
        <v>32</v>
      </c>
      <c r="X785" s="20">
        <v>0</v>
      </c>
      <c r="Y785" s="20">
        <v>0</v>
      </c>
      <c r="Z785" s="20">
        <v>0</v>
      </c>
      <c r="AA785" s="20">
        <v>0</v>
      </c>
      <c r="AB785" s="20">
        <v>0</v>
      </c>
      <c r="AC785" s="20">
        <v>119000</v>
      </c>
      <c r="AD785" s="20">
        <v>80920</v>
      </c>
      <c r="AE785" s="20">
        <v>0</v>
      </c>
      <c r="AF785" s="20">
        <v>0</v>
      </c>
      <c r="AG785" s="20">
        <v>119000</v>
      </c>
      <c r="AH785" s="20">
        <v>80920</v>
      </c>
      <c r="AI785" s="20">
        <v>34618</v>
      </c>
      <c r="AJ785" s="20">
        <v>3462</v>
      </c>
      <c r="AK785" s="20">
        <v>38080</v>
      </c>
    </row>
    <row r="786" spans="1:37" ht="24" customHeight="1" x14ac:dyDescent="0.3">
      <c r="A786" s="18" t="s">
        <v>2276</v>
      </c>
      <c r="B786" s="18" t="s">
        <v>240</v>
      </c>
      <c r="C786" s="19" t="s">
        <v>241</v>
      </c>
      <c r="D786" s="18" t="s">
        <v>2277</v>
      </c>
      <c r="E786" s="19" t="s">
        <v>2278</v>
      </c>
      <c r="F786" s="18" t="s">
        <v>244</v>
      </c>
      <c r="G786" s="18" t="s">
        <v>245</v>
      </c>
      <c r="H786" s="19" t="s">
        <v>175</v>
      </c>
      <c r="I786" s="18" t="s">
        <v>246</v>
      </c>
      <c r="J786" s="19" t="s">
        <v>247</v>
      </c>
      <c r="K786" s="19" t="s">
        <v>248</v>
      </c>
      <c r="L786" s="18" t="s">
        <v>164</v>
      </c>
      <c r="M786" s="18" t="s">
        <v>1556</v>
      </c>
      <c r="N786" s="18" t="s">
        <v>250</v>
      </c>
      <c r="O786" s="20">
        <v>119000</v>
      </c>
      <c r="P786" s="20">
        <v>80920</v>
      </c>
      <c r="Q786" s="20">
        <v>1</v>
      </c>
      <c r="R786" s="20">
        <v>0</v>
      </c>
      <c r="S786" s="20">
        <v>0</v>
      </c>
      <c r="T786" s="20">
        <v>0</v>
      </c>
      <c r="U786" s="20">
        <v>0</v>
      </c>
      <c r="V786" s="20">
        <v>0</v>
      </c>
      <c r="W786" s="20">
        <v>32</v>
      </c>
      <c r="X786" s="20">
        <v>0</v>
      </c>
      <c r="Y786" s="20">
        <v>0</v>
      </c>
      <c r="Z786" s="20">
        <v>0</v>
      </c>
      <c r="AA786" s="20">
        <v>0</v>
      </c>
      <c r="AB786" s="20">
        <v>0</v>
      </c>
      <c r="AC786" s="20">
        <v>119000</v>
      </c>
      <c r="AD786" s="20">
        <v>80920</v>
      </c>
      <c r="AE786" s="20">
        <v>0</v>
      </c>
      <c r="AF786" s="20">
        <v>0</v>
      </c>
      <c r="AG786" s="20">
        <v>119000</v>
      </c>
      <c r="AH786" s="20">
        <v>80920</v>
      </c>
      <c r="AI786" s="20">
        <v>34618</v>
      </c>
      <c r="AJ786" s="20">
        <v>3462</v>
      </c>
      <c r="AK786" s="20">
        <v>38080</v>
      </c>
    </row>
    <row r="787" spans="1:37" ht="24" customHeight="1" x14ac:dyDescent="0.3">
      <c r="A787" s="18" t="s">
        <v>2279</v>
      </c>
      <c r="B787" s="18" t="s">
        <v>240</v>
      </c>
      <c r="C787" s="19" t="s">
        <v>241</v>
      </c>
      <c r="D787" s="18" t="s">
        <v>2280</v>
      </c>
      <c r="E787" s="19" t="s">
        <v>362</v>
      </c>
      <c r="F787" s="18" t="s">
        <v>244</v>
      </c>
      <c r="G787" s="18" t="s">
        <v>245</v>
      </c>
      <c r="H787" s="19" t="s">
        <v>175</v>
      </c>
      <c r="I787" s="18" t="s">
        <v>246</v>
      </c>
      <c r="J787" s="19" t="s">
        <v>247</v>
      </c>
      <c r="K787" s="19" t="s">
        <v>248</v>
      </c>
      <c r="L787" s="18" t="s">
        <v>164</v>
      </c>
      <c r="M787" s="18" t="s">
        <v>1556</v>
      </c>
      <c r="N787" s="18" t="s">
        <v>250</v>
      </c>
      <c r="O787" s="20">
        <v>119000</v>
      </c>
      <c r="P787" s="20">
        <v>80920</v>
      </c>
      <c r="Q787" s="20">
        <v>1</v>
      </c>
      <c r="R787" s="20">
        <v>0</v>
      </c>
      <c r="S787" s="20">
        <v>0</v>
      </c>
      <c r="T787" s="20">
        <v>0</v>
      </c>
      <c r="U787" s="20">
        <v>0</v>
      </c>
      <c r="V787" s="20">
        <v>0</v>
      </c>
      <c r="W787" s="20">
        <v>32</v>
      </c>
      <c r="X787" s="20">
        <v>0</v>
      </c>
      <c r="Y787" s="20">
        <v>0</v>
      </c>
      <c r="Z787" s="20">
        <v>0</v>
      </c>
      <c r="AA787" s="20">
        <v>0</v>
      </c>
      <c r="AB787" s="20">
        <v>0</v>
      </c>
      <c r="AC787" s="20">
        <v>119000</v>
      </c>
      <c r="AD787" s="20">
        <v>80920</v>
      </c>
      <c r="AE787" s="20">
        <v>0</v>
      </c>
      <c r="AF787" s="20">
        <v>0</v>
      </c>
      <c r="AG787" s="20">
        <v>119000</v>
      </c>
      <c r="AH787" s="20">
        <v>80920</v>
      </c>
      <c r="AI787" s="20">
        <v>34618</v>
      </c>
      <c r="AJ787" s="20">
        <v>3462</v>
      </c>
      <c r="AK787" s="20">
        <v>38080</v>
      </c>
    </row>
    <row r="788" spans="1:37" ht="24" customHeight="1" x14ac:dyDescent="0.3">
      <c r="A788" s="18" t="s">
        <v>2281</v>
      </c>
      <c r="B788" s="18" t="s">
        <v>240</v>
      </c>
      <c r="C788" s="19" t="s">
        <v>241</v>
      </c>
      <c r="D788" s="18" t="s">
        <v>2282</v>
      </c>
      <c r="E788" s="19" t="s">
        <v>2283</v>
      </c>
      <c r="F788" s="18" t="s">
        <v>244</v>
      </c>
      <c r="G788" s="18" t="s">
        <v>245</v>
      </c>
      <c r="H788" s="19" t="s">
        <v>175</v>
      </c>
      <c r="I788" s="18" t="s">
        <v>246</v>
      </c>
      <c r="J788" s="19" t="s">
        <v>247</v>
      </c>
      <c r="K788" s="19" t="s">
        <v>248</v>
      </c>
      <c r="L788" s="18" t="s">
        <v>164</v>
      </c>
      <c r="M788" s="18" t="s">
        <v>1556</v>
      </c>
      <c r="N788" s="18" t="s">
        <v>250</v>
      </c>
      <c r="O788" s="20">
        <v>119000</v>
      </c>
      <c r="P788" s="20">
        <v>80920</v>
      </c>
      <c r="Q788" s="20">
        <v>1</v>
      </c>
      <c r="R788" s="20">
        <v>0</v>
      </c>
      <c r="S788" s="20">
        <v>0</v>
      </c>
      <c r="T788" s="20">
        <v>0</v>
      </c>
      <c r="U788" s="20">
        <v>0</v>
      </c>
      <c r="V788" s="20">
        <v>0</v>
      </c>
      <c r="W788" s="20">
        <v>32</v>
      </c>
      <c r="X788" s="20">
        <v>0</v>
      </c>
      <c r="Y788" s="20">
        <v>0</v>
      </c>
      <c r="Z788" s="20">
        <v>0</v>
      </c>
      <c r="AA788" s="20">
        <v>0</v>
      </c>
      <c r="AB788" s="20">
        <v>0</v>
      </c>
      <c r="AC788" s="20">
        <v>119000</v>
      </c>
      <c r="AD788" s="20">
        <v>80920</v>
      </c>
      <c r="AE788" s="20">
        <v>0</v>
      </c>
      <c r="AF788" s="20">
        <v>0</v>
      </c>
      <c r="AG788" s="20">
        <v>119000</v>
      </c>
      <c r="AH788" s="20">
        <v>80920</v>
      </c>
      <c r="AI788" s="20">
        <v>34618</v>
      </c>
      <c r="AJ788" s="20">
        <v>3462</v>
      </c>
      <c r="AK788" s="20">
        <v>38080</v>
      </c>
    </row>
    <row r="789" spans="1:37" ht="24" customHeight="1" x14ac:dyDescent="0.3">
      <c r="A789" s="18" t="s">
        <v>2284</v>
      </c>
      <c r="B789" s="18" t="s">
        <v>240</v>
      </c>
      <c r="C789" s="19" t="s">
        <v>241</v>
      </c>
      <c r="D789" s="18" t="s">
        <v>2285</v>
      </c>
      <c r="E789" s="19" t="s">
        <v>311</v>
      </c>
      <c r="F789" s="18" t="s">
        <v>244</v>
      </c>
      <c r="G789" s="18" t="s">
        <v>245</v>
      </c>
      <c r="H789" s="19" t="s">
        <v>175</v>
      </c>
      <c r="I789" s="18" t="s">
        <v>246</v>
      </c>
      <c r="J789" s="19" t="s">
        <v>247</v>
      </c>
      <c r="K789" s="19" t="s">
        <v>248</v>
      </c>
      <c r="L789" s="18" t="s">
        <v>164</v>
      </c>
      <c r="M789" s="18" t="s">
        <v>1556</v>
      </c>
      <c r="N789" s="18" t="s">
        <v>250</v>
      </c>
      <c r="O789" s="20">
        <v>119000</v>
      </c>
      <c r="P789" s="20">
        <v>80920</v>
      </c>
      <c r="Q789" s="20">
        <v>1</v>
      </c>
      <c r="R789" s="20">
        <v>0</v>
      </c>
      <c r="S789" s="20">
        <v>0</v>
      </c>
      <c r="T789" s="20">
        <v>0</v>
      </c>
      <c r="U789" s="20">
        <v>0</v>
      </c>
      <c r="V789" s="20">
        <v>0</v>
      </c>
      <c r="W789" s="20">
        <v>32</v>
      </c>
      <c r="X789" s="20">
        <v>0</v>
      </c>
      <c r="Y789" s="20">
        <v>0</v>
      </c>
      <c r="Z789" s="20">
        <v>0</v>
      </c>
      <c r="AA789" s="20">
        <v>0</v>
      </c>
      <c r="AB789" s="20">
        <v>0</v>
      </c>
      <c r="AC789" s="20">
        <v>119000</v>
      </c>
      <c r="AD789" s="20">
        <v>80920</v>
      </c>
      <c r="AE789" s="20">
        <v>0</v>
      </c>
      <c r="AF789" s="20">
        <v>0</v>
      </c>
      <c r="AG789" s="20">
        <v>119000</v>
      </c>
      <c r="AH789" s="20">
        <v>80920</v>
      </c>
      <c r="AI789" s="20">
        <v>34618</v>
      </c>
      <c r="AJ789" s="20">
        <v>3462</v>
      </c>
      <c r="AK789" s="20">
        <v>38080</v>
      </c>
    </row>
    <row r="790" spans="1:37" ht="24" customHeight="1" x14ac:dyDescent="0.3">
      <c r="A790" s="18" t="s">
        <v>2286</v>
      </c>
      <c r="B790" s="18" t="s">
        <v>240</v>
      </c>
      <c r="C790" s="19" t="s">
        <v>241</v>
      </c>
      <c r="D790" s="18" t="s">
        <v>2287</v>
      </c>
      <c r="E790" s="19" t="s">
        <v>1145</v>
      </c>
      <c r="F790" s="18" t="s">
        <v>244</v>
      </c>
      <c r="G790" s="18" t="s">
        <v>245</v>
      </c>
      <c r="H790" s="19" t="s">
        <v>175</v>
      </c>
      <c r="I790" s="18" t="s">
        <v>246</v>
      </c>
      <c r="J790" s="19" t="s">
        <v>247</v>
      </c>
      <c r="K790" s="19" t="s">
        <v>248</v>
      </c>
      <c r="L790" s="18" t="s">
        <v>164</v>
      </c>
      <c r="M790" s="18" t="s">
        <v>1556</v>
      </c>
      <c r="N790" s="18" t="s">
        <v>250</v>
      </c>
      <c r="O790" s="20">
        <v>119000</v>
      </c>
      <c r="P790" s="20">
        <v>80920</v>
      </c>
      <c r="Q790" s="20">
        <v>1</v>
      </c>
      <c r="R790" s="20">
        <v>0</v>
      </c>
      <c r="S790" s="20">
        <v>0</v>
      </c>
      <c r="T790" s="20">
        <v>0</v>
      </c>
      <c r="U790" s="20">
        <v>0</v>
      </c>
      <c r="V790" s="20">
        <v>0</v>
      </c>
      <c r="W790" s="20">
        <v>32</v>
      </c>
      <c r="X790" s="20">
        <v>5950</v>
      </c>
      <c r="Y790" s="20">
        <v>0</v>
      </c>
      <c r="Z790" s="20">
        <v>0</v>
      </c>
      <c r="AA790" s="20">
        <v>0</v>
      </c>
      <c r="AB790" s="20">
        <v>0</v>
      </c>
      <c r="AC790" s="20">
        <v>119000</v>
      </c>
      <c r="AD790" s="20">
        <v>80920</v>
      </c>
      <c r="AE790" s="20">
        <v>0</v>
      </c>
      <c r="AF790" s="20">
        <v>5950</v>
      </c>
      <c r="AG790" s="20">
        <v>113050</v>
      </c>
      <c r="AH790" s="20">
        <v>80920</v>
      </c>
      <c r="AI790" s="20">
        <v>29209</v>
      </c>
      <c r="AJ790" s="20">
        <v>2921</v>
      </c>
      <c r="AK790" s="20">
        <v>32130</v>
      </c>
    </row>
    <row r="791" spans="1:37" ht="24" customHeight="1" x14ac:dyDescent="0.3">
      <c r="A791" s="18" t="s">
        <v>2288</v>
      </c>
      <c r="B791" s="18" t="s">
        <v>240</v>
      </c>
      <c r="C791" s="19" t="s">
        <v>241</v>
      </c>
      <c r="D791" s="18" t="s">
        <v>2289</v>
      </c>
      <c r="E791" s="19" t="s">
        <v>716</v>
      </c>
      <c r="F791" s="18" t="s">
        <v>244</v>
      </c>
      <c r="G791" s="18" t="s">
        <v>245</v>
      </c>
      <c r="H791" s="19" t="s">
        <v>175</v>
      </c>
      <c r="I791" s="18" t="s">
        <v>246</v>
      </c>
      <c r="J791" s="19" t="s">
        <v>247</v>
      </c>
      <c r="K791" s="19" t="s">
        <v>248</v>
      </c>
      <c r="L791" s="18" t="s">
        <v>164</v>
      </c>
      <c r="M791" s="18" t="s">
        <v>1556</v>
      </c>
      <c r="N791" s="18" t="s">
        <v>250</v>
      </c>
      <c r="O791" s="20">
        <v>119000</v>
      </c>
      <c r="P791" s="20">
        <v>80920</v>
      </c>
      <c r="Q791" s="20">
        <v>1</v>
      </c>
      <c r="R791" s="20">
        <v>0</v>
      </c>
      <c r="S791" s="20">
        <v>0</v>
      </c>
      <c r="T791" s="20">
        <v>0</v>
      </c>
      <c r="U791" s="20">
        <v>0</v>
      </c>
      <c r="V791" s="20">
        <v>0</v>
      </c>
      <c r="W791" s="20">
        <v>32</v>
      </c>
      <c r="X791" s="20">
        <v>0</v>
      </c>
      <c r="Y791" s="20">
        <v>0</v>
      </c>
      <c r="Z791" s="20">
        <v>0</v>
      </c>
      <c r="AA791" s="20">
        <v>0</v>
      </c>
      <c r="AB791" s="20">
        <v>0</v>
      </c>
      <c r="AC791" s="20">
        <v>119000</v>
      </c>
      <c r="AD791" s="20">
        <v>80920</v>
      </c>
      <c r="AE791" s="20">
        <v>0</v>
      </c>
      <c r="AF791" s="20">
        <v>0</v>
      </c>
      <c r="AG791" s="20">
        <v>119000</v>
      </c>
      <c r="AH791" s="20">
        <v>80920</v>
      </c>
      <c r="AI791" s="20">
        <v>34618</v>
      </c>
      <c r="AJ791" s="20">
        <v>3462</v>
      </c>
      <c r="AK791" s="20">
        <v>38080</v>
      </c>
    </row>
    <row r="792" spans="1:37" ht="24" customHeight="1" x14ac:dyDescent="0.3">
      <c r="A792" s="18" t="s">
        <v>2290</v>
      </c>
      <c r="B792" s="18" t="s">
        <v>240</v>
      </c>
      <c r="C792" s="19" t="s">
        <v>241</v>
      </c>
      <c r="D792" s="18" t="s">
        <v>2291</v>
      </c>
      <c r="E792" s="19" t="s">
        <v>2292</v>
      </c>
      <c r="F792" s="18" t="s">
        <v>244</v>
      </c>
      <c r="G792" s="18" t="s">
        <v>245</v>
      </c>
      <c r="H792" s="19" t="s">
        <v>175</v>
      </c>
      <c r="I792" s="18" t="s">
        <v>246</v>
      </c>
      <c r="J792" s="19" t="s">
        <v>247</v>
      </c>
      <c r="K792" s="19" t="s">
        <v>314</v>
      </c>
      <c r="L792" s="18" t="s">
        <v>164</v>
      </c>
      <c r="M792" s="18" t="s">
        <v>1556</v>
      </c>
      <c r="N792" s="18" t="s">
        <v>250</v>
      </c>
      <c r="O792" s="20">
        <v>119000</v>
      </c>
      <c r="P792" s="20">
        <v>80920</v>
      </c>
      <c r="Q792" s="20">
        <v>1</v>
      </c>
      <c r="R792" s="20">
        <v>0</v>
      </c>
      <c r="S792" s="20">
        <v>0</v>
      </c>
      <c r="T792" s="20">
        <v>0</v>
      </c>
      <c r="U792" s="20">
        <v>0</v>
      </c>
      <c r="V792" s="20">
        <v>0</v>
      </c>
      <c r="W792" s="20">
        <v>32</v>
      </c>
      <c r="X792" s="20">
        <v>0</v>
      </c>
      <c r="Y792" s="20">
        <v>0</v>
      </c>
      <c r="Z792" s="20">
        <v>0</v>
      </c>
      <c r="AA792" s="20">
        <v>0</v>
      </c>
      <c r="AB792" s="20">
        <v>0</v>
      </c>
      <c r="AC792" s="20">
        <v>119000</v>
      </c>
      <c r="AD792" s="20">
        <v>80920</v>
      </c>
      <c r="AE792" s="20">
        <v>0</v>
      </c>
      <c r="AF792" s="20">
        <v>0</v>
      </c>
      <c r="AG792" s="20">
        <v>119000</v>
      </c>
      <c r="AH792" s="20">
        <v>80920</v>
      </c>
      <c r="AI792" s="20">
        <v>34618</v>
      </c>
      <c r="AJ792" s="20">
        <v>3462</v>
      </c>
      <c r="AK792" s="20">
        <v>38080</v>
      </c>
    </row>
    <row r="793" spans="1:37" ht="24" customHeight="1" x14ac:dyDescent="0.3">
      <c r="A793" s="18" t="s">
        <v>2293</v>
      </c>
      <c r="B793" s="18" t="s">
        <v>240</v>
      </c>
      <c r="C793" s="19" t="s">
        <v>241</v>
      </c>
      <c r="D793" s="18" t="s">
        <v>2294</v>
      </c>
      <c r="E793" s="19" t="s">
        <v>253</v>
      </c>
      <c r="F793" s="18" t="s">
        <v>244</v>
      </c>
      <c r="G793" s="18" t="s">
        <v>245</v>
      </c>
      <c r="H793" s="19" t="s">
        <v>175</v>
      </c>
      <c r="I793" s="18" t="s">
        <v>246</v>
      </c>
      <c r="J793" s="19" t="s">
        <v>247</v>
      </c>
      <c r="K793" s="19" t="s">
        <v>248</v>
      </c>
      <c r="L793" s="18" t="s">
        <v>164</v>
      </c>
      <c r="M793" s="18" t="s">
        <v>1556</v>
      </c>
      <c r="N793" s="18" t="s">
        <v>250</v>
      </c>
      <c r="O793" s="20">
        <v>119000</v>
      </c>
      <c r="P793" s="20">
        <v>80920</v>
      </c>
      <c r="Q793" s="20">
        <v>1</v>
      </c>
      <c r="R793" s="20">
        <v>0</v>
      </c>
      <c r="S793" s="20">
        <v>0</v>
      </c>
      <c r="T793" s="20">
        <v>0</v>
      </c>
      <c r="U793" s="20">
        <v>0</v>
      </c>
      <c r="V793" s="20">
        <v>0</v>
      </c>
      <c r="W793" s="20">
        <v>32</v>
      </c>
      <c r="X793" s="20">
        <v>0</v>
      </c>
      <c r="Y793" s="20">
        <v>0</v>
      </c>
      <c r="Z793" s="20">
        <v>0</v>
      </c>
      <c r="AA793" s="20">
        <v>0</v>
      </c>
      <c r="AB793" s="20">
        <v>0</v>
      </c>
      <c r="AC793" s="20">
        <v>119000</v>
      </c>
      <c r="AD793" s="20">
        <v>80920</v>
      </c>
      <c r="AE793" s="20">
        <v>0</v>
      </c>
      <c r="AF793" s="20">
        <v>0</v>
      </c>
      <c r="AG793" s="20">
        <v>119000</v>
      </c>
      <c r="AH793" s="20">
        <v>80920</v>
      </c>
      <c r="AI793" s="20">
        <v>34618</v>
      </c>
      <c r="AJ793" s="20">
        <v>3462</v>
      </c>
      <c r="AK793" s="20">
        <v>38080</v>
      </c>
    </row>
    <row r="794" spans="1:37" ht="24" customHeight="1" x14ac:dyDescent="0.3">
      <c r="A794" s="18" t="s">
        <v>2295</v>
      </c>
      <c r="B794" s="18" t="s">
        <v>240</v>
      </c>
      <c r="C794" s="19" t="s">
        <v>241</v>
      </c>
      <c r="D794" s="18" t="s">
        <v>2296</v>
      </c>
      <c r="E794" s="19" t="s">
        <v>432</v>
      </c>
      <c r="F794" s="18" t="s">
        <v>244</v>
      </c>
      <c r="G794" s="18" t="s">
        <v>245</v>
      </c>
      <c r="H794" s="19" t="s">
        <v>175</v>
      </c>
      <c r="I794" s="18" t="s">
        <v>246</v>
      </c>
      <c r="J794" s="19" t="s">
        <v>247</v>
      </c>
      <c r="K794" s="19" t="s">
        <v>248</v>
      </c>
      <c r="L794" s="18" t="s">
        <v>164</v>
      </c>
      <c r="M794" s="18" t="s">
        <v>1556</v>
      </c>
      <c r="N794" s="18" t="s">
        <v>250</v>
      </c>
      <c r="O794" s="20">
        <v>119000</v>
      </c>
      <c r="P794" s="20">
        <v>80920</v>
      </c>
      <c r="Q794" s="20">
        <v>1</v>
      </c>
      <c r="R794" s="20">
        <v>0</v>
      </c>
      <c r="S794" s="20">
        <v>0</v>
      </c>
      <c r="T794" s="20">
        <v>0</v>
      </c>
      <c r="U794" s="20">
        <v>0</v>
      </c>
      <c r="V794" s="20">
        <v>0</v>
      </c>
      <c r="W794" s="20">
        <v>32</v>
      </c>
      <c r="X794" s="20">
        <v>0</v>
      </c>
      <c r="Y794" s="20">
        <v>0</v>
      </c>
      <c r="Z794" s="20">
        <v>0</v>
      </c>
      <c r="AA794" s="20">
        <v>0</v>
      </c>
      <c r="AB794" s="20">
        <v>5950</v>
      </c>
      <c r="AC794" s="20">
        <v>119000</v>
      </c>
      <c r="AD794" s="20">
        <v>80920</v>
      </c>
      <c r="AE794" s="20">
        <v>0</v>
      </c>
      <c r="AF794" s="20">
        <v>5950</v>
      </c>
      <c r="AG794" s="20">
        <v>113050</v>
      </c>
      <c r="AH794" s="20">
        <v>80920</v>
      </c>
      <c r="AI794" s="20">
        <v>29209</v>
      </c>
      <c r="AJ794" s="20">
        <v>2921</v>
      </c>
      <c r="AK794" s="20">
        <v>32130</v>
      </c>
    </row>
    <row r="795" spans="1:37" ht="24" customHeight="1" x14ac:dyDescent="0.3">
      <c r="A795" s="18" t="s">
        <v>2297</v>
      </c>
      <c r="B795" s="18" t="s">
        <v>240</v>
      </c>
      <c r="C795" s="19" t="s">
        <v>241</v>
      </c>
      <c r="D795" s="18" t="s">
        <v>2298</v>
      </c>
      <c r="E795" s="19" t="s">
        <v>1335</v>
      </c>
      <c r="F795" s="18" t="s">
        <v>244</v>
      </c>
      <c r="G795" s="18" t="s">
        <v>245</v>
      </c>
      <c r="H795" s="19" t="s">
        <v>175</v>
      </c>
      <c r="I795" s="18" t="s">
        <v>246</v>
      </c>
      <c r="J795" s="19" t="s">
        <v>247</v>
      </c>
      <c r="K795" s="19" t="s">
        <v>248</v>
      </c>
      <c r="L795" s="18" t="s">
        <v>164</v>
      </c>
      <c r="M795" s="18" t="s">
        <v>1556</v>
      </c>
      <c r="N795" s="18" t="s">
        <v>250</v>
      </c>
      <c r="O795" s="20">
        <v>119000</v>
      </c>
      <c r="P795" s="20">
        <v>80920</v>
      </c>
      <c r="Q795" s="20">
        <v>1</v>
      </c>
      <c r="R795" s="20">
        <v>0</v>
      </c>
      <c r="S795" s="20">
        <v>0</v>
      </c>
      <c r="T795" s="20">
        <v>0</v>
      </c>
      <c r="U795" s="20">
        <v>0</v>
      </c>
      <c r="V795" s="20">
        <v>0</v>
      </c>
      <c r="W795" s="20">
        <v>32</v>
      </c>
      <c r="X795" s="20">
        <v>0</v>
      </c>
      <c r="Y795" s="20">
        <v>0</v>
      </c>
      <c r="Z795" s="20">
        <v>0</v>
      </c>
      <c r="AA795" s="20">
        <v>0</v>
      </c>
      <c r="AB795" s="20">
        <v>0</v>
      </c>
      <c r="AC795" s="20">
        <v>119000</v>
      </c>
      <c r="AD795" s="20">
        <v>80920</v>
      </c>
      <c r="AE795" s="20">
        <v>0</v>
      </c>
      <c r="AF795" s="20">
        <v>0</v>
      </c>
      <c r="AG795" s="20">
        <v>119000</v>
      </c>
      <c r="AH795" s="20">
        <v>80920</v>
      </c>
      <c r="AI795" s="20">
        <v>34618</v>
      </c>
      <c r="AJ795" s="20">
        <v>3462</v>
      </c>
      <c r="AK795" s="20">
        <v>38080</v>
      </c>
    </row>
    <row r="796" spans="1:37" ht="24" customHeight="1" x14ac:dyDescent="0.3">
      <c r="A796" s="18" t="s">
        <v>2299</v>
      </c>
      <c r="B796" s="18" t="s">
        <v>240</v>
      </c>
      <c r="C796" s="19" t="s">
        <v>241</v>
      </c>
      <c r="D796" s="18" t="s">
        <v>2300</v>
      </c>
      <c r="E796" s="19" t="s">
        <v>470</v>
      </c>
      <c r="F796" s="18" t="s">
        <v>244</v>
      </c>
      <c r="G796" s="18" t="s">
        <v>245</v>
      </c>
      <c r="H796" s="19" t="s">
        <v>175</v>
      </c>
      <c r="I796" s="18" t="s">
        <v>246</v>
      </c>
      <c r="J796" s="19" t="s">
        <v>247</v>
      </c>
      <c r="K796" s="19" t="s">
        <v>248</v>
      </c>
      <c r="L796" s="18" t="s">
        <v>164</v>
      </c>
      <c r="M796" s="18" t="s">
        <v>1556</v>
      </c>
      <c r="N796" s="18" t="s">
        <v>250</v>
      </c>
      <c r="O796" s="20">
        <v>119000</v>
      </c>
      <c r="P796" s="20">
        <v>80920</v>
      </c>
      <c r="Q796" s="20">
        <v>1</v>
      </c>
      <c r="R796" s="20">
        <v>0</v>
      </c>
      <c r="S796" s="20">
        <v>0</v>
      </c>
      <c r="T796" s="20">
        <v>0</v>
      </c>
      <c r="U796" s="20">
        <v>0</v>
      </c>
      <c r="V796" s="20">
        <v>0</v>
      </c>
      <c r="W796" s="20">
        <v>32</v>
      </c>
      <c r="X796" s="20">
        <v>0</v>
      </c>
      <c r="Y796" s="20">
        <v>0</v>
      </c>
      <c r="Z796" s="20">
        <v>0</v>
      </c>
      <c r="AA796" s="20">
        <v>0</v>
      </c>
      <c r="AB796" s="20">
        <v>0</v>
      </c>
      <c r="AC796" s="20">
        <v>119000</v>
      </c>
      <c r="AD796" s="20">
        <v>80920</v>
      </c>
      <c r="AE796" s="20">
        <v>0</v>
      </c>
      <c r="AF796" s="20">
        <v>0</v>
      </c>
      <c r="AG796" s="20">
        <v>119000</v>
      </c>
      <c r="AH796" s="20">
        <v>80920</v>
      </c>
      <c r="AI796" s="20">
        <v>34618</v>
      </c>
      <c r="AJ796" s="20">
        <v>3462</v>
      </c>
      <c r="AK796" s="20">
        <v>38080</v>
      </c>
    </row>
    <row r="797" spans="1:37" ht="24" customHeight="1" x14ac:dyDescent="0.3">
      <c r="A797" s="18" t="s">
        <v>2301</v>
      </c>
      <c r="B797" s="18" t="s">
        <v>240</v>
      </c>
      <c r="C797" s="19" t="s">
        <v>241</v>
      </c>
      <c r="D797" s="18" t="s">
        <v>2302</v>
      </c>
      <c r="E797" s="19" t="s">
        <v>509</v>
      </c>
      <c r="F797" s="18" t="s">
        <v>244</v>
      </c>
      <c r="G797" s="18" t="s">
        <v>245</v>
      </c>
      <c r="H797" s="19" t="s">
        <v>175</v>
      </c>
      <c r="I797" s="18" t="s">
        <v>246</v>
      </c>
      <c r="J797" s="19" t="s">
        <v>247</v>
      </c>
      <c r="K797" s="19" t="s">
        <v>314</v>
      </c>
      <c r="L797" s="18" t="s">
        <v>164</v>
      </c>
      <c r="M797" s="18" t="s">
        <v>1556</v>
      </c>
      <c r="N797" s="18" t="s">
        <v>250</v>
      </c>
      <c r="O797" s="20">
        <v>119000</v>
      </c>
      <c r="P797" s="20">
        <v>80920</v>
      </c>
      <c r="Q797" s="20">
        <v>1</v>
      </c>
      <c r="R797" s="20">
        <v>0</v>
      </c>
      <c r="S797" s="20">
        <v>0</v>
      </c>
      <c r="T797" s="20">
        <v>0</v>
      </c>
      <c r="U797" s="20">
        <v>0</v>
      </c>
      <c r="V797" s="20">
        <v>0</v>
      </c>
      <c r="W797" s="20">
        <v>32</v>
      </c>
      <c r="X797" s="20">
        <v>0</v>
      </c>
      <c r="Y797" s="20">
        <v>0</v>
      </c>
      <c r="Z797" s="20">
        <v>0</v>
      </c>
      <c r="AA797" s="20">
        <v>0</v>
      </c>
      <c r="AB797" s="20">
        <v>0</v>
      </c>
      <c r="AC797" s="20">
        <v>119000</v>
      </c>
      <c r="AD797" s="20">
        <v>80920</v>
      </c>
      <c r="AE797" s="20">
        <v>0</v>
      </c>
      <c r="AF797" s="20">
        <v>0</v>
      </c>
      <c r="AG797" s="20">
        <v>119000</v>
      </c>
      <c r="AH797" s="20">
        <v>80920</v>
      </c>
      <c r="AI797" s="20">
        <v>34618</v>
      </c>
      <c r="AJ797" s="20">
        <v>3462</v>
      </c>
      <c r="AK797" s="20">
        <v>38080</v>
      </c>
    </row>
    <row r="798" spans="1:37" ht="24" customHeight="1" x14ac:dyDescent="0.3">
      <c r="A798" s="18" t="s">
        <v>2303</v>
      </c>
      <c r="B798" s="18" t="s">
        <v>240</v>
      </c>
      <c r="C798" s="19" t="s">
        <v>241</v>
      </c>
      <c r="D798" s="18" t="s">
        <v>2304</v>
      </c>
      <c r="E798" s="19" t="s">
        <v>2305</v>
      </c>
      <c r="F798" s="18" t="s">
        <v>244</v>
      </c>
      <c r="G798" s="18" t="s">
        <v>245</v>
      </c>
      <c r="H798" s="19" t="s">
        <v>175</v>
      </c>
      <c r="I798" s="18" t="s">
        <v>246</v>
      </c>
      <c r="J798" s="19" t="s">
        <v>247</v>
      </c>
      <c r="K798" s="19" t="s">
        <v>248</v>
      </c>
      <c r="L798" s="18" t="s">
        <v>164</v>
      </c>
      <c r="M798" s="18" t="s">
        <v>1556</v>
      </c>
      <c r="N798" s="18" t="s">
        <v>250</v>
      </c>
      <c r="O798" s="20">
        <v>119000</v>
      </c>
      <c r="P798" s="20">
        <v>80920</v>
      </c>
      <c r="Q798" s="20">
        <v>1</v>
      </c>
      <c r="R798" s="20">
        <v>0</v>
      </c>
      <c r="S798" s="20">
        <v>0</v>
      </c>
      <c r="T798" s="20">
        <v>0</v>
      </c>
      <c r="U798" s="20">
        <v>0</v>
      </c>
      <c r="V798" s="20">
        <v>0</v>
      </c>
      <c r="W798" s="20">
        <v>32</v>
      </c>
      <c r="X798" s="20">
        <v>0</v>
      </c>
      <c r="Y798" s="20">
        <v>0</v>
      </c>
      <c r="Z798" s="20">
        <v>0</v>
      </c>
      <c r="AA798" s="20">
        <v>0</v>
      </c>
      <c r="AB798" s="20">
        <v>0</v>
      </c>
      <c r="AC798" s="20">
        <v>119000</v>
      </c>
      <c r="AD798" s="20">
        <v>80920</v>
      </c>
      <c r="AE798" s="20">
        <v>0</v>
      </c>
      <c r="AF798" s="20">
        <v>0</v>
      </c>
      <c r="AG798" s="20">
        <v>119000</v>
      </c>
      <c r="AH798" s="20">
        <v>80920</v>
      </c>
      <c r="AI798" s="20">
        <v>34618</v>
      </c>
      <c r="AJ798" s="20">
        <v>3462</v>
      </c>
      <c r="AK798" s="20">
        <v>38080</v>
      </c>
    </row>
    <row r="799" spans="1:37" ht="24" customHeight="1" x14ac:dyDescent="0.3">
      <c r="A799" s="18" t="s">
        <v>2306</v>
      </c>
      <c r="B799" s="18" t="s">
        <v>240</v>
      </c>
      <c r="C799" s="19" t="s">
        <v>241</v>
      </c>
      <c r="D799" s="18" t="s">
        <v>2307</v>
      </c>
      <c r="E799" s="19" t="s">
        <v>2308</v>
      </c>
      <c r="F799" s="18" t="s">
        <v>244</v>
      </c>
      <c r="G799" s="18" t="s">
        <v>245</v>
      </c>
      <c r="H799" s="19" t="s">
        <v>175</v>
      </c>
      <c r="I799" s="18" t="s">
        <v>246</v>
      </c>
      <c r="J799" s="19" t="s">
        <v>247</v>
      </c>
      <c r="K799" s="19" t="s">
        <v>248</v>
      </c>
      <c r="L799" s="18" t="s">
        <v>164</v>
      </c>
      <c r="M799" s="18" t="s">
        <v>1556</v>
      </c>
      <c r="N799" s="18" t="s">
        <v>250</v>
      </c>
      <c r="O799" s="20">
        <v>119000</v>
      </c>
      <c r="P799" s="20">
        <v>80920</v>
      </c>
      <c r="Q799" s="20">
        <v>1</v>
      </c>
      <c r="R799" s="20">
        <v>0</v>
      </c>
      <c r="S799" s="20">
        <v>0</v>
      </c>
      <c r="T799" s="20">
        <v>0</v>
      </c>
      <c r="U799" s="20">
        <v>0</v>
      </c>
      <c r="V799" s="20">
        <v>0</v>
      </c>
      <c r="W799" s="20">
        <v>32</v>
      </c>
      <c r="X799" s="20">
        <v>20230</v>
      </c>
      <c r="Y799" s="20">
        <v>0</v>
      </c>
      <c r="Z799" s="20">
        <v>0</v>
      </c>
      <c r="AA799" s="20">
        <v>0</v>
      </c>
      <c r="AB799" s="20">
        <v>0</v>
      </c>
      <c r="AC799" s="20">
        <v>119000</v>
      </c>
      <c r="AD799" s="20">
        <v>80920</v>
      </c>
      <c r="AE799" s="20">
        <v>0</v>
      </c>
      <c r="AF799" s="20">
        <v>20230</v>
      </c>
      <c r="AG799" s="20">
        <v>98770</v>
      </c>
      <c r="AH799" s="20">
        <v>80920</v>
      </c>
      <c r="AI799" s="20">
        <v>16227</v>
      </c>
      <c r="AJ799" s="20">
        <v>1623</v>
      </c>
      <c r="AK799" s="20">
        <v>17850</v>
      </c>
    </row>
    <row r="800" spans="1:37" ht="24" customHeight="1" x14ac:dyDescent="0.3">
      <c r="A800" s="18" t="s">
        <v>2309</v>
      </c>
      <c r="B800" s="18" t="s">
        <v>240</v>
      </c>
      <c r="C800" s="19" t="s">
        <v>241</v>
      </c>
      <c r="D800" s="18" t="s">
        <v>2310</v>
      </c>
      <c r="E800" s="19" t="s">
        <v>2311</v>
      </c>
      <c r="F800" s="18" t="s">
        <v>244</v>
      </c>
      <c r="G800" s="18" t="s">
        <v>245</v>
      </c>
      <c r="H800" s="19" t="s">
        <v>175</v>
      </c>
      <c r="I800" s="18" t="s">
        <v>246</v>
      </c>
      <c r="J800" s="19" t="s">
        <v>247</v>
      </c>
      <c r="K800" s="19" t="s">
        <v>248</v>
      </c>
      <c r="L800" s="18" t="s">
        <v>164</v>
      </c>
      <c r="M800" s="18" t="s">
        <v>1556</v>
      </c>
      <c r="N800" s="18" t="s">
        <v>250</v>
      </c>
      <c r="O800" s="20">
        <v>119000</v>
      </c>
      <c r="P800" s="20">
        <v>80920</v>
      </c>
      <c r="Q800" s="20">
        <v>1</v>
      </c>
      <c r="R800" s="20">
        <v>0</v>
      </c>
      <c r="S800" s="20">
        <v>0</v>
      </c>
      <c r="T800" s="20">
        <v>0</v>
      </c>
      <c r="U800" s="20">
        <v>0</v>
      </c>
      <c r="V800" s="20">
        <v>0</v>
      </c>
      <c r="W800" s="20">
        <v>32</v>
      </c>
      <c r="X800" s="20">
        <v>0</v>
      </c>
      <c r="Y800" s="20">
        <v>0</v>
      </c>
      <c r="Z800" s="20">
        <v>0</v>
      </c>
      <c r="AA800" s="20">
        <v>0</v>
      </c>
      <c r="AB800" s="20">
        <v>0</v>
      </c>
      <c r="AC800" s="20">
        <v>119000</v>
      </c>
      <c r="AD800" s="20">
        <v>80920</v>
      </c>
      <c r="AE800" s="20">
        <v>0</v>
      </c>
      <c r="AF800" s="20">
        <v>0</v>
      </c>
      <c r="AG800" s="20">
        <v>119000</v>
      </c>
      <c r="AH800" s="20">
        <v>80920</v>
      </c>
      <c r="AI800" s="20">
        <v>34618</v>
      </c>
      <c r="AJ800" s="20">
        <v>3462</v>
      </c>
      <c r="AK800" s="20">
        <v>38080</v>
      </c>
    </row>
    <row r="801" spans="1:37" ht="24" customHeight="1" x14ac:dyDescent="0.3">
      <c r="A801" s="18" t="s">
        <v>2312</v>
      </c>
      <c r="B801" s="18" t="s">
        <v>240</v>
      </c>
      <c r="C801" s="19" t="s">
        <v>241</v>
      </c>
      <c r="D801" s="18" t="s">
        <v>2313</v>
      </c>
      <c r="E801" s="19" t="s">
        <v>961</v>
      </c>
      <c r="F801" s="18" t="s">
        <v>244</v>
      </c>
      <c r="G801" s="18" t="s">
        <v>245</v>
      </c>
      <c r="H801" s="19" t="s">
        <v>175</v>
      </c>
      <c r="I801" s="18" t="s">
        <v>246</v>
      </c>
      <c r="J801" s="19" t="s">
        <v>247</v>
      </c>
      <c r="K801" s="19" t="s">
        <v>248</v>
      </c>
      <c r="L801" s="18" t="s">
        <v>164</v>
      </c>
      <c r="M801" s="18" t="s">
        <v>1556</v>
      </c>
      <c r="N801" s="18" t="s">
        <v>250</v>
      </c>
      <c r="O801" s="20">
        <v>119000</v>
      </c>
      <c r="P801" s="20">
        <v>80920</v>
      </c>
      <c r="Q801" s="20">
        <v>1</v>
      </c>
      <c r="R801" s="20">
        <v>0</v>
      </c>
      <c r="S801" s="20">
        <v>0</v>
      </c>
      <c r="T801" s="20">
        <v>0</v>
      </c>
      <c r="U801" s="20">
        <v>0</v>
      </c>
      <c r="V801" s="20">
        <v>0</v>
      </c>
      <c r="W801" s="20">
        <v>32</v>
      </c>
      <c r="X801" s="20">
        <v>0</v>
      </c>
      <c r="Y801" s="20">
        <v>0</v>
      </c>
      <c r="Z801" s="20">
        <v>0</v>
      </c>
      <c r="AA801" s="20">
        <v>0</v>
      </c>
      <c r="AB801" s="20">
        <v>5950</v>
      </c>
      <c r="AC801" s="20">
        <v>119000</v>
      </c>
      <c r="AD801" s="20">
        <v>80920</v>
      </c>
      <c r="AE801" s="20">
        <v>0</v>
      </c>
      <c r="AF801" s="20">
        <v>5950</v>
      </c>
      <c r="AG801" s="20">
        <v>113050</v>
      </c>
      <c r="AH801" s="20">
        <v>80920</v>
      </c>
      <c r="AI801" s="20">
        <v>29209</v>
      </c>
      <c r="AJ801" s="20">
        <v>2921</v>
      </c>
      <c r="AK801" s="20">
        <v>32130</v>
      </c>
    </row>
    <row r="802" spans="1:37" ht="24" customHeight="1" x14ac:dyDescent="0.3">
      <c r="A802" s="18" t="s">
        <v>2314</v>
      </c>
      <c r="B802" s="18" t="s">
        <v>240</v>
      </c>
      <c r="C802" s="19" t="s">
        <v>241</v>
      </c>
      <c r="D802" s="18" t="s">
        <v>2315</v>
      </c>
      <c r="E802" s="19" t="s">
        <v>1645</v>
      </c>
      <c r="F802" s="18" t="s">
        <v>244</v>
      </c>
      <c r="G802" s="18" t="s">
        <v>245</v>
      </c>
      <c r="H802" s="19" t="s">
        <v>175</v>
      </c>
      <c r="I802" s="18" t="s">
        <v>246</v>
      </c>
      <c r="J802" s="19" t="s">
        <v>247</v>
      </c>
      <c r="K802" s="19" t="s">
        <v>248</v>
      </c>
      <c r="L802" s="18" t="s">
        <v>164</v>
      </c>
      <c r="M802" s="18" t="s">
        <v>1556</v>
      </c>
      <c r="N802" s="18" t="s">
        <v>250</v>
      </c>
      <c r="O802" s="20">
        <v>119000</v>
      </c>
      <c r="P802" s="20">
        <v>80920</v>
      </c>
      <c r="Q802" s="20">
        <v>1</v>
      </c>
      <c r="R802" s="20">
        <v>0</v>
      </c>
      <c r="S802" s="20">
        <v>0</v>
      </c>
      <c r="T802" s="20">
        <v>0</v>
      </c>
      <c r="U802" s="20">
        <v>0</v>
      </c>
      <c r="V802" s="20">
        <v>0</v>
      </c>
      <c r="W802" s="20">
        <v>32</v>
      </c>
      <c r="X802" s="20">
        <v>0</v>
      </c>
      <c r="Y802" s="20">
        <v>0</v>
      </c>
      <c r="Z802" s="20">
        <v>0</v>
      </c>
      <c r="AA802" s="20">
        <v>0</v>
      </c>
      <c r="AB802" s="20">
        <v>0</v>
      </c>
      <c r="AC802" s="20">
        <v>119000</v>
      </c>
      <c r="AD802" s="20">
        <v>80920</v>
      </c>
      <c r="AE802" s="20">
        <v>0</v>
      </c>
      <c r="AF802" s="20">
        <v>0</v>
      </c>
      <c r="AG802" s="20">
        <v>119000</v>
      </c>
      <c r="AH802" s="20">
        <v>80920</v>
      </c>
      <c r="AI802" s="20">
        <v>34618</v>
      </c>
      <c r="AJ802" s="20">
        <v>3462</v>
      </c>
      <c r="AK802" s="20">
        <v>38080</v>
      </c>
    </row>
    <row r="803" spans="1:37" ht="24" customHeight="1" x14ac:dyDescent="0.3">
      <c r="A803" s="18" t="s">
        <v>2316</v>
      </c>
      <c r="B803" s="18" t="s">
        <v>240</v>
      </c>
      <c r="C803" s="19" t="s">
        <v>241</v>
      </c>
      <c r="D803" s="18" t="s">
        <v>2317</v>
      </c>
      <c r="E803" s="19" t="s">
        <v>2318</v>
      </c>
      <c r="F803" s="18" t="s">
        <v>244</v>
      </c>
      <c r="G803" s="18" t="s">
        <v>245</v>
      </c>
      <c r="H803" s="19" t="s">
        <v>175</v>
      </c>
      <c r="I803" s="18" t="s">
        <v>246</v>
      </c>
      <c r="J803" s="19" t="s">
        <v>247</v>
      </c>
      <c r="K803" s="19" t="s">
        <v>248</v>
      </c>
      <c r="L803" s="18" t="s">
        <v>164</v>
      </c>
      <c r="M803" s="18" t="s">
        <v>1556</v>
      </c>
      <c r="N803" s="18" t="s">
        <v>250</v>
      </c>
      <c r="O803" s="20">
        <v>119000</v>
      </c>
      <c r="P803" s="20">
        <v>80920</v>
      </c>
      <c r="Q803" s="20">
        <v>1</v>
      </c>
      <c r="R803" s="20">
        <v>0</v>
      </c>
      <c r="S803" s="20">
        <v>0</v>
      </c>
      <c r="T803" s="20">
        <v>0</v>
      </c>
      <c r="U803" s="20">
        <v>0</v>
      </c>
      <c r="V803" s="20">
        <v>0</v>
      </c>
      <c r="W803" s="20">
        <v>32</v>
      </c>
      <c r="X803" s="20">
        <v>0</v>
      </c>
      <c r="Y803" s="20">
        <v>0</v>
      </c>
      <c r="Z803" s="20">
        <v>0</v>
      </c>
      <c r="AA803" s="20">
        <v>0</v>
      </c>
      <c r="AB803" s="20">
        <v>0</v>
      </c>
      <c r="AC803" s="20">
        <v>119000</v>
      </c>
      <c r="AD803" s="20">
        <v>80920</v>
      </c>
      <c r="AE803" s="20">
        <v>0</v>
      </c>
      <c r="AF803" s="20">
        <v>0</v>
      </c>
      <c r="AG803" s="20">
        <v>119000</v>
      </c>
      <c r="AH803" s="20">
        <v>80920</v>
      </c>
      <c r="AI803" s="20">
        <v>34618</v>
      </c>
      <c r="AJ803" s="20">
        <v>3462</v>
      </c>
      <c r="AK803" s="20">
        <v>38080</v>
      </c>
    </row>
    <row r="804" spans="1:37" ht="24" customHeight="1" x14ac:dyDescent="0.3">
      <c r="A804" s="18" t="s">
        <v>2319</v>
      </c>
      <c r="B804" s="18" t="s">
        <v>240</v>
      </c>
      <c r="C804" s="19" t="s">
        <v>241</v>
      </c>
      <c r="D804" s="18" t="s">
        <v>2320</v>
      </c>
      <c r="E804" s="19" t="s">
        <v>2321</v>
      </c>
      <c r="F804" s="18" t="s">
        <v>244</v>
      </c>
      <c r="G804" s="18" t="s">
        <v>245</v>
      </c>
      <c r="H804" s="19" t="s">
        <v>175</v>
      </c>
      <c r="I804" s="18" t="s">
        <v>246</v>
      </c>
      <c r="J804" s="19" t="s">
        <v>247</v>
      </c>
      <c r="K804" s="19" t="s">
        <v>248</v>
      </c>
      <c r="L804" s="18" t="s">
        <v>164</v>
      </c>
      <c r="M804" s="18" t="s">
        <v>1556</v>
      </c>
      <c r="N804" s="18" t="s">
        <v>250</v>
      </c>
      <c r="O804" s="20">
        <v>119000</v>
      </c>
      <c r="P804" s="20">
        <v>80920</v>
      </c>
      <c r="Q804" s="20">
        <v>1</v>
      </c>
      <c r="R804" s="20">
        <v>0</v>
      </c>
      <c r="S804" s="20">
        <v>0</v>
      </c>
      <c r="T804" s="20">
        <v>0</v>
      </c>
      <c r="U804" s="20">
        <v>0</v>
      </c>
      <c r="V804" s="20">
        <v>0</v>
      </c>
      <c r="W804" s="20">
        <v>32</v>
      </c>
      <c r="X804" s="20">
        <v>0</v>
      </c>
      <c r="Y804" s="20">
        <v>0</v>
      </c>
      <c r="Z804" s="20">
        <v>0</v>
      </c>
      <c r="AA804" s="20">
        <v>0</v>
      </c>
      <c r="AB804" s="20">
        <v>0</v>
      </c>
      <c r="AC804" s="20">
        <v>119000</v>
      </c>
      <c r="AD804" s="20">
        <v>80920</v>
      </c>
      <c r="AE804" s="20">
        <v>0</v>
      </c>
      <c r="AF804" s="20">
        <v>0</v>
      </c>
      <c r="AG804" s="20">
        <v>119000</v>
      </c>
      <c r="AH804" s="20">
        <v>80920</v>
      </c>
      <c r="AI804" s="20">
        <v>34618</v>
      </c>
      <c r="AJ804" s="20">
        <v>3462</v>
      </c>
      <c r="AK804" s="20">
        <v>38080</v>
      </c>
    </row>
    <row r="805" spans="1:37" ht="24" customHeight="1" x14ac:dyDescent="0.3">
      <c r="A805" s="18" t="s">
        <v>2322</v>
      </c>
      <c r="B805" s="18" t="s">
        <v>240</v>
      </c>
      <c r="C805" s="19" t="s">
        <v>241</v>
      </c>
      <c r="D805" s="18" t="s">
        <v>2323</v>
      </c>
      <c r="E805" s="19" t="s">
        <v>432</v>
      </c>
      <c r="F805" s="18" t="s">
        <v>244</v>
      </c>
      <c r="G805" s="18" t="s">
        <v>245</v>
      </c>
      <c r="H805" s="19" t="s">
        <v>175</v>
      </c>
      <c r="I805" s="18" t="s">
        <v>246</v>
      </c>
      <c r="J805" s="19" t="s">
        <v>247</v>
      </c>
      <c r="K805" s="19" t="s">
        <v>248</v>
      </c>
      <c r="L805" s="18" t="s">
        <v>164</v>
      </c>
      <c r="M805" s="18" t="s">
        <v>1556</v>
      </c>
      <c r="N805" s="18" t="s">
        <v>250</v>
      </c>
      <c r="O805" s="20">
        <v>119000</v>
      </c>
      <c r="P805" s="20">
        <v>80920</v>
      </c>
      <c r="Q805" s="20">
        <v>1</v>
      </c>
      <c r="R805" s="20">
        <v>0</v>
      </c>
      <c r="S805" s="20">
        <v>0</v>
      </c>
      <c r="T805" s="20">
        <v>0</v>
      </c>
      <c r="U805" s="20">
        <v>0</v>
      </c>
      <c r="V805" s="20">
        <v>0</v>
      </c>
      <c r="W805" s="20">
        <v>32</v>
      </c>
      <c r="X805" s="20">
        <v>0</v>
      </c>
      <c r="Y805" s="20">
        <v>0</v>
      </c>
      <c r="Z805" s="20">
        <v>0</v>
      </c>
      <c r="AA805" s="20">
        <v>0</v>
      </c>
      <c r="AB805" s="20">
        <v>0</v>
      </c>
      <c r="AC805" s="20">
        <v>119000</v>
      </c>
      <c r="AD805" s="20">
        <v>80920</v>
      </c>
      <c r="AE805" s="20">
        <v>0</v>
      </c>
      <c r="AF805" s="20">
        <v>0</v>
      </c>
      <c r="AG805" s="20">
        <v>119000</v>
      </c>
      <c r="AH805" s="20">
        <v>80920</v>
      </c>
      <c r="AI805" s="20">
        <v>34618</v>
      </c>
      <c r="AJ805" s="20">
        <v>3462</v>
      </c>
      <c r="AK805" s="20">
        <v>38080</v>
      </c>
    </row>
    <row r="806" spans="1:37" ht="24" customHeight="1" x14ac:dyDescent="0.3">
      <c r="A806" s="18" t="s">
        <v>2324</v>
      </c>
      <c r="B806" s="18" t="s">
        <v>240</v>
      </c>
      <c r="C806" s="19" t="s">
        <v>241</v>
      </c>
      <c r="D806" s="18" t="s">
        <v>2325</v>
      </c>
      <c r="E806" s="19" t="s">
        <v>535</v>
      </c>
      <c r="F806" s="18" t="s">
        <v>244</v>
      </c>
      <c r="G806" s="18" t="s">
        <v>245</v>
      </c>
      <c r="H806" s="19" t="s">
        <v>175</v>
      </c>
      <c r="I806" s="18" t="s">
        <v>246</v>
      </c>
      <c r="J806" s="19" t="s">
        <v>247</v>
      </c>
      <c r="K806" s="19" t="s">
        <v>248</v>
      </c>
      <c r="L806" s="18" t="s">
        <v>164</v>
      </c>
      <c r="M806" s="18" t="s">
        <v>1556</v>
      </c>
      <c r="N806" s="18" t="s">
        <v>250</v>
      </c>
      <c r="O806" s="20">
        <v>119000</v>
      </c>
      <c r="P806" s="20">
        <v>80920</v>
      </c>
      <c r="Q806" s="20">
        <v>1</v>
      </c>
      <c r="R806" s="20">
        <v>0</v>
      </c>
      <c r="S806" s="20">
        <v>0</v>
      </c>
      <c r="T806" s="20">
        <v>0</v>
      </c>
      <c r="U806" s="20">
        <v>0</v>
      </c>
      <c r="V806" s="20">
        <v>0</v>
      </c>
      <c r="W806" s="20">
        <v>32</v>
      </c>
      <c r="X806" s="20">
        <v>0</v>
      </c>
      <c r="Y806" s="20">
        <v>0</v>
      </c>
      <c r="Z806" s="20">
        <v>0</v>
      </c>
      <c r="AA806" s="20">
        <v>0</v>
      </c>
      <c r="AB806" s="20">
        <v>0</v>
      </c>
      <c r="AC806" s="20">
        <v>119000</v>
      </c>
      <c r="AD806" s="20">
        <v>80920</v>
      </c>
      <c r="AE806" s="20">
        <v>0</v>
      </c>
      <c r="AF806" s="20">
        <v>0</v>
      </c>
      <c r="AG806" s="20">
        <v>119000</v>
      </c>
      <c r="AH806" s="20">
        <v>80920</v>
      </c>
      <c r="AI806" s="20">
        <v>34618</v>
      </c>
      <c r="AJ806" s="20">
        <v>3462</v>
      </c>
      <c r="AK806" s="20">
        <v>38080</v>
      </c>
    </row>
    <row r="807" spans="1:37" ht="24" customHeight="1" x14ac:dyDescent="0.3">
      <c r="A807" s="18" t="s">
        <v>2326</v>
      </c>
      <c r="B807" s="18" t="s">
        <v>240</v>
      </c>
      <c r="C807" s="19" t="s">
        <v>241</v>
      </c>
      <c r="D807" s="18" t="s">
        <v>2327</v>
      </c>
      <c r="E807" s="19" t="s">
        <v>942</v>
      </c>
      <c r="F807" s="18" t="s">
        <v>244</v>
      </c>
      <c r="G807" s="18" t="s">
        <v>245</v>
      </c>
      <c r="H807" s="19" t="s">
        <v>175</v>
      </c>
      <c r="I807" s="18" t="s">
        <v>246</v>
      </c>
      <c r="J807" s="19" t="s">
        <v>247</v>
      </c>
      <c r="K807" s="19" t="s">
        <v>248</v>
      </c>
      <c r="L807" s="18" t="s">
        <v>164</v>
      </c>
      <c r="M807" s="18" t="s">
        <v>1556</v>
      </c>
      <c r="N807" s="18" t="s">
        <v>250</v>
      </c>
      <c r="O807" s="20">
        <v>119000</v>
      </c>
      <c r="P807" s="20">
        <v>80920</v>
      </c>
      <c r="Q807" s="20">
        <v>1</v>
      </c>
      <c r="R807" s="20">
        <v>0</v>
      </c>
      <c r="S807" s="20">
        <v>0</v>
      </c>
      <c r="T807" s="20">
        <v>0</v>
      </c>
      <c r="U807" s="20">
        <v>0</v>
      </c>
      <c r="V807" s="20">
        <v>0</v>
      </c>
      <c r="W807" s="20">
        <v>32</v>
      </c>
      <c r="X807" s="20">
        <v>0</v>
      </c>
      <c r="Y807" s="20">
        <v>0</v>
      </c>
      <c r="Z807" s="20">
        <v>0</v>
      </c>
      <c r="AA807" s="20">
        <v>0</v>
      </c>
      <c r="AB807" s="20">
        <v>5950</v>
      </c>
      <c r="AC807" s="20">
        <v>119000</v>
      </c>
      <c r="AD807" s="20">
        <v>80920</v>
      </c>
      <c r="AE807" s="20">
        <v>0</v>
      </c>
      <c r="AF807" s="20">
        <v>5950</v>
      </c>
      <c r="AG807" s="20">
        <v>113050</v>
      </c>
      <c r="AH807" s="20">
        <v>80920</v>
      </c>
      <c r="AI807" s="20">
        <v>29209</v>
      </c>
      <c r="AJ807" s="20">
        <v>2921</v>
      </c>
      <c r="AK807" s="20">
        <v>32130</v>
      </c>
    </row>
    <row r="808" spans="1:37" ht="24" customHeight="1" x14ac:dyDescent="0.3">
      <c r="A808" s="18" t="s">
        <v>2328</v>
      </c>
      <c r="B808" s="18" t="s">
        <v>240</v>
      </c>
      <c r="C808" s="19" t="s">
        <v>241</v>
      </c>
      <c r="D808" s="18" t="s">
        <v>2329</v>
      </c>
      <c r="E808" s="19" t="s">
        <v>349</v>
      </c>
      <c r="F808" s="18" t="s">
        <v>244</v>
      </c>
      <c r="G808" s="18" t="s">
        <v>245</v>
      </c>
      <c r="H808" s="19" t="s">
        <v>175</v>
      </c>
      <c r="I808" s="18" t="s">
        <v>246</v>
      </c>
      <c r="J808" s="19" t="s">
        <v>247</v>
      </c>
      <c r="K808" s="19" t="s">
        <v>248</v>
      </c>
      <c r="L808" s="18" t="s">
        <v>164</v>
      </c>
      <c r="M808" s="18" t="s">
        <v>1556</v>
      </c>
      <c r="N808" s="18" t="s">
        <v>250</v>
      </c>
      <c r="O808" s="20">
        <v>119000</v>
      </c>
      <c r="P808" s="20">
        <v>80920</v>
      </c>
      <c r="Q808" s="20">
        <v>1</v>
      </c>
      <c r="R808" s="20">
        <v>0</v>
      </c>
      <c r="S808" s="20">
        <v>0</v>
      </c>
      <c r="T808" s="20">
        <v>0</v>
      </c>
      <c r="U808" s="20">
        <v>0</v>
      </c>
      <c r="V808" s="20">
        <v>0</v>
      </c>
      <c r="W808" s="20">
        <v>32</v>
      </c>
      <c r="X808" s="20">
        <v>0</v>
      </c>
      <c r="Y808" s="20">
        <v>0</v>
      </c>
      <c r="Z808" s="20">
        <v>0</v>
      </c>
      <c r="AA808" s="20">
        <v>0</v>
      </c>
      <c r="AB808" s="20">
        <v>0</v>
      </c>
      <c r="AC808" s="20">
        <v>119000</v>
      </c>
      <c r="AD808" s="20">
        <v>80920</v>
      </c>
      <c r="AE808" s="20">
        <v>0</v>
      </c>
      <c r="AF808" s="20">
        <v>0</v>
      </c>
      <c r="AG808" s="20">
        <v>119000</v>
      </c>
      <c r="AH808" s="20">
        <v>80920</v>
      </c>
      <c r="AI808" s="20">
        <v>34618</v>
      </c>
      <c r="AJ808" s="20">
        <v>3462</v>
      </c>
      <c r="AK808" s="20">
        <v>38080</v>
      </c>
    </row>
    <row r="809" spans="1:37" ht="24" customHeight="1" x14ac:dyDescent="0.3">
      <c r="A809" s="18" t="s">
        <v>2330</v>
      </c>
      <c r="B809" s="18" t="s">
        <v>240</v>
      </c>
      <c r="C809" s="19" t="s">
        <v>241</v>
      </c>
      <c r="D809" s="18" t="s">
        <v>2331</v>
      </c>
      <c r="E809" s="19" t="s">
        <v>1199</v>
      </c>
      <c r="F809" s="18" t="s">
        <v>244</v>
      </c>
      <c r="G809" s="18" t="s">
        <v>245</v>
      </c>
      <c r="H809" s="19" t="s">
        <v>175</v>
      </c>
      <c r="I809" s="18" t="s">
        <v>246</v>
      </c>
      <c r="J809" s="19" t="s">
        <v>247</v>
      </c>
      <c r="K809" s="19" t="s">
        <v>248</v>
      </c>
      <c r="L809" s="18" t="s">
        <v>164</v>
      </c>
      <c r="M809" s="18" t="s">
        <v>1556</v>
      </c>
      <c r="N809" s="18" t="s">
        <v>250</v>
      </c>
      <c r="O809" s="20">
        <v>119000</v>
      </c>
      <c r="P809" s="20">
        <v>80920</v>
      </c>
      <c r="Q809" s="20">
        <v>1</v>
      </c>
      <c r="R809" s="20">
        <v>0</v>
      </c>
      <c r="S809" s="20">
        <v>0</v>
      </c>
      <c r="T809" s="20">
        <v>0</v>
      </c>
      <c r="U809" s="20">
        <v>0</v>
      </c>
      <c r="V809" s="20">
        <v>0</v>
      </c>
      <c r="W809" s="20">
        <v>32</v>
      </c>
      <c r="X809" s="20">
        <v>0</v>
      </c>
      <c r="Y809" s="20">
        <v>0</v>
      </c>
      <c r="Z809" s="20">
        <v>0</v>
      </c>
      <c r="AA809" s="20">
        <v>0</v>
      </c>
      <c r="AB809" s="20">
        <v>0</v>
      </c>
      <c r="AC809" s="20">
        <v>119000</v>
      </c>
      <c r="AD809" s="20">
        <v>80920</v>
      </c>
      <c r="AE809" s="20">
        <v>0</v>
      </c>
      <c r="AF809" s="20">
        <v>0</v>
      </c>
      <c r="AG809" s="20">
        <v>119000</v>
      </c>
      <c r="AH809" s="20">
        <v>80920</v>
      </c>
      <c r="AI809" s="20">
        <v>34618</v>
      </c>
      <c r="AJ809" s="20">
        <v>3462</v>
      </c>
      <c r="AK809" s="20">
        <v>38080</v>
      </c>
    </row>
    <row r="810" spans="1:37" ht="24" customHeight="1" x14ac:dyDescent="0.3">
      <c r="A810" s="18" t="s">
        <v>2332</v>
      </c>
      <c r="B810" s="18" t="s">
        <v>240</v>
      </c>
      <c r="C810" s="19" t="s">
        <v>241</v>
      </c>
      <c r="D810" s="18" t="s">
        <v>2333</v>
      </c>
      <c r="E810" s="19" t="s">
        <v>2334</v>
      </c>
      <c r="F810" s="18" t="s">
        <v>244</v>
      </c>
      <c r="G810" s="18" t="s">
        <v>245</v>
      </c>
      <c r="H810" s="19" t="s">
        <v>175</v>
      </c>
      <c r="I810" s="18" t="s">
        <v>246</v>
      </c>
      <c r="J810" s="19" t="s">
        <v>247</v>
      </c>
      <c r="K810" s="19" t="s">
        <v>248</v>
      </c>
      <c r="L810" s="18" t="s">
        <v>164</v>
      </c>
      <c r="M810" s="18" t="s">
        <v>1556</v>
      </c>
      <c r="N810" s="18" t="s">
        <v>250</v>
      </c>
      <c r="O810" s="20">
        <v>119000</v>
      </c>
      <c r="P810" s="20">
        <v>80920</v>
      </c>
      <c r="Q810" s="20">
        <v>1</v>
      </c>
      <c r="R810" s="20">
        <v>0</v>
      </c>
      <c r="S810" s="20">
        <v>0</v>
      </c>
      <c r="T810" s="20">
        <v>0</v>
      </c>
      <c r="U810" s="20">
        <v>0</v>
      </c>
      <c r="V810" s="20">
        <v>0</v>
      </c>
      <c r="W810" s="20">
        <v>32</v>
      </c>
      <c r="X810" s="20">
        <v>0</v>
      </c>
      <c r="Y810" s="20">
        <v>0</v>
      </c>
      <c r="Z810" s="20">
        <v>0</v>
      </c>
      <c r="AA810" s="20">
        <v>0</v>
      </c>
      <c r="AB810" s="20">
        <v>0</v>
      </c>
      <c r="AC810" s="20">
        <v>119000</v>
      </c>
      <c r="AD810" s="20">
        <v>80920</v>
      </c>
      <c r="AE810" s="20">
        <v>0</v>
      </c>
      <c r="AF810" s="20">
        <v>0</v>
      </c>
      <c r="AG810" s="20">
        <v>119000</v>
      </c>
      <c r="AH810" s="20">
        <v>80920</v>
      </c>
      <c r="AI810" s="20">
        <v>34618</v>
      </c>
      <c r="AJ810" s="20">
        <v>3462</v>
      </c>
      <c r="AK810" s="20">
        <v>38080</v>
      </c>
    </row>
    <row r="811" spans="1:37" ht="24" customHeight="1" x14ac:dyDescent="0.3">
      <c r="A811" s="18" t="s">
        <v>2335</v>
      </c>
      <c r="B811" s="18" t="s">
        <v>240</v>
      </c>
      <c r="C811" s="19" t="s">
        <v>241</v>
      </c>
      <c r="D811" s="18" t="s">
        <v>2336</v>
      </c>
      <c r="E811" s="19" t="s">
        <v>892</v>
      </c>
      <c r="F811" s="18" t="s">
        <v>244</v>
      </c>
      <c r="G811" s="18" t="s">
        <v>245</v>
      </c>
      <c r="H811" s="19" t="s">
        <v>175</v>
      </c>
      <c r="I811" s="18" t="s">
        <v>246</v>
      </c>
      <c r="J811" s="19" t="s">
        <v>247</v>
      </c>
      <c r="K811" s="19"/>
      <c r="L811" s="18" t="s">
        <v>164</v>
      </c>
      <c r="M811" s="18" t="s">
        <v>1556</v>
      </c>
      <c r="N811" s="18" t="s">
        <v>250</v>
      </c>
      <c r="O811" s="20">
        <v>119000</v>
      </c>
      <c r="P811" s="20">
        <v>80920</v>
      </c>
      <c r="Q811" s="20">
        <v>1</v>
      </c>
      <c r="R811" s="20">
        <v>0</v>
      </c>
      <c r="S811" s="20">
        <v>0</v>
      </c>
      <c r="T811" s="20">
        <v>0</v>
      </c>
      <c r="U811" s="20">
        <v>0</v>
      </c>
      <c r="V811" s="20">
        <v>0</v>
      </c>
      <c r="W811" s="20">
        <v>32</v>
      </c>
      <c r="X811" s="20">
        <v>0</v>
      </c>
      <c r="Y811" s="20">
        <v>5950</v>
      </c>
      <c r="Z811" s="20">
        <v>0</v>
      </c>
      <c r="AA811" s="20">
        <v>0</v>
      </c>
      <c r="AB811" s="20">
        <v>0</v>
      </c>
      <c r="AC811" s="20">
        <v>119000</v>
      </c>
      <c r="AD811" s="20">
        <v>80920</v>
      </c>
      <c r="AE811" s="20">
        <v>0</v>
      </c>
      <c r="AF811" s="20">
        <v>5950</v>
      </c>
      <c r="AG811" s="20">
        <v>113050</v>
      </c>
      <c r="AH811" s="20">
        <v>80920</v>
      </c>
      <c r="AI811" s="20">
        <v>29209</v>
      </c>
      <c r="AJ811" s="20">
        <v>2921</v>
      </c>
      <c r="AK811" s="20">
        <v>32130</v>
      </c>
    </row>
    <row r="812" spans="1:37" ht="24" customHeight="1" x14ac:dyDescent="0.3">
      <c r="A812" s="18" t="s">
        <v>2337</v>
      </c>
      <c r="B812" s="18" t="s">
        <v>240</v>
      </c>
      <c r="C812" s="19" t="s">
        <v>241</v>
      </c>
      <c r="D812" s="18" t="s">
        <v>2338</v>
      </c>
      <c r="E812" s="19" t="s">
        <v>432</v>
      </c>
      <c r="F812" s="18" t="s">
        <v>244</v>
      </c>
      <c r="G812" s="18" t="s">
        <v>245</v>
      </c>
      <c r="H812" s="19" t="s">
        <v>175</v>
      </c>
      <c r="I812" s="18" t="s">
        <v>246</v>
      </c>
      <c r="J812" s="19" t="s">
        <v>247</v>
      </c>
      <c r="K812" s="19" t="s">
        <v>248</v>
      </c>
      <c r="L812" s="18" t="s">
        <v>164</v>
      </c>
      <c r="M812" s="18" t="s">
        <v>1556</v>
      </c>
      <c r="N812" s="18" t="s">
        <v>250</v>
      </c>
      <c r="O812" s="20">
        <v>119000</v>
      </c>
      <c r="P812" s="20">
        <v>80920</v>
      </c>
      <c r="Q812" s="20">
        <v>1</v>
      </c>
      <c r="R812" s="20">
        <v>0</v>
      </c>
      <c r="S812" s="20">
        <v>0</v>
      </c>
      <c r="T812" s="20">
        <v>0</v>
      </c>
      <c r="U812" s="20">
        <v>0</v>
      </c>
      <c r="V812" s="20">
        <v>0</v>
      </c>
      <c r="W812" s="20">
        <v>32</v>
      </c>
      <c r="X812" s="20">
        <v>0</v>
      </c>
      <c r="Y812" s="20">
        <v>0</v>
      </c>
      <c r="Z812" s="20">
        <v>0</v>
      </c>
      <c r="AA812" s="20">
        <v>0</v>
      </c>
      <c r="AB812" s="20">
        <v>0</v>
      </c>
      <c r="AC812" s="20">
        <v>119000</v>
      </c>
      <c r="AD812" s="20">
        <v>80920</v>
      </c>
      <c r="AE812" s="20">
        <v>0</v>
      </c>
      <c r="AF812" s="20">
        <v>0</v>
      </c>
      <c r="AG812" s="20">
        <v>119000</v>
      </c>
      <c r="AH812" s="20">
        <v>80920</v>
      </c>
      <c r="AI812" s="20">
        <v>34618</v>
      </c>
      <c r="AJ812" s="20">
        <v>3462</v>
      </c>
      <c r="AK812" s="20">
        <v>38080</v>
      </c>
    </row>
    <row r="813" spans="1:37" ht="24" customHeight="1" x14ac:dyDescent="0.3">
      <c r="A813" s="18" t="s">
        <v>2339</v>
      </c>
      <c r="B813" s="18" t="s">
        <v>240</v>
      </c>
      <c r="C813" s="19" t="s">
        <v>241</v>
      </c>
      <c r="D813" s="18" t="s">
        <v>2340</v>
      </c>
      <c r="E813" s="19" t="s">
        <v>2023</v>
      </c>
      <c r="F813" s="18" t="s">
        <v>244</v>
      </c>
      <c r="G813" s="18" t="s">
        <v>245</v>
      </c>
      <c r="H813" s="19" t="s">
        <v>175</v>
      </c>
      <c r="I813" s="18" t="s">
        <v>246</v>
      </c>
      <c r="J813" s="19" t="s">
        <v>247</v>
      </c>
      <c r="K813" s="19" t="s">
        <v>248</v>
      </c>
      <c r="L813" s="18" t="s">
        <v>164</v>
      </c>
      <c r="M813" s="18" t="s">
        <v>1556</v>
      </c>
      <c r="N813" s="18" t="s">
        <v>250</v>
      </c>
      <c r="O813" s="20">
        <v>119000</v>
      </c>
      <c r="P813" s="20">
        <v>80920</v>
      </c>
      <c r="Q813" s="20">
        <v>1</v>
      </c>
      <c r="R813" s="20">
        <v>0</v>
      </c>
      <c r="S813" s="20">
        <v>0</v>
      </c>
      <c r="T813" s="20">
        <v>0</v>
      </c>
      <c r="U813" s="20">
        <v>0</v>
      </c>
      <c r="V813" s="20">
        <v>0</v>
      </c>
      <c r="W813" s="20">
        <v>32</v>
      </c>
      <c r="X813" s="20">
        <v>0</v>
      </c>
      <c r="Y813" s="20">
        <v>0</v>
      </c>
      <c r="Z813" s="20">
        <v>0</v>
      </c>
      <c r="AA813" s="20">
        <v>0</v>
      </c>
      <c r="AB813" s="20">
        <v>0</v>
      </c>
      <c r="AC813" s="20">
        <v>119000</v>
      </c>
      <c r="AD813" s="20">
        <v>80920</v>
      </c>
      <c r="AE813" s="20">
        <v>0</v>
      </c>
      <c r="AF813" s="20">
        <v>0</v>
      </c>
      <c r="AG813" s="20">
        <v>119000</v>
      </c>
      <c r="AH813" s="20">
        <v>80920</v>
      </c>
      <c r="AI813" s="20">
        <v>34618</v>
      </c>
      <c r="AJ813" s="20">
        <v>3462</v>
      </c>
      <c r="AK813" s="20">
        <v>38080</v>
      </c>
    </row>
    <row r="814" spans="1:37" ht="24" customHeight="1" x14ac:dyDescent="0.3">
      <c r="A814" s="18" t="s">
        <v>2341</v>
      </c>
      <c r="B814" s="18" t="s">
        <v>240</v>
      </c>
      <c r="C814" s="19" t="s">
        <v>241</v>
      </c>
      <c r="D814" s="18" t="s">
        <v>2342</v>
      </c>
      <c r="E814" s="19" t="s">
        <v>2343</v>
      </c>
      <c r="F814" s="18" t="s">
        <v>244</v>
      </c>
      <c r="G814" s="18" t="s">
        <v>245</v>
      </c>
      <c r="H814" s="19" t="s">
        <v>175</v>
      </c>
      <c r="I814" s="18" t="s">
        <v>246</v>
      </c>
      <c r="J814" s="19" t="s">
        <v>247</v>
      </c>
      <c r="K814" s="19" t="s">
        <v>314</v>
      </c>
      <c r="L814" s="18" t="s">
        <v>164</v>
      </c>
      <c r="M814" s="18" t="s">
        <v>1556</v>
      </c>
      <c r="N814" s="18" t="s">
        <v>250</v>
      </c>
      <c r="O814" s="20">
        <v>119000</v>
      </c>
      <c r="P814" s="20">
        <v>80920</v>
      </c>
      <c r="Q814" s="20">
        <v>1</v>
      </c>
      <c r="R814" s="20">
        <v>0</v>
      </c>
      <c r="S814" s="20">
        <v>0</v>
      </c>
      <c r="T814" s="20">
        <v>0</v>
      </c>
      <c r="U814" s="20">
        <v>0</v>
      </c>
      <c r="V814" s="20">
        <v>0</v>
      </c>
      <c r="W814" s="20">
        <v>32</v>
      </c>
      <c r="X814" s="20">
        <v>0</v>
      </c>
      <c r="Y814" s="20">
        <v>0</v>
      </c>
      <c r="Z814" s="20">
        <v>0</v>
      </c>
      <c r="AA814" s="20">
        <v>0</v>
      </c>
      <c r="AB814" s="20">
        <v>0</v>
      </c>
      <c r="AC814" s="20">
        <v>119000</v>
      </c>
      <c r="AD814" s="20">
        <v>80920</v>
      </c>
      <c r="AE814" s="20">
        <v>0</v>
      </c>
      <c r="AF814" s="20">
        <v>0</v>
      </c>
      <c r="AG814" s="20">
        <v>119000</v>
      </c>
      <c r="AH814" s="20">
        <v>80920</v>
      </c>
      <c r="AI814" s="20">
        <v>34618</v>
      </c>
      <c r="AJ814" s="20">
        <v>3462</v>
      </c>
      <c r="AK814" s="20">
        <v>38080</v>
      </c>
    </row>
    <row r="815" spans="1:37" ht="24" customHeight="1" x14ac:dyDescent="0.3">
      <c r="A815" s="18" t="s">
        <v>2344</v>
      </c>
      <c r="B815" s="18" t="s">
        <v>240</v>
      </c>
      <c r="C815" s="19" t="s">
        <v>241</v>
      </c>
      <c r="D815" s="18" t="s">
        <v>2345</v>
      </c>
      <c r="E815" s="19" t="s">
        <v>637</v>
      </c>
      <c r="F815" s="18" t="s">
        <v>244</v>
      </c>
      <c r="G815" s="18" t="s">
        <v>245</v>
      </c>
      <c r="H815" s="19" t="s">
        <v>175</v>
      </c>
      <c r="I815" s="18" t="s">
        <v>246</v>
      </c>
      <c r="J815" s="19" t="s">
        <v>247</v>
      </c>
      <c r="K815" s="19" t="s">
        <v>248</v>
      </c>
      <c r="L815" s="18" t="s">
        <v>164</v>
      </c>
      <c r="M815" s="18" t="s">
        <v>1556</v>
      </c>
      <c r="N815" s="18" t="s">
        <v>250</v>
      </c>
      <c r="O815" s="20">
        <v>119000</v>
      </c>
      <c r="P815" s="20">
        <v>80920</v>
      </c>
      <c r="Q815" s="20">
        <v>1</v>
      </c>
      <c r="R815" s="20">
        <v>0</v>
      </c>
      <c r="S815" s="20">
        <v>0</v>
      </c>
      <c r="T815" s="20">
        <v>0</v>
      </c>
      <c r="U815" s="20">
        <v>0</v>
      </c>
      <c r="V815" s="20">
        <v>0</v>
      </c>
      <c r="W815" s="20">
        <v>32</v>
      </c>
      <c r="X815" s="20">
        <v>0</v>
      </c>
      <c r="Y815" s="20">
        <v>0</v>
      </c>
      <c r="Z815" s="20">
        <v>0</v>
      </c>
      <c r="AA815" s="20">
        <v>0</v>
      </c>
      <c r="AB815" s="20">
        <v>5950</v>
      </c>
      <c r="AC815" s="20">
        <v>119000</v>
      </c>
      <c r="AD815" s="20">
        <v>80920</v>
      </c>
      <c r="AE815" s="20">
        <v>0</v>
      </c>
      <c r="AF815" s="20">
        <v>5950</v>
      </c>
      <c r="AG815" s="20">
        <v>113050</v>
      </c>
      <c r="AH815" s="20">
        <v>80920</v>
      </c>
      <c r="AI815" s="20">
        <v>29209</v>
      </c>
      <c r="AJ815" s="20">
        <v>2921</v>
      </c>
      <c r="AK815" s="20">
        <v>32130</v>
      </c>
    </row>
    <row r="816" spans="1:37" ht="24" customHeight="1" x14ac:dyDescent="0.3">
      <c r="A816" s="18" t="s">
        <v>2346</v>
      </c>
      <c r="B816" s="18" t="s">
        <v>240</v>
      </c>
      <c r="C816" s="19" t="s">
        <v>241</v>
      </c>
      <c r="D816" s="18" t="s">
        <v>1982</v>
      </c>
      <c r="E816" s="19" t="s">
        <v>1983</v>
      </c>
      <c r="F816" s="18" t="s">
        <v>244</v>
      </c>
      <c r="G816" s="18" t="s">
        <v>245</v>
      </c>
      <c r="H816" s="19" t="s">
        <v>175</v>
      </c>
      <c r="I816" s="18" t="s">
        <v>246</v>
      </c>
      <c r="J816" s="19" t="s">
        <v>247</v>
      </c>
      <c r="K816" s="19" t="s">
        <v>248</v>
      </c>
      <c r="L816" s="18" t="s">
        <v>164</v>
      </c>
      <c r="M816" s="18" t="s">
        <v>1556</v>
      </c>
      <c r="N816" s="18" t="s">
        <v>250</v>
      </c>
      <c r="O816" s="20">
        <v>119000</v>
      </c>
      <c r="P816" s="20">
        <v>80920</v>
      </c>
      <c r="Q816" s="20">
        <v>1</v>
      </c>
      <c r="R816" s="20">
        <v>0</v>
      </c>
      <c r="S816" s="20">
        <v>0</v>
      </c>
      <c r="T816" s="20">
        <v>0</v>
      </c>
      <c r="U816" s="20">
        <v>0</v>
      </c>
      <c r="V816" s="20">
        <v>0</v>
      </c>
      <c r="W816" s="20">
        <v>32</v>
      </c>
      <c r="X816" s="20">
        <v>0</v>
      </c>
      <c r="Y816" s="20">
        <v>0</v>
      </c>
      <c r="Z816" s="20">
        <v>0</v>
      </c>
      <c r="AA816" s="20">
        <v>0</v>
      </c>
      <c r="AB816" s="20">
        <v>0</v>
      </c>
      <c r="AC816" s="20">
        <v>119000</v>
      </c>
      <c r="AD816" s="20">
        <v>80920</v>
      </c>
      <c r="AE816" s="20">
        <v>0</v>
      </c>
      <c r="AF816" s="20">
        <v>0</v>
      </c>
      <c r="AG816" s="20">
        <v>119000</v>
      </c>
      <c r="AH816" s="20">
        <v>80920</v>
      </c>
      <c r="AI816" s="20">
        <v>34618</v>
      </c>
      <c r="AJ816" s="20">
        <v>3462</v>
      </c>
      <c r="AK816" s="20">
        <v>38080</v>
      </c>
    </row>
    <row r="817" spans="1:37" ht="24" customHeight="1" x14ac:dyDescent="0.3">
      <c r="A817" s="18" t="s">
        <v>2347</v>
      </c>
      <c r="B817" s="18" t="s">
        <v>240</v>
      </c>
      <c r="C817" s="19" t="s">
        <v>241</v>
      </c>
      <c r="D817" s="18" t="s">
        <v>2348</v>
      </c>
      <c r="E817" s="19" t="s">
        <v>1450</v>
      </c>
      <c r="F817" s="18" t="s">
        <v>244</v>
      </c>
      <c r="G817" s="18" t="s">
        <v>245</v>
      </c>
      <c r="H817" s="19" t="s">
        <v>175</v>
      </c>
      <c r="I817" s="18" t="s">
        <v>246</v>
      </c>
      <c r="J817" s="19" t="s">
        <v>247</v>
      </c>
      <c r="K817" s="19" t="s">
        <v>248</v>
      </c>
      <c r="L817" s="18" t="s">
        <v>164</v>
      </c>
      <c r="M817" s="18" t="s">
        <v>1556</v>
      </c>
      <c r="N817" s="18" t="s">
        <v>250</v>
      </c>
      <c r="O817" s="20">
        <v>119000</v>
      </c>
      <c r="P817" s="20">
        <v>80920</v>
      </c>
      <c r="Q817" s="20">
        <v>1</v>
      </c>
      <c r="R817" s="20">
        <v>0</v>
      </c>
      <c r="S817" s="20">
        <v>0</v>
      </c>
      <c r="T817" s="20">
        <v>0</v>
      </c>
      <c r="U817" s="20">
        <v>0</v>
      </c>
      <c r="V817" s="20">
        <v>0</v>
      </c>
      <c r="W817" s="20">
        <v>32</v>
      </c>
      <c r="X817" s="20">
        <v>0</v>
      </c>
      <c r="Y817" s="20">
        <v>0</v>
      </c>
      <c r="Z817" s="20">
        <v>0</v>
      </c>
      <c r="AA817" s="20">
        <v>0</v>
      </c>
      <c r="AB817" s="20">
        <v>0</v>
      </c>
      <c r="AC817" s="20">
        <v>119000</v>
      </c>
      <c r="AD817" s="20">
        <v>80920</v>
      </c>
      <c r="AE817" s="20">
        <v>0</v>
      </c>
      <c r="AF817" s="20">
        <v>0</v>
      </c>
      <c r="AG817" s="20">
        <v>119000</v>
      </c>
      <c r="AH817" s="20">
        <v>80920</v>
      </c>
      <c r="AI817" s="20">
        <v>34618</v>
      </c>
      <c r="AJ817" s="20">
        <v>3462</v>
      </c>
      <c r="AK817" s="20">
        <v>38080</v>
      </c>
    </row>
    <row r="818" spans="1:37" ht="24" customHeight="1" x14ac:dyDescent="0.3">
      <c r="A818" s="18" t="s">
        <v>2349</v>
      </c>
      <c r="B818" s="18" t="s">
        <v>240</v>
      </c>
      <c r="C818" s="19" t="s">
        <v>241</v>
      </c>
      <c r="D818" s="18" t="s">
        <v>2350</v>
      </c>
      <c r="E818" s="19" t="s">
        <v>892</v>
      </c>
      <c r="F818" s="18" t="s">
        <v>244</v>
      </c>
      <c r="G818" s="18" t="s">
        <v>245</v>
      </c>
      <c r="H818" s="19" t="s">
        <v>175</v>
      </c>
      <c r="I818" s="18" t="s">
        <v>246</v>
      </c>
      <c r="J818" s="19" t="s">
        <v>247</v>
      </c>
      <c r="K818" s="19" t="s">
        <v>248</v>
      </c>
      <c r="L818" s="18" t="s">
        <v>164</v>
      </c>
      <c r="M818" s="18" t="s">
        <v>1556</v>
      </c>
      <c r="N818" s="18" t="s">
        <v>250</v>
      </c>
      <c r="O818" s="20">
        <v>119000</v>
      </c>
      <c r="P818" s="20">
        <v>80920</v>
      </c>
      <c r="Q818" s="20">
        <v>1</v>
      </c>
      <c r="R818" s="20">
        <v>0</v>
      </c>
      <c r="S818" s="20">
        <v>0</v>
      </c>
      <c r="T818" s="20">
        <v>0</v>
      </c>
      <c r="U818" s="20">
        <v>0</v>
      </c>
      <c r="V818" s="20">
        <v>0</v>
      </c>
      <c r="W818" s="20">
        <v>32</v>
      </c>
      <c r="X818" s="20">
        <v>0</v>
      </c>
      <c r="Y818" s="20">
        <v>0</v>
      </c>
      <c r="Z818" s="20">
        <v>0</v>
      </c>
      <c r="AA818" s="20">
        <v>0</v>
      </c>
      <c r="AB818" s="20">
        <v>0</v>
      </c>
      <c r="AC818" s="20">
        <v>119000</v>
      </c>
      <c r="AD818" s="20">
        <v>80920</v>
      </c>
      <c r="AE818" s="20">
        <v>0</v>
      </c>
      <c r="AF818" s="20">
        <v>0</v>
      </c>
      <c r="AG818" s="20">
        <v>119000</v>
      </c>
      <c r="AH818" s="20">
        <v>80920</v>
      </c>
      <c r="AI818" s="20">
        <v>34618</v>
      </c>
      <c r="AJ818" s="20">
        <v>3462</v>
      </c>
      <c r="AK818" s="20">
        <v>38080</v>
      </c>
    </row>
    <row r="819" spans="1:37" ht="24" customHeight="1" x14ac:dyDescent="0.3">
      <c r="A819" s="18" t="s">
        <v>2351</v>
      </c>
      <c r="B819" s="18" t="s">
        <v>240</v>
      </c>
      <c r="C819" s="19" t="s">
        <v>241</v>
      </c>
      <c r="D819" s="18" t="s">
        <v>2352</v>
      </c>
      <c r="E819" s="19" t="s">
        <v>473</v>
      </c>
      <c r="F819" s="18" t="s">
        <v>244</v>
      </c>
      <c r="G819" s="18" t="s">
        <v>245</v>
      </c>
      <c r="H819" s="19" t="s">
        <v>175</v>
      </c>
      <c r="I819" s="18" t="s">
        <v>246</v>
      </c>
      <c r="J819" s="19" t="s">
        <v>247</v>
      </c>
      <c r="K819" s="19" t="s">
        <v>248</v>
      </c>
      <c r="L819" s="18" t="s">
        <v>164</v>
      </c>
      <c r="M819" s="18" t="s">
        <v>1556</v>
      </c>
      <c r="N819" s="18" t="s">
        <v>250</v>
      </c>
      <c r="O819" s="20">
        <v>119000</v>
      </c>
      <c r="P819" s="20">
        <v>80920</v>
      </c>
      <c r="Q819" s="20">
        <v>1</v>
      </c>
      <c r="R819" s="20">
        <v>0</v>
      </c>
      <c r="S819" s="20">
        <v>0</v>
      </c>
      <c r="T819" s="20">
        <v>0</v>
      </c>
      <c r="U819" s="20">
        <v>0</v>
      </c>
      <c r="V819" s="20">
        <v>0</v>
      </c>
      <c r="W819" s="20">
        <v>32</v>
      </c>
      <c r="X819" s="20">
        <v>0</v>
      </c>
      <c r="Y819" s="20">
        <v>0</v>
      </c>
      <c r="Z819" s="20">
        <v>0</v>
      </c>
      <c r="AA819" s="20">
        <v>0</v>
      </c>
      <c r="AB819" s="20">
        <v>0</v>
      </c>
      <c r="AC819" s="20">
        <v>119000</v>
      </c>
      <c r="AD819" s="20">
        <v>80920</v>
      </c>
      <c r="AE819" s="20">
        <v>0</v>
      </c>
      <c r="AF819" s="20">
        <v>0</v>
      </c>
      <c r="AG819" s="20">
        <v>119000</v>
      </c>
      <c r="AH819" s="20">
        <v>80920</v>
      </c>
      <c r="AI819" s="20">
        <v>34618</v>
      </c>
      <c r="AJ819" s="20">
        <v>3462</v>
      </c>
      <c r="AK819" s="20">
        <v>38080</v>
      </c>
    </row>
    <row r="820" spans="1:37" ht="24" customHeight="1" x14ac:dyDescent="0.3">
      <c r="A820" s="18" t="s">
        <v>2353</v>
      </c>
      <c r="B820" s="18" t="s">
        <v>240</v>
      </c>
      <c r="C820" s="19" t="s">
        <v>241</v>
      </c>
      <c r="D820" s="18" t="s">
        <v>2354</v>
      </c>
      <c r="E820" s="19" t="s">
        <v>2355</v>
      </c>
      <c r="F820" s="18" t="s">
        <v>244</v>
      </c>
      <c r="G820" s="18" t="s">
        <v>245</v>
      </c>
      <c r="H820" s="19" t="s">
        <v>175</v>
      </c>
      <c r="I820" s="18" t="s">
        <v>246</v>
      </c>
      <c r="J820" s="19" t="s">
        <v>247</v>
      </c>
      <c r="K820" s="19" t="s">
        <v>248</v>
      </c>
      <c r="L820" s="18" t="s">
        <v>164</v>
      </c>
      <c r="M820" s="18" t="s">
        <v>1556</v>
      </c>
      <c r="N820" s="18" t="s">
        <v>250</v>
      </c>
      <c r="O820" s="20">
        <v>119000</v>
      </c>
      <c r="P820" s="20">
        <v>80920</v>
      </c>
      <c r="Q820" s="20">
        <v>1</v>
      </c>
      <c r="R820" s="20">
        <v>0</v>
      </c>
      <c r="S820" s="20">
        <v>0</v>
      </c>
      <c r="T820" s="20">
        <v>0</v>
      </c>
      <c r="U820" s="20">
        <v>0</v>
      </c>
      <c r="V820" s="20">
        <v>0</v>
      </c>
      <c r="W820" s="20">
        <v>32</v>
      </c>
      <c r="X820" s="20">
        <v>0</v>
      </c>
      <c r="Y820" s="20">
        <v>10000</v>
      </c>
      <c r="Z820" s="20">
        <v>0</v>
      </c>
      <c r="AA820" s="20">
        <v>0</v>
      </c>
      <c r="AB820" s="20">
        <v>0</v>
      </c>
      <c r="AC820" s="20">
        <v>119000</v>
      </c>
      <c r="AD820" s="20">
        <v>80920</v>
      </c>
      <c r="AE820" s="20">
        <v>0</v>
      </c>
      <c r="AF820" s="20">
        <v>10000</v>
      </c>
      <c r="AG820" s="20">
        <v>109000</v>
      </c>
      <c r="AH820" s="20">
        <v>80920</v>
      </c>
      <c r="AI820" s="20">
        <v>25527</v>
      </c>
      <c r="AJ820" s="20">
        <v>2553</v>
      </c>
      <c r="AK820" s="20">
        <v>28080</v>
      </c>
    </row>
    <row r="821" spans="1:37" ht="24" customHeight="1" x14ac:dyDescent="0.3">
      <c r="A821" s="18" t="s">
        <v>2356</v>
      </c>
      <c r="B821" s="18" t="s">
        <v>240</v>
      </c>
      <c r="C821" s="19" t="s">
        <v>241</v>
      </c>
      <c r="D821" s="18" t="s">
        <v>2357</v>
      </c>
      <c r="E821" s="19" t="s">
        <v>2358</v>
      </c>
      <c r="F821" s="18" t="s">
        <v>244</v>
      </c>
      <c r="G821" s="18" t="s">
        <v>245</v>
      </c>
      <c r="H821" s="19" t="s">
        <v>175</v>
      </c>
      <c r="I821" s="18" t="s">
        <v>246</v>
      </c>
      <c r="J821" s="19" t="s">
        <v>247</v>
      </c>
      <c r="K821" s="19"/>
      <c r="L821" s="18" t="s">
        <v>164</v>
      </c>
      <c r="M821" s="18" t="s">
        <v>1556</v>
      </c>
      <c r="N821" s="18" t="s">
        <v>250</v>
      </c>
      <c r="O821" s="20">
        <v>119000</v>
      </c>
      <c r="P821" s="20">
        <v>80920</v>
      </c>
      <c r="Q821" s="20">
        <v>1</v>
      </c>
      <c r="R821" s="20">
        <v>0</v>
      </c>
      <c r="S821" s="20">
        <v>0</v>
      </c>
      <c r="T821" s="20">
        <v>0</v>
      </c>
      <c r="U821" s="20">
        <v>0</v>
      </c>
      <c r="V821" s="20">
        <v>0</v>
      </c>
      <c r="W821" s="20">
        <v>32</v>
      </c>
      <c r="X821" s="20">
        <v>0</v>
      </c>
      <c r="Y821" s="20">
        <v>5950</v>
      </c>
      <c r="Z821" s="20">
        <v>0</v>
      </c>
      <c r="AA821" s="20">
        <v>0</v>
      </c>
      <c r="AB821" s="20">
        <v>0</v>
      </c>
      <c r="AC821" s="20">
        <v>119000</v>
      </c>
      <c r="AD821" s="20">
        <v>80920</v>
      </c>
      <c r="AE821" s="20">
        <v>0</v>
      </c>
      <c r="AF821" s="20">
        <v>5950</v>
      </c>
      <c r="AG821" s="20">
        <v>113050</v>
      </c>
      <c r="AH821" s="20">
        <v>80920</v>
      </c>
      <c r="AI821" s="20">
        <v>29209</v>
      </c>
      <c r="AJ821" s="20">
        <v>2921</v>
      </c>
      <c r="AK821" s="20">
        <v>32130</v>
      </c>
    </row>
    <row r="822" spans="1:37" ht="24" customHeight="1" x14ac:dyDescent="0.3">
      <c r="A822" s="18" t="s">
        <v>2359</v>
      </c>
      <c r="B822" s="18" t="s">
        <v>240</v>
      </c>
      <c r="C822" s="19" t="s">
        <v>241</v>
      </c>
      <c r="D822" s="18" t="s">
        <v>2360</v>
      </c>
      <c r="E822" s="19" t="s">
        <v>1137</v>
      </c>
      <c r="F822" s="18" t="s">
        <v>244</v>
      </c>
      <c r="G822" s="18" t="s">
        <v>245</v>
      </c>
      <c r="H822" s="19" t="s">
        <v>175</v>
      </c>
      <c r="I822" s="18" t="s">
        <v>246</v>
      </c>
      <c r="J822" s="19" t="s">
        <v>247</v>
      </c>
      <c r="K822" s="19"/>
      <c r="L822" s="18" t="s">
        <v>164</v>
      </c>
      <c r="M822" s="18" t="s">
        <v>1556</v>
      </c>
      <c r="N822" s="18" t="s">
        <v>250</v>
      </c>
      <c r="O822" s="20">
        <v>119000</v>
      </c>
      <c r="P822" s="20">
        <v>80920</v>
      </c>
      <c r="Q822" s="20">
        <v>1</v>
      </c>
      <c r="R822" s="20">
        <v>0</v>
      </c>
      <c r="S822" s="20">
        <v>0</v>
      </c>
      <c r="T822" s="20">
        <v>0</v>
      </c>
      <c r="U822" s="20">
        <v>0</v>
      </c>
      <c r="V822" s="20">
        <v>0</v>
      </c>
      <c r="W822" s="20">
        <v>32</v>
      </c>
      <c r="X822" s="20">
        <v>0</v>
      </c>
      <c r="Y822" s="20">
        <v>5950</v>
      </c>
      <c r="Z822" s="20">
        <v>0</v>
      </c>
      <c r="AA822" s="20">
        <v>0</v>
      </c>
      <c r="AB822" s="20">
        <v>0</v>
      </c>
      <c r="AC822" s="20">
        <v>119000</v>
      </c>
      <c r="AD822" s="20">
        <v>80920</v>
      </c>
      <c r="AE822" s="20">
        <v>0</v>
      </c>
      <c r="AF822" s="20">
        <v>5950</v>
      </c>
      <c r="AG822" s="20">
        <v>113050</v>
      </c>
      <c r="AH822" s="20">
        <v>80920</v>
      </c>
      <c r="AI822" s="20">
        <v>29209</v>
      </c>
      <c r="AJ822" s="20">
        <v>2921</v>
      </c>
      <c r="AK822" s="20">
        <v>32130</v>
      </c>
    </row>
    <row r="823" spans="1:37" ht="24" customHeight="1" x14ac:dyDescent="0.3">
      <c r="A823" s="18" t="s">
        <v>2361</v>
      </c>
      <c r="B823" s="18" t="s">
        <v>240</v>
      </c>
      <c r="C823" s="19" t="s">
        <v>241</v>
      </c>
      <c r="D823" s="18" t="s">
        <v>2362</v>
      </c>
      <c r="E823" s="19" t="s">
        <v>907</v>
      </c>
      <c r="F823" s="18" t="s">
        <v>244</v>
      </c>
      <c r="G823" s="18" t="s">
        <v>245</v>
      </c>
      <c r="H823" s="19" t="s">
        <v>175</v>
      </c>
      <c r="I823" s="18" t="s">
        <v>246</v>
      </c>
      <c r="J823" s="19" t="s">
        <v>247</v>
      </c>
      <c r="K823" s="19" t="s">
        <v>248</v>
      </c>
      <c r="L823" s="18" t="s">
        <v>164</v>
      </c>
      <c r="M823" s="18" t="s">
        <v>1556</v>
      </c>
      <c r="N823" s="18" t="s">
        <v>250</v>
      </c>
      <c r="O823" s="20">
        <v>119000</v>
      </c>
      <c r="P823" s="20">
        <v>80920</v>
      </c>
      <c r="Q823" s="20">
        <v>1</v>
      </c>
      <c r="R823" s="20">
        <v>0</v>
      </c>
      <c r="S823" s="20">
        <v>0</v>
      </c>
      <c r="T823" s="20">
        <v>0</v>
      </c>
      <c r="U823" s="20">
        <v>0</v>
      </c>
      <c r="V823" s="20">
        <v>0</v>
      </c>
      <c r="W823" s="20">
        <v>32</v>
      </c>
      <c r="X823" s="20">
        <v>0</v>
      </c>
      <c r="Y823" s="20">
        <v>0</v>
      </c>
      <c r="Z823" s="20">
        <v>0</v>
      </c>
      <c r="AA823" s="20">
        <v>0</v>
      </c>
      <c r="AB823" s="20">
        <v>0</v>
      </c>
      <c r="AC823" s="20">
        <v>119000</v>
      </c>
      <c r="AD823" s="20">
        <v>80920</v>
      </c>
      <c r="AE823" s="20">
        <v>0</v>
      </c>
      <c r="AF823" s="20">
        <v>0</v>
      </c>
      <c r="AG823" s="20">
        <v>119000</v>
      </c>
      <c r="AH823" s="20">
        <v>80920</v>
      </c>
      <c r="AI823" s="20">
        <v>34618</v>
      </c>
      <c r="AJ823" s="20">
        <v>3462</v>
      </c>
      <c r="AK823" s="20">
        <v>38080</v>
      </c>
    </row>
    <row r="824" spans="1:37" ht="24" customHeight="1" x14ac:dyDescent="0.3">
      <c r="A824" s="18" t="s">
        <v>2363</v>
      </c>
      <c r="B824" s="18" t="s">
        <v>240</v>
      </c>
      <c r="C824" s="19" t="s">
        <v>241</v>
      </c>
      <c r="D824" s="18" t="s">
        <v>2364</v>
      </c>
      <c r="E824" s="19" t="s">
        <v>847</v>
      </c>
      <c r="F824" s="18" t="s">
        <v>244</v>
      </c>
      <c r="G824" s="18" t="s">
        <v>245</v>
      </c>
      <c r="H824" s="19" t="s">
        <v>175</v>
      </c>
      <c r="I824" s="18" t="s">
        <v>246</v>
      </c>
      <c r="J824" s="19" t="s">
        <v>247</v>
      </c>
      <c r="K824" s="19"/>
      <c r="L824" s="18" t="s">
        <v>164</v>
      </c>
      <c r="M824" s="18" t="s">
        <v>1556</v>
      </c>
      <c r="N824" s="18" t="s">
        <v>250</v>
      </c>
      <c r="O824" s="20">
        <v>119000</v>
      </c>
      <c r="P824" s="20">
        <v>80920</v>
      </c>
      <c r="Q824" s="20">
        <v>1</v>
      </c>
      <c r="R824" s="20">
        <v>0</v>
      </c>
      <c r="S824" s="20">
        <v>0</v>
      </c>
      <c r="T824" s="20">
        <v>0</v>
      </c>
      <c r="U824" s="20">
        <v>0</v>
      </c>
      <c r="V824" s="20">
        <v>0</v>
      </c>
      <c r="W824" s="20">
        <v>32</v>
      </c>
      <c r="X824" s="20">
        <v>0</v>
      </c>
      <c r="Y824" s="20">
        <v>5950</v>
      </c>
      <c r="Z824" s="20">
        <v>0</v>
      </c>
      <c r="AA824" s="20">
        <v>0</v>
      </c>
      <c r="AB824" s="20">
        <v>0</v>
      </c>
      <c r="AC824" s="20">
        <v>119000</v>
      </c>
      <c r="AD824" s="20">
        <v>80920</v>
      </c>
      <c r="AE824" s="20">
        <v>0</v>
      </c>
      <c r="AF824" s="20">
        <v>5950</v>
      </c>
      <c r="AG824" s="20">
        <v>113050</v>
      </c>
      <c r="AH824" s="20">
        <v>80920</v>
      </c>
      <c r="AI824" s="20">
        <v>29209</v>
      </c>
      <c r="AJ824" s="20">
        <v>2921</v>
      </c>
      <c r="AK824" s="20">
        <v>32130</v>
      </c>
    </row>
    <row r="825" spans="1:37" ht="24" customHeight="1" x14ac:dyDescent="0.3">
      <c r="A825" s="18" t="s">
        <v>2365</v>
      </c>
      <c r="B825" s="18" t="s">
        <v>240</v>
      </c>
      <c r="C825" s="19" t="s">
        <v>241</v>
      </c>
      <c r="D825" s="18" t="s">
        <v>2366</v>
      </c>
      <c r="E825" s="19" t="s">
        <v>2367</v>
      </c>
      <c r="F825" s="18" t="s">
        <v>244</v>
      </c>
      <c r="G825" s="18" t="s">
        <v>245</v>
      </c>
      <c r="H825" s="19" t="s">
        <v>175</v>
      </c>
      <c r="I825" s="18" t="s">
        <v>246</v>
      </c>
      <c r="J825" s="19" t="s">
        <v>247</v>
      </c>
      <c r="K825" s="19" t="s">
        <v>248</v>
      </c>
      <c r="L825" s="18" t="s">
        <v>164</v>
      </c>
      <c r="M825" s="18" t="s">
        <v>1556</v>
      </c>
      <c r="N825" s="18" t="s">
        <v>250</v>
      </c>
      <c r="O825" s="20">
        <v>119000</v>
      </c>
      <c r="P825" s="20">
        <v>80920</v>
      </c>
      <c r="Q825" s="20">
        <v>1</v>
      </c>
      <c r="R825" s="20">
        <v>0</v>
      </c>
      <c r="S825" s="20">
        <v>0</v>
      </c>
      <c r="T825" s="20">
        <v>0</v>
      </c>
      <c r="U825" s="20">
        <v>0</v>
      </c>
      <c r="V825" s="20">
        <v>0</v>
      </c>
      <c r="W825" s="20">
        <v>32</v>
      </c>
      <c r="X825" s="20">
        <v>0</v>
      </c>
      <c r="Y825" s="20">
        <v>0</v>
      </c>
      <c r="Z825" s="20">
        <v>0</v>
      </c>
      <c r="AA825" s="20">
        <v>0</v>
      </c>
      <c r="AB825" s="20">
        <v>0</v>
      </c>
      <c r="AC825" s="20">
        <v>119000</v>
      </c>
      <c r="AD825" s="20">
        <v>80920</v>
      </c>
      <c r="AE825" s="20">
        <v>0</v>
      </c>
      <c r="AF825" s="20">
        <v>0</v>
      </c>
      <c r="AG825" s="20">
        <v>119000</v>
      </c>
      <c r="AH825" s="20">
        <v>80920</v>
      </c>
      <c r="AI825" s="20">
        <v>34618</v>
      </c>
      <c r="AJ825" s="20">
        <v>3462</v>
      </c>
      <c r="AK825" s="20">
        <v>38080</v>
      </c>
    </row>
    <row r="826" spans="1:37" ht="24" customHeight="1" x14ac:dyDescent="0.3">
      <c r="A826" s="18" t="s">
        <v>2368</v>
      </c>
      <c r="B826" s="18" t="s">
        <v>240</v>
      </c>
      <c r="C826" s="19" t="s">
        <v>241</v>
      </c>
      <c r="D826" s="18" t="s">
        <v>2369</v>
      </c>
      <c r="E826" s="19" t="s">
        <v>865</v>
      </c>
      <c r="F826" s="18" t="s">
        <v>244</v>
      </c>
      <c r="G826" s="18" t="s">
        <v>245</v>
      </c>
      <c r="H826" s="19" t="s">
        <v>175</v>
      </c>
      <c r="I826" s="18" t="s">
        <v>246</v>
      </c>
      <c r="J826" s="19" t="s">
        <v>247</v>
      </c>
      <c r="K826" s="19" t="s">
        <v>248</v>
      </c>
      <c r="L826" s="18" t="s">
        <v>164</v>
      </c>
      <c r="M826" s="18" t="s">
        <v>1556</v>
      </c>
      <c r="N826" s="18" t="s">
        <v>250</v>
      </c>
      <c r="O826" s="20">
        <v>119000</v>
      </c>
      <c r="P826" s="20">
        <v>80920</v>
      </c>
      <c r="Q826" s="20">
        <v>1</v>
      </c>
      <c r="R826" s="20">
        <v>0</v>
      </c>
      <c r="S826" s="20">
        <v>0</v>
      </c>
      <c r="T826" s="20">
        <v>0</v>
      </c>
      <c r="U826" s="20">
        <v>0</v>
      </c>
      <c r="V826" s="20">
        <v>0</v>
      </c>
      <c r="W826" s="20">
        <v>32</v>
      </c>
      <c r="X826" s="20">
        <v>0</v>
      </c>
      <c r="Y826" s="20">
        <v>0</v>
      </c>
      <c r="Z826" s="20">
        <v>0</v>
      </c>
      <c r="AA826" s="20">
        <v>0</v>
      </c>
      <c r="AB826" s="20">
        <v>0</v>
      </c>
      <c r="AC826" s="20">
        <v>119000</v>
      </c>
      <c r="AD826" s="20">
        <v>80920</v>
      </c>
      <c r="AE826" s="20">
        <v>0</v>
      </c>
      <c r="AF826" s="20">
        <v>0</v>
      </c>
      <c r="AG826" s="20">
        <v>119000</v>
      </c>
      <c r="AH826" s="20">
        <v>80920</v>
      </c>
      <c r="AI826" s="20">
        <v>34618</v>
      </c>
      <c r="AJ826" s="20">
        <v>3462</v>
      </c>
      <c r="AK826" s="20">
        <v>38080</v>
      </c>
    </row>
    <row r="827" spans="1:37" ht="24" customHeight="1" x14ac:dyDescent="0.3">
      <c r="A827" s="18" t="s">
        <v>2370</v>
      </c>
      <c r="B827" s="18" t="s">
        <v>240</v>
      </c>
      <c r="C827" s="19" t="s">
        <v>241</v>
      </c>
      <c r="D827" s="18" t="s">
        <v>2371</v>
      </c>
      <c r="E827" s="19" t="s">
        <v>1040</v>
      </c>
      <c r="F827" s="18" t="s">
        <v>244</v>
      </c>
      <c r="G827" s="18" t="s">
        <v>245</v>
      </c>
      <c r="H827" s="19" t="s">
        <v>175</v>
      </c>
      <c r="I827" s="18" t="s">
        <v>246</v>
      </c>
      <c r="J827" s="19" t="s">
        <v>247</v>
      </c>
      <c r="K827" s="19" t="s">
        <v>248</v>
      </c>
      <c r="L827" s="18" t="s">
        <v>164</v>
      </c>
      <c r="M827" s="18" t="s">
        <v>1556</v>
      </c>
      <c r="N827" s="18" t="s">
        <v>250</v>
      </c>
      <c r="O827" s="20">
        <v>119000</v>
      </c>
      <c r="P827" s="20">
        <v>80920</v>
      </c>
      <c r="Q827" s="20">
        <v>1</v>
      </c>
      <c r="R827" s="20">
        <v>0</v>
      </c>
      <c r="S827" s="20">
        <v>0</v>
      </c>
      <c r="T827" s="20">
        <v>0</v>
      </c>
      <c r="U827" s="20">
        <v>0</v>
      </c>
      <c r="V827" s="20">
        <v>0</v>
      </c>
      <c r="W827" s="20">
        <v>32</v>
      </c>
      <c r="X827" s="20">
        <v>20230</v>
      </c>
      <c r="Y827" s="20">
        <v>0</v>
      </c>
      <c r="Z827" s="20">
        <v>0</v>
      </c>
      <c r="AA827" s="20">
        <v>0</v>
      </c>
      <c r="AB827" s="20">
        <v>0</v>
      </c>
      <c r="AC827" s="20">
        <v>119000</v>
      </c>
      <c r="AD827" s="20">
        <v>80920</v>
      </c>
      <c r="AE827" s="20">
        <v>0</v>
      </c>
      <c r="AF827" s="20">
        <v>20230</v>
      </c>
      <c r="AG827" s="20">
        <v>98770</v>
      </c>
      <c r="AH827" s="20">
        <v>80920</v>
      </c>
      <c r="AI827" s="20">
        <v>16227</v>
      </c>
      <c r="AJ827" s="20">
        <v>1623</v>
      </c>
      <c r="AK827" s="20">
        <v>17850</v>
      </c>
    </row>
    <row r="828" spans="1:37" ht="24" customHeight="1" x14ac:dyDescent="0.3">
      <c r="A828" s="18" t="s">
        <v>2372</v>
      </c>
      <c r="B828" s="18" t="s">
        <v>240</v>
      </c>
      <c r="C828" s="19" t="s">
        <v>241</v>
      </c>
      <c r="D828" s="18" t="s">
        <v>2373</v>
      </c>
      <c r="E828" s="19" t="s">
        <v>1211</v>
      </c>
      <c r="F828" s="18" t="s">
        <v>244</v>
      </c>
      <c r="G828" s="18" t="s">
        <v>245</v>
      </c>
      <c r="H828" s="19" t="s">
        <v>175</v>
      </c>
      <c r="I828" s="18" t="s">
        <v>246</v>
      </c>
      <c r="J828" s="19" t="s">
        <v>247</v>
      </c>
      <c r="K828" s="19"/>
      <c r="L828" s="18" t="s">
        <v>164</v>
      </c>
      <c r="M828" s="18" t="s">
        <v>1556</v>
      </c>
      <c r="N828" s="18" t="s">
        <v>250</v>
      </c>
      <c r="O828" s="20">
        <v>119000</v>
      </c>
      <c r="P828" s="20">
        <v>80920</v>
      </c>
      <c r="Q828" s="20">
        <v>1</v>
      </c>
      <c r="R828" s="20">
        <v>0</v>
      </c>
      <c r="S828" s="20">
        <v>0</v>
      </c>
      <c r="T828" s="20">
        <v>0</v>
      </c>
      <c r="U828" s="20">
        <v>0</v>
      </c>
      <c r="V828" s="20">
        <v>0</v>
      </c>
      <c r="W828" s="20">
        <v>32</v>
      </c>
      <c r="X828" s="20">
        <v>0</v>
      </c>
      <c r="Y828" s="20">
        <v>10000</v>
      </c>
      <c r="Z828" s="20">
        <v>0</v>
      </c>
      <c r="AA828" s="20">
        <v>0</v>
      </c>
      <c r="AB828" s="20">
        <v>0</v>
      </c>
      <c r="AC828" s="20">
        <v>119000</v>
      </c>
      <c r="AD828" s="20">
        <v>80920</v>
      </c>
      <c r="AE828" s="20">
        <v>0</v>
      </c>
      <c r="AF828" s="20">
        <v>10000</v>
      </c>
      <c r="AG828" s="20">
        <v>109000</v>
      </c>
      <c r="AH828" s="20">
        <v>80920</v>
      </c>
      <c r="AI828" s="20">
        <v>25527</v>
      </c>
      <c r="AJ828" s="20">
        <v>2553</v>
      </c>
      <c r="AK828" s="20">
        <v>28080</v>
      </c>
    </row>
    <row r="829" spans="1:37" ht="24" customHeight="1" x14ac:dyDescent="0.3">
      <c r="A829" s="18" t="s">
        <v>2374</v>
      </c>
      <c r="B829" s="18" t="s">
        <v>240</v>
      </c>
      <c r="C829" s="19" t="s">
        <v>241</v>
      </c>
      <c r="D829" s="18" t="s">
        <v>2375</v>
      </c>
      <c r="E829" s="19" t="s">
        <v>591</v>
      </c>
      <c r="F829" s="18" t="s">
        <v>244</v>
      </c>
      <c r="G829" s="18" t="s">
        <v>245</v>
      </c>
      <c r="H829" s="19" t="s">
        <v>175</v>
      </c>
      <c r="I829" s="18" t="s">
        <v>246</v>
      </c>
      <c r="J829" s="19" t="s">
        <v>247</v>
      </c>
      <c r="K829" s="19"/>
      <c r="L829" s="18" t="s">
        <v>164</v>
      </c>
      <c r="M829" s="18" t="s">
        <v>1556</v>
      </c>
      <c r="N829" s="18" t="s">
        <v>250</v>
      </c>
      <c r="O829" s="20">
        <v>119000</v>
      </c>
      <c r="P829" s="20">
        <v>80920</v>
      </c>
      <c r="Q829" s="20">
        <v>1</v>
      </c>
      <c r="R829" s="20">
        <v>0</v>
      </c>
      <c r="S829" s="20">
        <v>0</v>
      </c>
      <c r="T829" s="20">
        <v>0</v>
      </c>
      <c r="U829" s="20">
        <v>0</v>
      </c>
      <c r="V829" s="20">
        <v>0</v>
      </c>
      <c r="W829" s="20">
        <v>32</v>
      </c>
      <c r="X829" s="20">
        <v>0</v>
      </c>
      <c r="Y829" s="20">
        <v>5950</v>
      </c>
      <c r="Z829" s="20">
        <v>0</v>
      </c>
      <c r="AA829" s="20">
        <v>0</v>
      </c>
      <c r="AB829" s="20">
        <v>0</v>
      </c>
      <c r="AC829" s="20">
        <v>119000</v>
      </c>
      <c r="AD829" s="20">
        <v>80920</v>
      </c>
      <c r="AE829" s="20">
        <v>0</v>
      </c>
      <c r="AF829" s="20">
        <v>5950</v>
      </c>
      <c r="AG829" s="20">
        <v>113050</v>
      </c>
      <c r="AH829" s="20">
        <v>80920</v>
      </c>
      <c r="AI829" s="20">
        <v>29209</v>
      </c>
      <c r="AJ829" s="20">
        <v>2921</v>
      </c>
      <c r="AK829" s="20">
        <v>32130</v>
      </c>
    </row>
    <row r="830" spans="1:37" ht="24" customHeight="1" x14ac:dyDescent="0.3">
      <c r="A830" s="18" t="s">
        <v>2376</v>
      </c>
      <c r="B830" s="18" t="s">
        <v>240</v>
      </c>
      <c r="C830" s="19" t="s">
        <v>241</v>
      </c>
      <c r="D830" s="18" t="s">
        <v>2377</v>
      </c>
      <c r="E830" s="19" t="s">
        <v>907</v>
      </c>
      <c r="F830" s="18" t="s">
        <v>244</v>
      </c>
      <c r="G830" s="18" t="s">
        <v>245</v>
      </c>
      <c r="H830" s="19" t="s">
        <v>175</v>
      </c>
      <c r="I830" s="18" t="s">
        <v>246</v>
      </c>
      <c r="J830" s="19" t="s">
        <v>247</v>
      </c>
      <c r="K830" s="19" t="s">
        <v>314</v>
      </c>
      <c r="L830" s="18" t="s">
        <v>164</v>
      </c>
      <c r="M830" s="18" t="s">
        <v>1556</v>
      </c>
      <c r="N830" s="18" t="s">
        <v>250</v>
      </c>
      <c r="O830" s="20">
        <v>119000</v>
      </c>
      <c r="P830" s="20">
        <v>80920</v>
      </c>
      <c r="Q830" s="20">
        <v>1</v>
      </c>
      <c r="R830" s="20">
        <v>0</v>
      </c>
      <c r="S830" s="20">
        <v>0</v>
      </c>
      <c r="T830" s="20">
        <v>0</v>
      </c>
      <c r="U830" s="20">
        <v>0</v>
      </c>
      <c r="V830" s="20">
        <v>0</v>
      </c>
      <c r="W830" s="20">
        <v>32</v>
      </c>
      <c r="X830" s="20">
        <v>0</v>
      </c>
      <c r="Y830" s="20">
        <v>0</v>
      </c>
      <c r="Z830" s="20">
        <v>0</v>
      </c>
      <c r="AA830" s="20">
        <v>0</v>
      </c>
      <c r="AB830" s="20">
        <v>0</v>
      </c>
      <c r="AC830" s="20">
        <v>119000</v>
      </c>
      <c r="AD830" s="20">
        <v>80920</v>
      </c>
      <c r="AE830" s="20">
        <v>0</v>
      </c>
      <c r="AF830" s="20">
        <v>0</v>
      </c>
      <c r="AG830" s="20">
        <v>119000</v>
      </c>
      <c r="AH830" s="20">
        <v>80920</v>
      </c>
      <c r="AI830" s="20">
        <v>34618</v>
      </c>
      <c r="AJ830" s="20">
        <v>3462</v>
      </c>
      <c r="AK830" s="20">
        <v>38080</v>
      </c>
    </row>
    <row r="831" spans="1:37" ht="24" customHeight="1" x14ac:dyDescent="0.3">
      <c r="A831" s="18" t="s">
        <v>2378</v>
      </c>
      <c r="B831" s="18" t="s">
        <v>240</v>
      </c>
      <c r="C831" s="19" t="s">
        <v>241</v>
      </c>
      <c r="D831" s="18" t="s">
        <v>2379</v>
      </c>
      <c r="E831" s="19" t="s">
        <v>2380</v>
      </c>
      <c r="F831" s="18" t="s">
        <v>244</v>
      </c>
      <c r="G831" s="18" t="s">
        <v>245</v>
      </c>
      <c r="H831" s="19" t="s">
        <v>175</v>
      </c>
      <c r="I831" s="18" t="s">
        <v>246</v>
      </c>
      <c r="J831" s="19" t="s">
        <v>247</v>
      </c>
      <c r="K831" s="19" t="s">
        <v>248</v>
      </c>
      <c r="L831" s="18" t="s">
        <v>164</v>
      </c>
      <c r="M831" s="18" t="s">
        <v>1556</v>
      </c>
      <c r="N831" s="18" t="s">
        <v>250</v>
      </c>
      <c r="O831" s="20">
        <v>119000</v>
      </c>
      <c r="P831" s="20">
        <v>80920</v>
      </c>
      <c r="Q831" s="20">
        <v>1</v>
      </c>
      <c r="R831" s="20">
        <v>0</v>
      </c>
      <c r="S831" s="20">
        <v>0</v>
      </c>
      <c r="T831" s="20">
        <v>0</v>
      </c>
      <c r="U831" s="20">
        <v>0</v>
      </c>
      <c r="V831" s="20">
        <v>0</v>
      </c>
      <c r="W831" s="20">
        <v>32</v>
      </c>
      <c r="X831" s="20">
        <v>0</v>
      </c>
      <c r="Y831" s="20">
        <v>0</v>
      </c>
      <c r="Z831" s="20">
        <v>0</v>
      </c>
      <c r="AA831" s="20">
        <v>0</v>
      </c>
      <c r="AB831" s="20">
        <v>0</v>
      </c>
      <c r="AC831" s="20">
        <v>119000</v>
      </c>
      <c r="AD831" s="20">
        <v>80920</v>
      </c>
      <c r="AE831" s="20">
        <v>0</v>
      </c>
      <c r="AF831" s="20">
        <v>0</v>
      </c>
      <c r="AG831" s="20">
        <v>119000</v>
      </c>
      <c r="AH831" s="20">
        <v>80920</v>
      </c>
      <c r="AI831" s="20">
        <v>34618</v>
      </c>
      <c r="AJ831" s="20">
        <v>3462</v>
      </c>
      <c r="AK831" s="20">
        <v>38080</v>
      </c>
    </row>
    <row r="832" spans="1:37" ht="24" customHeight="1" x14ac:dyDescent="0.3">
      <c r="A832" s="18" t="s">
        <v>2381</v>
      </c>
      <c r="B832" s="18" t="s">
        <v>240</v>
      </c>
      <c r="C832" s="19" t="s">
        <v>241</v>
      </c>
      <c r="D832" s="18" t="s">
        <v>2382</v>
      </c>
      <c r="E832" s="19" t="s">
        <v>2383</v>
      </c>
      <c r="F832" s="18" t="s">
        <v>244</v>
      </c>
      <c r="G832" s="18" t="s">
        <v>245</v>
      </c>
      <c r="H832" s="19" t="s">
        <v>175</v>
      </c>
      <c r="I832" s="18" t="s">
        <v>246</v>
      </c>
      <c r="J832" s="19" t="s">
        <v>247</v>
      </c>
      <c r="K832" s="19" t="s">
        <v>248</v>
      </c>
      <c r="L832" s="18" t="s">
        <v>164</v>
      </c>
      <c r="M832" s="18" t="s">
        <v>1556</v>
      </c>
      <c r="N832" s="18" t="s">
        <v>250</v>
      </c>
      <c r="O832" s="20">
        <v>119000</v>
      </c>
      <c r="P832" s="20">
        <v>80920</v>
      </c>
      <c r="Q832" s="20">
        <v>1</v>
      </c>
      <c r="R832" s="20">
        <v>0</v>
      </c>
      <c r="S832" s="20">
        <v>0</v>
      </c>
      <c r="T832" s="20">
        <v>0</v>
      </c>
      <c r="U832" s="20">
        <v>0</v>
      </c>
      <c r="V832" s="20">
        <v>0</v>
      </c>
      <c r="W832" s="20">
        <v>32</v>
      </c>
      <c r="X832" s="20">
        <v>0</v>
      </c>
      <c r="Y832" s="20">
        <v>0</v>
      </c>
      <c r="Z832" s="20">
        <v>0</v>
      </c>
      <c r="AA832" s="20">
        <v>0</v>
      </c>
      <c r="AB832" s="20">
        <v>0</v>
      </c>
      <c r="AC832" s="20">
        <v>119000</v>
      </c>
      <c r="AD832" s="20">
        <v>80920</v>
      </c>
      <c r="AE832" s="20">
        <v>0</v>
      </c>
      <c r="AF832" s="20">
        <v>0</v>
      </c>
      <c r="AG832" s="20">
        <v>119000</v>
      </c>
      <c r="AH832" s="20">
        <v>80920</v>
      </c>
      <c r="AI832" s="20">
        <v>34618</v>
      </c>
      <c r="AJ832" s="20">
        <v>3462</v>
      </c>
      <c r="AK832" s="20">
        <v>38080</v>
      </c>
    </row>
    <row r="833" spans="1:37" ht="24" customHeight="1" x14ac:dyDescent="0.3">
      <c r="A833" s="18" t="s">
        <v>2384</v>
      </c>
      <c r="B833" s="18" t="s">
        <v>240</v>
      </c>
      <c r="C833" s="19" t="s">
        <v>241</v>
      </c>
      <c r="D833" s="18" t="s">
        <v>2385</v>
      </c>
      <c r="E833" s="19" t="s">
        <v>577</v>
      </c>
      <c r="F833" s="18" t="s">
        <v>244</v>
      </c>
      <c r="G833" s="18" t="s">
        <v>245</v>
      </c>
      <c r="H833" s="19" t="s">
        <v>175</v>
      </c>
      <c r="I833" s="18" t="s">
        <v>246</v>
      </c>
      <c r="J833" s="19" t="s">
        <v>247</v>
      </c>
      <c r="K833" s="19" t="s">
        <v>248</v>
      </c>
      <c r="L833" s="18" t="s">
        <v>164</v>
      </c>
      <c r="M833" s="18" t="s">
        <v>1556</v>
      </c>
      <c r="N833" s="18" t="s">
        <v>250</v>
      </c>
      <c r="O833" s="20">
        <v>119000</v>
      </c>
      <c r="P833" s="20">
        <v>80920</v>
      </c>
      <c r="Q833" s="20">
        <v>1</v>
      </c>
      <c r="R833" s="20">
        <v>0</v>
      </c>
      <c r="S833" s="20">
        <v>0</v>
      </c>
      <c r="T833" s="20">
        <v>0</v>
      </c>
      <c r="U833" s="20">
        <v>0</v>
      </c>
      <c r="V833" s="20">
        <v>0</v>
      </c>
      <c r="W833" s="20">
        <v>32</v>
      </c>
      <c r="X833" s="20">
        <v>0</v>
      </c>
      <c r="Y833" s="20">
        <v>0</v>
      </c>
      <c r="Z833" s="20">
        <v>0</v>
      </c>
      <c r="AA833" s="20">
        <v>0</v>
      </c>
      <c r="AB833" s="20">
        <v>0</v>
      </c>
      <c r="AC833" s="20">
        <v>119000</v>
      </c>
      <c r="AD833" s="20">
        <v>80920</v>
      </c>
      <c r="AE833" s="20">
        <v>0</v>
      </c>
      <c r="AF833" s="20">
        <v>0</v>
      </c>
      <c r="AG833" s="20">
        <v>119000</v>
      </c>
      <c r="AH833" s="20">
        <v>80920</v>
      </c>
      <c r="AI833" s="20">
        <v>34618</v>
      </c>
      <c r="AJ833" s="20">
        <v>3462</v>
      </c>
      <c r="AK833" s="20">
        <v>38080</v>
      </c>
    </row>
    <row r="834" spans="1:37" ht="24" customHeight="1" x14ac:dyDescent="0.3">
      <c r="A834" s="18" t="s">
        <v>2386</v>
      </c>
      <c r="B834" s="18" t="s">
        <v>240</v>
      </c>
      <c r="C834" s="19" t="s">
        <v>241</v>
      </c>
      <c r="D834" s="18" t="s">
        <v>2387</v>
      </c>
      <c r="E834" s="19" t="s">
        <v>349</v>
      </c>
      <c r="F834" s="18" t="s">
        <v>244</v>
      </c>
      <c r="G834" s="18" t="s">
        <v>245</v>
      </c>
      <c r="H834" s="19" t="s">
        <v>175</v>
      </c>
      <c r="I834" s="18" t="s">
        <v>246</v>
      </c>
      <c r="J834" s="19" t="s">
        <v>247</v>
      </c>
      <c r="K834" s="19" t="s">
        <v>248</v>
      </c>
      <c r="L834" s="18" t="s">
        <v>164</v>
      </c>
      <c r="M834" s="18" t="s">
        <v>1556</v>
      </c>
      <c r="N834" s="18" t="s">
        <v>250</v>
      </c>
      <c r="O834" s="20">
        <v>119000</v>
      </c>
      <c r="P834" s="20">
        <v>80920</v>
      </c>
      <c r="Q834" s="20">
        <v>2</v>
      </c>
      <c r="R834" s="20">
        <v>0</v>
      </c>
      <c r="S834" s="20">
        <v>0</v>
      </c>
      <c r="T834" s="20">
        <v>0</v>
      </c>
      <c r="U834" s="20">
        <v>0</v>
      </c>
      <c r="V834" s="20">
        <v>0</v>
      </c>
      <c r="W834" s="20">
        <v>32</v>
      </c>
      <c r="X834" s="20">
        <v>0</v>
      </c>
      <c r="Y834" s="20">
        <v>0</v>
      </c>
      <c r="Z834" s="20">
        <v>0</v>
      </c>
      <c r="AA834" s="20">
        <v>0</v>
      </c>
      <c r="AB834" s="20">
        <v>0</v>
      </c>
      <c r="AC834" s="20">
        <v>238000</v>
      </c>
      <c r="AD834" s="20">
        <v>161840</v>
      </c>
      <c r="AE834" s="20">
        <v>0</v>
      </c>
      <c r="AF834" s="20">
        <v>0</v>
      </c>
      <c r="AG834" s="20">
        <v>238000</v>
      </c>
      <c r="AH834" s="20">
        <v>161840</v>
      </c>
      <c r="AI834" s="20">
        <v>69236</v>
      </c>
      <c r="AJ834" s="20">
        <v>6924</v>
      </c>
      <c r="AK834" s="20">
        <v>76160</v>
      </c>
    </row>
    <row r="835" spans="1:37" ht="24" customHeight="1" x14ac:dyDescent="0.3">
      <c r="A835" s="18" t="s">
        <v>2388</v>
      </c>
      <c r="B835" s="18" t="s">
        <v>240</v>
      </c>
      <c r="C835" s="19" t="s">
        <v>241</v>
      </c>
      <c r="D835" s="18" t="s">
        <v>2389</v>
      </c>
      <c r="E835" s="19" t="s">
        <v>2390</v>
      </c>
      <c r="F835" s="18" t="s">
        <v>244</v>
      </c>
      <c r="G835" s="18" t="s">
        <v>245</v>
      </c>
      <c r="H835" s="19" t="s">
        <v>175</v>
      </c>
      <c r="I835" s="18" t="s">
        <v>246</v>
      </c>
      <c r="J835" s="19" t="s">
        <v>247</v>
      </c>
      <c r="K835" s="19" t="s">
        <v>314</v>
      </c>
      <c r="L835" s="18" t="s">
        <v>164</v>
      </c>
      <c r="M835" s="18" t="s">
        <v>1556</v>
      </c>
      <c r="N835" s="18" t="s">
        <v>250</v>
      </c>
      <c r="O835" s="20">
        <v>119000</v>
      </c>
      <c r="P835" s="20">
        <v>80920</v>
      </c>
      <c r="Q835" s="20">
        <v>1</v>
      </c>
      <c r="R835" s="20">
        <v>0</v>
      </c>
      <c r="S835" s="20">
        <v>0</v>
      </c>
      <c r="T835" s="20">
        <v>0</v>
      </c>
      <c r="U835" s="20">
        <v>0</v>
      </c>
      <c r="V835" s="20">
        <v>0</v>
      </c>
      <c r="W835" s="20">
        <v>32</v>
      </c>
      <c r="X835" s="20">
        <v>0</v>
      </c>
      <c r="Y835" s="20">
        <v>0</v>
      </c>
      <c r="Z835" s="20">
        <v>0</v>
      </c>
      <c r="AA835" s="20">
        <v>0</v>
      </c>
      <c r="AB835" s="20">
        <v>0</v>
      </c>
      <c r="AC835" s="20">
        <v>119000</v>
      </c>
      <c r="AD835" s="20">
        <v>80920</v>
      </c>
      <c r="AE835" s="20">
        <v>0</v>
      </c>
      <c r="AF835" s="20">
        <v>0</v>
      </c>
      <c r="AG835" s="20">
        <v>119000</v>
      </c>
      <c r="AH835" s="20">
        <v>80920</v>
      </c>
      <c r="AI835" s="20">
        <v>34618</v>
      </c>
      <c r="AJ835" s="20">
        <v>3462</v>
      </c>
      <c r="AK835" s="20">
        <v>38080</v>
      </c>
    </row>
    <row r="836" spans="1:37" ht="24" customHeight="1" x14ac:dyDescent="0.3">
      <c r="A836" s="18" t="s">
        <v>2391</v>
      </c>
      <c r="B836" s="18" t="s">
        <v>240</v>
      </c>
      <c r="C836" s="19" t="s">
        <v>241</v>
      </c>
      <c r="D836" s="18" t="s">
        <v>2392</v>
      </c>
      <c r="E836" s="19" t="s">
        <v>2393</v>
      </c>
      <c r="F836" s="18" t="s">
        <v>244</v>
      </c>
      <c r="G836" s="18" t="s">
        <v>245</v>
      </c>
      <c r="H836" s="19" t="s">
        <v>175</v>
      </c>
      <c r="I836" s="18" t="s">
        <v>246</v>
      </c>
      <c r="J836" s="19" t="s">
        <v>247</v>
      </c>
      <c r="K836" s="19" t="s">
        <v>248</v>
      </c>
      <c r="L836" s="18" t="s">
        <v>164</v>
      </c>
      <c r="M836" s="18" t="s">
        <v>1556</v>
      </c>
      <c r="N836" s="18" t="s">
        <v>250</v>
      </c>
      <c r="O836" s="20">
        <v>119000</v>
      </c>
      <c r="P836" s="20">
        <v>80920</v>
      </c>
      <c r="Q836" s="20">
        <v>1</v>
      </c>
      <c r="R836" s="20">
        <v>0</v>
      </c>
      <c r="S836" s="20">
        <v>0</v>
      </c>
      <c r="T836" s="20">
        <v>0</v>
      </c>
      <c r="U836" s="20">
        <v>0</v>
      </c>
      <c r="V836" s="20">
        <v>0</v>
      </c>
      <c r="W836" s="20">
        <v>32</v>
      </c>
      <c r="X836" s="20">
        <v>0</v>
      </c>
      <c r="Y836" s="20">
        <v>0</v>
      </c>
      <c r="Z836" s="20">
        <v>0</v>
      </c>
      <c r="AA836" s="20">
        <v>0</v>
      </c>
      <c r="AB836" s="20">
        <v>0</v>
      </c>
      <c r="AC836" s="20">
        <v>119000</v>
      </c>
      <c r="AD836" s="20">
        <v>80920</v>
      </c>
      <c r="AE836" s="20">
        <v>0</v>
      </c>
      <c r="AF836" s="20">
        <v>0</v>
      </c>
      <c r="AG836" s="20">
        <v>119000</v>
      </c>
      <c r="AH836" s="20">
        <v>80920</v>
      </c>
      <c r="AI836" s="20">
        <v>34618</v>
      </c>
      <c r="AJ836" s="20">
        <v>3462</v>
      </c>
      <c r="AK836" s="20">
        <v>38080</v>
      </c>
    </row>
    <row r="837" spans="1:37" ht="24" customHeight="1" x14ac:dyDescent="0.3">
      <c r="A837" s="18" t="s">
        <v>2394</v>
      </c>
      <c r="B837" s="18" t="s">
        <v>240</v>
      </c>
      <c r="C837" s="19" t="s">
        <v>241</v>
      </c>
      <c r="D837" s="18" t="s">
        <v>2395</v>
      </c>
      <c r="E837" s="19" t="s">
        <v>464</v>
      </c>
      <c r="F837" s="18" t="s">
        <v>244</v>
      </c>
      <c r="G837" s="18" t="s">
        <v>245</v>
      </c>
      <c r="H837" s="19" t="s">
        <v>175</v>
      </c>
      <c r="I837" s="18" t="s">
        <v>246</v>
      </c>
      <c r="J837" s="19" t="s">
        <v>247</v>
      </c>
      <c r="K837" s="19" t="s">
        <v>248</v>
      </c>
      <c r="L837" s="18" t="s">
        <v>164</v>
      </c>
      <c r="M837" s="18" t="s">
        <v>1556</v>
      </c>
      <c r="N837" s="18" t="s">
        <v>250</v>
      </c>
      <c r="O837" s="20">
        <v>119000</v>
      </c>
      <c r="P837" s="20">
        <v>80920</v>
      </c>
      <c r="Q837" s="20">
        <v>1</v>
      </c>
      <c r="R837" s="20">
        <v>0</v>
      </c>
      <c r="S837" s="20">
        <v>0</v>
      </c>
      <c r="T837" s="20">
        <v>0</v>
      </c>
      <c r="U837" s="20">
        <v>0</v>
      </c>
      <c r="V837" s="20">
        <v>0</v>
      </c>
      <c r="W837" s="20">
        <v>32</v>
      </c>
      <c r="X837" s="20">
        <v>0</v>
      </c>
      <c r="Y837" s="20">
        <v>0</v>
      </c>
      <c r="Z837" s="20">
        <v>0</v>
      </c>
      <c r="AA837" s="20">
        <v>0</v>
      </c>
      <c r="AB837" s="20">
        <v>0</v>
      </c>
      <c r="AC837" s="20">
        <v>119000</v>
      </c>
      <c r="AD837" s="20">
        <v>80920</v>
      </c>
      <c r="AE837" s="20">
        <v>0</v>
      </c>
      <c r="AF837" s="20">
        <v>0</v>
      </c>
      <c r="AG837" s="20">
        <v>119000</v>
      </c>
      <c r="AH837" s="20">
        <v>80920</v>
      </c>
      <c r="AI837" s="20">
        <v>34618</v>
      </c>
      <c r="AJ837" s="20">
        <v>3462</v>
      </c>
      <c r="AK837" s="20">
        <v>38080</v>
      </c>
    </row>
    <row r="838" spans="1:37" ht="24" customHeight="1" x14ac:dyDescent="0.3">
      <c r="A838" s="18" t="s">
        <v>2396</v>
      </c>
      <c r="B838" s="18" t="s">
        <v>240</v>
      </c>
      <c r="C838" s="19" t="s">
        <v>241</v>
      </c>
      <c r="D838" s="18" t="s">
        <v>2397</v>
      </c>
      <c r="E838" s="19" t="s">
        <v>2398</v>
      </c>
      <c r="F838" s="18" t="s">
        <v>244</v>
      </c>
      <c r="G838" s="18" t="s">
        <v>245</v>
      </c>
      <c r="H838" s="19" t="s">
        <v>175</v>
      </c>
      <c r="I838" s="18" t="s">
        <v>246</v>
      </c>
      <c r="J838" s="19" t="s">
        <v>247</v>
      </c>
      <c r="K838" s="19" t="s">
        <v>248</v>
      </c>
      <c r="L838" s="18" t="s">
        <v>164</v>
      </c>
      <c r="M838" s="18" t="s">
        <v>1556</v>
      </c>
      <c r="N838" s="18" t="s">
        <v>250</v>
      </c>
      <c r="O838" s="20">
        <v>119000</v>
      </c>
      <c r="P838" s="20">
        <v>80920</v>
      </c>
      <c r="Q838" s="20">
        <v>2</v>
      </c>
      <c r="R838" s="20">
        <v>0</v>
      </c>
      <c r="S838" s="20">
        <v>0</v>
      </c>
      <c r="T838" s="20">
        <v>0</v>
      </c>
      <c r="U838" s="20">
        <v>0</v>
      </c>
      <c r="V838" s="20">
        <v>0</v>
      </c>
      <c r="W838" s="20">
        <v>32</v>
      </c>
      <c r="X838" s="20">
        <v>0</v>
      </c>
      <c r="Y838" s="20">
        <v>0</v>
      </c>
      <c r="Z838" s="20">
        <v>0</v>
      </c>
      <c r="AA838" s="20">
        <v>0</v>
      </c>
      <c r="AB838" s="20">
        <v>0</v>
      </c>
      <c r="AC838" s="20">
        <v>238000</v>
      </c>
      <c r="AD838" s="20">
        <v>161840</v>
      </c>
      <c r="AE838" s="20">
        <v>0</v>
      </c>
      <c r="AF838" s="20">
        <v>0</v>
      </c>
      <c r="AG838" s="20">
        <v>238000</v>
      </c>
      <c r="AH838" s="20">
        <v>161840</v>
      </c>
      <c r="AI838" s="20">
        <v>69236</v>
      </c>
      <c r="AJ838" s="20">
        <v>6924</v>
      </c>
      <c r="AK838" s="20">
        <v>76160</v>
      </c>
    </row>
    <row r="839" spans="1:37" ht="24" customHeight="1" x14ac:dyDescent="0.3">
      <c r="A839" s="18" t="s">
        <v>2399</v>
      </c>
      <c r="B839" s="18" t="s">
        <v>240</v>
      </c>
      <c r="C839" s="19" t="s">
        <v>241</v>
      </c>
      <c r="D839" s="18" t="s">
        <v>2400</v>
      </c>
      <c r="E839" s="19" t="s">
        <v>1733</v>
      </c>
      <c r="F839" s="18" t="s">
        <v>244</v>
      </c>
      <c r="G839" s="18" t="s">
        <v>245</v>
      </c>
      <c r="H839" s="19" t="s">
        <v>175</v>
      </c>
      <c r="I839" s="18" t="s">
        <v>246</v>
      </c>
      <c r="J839" s="19" t="s">
        <v>247</v>
      </c>
      <c r="K839" s="19" t="s">
        <v>248</v>
      </c>
      <c r="L839" s="18" t="s">
        <v>164</v>
      </c>
      <c r="M839" s="18" t="s">
        <v>1556</v>
      </c>
      <c r="N839" s="18" t="s">
        <v>250</v>
      </c>
      <c r="O839" s="20">
        <v>119000</v>
      </c>
      <c r="P839" s="20">
        <v>80920</v>
      </c>
      <c r="Q839" s="20">
        <v>1</v>
      </c>
      <c r="R839" s="20">
        <v>0</v>
      </c>
      <c r="S839" s="20">
        <v>0</v>
      </c>
      <c r="T839" s="20">
        <v>0</v>
      </c>
      <c r="U839" s="20">
        <v>0</v>
      </c>
      <c r="V839" s="20">
        <v>0</v>
      </c>
      <c r="W839" s="20">
        <v>32</v>
      </c>
      <c r="X839" s="20">
        <v>0</v>
      </c>
      <c r="Y839" s="20">
        <v>0</v>
      </c>
      <c r="Z839" s="20">
        <v>0</v>
      </c>
      <c r="AA839" s="20">
        <v>0</v>
      </c>
      <c r="AB839" s="20">
        <v>5950</v>
      </c>
      <c r="AC839" s="20">
        <v>119000</v>
      </c>
      <c r="AD839" s="20">
        <v>80920</v>
      </c>
      <c r="AE839" s="20">
        <v>0</v>
      </c>
      <c r="AF839" s="20">
        <v>5950</v>
      </c>
      <c r="AG839" s="20">
        <v>113050</v>
      </c>
      <c r="AH839" s="20">
        <v>80920</v>
      </c>
      <c r="AI839" s="20">
        <v>29209</v>
      </c>
      <c r="AJ839" s="20">
        <v>2921</v>
      </c>
      <c r="AK839" s="20">
        <v>32130</v>
      </c>
    </row>
    <row r="840" spans="1:37" ht="24" customHeight="1" x14ac:dyDescent="0.3">
      <c r="A840" s="18" t="s">
        <v>2401</v>
      </c>
      <c r="B840" s="18" t="s">
        <v>240</v>
      </c>
      <c r="C840" s="19" t="s">
        <v>241</v>
      </c>
      <c r="D840" s="18" t="s">
        <v>2402</v>
      </c>
      <c r="E840" s="19" t="s">
        <v>907</v>
      </c>
      <c r="F840" s="18" t="s">
        <v>244</v>
      </c>
      <c r="G840" s="18" t="s">
        <v>245</v>
      </c>
      <c r="H840" s="19" t="s">
        <v>175</v>
      </c>
      <c r="I840" s="18" t="s">
        <v>246</v>
      </c>
      <c r="J840" s="19" t="s">
        <v>247</v>
      </c>
      <c r="K840" s="19" t="s">
        <v>314</v>
      </c>
      <c r="L840" s="18" t="s">
        <v>164</v>
      </c>
      <c r="M840" s="18" t="s">
        <v>1556</v>
      </c>
      <c r="N840" s="18" t="s">
        <v>250</v>
      </c>
      <c r="O840" s="20">
        <v>119000</v>
      </c>
      <c r="P840" s="20">
        <v>80920</v>
      </c>
      <c r="Q840" s="20">
        <v>1</v>
      </c>
      <c r="R840" s="20">
        <v>0</v>
      </c>
      <c r="S840" s="20">
        <v>0</v>
      </c>
      <c r="T840" s="20">
        <v>0</v>
      </c>
      <c r="U840" s="20">
        <v>0</v>
      </c>
      <c r="V840" s="20">
        <v>0</v>
      </c>
      <c r="W840" s="20">
        <v>32</v>
      </c>
      <c r="X840" s="20">
        <v>0</v>
      </c>
      <c r="Y840" s="20">
        <v>0</v>
      </c>
      <c r="Z840" s="20">
        <v>0</v>
      </c>
      <c r="AA840" s="20">
        <v>0</v>
      </c>
      <c r="AB840" s="20">
        <v>0</v>
      </c>
      <c r="AC840" s="20">
        <v>119000</v>
      </c>
      <c r="AD840" s="20">
        <v>80920</v>
      </c>
      <c r="AE840" s="20">
        <v>0</v>
      </c>
      <c r="AF840" s="20">
        <v>0</v>
      </c>
      <c r="AG840" s="20">
        <v>119000</v>
      </c>
      <c r="AH840" s="20">
        <v>80920</v>
      </c>
      <c r="AI840" s="20">
        <v>34618</v>
      </c>
      <c r="AJ840" s="20">
        <v>3462</v>
      </c>
      <c r="AK840" s="20">
        <v>38080</v>
      </c>
    </row>
    <row r="841" spans="1:37" ht="24" customHeight="1" x14ac:dyDescent="0.3">
      <c r="A841" s="18" t="s">
        <v>2403</v>
      </c>
      <c r="B841" s="18" t="s">
        <v>240</v>
      </c>
      <c r="C841" s="19" t="s">
        <v>241</v>
      </c>
      <c r="D841" s="18" t="s">
        <v>2404</v>
      </c>
      <c r="E841" s="19" t="s">
        <v>2405</v>
      </c>
      <c r="F841" s="18" t="s">
        <v>244</v>
      </c>
      <c r="G841" s="18" t="s">
        <v>245</v>
      </c>
      <c r="H841" s="19" t="s">
        <v>175</v>
      </c>
      <c r="I841" s="18" t="s">
        <v>246</v>
      </c>
      <c r="J841" s="19" t="s">
        <v>247</v>
      </c>
      <c r="K841" s="19" t="s">
        <v>248</v>
      </c>
      <c r="L841" s="18" t="s">
        <v>164</v>
      </c>
      <c r="M841" s="18" t="s">
        <v>1556</v>
      </c>
      <c r="N841" s="18" t="s">
        <v>250</v>
      </c>
      <c r="O841" s="20">
        <v>119000</v>
      </c>
      <c r="P841" s="20">
        <v>80920</v>
      </c>
      <c r="Q841" s="20">
        <v>1</v>
      </c>
      <c r="R841" s="20">
        <v>0</v>
      </c>
      <c r="S841" s="20">
        <v>0</v>
      </c>
      <c r="T841" s="20">
        <v>0</v>
      </c>
      <c r="U841" s="20">
        <v>0</v>
      </c>
      <c r="V841" s="20">
        <v>0</v>
      </c>
      <c r="W841" s="20">
        <v>32</v>
      </c>
      <c r="X841" s="20">
        <v>0</v>
      </c>
      <c r="Y841" s="20">
        <v>0</v>
      </c>
      <c r="Z841" s="20">
        <v>0</v>
      </c>
      <c r="AA841" s="20">
        <v>0</v>
      </c>
      <c r="AB841" s="20">
        <v>0</v>
      </c>
      <c r="AC841" s="20">
        <v>119000</v>
      </c>
      <c r="AD841" s="20">
        <v>80920</v>
      </c>
      <c r="AE841" s="20">
        <v>0</v>
      </c>
      <c r="AF841" s="20">
        <v>0</v>
      </c>
      <c r="AG841" s="20">
        <v>119000</v>
      </c>
      <c r="AH841" s="20">
        <v>80920</v>
      </c>
      <c r="AI841" s="20">
        <v>34618</v>
      </c>
      <c r="AJ841" s="20">
        <v>3462</v>
      </c>
      <c r="AK841" s="20">
        <v>38080</v>
      </c>
    </row>
    <row r="842" spans="1:37" ht="24" customHeight="1" x14ac:dyDescent="0.3">
      <c r="A842" s="18" t="s">
        <v>2406</v>
      </c>
      <c r="B842" s="18" t="s">
        <v>240</v>
      </c>
      <c r="C842" s="19" t="s">
        <v>241</v>
      </c>
      <c r="D842" s="18" t="s">
        <v>2407</v>
      </c>
      <c r="E842" s="19" t="s">
        <v>1653</v>
      </c>
      <c r="F842" s="18" t="s">
        <v>244</v>
      </c>
      <c r="G842" s="18" t="s">
        <v>245</v>
      </c>
      <c r="H842" s="19" t="s">
        <v>175</v>
      </c>
      <c r="I842" s="18" t="s">
        <v>246</v>
      </c>
      <c r="J842" s="19" t="s">
        <v>247</v>
      </c>
      <c r="K842" s="19" t="s">
        <v>248</v>
      </c>
      <c r="L842" s="18" t="s">
        <v>164</v>
      </c>
      <c r="M842" s="18" t="s">
        <v>1556</v>
      </c>
      <c r="N842" s="18" t="s">
        <v>250</v>
      </c>
      <c r="O842" s="20">
        <v>119000</v>
      </c>
      <c r="P842" s="20">
        <v>80920</v>
      </c>
      <c r="Q842" s="20">
        <v>1</v>
      </c>
      <c r="R842" s="20">
        <v>0</v>
      </c>
      <c r="S842" s="20">
        <v>0</v>
      </c>
      <c r="T842" s="20">
        <v>0</v>
      </c>
      <c r="U842" s="20">
        <v>0</v>
      </c>
      <c r="V842" s="20">
        <v>0</v>
      </c>
      <c r="W842" s="20">
        <v>32</v>
      </c>
      <c r="X842" s="20">
        <v>0</v>
      </c>
      <c r="Y842" s="20">
        <v>0</v>
      </c>
      <c r="Z842" s="20">
        <v>0</v>
      </c>
      <c r="AA842" s="20">
        <v>0</v>
      </c>
      <c r="AB842" s="20">
        <v>0</v>
      </c>
      <c r="AC842" s="20">
        <v>119000</v>
      </c>
      <c r="AD842" s="20">
        <v>80920</v>
      </c>
      <c r="AE842" s="20">
        <v>0</v>
      </c>
      <c r="AF842" s="20">
        <v>0</v>
      </c>
      <c r="AG842" s="20">
        <v>119000</v>
      </c>
      <c r="AH842" s="20">
        <v>80920</v>
      </c>
      <c r="AI842" s="20">
        <v>34618</v>
      </c>
      <c r="AJ842" s="20">
        <v>3462</v>
      </c>
      <c r="AK842" s="20">
        <v>38080</v>
      </c>
    </row>
    <row r="843" spans="1:37" ht="24" customHeight="1" x14ac:dyDescent="0.3">
      <c r="A843" s="18" t="s">
        <v>2408</v>
      </c>
      <c r="B843" s="18" t="s">
        <v>240</v>
      </c>
      <c r="C843" s="19" t="s">
        <v>241</v>
      </c>
      <c r="D843" s="18" t="s">
        <v>2409</v>
      </c>
      <c r="E843" s="19" t="s">
        <v>2410</v>
      </c>
      <c r="F843" s="18" t="s">
        <v>244</v>
      </c>
      <c r="G843" s="18" t="s">
        <v>245</v>
      </c>
      <c r="H843" s="19" t="s">
        <v>175</v>
      </c>
      <c r="I843" s="18" t="s">
        <v>246</v>
      </c>
      <c r="J843" s="19" t="s">
        <v>247</v>
      </c>
      <c r="K843" s="19" t="s">
        <v>248</v>
      </c>
      <c r="L843" s="18" t="s">
        <v>164</v>
      </c>
      <c r="M843" s="18" t="s">
        <v>1556</v>
      </c>
      <c r="N843" s="18" t="s">
        <v>250</v>
      </c>
      <c r="O843" s="20">
        <v>119000</v>
      </c>
      <c r="P843" s="20">
        <v>80920</v>
      </c>
      <c r="Q843" s="20">
        <v>1</v>
      </c>
      <c r="R843" s="20">
        <v>0</v>
      </c>
      <c r="S843" s="20">
        <v>0</v>
      </c>
      <c r="T843" s="20">
        <v>0</v>
      </c>
      <c r="U843" s="20">
        <v>0</v>
      </c>
      <c r="V843" s="20">
        <v>0</v>
      </c>
      <c r="W843" s="20">
        <v>32</v>
      </c>
      <c r="X843" s="20">
        <v>0</v>
      </c>
      <c r="Y843" s="20">
        <v>0</v>
      </c>
      <c r="Z843" s="20">
        <v>0</v>
      </c>
      <c r="AA843" s="20">
        <v>0</v>
      </c>
      <c r="AB843" s="20">
        <v>0</v>
      </c>
      <c r="AC843" s="20">
        <v>119000</v>
      </c>
      <c r="AD843" s="20">
        <v>80920</v>
      </c>
      <c r="AE843" s="20">
        <v>0</v>
      </c>
      <c r="AF843" s="20">
        <v>0</v>
      </c>
      <c r="AG843" s="20">
        <v>119000</v>
      </c>
      <c r="AH843" s="20">
        <v>80920</v>
      </c>
      <c r="AI843" s="20">
        <v>34618</v>
      </c>
      <c r="AJ843" s="20">
        <v>3462</v>
      </c>
      <c r="AK843" s="20">
        <v>38080</v>
      </c>
    </row>
    <row r="844" spans="1:37" ht="24" customHeight="1" x14ac:dyDescent="0.3">
      <c r="A844" s="18" t="s">
        <v>2411</v>
      </c>
      <c r="B844" s="18" t="s">
        <v>240</v>
      </c>
      <c r="C844" s="19" t="s">
        <v>241</v>
      </c>
      <c r="D844" s="18" t="s">
        <v>2412</v>
      </c>
      <c r="E844" s="19" t="s">
        <v>1675</v>
      </c>
      <c r="F844" s="18" t="s">
        <v>244</v>
      </c>
      <c r="G844" s="18" t="s">
        <v>245</v>
      </c>
      <c r="H844" s="19" t="s">
        <v>175</v>
      </c>
      <c r="I844" s="18" t="s">
        <v>246</v>
      </c>
      <c r="J844" s="19" t="s">
        <v>247</v>
      </c>
      <c r="K844" s="19" t="s">
        <v>248</v>
      </c>
      <c r="L844" s="18" t="s">
        <v>164</v>
      </c>
      <c r="M844" s="18" t="s">
        <v>1556</v>
      </c>
      <c r="N844" s="18" t="s">
        <v>250</v>
      </c>
      <c r="O844" s="20">
        <v>119000</v>
      </c>
      <c r="P844" s="20">
        <v>80920</v>
      </c>
      <c r="Q844" s="20">
        <v>1</v>
      </c>
      <c r="R844" s="20">
        <v>0</v>
      </c>
      <c r="S844" s="20">
        <v>0</v>
      </c>
      <c r="T844" s="20">
        <v>0</v>
      </c>
      <c r="U844" s="20">
        <v>0</v>
      </c>
      <c r="V844" s="20">
        <v>0</v>
      </c>
      <c r="W844" s="20">
        <v>32</v>
      </c>
      <c r="X844" s="20">
        <v>0</v>
      </c>
      <c r="Y844" s="20">
        <v>0</v>
      </c>
      <c r="Z844" s="20">
        <v>0</v>
      </c>
      <c r="AA844" s="20">
        <v>0</v>
      </c>
      <c r="AB844" s="20">
        <v>0</v>
      </c>
      <c r="AC844" s="20">
        <v>119000</v>
      </c>
      <c r="AD844" s="20">
        <v>80920</v>
      </c>
      <c r="AE844" s="20">
        <v>0</v>
      </c>
      <c r="AF844" s="20">
        <v>0</v>
      </c>
      <c r="AG844" s="20">
        <v>119000</v>
      </c>
      <c r="AH844" s="20">
        <v>80920</v>
      </c>
      <c r="AI844" s="20">
        <v>34618</v>
      </c>
      <c r="AJ844" s="20">
        <v>3462</v>
      </c>
      <c r="AK844" s="20">
        <v>38080</v>
      </c>
    </row>
    <row r="845" spans="1:37" ht="24" customHeight="1" x14ac:dyDescent="0.3">
      <c r="A845" s="18" t="s">
        <v>2413</v>
      </c>
      <c r="B845" s="18" t="s">
        <v>240</v>
      </c>
      <c r="C845" s="19" t="s">
        <v>241</v>
      </c>
      <c r="D845" s="18" t="s">
        <v>2414</v>
      </c>
      <c r="E845" s="19" t="s">
        <v>2415</v>
      </c>
      <c r="F845" s="18" t="s">
        <v>244</v>
      </c>
      <c r="G845" s="18" t="s">
        <v>245</v>
      </c>
      <c r="H845" s="19" t="s">
        <v>175</v>
      </c>
      <c r="I845" s="18" t="s">
        <v>246</v>
      </c>
      <c r="J845" s="19" t="s">
        <v>247</v>
      </c>
      <c r="K845" s="19" t="s">
        <v>248</v>
      </c>
      <c r="L845" s="18" t="s">
        <v>164</v>
      </c>
      <c r="M845" s="18" t="s">
        <v>1556</v>
      </c>
      <c r="N845" s="18" t="s">
        <v>250</v>
      </c>
      <c r="O845" s="20">
        <v>119000</v>
      </c>
      <c r="P845" s="20">
        <v>80920</v>
      </c>
      <c r="Q845" s="20">
        <v>1</v>
      </c>
      <c r="R845" s="20">
        <v>0</v>
      </c>
      <c r="S845" s="20">
        <v>0</v>
      </c>
      <c r="T845" s="20">
        <v>0</v>
      </c>
      <c r="U845" s="20">
        <v>0</v>
      </c>
      <c r="V845" s="20">
        <v>0</v>
      </c>
      <c r="W845" s="20">
        <v>32</v>
      </c>
      <c r="X845" s="20">
        <v>0</v>
      </c>
      <c r="Y845" s="20">
        <v>0</v>
      </c>
      <c r="Z845" s="20">
        <v>0</v>
      </c>
      <c r="AA845" s="20">
        <v>0</v>
      </c>
      <c r="AB845" s="20">
        <v>0</v>
      </c>
      <c r="AC845" s="20">
        <v>119000</v>
      </c>
      <c r="AD845" s="20">
        <v>80920</v>
      </c>
      <c r="AE845" s="20">
        <v>0</v>
      </c>
      <c r="AF845" s="20">
        <v>0</v>
      </c>
      <c r="AG845" s="20">
        <v>119000</v>
      </c>
      <c r="AH845" s="20">
        <v>80920</v>
      </c>
      <c r="AI845" s="20">
        <v>34618</v>
      </c>
      <c r="AJ845" s="20">
        <v>3462</v>
      </c>
      <c r="AK845" s="20">
        <v>38080</v>
      </c>
    </row>
    <row r="846" spans="1:37" ht="24" customHeight="1" x14ac:dyDescent="0.3">
      <c r="A846" s="18" t="s">
        <v>2416</v>
      </c>
      <c r="B846" s="18" t="s">
        <v>240</v>
      </c>
      <c r="C846" s="19" t="s">
        <v>241</v>
      </c>
      <c r="D846" s="18" t="s">
        <v>2417</v>
      </c>
      <c r="E846" s="19" t="s">
        <v>1860</v>
      </c>
      <c r="F846" s="18" t="s">
        <v>244</v>
      </c>
      <c r="G846" s="18" t="s">
        <v>245</v>
      </c>
      <c r="H846" s="19" t="s">
        <v>175</v>
      </c>
      <c r="I846" s="18" t="s">
        <v>246</v>
      </c>
      <c r="J846" s="19" t="s">
        <v>247</v>
      </c>
      <c r="K846" s="19" t="s">
        <v>248</v>
      </c>
      <c r="L846" s="18" t="s">
        <v>164</v>
      </c>
      <c r="M846" s="18" t="s">
        <v>1556</v>
      </c>
      <c r="N846" s="18" t="s">
        <v>250</v>
      </c>
      <c r="O846" s="20">
        <v>119000</v>
      </c>
      <c r="P846" s="20">
        <v>80920</v>
      </c>
      <c r="Q846" s="20">
        <v>1</v>
      </c>
      <c r="R846" s="20">
        <v>0</v>
      </c>
      <c r="S846" s="20">
        <v>0</v>
      </c>
      <c r="T846" s="20">
        <v>0</v>
      </c>
      <c r="U846" s="20">
        <v>0</v>
      </c>
      <c r="V846" s="20">
        <v>0</v>
      </c>
      <c r="W846" s="20">
        <v>32</v>
      </c>
      <c r="X846" s="20">
        <v>23800</v>
      </c>
      <c r="Y846" s="20">
        <v>0</v>
      </c>
      <c r="Z846" s="20">
        <v>0</v>
      </c>
      <c r="AA846" s="20">
        <v>0</v>
      </c>
      <c r="AB846" s="20">
        <v>0</v>
      </c>
      <c r="AC846" s="20">
        <v>119000</v>
      </c>
      <c r="AD846" s="20">
        <v>80920</v>
      </c>
      <c r="AE846" s="20">
        <v>0</v>
      </c>
      <c r="AF846" s="20">
        <v>23800</v>
      </c>
      <c r="AG846" s="20">
        <v>95200</v>
      </c>
      <c r="AH846" s="20">
        <v>80920</v>
      </c>
      <c r="AI846" s="20">
        <v>12982</v>
      </c>
      <c r="AJ846" s="20">
        <v>1298</v>
      </c>
      <c r="AK846" s="20">
        <v>14280</v>
      </c>
    </row>
    <row r="847" spans="1:37" ht="24" customHeight="1" x14ac:dyDescent="0.3">
      <c r="A847" s="18" t="s">
        <v>2418</v>
      </c>
      <c r="B847" s="18" t="s">
        <v>240</v>
      </c>
      <c r="C847" s="19" t="s">
        <v>241</v>
      </c>
      <c r="D847" s="18" t="s">
        <v>2419</v>
      </c>
      <c r="E847" s="19" t="s">
        <v>657</v>
      </c>
      <c r="F847" s="18" t="s">
        <v>244</v>
      </c>
      <c r="G847" s="18" t="s">
        <v>245</v>
      </c>
      <c r="H847" s="19" t="s">
        <v>175</v>
      </c>
      <c r="I847" s="18" t="s">
        <v>246</v>
      </c>
      <c r="J847" s="19" t="s">
        <v>247</v>
      </c>
      <c r="K847" s="19" t="s">
        <v>248</v>
      </c>
      <c r="L847" s="18" t="s">
        <v>164</v>
      </c>
      <c r="M847" s="18" t="s">
        <v>1556</v>
      </c>
      <c r="N847" s="18" t="s">
        <v>250</v>
      </c>
      <c r="O847" s="20">
        <v>119000</v>
      </c>
      <c r="P847" s="20">
        <v>80920</v>
      </c>
      <c r="Q847" s="20">
        <v>1</v>
      </c>
      <c r="R847" s="20">
        <v>0</v>
      </c>
      <c r="S847" s="20">
        <v>0</v>
      </c>
      <c r="T847" s="20">
        <v>0</v>
      </c>
      <c r="U847" s="20">
        <v>0</v>
      </c>
      <c r="V847" s="20">
        <v>0</v>
      </c>
      <c r="W847" s="20">
        <v>32</v>
      </c>
      <c r="X847" s="20">
        <v>0</v>
      </c>
      <c r="Y847" s="20">
        <v>0</v>
      </c>
      <c r="Z847" s="20">
        <v>0</v>
      </c>
      <c r="AA847" s="20">
        <v>0</v>
      </c>
      <c r="AB847" s="20">
        <v>0</v>
      </c>
      <c r="AC847" s="20">
        <v>119000</v>
      </c>
      <c r="AD847" s="20">
        <v>80920</v>
      </c>
      <c r="AE847" s="20">
        <v>0</v>
      </c>
      <c r="AF847" s="20">
        <v>0</v>
      </c>
      <c r="AG847" s="20">
        <v>119000</v>
      </c>
      <c r="AH847" s="20">
        <v>80920</v>
      </c>
      <c r="AI847" s="20">
        <v>34618</v>
      </c>
      <c r="AJ847" s="20">
        <v>3462</v>
      </c>
      <c r="AK847" s="20">
        <v>38080</v>
      </c>
    </row>
    <row r="848" spans="1:37" ht="24" customHeight="1" x14ac:dyDescent="0.3">
      <c r="A848" s="18" t="s">
        <v>2420</v>
      </c>
      <c r="B848" s="18" t="s">
        <v>240</v>
      </c>
      <c r="C848" s="19" t="s">
        <v>241</v>
      </c>
      <c r="D848" s="18" t="s">
        <v>2421</v>
      </c>
      <c r="E848" s="19" t="s">
        <v>716</v>
      </c>
      <c r="F848" s="18" t="s">
        <v>244</v>
      </c>
      <c r="G848" s="18" t="s">
        <v>245</v>
      </c>
      <c r="H848" s="19" t="s">
        <v>175</v>
      </c>
      <c r="I848" s="18" t="s">
        <v>246</v>
      </c>
      <c r="J848" s="19" t="s">
        <v>247</v>
      </c>
      <c r="K848" s="19" t="s">
        <v>314</v>
      </c>
      <c r="L848" s="18" t="s">
        <v>164</v>
      </c>
      <c r="M848" s="18" t="s">
        <v>1556</v>
      </c>
      <c r="N848" s="18" t="s">
        <v>250</v>
      </c>
      <c r="O848" s="20">
        <v>119000</v>
      </c>
      <c r="P848" s="20">
        <v>80920</v>
      </c>
      <c r="Q848" s="20">
        <v>2</v>
      </c>
      <c r="R848" s="20">
        <v>0</v>
      </c>
      <c r="S848" s="20">
        <v>0</v>
      </c>
      <c r="T848" s="20">
        <v>0</v>
      </c>
      <c r="U848" s="20">
        <v>0</v>
      </c>
      <c r="V848" s="20">
        <v>0</v>
      </c>
      <c r="W848" s="20">
        <v>32</v>
      </c>
      <c r="X848" s="20">
        <v>0</v>
      </c>
      <c r="Y848" s="20">
        <v>0</v>
      </c>
      <c r="Z848" s="20">
        <v>0</v>
      </c>
      <c r="AA848" s="20">
        <v>0</v>
      </c>
      <c r="AB848" s="20">
        <v>0</v>
      </c>
      <c r="AC848" s="20">
        <v>238000</v>
      </c>
      <c r="AD848" s="20">
        <v>161840</v>
      </c>
      <c r="AE848" s="20">
        <v>0</v>
      </c>
      <c r="AF848" s="20">
        <v>0</v>
      </c>
      <c r="AG848" s="20">
        <v>238000</v>
      </c>
      <c r="AH848" s="20">
        <v>161840</v>
      </c>
      <c r="AI848" s="20">
        <v>69236</v>
      </c>
      <c r="AJ848" s="20">
        <v>6924</v>
      </c>
      <c r="AK848" s="20">
        <v>76160</v>
      </c>
    </row>
    <row r="849" spans="1:37" ht="24" customHeight="1" x14ac:dyDescent="0.3">
      <c r="A849" s="18" t="s">
        <v>2422</v>
      </c>
      <c r="B849" s="18" t="s">
        <v>240</v>
      </c>
      <c r="C849" s="19" t="s">
        <v>241</v>
      </c>
      <c r="D849" s="18" t="s">
        <v>2423</v>
      </c>
      <c r="E849" s="19" t="s">
        <v>2424</v>
      </c>
      <c r="F849" s="18" t="s">
        <v>244</v>
      </c>
      <c r="G849" s="18" t="s">
        <v>245</v>
      </c>
      <c r="H849" s="19" t="s">
        <v>175</v>
      </c>
      <c r="I849" s="18" t="s">
        <v>246</v>
      </c>
      <c r="J849" s="19" t="s">
        <v>247</v>
      </c>
      <c r="K849" s="19" t="s">
        <v>248</v>
      </c>
      <c r="L849" s="18" t="s">
        <v>164</v>
      </c>
      <c r="M849" s="18" t="s">
        <v>1556</v>
      </c>
      <c r="N849" s="18" t="s">
        <v>250</v>
      </c>
      <c r="O849" s="20">
        <v>119000</v>
      </c>
      <c r="P849" s="20">
        <v>80920</v>
      </c>
      <c r="Q849" s="20">
        <v>2</v>
      </c>
      <c r="R849" s="20">
        <v>0</v>
      </c>
      <c r="S849" s="20">
        <v>0</v>
      </c>
      <c r="T849" s="20">
        <v>0</v>
      </c>
      <c r="U849" s="20">
        <v>0</v>
      </c>
      <c r="V849" s="20">
        <v>0</v>
      </c>
      <c r="W849" s="20">
        <v>32</v>
      </c>
      <c r="X849" s="20">
        <v>0</v>
      </c>
      <c r="Y849" s="20">
        <v>0</v>
      </c>
      <c r="Z849" s="20">
        <v>0</v>
      </c>
      <c r="AA849" s="20">
        <v>0</v>
      </c>
      <c r="AB849" s="20">
        <v>0</v>
      </c>
      <c r="AC849" s="20">
        <v>238000</v>
      </c>
      <c r="AD849" s="20">
        <v>161840</v>
      </c>
      <c r="AE849" s="20">
        <v>0</v>
      </c>
      <c r="AF849" s="20">
        <v>0</v>
      </c>
      <c r="AG849" s="20">
        <v>238000</v>
      </c>
      <c r="AH849" s="20">
        <v>161840</v>
      </c>
      <c r="AI849" s="20">
        <v>69236</v>
      </c>
      <c r="AJ849" s="20">
        <v>6924</v>
      </c>
      <c r="AK849" s="20">
        <v>76160</v>
      </c>
    </row>
    <row r="850" spans="1:37" ht="24" customHeight="1" x14ac:dyDescent="0.3">
      <c r="A850" s="18" t="s">
        <v>2425</v>
      </c>
      <c r="B850" s="18" t="s">
        <v>240</v>
      </c>
      <c r="C850" s="19" t="s">
        <v>241</v>
      </c>
      <c r="D850" s="18" t="s">
        <v>2426</v>
      </c>
      <c r="E850" s="19" t="s">
        <v>907</v>
      </c>
      <c r="F850" s="18" t="s">
        <v>244</v>
      </c>
      <c r="G850" s="18" t="s">
        <v>245</v>
      </c>
      <c r="H850" s="19" t="s">
        <v>175</v>
      </c>
      <c r="I850" s="18" t="s">
        <v>246</v>
      </c>
      <c r="J850" s="19" t="s">
        <v>247</v>
      </c>
      <c r="K850" s="19"/>
      <c r="L850" s="18" t="s">
        <v>164</v>
      </c>
      <c r="M850" s="18" t="s">
        <v>1556</v>
      </c>
      <c r="N850" s="18" t="s">
        <v>250</v>
      </c>
      <c r="O850" s="20">
        <v>119000</v>
      </c>
      <c r="P850" s="20">
        <v>80920</v>
      </c>
      <c r="Q850" s="20">
        <v>1</v>
      </c>
      <c r="R850" s="20">
        <v>0</v>
      </c>
      <c r="S850" s="20">
        <v>0</v>
      </c>
      <c r="T850" s="20">
        <v>0</v>
      </c>
      <c r="U850" s="20">
        <v>0</v>
      </c>
      <c r="V850" s="20">
        <v>0</v>
      </c>
      <c r="W850" s="20">
        <v>32</v>
      </c>
      <c r="X850" s="20">
        <v>0</v>
      </c>
      <c r="Y850" s="20">
        <v>5950</v>
      </c>
      <c r="Z850" s="20">
        <v>0</v>
      </c>
      <c r="AA850" s="20">
        <v>0</v>
      </c>
      <c r="AB850" s="20">
        <v>0</v>
      </c>
      <c r="AC850" s="20">
        <v>119000</v>
      </c>
      <c r="AD850" s="20">
        <v>80920</v>
      </c>
      <c r="AE850" s="20">
        <v>0</v>
      </c>
      <c r="AF850" s="20">
        <v>5950</v>
      </c>
      <c r="AG850" s="20">
        <v>113050</v>
      </c>
      <c r="AH850" s="20">
        <v>80920</v>
      </c>
      <c r="AI850" s="20">
        <v>29209</v>
      </c>
      <c r="AJ850" s="20">
        <v>2921</v>
      </c>
      <c r="AK850" s="20">
        <v>32130</v>
      </c>
    </row>
    <row r="851" spans="1:37" ht="24" customHeight="1" x14ac:dyDescent="0.3">
      <c r="A851" s="18" t="s">
        <v>2427</v>
      </c>
      <c r="B851" s="18" t="s">
        <v>240</v>
      </c>
      <c r="C851" s="19" t="s">
        <v>241</v>
      </c>
      <c r="D851" s="18" t="s">
        <v>2428</v>
      </c>
      <c r="E851" s="19" t="s">
        <v>2429</v>
      </c>
      <c r="F851" s="18" t="s">
        <v>244</v>
      </c>
      <c r="G851" s="18" t="s">
        <v>245</v>
      </c>
      <c r="H851" s="19" t="s">
        <v>175</v>
      </c>
      <c r="I851" s="18" t="s">
        <v>246</v>
      </c>
      <c r="J851" s="19" t="s">
        <v>247</v>
      </c>
      <c r="K851" s="19" t="s">
        <v>314</v>
      </c>
      <c r="L851" s="18" t="s">
        <v>164</v>
      </c>
      <c r="M851" s="18" t="s">
        <v>1556</v>
      </c>
      <c r="N851" s="18" t="s">
        <v>250</v>
      </c>
      <c r="O851" s="20">
        <v>119000</v>
      </c>
      <c r="P851" s="20">
        <v>82110</v>
      </c>
      <c r="Q851" s="20">
        <v>1</v>
      </c>
      <c r="R851" s="20">
        <v>0</v>
      </c>
      <c r="S851" s="20">
        <v>0</v>
      </c>
      <c r="T851" s="20">
        <v>0</v>
      </c>
      <c r="U851" s="20">
        <v>0</v>
      </c>
      <c r="V851" s="20">
        <v>0</v>
      </c>
      <c r="W851" s="20">
        <v>31</v>
      </c>
      <c r="X851" s="20">
        <v>0</v>
      </c>
      <c r="Y851" s="20">
        <v>0</v>
      </c>
      <c r="Z851" s="20">
        <v>0</v>
      </c>
      <c r="AA851" s="20">
        <v>0</v>
      </c>
      <c r="AB851" s="20">
        <v>0</v>
      </c>
      <c r="AC851" s="20">
        <v>119000</v>
      </c>
      <c r="AD851" s="20">
        <v>82110</v>
      </c>
      <c r="AE851" s="20">
        <v>0</v>
      </c>
      <c r="AF851" s="20">
        <v>0</v>
      </c>
      <c r="AG851" s="20">
        <v>119000</v>
      </c>
      <c r="AH851" s="20">
        <v>82110</v>
      </c>
      <c r="AI851" s="20">
        <v>33536</v>
      </c>
      <c r="AJ851" s="20">
        <v>3354</v>
      </c>
      <c r="AK851" s="20">
        <v>36890</v>
      </c>
    </row>
    <row r="852" spans="1:37" ht="24" customHeight="1" x14ac:dyDescent="0.3">
      <c r="A852" s="18" t="s">
        <v>2430</v>
      </c>
      <c r="B852" s="18" t="s">
        <v>240</v>
      </c>
      <c r="C852" s="19" t="s">
        <v>241</v>
      </c>
      <c r="D852" s="18" t="s">
        <v>2431</v>
      </c>
      <c r="E852" s="19" t="s">
        <v>2432</v>
      </c>
      <c r="F852" s="18" t="s">
        <v>244</v>
      </c>
      <c r="G852" s="18" t="s">
        <v>245</v>
      </c>
      <c r="H852" s="19" t="s">
        <v>175</v>
      </c>
      <c r="I852" s="18" t="s">
        <v>246</v>
      </c>
      <c r="J852" s="19" t="s">
        <v>247</v>
      </c>
      <c r="K852" s="19"/>
      <c r="L852" s="18" t="s">
        <v>164</v>
      </c>
      <c r="M852" s="18" t="s">
        <v>1556</v>
      </c>
      <c r="N852" s="18" t="s">
        <v>250</v>
      </c>
      <c r="O852" s="20">
        <v>119000</v>
      </c>
      <c r="P852" s="20">
        <v>80920</v>
      </c>
      <c r="Q852" s="20">
        <v>1</v>
      </c>
      <c r="R852" s="20">
        <v>0</v>
      </c>
      <c r="S852" s="20">
        <v>0</v>
      </c>
      <c r="T852" s="20">
        <v>0</v>
      </c>
      <c r="U852" s="20">
        <v>0</v>
      </c>
      <c r="V852" s="20">
        <v>0</v>
      </c>
      <c r="W852" s="20">
        <v>32</v>
      </c>
      <c r="X852" s="20">
        <v>0</v>
      </c>
      <c r="Y852" s="20">
        <v>5950</v>
      </c>
      <c r="Z852" s="20">
        <v>0</v>
      </c>
      <c r="AA852" s="20">
        <v>0</v>
      </c>
      <c r="AB852" s="20">
        <v>0</v>
      </c>
      <c r="AC852" s="20">
        <v>119000</v>
      </c>
      <c r="AD852" s="20">
        <v>80920</v>
      </c>
      <c r="AE852" s="20">
        <v>0</v>
      </c>
      <c r="AF852" s="20">
        <v>5950</v>
      </c>
      <c r="AG852" s="20">
        <v>113050</v>
      </c>
      <c r="AH852" s="20">
        <v>80920</v>
      </c>
      <c r="AI852" s="20">
        <v>29209</v>
      </c>
      <c r="AJ852" s="20">
        <v>2921</v>
      </c>
      <c r="AK852" s="20">
        <v>32130</v>
      </c>
    </row>
    <row r="853" spans="1:37" ht="24" customHeight="1" x14ac:dyDescent="0.3">
      <c r="A853" s="18" t="s">
        <v>2433</v>
      </c>
      <c r="B853" s="18" t="s">
        <v>240</v>
      </c>
      <c r="C853" s="19" t="s">
        <v>241</v>
      </c>
      <c r="D853" s="18" t="s">
        <v>2434</v>
      </c>
      <c r="E853" s="19" t="s">
        <v>1199</v>
      </c>
      <c r="F853" s="18" t="s">
        <v>244</v>
      </c>
      <c r="G853" s="18" t="s">
        <v>245</v>
      </c>
      <c r="H853" s="19" t="s">
        <v>175</v>
      </c>
      <c r="I853" s="18" t="s">
        <v>246</v>
      </c>
      <c r="J853" s="19" t="s">
        <v>247</v>
      </c>
      <c r="K853" s="19" t="s">
        <v>248</v>
      </c>
      <c r="L853" s="18" t="s">
        <v>164</v>
      </c>
      <c r="M853" s="18" t="s">
        <v>1556</v>
      </c>
      <c r="N853" s="18" t="s">
        <v>250</v>
      </c>
      <c r="O853" s="20">
        <v>119000</v>
      </c>
      <c r="P853" s="20">
        <v>80920</v>
      </c>
      <c r="Q853" s="20">
        <v>1</v>
      </c>
      <c r="R853" s="20">
        <v>0</v>
      </c>
      <c r="S853" s="20">
        <v>0</v>
      </c>
      <c r="T853" s="20">
        <v>0</v>
      </c>
      <c r="U853" s="20">
        <v>0</v>
      </c>
      <c r="V853" s="20">
        <v>0</v>
      </c>
      <c r="W853" s="20">
        <v>32</v>
      </c>
      <c r="X853" s="20">
        <v>0</v>
      </c>
      <c r="Y853" s="20">
        <v>0</v>
      </c>
      <c r="Z853" s="20">
        <v>0</v>
      </c>
      <c r="AA853" s="20">
        <v>0</v>
      </c>
      <c r="AB853" s="20">
        <v>0</v>
      </c>
      <c r="AC853" s="20">
        <v>119000</v>
      </c>
      <c r="AD853" s="20">
        <v>80920</v>
      </c>
      <c r="AE853" s="20">
        <v>0</v>
      </c>
      <c r="AF853" s="20">
        <v>0</v>
      </c>
      <c r="AG853" s="20">
        <v>119000</v>
      </c>
      <c r="AH853" s="20">
        <v>80920</v>
      </c>
      <c r="AI853" s="20">
        <v>34618</v>
      </c>
      <c r="AJ853" s="20">
        <v>3462</v>
      </c>
      <c r="AK853" s="20">
        <v>38080</v>
      </c>
    </row>
    <row r="854" spans="1:37" ht="24" customHeight="1" x14ac:dyDescent="0.3">
      <c r="A854" s="18" t="s">
        <v>2435</v>
      </c>
      <c r="B854" s="18" t="s">
        <v>240</v>
      </c>
      <c r="C854" s="19" t="s">
        <v>241</v>
      </c>
      <c r="D854" s="18" t="s">
        <v>2436</v>
      </c>
      <c r="E854" s="19" t="s">
        <v>762</v>
      </c>
      <c r="F854" s="18" t="s">
        <v>244</v>
      </c>
      <c r="G854" s="18" t="s">
        <v>245</v>
      </c>
      <c r="H854" s="19" t="s">
        <v>175</v>
      </c>
      <c r="I854" s="18" t="s">
        <v>246</v>
      </c>
      <c r="J854" s="19" t="s">
        <v>247</v>
      </c>
      <c r="K854" s="19" t="s">
        <v>248</v>
      </c>
      <c r="L854" s="18" t="s">
        <v>164</v>
      </c>
      <c r="M854" s="18" t="s">
        <v>1556</v>
      </c>
      <c r="N854" s="18" t="s">
        <v>250</v>
      </c>
      <c r="O854" s="20">
        <v>119000</v>
      </c>
      <c r="P854" s="20">
        <v>80920</v>
      </c>
      <c r="Q854" s="20">
        <v>1</v>
      </c>
      <c r="R854" s="20">
        <v>0</v>
      </c>
      <c r="S854" s="20">
        <v>0</v>
      </c>
      <c r="T854" s="20">
        <v>0</v>
      </c>
      <c r="U854" s="20">
        <v>0</v>
      </c>
      <c r="V854" s="20">
        <v>0</v>
      </c>
      <c r="W854" s="20">
        <v>32</v>
      </c>
      <c r="X854" s="20">
        <v>0</v>
      </c>
      <c r="Y854" s="20">
        <v>10000</v>
      </c>
      <c r="Z854" s="20">
        <v>0</v>
      </c>
      <c r="AA854" s="20">
        <v>0</v>
      </c>
      <c r="AB854" s="20">
        <v>0</v>
      </c>
      <c r="AC854" s="20">
        <v>119000</v>
      </c>
      <c r="AD854" s="20">
        <v>80920</v>
      </c>
      <c r="AE854" s="20">
        <v>0</v>
      </c>
      <c r="AF854" s="20">
        <v>10000</v>
      </c>
      <c r="AG854" s="20">
        <v>109000</v>
      </c>
      <c r="AH854" s="20">
        <v>80920</v>
      </c>
      <c r="AI854" s="20">
        <v>25527</v>
      </c>
      <c r="AJ854" s="20">
        <v>2553</v>
      </c>
      <c r="AK854" s="20">
        <v>28080</v>
      </c>
    </row>
    <row r="855" spans="1:37" ht="24" customHeight="1" x14ac:dyDescent="0.3">
      <c r="A855" s="18" t="s">
        <v>2437</v>
      </c>
      <c r="B855" s="18" t="s">
        <v>240</v>
      </c>
      <c r="C855" s="19" t="s">
        <v>241</v>
      </c>
      <c r="D855" s="18" t="s">
        <v>2438</v>
      </c>
      <c r="E855" s="19" t="s">
        <v>374</v>
      </c>
      <c r="F855" s="18" t="s">
        <v>244</v>
      </c>
      <c r="G855" s="18" t="s">
        <v>245</v>
      </c>
      <c r="H855" s="19" t="s">
        <v>175</v>
      </c>
      <c r="I855" s="18" t="s">
        <v>246</v>
      </c>
      <c r="J855" s="19" t="s">
        <v>247</v>
      </c>
      <c r="K855" s="19" t="s">
        <v>248</v>
      </c>
      <c r="L855" s="18" t="s">
        <v>164</v>
      </c>
      <c r="M855" s="18" t="s">
        <v>1556</v>
      </c>
      <c r="N855" s="18" t="s">
        <v>250</v>
      </c>
      <c r="O855" s="20">
        <v>119000</v>
      </c>
      <c r="P855" s="20">
        <v>80920</v>
      </c>
      <c r="Q855" s="20">
        <v>1</v>
      </c>
      <c r="R855" s="20">
        <v>0</v>
      </c>
      <c r="S855" s="20">
        <v>0</v>
      </c>
      <c r="T855" s="20">
        <v>0</v>
      </c>
      <c r="U855" s="20">
        <v>0</v>
      </c>
      <c r="V855" s="20">
        <v>0</v>
      </c>
      <c r="W855" s="20">
        <v>32</v>
      </c>
      <c r="X855" s="20">
        <v>0</v>
      </c>
      <c r="Y855" s="20">
        <v>0</v>
      </c>
      <c r="Z855" s="20">
        <v>0</v>
      </c>
      <c r="AA855" s="20">
        <v>0</v>
      </c>
      <c r="AB855" s="20">
        <v>0</v>
      </c>
      <c r="AC855" s="20">
        <v>119000</v>
      </c>
      <c r="AD855" s="20">
        <v>80920</v>
      </c>
      <c r="AE855" s="20">
        <v>0</v>
      </c>
      <c r="AF855" s="20">
        <v>0</v>
      </c>
      <c r="AG855" s="20">
        <v>119000</v>
      </c>
      <c r="AH855" s="20">
        <v>80920</v>
      </c>
      <c r="AI855" s="20">
        <v>34618</v>
      </c>
      <c r="AJ855" s="20">
        <v>3462</v>
      </c>
      <c r="AK855" s="20">
        <v>38080</v>
      </c>
    </row>
    <row r="856" spans="1:37" ht="24" customHeight="1" x14ac:dyDescent="0.3">
      <c r="A856" s="18" t="s">
        <v>2439</v>
      </c>
      <c r="B856" s="18" t="s">
        <v>240</v>
      </c>
      <c r="C856" s="19" t="s">
        <v>241</v>
      </c>
      <c r="D856" s="18" t="s">
        <v>2440</v>
      </c>
      <c r="E856" s="19" t="s">
        <v>296</v>
      </c>
      <c r="F856" s="18" t="s">
        <v>244</v>
      </c>
      <c r="G856" s="18" t="s">
        <v>245</v>
      </c>
      <c r="H856" s="19" t="s">
        <v>175</v>
      </c>
      <c r="I856" s="18" t="s">
        <v>246</v>
      </c>
      <c r="J856" s="19" t="s">
        <v>247</v>
      </c>
      <c r="K856" s="19" t="s">
        <v>248</v>
      </c>
      <c r="L856" s="18" t="s">
        <v>164</v>
      </c>
      <c r="M856" s="18" t="s">
        <v>1556</v>
      </c>
      <c r="N856" s="18" t="s">
        <v>250</v>
      </c>
      <c r="O856" s="20">
        <v>119000</v>
      </c>
      <c r="P856" s="20">
        <v>80920</v>
      </c>
      <c r="Q856" s="20">
        <v>1</v>
      </c>
      <c r="R856" s="20">
        <v>0</v>
      </c>
      <c r="S856" s="20">
        <v>0</v>
      </c>
      <c r="T856" s="20">
        <v>0</v>
      </c>
      <c r="U856" s="20">
        <v>0</v>
      </c>
      <c r="V856" s="20">
        <v>0</v>
      </c>
      <c r="W856" s="20">
        <v>32</v>
      </c>
      <c r="X856" s="20">
        <v>0</v>
      </c>
      <c r="Y856" s="20">
        <v>0</v>
      </c>
      <c r="Z856" s="20">
        <v>0</v>
      </c>
      <c r="AA856" s="20">
        <v>0</v>
      </c>
      <c r="AB856" s="20">
        <v>0</v>
      </c>
      <c r="AC856" s="20">
        <v>119000</v>
      </c>
      <c r="AD856" s="20">
        <v>80920</v>
      </c>
      <c r="AE856" s="20">
        <v>0</v>
      </c>
      <c r="AF856" s="20">
        <v>0</v>
      </c>
      <c r="AG856" s="20">
        <v>119000</v>
      </c>
      <c r="AH856" s="20">
        <v>80920</v>
      </c>
      <c r="AI856" s="20">
        <v>34618</v>
      </c>
      <c r="AJ856" s="20">
        <v>3462</v>
      </c>
      <c r="AK856" s="20">
        <v>38080</v>
      </c>
    </row>
    <row r="857" spans="1:37" ht="24" customHeight="1" x14ac:dyDescent="0.3">
      <c r="A857" s="18" t="s">
        <v>2441</v>
      </c>
      <c r="B857" s="18" t="s">
        <v>240</v>
      </c>
      <c r="C857" s="19" t="s">
        <v>241</v>
      </c>
      <c r="D857" s="18" t="s">
        <v>2442</v>
      </c>
      <c r="E857" s="19" t="s">
        <v>253</v>
      </c>
      <c r="F857" s="18" t="s">
        <v>244</v>
      </c>
      <c r="G857" s="18" t="s">
        <v>245</v>
      </c>
      <c r="H857" s="19" t="s">
        <v>175</v>
      </c>
      <c r="I857" s="18" t="s">
        <v>246</v>
      </c>
      <c r="J857" s="19" t="s">
        <v>247</v>
      </c>
      <c r="K857" s="19"/>
      <c r="L857" s="18" t="s">
        <v>164</v>
      </c>
      <c r="M857" s="18" t="s">
        <v>1556</v>
      </c>
      <c r="N857" s="18" t="s">
        <v>250</v>
      </c>
      <c r="O857" s="20">
        <v>119000</v>
      </c>
      <c r="P857" s="20">
        <v>80920</v>
      </c>
      <c r="Q857" s="20">
        <v>1</v>
      </c>
      <c r="R857" s="20">
        <v>0</v>
      </c>
      <c r="S857" s="20">
        <v>0</v>
      </c>
      <c r="T857" s="20">
        <v>0</v>
      </c>
      <c r="U857" s="20">
        <v>0</v>
      </c>
      <c r="V857" s="20">
        <v>0</v>
      </c>
      <c r="W857" s="20">
        <v>32</v>
      </c>
      <c r="X857" s="20">
        <v>0</v>
      </c>
      <c r="Y857" s="20">
        <v>5950</v>
      </c>
      <c r="Z857" s="20">
        <v>0</v>
      </c>
      <c r="AA857" s="20">
        <v>0</v>
      </c>
      <c r="AB857" s="20">
        <v>0</v>
      </c>
      <c r="AC857" s="20">
        <v>119000</v>
      </c>
      <c r="AD857" s="20">
        <v>80920</v>
      </c>
      <c r="AE857" s="20">
        <v>0</v>
      </c>
      <c r="AF857" s="20">
        <v>5950</v>
      </c>
      <c r="AG857" s="20">
        <v>113050</v>
      </c>
      <c r="AH857" s="20">
        <v>80920</v>
      </c>
      <c r="AI857" s="20">
        <v>29209</v>
      </c>
      <c r="AJ857" s="20">
        <v>2921</v>
      </c>
      <c r="AK857" s="20">
        <v>32130</v>
      </c>
    </row>
    <row r="858" spans="1:37" ht="24" customHeight="1" x14ac:dyDescent="0.3">
      <c r="A858" s="18" t="s">
        <v>2443</v>
      </c>
      <c r="B858" s="18" t="s">
        <v>240</v>
      </c>
      <c r="C858" s="19" t="s">
        <v>241</v>
      </c>
      <c r="D858" s="18" t="s">
        <v>2442</v>
      </c>
      <c r="E858" s="19" t="s">
        <v>253</v>
      </c>
      <c r="F858" s="18" t="s">
        <v>244</v>
      </c>
      <c r="G858" s="18" t="s">
        <v>245</v>
      </c>
      <c r="H858" s="19" t="s">
        <v>175</v>
      </c>
      <c r="I858" s="18" t="s">
        <v>246</v>
      </c>
      <c r="J858" s="19" t="s">
        <v>247</v>
      </c>
      <c r="K858" s="19"/>
      <c r="L858" s="18" t="s">
        <v>164</v>
      </c>
      <c r="M858" s="18" t="s">
        <v>1556</v>
      </c>
      <c r="N858" s="18" t="s">
        <v>250</v>
      </c>
      <c r="O858" s="20">
        <v>119000</v>
      </c>
      <c r="P858" s="20">
        <v>80920</v>
      </c>
      <c r="Q858" s="20">
        <v>1</v>
      </c>
      <c r="R858" s="20">
        <v>0</v>
      </c>
      <c r="S858" s="20">
        <v>0</v>
      </c>
      <c r="T858" s="20">
        <v>0</v>
      </c>
      <c r="U858" s="20">
        <v>0</v>
      </c>
      <c r="V858" s="20">
        <v>0</v>
      </c>
      <c r="W858" s="20">
        <v>32</v>
      </c>
      <c r="X858" s="20">
        <v>0</v>
      </c>
      <c r="Y858" s="20">
        <v>5950</v>
      </c>
      <c r="Z858" s="20">
        <v>0</v>
      </c>
      <c r="AA858" s="20">
        <v>0</v>
      </c>
      <c r="AB858" s="20">
        <v>0</v>
      </c>
      <c r="AC858" s="20">
        <v>119000</v>
      </c>
      <c r="AD858" s="20">
        <v>80920</v>
      </c>
      <c r="AE858" s="20">
        <v>0</v>
      </c>
      <c r="AF858" s="20">
        <v>5950</v>
      </c>
      <c r="AG858" s="20">
        <v>113050</v>
      </c>
      <c r="AH858" s="20">
        <v>80920</v>
      </c>
      <c r="AI858" s="20">
        <v>29209</v>
      </c>
      <c r="AJ858" s="20">
        <v>2921</v>
      </c>
      <c r="AK858" s="20">
        <v>32130</v>
      </c>
    </row>
    <row r="859" spans="1:37" ht="24" customHeight="1" x14ac:dyDescent="0.3">
      <c r="A859" s="18" t="s">
        <v>2444</v>
      </c>
      <c r="B859" s="18" t="s">
        <v>240</v>
      </c>
      <c r="C859" s="19" t="s">
        <v>241</v>
      </c>
      <c r="D859" s="18" t="s">
        <v>2445</v>
      </c>
      <c r="E859" s="19" t="s">
        <v>2446</v>
      </c>
      <c r="F859" s="18" t="s">
        <v>244</v>
      </c>
      <c r="G859" s="18" t="s">
        <v>245</v>
      </c>
      <c r="H859" s="19" t="s">
        <v>175</v>
      </c>
      <c r="I859" s="18" t="s">
        <v>246</v>
      </c>
      <c r="J859" s="19" t="s">
        <v>247</v>
      </c>
      <c r="K859" s="19" t="s">
        <v>248</v>
      </c>
      <c r="L859" s="18" t="s">
        <v>164</v>
      </c>
      <c r="M859" s="18" t="s">
        <v>1556</v>
      </c>
      <c r="N859" s="18" t="s">
        <v>250</v>
      </c>
      <c r="O859" s="20">
        <v>119000</v>
      </c>
      <c r="P859" s="20">
        <v>80920</v>
      </c>
      <c r="Q859" s="20">
        <v>1</v>
      </c>
      <c r="R859" s="20">
        <v>0</v>
      </c>
      <c r="S859" s="20">
        <v>0</v>
      </c>
      <c r="T859" s="20">
        <v>0</v>
      </c>
      <c r="U859" s="20">
        <v>0</v>
      </c>
      <c r="V859" s="20">
        <v>0</v>
      </c>
      <c r="W859" s="20">
        <v>32</v>
      </c>
      <c r="X859" s="20">
        <v>0</v>
      </c>
      <c r="Y859" s="20">
        <v>0</v>
      </c>
      <c r="Z859" s="20">
        <v>0</v>
      </c>
      <c r="AA859" s="20">
        <v>0</v>
      </c>
      <c r="AB859" s="20">
        <v>0</v>
      </c>
      <c r="AC859" s="20">
        <v>119000</v>
      </c>
      <c r="AD859" s="20">
        <v>80920</v>
      </c>
      <c r="AE859" s="20">
        <v>0</v>
      </c>
      <c r="AF859" s="20">
        <v>0</v>
      </c>
      <c r="AG859" s="20">
        <v>119000</v>
      </c>
      <c r="AH859" s="20">
        <v>80920</v>
      </c>
      <c r="AI859" s="20">
        <v>34618</v>
      </c>
      <c r="AJ859" s="20">
        <v>3462</v>
      </c>
      <c r="AK859" s="20">
        <v>38080</v>
      </c>
    </row>
    <row r="860" spans="1:37" ht="24" customHeight="1" x14ac:dyDescent="0.3">
      <c r="A860" s="18" t="s">
        <v>2447</v>
      </c>
      <c r="B860" s="18" t="s">
        <v>240</v>
      </c>
      <c r="C860" s="19" t="s">
        <v>241</v>
      </c>
      <c r="D860" s="18" t="s">
        <v>2448</v>
      </c>
      <c r="E860" s="19" t="s">
        <v>2449</v>
      </c>
      <c r="F860" s="18" t="s">
        <v>244</v>
      </c>
      <c r="G860" s="18" t="s">
        <v>245</v>
      </c>
      <c r="H860" s="19" t="s">
        <v>175</v>
      </c>
      <c r="I860" s="18" t="s">
        <v>246</v>
      </c>
      <c r="J860" s="19" t="s">
        <v>247</v>
      </c>
      <c r="K860" s="19" t="s">
        <v>248</v>
      </c>
      <c r="L860" s="18" t="s">
        <v>164</v>
      </c>
      <c r="M860" s="18" t="s">
        <v>1556</v>
      </c>
      <c r="N860" s="18" t="s">
        <v>250</v>
      </c>
      <c r="O860" s="20">
        <v>119000</v>
      </c>
      <c r="P860" s="20">
        <v>80920</v>
      </c>
      <c r="Q860" s="20">
        <v>1</v>
      </c>
      <c r="R860" s="20">
        <v>0</v>
      </c>
      <c r="S860" s="20">
        <v>0</v>
      </c>
      <c r="T860" s="20">
        <v>0</v>
      </c>
      <c r="U860" s="20">
        <v>0</v>
      </c>
      <c r="V860" s="20">
        <v>0</v>
      </c>
      <c r="W860" s="20">
        <v>32</v>
      </c>
      <c r="X860" s="20">
        <v>0</v>
      </c>
      <c r="Y860" s="20">
        <v>0</v>
      </c>
      <c r="Z860" s="20">
        <v>0</v>
      </c>
      <c r="AA860" s="20">
        <v>0</v>
      </c>
      <c r="AB860" s="20">
        <v>0</v>
      </c>
      <c r="AC860" s="20">
        <v>119000</v>
      </c>
      <c r="AD860" s="20">
        <v>80920</v>
      </c>
      <c r="AE860" s="20">
        <v>0</v>
      </c>
      <c r="AF860" s="20">
        <v>0</v>
      </c>
      <c r="AG860" s="20">
        <v>119000</v>
      </c>
      <c r="AH860" s="20">
        <v>80920</v>
      </c>
      <c r="AI860" s="20">
        <v>34618</v>
      </c>
      <c r="AJ860" s="20">
        <v>3462</v>
      </c>
      <c r="AK860" s="20">
        <v>38080</v>
      </c>
    </row>
    <row r="861" spans="1:37" ht="24" customHeight="1" x14ac:dyDescent="0.3">
      <c r="A861" s="18" t="s">
        <v>2450</v>
      </c>
      <c r="B861" s="18" t="s">
        <v>240</v>
      </c>
      <c r="C861" s="19" t="s">
        <v>241</v>
      </c>
      <c r="D861" s="18" t="s">
        <v>1982</v>
      </c>
      <c r="E861" s="19" t="s">
        <v>1983</v>
      </c>
      <c r="F861" s="18" t="s">
        <v>244</v>
      </c>
      <c r="G861" s="18" t="s">
        <v>245</v>
      </c>
      <c r="H861" s="19" t="s">
        <v>175</v>
      </c>
      <c r="I861" s="18" t="s">
        <v>246</v>
      </c>
      <c r="J861" s="19" t="s">
        <v>247</v>
      </c>
      <c r="K861" s="19" t="s">
        <v>248</v>
      </c>
      <c r="L861" s="18" t="s">
        <v>164</v>
      </c>
      <c r="M861" s="18" t="s">
        <v>1556</v>
      </c>
      <c r="N861" s="18" t="s">
        <v>250</v>
      </c>
      <c r="O861" s="20">
        <v>119000</v>
      </c>
      <c r="P861" s="20">
        <v>80920</v>
      </c>
      <c r="Q861" s="20">
        <v>1</v>
      </c>
      <c r="R861" s="20">
        <v>0</v>
      </c>
      <c r="S861" s="20">
        <v>0</v>
      </c>
      <c r="T861" s="20">
        <v>0</v>
      </c>
      <c r="U861" s="20">
        <v>0</v>
      </c>
      <c r="V861" s="20">
        <v>0</v>
      </c>
      <c r="W861" s="20">
        <v>32</v>
      </c>
      <c r="X861" s="20">
        <v>0</v>
      </c>
      <c r="Y861" s="20">
        <v>0</v>
      </c>
      <c r="Z861" s="20">
        <v>0</v>
      </c>
      <c r="AA861" s="20">
        <v>0</v>
      </c>
      <c r="AB861" s="20">
        <v>0</v>
      </c>
      <c r="AC861" s="20">
        <v>119000</v>
      </c>
      <c r="AD861" s="20">
        <v>80920</v>
      </c>
      <c r="AE861" s="20">
        <v>0</v>
      </c>
      <c r="AF861" s="20">
        <v>0</v>
      </c>
      <c r="AG861" s="20">
        <v>119000</v>
      </c>
      <c r="AH861" s="20">
        <v>80920</v>
      </c>
      <c r="AI861" s="20">
        <v>34618</v>
      </c>
      <c r="AJ861" s="20">
        <v>3462</v>
      </c>
      <c r="AK861" s="20">
        <v>38080</v>
      </c>
    </row>
    <row r="862" spans="1:37" ht="24" customHeight="1" x14ac:dyDescent="0.3">
      <c r="A862" s="18" t="s">
        <v>2451</v>
      </c>
      <c r="B862" s="18" t="s">
        <v>240</v>
      </c>
      <c r="C862" s="19" t="s">
        <v>241</v>
      </c>
      <c r="D862" s="18" t="s">
        <v>2452</v>
      </c>
      <c r="E862" s="19" t="s">
        <v>716</v>
      </c>
      <c r="F862" s="18" t="s">
        <v>244</v>
      </c>
      <c r="G862" s="18" t="s">
        <v>245</v>
      </c>
      <c r="H862" s="19" t="s">
        <v>175</v>
      </c>
      <c r="I862" s="18" t="s">
        <v>246</v>
      </c>
      <c r="J862" s="19" t="s">
        <v>247</v>
      </c>
      <c r="K862" s="19"/>
      <c r="L862" s="18" t="s">
        <v>164</v>
      </c>
      <c r="M862" s="18" t="s">
        <v>1556</v>
      </c>
      <c r="N862" s="18" t="s">
        <v>250</v>
      </c>
      <c r="O862" s="20">
        <v>119000</v>
      </c>
      <c r="P862" s="20">
        <v>80920</v>
      </c>
      <c r="Q862" s="20">
        <v>1</v>
      </c>
      <c r="R862" s="20">
        <v>0</v>
      </c>
      <c r="S862" s="20">
        <v>0</v>
      </c>
      <c r="T862" s="20">
        <v>0</v>
      </c>
      <c r="U862" s="20">
        <v>0</v>
      </c>
      <c r="V862" s="20">
        <v>0</v>
      </c>
      <c r="W862" s="20">
        <v>32</v>
      </c>
      <c r="X862" s="20">
        <v>0</v>
      </c>
      <c r="Y862" s="20">
        <v>5950</v>
      </c>
      <c r="Z862" s="20">
        <v>0</v>
      </c>
      <c r="AA862" s="20">
        <v>0</v>
      </c>
      <c r="AB862" s="20">
        <v>0</v>
      </c>
      <c r="AC862" s="20">
        <v>119000</v>
      </c>
      <c r="AD862" s="20">
        <v>80920</v>
      </c>
      <c r="AE862" s="20">
        <v>0</v>
      </c>
      <c r="AF862" s="20">
        <v>5950</v>
      </c>
      <c r="AG862" s="20">
        <v>113050</v>
      </c>
      <c r="AH862" s="20">
        <v>80920</v>
      </c>
      <c r="AI862" s="20">
        <v>29209</v>
      </c>
      <c r="AJ862" s="20">
        <v>2921</v>
      </c>
      <c r="AK862" s="20">
        <v>32130</v>
      </c>
    </row>
    <row r="863" spans="1:37" ht="24" customHeight="1" x14ac:dyDescent="0.3">
      <c r="A863" s="18" t="s">
        <v>2453</v>
      </c>
      <c r="B863" s="18" t="s">
        <v>240</v>
      </c>
      <c r="C863" s="19" t="s">
        <v>241</v>
      </c>
      <c r="D863" s="18" t="s">
        <v>2454</v>
      </c>
      <c r="E863" s="19" t="s">
        <v>1653</v>
      </c>
      <c r="F863" s="18" t="s">
        <v>244</v>
      </c>
      <c r="G863" s="18" t="s">
        <v>245</v>
      </c>
      <c r="H863" s="19" t="s">
        <v>175</v>
      </c>
      <c r="I863" s="18" t="s">
        <v>246</v>
      </c>
      <c r="J863" s="19" t="s">
        <v>247</v>
      </c>
      <c r="K863" s="19" t="s">
        <v>248</v>
      </c>
      <c r="L863" s="18" t="s">
        <v>164</v>
      </c>
      <c r="M863" s="18" t="s">
        <v>1556</v>
      </c>
      <c r="N863" s="18" t="s">
        <v>250</v>
      </c>
      <c r="O863" s="20">
        <v>119000</v>
      </c>
      <c r="P863" s="20">
        <v>80920</v>
      </c>
      <c r="Q863" s="20">
        <v>1</v>
      </c>
      <c r="R863" s="20">
        <v>0</v>
      </c>
      <c r="S863" s="20">
        <v>0</v>
      </c>
      <c r="T863" s="20">
        <v>0</v>
      </c>
      <c r="U863" s="20">
        <v>0</v>
      </c>
      <c r="V863" s="20">
        <v>0</v>
      </c>
      <c r="W863" s="20">
        <v>32</v>
      </c>
      <c r="X863" s="20">
        <v>0</v>
      </c>
      <c r="Y863" s="20">
        <v>0</v>
      </c>
      <c r="Z863" s="20">
        <v>0</v>
      </c>
      <c r="AA863" s="20">
        <v>0</v>
      </c>
      <c r="AB863" s="20">
        <v>0</v>
      </c>
      <c r="AC863" s="20">
        <v>119000</v>
      </c>
      <c r="AD863" s="20">
        <v>80920</v>
      </c>
      <c r="AE863" s="20">
        <v>0</v>
      </c>
      <c r="AF863" s="20">
        <v>0</v>
      </c>
      <c r="AG863" s="20">
        <v>119000</v>
      </c>
      <c r="AH863" s="20">
        <v>80920</v>
      </c>
      <c r="AI863" s="20">
        <v>34618</v>
      </c>
      <c r="AJ863" s="20">
        <v>3462</v>
      </c>
      <c r="AK863" s="20">
        <v>38080</v>
      </c>
    </row>
    <row r="864" spans="1:37" ht="24" customHeight="1" x14ac:dyDescent="0.3">
      <c r="A864" s="18" t="s">
        <v>2455</v>
      </c>
      <c r="B864" s="18" t="s">
        <v>240</v>
      </c>
      <c r="C864" s="19" t="s">
        <v>241</v>
      </c>
      <c r="D864" s="18" t="s">
        <v>2456</v>
      </c>
      <c r="E864" s="19" t="s">
        <v>2457</v>
      </c>
      <c r="F864" s="18" t="s">
        <v>244</v>
      </c>
      <c r="G864" s="18" t="s">
        <v>245</v>
      </c>
      <c r="H864" s="19" t="s">
        <v>175</v>
      </c>
      <c r="I864" s="18" t="s">
        <v>246</v>
      </c>
      <c r="J864" s="19" t="s">
        <v>247</v>
      </c>
      <c r="K864" s="19" t="s">
        <v>248</v>
      </c>
      <c r="L864" s="18" t="s">
        <v>164</v>
      </c>
      <c r="M864" s="18" t="s">
        <v>1556</v>
      </c>
      <c r="N864" s="18" t="s">
        <v>250</v>
      </c>
      <c r="O864" s="20">
        <v>119000</v>
      </c>
      <c r="P864" s="20">
        <v>80920</v>
      </c>
      <c r="Q864" s="20">
        <v>1</v>
      </c>
      <c r="R864" s="20">
        <v>0</v>
      </c>
      <c r="S864" s="20">
        <v>0</v>
      </c>
      <c r="T864" s="20">
        <v>0</v>
      </c>
      <c r="U864" s="20">
        <v>0</v>
      </c>
      <c r="V864" s="20">
        <v>0</v>
      </c>
      <c r="W864" s="20">
        <v>32</v>
      </c>
      <c r="X864" s="20">
        <v>0</v>
      </c>
      <c r="Y864" s="20">
        <v>0</v>
      </c>
      <c r="Z864" s="20">
        <v>0</v>
      </c>
      <c r="AA864" s="20">
        <v>0</v>
      </c>
      <c r="AB864" s="20">
        <v>0</v>
      </c>
      <c r="AC864" s="20">
        <v>119000</v>
      </c>
      <c r="AD864" s="20">
        <v>80920</v>
      </c>
      <c r="AE864" s="20">
        <v>0</v>
      </c>
      <c r="AF864" s="20">
        <v>0</v>
      </c>
      <c r="AG864" s="20">
        <v>119000</v>
      </c>
      <c r="AH864" s="20">
        <v>80920</v>
      </c>
      <c r="AI864" s="20">
        <v>34618</v>
      </c>
      <c r="AJ864" s="20">
        <v>3462</v>
      </c>
      <c r="AK864" s="20">
        <v>38080</v>
      </c>
    </row>
    <row r="865" spans="1:37" ht="24" customHeight="1" x14ac:dyDescent="0.3">
      <c r="A865" s="18" t="s">
        <v>2458</v>
      </c>
      <c r="B865" s="18" t="s">
        <v>240</v>
      </c>
      <c r="C865" s="19" t="s">
        <v>241</v>
      </c>
      <c r="D865" s="18" t="s">
        <v>2459</v>
      </c>
      <c r="E865" s="19" t="s">
        <v>762</v>
      </c>
      <c r="F865" s="18" t="s">
        <v>244</v>
      </c>
      <c r="G865" s="18" t="s">
        <v>245</v>
      </c>
      <c r="H865" s="19" t="s">
        <v>175</v>
      </c>
      <c r="I865" s="18" t="s">
        <v>246</v>
      </c>
      <c r="J865" s="19" t="s">
        <v>247</v>
      </c>
      <c r="K865" s="19" t="s">
        <v>248</v>
      </c>
      <c r="L865" s="18" t="s">
        <v>164</v>
      </c>
      <c r="M865" s="18" t="s">
        <v>1556</v>
      </c>
      <c r="N865" s="18" t="s">
        <v>250</v>
      </c>
      <c r="O865" s="20">
        <v>119000</v>
      </c>
      <c r="P865" s="20">
        <v>80920</v>
      </c>
      <c r="Q865" s="20">
        <v>1</v>
      </c>
      <c r="R865" s="20">
        <v>0</v>
      </c>
      <c r="S865" s="20">
        <v>0</v>
      </c>
      <c r="T865" s="20">
        <v>0</v>
      </c>
      <c r="U865" s="20">
        <v>0</v>
      </c>
      <c r="V865" s="20">
        <v>0</v>
      </c>
      <c r="W865" s="20">
        <v>32</v>
      </c>
      <c r="X865" s="20">
        <v>17850</v>
      </c>
      <c r="Y865" s="20">
        <v>0</v>
      </c>
      <c r="Z865" s="20">
        <v>0</v>
      </c>
      <c r="AA865" s="20">
        <v>0</v>
      </c>
      <c r="AB865" s="20">
        <v>0</v>
      </c>
      <c r="AC865" s="20">
        <v>119000</v>
      </c>
      <c r="AD865" s="20">
        <v>80920</v>
      </c>
      <c r="AE865" s="20">
        <v>0</v>
      </c>
      <c r="AF865" s="20">
        <v>17850</v>
      </c>
      <c r="AG865" s="20">
        <v>101150</v>
      </c>
      <c r="AH865" s="20">
        <v>80920</v>
      </c>
      <c r="AI865" s="20">
        <v>18391</v>
      </c>
      <c r="AJ865" s="20">
        <v>1839</v>
      </c>
      <c r="AK865" s="20">
        <v>20230</v>
      </c>
    </row>
    <row r="866" spans="1:37" ht="24" customHeight="1" x14ac:dyDescent="0.3">
      <c r="A866" s="18" t="s">
        <v>2460</v>
      </c>
      <c r="B866" s="18" t="s">
        <v>240</v>
      </c>
      <c r="C866" s="19" t="s">
        <v>241</v>
      </c>
      <c r="D866" s="18" t="s">
        <v>2461</v>
      </c>
      <c r="E866" s="19" t="s">
        <v>461</v>
      </c>
      <c r="F866" s="18" t="s">
        <v>244</v>
      </c>
      <c r="G866" s="18" t="s">
        <v>245</v>
      </c>
      <c r="H866" s="19" t="s">
        <v>175</v>
      </c>
      <c r="I866" s="18" t="s">
        <v>246</v>
      </c>
      <c r="J866" s="19" t="s">
        <v>247</v>
      </c>
      <c r="K866" s="19" t="s">
        <v>248</v>
      </c>
      <c r="L866" s="18" t="s">
        <v>164</v>
      </c>
      <c r="M866" s="18" t="s">
        <v>1556</v>
      </c>
      <c r="N866" s="18" t="s">
        <v>250</v>
      </c>
      <c r="O866" s="20">
        <v>119000</v>
      </c>
      <c r="P866" s="20">
        <v>80920</v>
      </c>
      <c r="Q866" s="20">
        <v>1</v>
      </c>
      <c r="R866" s="20">
        <v>0</v>
      </c>
      <c r="S866" s="20">
        <v>0</v>
      </c>
      <c r="T866" s="20">
        <v>0</v>
      </c>
      <c r="U866" s="20">
        <v>0</v>
      </c>
      <c r="V866" s="20">
        <v>0</v>
      </c>
      <c r="W866" s="20">
        <v>32</v>
      </c>
      <c r="X866" s="20">
        <v>0</v>
      </c>
      <c r="Y866" s="20">
        <v>0</v>
      </c>
      <c r="Z866" s="20">
        <v>0</v>
      </c>
      <c r="AA866" s="20">
        <v>0</v>
      </c>
      <c r="AB866" s="20">
        <v>0</v>
      </c>
      <c r="AC866" s="20">
        <v>119000</v>
      </c>
      <c r="AD866" s="20">
        <v>80920</v>
      </c>
      <c r="AE866" s="20">
        <v>0</v>
      </c>
      <c r="AF866" s="20">
        <v>0</v>
      </c>
      <c r="AG866" s="20">
        <v>119000</v>
      </c>
      <c r="AH866" s="20">
        <v>80920</v>
      </c>
      <c r="AI866" s="20">
        <v>34618</v>
      </c>
      <c r="AJ866" s="20">
        <v>3462</v>
      </c>
      <c r="AK866" s="20">
        <v>38080</v>
      </c>
    </row>
    <row r="867" spans="1:37" ht="24" customHeight="1" x14ac:dyDescent="0.3">
      <c r="A867" s="18" t="s">
        <v>2462</v>
      </c>
      <c r="B867" s="18" t="s">
        <v>240</v>
      </c>
      <c r="C867" s="19" t="s">
        <v>241</v>
      </c>
      <c r="D867" s="18" t="s">
        <v>2463</v>
      </c>
      <c r="E867" s="19" t="s">
        <v>2464</v>
      </c>
      <c r="F867" s="18" t="s">
        <v>244</v>
      </c>
      <c r="G867" s="18" t="s">
        <v>245</v>
      </c>
      <c r="H867" s="19" t="s">
        <v>175</v>
      </c>
      <c r="I867" s="18" t="s">
        <v>246</v>
      </c>
      <c r="J867" s="19" t="s">
        <v>247</v>
      </c>
      <c r="K867" s="19" t="s">
        <v>248</v>
      </c>
      <c r="L867" s="18" t="s">
        <v>164</v>
      </c>
      <c r="M867" s="18" t="s">
        <v>1556</v>
      </c>
      <c r="N867" s="18" t="s">
        <v>250</v>
      </c>
      <c r="O867" s="20">
        <v>119000</v>
      </c>
      <c r="P867" s="20">
        <v>80920</v>
      </c>
      <c r="Q867" s="20">
        <v>1</v>
      </c>
      <c r="R867" s="20">
        <v>0</v>
      </c>
      <c r="S867" s="20">
        <v>0</v>
      </c>
      <c r="T867" s="20">
        <v>0</v>
      </c>
      <c r="U867" s="20">
        <v>0</v>
      </c>
      <c r="V867" s="20">
        <v>0</v>
      </c>
      <c r="W867" s="20">
        <v>32</v>
      </c>
      <c r="X867" s="20">
        <v>0</v>
      </c>
      <c r="Y867" s="20">
        <v>0</v>
      </c>
      <c r="Z867" s="20">
        <v>0</v>
      </c>
      <c r="AA867" s="20">
        <v>0</v>
      </c>
      <c r="AB867" s="20">
        <v>0</v>
      </c>
      <c r="AC867" s="20">
        <v>119000</v>
      </c>
      <c r="AD867" s="20">
        <v>80920</v>
      </c>
      <c r="AE867" s="20">
        <v>0</v>
      </c>
      <c r="AF867" s="20">
        <v>0</v>
      </c>
      <c r="AG867" s="20">
        <v>119000</v>
      </c>
      <c r="AH867" s="20">
        <v>80920</v>
      </c>
      <c r="AI867" s="20">
        <v>34618</v>
      </c>
      <c r="AJ867" s="20">
        <v>3462</v>
      </c>
      <c r="AK867" s="20">
        <v>38080</v>
      </c>
    </row>
    <row r="868" spans="1:37" ht="24" customHeight="1" x14ac:dyDescent="0.3">
      <c r="A868" s="18" t="s">
        <v>2465</v>
      </c>
      <c r="B868" s="18" t="s">
        <v>240</v>
      </c>
      <c r="C868" s="19" t="s">
        <v>241</v>
      </c>
      <c r="D868" s="18" t="s">
        <v>2466</v>
      </c>
      <c r="E868" s="19" t="s">
        <v>2467</v>
      </c>
      <c r="F868" s="18" t="s">
        <v>244</v>
      </c>
      <c r="G868" s="18" t="s">
        <v>245</v>
      </c>
      <c r="H868" s="19" t="s">
        <v>175</v>
      </c>
      <c r="I868" s="18" t="s">
        <v>246</v>
      </c>
      <c r="J868" s="19" t="s">
        <v>247</v>
      </c>
      <c r="K868" s="19" t="s">
        <v>248</v>
      </c>
      <c r="L868" s="18" t="s">
        <v>164</v>
      </c>
      <c r="M868" s="18" t="s">
        <v>1556</v>
      </c>
      <c r="N868" s="18" t="s">
        <v>250</v>
      </c>
      <c r="O868" s="20">
        <v>119000</v>
      </c>
      <c r="P868" s="20">
        <v>80920</v>
      </c>
      <c r="Q868" s="20">
        <v>1</v>
      </c>
      <c r="R868" s="20">
        <v>0</v>
      </c>
      <c r="S868" s="20">
        <v>0</v>
      </c>
      <c r="T868" s="20">
        <v>0</v>
      </c>
      <c r="U868" s="20">
        <v>0</v>
      </c>
      <c r="V868" s="20">
        <v>0</v>
      </c>
      <c r="W868" s="20">
        <v>32</v>
      </c>
      <c r="X868" s="20">
        <v>0</v>
      </c>
      <c r="Y868" s="20">
        <v>0</v>
      </c>
      <c r="Z868" s="20">
        <v>0</v>
      </c>
      <c r="AA868" s="20">
        <v>0</v>
      </c>
      <c r="AB868" s="20">
        <v>0</v>
      </c>
      <c r="AC868" s="20">
        <v>119000</v>
      </c>
      <c r="AD868" s="20">
        <v>80920</v>
      </c>
      <c r="AE868" s="20">
        <v>0</v>
      </c>
      <c r="AF868" s="20">
        <v>0</v>
      </c>
      <c r="AG868" s="20">
        <v>119000</v>
      </c>
      <c r="AH868" s="20">
        <v>80920</v>
      </c>
      <c r="AI868" s="20">
        <v>34618</v>
      </c>
      <c r="AJ868" s="20">
        <v>3462</v>
      </c>
      <c r="AK868" s="20">
        <v>38080</v>
      </c>
    </row>
    <row r="869" spans="1:37" ht="24" customHeight="1" x14ac:dyDescent="0.3">
      <c r="A869" s="18" t="s">
        <v>2468</v>
      </c>
      <c r="B869" s="18" t="s">
        <v>240</v>
      </c>
      <c r="C869" s="19" t="s">
        <v>241</v>
      </c>
      <c r="D869" s="18" t="s">
        <v>2469</v>
      </c>
      <c r="E869" s="19" t="s">
        <v>907</v>
      </c>
      <c r="F869" s="18" t="s">
        <v>244</v>
      </c>
      <c r="G869" s="18" t="s">
        <v>245</v>
      </c>
      <c r="H869" s="19" t="s">
        <v>175</v>
      </c>
      <c r="I869" s="18" t="s">
        <v>246</v>
      </c>
      <c r="J869" s="19" t="s">
        <v>247</v>
      </c>
      <c r="K869" s="19" t="s">
        <v>248</v>
      </c>
      <c r="L869" s="18" t="s">
        <v>164</v>
      </c>
      <c r="M869" s="18" t="s">
        <v>1556</v>
      </c>
      <c r="N869" s="18" t="s">
        <v>250</v>
      </c>
      <c r="O869" s="20">
        <v>119000</v>
      </c>
      <c r="P869" s="20">
        <v>80920</v>
      </c>
      <c r="Q869" s="20">
        <v>1</v>
      </c>
      <c r="R869" s="20">
        <v>0</v>
      </c>
      <c r="S869" s="20">
        <v>0</v>
      </c>
      <c r="T869" s="20">
        <v>0</v>
      </c>
      <c r="U869" s="20">
        <v>0</v>
      </c>
      <c r="V869" s="20">
        <v>0</v>
      </c>
      <c r="W869" s="20">
        <v>32</v>
      </c>
      <c r="X869" s="20">
        <v>0</v>
      </c>
      <c r="Y869" s="20">
        <v>0</v>
      </c>
      <c r="Z869" s="20">
        <v>0</v>
      </c>
      <c r="AA869" s="20">
        <v>0</v>
      </c>
      <c r="AB869" s="20">
        <v>0</v>
      </c>
      <c r="AC869" s="20">
        <v>119000</v>
      </c>
      <c r="AD869" s="20">
        <v>80920</v>
      </c>
      <c r="AE869" s="20">
        <v>0</v>
      </c>
      <c r="AF869" s="20">
        <v>0</v>
      </c>
      <c r="AG869" s="20">
        <v>119000</v>
      </c>
      <c r="AH869" s="20">
        <v>80920</v>
      </c>
      <c r="AI869" s="20">
        <v>34618</v>
      </c>
      <c r="AJ869" s="20">
        <v>3462</v>
      </c>
      <c r="AK869" s="20">
        <v>38080</v>
      </c>
    </row>
    <row r="870" spans="1:37" ht="24" customHeight="1" x14ac:dyDescent="0.3">
      <c r="A870" s="18" t="s">
        <v>2470</v>
      </c>
      <c r="B870" s="18" t="s">
        <v>240</v>
      </c>
      <c r="C870" s="19" t="s">
        <v>241</v>
      </c>
      <c r="D870" s="18" t="s">
        <v>2471</v>
      </c>
      <c r="E870" s="19" t="s">
        <v>2472</v>
      </c>
      <c r="F870" s="18" t="s">
        <v>244</v>
      </c>
      <c r="G870" s="18" t="s">
        <v>245</v>
      </c>
      <c r="H870" s="19" t="s">
        <v>175</v>
      </c>
      <c r="I870" s="18" t="s">
        <v>246</v>
      </c>
      <c r="J870" s="19" t="s">
        <v>247</v>
      </c>
      <c r="K870" s="19" t="s">
        <v>248</v>
      </c>
      <c r="L870" s="18" t="s">
        <v>164</v>
      </c>
      <c r="M870" s="18" t="s">
        <v>1556</v>
      </c>
      <c r="N870" s="18" t="s">
        <v>250</v>
      </c>
      <c r="O870" s="20">
        <v>119000</v>
      </c>
      <c r="P870" s="20">
        <v>80920</v>
      </c>
      <c r="Q870" s="20">
        <v>1</v>
      </c>
      <c r="R870" s="20">
        <v>0</v>
      </c>
      <c r="S870" s="20">
        <v>0</v>
      </c>
      <c r="T870" s="20">
        <v>0</v>
      </c>
      <c r="U870" s="20">
        <v>0</v>
      </c>
      <c r="V870" s="20">
        <v>0</v>
      </c>
      <c r="W870" s="20">
        <v>32</v>
      </c>
      <c r="X870" s="20">
        <v>0</v>
      </c>
      <c r="Y870" s="20">
        <v>0</v>
      </c>
      <c r="Z870" s="20">
        <v>0</v>
      </c>
      <c r="AA870" s="20">
        <v>0</v>
      </c>
      <c r="AB870" s="20">
        <v>0</v>
      </c>
      <c r="AC870" s="20">
        <v>119000</v>
      </c>
      <c r="AD870" s="20">
        <v>80920</v>
      </c>
      <c r="AE870" s="20">
        <v>0</v>
      </c>
      <c r="AF870" s="20">
        <v>0</v>
      </c>
      <c r="AG870" s="20">
        <v>119000</v>
      </c>
      <c r="AH870" s="20">
        <v>80920</v>
      </c>
      <c r="AI870" s="20">
        <v>34618</v>
      </c>
      <c r="AJ870" s="20">
        <v>3462</v>
      </c>
      <c r="AK870" s="20">
        <v>38080</v>
      </c>
    </row>
    <row r="871" spans="1:37" ht="24" customHeight="1" x14ac:dyDescent="0.3">
      <c r="A871" s="18" t="s">
        <v>2473</v>
      </c>
      <c r="B871" s="18" t="s">
        <v>240</v>
      </c>
      <c r="C871" s="19" t="s">
        <v>241</v>
      </c>
      <c r="D871" s="18" t="s">
        <v>2474</v>
      </c>
      <c r="E871" s="19" t="s">
        <v>2475</v>
      </c>
      <c r="F871" s="18" t="s">
        <v>244</v>
      </c>
      <c r="G871" s="18" t="s">
        <v>245</v>
      </c>
      <c r="H871" s="19" t="s">
        <v>175</v>
      </c>
      <c r="I871" s="18" t="s">
        <v>246</v>
      </c>
      <c r="J871" s="19" t="s">
        <v>247</v>
      </c>
      <c r="K871" s="19" t="s">
        <v>248</v>
      </c>
      <c r="L871" s="18" t="s">
        <v>164</v>
      </c>
      <c r="M871" s="18" t="s">
        <v>1556</v>
      </c>
      <c r="N871" s="18" t="s">
        <v>250</v>
      </c>
      <c r="O871" s="20">
        <v>119000</v>
      </c>
      <c r="P871" s="20">
        <v>80920</v>
      </c>
      <c r="Q871" s="20">
        <v>1</v>
      </c>
      <c r="R871" s="20">
        <v>0</v>
      </c>
      <c r="S871" s="20">
        <v>0</v>
      </c>
      <c r="T871" s="20">
        <v>0</v>
      </c>
      <c r="U871" s="20">
        <v>0</v>
      </c>
      <c r="V871" s="20">
        <v>0</v>
      </c>
      <c r="W871" s="20">
        <v>32</v>
      </c>
      <c r="X871" s="20">
        <v>0</v>
      </c>
      <c r="Y871" s="20">
        <v>0</v>
      </c>
      <c r="Z871" s="20">
        <v>0</v>
      </c>
      <c r="AA871" s="20">
        <v>0</v>
      </c>
      <c r="AB871" s="20">
        <v>0</v>
      </c>
      <c r="AC871" s="20">
        <v>119000</v>
      </c>
      <c r="AD871" s="20">
        <v>80920</v>
      </c>
      <c r="AE871" s="20">
        <v>0</v>
      </c>
      <c r="AF871" s="20">
        <v>0</v>
      </c>
      <c r="AG871" s="20">
        <v>119000</v>
      </c>
      <c r="AH871" s="20">
        <v>80920</v>
      </c>
      <c r="AI871" s="20">
        <v>34618</v>
      </c>
      <c r="AJ871" s="20">
        <v>3462</v>
      </c>
      <c r="AK871" s="20">
        <v>38080</v>
      </c>
    </row>
    <row r="872" spans="1:37" ht="24" customHeight="1" x14ac:dyDescent="0.3">
      <c r="A872" s="18" t="s">
        <v>2476</v>
      </c>
      <c r="B872" s="18" t="s">
        <v>240</v>
      </c>
      <c r="C872" s="19" t="s">
        <v>241</v>
      </c>
      <c r="D872" s="18" t="s">
        <v>2477</v>
      </c>
      <c r="E872" s="19" t="s">
        <v>790</v>
      </c>
      <c r="F872" s="18" t="s">
        <v>244</v>
      </c>
      <c r="G872" s="18" t="s">
        <v>245</v>
      </c>
      <c r="H872" s="19" t="s">
        <v>175</v>
      </c>
      <c r="I872" s="18" t="s">
        <v>246</v>
      </c>
      <c r="J872" s="19" t="s">
        <v>247</v>
      </c>
      <c r="K872" s="19" t="s">
        <v>248</v>
      </c>
      <c r="L872" s="18" t="s">
        <v>164</v>
      </c>
      <c r="M872" s="18" t="s">
        <v>1556</v>
      </c>
      <c r="N872" s="18" t="s">
        <v>250</v>
      </c>
      <c r="O872" s="20">
        <v>119000</v>
      </c>
      <c r="P872" s="20">
        <v>80920</v>
      </c>
      <c r="Q872" s="20">
        <v>1</v>
      </c>
      <c r="R872" s="20">
        <v>0</v>
      </c>
      <c r="S872" s="20">
        <v>0</v>
      </c>
      <c r="T872" s="20">
        <v>0</v>
      </c>
      <c r="U872" s="20">
        <v>0</v>
      </c>
      <c r="V872" s="20">
        <v>0</v>
      </c>
      <c r="W872" s="20">
        <v>32</v>
      </c>
      <c r="X872" s="20">
        <v>0</v>
      </c>
      <c r="Y872" s="20">
        <v>0</v>
      </c>
      <c r="Z872" s="20">
        <v>0</v>
      </c>
      <c r="AA872" s="20">
        <v>0</v>
      </c>
      <c r="AB872" s="20">
        <v>0</v>
      </c>
      <c r="AC872" s="20">
        <v>119000</v>
      </c>
      <c r="AD872" s="20">
        <v>80920</v>
      </c>
      <c r="AE872" s="20">
        <v>0</v>
      </c>
      <c r="AF872" s="20">
        <v>0</v>
      </c>
      <c r="AG872" s="20">
        <v>119000</v>
      </c>
      <c r="AH872" s="20">
        <v>80920</v>
      </c>
      <c r="AI872" s="20">
        <v>34618</v>
      </c>
      <c r="AJ872" s="20">
        <v>3462</v>
      </c>
      <c r="AK872" s="20">
        <v>38080</v>
      </c>
    </row>
    <row r="873" spans="1:37" ht="24" customHeight="1" x14ac:dyDescent="0.3">
      <c r="A873" s="18" t="s">
        <v>2478</v>
      </c>
      <c r="B873" s="18" t="s">
        <v>240</v>
      </c>
      <c r="C873" s="19" t="s">
        <v>241</v>
      </c>
      <c r="D873" s="18" t="s">
        <v>2479</v>
      </c>
      <c r="E873" s="19" t="s">
        <v>406</v>
      </c>
      <c r="F873" s="18" t="s">
        <v>244</v>
      </c>
      <c r="G873" s="18" t="s">
        <v>245</v>
      </c>
      <c r="H873" s="19" t="s">
        <v>175</v>
      </c>
      <c r="I873" s="18" t="s">
        <v>246</v>
      </c>
      <c r="J873" s="19" t="s">
        <v>247</v>
      </c>
      <c r="K873" s="19" t="s">
        <v>248</v>
      </c>
      <c r="L873" s="18" t="s">
        <v>164</v>
      </c>
      <c r="M873" s="18" t="s">
        <v>1556</v>
      </c>
      <c r="N873" s="18" t="s">
        <v>250</v>
      </c>
      <c r="O873" s="20">
        <v>119000</v>
      </c>
      <c r="P873" s="20">
        <v>80920</v>
      </c>
      <c r="Q873" s="20">
        <v>1</v>
      </c>
      <c r="R873" s="20">
        <v>0</v>
      </c>
      <c r="S873" s="20">
        <v>0</v>
      </c>
      <c r="T873" s="20">
        <v>0</v>
      </c>
      <c r="U873" s="20">
        <v>0</v>
      </c>
      <c r="V873" s="20">
        <v>0</v>
      </c>
      <c r="W873" s="20">
        <v>32</v>
      </c>
      <c r="X873" s="20">
        <v>0</v>
      </c>
      <c r="Y873" s="20">
        <v>0</v>
      </c>
      <c r="Z873" s="20">
        <v>0</v>
      </c>
      <c r="AA873" s="20">
        <v>0</v>
      </c>
      <c r="AB873" s="20">
        <v>0</v>
      </c>
      <c r="AC873" s="20">
        <v>119000</v>
      </c>
      <c r="AD873" s="20">
        <v>80920</v>
      </c>
      <c r="AE873" s="20">
        <v>0</v>
      </c>
      <c r="AF873" s="20">
        <v>0</v>
      </c>
      <c r="AG873" s="20">
        <v>119000</v>
      </c>
      <c r="AH873" s="20">
        <v>80920</v>
      </c>
      <c r="AI873" s="20">
        <v>34618</v>
      </c>
      <c r="AJ873" s="20">
        <v>3462</v>
      </c>
      <c r="AK873" s="20">
        <v>38080</v>
      </c>
    </row>
    <row r="874" spans="1:37" ht="24" customHeight="1" x14ac:dyDescent="0.3">
      <c r="A874" s="18" t="s">
        <v>2480</v>
      </c>
      <c r="B874" s="18" t="s">
        <v>240</v>
      </c>
      <c r="C874" s="19" t="s">
        <v>241</v>
      </c>
      <c r="D874" s="18" t="s">
        <v>2481</v>
      </c>
      <c r="E874" s="19" t="s">
        <v>2482</v>
      </c>
      <c r="F874" s="18" t="s">
        <v>244</v>
      </c>
      <c r="G874" s="18" t="s">
        <v>245</v>
      </c>
      <c r="H874" s="19" t="s">
        <v>175</v>
      </c>
      <c r="I874" s="18" t="s">
        <v>246</v>
      </c>
      <c r="J874" s="19" t="s">
        <v>247</v>
      </c>
      <c r="K874" s="19" t="s">
        <v>248</v>
      </c>
      <c r="L874" s="18" t="s">
        <v>164</v>
      </c>
      <c r="M874" s="18" t="s">
        <v>1556</v>
      </c>
      <c r="N874" s="18" t="s">
        <v>250</v>
      </c>
      <c r="O874" s="20">
        <v>119000</v>
      </c>
      <c r="P874" s="20">
        <v>80920</v>
      </c>
      <c r="Q874" s="20">
        <v>1</v>
      </c>
      <c r="R874" s="20">
        <v>0</v>
      </c>
      <c r="S874" s="20">
        <v>0</v>
      </c>
      <c r="T874" s="20">
        <v>0</v>
      </c>
      <c r="U874" s="20">
        <v>0</v>
      </c>
      <c r="V874" s="20">
        <v>0</v>
      </c>
      <c r="W874" s="20">
        <v>32</v>
      </c>
      <c r="X874" s="20">
        <v>0</v>
      </c>
      <c r="Y874" s="20">
        <v>0</v>
      </c>
      <c r="Z874" s="20">
        <v>0</v>
      </c>
      <c r="AA874" s="20">
        <v>0</v>
      </c>
      <c r="AB874" s="20">
        <v>0</v>
      </c>
      <c r="AC874" s="20">
        <v>119000</v>
      </c>
      <c r="AD874" s="20">
        <v>80920</v>
      </c>
      <c r="AE874" s="20">
        <v>0</v>
      </c>
      <c r="AF874" s="20">
        <v>0</v>
      </c>
      <c r="AG874" s="20">
        <v>119000</v>
      </c>
      <c r="AH874" s="20">
        <v>80920</v>
      </c>
      <c r="AI874" s="20">
        <v>34618</v>
      </c>
      <c r="AJ874" s="20">
        <v>3462</v>
      </c>
      <c r="AK874" s="20">
        <v>38080</v>
      </c>
    </row>
    <row r="875" spans="1:37" ht="24" customHeight="1" x14ac:dyDescent="0.3">
      <c r="A875" s="18" t="s">
        <v>2483</v>
      </c>
      <c r="B875" s="18" t="s">
        <v>240</v>
      </c>
      <c r="C875" s="19" t="s">
        <v>241</v>
      </c>
      <c r="D875" s="18" t="s">
        <v>2484</v>
      </c>
      <c r="E875" s="19" t="s">
        <v>599</v>
      </c>
      <c r="F875" s="18" t="s">
        <v>244</v>
      </c>
      <c r="G875" s="18" t="s">
        <v>245</v>
      </c>
      <c r="H875" s="19" t="s">
        <v>175</v>
      </c>
      <c r="I875" s="18" t="s">
        <v>246</v>
      </c>
      <c r="J875" s="19" t="s">
        <v>247</v>
      </c>
      <c r="K875" s="19" t="s">
        <v>314</v>
      </c>
      <c r="L875" s="18" t="s">
        <v>164</v>
      </c>
      <c r="M875" s="18" t="s">
        <v>1556</v>
      </c>
      <c r="N875" s="18" t="s">
        <v>250</v>
      </c>
      <c r="O875" s="20">
        <v>119000</v>
      </c>
      <c r="P875" s="20">
        <v>80920</v>
      </c>
      <c r="Q875" s="20">
        <v>1</v>
      </c>
      <c r="R875" s="20">
        <v>0</v>
      </c>
      <c r="S875" s="20">
        <v>0</v>
      </c>
      <c r="T875" s="20">
        <v>0</v>
      </c>
      <c r="U875" s="20">
        <v>0</v>
      </c>
      <c r="V875" s="20">
        <v>0</v>
      </c>
      <c r="W875" s="20">
        <v>32</v>
      </c>
      <c r="X875" s="20">
        <v>0</v>
      </c>
      <c r="Y875" s="20">
        <v>0</v>
      </c>
      <c r="Z875" s="20">
        <v>0</v>
      </c>
      <c r="AA875" s="20">
        <v>0</v>
      </c>
      <c r="AB875" s="20">
        <v>0</v>
      </c>
      <c r="AC875" s="20">
        <v>119000</v>
      </c>
      <c r="AD875" s="20">
        <v>80920</v>
      </c>
      <c r="AE875" s="20">
        <v>0</v>
      </c>
      <c r="AF875" s="20">
        <v>0</v>
      </c>
      <c r="AG875" s="20">
        <v>119000</v>
      </c>
      <c r="AH875" s="20">
        <v>80920</v>
      </c>
      <c r="AI875" s="20">
        <v>34618</v>
      </c>
      <c r="AJ875" s="20">
        <v>3462</v>
      </c>
      <c r="AK875" s="20">
        <v>38080</v>
      </c>
    </row>
    <row r="876" spans="1:37" ht="24" customHeight="1" x14ac:dyDescent="0.3">
      <c r="A876" s="18" t="s">
        <v>2485</v>
      </c>
      <c r="B876" s="18" t="s">
        <v>240</v>
      </c>
      <c r="C876" s="19" t="s">
        <v>241</v>
      </c>
      <c r="D876" s="18" t="s">
        <v>2486</v>
      </c>
      <c r="E876" s="19" t="s">
        <v>2487</v>
      </c>
      <c r="F876" s="18" t="s">
        <v>244</v>
      </c>
      <c r="G876" s="18" t="s">
        <v>245</v>
      </c>
      <c r="H876" s="19" t="s">
        <v>175</v>
      </c>
      <c r="I876" s="18" t="s">
        <v>246</v>
      </c>
      <c r="J876" s="19" t="s">
        <v>247</v>
      </c>
      <c r="K876" s="19" t="s">
        <v>248</v>
      </c>
      <c r="L876" s="18" t="s">
        <v>164</v>
      </c>
      <c r="M876" s="18" t="s">
        <v>1556</v>
      </c>
      <c r="N876" s="18" t="s">
        <v>250</v>
      </c>
      <c r="O876" s="20">
        <v>119000</v>
      </c>
      <c r="P876" s="20">
        <v>80920</v>
      </c>
      <c r="Q876" s="20">
        <v>1</v>
      </c>
      <c r="R876" s="20">
        <v>0</v>
      </c>
      <c r="S876" s="20">
        <v>0</v>
      </c>
      <c r="T876" s="20">
        <v>0</v>
      </c>
      <c r="U876" s="20">
        <v>0</v>
      </c>
      <c r="V876" s="20">
        <v>0</v>
      </c>
      <c r="W876" s="20">
        <v>32</v>
      </c>
      <c r="X876" s="20">
        <v>0</v>
      </c>
      <c r="Y876" s="20">
        <v>0</v>
      </c>
      <c r="Z876" s="20">
        <v>0</v>
      </c>
      <c r="AA876" s="20">
        <v>0</v>
      </c>
      <c r="AB876" s="20">
        <v>0</v>
      </c>
      <c r="AC876" s="20">
        <v>119000</v>
      </c>
      <c r="AD876" s="20">
        <v>80920</v>
      </c>
      <c r="AE876" s="20">
        <v>0</v>
      </c>
      <c r="AF876" s="20">
        <v>0</v>
      </c>
      <c r="AG876" s="20">
        <v>119000</v>
      </c>
      <c r="AH876" s="20">
        <v>80920</v>
      </c>
      <c r="AI876" s="20">
        <v>34618</v>
      </c>
      <c r="AJ876" s="20">
        <v>3462</v>
      </c>
      <c r="AK876" s="20">
        <v>38080</v>
      </c>
    </row>
    <row r="877" spans="1:37" ht="24" customHeight="1" x14ac:dyDescent="0.3">
      <c r="A877" s="18" t="s">
        <v>2488</v>
      </c>
      <c r="B877" s="18" t="s">
        <v>240</v>
      </c>
      <c r="C877" s="19" t="s">
        <v>241</v>
      </c>
      <c r="D877" s="18" t="s">
        <v>2489</v>
      </c>
      <c r="E877" s="19" t="s">
        <v>577</v>
      </c>
      <c r="F877" s="18" t="s">
        <v>244</v>
      </c>
      <c r="G877" s="18" t="s">
        <v>245</v>
      </c>
      <c r="H877" s="19" t="s">
        <v>175</v>
      </c>
      <c r="I877" s="18" t="s">
        <v>246</v>
      </c>
      <c r="J877" s="19" t="s">
        <v>247</v>
      </c>
      <c r="K877" s="19" t="s">
        <v>314</v>
      </c>
      <c r="L877" s="18" t="s">
        <v>164</v>
      </c>
      <c r="M877" s="18" t="s">
        <v>1556</v>
      </c>
      <c r="N877" s="18" t="s">
        <v>250</v>
      </c>
      <c r="O877" s="20">
        <v>119000</v>
      </c>
      <c r="P877" s="20">
        <v>80920</v>
      </c>
      <c r="Q877" s="20">
        <v>1</v>
      </c>
      <c r="R877" s="20">
        <v>0</v>
      </c>
      <c r="S877" s="20">
        <v>0</v>
      </c>
      <c r="T877" s="20">
        <v>0</v>
      </c>
      <c r="U877" s="20">
        <v>0</v>
      </c>
      <c r="V877" s="20">
        <v>0</v>
      </c>
      <c r="W877" s="20">
        <v>32</v>
      </c>
      <c r="X877" s="20">
        <v>0</v>
      </c>
      <c r="Y877" s="20">
        <v>0</v>
      </c>
      <c r="Z877" s="20">
        <v>0</v>
      </c>
      <c r="AA877" s="20">
        <v>0</v>
      </c>
      <c r="AB877" s="20">
        <v>0</v>
      </c>
      <c r="AC877" s="20">
        <v>119000</v>
      </c>
      <c r="AD877" s="20">
        <v>80920</v>
      </c>
      <c r="AE877" s="20">
        <v>0</v>
      </c>
      <c r="AF877" s="20">
        <v>0</v>
      </c>
      <c r="AG877" s="20">
        <v>119000</v>
      </c>
      <c r="AH877" s="20">
        <v>80920</v>
      </c>
      <c r="AI877" s="20">
        <v>34618</v>
      </c>
      <c r="AJ877" s="20">
        <v>3462</v>
      </c>
      <c r="AK877" s="20">
        <v>38080</v>
      </c>
    </row>
    <row r="878" spans="1:37" ht="24" customHeight="1" x14ac:dyDescent="0.3">
      <c r="A878" s="18" t="s">
        <v>2490</v>
      </c>
      <c r="B878" s="18" t="s">
        <v>240</v>
      </c>
      <c r="C878" s="19" t="s">
        <v>241</v>
      </c>
      <c r="D878" s="18" t="s">
        <v>2491</v>
      </c>
      <c r="E878" s="19" t="s">
        <v>2492</v>
      </c>
      <c r="F878" s="18" t="s">
        <v>244</v>
      </c>
      <c r="G878" s="18" t="s">
        <v>245</v>
      </c>
      <c r="H878" s="19" t="s">
        <v>175</v>
      </c>
      <c r="I878" s="18" t="s">
        <v>246</v>
      </c>
      <c r="J878" s="19" t="s">
        <v>247</v>
      </c>
      <c r="K878" s="19" t="s">
        <v>248</v>
      </c>
      <c r="L878" s="18" t="s">
        <v>164</v>
      </c>
      <c r="M878" s="18" t="s">
        <v>1556</v>
      </c>
      <c r="N878" s="18" t="s">
        <v>250</v>
      </c>
      <c r="O878" s="20">
        <v>119000</v>
      </c>
      <c r="P878" s="20">
        <v>80920</v>
      </c>
      <c r="Q878" s="20">
        <v>1</v>
      </c>
      <c r="R878" s="20">
        <v>0</v>
      </c>
      <c r="S878" s="20">
        <v>0</v>
      </c>
      <c r="T878" s="20">
        <v>0</v>
      </c>
      <c r="U878" s="20">
        <v>0</v>
      </c>
      <c r="V878" s="20">
        <v>0</v>
      </c>
      <c r="W878" s="20">
        <v>32</v>
      </c>
      <c r="X878" s="20">
        <v>0</v>
      </c>
      <c r="Y878" s="20">
        <v>0</v>
      </c>
      <c r="Z878" s="20">
        <v>0</v>
      </c>
      <c r="AA878" s="20">
        <v>0</v>
      </c>
      <c r="AB878" s="20">
        <v>0</v>
      </c>
      <c r="AC878" s="20">
        <v>119000</v>
      </c>
      <c r="AD878" s="20">
        <v>80920</v>
      </c>
      <c r="AE878" s="20">
        <v>0</v>
      </c>
      <c r="AF878" s="20">
        <v>0</v>
      </c>
      <c r="AG878" s="20">
        <v>119000</v>
      </c>
      <c r="AH878" s="20">
        <v>80920</v>
      </c>
      <c r="AI878" s="20">
        <v>34618</v>
      </c>
      <c r="AJ878" s="20">
        <v>3462</v>
      </c>
      <c r="AK878" s="20">
        <v>38080</v>
      </c>
    </row>
    <row r="879" spans="1:37" ht="24" customHeight="1" x14ac:dyDescent="0.3">
      <c r="A879" s="18" t="s">
        <v>2493</v>
      </c>
      <c r="B879" s="18" t="s">
        <v>240</v>
      </c>
      <c r="C879" s="19" t="s">
        <v>241</v>
      </c>
      <c r="D879" s="18" t="s">
        <v>2494</v>
      </c>
      <c r="E879" s="19" t="s">
        <v>392</v>
      </c>
      <c r="F879" s="18" t="s">
        <v>244</v>
      </c>
      <c r="G879" s="18" t="s">
        <v>245</v>
      </c>
      <c r="H879" s="19" t="s">
        <v>175</v>
      </c>
      <c r="I879" s="18" t="s">
        <v>246</v>
      </c>
      <c r="J879" s="19" t="s">
        <v>247</v>
      </c>
      <c r="K879" s="19" t="s">
        <v>248</v>
      </c>
      <c r="L879" s="18" t="s">
        <v>164</v>
      </c>
      <c r="M879" s="18" t="s">
        <v>1556</v>
      </c>
      <c r="N879" s="18" t="s">
        <v>250</v>
      </c>
      <c r="O879" s="20">
        <v>119000</v>
      </c>
      <c r="P879" s="20">
        <v>80920</v>
      </c>
      <c r="Q879" s="20">
        <v>1</v>
      </c>
      <c r="R879" s="20">
        <v>0</v>
      </c>
      <c r="S879" s="20">
        <v>0</v>
      </c>
      <c r="T879" s="20">
        <v>0</v>
      </c>
      <c r="U879" s="20">
        <v>0</v>
      </c>
      <c r="V879" s="20">
        <v>0</v>
      </c>
      <c r="W879" s="20">
        <v>32</v>
      </c>
      <c r="X879" s="20">
        <v>0</v>
      </c>
      <c r="Y879" s="20">
        <v>0</v>
      </c>
      <c r="Z879" s="20">
        <v>0</v>
      </c>
      <c r="AA879" s="20">
        <v>0</v>
      </c>
      <c r="AB879" s="20">
        <v>5950</v>
      </c>
      <c r="AC879" s="20">
        <v>119000</v>
      </c>
      <c r="AD879" s="20">
        <v>80920</v>
      </c>
      <c r="AE879" s="20">
        <v>0</v>
      </c>
      <c r="AF879" s="20">
        <v>5950</v>
      </c>
      <c r="AG879" s="20">
        <v>113050</v>
      </c>
      <c r="AH879" s="20">
        <v>80920</v>
      </c>
      <c r="AI879" s="20">
        <v>29209</v>
      </c>
      <c r="AJ879" s="20">
        <v>2921</v>
      </c>
      <c r="AK879" s="20">
        <v>32130</v>
      </c>
    </row>
    <row r="880" spans="1:37" ht="24" customHeight="1" x14ac:dyDescent="0.3">
      <c r="A880" s="18" t="s">
        <v>2495</v>
      </c>
      <c r="B880" s="18" t="s">
        <v>240</v>
      </c>
      <c r="C880" s="19" t="s">
        <v>241</v>
      </c>
      <c r="D880" s="18" t="s">
        <v>2496</v>
      </c>
      <c r="E880" s="19" t="s">
        <v>2497</v>
      </c>
      <c r="F880" s="18" t="s">
        <v>244</v>
      </c>
      <c r="G880" s="18" t="s">
        <v>245</v>
      </c>
      <c r="H880" s="19" t="s">
        <v>175</v>
      </c>
      <c r="I880" s="18" t="s">
        <v>246</v>
      </c>
      <c r="J880" s="19" t="s">
        <v>247</v>
      </c>
      <c r="K880" s="19" t="s">
        <v>248</v>
      </c>
      <c r="L880" s="18" t="s">
        <v>164</v>
      </c>
      <c r="M880" s="18" t="s">
        <v>2498</v>
      </c>
      <c r="N880" s="18" t="s">
        <v>250</v>
      </c>
      <c r="O880" s="20">
        <v>119000</v>
      </c>
      <c r="P880" s="20">
        <v>80920</v>
      </c>
      <c r="Q880" s="20">
        <v>1</v>
      </c>
      <c r="R880" s="20">
        <v>0</v>
      </c>
      <c r="S880" s="20">
        <v>0</v>
      </c>
      <c r="T880" s="20">
        <v>0</v>
      </c>
      <c r="U880" s="20">
        <v>0</v>
      </c>
      <c r="V880" s="20">
        <v>0</v>
      </c>
      <c r="W880" s="20">
        <v>32</v>
      </c>
      <c r="X880" s="20">
        <v>0</v>
      </c>
      <c r="Y880" s="20">
        <v>0</v>
      </c>
      <c r="Z880" s="20">
        <v>0</v>
      </c>
      <c r="AA880" s="20">
        <v>0</v>
      </c>
      <c r="AB880" s="20">
        <v>5950</v>
      </c>
      <c r="AC880" s="20">
        <v>119000</v>
      </c>
      <c r="AD880" s="20">
        <v>80920</v>
      </c>
      <c r="AE880" s="20">
        <v>0</v>
      </c>
      <c r="AF880" s="20">
        <v>5950</v>
      </c>
      <c r="AG880" s="20">
        <v>113050</v>
      </c>
      <c r="AH880" s="20">
        <v>80920</v>
      </c>
      <c r="AI880" s="20">
        <v>29209</v>
      </c>
      <c r="AJ880" s="20">
        <v>2921</v>
      </c>
      <c r="AK880" s="20">
        <v>32130</v>
      </c>
    </row>
    <row r="881" spans="1:37" ht="24" customHeight="1" x14ac:dyDescent="0.3">
      <c r="A881" s="18" t="s">
        <v>2499</v>
      </c>
      <c r="B881" s="18" t="s">
        <v>240</v>
      </c>
      <c r="C881" s="19" t="s">
        <v>241</v>
      </c>
      <c r="D881" s="18" t="s">
        <v>2500</v>
      </c>
      <c r="E881" s="19" t="s">
        <v>243</v>
      </c>
      <c r="F881" s="18" t="s">
        <v>244</v>
      </c>
      <c r="G881" s="18" t="s">
        <v>245</v>
      </c>
      <c r="H881" s="19" t="s">
        <v>175</v>
      </c>
      <c r="I881" s="18" t="s">
        <v>246</v>
      </c>
      <c r="J881" s="19" t="s">
        <v>247</v>
      </c>
      <c r="K881" s="19" t="s">
        <v>248</v>
      </c>
      <c r="L881" s="18" t="s">
        <v>164</v>
      </c>
      <c r="M881" s="18" t="s">
        <v>2498</v>
      </c>
      <c r="N881" s="18" t="s">
        <v>250</v>
      </c>
      <c r="O881" s="20">
        <v>119000</v>
      </c>
      <c r="P881" s="20">
        <v>80920</v>
      </c>
      <c r="Q881" s="20">
        <v>1</v>
      </c>
      <c r="R881" s="20">
        <v>0</v>
      </c>
      <c r="S881" s="20">
        <v>0</v>
      </c>
      <c r="T881" s="20">
        <v>0</v>
      </c>
      <c r="U881" s="20">
        <v>0</v>
      </c>
      <c r="V881" s="20">
        <v>0</v>
      </c>
      <c r="W881" s="20">
        <v>32</v>
      </c>
      <c r="X881" s="20">
        <v>0</v>
      </c>
      <c r="Y881" s="20">
        <v>0</v>
      </c>
      <c r="Z881" s="20">
        <v>0</v>
      </c>
      <c r="AA881" s="20">
        <v>0</v>
      </c>
      <c r="AB881" s="20">
        <v>0</v>
      </c>
      <c r="AC881" s="20">
        <v>119000</v>
      </c>
      <c r="AD881" s="20">
        <v>80920</v>
      </c>
      <c r="AE881" s="20">
        <v>0</v>
      </c>
      <c r="AF881" s="20">
        <v>0</v>
      </c>
      <c r="AG881" s="20">
        <v>119000</v>
      </c>
      <c r="AH881" s="20">
        <v>80920</v>
      </c>
      <c r="AI881" s="20">
        <v>34618</v>
      </c>
      <c r="AJ881" s="20">
        <v>3462</v>
      </c>
      <c r="AK881" s="20">
        <v>38080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545"/>
  <sheetViews>
    <sheetView workbookViewId="0"/>
  </sheetViews>
  <sheetFormatPr defaultRowHeight="16.5" x14ac:dyDescent="0.3"/>
  <cols>
    <col min="1" max="1" width="12" style="64" customWidth="1"/>
    <col min="2" max="2" width="20" style="64" customWidth="1"/>
    <col min="3" max="4" width="12" style="64" customWidth="1"/>
    <col min="5" max="7" width="10" style="64" customWidth="1"/>
    <col min="8" max="8" width="12" style="64" customWidth="1"/>
    <col min="9" max="10" width="14" style="64" customWidth="1"/>
    <col min="11" max="12" width="12" style="64" customWidth="1"/>
  </cols>
  <sheetData>
    <row r="1" spans="1:12" ht="20.100000000000001" customHeight="1" x14ac:dyDescent="0.3">
      <c r="A1" s="65" t="s">
        <v>2501</v>
      </c>
      <c r="B1" s="65" t="s">
        <v>205</v>
      </c>
      <c r="C1" s="65" t="s">
        <v>2502</v>
      </c>
      <c r="D1" s="65" t="s">
        <v>207</v>
      </c>
      <c r="E1" s="65" t="s">
        <v>171</v>
      </c>
      <c r="F1" s="65" t="s">
        <v>2503</v>
      </c>
      <c r="G1" s="65" t="s">
        <v>2504</v>
      </c>
      <c r="H1" s="65" t="s">
        <v>216</v>
      </c>
      <c r="I1" s="65" t="s">
        <v>2505</v>
      </c>
      <c r="J1" s="65" t="s">
        <v>2506</v>
      </c>
      <c r="K1" s="65" t="s">
        <v>2507</v>
      </c>
      <c r="L1" s="65" t="s">
        <v>2508</v>
      </c>
    </row>
    <row r="2" spans="1:12" x14ac:dyDescent="0.3">
      <c r="A2" t="s">
        <v>11</v>
      </c>
      <c r="B2" t="str">
        <f>원본데이터_SK!D2</f>
        <v>20260204818446</v>
      </c>
      <c r="C2" t="str">
        <f>IF(원본데이터_SK!M2="","",TEXT(원본데이터_SK!M2,"YYYY-MM-DD"))</f>
        <v>2026-02-06</v>
      </c>
      <c r="D2" t="str">
        <f>원본데이터_SK!F2</f>
        <v>58481090</v>
      </c>
      <c r="E2" t="str">
        <f>IFERROR(VLOOKUP(원본데이터_SK!F2,채널매핑!$B:$D,3,0),"미매핑")</f>
        <v>미매핑</v>
      </c>
      <c r="F2">
        <f>IFERROR(VLOOKUP(원본데이터_SK!F2,채널매핑!$B:$E,4,0),1)</f>
        <v>1</v>
      </c>
      <c r="G2">
        <f>원본데이터_SK!Q2</f>
        <v>1</v>
      </c>
      <c r="H2">
        <f>원본데이터_SK!O2</f>
        <v>119000</v>
      </c>
      <c r="I2">
        <f>원본데이터_SK!AG2</f>
        <v>109000</v>
      </c>
      <c r="J2">
        <f>원본데이터_SK!AH2</f>
        <v>82110</v>
      </c>
      <c r="K2">
        <f>IFERROR(VLOOKUP(E2,제품마스터!$A:$B,2,0),0)</f>
        <v>0</v>
      </c>
      <c r="L2">
        <f>원본데이터_SK!Q2*원본데이터_SK!P2</f>
        <v>82110</v>
      </c>
    </row>
    <row r="3" spans="1:12" x14ac:dyDescent="0.3">
      <c r="A3" t="s">
        <v>11</v>
      </c>
      <c r="B3" t="str">
        <f>원본데이터_SK!D3</f>
        <v>20260204842609</v>
      </c>
      <c r="C3" t="str">
        <f>IF(원본데이터_SK!M3="","",TEXT(원본데이터_SK!M3,"YYYY-MM-DD"))</f>
        <v>2026-02-06</v>
      </c>
      <c r="D3" t="str">
        <f>원본데이터_SK!F3</f>
        <v>58481090</v>
      </c>
      <c r="E3" t="str">
        <f>IFERROR(VLOOKUP(원본데이터_SK!F3,채널매핑!$B:$D,3,0),"미매핑")</f>
        <v>미매핑</v>
      </c>
      <c r="F3">
        <f>IFERROR(VLOOKUP(원본데이터_SK!F3,채널매핑!$B:$E,4,0),1)</f>
        <v>1</v>
      </c>
      <c r="G3">
        <f>원본데이터_SK!Q3</f>
        <v>1</v>
      </c>
      <c r="H3">
        <f>원본데이터_SK!O3</f>
        <v>119000</v>
      </c>
      <c r="I3">
        <f>원본데이터_SK!AG3</f>
        <v>98800</v>
      </c>
      <c r="J3">
        <f>원본데이터_SK!AH3</f>
        <v>82110</v>
      </c>
      <c r="K3">
        <f>IFERROR(VLOOKUP(E3,제품마스터!$A:$B,2,0),0)</f>
        <v>0</v>
      </c>
      <c r="L3">
        <f>원본데이터_SK!Q3*원본데이터_SK!P3</f>
        <v>82110</v>
      </c>
    </row>
    <row r="4" spans="1:12" x14ac:dyDescent="0.3">
      <c r="A4" t="s">
        <v>11</v>
      </c>
      <c r="B4" t="str">
        <f>원본데이터_SK!D4</f>
        <v>20260205994554</v>
      </c>
      <c r="C4" t="str">
        <f>IF(원본데이터_SK!M4="","",TEXT(원본데이터_SK!M4,"YYYY-MM-DD"))</f>
        <v>2026-02-06</v>
      </c>
      <c r="D4" t="str">
        <f>원본데이터_SK!F4</f>
        <v>58481090</v>
      </c>
      <c r="E4" t="str">
        <f>IFERROR(VLOOKUP(원본데이터_SK!F4,채널매핑!$B:$D,3,0),"미매핑")</f>
        <v>미매핑</v>
      </c>
      <c r="F4">
        <f>IFERROR(VLOOKUP(원본데이터_SK!F4,채널매핑!$B:$E,4,0),1)</f>
        <v>1</v>
      </c>
      <c r="G4">
        <f>원본데이터_SK!Q4</f>
        <v>-1</v>
      </c>
      <c r="H4">
        <f>원본데이터_SK!O4</f>
        <v>119000</v>
      </c>
      <c r="I4">
        <f>원본데이터_SK!AG4</f>
        <v>-113050</v>
      </c>
      <c r="J4">
        <f>원본데이터_SK!AH4</f>
        <v>-82110</v>
      </c>
      <c r="K4">
        <f>IFERROR(VLOOKUP(E4,제품마스터!$A:$B,2,0),0)</f>
        <v>0</v>
      </c>
      <c r="L4">
        <f>원본데이터_SK!Q4*원본데이터_SK!P4</f>
        <v>-82110</v>
      </c>
    </row>
    <row r="5" spans="1:12" x14ac:dyDescent="0.3">
      <c r="A5" t="s">
        <v>11</v>
      </c>
      <c r="B5" t="str">
        <f>원본데이터_SK!D5</f>
        <v>20260205994554</v>
      </c>
      <c r="C5" t="str">
        <f>IF(원본데이터_SK!M5="","",TEXT(원본데이터_SK!M5,"YYYY-MM-DD"))</f>
        <v>2026-02-06</v>
      </c>
      <c r="D5" t="str">
        <f>원본데이터_SK!F5</f>
        <v>58481090</v>
      </c>
      <c r="E5" t="str">
        <f>IFERROR(VLOOKUP(원본데이터_SK!F5,채널매핑!$B:$D,3,0),"미매핑")</f>
        <v>미매핑</v>
      </c>
      <c r="F5">
        <f>IFERROR(VLOOKUP(원본데이터_SK!F5,채널매핑!$B:$E,4,0),1)</f>
        <v>1</v>
      </c>
      <c r="G5">
        <f>원본데이터_SK!Q5</f>
        <v>1</v>
      </c>
      <c r="H5">
        <f>원본데이터_SK!O5</f>
        <v>119000</v>
      </c>
      <c r="I5">
        <f>원본데이터_SK!AG5</f>
        <v>113050</v>
      </c>
      <c r="J5">
        <f>원본데이터_SK!AH5</f>
        <v>82110</v>
      </c>
      <c r="K5">
        <f>IFERROR(VLOOKUP(E5,제품마스터!$A:$B,2,0),0)</f>
        <v>0</v>
      </c>
      <c r="L5">
        <f>원본데이터_SK!Q5*원본데이터_SK!P5</f>
        <v>82110</v>
      </c>
    </row>
    <row r="6" spans="1:12" x14ac:dyDescent="0.3">
      <c r="A6" t="s">
        <v>11</v>
      </c>
      <c r="B6" t="str">
        <f>원본데이터_SK!D6</f>
        <v>20260205974443</v>
      </c>
      <c r="C6" t="str">
        <f>IF(원본데이터_SK!M6="","",TEXT(원본데이터_SK!M6,"YYYY-MM-DD"))</f>
        <v>2026-02-06</v>
      </c>
      <c r="D6" t="str">
        <f>원본데이터_SK!F6</f>
        <v>58999583</v>
      </c>
      <c r="E6" t="str">
        <f>IFERROR(VLOOKUP(원본데이터_SK!F6,채널매핑!$B:$D,3,0),"미매핑")</f>
        <v>미매핑</v>
      </c>
      <c r="F6">
        <f>IFERROR(VLOOKUP(원본데이터_SK!F6,채널매핑!$B:$E,4,0),1)</f>
        <v>1</v>
      </c>
      <c r="G6">
        <f>원본데이터_SK!Q6</f>
        <v>1</v>
      </c>
      <c r="H6">
        <f>원본데이터_SK!O6</f>
        <v>119000</v>
      </c>
      <c r="I6">
        <f>원본데이터_SK!AG6</f>
        <v>119000</v>
      </c>
      <c r="J6">
        <f>원본데이터_SK!AH6</f>
        <v>82110</v>
      </c>
      <c r="K6">
        <f>IFERROR(VLOOKUP(E6,제품마스터!$A:$B,2,0),0)</f>
        <v>0</v>
      </c>
      <c r="L6">
        <f>원본데이터_SK!Q6*원본데이터_SK!P6</f>
        <v>82110</v>
      </c>
    </row>
    <row r="7" spans="1:12" x14ac:dyDescent="0.3">
      <c r="A7" t="s">
        <v>11</v>
      </c>
      <c r="B7" t="str">
        <f>원본데이터_SK!D7</f>
        <v>20260204816757</v>
      </c>
      <c r="C7" t="str">
        <f>IF(원본데이터_SK!M7="","",TEXT(원본데이터_SK!M7,"YYYY-MM-DD"))</f>
        <v>2026-02-06</v>
      </c>
      <c r="D7" t="str">
        <f>원본데이터_SK!F7</f>
        <v>58999583</v>
      </c>
      <c r="E7" t="str">
        <f>IFERROR(VLOOKUP(원본데이터_SK!F7,채널매핑!$B:$D,3,0),"미매핑")</f>
        <v>미매핑</v>
      </c>
      <c r="F7">
        <f>IFERROR(VLOOKUP(원본데이터_SK!F7,채널매핑!$B:$E,4,0),1)</f>
        <v>1</v>
      </c>
      <c r="G7">
        <f>원본데이터_SK!Q7</f>
        <v>1</v>
      </c>
      <c r="H7">
        <f>원본데이터_SK!O7</f>
        <v>119000</v>
      </c>
      <c r="I7">
        <f>원본데이터_SK!AG7</f>
        <v>119000</v>
      </c>
      <c r="J7">
        <f>원본데이터_SK!AH7</f>
        <v>82110</v>
      </c>
      <c r="K7">
        <f>IFERROR(VLOOKUP(E7,제품마스터!$A:$B,2,0),0)</f>
        <v>0</v>
      </c>
      <c r="L7">
        <f>원본데이터_SK!Q7*원본데이터_SK!P7</f>
        <v>82110</v>
      </c>
    </row>
    <row r="8" spans="1:12" x14ac:dyDescent="0.3">
      <c r="A8" t="s">
        <v>11</v>
      </c>
      <c r="B8" t="str">
        <f>원본데이터_SK!D8</f>
        <v>20260204838783</v>
      </c>
      <c r="C8" t="str">
        <f>IF(원본데이터_SK!M8="","",TEXT(원본데이터_SK!M8,"YYYY-MM-DD"))</f>
        <v>2026-02-06</v>
      </c>
      <c r="D8" t="str">
        <f>원본데이터_SK!F8</f>
        <v>58999583</v>
      </c>
      <c r="E8" t="str">
        <f>IFERROR(VLOOKUP(원본데이터_SK!F8,채널매핑!$B:$D,3,0),"미매핑")</f>
        <v>미매핑</v>
      </c>
      <c r="F8">
        <f>IFERROR(VLOOKUP(원본데이터_SK!F8,채널매핑!$B:$E,4,0),1)</f>
        <v>1</v>
      </c>
      <c r="G8">
        <f>원본데이터_SK!Q8</f>
        <v>1</v>
      </c>
      <c r="H8">
        <f>원본데이터_SK!O8</f>
        <v>119000</v>
      </c>
      <c r="I8">
        <f>원본데이터_SK!AG8</f>
        <v>101150</v>
      </c>
      <c r="J8">
        <f>원본데이터_SK!AH8</f>
        <v>82110</v>
      </c>
      <c r="K8">
        <f>IFERROR(VLOOKUP(E8,제품마스터!$A:$B,2,0),0)</f>
        <v>0</v>
      </c>
      <c r="L8">
        <f>원본데이터_SK!Q8*원본데이터_SK!P8</f>
        <v>82110</v>
      </c>
    </row>
    <row r="9" spans="1:12" x14ac:dyDescent="0.3">
      <c r="A9" t="s">
        <v>11</v>
      </c>
      <c r="B9" t="str">
        <f>원본데이터_SK!D9</f>
        <v>20260205993814</v>
      </c>
      <c r="C9" t="str">
        <f>IF(원본데이터_SK!M9="","",TEXT(원본데이터_SK!M9,"YYYY-MM-DD"))</f>
        <v>2026-02-07</v>
      </c>
      <c r="D9" t="str">
        <f>원본데이터_SK!F9</f>
        <v>58481090</v>
      </c>
      <c r="E9" t="str">
        <f>IFERROR(VLOOKUP(원본데이터_SK!F9,채널매핑!$B:$D,3,0),"미매핑")</f>
        <v>미매핑</v>
      </c>
      <c r="F9">
        <f>IFERROR(VLOOKUP(원본데이터_SK!F9,채널매핑!$B:$E,4,0),1)</f>
        <v>1</v>
      </c>
      <c r="G9">
        <f>원본데이터_SK!Q9</f>
        <v>2</v>
      </c>
      <c r="H9">
        <f>원본데이터_SK!O9</f>
        <v>119000</v>
      </c>
      <c r="I9">
        <f>원본데이터_SK!AG9</f>
        <v>238000</v>
      </c>
      <c r="J9">
        <f>원본데이터_SK!AH9</f>
        <v>164220</v>
      </c>
      <c r="K9">
        <f>IFERROR(VLOOKUP(E9,제품마스터!$A:$B,2,0),0)</f>
        <v>0</v>
      </c>
      <c r="L9">
        <f>원본데이터_SK!Q9*원본데이터_SK!P9</f>
        <v>164220</v>
      </c>
    </row>
    <row r="10" spans="1:12" x14ac:dyDescent="0.3">
      <c r="A10" t="s">
        <v>11</v>
      </c>
      <c r="B10" t="str">
        <f>원본데이터_SK!D10</f>
        <v>20260205994105</v>
      </c>
      <c r="C10" t="str">
        <f>IF(원본데이터_SK!M10="","",TEXT(원본데이터_SK!M10,"YYYY-MM-DD"))</f>
        <v>2026-02-07</v>
      </c>
      <c r="D10" t="str">
        <f>원본데이터_SK!F10</f>
        <v>58481090</v>
      </c>
      <c r="E10" t="str">
        <f>IFERROR(VLOOKUP(원본데이터_SK!F10,채널매핑!$B:$D,3,0),"미매핑")</f>
        <v>미매핑</v>
      </c>
      <c r="F10">
        <f>IFERROR(VLOOKUP(원본데이터_SK!F10,채널매핑!$B:$E,4,0),1)</f>
        <v>1</v>
      </c>
      <c r="G10">
        <f>원본데이터_SK!Q10</f>
        <v>1</v>
      </c>
      <c r="H10">
        <f>원본데이터_SK!O10</f>
        <v>119000</v>
      </c>
      <c r="I10">
        <f>원본데이터_SK!AG10</f>
        <v>119000</v>
      </c>
      <c r="J10">
        <f>원본데이터_SK!AH10</f>
        <v>82110</v>
      </c>
      <c r="K10">
        <f>IFERROR(VLOOKUP(E10,제품마스터!$A:$B,2,0),0)</f>
        <v>0</v>
      </c>
      <c r="L10">
        <f>원본데이터_SK!Q10*원본데이터_SK!P10</f>
        <v>82110</v>
      </c>
    </row>
    <row r="11" spans="1:12" x14ac:dyDescent="0.3">
      <c r="A11" t="s">
        <v>11</v>
      </c>
      <c r="B11" t="str">
        <f>원본데이터_SK!D11</f>
        <v>20260205995257</v>
      </c>
      <c r="C11" t="str">
        <f>IF(원본데이터_SK!M11="","",TEXT(원본데이터_SK!M11,"YYYY-MM-DD"))</f>
        <v>2026-02-07</v>
      </c>
      <c r="D11" t="str">
        <f>원본데이터_SK!F11</f>
        <v>58481090</v>
      </c>
      <c r="E11" t="str">
        <f>IFERROR(VLOOKUP(원본데이터_SK!F11,채널매핑!$B:$D,3,0),"미매핑")</f>
        <v>미매핑</v>
      </c>
      <c r="F11">
        <f>IFERROR(VLOOKUP(원본데이터_SK!F11,채널매핑!$B:$E,4,0),1)</f>
        <v>1</v>
      </c>
      <c r="G11">
        <f>원본데이터_SK!Q11</f>
        <v>1</v>
      </c>
      <c r="H11">
        <f>원본데이터_SK!O11</f>
        <v>119000</v>
      </c>
      <c r="I11">
        <f>원본데이터_SK!AG11</f>
        <v>119000</v>
      </c>
      <c r="J11">
        <f>원본데이터_SK!AH11</f>
        <v>82110</v>
      </c>
      <c r="K11">
        <f>IFERROR(VLOOKUP(E11,제품마스터!$A:$B,2,0),0)</f>
        <v>0</v>
      </c>
      <c r="L11">
        <f>원본데이터_SK!Q11*원본데이터_SK!P11</f>
        <v>82110</v>
      </c>
    </row>
    <row r="12" spans="1:12" x14ac:dyDescent="0.3">
      <c r="A12" t="s">
        <v>11</v>
      </c>
      <c r="B12" t="str">
        <f>원본데이터_SK!D12</f>
        <v>20260205993931</v>
      </c>
      <c r="C12" t="str">
        <f>IF(원본데이터_SK!M12="","",TEXT(원본데이터_SK!M12,"YYYY-MM-DD"))</f>
        <v>2026-02-07</v>
      </c>
      <c r="D12" t="str">
        <f>원본데이터_SK!F12</f>
        <v>58481090</v>
      </c>
      <c r="E12" t="str">
        <f>IFERROR(VLOOKUP(원본데이터_SK!F12,채널매핑!$B:$D,3,0),"미매핑")</f>
        <v>미매핑</v>
      </c>
      <c r="F12">
        <f>IFERROR(VLOOKUP(원본데이터_SK!F12,채널매핑!$B:$E,4,0),1)</f>
        <v>1</v>
      </c>
      <c r="G12">
        <f>원본데이터_SK!Q12</f>
        <v>1</v>
      </c>
      <c r="H12">
        <f>원본데이터_SK!O12</f>
        <v>119000</v>
      </c>
      <c r="I12">
        <f>원본데이터_SK!AG12</f>
        <v>119000</v>
      </c>
      <c r="J12">
        <f>원본데이터_SK!AH12</f>
        <v>82110</v>
      </c>
      <c r="K12">
        <f>IFERROR(VLOOKUP(E12,제품마스터!$A:$B,2,0),0)</f>
        <v>0</v>
      </c>
      <c r="L12">
        <f>원본데이터_SK!Q12*원본데이터_SK!P12</f>
        <v>82110</v>
      </c>
    </row>
    <row r="13" spans="1:12" x14ac:dyDescent="0.3">
      <c r="A13" t="s">
        <v>11</v>
      </c>
      <c r="B13" t="str">
        <f>원본데이터_SK!D13</f>
        <v>20260205992438</v>
      </c>
      <c r="C13" t="str">
        <f>IF(원본데이터_SK!M13="","",TEXT(원본데이터_SK!M13,"YYYY-MM-DD"))</f>
        <v>2026-02-07</v>
      </c>
      <c r="D13" t="str">
        <f>원본데이터_SK!F13</f>
        <v>58481090</v>
      </c>
      <c r="E13" t="str">
        <f>IFERROR(VLOOKUP(원본데이터_SK!F13,채널매핑!$B:$D,3,0),"미매핑")</f>
        <v>미매핑</v>
      </c>
      <c r="F13">
        <f>IFERROR(VLOOKUP(원본데이터_SK!F13,채널매핑!$B:$E,4,0),1)</f>
        <v>1</v>
      </c>
      <c r="G13">
        <f>원본데이터_SK!Q13</f>
        <v>1</v>
      </c>
      <c r="H13">
        <f>원본데이터_SK!O13</f>
        <v>119000</v>
      </c>
      <c r="I13">
        <f>원본데이터_SK!AG13</f>
        <v>119000</v>
      </c>
      <c r="J13">
        <f>원본데이터_SK!AH13</f>
        <v>82110</v>
      </c>
      <c r="K13">
        <f>IFERROR(VLOOKUP(E13,제품마스터!$A:$B,2,0),0)</f>
        <v>0</v>
      </c>
      <c r="L13">
        <f>원본데이터_SK!Q13*원본데이터_SK!P13</f>
        <v>82110</v>
      </c>
    </row>
    <row r="14" spans="1:12" x14ac:dyDescent="0.3">
      <c r="A14" t="s">
        <v>11</v>
      </c>
      <c r="B14" t="str">
        <f>원본데이터_SK!D14</f>
        <v>20260205992964</v>
      </c>
      <c r="C14" t="str">
        <f>IF(원본데이터_SK!M14="","",TEXT(원본데이터_SK!M14,"YYYY-MM-DD"))</f>
        <v>2026-02-07</v>
      </c>
      <c r="D14" t="str">
        <f>원본데이터_SK!F14</f>
        <v>58481090</v>
      </c>
      <c r="E14" t="str">
        <f>IFERROR(VLOOKUP(원본데이터_SK!F14,채널매핑!$B:$D,3,0),"미매핑")</f>
        <v>미매핑</v>
      </c>
      <c r="F14">
        <f>IFERROR(VLOOKUP(원본데이터_SK!F14,채널매핑!$B:$E,4,0),1)</f>
        <v>1</v>
      </c>
      <c r="G14">
        <f>원본데이터_SK!Q14</f>
        <v>1</v>
      </c>
      <c r="H14">
        <f>원본데이터_SK!O14</f>
        <v>119000</v>
      </c>
      <c r="I14">
        <f>원본데이터_SK!AG14</f>
        <v>113050</v>
      </c>
      <c r="J14">
        <f>원본데이터_SK!AH14</f>
        <v>82110</v>
      </c>
      <c r="K14">
        <f>IFERROR(VLOOKUP(E14,제품마스터!$A:$B,2,0),0)</f>
        <v>0</v>
      </c>
      <c r="L14">
        <f>원본데이터_SK!Q14*원본데이터_SK!P14</f>
        <v>82110</v>
      </c>
    </row>
    <row r="15" spans="1:12" x14ac:dyDescent="0.3">
      <c r="A15" t="s">
        <v>11</v>
      </c>
      <c r="B15" t="str">
        <f>원본데이터_SK!D15</f>
        <v>20260205995526</v>
      </c>
      <c r="C15" t="str">
        <f>IF(원본데이터_SK!M15="","",TEXT(원본데이터_SK!M15,"YYYY-MM-DD"))</f>
        <v>2026-02-07</v>
      </c>
      <c r="D15" t="str">
        <f>원본데이터_SK!F15</f>
        <v>58481090</v>
      </c>
      <c r="E15" t="str">
        <f>IFERROR(VLOOKUP(원본데이터_SK!F15,채널매핑!$B:$D,3,0),"미매핑")</f>
        <v>미매핑</v>
      </c>
      <c r="F15">
        <f>IFERROR(VLOOKUP(원본데이터_SK!F15,채널매핑!$B:$E,4,0),1)</f>
        <v>1</v>
      </c>
      <c r="G15">
        <f>원본데이터_SK!Q15</f>
        <v>1</v>
      </c>
      <c r="H15">
        <f>원본데이터_SK!O15</f>
        <v>119000</v>
      </c>
      <c r="I15">
        <f>원본데이터_SK!AG15</f>
        <v>119000</v>
      </c>
      <c r="J15">
        <f>원본데이터_SK!AH15</f>
        <v>82110</v>
      </c>
      <c r="K15">
        <f>IFERROR(VLOOKUP(E15,제품마스터!$A:$B,2,0),0)</f>
        <v>0</v>
      </c>
      <c r="L15">
        <f>원본데이터_SK!Q15*원본데이터_SK!P15</f>
        <v>82110</v>
      </c>
    </row>
    <row r="16" spans="1:12" x14ac:dyDescent="0.3">
      <c r="A16" t="s">
        <v>11</v>
      </c>
      <c r="B16" t="str">
        <f>원본데이터_SK!D16</f>
        <v>20260205995622</v>
      </c>
      <c r="C16" t="str">
        <f>IF(원본데이터_SK!M16="","",TEXT(원본데이터_SK!M16,"YYYY-MM-DD"))</f>
        <v>2026-02-07</v>
      </c>
      <c r="D16" t="str">
        <f>원본데이터_SK!F16</f>
        <v>58481090</v>
      </c>
      <c r="E16" t="str">
        <f>IFERROR(VLOOKUP(원본데이터_SK!F16,채널매핑!$B:$D,3,0),"미매핑")</f>
        <v>미매핑</v>
      </c>
      <c r="F16">
        <f>IFERROR(VLOOKUP(원본데이터_SK!F16,채널매핑!$B:$E,4,0),1)</f>
        <v>1</v>
      </c>
      <c r="G16">
        <f>원본데이터_SK!Q16</f>
        <v>1</v>
      </c>
      <c r="H16">
        <f>원본데이터_SK!O16</f>
        <v>119000</v>
      </c>
      <c r="I16">
        <f>원본데이터_SK!AG16</f>
        <v>119000</v>
      </c>
      <c r="J16">
        <f>원본데이터_SK!AH16</f>
        <v>82110</v>
      </c>
      <c r="K16">
        <f>IFERROR(VLOOKUP(E16,제품마스터!$A:$B,2,0),0)</f>
        <v>0</v>
      </c>
      <c r="L16">
        <f>원본데이터_SK!Q16*원본데이터_SK!P16</f>
        <v>82110</v>
      </c>
    </row>
    <row r="17" spans="1:12" x14ac:dyDescent="0.3">
      <c r="A17" t="s">
        <v>11</v>
      </c>
      <c r="B17" t="str">
        <f>원본데이터_SK!D17</f>
        <v>20260205997344</v>
      </c>
      <c r="C17" t="str">
        <f>IF(원본데이터_SK!M17="","",TEXT(원본데이터_SK!M17,"YYYY-MM-DD"))</f>
        <v>2026-02-07</v>
      </c>
      <c r="D17" t="str">
        <f>원본데이터_SK!F17</f>
        <v>58481090</v>
      </c>
      <c r="E17" t="str">
        <f>IFERROR(VLOOKUP(원본데이터_SK!F17,채널매핑!$B:$D,3,0),"미매핑")</f>
        <v>미매핑</v>
      </c>
      <c r="F17">
        <f>IFERROR(VLOOKUP(원본데이터_SK!F17,채널매핑!$B:$E,4,0),1)</f>
        <v>1</v>
      </c>
      <c r="G17">
        <f>원본데이터_SK!Q17</f>
        <v>1</v>
      </c>
      <c r="H17">
        <f>원본데이터_SK!O17</f>
        <v>119000</v>
      </c>
      <c r="I17">
        <f>원본데이터_SK!AG17</f>
        <v>113050</v>
      </c>
      <c r="J17">
        <f>원본데이터_SK!AH17</f>
        <v>82110</v>
      </c>
      <c r="K17">
        <f>IFERROR(VLOOKUP(E17,제품마스터!$A:$B,2,0),0)</f>
        <v>0</v>
      </c>
      <c r="L17">
        <f>원본데이터_SK!Q17*원본데이터_SK!P17</f>
        <v>82110</v>
      </c>
    </row>
    <row r="18" spans="1:12" x14ac:dyDescent="0.3">
      <c r="A18" t="s">
        <v>11</v>
      </c>
      <c r="B18" t="str">
        <f>원본데이터_SK!D18</f>
        <v>20260205995265</v>
      </c>
      <c r="C18" t="str">
        <f>IF(원본데이터_SK!M18="","",TEXT(원본데이터_SK!M18,"YYYY-MM-DD"))</f>
        <v>2026-02-07</v>
      </c>
      <c r="D18" t="str">
        <f>원본데이터_SK!F18</f>
        <v>58481090</v>
      </c>
      <c r="E18" t="str">
        <f>IFERROR(VLOOKUP(원본데이터_SK!F18,채널매핑!$B:$D,3,0),"미매핑")</f>
        <v>미매핑</v>
      </c>
      <c r="F18">
        <f>IFERROR(VLOOKUP(원본데이터_SK!F18,채널매핑!$B:$E,4,0),1)</f>
        <v>1</v>
      </c>
      <c r="G18">
        <f>원본데이터_SK!Q18</f>
        <v>1</v>
      </c>
      <c r="H18">
        <f>원본데이터_SK!O18</f>
        <v>119000</v>
      </c>
      <c r="I18">
        <f>원본데이터_SK!AG18</f>
        <v>119000</v>
      </c>
      <c r="J18">
        <f>원본데이터_SK!AH18</f>
        <v>82110</v>
      </c>
      <c r="K18">
        <f>IFERROR(VLOOKUP(E18,제품마스터!$A:$B,2,0),0)</f>
        <v>0</v>
      </c>
      <c r="L18">
        <f>원본데이터_SK!Q18*원본데이터_SK!P18</f>
        <v>82110</v>
      </c>
    </row>
    <row r="19" spans="1:12" x14ac:dyDescent="0.3">
      <c r="A19" t="s">
        <v>11</v>
      </c>
      <c r="B19" t="str">
        <f>원본데이터_SK!D19</f>
        <v>20260205994047</v>
      </c>
      <c r="C19" t="str">
        <f>IF(원본데이터_SK!M19="","",TEXT(원본데이터_SK!M19,"YYYY-MM-DD"))</f>
        <v>2026-02-07</v>
      </c>
      <c r="D19" t="str">
        <f>원본데이터_SK!F19</f>
        <v>58481090</v>
      </c>
      <c r="E19" t="str">
        <f>IFERROR(VLOOKUP(원본데이터_SK!F19,채널매핑!$B:$D,3,0),"미매핑")</f>
        <v>미매핑</v>
      </c>
      <c r="F19">
        <f>IFERROR(VLOOKUP(원본데이터_SK!F19,채널매핑!$B:$E,4,0),1)</f>
        <v>1</v>
      </c>
      <c r="G19">
        <f>원본데이터_SK!Q19</f>
        <v>1</v>
      </c>
      <c r="H19">
        <f>원본데이터_SK!O19</f>
        <v>119000</v>
      </c>
      <c r="I19">
        <f>원본데이터_SK!AG19</f>
        <v>114000</v>
      </c>
      <c r="J19">
        <f>원본데이터_SK!AH19</f>
        <v>82110</v>
      </c>
      <c r="K19">
        <f>IFERROR(VLOOKUP(E19,제품마스터!$A:$B,2,0),0)</f>
        <v>0</v>
      </c>
      <c r="L19">
        <f>원본데이터_SK!Q19*원본데이터_SK!P19</f>
        <v>82110</v>
      </c>
    </row>
    <row r="20" spans="1:12" x14ac:dyDescent="0.3">
      <c r="A20" t="s">
        <v>11</v>
      </c>
      <c r="B20" t="str">
        <f>원본데이터_SK!D20</f>
        <v>20260205995035</v>
      </c>
      <c r="C20" t="str">
        <f>IF(원본데이터_SK!M20="","",TEXT(원본데이터_SK!M20,"YYYY-MM-DD"))</f>
        <v>2026-02-07</v>
      </c>
      <c r="D20" t="str">
        <f>원본데이터_SK!F20</f>
        <v>58481090</v>
      </c>
      <c r="E20" t="str">
        <f>IFERROR(VLOOKUP(원본데이터_SK!F20,채널매핑!$B:$D,3,0),"미매핑")</f>
        <v>미매핑</v>
      </c>
      <c r="F20">
        <f>IFERROR(VLOOKUP(원본데이터_SK!F20,채널매핑!$B:$E,4,0),1)</f>
        <v>1</v>
      </c>
      <c r="G20">
        <f>원본데이터_SK!Q20</f>
        <v>1</v>
      </c>
      <c r="H20">
        <f>원본데이터_SK!O20</f>
        <v>119000</v>
      </c>
      <c r="I20">
        <f>원본데이터_SK!AG20</f>
        <v>119000</v>
      </c>
      <c r="J20">
        <f>원본데이터_SK!AH20</f>
        <v>82110</v>
      </c>
      <c r="K20">
        <f>IFERROR(VLOOKUP(E20,제품마스터!$A:$B,2,0),0)</f>
        <v>0</v>
      </c>
      <c r="L20">
        <f>원본데이터_SK!Q20*원본데이터_SK!P20</f>
        <v>82110</v>
      </c>
    </row>
    <row r="21" spans="1:12" x14ac:dyDescent="0.3">
      <c r="A21" t="s">
        <v>11</v>
      </c>
      <c r="B21" t="str">
        <f>원본데이터_SK!D21</f>
        <v>20260205994804</v>
      </c>
      <c r="C21" t="str">
        <f>IF(원본데이터_SK!M21="","",TEXT(원본데이터_SK!M21,"YYYY-MM-DD"))</f>
        <v>2026-02-07</v>
      </c>
      <c r="D21" t="str">
        <f>원본데이터_SK!F21</f>
        <v>58481090</v>
      </c>
      <c r="E21" t="str">
        <f>IFERROR(VLOOKUP(원본데이터_SK!F21,채널매핑!$B:$D,3,0),"미매핑")</f>
        <v>미매핑</v>
      </c>
      <c r="F21">
        <f>IFERROR(VLOOKUP(원본데이터_SK!F21,채널매핑!$B:$E,4,0),1)</f>
        <v>1</v>
      </c>
      <c r="G21">
        <f>원본데이터_SK!Q21</f>
        <v>1</v>
      </c>
      <c r="H21">
        <f>원본데이터_SK!O21</f>
        <v>119000</v>
      </c>
      <c r="I21">
        <f>원본데이터_SK!AG21</f>
        <v>119000</v>
      </c>
      <c r="J21">
        <f>원본데이터_SK!AH21</f>
        <v>82110</v>
      </c>
      <c r="K21">
        <f>IFERROR(VLOOKUP(E21,제품마스터!$A:$B,2,0),0)</f>
        <v>0</v>
      </c>
      <c r="L21">
        <f>원본데이터_SK!Q21*원본데이터_SK!P21</f>
        <v>82110</v>
      </c>
    </row>
    <row r="22" spans="1:12" x14ac:dyDescent="0.3">
      <c r="A22" t="s">
        <v>11</v>
      </c>
      <c r="B22" t="str">
        <f>원본데이터_SK!D22</f>
        <v>20260205993699</v>
      </c>
      <c r="C22" t="str">
        <f>IF(원본데이터_SK!M22="","",TEXT(원본데이터_SK!M22,"YYYY-MM-DD"))</f>
        <v>2026-02-07</v>
      </c>
      <c r="D22" t="str">
        <f>원본데이터_SK!F22</f>
        <v>58481090</v>
      </c>
      <c r="E22" t="str">
        <f>IFERROR(VLOOKUP(원본데이터_SK!F22,채널매핑!$B:$D,3,0),"미매핑")</f>
        <v>미매핑</v>
      </c>
      <c r="F22">
        <f>IFERROR(VLOOKUP(원본데이터_SK!F22,채널매핑!$B:$E,4,0),1)</f>
        <v>1</v>
      </c>
      <c r="G22">
        <f>원본데이터_SK!Q22</f>
        <v>1</v>
      </c>
      <c r="H22">
        <f>원본데이터_SK!O22</f>
        <v>119000</v>
      </c>
      <c r="I22">
        <f>원본데이터_SK!AG22</f>
        <v>105910</v>
      </c>
      <c r="J22">
        <f>원본데이터_SK!AH22</f>
        <v>82110</v>
      </c>
      <c r="K22">
        <f>IFERROR(VLOOKUP(E22,제품마스터!$A:$B,2,0),0)</f>
        <v>0</v>
      </c>
      <c r="L22">
        <f>원본데이터_SK!Q22*원본데이터_SK!P22</f>
        <v>82110</v>
      </c>
    </row>
    <row r="23" spans="1:12" x14ac:dyDescent="0.3">
      <c r="A23" t="s">
        <v>11</v>
      </c>
      <c r="B23" t="str">
        <f>원본데이터_SK!D23</f>
        <v>20260205995624</v>
      </c>
      <c r="C23" t="str">
        <f>IF(원본데이터_SK!M23="","",TEXT(원본데이터_SK!M23,"YYYY-MM-DD"))</f>
        <v>2026-02-07</v>
      </c>
      <c r="D23" t="str">
        <f>원본데이터_SK!F23</f>
        <v>58481090</v>
      </c>
      <c r="E23" t="str">
        <f>IFERROR(VLOOKUP(원본데이터_SK!F23,채널매핑!$B:$D,3,0),"미매핑")</f>
        <v>미매핑</v>
      </c>
      <c r="F23">
        <f>IFERROR(VLOOKUP(원본데이터_SK!F23,채널매핑!$B:$E,4,0),1)</f>
        <v>1</v>
      </c>
      <c r="G23">
        <f>원본데이터_SK!Q23</f>
        <v>1</v>
      </c>
      <c r="H23">
        <f>원본데이터_SK!O23</f>
        <v>119000</v>
      </c>
      <c r="I23">
        <f>원본데이터_SK!AG23</f>
        <v>119000</v>
      </c>
      <c r="J23">
        <f>원본데이터_SK!AH23</f>
        <v>82110</v>
      </c>
      <c r="K23">
        <f>IFERROR(VLOOKUP(E23,제품마스터!$A:$B,2,0),0)</f>
        <v>0</v>
      </c>
      <c r="L23">
        <f>원본데이터_SK!Q23*원본데이터_SK!P23</f>
        <v>82110</v>
      </c>
    </row>
    <row r="24" spans="1:12" x14ac:dyDescent="0.3">
      <c r="A24" t="s">
        <v>11</v>
      </c>
      <c r="B24" t="str">
        <f>원본데이터_SK!D24</f>
        <v>20260205994327</v>
      </c>
      <c r="C24" t="str">
        <f>IF(원본데이터_SK!M24="","",TEXT(원본데이터_SK!M24,"YYYY-MM-DD"))</f>
        <v>2026-02-07</v>
      </c>
      <c r="D24" t="str">
        <f>원본데이터_SK!F24</f>
        <v>58481090</v>
      </c>
      <c r="E24" t="str">
        <f>IFERROR(VLOOKUP(원본데이터_SK!F24,채널매핑!$B:$D,3,0),"미매핑")</f>
        <v>미매핑</v>
      </c>
      <c r="F24">
        <f>IFERROR(VLOOKUP(원본데이터_SK!F24,채널매핑!$B:$E,4,0),1)</f>
        <v>1</v>
      </c>
      <c r="G24">
        <f>원본데이터_SK!Q24</f>
        <v>1</v>
      </c>
      <c r="H24">
        <f>원본데이터_SK!O24</f>
        <v>119000</v>
      </c>
      <c r="I24">
        <f>원본데이터_SK!AG24</f>
        <v>119000</v>
      </c>
      <c r="J24">
        <f>원본데이터_SK!AH24</f>
        <v>82110</v>
      </c>
      <c r="K24">
        <f>IFERROR(VLOOKUP(E24,제품마스터!$A:$B,2,0),0)</f>
        <v>0</v>
      </c>
      <c r="L24">
        <f>원본데이터_SK!Q24*원본데이터_SK!P24</f>
        <v>82110</v>
      </c>
    </row>
    <row r="25" spans="1:12" x14ac:dyDescent="0.3">
      <c r="A25" t="s">
        <v>11</v>
      </c>
      <c r="B25" t="str">
        <f>원본데이터_SK!D25</f>
        <v>20260205994708</v>
      </c>
      <c r="C25" t="str">
        <f>IF(원본데이터_SK!M25="","",TEXT(원본데이터_SK!M25,"YYYY-MM-DD"))</f>
        <v>2026-02-07</v>
      </c>
      <c r="D25" t="str">
        <f>원본데이터_SK!F25</f>
        <v>58481090</v>
      </c>
      <c r="E25" t="str">
        <f>IFERROR(VLOOKUP(원본데이터_SK!F25,채널매핑!$B:$D,3,0),"미매핑")</f>
        <v>미매핑</v>
      </c>
      <c r="F25">
        <f>IFERROR(VLOOKUP(원본데이터_SK!F25,채널매핑!$B:$E,4,0),1)</f>
        <v>1</v>
      </c>
      <c r="G25">
        <f>원본데이터_SK!Q25</f>
        <v>1</v>
      </c>
      <c r="H25">
        <f>원본데이터_SK!O25</f>
        <v>119000</v>
      </c>
      <c r="I25">
        <f>원본데이터_SK!AG25</f>
        <v>119000</v>
      </c>
      <c r="J25">
        <f>원본데이터_SK!AH25</f>
        <v>82110</v>
      </c>
      <c r="K25">
        <f>IFERROR(VLOOKUP(E25,제품마스터!$A:$B,2,0),0)</f>
        <v>0</v>
      </c>
      <c r="L25">
        <f>원본데이터_SK!Q25*원본데이터_SK!P25</f>
        <v>82110</v>
      </c>
    </row>
    <row r="26" spans="1:12" x14ac:dyDescent="0.3">
      <c r="A26" t="s">
        <v>11</v>
      </c>
      <c r="B26" t="str">
        <f>원본데이터_SK!D26</f>
        <v>20260205994944</v>
      </c>
      <c r="C26" t="str">
        <f>IF(원본데이터_SK!M26="","",TEXT(원본데이터_SK!M26,"YYYY-MM-DD"))</f>
        <v>2026-02-07</v>
      </c>
      <c r="D26" t="str">
        <f>원본데이터_SK!F26</f>
        <v>58481090</v>
      </c>
      <c r="E26" t="str">
        <f>IFERROR(VLOOKUP(원본데이터_SK!F26,채널매핑!$B:$D,3,0),"미매핑")</f>
        <v>미매핑</v>
      </c>
      <c r="F26">
        <f>IFERROR(VLOOKUP(원본데이터_SK!F26,채널매핑!$B:$E,4,0),1)</f>
        <v>1</v>
      </c>
      <c r="G26">
        <f>원본데이터_SK!Q26</f>
        <v>1</v>
      </c>
      <c r="H26">
        <f>원본데이터_SK!O26</f>
        <v>119000</v>
      </c>
      <c r="I26">
        <f>원본데이터_SK!AG26</f>
        <v>105910</v>
      </c>
      <c r="J26">
        <f>원본데이터_SK!AH26</f>
        <v>82110</v>
      </c>
      <c r="K26">
        <f>IFERROR(VLOOKUP(E26,제품마스터!$A:$B,2,0),0)</f>
        <v>0</v>
      </c>
      <c r="L26">
        <f>원본데이터_SK!Q26*원본데이터_SK!P26</f>
        <v>82110</v>
      </c>
    </row>
    <row r="27" spans="1:12" x14ac:dyDescent="0.3">
      <c r="A27" t="s">
        <v>11</v>
      </c>
      <c r="B27" t="str">
        <f>원본데이터_SK!D27</f>
        <v>20260205993006</v>
      </c>
      <c r="C27" t="str">
        <f>IF(원본데이터_SK!M27="","",TEXT(원본데이터_SK!M27,"YYYY-MM-DD"))</f>
        <v>2026-02-07</v>
      </c>
      <c r="D27" t="str">
        <f>원본데이터_SK!F27</f>
        <v>58481090</v>
      </c>
      <c r="E27" t="str">
        <f>IFERROR(VLOOKUP(원본데이터_SK!F27,채널매핑!$B:$D,3,0),"미매핑")</f>
        <v>미매핑</v>
      </c>
      <c r="F27">
        <f>IFERROR(VLOOKUP(원본데이터_SK!F27,채널매핑!$B:$E,4,0),1)</f>
        <v>1</v>
      </c>
      <c r="G27">
        <f>원본데이터_SK!Q27</f>
        <v>1</v>
      </c>
      <c r="H27">
        <f>원본데이터_SK!O27</f>
        <v>119000</v>
      </c>
      <c r="I27">
        <f>원본데이터_SK!AG27</f>
        <v>119000</v>
      </c>
      <c r="J27">
        <f>원본데이터_SK!AH27</f>
        <v>82110</v>
      </c>
      <c r="K27">
        <f>IFERROR(VLOOKUP(E27,제품마스터!$A:$B,2,0),0)</f>
        <v>0</v>
      </c>
      <c r="L27">
        <f>원본데이터_SK!Q27*원본데이터_SK!P27</f>
        <v>82110</v>
      </c>
    </row>
    <row r="28" spans="1:12" x14ac:dyDescent="0.3">
      <c r="A28" t="s">
        <v>11</v>
      </c>
      <c r="B28" t="str">
        <f>원본데이터_SK!D28</f>
        <v>20260205993208</v>
      </c>
      <c r="C28" t="str">
        <f>IF(원본데이터_SK!M28="","",TEXT(원본데이터_SK!M28,"YYYY-MM-DD"))</f>
        <v>2026-02-07</v>
      </c>
      <c r="D28" t="str">
        <f>원본데이터_SK!F28</f>
        <v>58481090</v>
      </c>
      <c r="E28" t="str">
        <f>IFERROR(VLOOKUP(원본데이터_SK!F28,채널매핑!$B:$D,3,0),"미매핑")</f>
        <v>미매핑</v>
      </c>
      <c r="F28">
        <f>IFERROR(VLOOKUP(원본데이터_SK!F28,채널매핑!$B:$E,4,0),1)</f>
        <v>1</v>
      </c>
      <c r="G28">
        <f>원본데이터_SK!Q28</f>
        <v>1</v>
      </c>
      <c r="H28">
        <f>원본데이터_SK!O28</f>
        <v>119000</v>
      </c>
      <c r="I28">
        <f>원본데이터_SK!AG28</f>
        <v>96390</v>
      </c>
      <c r="J28">
        <f>원본데이터_SK!AH28</f>
        <v>82110</v>
      </c>
      <c r="K28">
        <f>IFERROR(VLOOKUP(E28,제품마스터!$A:$B,2,0),0)</f>
        <v>0</v>
      </c>
      <c r="L28">
        <f>원본데이터_SK!Q28*원본데이터_SK!P28</f>
        <v>82110</v>
      </c>
    </row>
    <row r="29" spans="1:12" x14ac:dyDescent="0.3">
      <c r="A29" t="s">
        <v>11</v>
      </c>
      <c r="B29" t="str">
        <f>원본데이터_SK!D29</f>
        <v>20260205994165</v>
      </c>
      <c r="C29" t="str">
        <f>IF(원본데이터_SK!M29="","",TEXT(원본데이터_SK!M29,"YYYY-MM-DD"))</f>
        <v>2026-02-07</v>
      </c>
      <c r="D29" t="str">
        <f>원본데이터_SK!F29</f>
        <v>58481090</v>
      </c>
      <c r="E29" t="str">
        <f>IFERROR(VLOOKUP(원본데이터_SK!F29,채널매핑!$B:$D,3,0),"미매핑")</f>
        <v>미매핑</v>
      </c>
      <c r="F29">
        <f>IFERROR(VLOOKUP(원본데이터_SK!F29,채널매핑!$B:$E,4,0),1)</f>
        <v>1</v>
      </c>
      <c r="G29">
        <f>원본데이터_SK!Q29</f>
        <v>1</v>
      </c>
      <c r="H29">
        <f>원본데이터_SK!O29</f>
        <v>119000</v>
      </c>
      <c r="I29">
        <f>원본데이터_SK!AG29</f>
        <v>109000</v>
      </c>
      <c r="J29">
        <f>원본데이터_SK!AH29</f>
        <v>82110</v>
      </c>
      <c r="K29">
        <f>IFERROR(VLOOKUP(E29,제품마스터!$A:$B,2,0),0)</f>
        <v>0</v>
      </c>
      <c r="L29">
        <f>원본데이터_SK!Q29*원본데이터_SK!P29</f>
        <v>82110</v>
      </c>
    </row>
    <row r="30" spans="1:12" x14ac:dyDescent="0.3">
      <c r="A30" t="s">
        <v>11</v>
      </c>
      <c r="B30" t="str">
        <f>원본데이터_SK!D30</f>
        <v>20260205994774</v>
      </c>
      <c r="C30" t="str">
        <f>IF(원본데이터_SK!M30="","",TEXT(원본데이터_SK!M30,"YYYY-MM-DD"))</f>
        <v>2026-02-07</v>
      </c>
      <c r="D30" t="str">
        <f>원본데이터_SK!F30</f>
        <v>58481090</v>
      </c>
      <c r="E30" t="str">
        <f>IFERROR(VLOOKUP(원본데이터_SK!F30,채널매핑!$B:$D,3,0),"미매핑")</f>
        <v>미매핑</v>
      </c>
      <c r="F30">
        <f>IFERROR(VLOOKUP(원본데이터_SK!F30,채널매핑!$B:$E,4,0),1)</f>
        <v>1</v>
      </c>
      <c r="G30">
        <f>원본데이터_SK!Q30</f>
        <v>1</v>
      </c>
      <c r="H30">
        <f>원본데이터_SK!O30</f>
        <v>119000</v>
      </c>
      <c r="I30">
        <f>원본데이터_SK!AG30</f>
        <v>119000</v>
      </c>
      <c r="J30">
        <f>원본데이터_SK!AH30</f>
        <v>82110</v>
      </c>
      <c r="K30">
        <f>IFERROR(VLOOKUP(E30,제품마스터!$A:$B,2,0),0)</f>
        <v>0</v>
      </c>
      <c r="L30">
        <f>원본데이터_SK!Q30*원본데이터_SK!P30</f>
        <v>82110</v>
      </c>
    </row>
    <row r="31" spans="1:12" x14ac:dyDescent="0.3">
      <c r="A31" t="s">
        <v>11</v>
      </c>
      <c r="B31" t="str">
        <f>원본데이터_SK!D31</f>
        <v>20260205993002</v>
      </c>
      <c r="C31" t="str">
        <f>IF(원본데이터_SK!M31="","",TEXT(원본데이터_SK!M31,"YYYY-MM-DD"))</f>
        <v>2026-02-07</v>
      </c>
      <c r="D31" t="str">
        <f>원본데이터_SK!F31</f>
        <v>58481090</v>
      </c>
      <c r="E31" t="str">
        <f>IFERROR(VLOOKUP(원본데이터_SK!F31,채널매핑!$B:$D,3,0),"미매핑")</f>
        <v>미매핑</v>
      </c>
      <c r="F31">
        <f>IFERROR(VLOOKUP(원본데이터_SK!F31,채널매핑!$B:$E,4,0),1)</f>
        <v>1</v>
      </c>
      <c r="G31">
        <f>원본데이터_SK!Q31</f>
        <v>1</v>
      </c>
      <c r="H31">
        <f>원본데이터_SK!O31</f>
        <v>119000</v>
      </c>
      <c r="I31">
        <f>원본데이터_SK!AG31</f>
        <v>119000</v>
      </c>
      <c r="J31">
        <f>원본데이터_SK!AH31</f>
        <v>82110</v>
      </c>
      <c r="K31">
        <f>IFERROR(VLOOKUP(E31,제품마스터!$A:$B,2,0),0)</f>
        <v>0</v>
      </c>
      <c r="L31">
        <f>원본데이터_SK!Q31*원본데이터_SK!P31</f>
        <v>82110</v>
      </c>
    </row>
    <row r="32" spans="1:12" x14ac:dyDescent="0.3">
      <c r="A32" t="s">
        <v>11</v>
      </c>
      <c r="B32" t="str">
        <f>원본데이터_SK!D32</f>
        <v>20260205995233</v>
      </c>
      <c r="C32" t="str">
        <f>IF(원본데이터_SK!M32="","",TEXT(원본데이터_SK!M32,"YYYY-MM-DD"))</f>
        <v>2026-02-07</v>
      </c>
      <c r="D32" t="str">
        <f>원본데이터_SK!F32</f>
        <v>58481090</v>
      </c>
      <c r="E32" t="str">
        <f>IFERROR(VLOOKUP(원본데이터_SK!F32,채널매핑!$B:$D,3,0),"미매핑")</f>
        <v>미매핑</v>
      </c>
      <c r="F32">
        <f>IFERROR(VLOOKUP(원본데이터_SK!F32,채널매핑!$B:$E,4,0),1)</f>
        <v>1</v>
      </c>
      <c r="G32">
        <f>원본데이터_SK!Q32</f>
        <v>1</v>
      </c>
      <c r="H32">
        <f>원본데이터_SK!O32</f>
        <v>119000</v>
      </c>
      <c r="I32">
        <f>원본데이터_SK!AG32</f>
        <v>119000</v>
      </c>
      <c r="J32">
        <f>원본데이터_SK!AH32</f>
        <v>82110</v>
      </c>
      <c r="K32">
        <f>IFERROR(VLOOKUP(E32,제품마스터!$A:$B,2,0),0)</f>
        <v>0</v>
      </c>
      <c r="L32">
        <f>원본데이터_SK!Q32*원본데이터_SK!P32</f>
        <v>82110</v>
      </c>
    </row>
    <row r="33" spans="1:12" x14ac:dyDescent="0.3">
      <c r="A33" t="s">
        <v>11</v>
      </c>
      <c r="B33" t="str">
        <f>원본데이터_SK!D33</f>
        <v>20260205995590</v>
      </c>
      <c r="C33" t="str">
        <f>IF(원본데이터_SK!M33="","",TEXT(원본데이터_SK!M33,"YYYY-MM-DD"))</f>
        <v>2026-02-07</v>
      </c>
      <c r="D33" t="str">
        <f>원본데이터_SK!F33</f>
        <v>58481090</v>
      </c>
      <c r="E33" t="str">
        <f>IFERROR(VLOOKUP(원본데이터_SK!F33,채널매핑!$B:$D,3,0),"미매핑")</f>
        <v>미매핑</v>
      </c>
      <c r="F33">
        <f>IFERROR(VLOOKUP(원본데이터_SK!F33,채널매핑!$B:$E,4,0),1)</f>
        <v>1</v>
      </c>
      <c r="G33">
        <f>원본데이터_SK!Q33</f>
        <v>1</v>
      </c>
      <c r="H33">
        <f>원본데이터_SK!O33</f>
        <v>119000</v>
      </c>
      <c r="I33">
        <f>원본데이터_SK!AG33</f>
        <v>113050</v>
      </c>
      <c r="J33">
        <f>원본데이터_SK!AH33</f>
        <v>82110</v>
      </c>
      <c r="K33">
        <f>IFERROR(VLOOKUP(E33,제품마스터!$A:$B,2,0),0)</f>
        <v>0</v>
      </c>
      <c r="L33">
        <f>원본데이터_SK!Q33*원본데이터_SK!P33</f>
        <v>82110</v>
      </c>
    </row>
    <row r="34" spans="1:12" x14ac:dyDescent="0.3">
      <c r="A34" t="s">
        <v>11</v>
      </c>
      <c r="B34" t="str">
        <f>원본데이터_SK!D34</f>
        <v>20260205994071</v>
      </c>
      <c r="C34" t="str">
        <f>IF(원본데이터_SK!M34="","",TEXT(원본데이터_SK!M34,"YYYY-MM-DD"))</f>
        <v>2026-02-07</v>
      </c>
      <c r="D34" t="str">
        <f>원본데이터_SK!F34</f>
        <v>58481090</v>
      </c>
      <c r="E34" t="str">
        <f>IFERROR(VLOOKUP(원본데이터_SK!F34,채널매핑!$B:$D,3,0),"미매핑")</f>
        <v>미매핑</v>
      </c>
      <c r="F34">
        <f>IFERROR(VLOOKUP(원본데이터_SK!F34,채널매핑!$B:$E,4,0),1)</f>
        <v>1</v>
      </c>
      <c r="G34">
        <f>원본데이터_SK!Q34</f>
        <v>1</v>
      </c>
      <c r="H34">
        <f>원본데이터_SK!O34</f>
        <v>119000</v>
      </c>
      <c r="I34">
        <f>원본데이터_SK!AG34</f>
        <v>119000</v>
      </c>
      <c r="J34">
        <f>원본데이터_SK!AH34</f>
        <v>82110</v>
      </c>
      <c r="K34">
        <f>IFERROR(VLOOKUP(E34,제품마스터!$A:$B,2,0),0)</f>
        <v>0</v>
      </c>
      <c r="L34">
        <f>원본데이터_SK!Q34*원본데이터_SK!P34</f>
        <v>82110</v>
      </c>
    </row>
    <row r="35" spans="1:12" x14ac:dyDescent="0.3">
      <c r="A35" t="s">
        <v>11</v>
      </c>
      <c r="B35" t="str">
        <f>원본데이터_SK!D35</f>
        <v>20260205995236</v>
      </c>
      <c r="C35" t="str">
        <f>IF(원본데이터_SK!M35="","",TEXT(원본데이터_SK!M35,"YYYY-MM-DD"))</f>
        <v>2026-02-07</v>
      </c>
      <c r="D35" t="str">
        <f>원본데이터_SK!F35</f>
        <v>58481090</v>
      </c>
      <c r="E35" t="str">
        <f>IFERROR(VLOOKUP(원본데이터_SK!F35,채널매핑!$B:$D,3,0),"미매핑")</f>
        <v>미매핑</v>
      </c>
      <c r="F35">
        <f>IFERROR(VLOOKUP(원본데이터_SK!F35,채널매핑!$B:$E,4,0),1)</f>
        <v>1</v>
      </c>
      <c r="G35">
        <f>원본데이터_SK!Q35</f>
        <v>1</v>
      </c>
      <c r="H35">
        <f>원본데이터_SK!O35</f>
        <v>119000</v>
      </c>
      <c r="I35">
        <f>원본데이터_SK!AG35</f>
        <v>119000</v>
      </c>
      <c r="J35">
        <f>원본데이터_SK!AH35</f>
        <v>82110</v>
      </c>
      <c r="K35">
        <f>IFERROR(VLOOKUP(E35,제품마스터!$A:$B,2,0),0)</f>
        <v>0</v>
      </c>
      <c r="L35">
        <f>원본데이터_SK!Q35*원본데이터_SK!P35</f>
        <v>82110</v>
      </c>
    </row>
    <row r="36" spans="1:12" x14ac:dyDescent="0.3">
      <c r="A36" t="s">
        <v>11</v>
      </c>
      <c r="B36" t="str">
        <f>원본데이터_SK!D36</f>
        <v>20260205992736</v>
      </c>
      <c r="C36" t="str">
        <f>IF(원본데이터_SK!M36="","",TEXT(원본데이터_SK!M36,"YYYY-MM-DD"))</f>
        <v>2026-02-07</v>
      </c>
      <c r="D36" t="str">
        <f>원본데이터_SK!F36</f>
        <v>58481090</v>
      </c>
      <c r="E36" t="str">
        <f>IFERROR(VLOOKUP(원본데이터_SK!F36,채널매핑!$B:$D,3,0),"미매핑")</f>
        <v>미매핑</v>
      </c>
      <c r="F36">
        <f>IFERROR(VLOOKUP(원본데이터_SK!F36,채널매핑!$B:$E,4,0),1)</f>
        <v>1</v>
      </c>
      <c r="G36">
        <f>원본데이터_SK!Q36</f>
        <v>1</v>
      </c>
      <c r="H36">
        <f>원본데이터_SK!O36</f>
        <v>119000</v>
      </c>
      <c r="I36">
        <f>원본데이터_SK!AG36</f>
        <v>119000</v>
      </c>
      <c r="J36">
        <f>원본데이터_SK!AH36</f>
        <v>82110</v>
      </c>
      <c r="K36">
        <f>IFERROR(VLOOKUP(E36,제품마스터!$A:$B,2,0),0)</f>
        <v>0</v>
      </c>
      <c r="L36">
        <f>원본데이터_SK!Q36*원본데이터_SK!P36</f>
        <v>82110</v>
      </c>
    </row>
    <row r="37" spans="1:12" x14ac:dyDescent="0.3">
      <c r="A37" t="s">
        <v>11</v>
      </c>
      <c r="B37" t="str">
        <f>원본데이터_SK!D37</f>
        <v>20260205993184</v>
      </c>
      <c r="C37" t="str">
        <f>IF(원본데이터_SK!M37="","",TEXT(원본데이터_SK!M37,"YYYY-MM-DD"))</f>
        <v>2026-02-07</v>
      </c>
      <c r="D37" t="str">
        <f>원본데이터_SK!F37</f>
        <v>58481090</v>
      </c>
      <c r="E37" t="str">
        <f>IFERROR(VLOOKUP(원본데이터_SK!F37,채널매핑!$B:$D,3,0),"미매핑")</f>
        <v>미매핑</v>
      </c>
      <c r="F37">
        <f>IFERROR(VLOOKUP(원본데이터_SK!F37,채널매핑!$B:$E,4,0),1)</f>
        <v>1</v>
      </c>
      <c r="G37">
        <f>원본데이터_SK!Q37</f>
        <v>1</v>
      </c>
      <c r="H37">
        <f>원본데이터_SK!O37</f>
        <v>119000</v>
      </c>
      <c r="I37">
        <f>원본데이터_SK!AG37</f>
        <v>119000</v>
      </c>
      <c r="J37">
        <f>원본데이터_SK!AH37</f>
        <v>82110</v>
      </c>
      <c r="K37">
        <f>IFERROR(VLOOKUP(E37,제품마스터!$A:$B,2,0),0)</f>
        <v>0</v>
      </c>
      <c r="L37">
        <f>원본데이터_SK!Q37*원본데이터_SK!P37</f>
        <v>82110</v>
      </c>
    </row>
    <row r="38" spans="1:12" x14ac:dyDescent="0.3">
      <c r="A38" t="s">
        <v>11</v>
      </c>
      <c r="B38" t="str">
        <f>원본데이터_SK!D38</f>
        <v>20260205994068</v>
      </c>
      <c r="C38" t="str">
        <f>IF(원본데이터_SK!M38="","",TEXT(원본데이터_SK!M38,"YYYY-MM-DD"))</f>
        <v>2026-02-07</v>
      </c>
      <c r="D38" t="str">
        <f>원본데이터_SK!F38</f>
        <v>58481090</v>
      </c>
      <c r="E38" t="str">
        <f>IFERROR(VLOOKUP(원본데이터_SK!F38,채널매핑!$B:$D,3,0),"미매핑")</f>
        <v>미매핑</v>
      </c>
      <c r="F38">
        <f>IFERROR(VLOOKUP(원본데이터_SK!F38,채널매핑!$B:$E,4,0),1)</f>
        <v>1</v>
      </c>
      <c r="G38">
        <f>원본데이터_SK!Q38</f>
        <v>1</v>
      </c>
      <c r="H38">
        <f>원본데이터_SK!O38</f>
        <v>119000</v>
      </c>
      <c r="I38">
        <f>원본데이터_SK!AG38</f>
        <v>119000</v>
      </c>
      <c r="J38">
        <f>원본데이터_SK!AH38</f>
        <v>82110</v>
      </c>
      <c r="K38">
        <f>IFERROR(VLOOKUP(E38,제품마스터!$A:$B,2,0),0)</f>
        <v>0</v>
      </c>
      <c r="L38">
        <f>원본데이터_SK!Q38*원본데이터_SK!P38</f>
        <v>82110</v>
      </c>
    </row>
    <row r="39" spans="1:12" x14ac:dyDescent="0.3">
      <c r="A39" t="s">
        <v>11</v>
      </c>
      <c r="B39" t="str">
        <f>원본데이터_SK!D39</f>
        <v>20260205994704</v>
      </c>
      <c r="C39" t="str">
        <f>IF(원본데이터_SK!M39="","",TEXT(원본데이터_SK!M39,"YYYY-MM-DD"))</f>
        <v>2026-02-07</v>
      </c>
      <c r="D39" t="str">
        <f>원본데이터_SK!F39</f>
        <v>58481090</v>
      </c>
      <c r="E39" t="str">
        <f>IFERROR(VLOOKUP(원본데이터_SK!F39,채널매핑!$B:$D,3,0),"미매핑")</f>
        <v>미매핑</v>
      </c>
      <c r="F39">
        <f>IFERROR(VLOOKUP(원본데이터_SK!F39,채널매핑!$B:$E,4,0),1)</f>
        <v>1</v>
      </c>
      <c r="G39">
        <f>원본데이터_SK!Q39</f>
        <v>1</v>
      </c>
      <c r="H39">
        <f>원본데이터_SK!O39</f>
        <v>119000</v>
      </c>
      <c r="I39">
        <f>원본데이터_SK!AG39</f>
        <v>119000</v>
      </c>
      <c r="J39">
        <f>원본데이터_SK!AH39</f>
        <v>82110</v>
      </c>
      <c r="K39">
        <f>IFERROR(VLOOKUP(E39,제품마스터!$A:$B,2,0),0)</f>
        <v>0</v>
      </c>
      <c r="L39">
        <f>원본데이터_SK!Q39*원본데이터_SK!P39</f>
        <v>82110</v>
      </c>
    </row>
    <row r="40" spans="1:12" x14ac:dyDescent="0.3">
      <c r="A40" t="s">
        <v>11</v>
      </c>
      <c r="B40" t="str">
        <f>원본데이터_SK!D40</f>
        <v>20260205993640</v>
      </c>
      <c r="C40" t="str">
        <f>IF(원본데이터_SK!M40="","",TEXT(원본데이터_SK!M40,"YYYY-MM-DD"))</f>
        <v>2026-02-07</v>
      </c>
      <c r="D40" t="str">
        <f>원본데이터_SK!F40</f>
        <v>58481090</v>
      </c>
      <c r="E40" t="str">
        <f>IFERROR(VLOOKUP(원본데이터_SK!F40,채널매핑!$B:$D,3,0),"미매핑")</f>
        <v>미매핑</v>
      </c>
      <c r="F40">
        <f>IFERROR(VLOOKUP(원본데이터_SK!F40,채널매핑!$B:$E,4,0),1)</f>
        <v>1</v>
      </c>
      <c r="G40">
        <f>원본데이터_SK!Q40</f>
        <v>1</v>
      </c>
      <c r="H40">
        <f>원본데이터_SK!O40</f>
        <v>119000</v>
      </c>
      <c r="I40">
        <f>원본데이터_SK!AG40</f>
        <v>119000</v>
      </c>
      <c r="J40">
        <f>원본데이터_SK!AH40</f>
        <v>82110</v>
      </c>
      <c r="K40">
        <f>IFERROR(VLOOKUP(E40,제품마스터!$A:$B,2,0),0)</f>
        <v>0</v>
      </c>
      <c r="L40">
        <f>원본데이터_SK!Q40*원본데이터_SK!P40</f>
        <v>82110</v>
      </c>
    </row>
    <row r="41" spans="1:12" x14ac:dyDescent="0.3">
      <c r="A41" t="s">
        <v>11</v>
      </c>
      <c r="B41" t="str">
        <f>원본데이터_SK!D41</f>
        <v>20260205994989</v>
      </c>
      <c r="C41" t="str">
        <f>IF(원본데이터_SK!M41="","",TEXT(원본데이터_SK!M41,"YYYY-MM-DD"))</f>
        <v>2026-02-07</v>
      </c>
      <c r="D41" t="str">
        <f>원본데이터_SK!F41</f>
        <v>58481090</v>
      </c>
      <c r="E41" t="str">
        <f>IFERROR(VLOOKUP(원본데이터_SK!F41,채널매핑!$B:$D,3,0),"미매핑")</f>
        <v>미매핑</v>
      </c>
      <c r="F41">
        <f>IFERROR(VLOOKUP(원본데이터_SK!F41,채널매핑!$B:$E,4,0),1)</f>
        <v>1</v>
      </c>
      <c r="G41">
        <f>원본데이터_SK!Q41</f>
        <v>1</v>
      </c>
      <c r="H41">
        <f>원본데이터_SK!O41</f>
        <v>119000</v>
      </c>
      <c r="I41">
        <f>원본데이터_SK!AG41</f>
        <v>113050</v>
      </c>
      <c r="J41">
        <f>원본데이터_SK!AH41</f>
        <v>82110</v>
      </c>
      <c r="K41">
        <f>IFERROR(VLOOKUP(E41,제품마스터!$A:$B,2,0),0)</f>
        <v>0</v>
      </c>
      <c r="L41">
        <f>원본데이터_SK!Q41*원본데이터_SK!P41</f>
        <v>82110</v>
      </c>
    </row>
    <row r="42" spans="1:12" x14ac:dyDescent="0.3">
      <c r="A42" t="s">
        <v>11</v>
      </c>
      <c r="B42" t="str">
        <f>원본데이터_SK!D42</f>
        <v>20260205993988</v>
      </c>
      <c r="C42" t="str">
        <f>IF(원본데이터_SK!M42="","",TEXT(원본데이터_SK!M42,"YYYY-MM-DD"))</f>
        <v>2026-02-07</v>
      </c>
      <c r="D42" t="str">
        <f>원본데이터_SK!F42</f>
        <v>58481090</v>
      </c>
      <c r="E42" t="str">
        <f>IFERROR(VLOOKUP(원본데이터_SK!F42,채널매핑!$B:$D,3,0),"미매핑")</f>
        <v>미매핑</v>
      </c>
      <c r="F42">
        <f>IFERROR(VLOOKUP(원본데이터_SK!F42,채널매핑!$B:$E,4,0),1)</f>
        <v>1</v>
      </c>
      <c r="G42">
        <f>원본데이터_SK!Q42</f>
        <v>1</v>
      </c>
      <c r="H42">
        <f>원본데이터_SK!O42</f>
        <v>119000</v>
      </c>
      <c r="I42">
        <f>원본데이터_SK!AG42</f>
        <v>119000</v>
      </c>
      <c r="J42">
        <f>원본데이터_SK!AH42</f>
        <v>82110</v>
      </c>
      <c r="K42">
        <f>IFERROR(VLOOKUP(E42,제품마스터!$A:$B,2,0),0)</f>
        <v>0</v>
      </c>
      <c r="L42">
        <f>원본데이터_SK!Q42*원본데이터_SK!P42</f>
        <v>82110</v>
      </c>
    </row>
    <row r="43" spans="1:12" x14ac:dyDescent="0.3">
      <c r="A43" t="s">
        <v>11</v>
      </c>
      <c r="B43" t="str">
        <f>원본데이터_SK!D43</f>
        <v>20260205995073</v>
      </c>
      <c r="C43" t="str">
        <f>IF(원본데이터_SK!M43="","",TEXT(원본데이터_SK!M43,"YYYY-MM-DD"))</f>
        <v>2026-02-07</v>
      </c>
      <c r="D43" t="str">
        <f>원본데이터_SK!F43</f>
        <v>58481090</v>
      </c>
      <c r="E43" t="str">
        <f>IFERROR(VLOOKUP(원본데이터_SK!F43,채널매핑!$B:$D,3,0),"미매핑")</f>
        <v>미매핑</v>
      </c>
      <c r="F43">
        <f>IFERROR(VLOOKUP(원본데이터_SK!F43,채널매핑!$B:$E,4,0),1)</f>
        <v>1</v>
      </c>
      <c r="G43">
        <f>원본데이터_SK!Q43</f>
        <v>1</v>
      </c>
      <c r="H43">
        <f>원본데이터_SK!O43</f>
        <v>119000</v>
      </c>
      <c r="I43">
        <f>원본데이터_SK!AG43</f>
        <v>119000</v>
      </c>
      <c r="J43">
        <f>원본데이터_SK!AH43</f>
        <v>82110</v>
      </c>
      <c r="K43">
        <f>IFERROR(VLOOKUP(E43,제품마스터!$A:$B,2,0),0)</f>
        <v>0</v>
      </c>
      <c r="L43">
        <f>원본데이터_SK!Q43*원본데이터_SK!P43</f>
        <v>82110</v>
      </c>
    </row>
    <row r="44" spans="1:12" x14ac:dyDescent="0.3">
      <c r="A44" t="s">
        <v>11</v>
      </c>
      <c r="B44" t="str">
        <f>원본데이터_SK!D44</f>
        <v>20260205993674</v>
      </c>
      <c r="C44" t="str">
        <f>IF(원본데이터_SK!M44="","",TEXT(원본데이터_SK!M44,"YYYY-MM-DD"))</f>
        <v>2026-02-07</v>
      </c>
      <c r="D44" t="str">
        <f>원본데이터_SK!F44</f>
        <v>58481090</v>
      </c>
      <c r="E44" t="str">
        <f>IFERROR(VLOOKUP(원본데이터_SK!F44,채널매핑!$B:$D,3,0),"미매핑")</f>
        <v>미매핑</v>
      </c>
      <c r="F44">
        <f>IFERROR(VLOOKUP(원본데이터_SK!F44,채널매핑!$B:$E,4,0),1)</f>
        <v>1</v>
      </c>
      <c r="G44">
        <f>원본데이터_SK!Q44</f>
        <v>1</v>
      </c>
      <c r="H44">
        <f>원본데이터_SK!O44</f>
        <v>119000</v>
      </c>
      <c r="I44">
        <f>원본데이터_SK!AG44</f>
        <v>119000</v>
      </c>
      <c r="J44">
        <f>원본데이터_SK!AH44</f>
        <v>82110</v>
      </c>
      <c r="K44">
        <f>IFERROR(VLOOKUP(E44,제품마스터!$A:$B,2,0),0)</f>
        <v>0</v>
      </c>
      <c r="L44">
        <f>원본데이터_SK!Q44*원본데이터_SK!P44</f>
        <v>82110</v>
      </c>
    </row>
    <row r="45" spans="1:12" x14ac:dyDescent="0.3">
      <c r="A45" t="s">
        <v>11</v>
      </c>
      <c r="B45" t="str">
        <f>원본데이터_SK!D45</f>
        <v>20260205993680</v>
      </c>
      <c r="C45" t="str">
        <f>IF(원본데이터_SK!M45="","",TEXT(원본데이터_SK!M45,"YYYY-MM-DD"))</f>
        <v>2026-02-07</v>
      </c>
      <c r="D45" t="str">
        <f>원본데이터_SK!F45</f>
        <v>58481090</v>
      </c>
      <c r="E45" t="str">
        <f>IFERROR(VLOOKUP(원본데이터_SK!F45,채널매핑!$B:$D,3,0),"미매핑")</f>
        <v>미매핑</v>
      </c>
      <c r="F45">
        <f>IFERROR(VLOOKUP(원본데이터_SK!F45,채널매핑!$B:$E,4,0),1)</f>
        <v>1</v>
      </c>
      <c r="G45">
        <f>원본데이터_SK!Q45</f>
        <v>1</v>
      </c>
      <c r="H45">
        <f>원본데이터_SK!O45</f>
        <v>119000</v>
      </c>
      <c r="I45">
        <f>원본데이터_SK!AG45</f>
        <v>119000</v>
      </c>
      <c r="J45">
        <f>원본데이터_SK!AH45</f>
        <v>82110</v>
      </c>
      <c r="K45">
        <f>IFERROR(VLOOKUP(E45,제품마스터!$A:$B,2,0),0)</f>
        <v>0</v>
      </c>
      <c r="L45">
        <f>원본데이터_SK!Q45*원본데이터_SK!P45</f>
        <v>82110</v>
      </c>
    </row>
    <row r="46" spans="1:12" x14ac:dyDescent="0.3">
      <c r="A46" t="s">
        <v>11</v>
      </c>
      <c r="B46" t="str">
        <f>원본데이터_SK!D46</f>
        <v>20260205993664</v>
      </c>
      <c r="C46" t="str">
        <f>IF(원본데이터_SK!M46="","",TEXT(원본데이터_SK!M46,"YYYY-MM-DD"))</f>
        <v>2026-02-07</v>
      </c>
      <c r="D46" t="str">
        <f>원본데이터_SK!F46</f>
        <v>58481090</v>
      </c>
      <c r="E46" t="str">
        <f>IFERROR(VLOOKUP(원본데이터_SK!F46,채널매핑!$B:$D,3,0),"미매핑")</f>
        <v>미매핑</v>
      </c>
      <c r="F46">
        <f>IFERROR(VLOOKUP(원본데이터_SK!F46,채널매핑!$B:$E,4,0),1)</f>
        <v>1</v>
      </c>
      <c r="G46">
        <f>원본데이터_SK!Q46</f>
        <v>1</v>
      </c>
      <c r="H46">
        <f>원본데이터_SK!O46</f>
        <v>119000</v>
      </c>
      <c r="I46">
        <f>원본데이터_SK!AG46</f>
        <v>119000</v>
      </c>
      <c r="J46">
        <f>원본데이터_SK!AH46</f>
        <v>82110</v>
      </c>
      <c r="K46">
        <f>IFERROR(VLOOKUP(E46,제품마스터!$A:$B,2,0),0)</f>
        <v>0</v>
      </c>
      <c r="L46">
        <f>원본데이터_SK!Q46*원본데이터_SK!P46</f>
        <v>82110</v>
      </c>
    </row>
    <row r="47" spans="1:12" x14ac:dyDescent="0.3">
      <c r="A47" t="s">
        <v>11</v>
      </c>
      <c r="B47" t="str">
        <f>원본데이터_SK!D47</f>
        <v>20260205993052</v>
      </c>
      <c r="C47" t="str">
        <f>IF(원본데이터_SK!M47="","",TEXT(원본데이터_SK!M47,"YYYY-MM-DD"))</f>
        <v>2026-02-07</v>
      </c>
      <c r="D47" t="str">
        <f>원본데이터_SK!F47</f>
        <v>58481090</v>
      </c>
      <c r="E47" t="str">
        <f>IFERROR(VLOOKUP(원본데이터_SK!F47,채널매핑!$B:$D,3,0),"미매핑")</f>
        <v>미매핑</v>
      </c>
      <c r="F47">
        <f>IFERROR(VLOOKUP(원본데이터_SK!F47,채널매핑!$B:$E,4,0),1)</f>
        <v>1</v>
      </c>
      <c r="G47">
        <f>원본데이터_SK!Q47</f>
        <v>1</v>
      </c>
      <c r="H47">
        <f>원본데이터_SK!O47</f>
        <v>119000</v>
      </c>
      <c r="I47">
        <f>원본데이터_SK!AG47</f>
        <v>119000</v>
      </c>
      <c r="J47">
        <f>원본데이터_SK!AH47</f>
        <v>82110</v>
      </c>
      <c r="K47">
        <f>IFERROR(VLOOKUP(E47,제품마스터!$A:$B,2,0),0)</f>
        <v>0</v>
      </c>
      <c r="L47">
        <f>원본데이터_SK!Q47*원본데이터_SK!P47</f>
        <v>82110</v>
      </c>
    </row>
    <row r="48" spans="1:12" x14ac:dyDescent="0.3">
      <c r="A48" t="s">
        <v>11</v>
      </c>
      <c r="B48" t="str">
        <f>원본데이터_SK!D48</f>
        <v>20260205995037</v>
      </c>
      <c r="C48" t="str">
        <f>IF(원본데이터_SK!M48="","",TEXT(원본데이터_SK!M48,"YYYY-MM-DD"))</f>
        <v>2026-02-07</v>
      </c>
      <c r="D48" t="str">
        <f>원본데이터_SK!F48</f>
        <v>58481090</v>
      </c>
      <c r="E48" t="str">
        <f>IFERROR(VLOOKUP(원본데이터_SK!F48,채널매핑!$B:$D,3,0),"미매핑")</f>
        <v>미매핑</v>
      </c>
      <c r="F48">
        <f>IFERROR(VLOOKUP(원본데이터_SK!F48,채널매핑!$B:$E,4,0),1)</f>
        <v>1</v>
      </c>
      <c r="G48">
        <f>원본데이터_SK!Q48</f>
        <v>1</v>
      </c>
      <c r="H48">
        <f>원본데이터_SK!O48</f>
        <v>119000</v>
      </c>
      <c r="I48">
        <f>원본데이터_SK!AG48</f>
        <v>119000</v>
      </c>
      <c r="J48">
        <f>원본데이터_SK!AH48</f>
        <v>82110</v>
      </c>
      <c r="K48">
        <f>IFERROR(VLOOKUP(E48,제품마스터!$A:$B,2,0),0)</f>
        <v>0</v>
      </c>
      <c r="L48">
        <f>원본데이터_SK!Q48*원본데이터_SK!P48</f>
        <v>82110</v>
      </c>
    </row>
    <row r="49" spans="1:12" x14ac:dyDescent="0.3">
      <c r="A49" t="s">
        <v>11</v>
      </c>
      <c r="B49" t="str">
        <f>원본데이터_SK!D49</f>
        <v>20260205995009</v>
      </c>
      <c r="C49" t="str">
        <f>IF(원본데이터_SK!M49="","",TEXT(원본데이터_SK!M49,"YYYY-MM-DD"))</f>
        <v>2026-02-07</v>
      </c>
      <c r="D49" t="str">
        <f>원본데이터_SK!F49</f>
        <v>58481090</v>
      </c>
      <c r="E49" t="str">
        <f>IFERROR(VLOOKUP(원본데이터_SK!F49,채널매핑!$B:$D,3,0),"미매핑")</f>
        <v>미매핑</v>
      </c>
      <c r="F49">
        <f>IFERROR(VLOOKUP(원본데이터_SK!F49,채널매핑!$B:$E,4,0),1)</f>
        <v>1</v>
      </c>
      <c r="G49">
        <f>원본데이터_SK!Q49</f>
        <v>1</v>
      </c>
      <c r="H49">
        <f>원본데이터_SK!O49</f>
        <v>119000</v>
      </c>
      <c r="I49">
        <f>원본데이터_SK!AG49</f>
        <v>119000</v>
      </c>
      <c r="J49">
        <f>원본데이터_SK!AH49</f>
        <v>82110</v>
      </c>
      <c r="K49">
        <f>IFERROR(VLOOKUP(E49,제품마스터!$A:$B,2,0),0)</f>
        <v>0</v>
      </c>
      <c r="L49">
        <f>원본데이터_SK!Q49*원본데이터_SK!P49</f>
        <v>82110</v>
      </c>
    </row>
    <row r="50" spans="1:12" x14ac:dyDescent="0.3">
      <c r="A50" t="s">
        <v>11</v>
      </c>
      <c r="B50" t="str">
        <f>원본데이터_SK!D50</f>
        <v>20260205994035</v>
      </c>
      <c r="C50" t="str">
        <f>IF(원본데이터_SK!M50="","",TEXT(원본데이터_SK!M50,"YYYY-MM-DD"))</f>
        <v>2026-02-07</v>
      </c>
      <c r="D50" t="str">
        <f>원본데이터_SK!F50</f>
        <v>58481090</v>
      </c>
      <c r="E50" t="str">
        <f>IFERROR(VLOOKUP(원본데이터_SK!F50,채널매핑!$B:$D,3,0),"미매핑")</f>
        <v>미매핑</v>
      </c>
      <c r="F50">
        <f>IFERROR(VLOOKUP(원본데이터_SK!F50,채널매핑!$B:$E,4,0),1)</f>
        <v>1</v>
      </c>
      <c r="G50">
        <f>원본데이터_SK!Q50</f>
        <v>1</v>
      </c>
      <c r="H50">
        <f>원본데이터_SK!O50</f>
        <v>119000</v>
      </c>
      <c r="I50">
        <f>원본데이터_SK!AG50</f>
        <v>119000</v>
      </c>
      <c r="J50">
        <f>원본데이터_SK!AH50</f>
        <v>82110</v>
      </c>
      <c r="K50">
        <f>IFERROR(VLOOKUP(E50,제품마스터!$A:$B,2,0),0)</f>
        <v>0</v>
      </c>
      <c r="L50">
        <f>원본데이터_SK!Q50*원본데이터_SK!P50</f>
        <v>82110</v>
      </c>
    </row>
    <row r="51" spans="1:12" x14ac:dyDescent="0.3">
      <c r="A51" t="s">
        <v>11</v>
      </c>
      <c r="B51" t="str">
        <f>원본데이터_SK!D51</f>
        <v>20260205995023</v>
      </c>
      <c r="C51" t="str">
        <f>IF(원본데이터_SK!M51="","",TEXT(원본데이터_SK!M51,"YYYY-MM-DD"))</f>
        <v>2026-02-07</v>
      </c>
      <c r="D51" t="str">
        <f>원본데이터_SK!F51</f>
        <v>58481090</v>
      </c>
      <c r="E51" t="str">
        <f>IFERROR(VLOOKUP(원본데이터_SK!F51,채널매핑!$B:$D,3,0),"미매핑")</f>
        <v>미매핑</v>
      </c>
      <c r="F51">
        <f>IFERROR(VLOOKUP(원본데이터_SK!F51,채널매핑!$B:$E,4,0),1)</f>
        <v>1</v>
      </c>
      <c r="G51">
        <f>원본데이터_SK!Q51</f>
        <v>1</v>
      </c>
      <c r="H51">
        <f>원본데이터_SK!O51</f>
        <v>119000</v>
      </c>
      <c r="I51">
        <f>원본데이터_SK!AG51</f>
        <v>119000</v>
      </c>
      <c r="J51">
        <f>원본데이터_SK!AH51</f>
        <v>82110</v>
      </c>
      <c r="K51">
        <f>IFERROR(VLOOKUP(E51,제품마스터!$A:$B,2,0),0)</f>
        <v>0</v>
      </c>
      <c r="L51">
        <f>원본데이터_SK!Q51*원본데이터_SK!P51</f>
        <v>82110</v>
      </c>
    </row>
    <row r="52" spans="1:12" x14ac:dyDescent="0.3">
      <c r="A52" t="s">
        <v>11</v>
      </c>
      <c r="B52" t="str">
        <f>원본데이터_SK!D52</f>
        <v>20260205994048</v>
      </c>
      <c r="C52" t="str">
        <f>IF(원본데이터_SK!M52="","",TEXT(원본데이터_SK!M52,"YYYY-MM-DD"))</f>
        <v>2026-02-07</v>
      </c>
      <c r="D52" t="str">
        <f>원본데이터_SK!F52</f>
        <v>58481090</v>
      </c>
      <c r="E52" t="str">
        <f>IFERROR(VLOOKUP(원본데이터_SK!F52,채널매핑!$B:$D,3,0),"미매핑")</f>
        <v>미매핑</v>
      </c>
      <c r="F52">
        <f>IFERROR(VLOOKUP(원본데이터_SK!F52,채널매핑!$B:$E,4,0),1)</f>
        <v>1</v>
      </c>
      <c r="G52">
        <f>원본데이터_SK!Q52</f>
        <v>1</v>
      </c>
      <c r="H52">
        <f>원본데이터_SK!O52</f>
        <v>119000</v>
      </c>
      <c r="I52">
        <f>원본데이터_SK!AG52</f>
        <v>113050</v>
      </c>
      <c r="J52">
        <f>원본데이터_SK!AH52</f>
        <v>82110</v>
      </c>
      <c r="K52">
        <f>IFERROR(VLOOKUP(E52,제품마스터!$A:$B,2,0),0)</f>
        <v>0</v>
      </c>
      <c r="L52">
        <f>원본데이터_SK!Q52*원본데이터_SK!P52</f>
        <v>82110</v>
      </c>
    </row>
    <row r="53" spans="1:12" x14ac:dyDescent="0.3">
      <c r="A53" t="s">
        <v>11</v>
      </c>
      <c r="B53" t="str">
        <f>원본데이터_SK!D53</f>
        <v>20260205993215</v>
      </c>
      <c r="C53" t="str">
        <f>IF(원본데이터_SK!M53="","",TEXT(원본데이터_SK!M53,"YYYY-MM-DD"))</f>
        <v>2026-02-07</v>
      </c>
      <c r="D53" t="str">
        <f>원본데이터_SK!F53</f>
        <v>58481090</v>
      </c>
      <c r="E53" t="str">
        <f>IFERROR(VLOOKUP(원본데이터_SK!F53,채널매핑!$B:$D,3,0),"미매핑")</f>
        <v>미매핑</v>
      </c>
      <c r="F53">
        <f>IFERROR(VLOOKUP(원본데이터_SK!F53,채널매핑!$B:$E,4,0),1)</f>
        <v>1</v>
      </c>
      <c r="G53">
        <f>원본데이터_SK!Q53</f>
        <v>1</v>
      </c>
      <c r="H53">
        <f>원본데이터_SK!O53</f>
        <v>119000</v>
      </c>
      <c r="I53">
        <f>원본데이터_SK!AG53</f>
        <v>119000</v>
      </c>
      <c r="J53">
        <f>원본데이터_SK!AH53</f>
        <v>82110</v>
      </c>
      <c r="K53">
        <f>IFERROR(VLOOKUP(E53,제품마스터!$A:$B,2,0),0)</f>
        <v>0</v>
      </c>
      <c r="L53">
        <f>원본데이터_SK!Q53*원본데이터_SK!P53</f>
        <v>82110</v>
      </c>
    </row>
    <row r="54" spans="1:12" x14ac:dyDescent="0.3">
      <c r="A54" t="s">
        <v>11</v>
      </c>
      <c r="B54" t="str">
        <f>원본데이터_SK!D54</f>
        <v>20260205993380</v>
      </c>
      <c r="C54" t="str">
        <f>IF(원본데이터_SK!M54="","",TEXT(원본데이터_SK!M54,"YYYY-MM-DD"))</f>
        <v>2026-02-07</v>
      </c>
      <c r="D54" t="str">
        <f>원본데이터_SK!F54</f>
        <v>58481090</v>
      </c>
      <c r="E54" t="str">
        <f>IFERROR(VLOOKUP(원본데이터_SK!F54,채널매핑!$B:$D,3,0),"미매핑")</f>
        <v>미매핑</v>
      </c>
      <c r="F54">
        <f>IFERROR(VLOOKUP(원본데이터_SK!F54,채널매핑!$B:$E,4,0),1)</f>
        <v>1</v>
      </c>
      <c r="G54">
        <f>원본데이터_SK!Q54</f>
        <v>1</v>
      </c>
      <c r="H54">
        <f>원본데이터_SK!O54</f>
        <v>119000</v>
      </c>
      <c r="I54">
        <f>원본데이터_SK!AG54</f>
        <v>119000</v>
      </c>
      <c r="J54">
        <f>원본데이터_SK!AH54</f>
        <v>82110</v>
      </c>
      <c r="K54">
        <f>IFERROR(VLOOKUP(E54,제품마스터!$A:$B,2,0),0)</f>
        <v>0</v>
      </c>
      <c r="L54">
        <f>원본데이터_SK!Q54*원본데이터_SK!P54</f>
        <v>82110</v>
      </c>
    </row>
    <row r="55" spans="1:12" x14ac:dyDescent="0.3">
      <c r="A55" t="s">
        <v>11</v>
      </c>
      <c r="B55" t="str">
        <f>원본데이터_SK!D55</f>
        <v>20260205995874</v>
      </c>
      <c r="C55" t="str">
        <f>IF(원본데이터_SK!M55="","",TEXT(원본데이터_SK!M55,"YYYY-MM-DD"))</f>
        <v>2026-02-07</v>
      </c>
      <c r="D55" t="str">
        <f>원본데이터_SK!F55</f>
        <v>58481090</v>
      </c>
      <c r="E55" t="str">
        <f>IFERROR(VLOOKUP(원본데이터_SK!F55,채널매핑!$B:$D,3,0),"미매핑")</f>
        <v>미매핑</v>
      </c>
      <c r="F55">
        <f>IFERROR(VLOOKUP(원본데이터_SK!F55,채널매핑!$B:$E,4,0),1)</f>
        <v>1</v>
      </c>
      <c r="G55">
        <f>원본데이터_SK!Q55</f>
        <v>1</v>
      </c>
      <c r="H55">
        <f>원본데이터_SK!O55</f>
        <v>119000</v>
      </c>
      <c r="I55">
        <f>원본데이터_SK!AG55</f>
        <v>99960</v>
      </c>
      <c r="J55">
        <f>원본데이터_SK!AH55</f>
        <v>82110</v>
      </c>
      <c r="K55">
        <f>IFERROR(VLOOKUP(E55,제품마스터!$A:$B,2,0),0)</f>
        <v>0</v>
      </c>
      <c r="L55">
        <f>원본데이터_SK!Q55*원본데이터_SK!P55</f>
        <v>82110</v>
      </c>
    </row>
    <row r="56" spans="1:12" x14ac:dyDescent="0.3">
      <c r="A56" t="s">
        <v>11</v>
      </c>
      <c r="B56" t="str">
        <f>원본데이터_SK!D56</f>
        <v>20260205995155</v>
      </c>
      <c r="C56" t="str">
        <f>IF(원본데이터_SK!M56="","",TEXT(원본데이터_SK!M56,"YYYY-MM-DD"))</f>
        <v>2026-02-07</v>
      </c>
      <c r="D56" t="str">
        <f>원본데이터_SK!F56</f>
        <v>58481090</v>
      </c>
      <c r="E56" t="str">
        <f>IFERROR(VLOOKUP(원본데이터_SK!F56,채널매핑!$B:$D,3,0),"미매핑")</f>
        <v>미매핑</v>
      </c>
      <c r="F56">
        <f>IFERROR(VLOOKUP(원본데이터_SK!F56,채널매핑!$B:$E,4,0),1)</f>
        <v>1</v>
      </c>
      <c r="G56">
        <f>원본데이터_SK!Q56</f>
        <v>1</v>
      </c>
      <c r="H56">
        <f>원본데이터_SK!O56</f>
        <v>119000</v>
      </c>
      <c r="I56">
        <f>원본데이터_SK!AG56</f>
        <v>119000</v>
      </c>
      <c r="J56">
        <f>원본데이터_SK!AH56</f>
        <v>82110</v>
      </c>
      <c r="K56">
        <f>IFERROR(VLOOKUP(E56,제품마스터!$A:$B,2,0),0)</f>
        <v>0</v>
      </c>
      <c r="L56">
        <f>원본데이터_SK!Q56*원본데이터_SK!P56</f>
        <v>82110</v>
      </c>
    </row>
    <row r="57" spans="1:12" x14ac:dyDescent="0.3">
      <c r="A57" t="s">
        <v>11</v>
      </c>
      <c r="B57" t="str">
        <f>원본데이터_SK!D57</f>
        <v>20260205994376</v>
      </c>
      <c r="C57" t="str">
        <f>IF(원본데이터_SK!M57="","",TEXT(원본데이터_SK!M57,"YYYY-MM-DD"))</f>
        <v>2026-02-07</v>
      </c>
      <c r="D57" t="str">
        <f>원본데이터_SK!F57</f>
        <v>58481090</v>
      </c>
      <c r="E57" t="str">
        <f>IFERROR(VLOOKUP(원본데이터_SK!F57,채널매핑!$B:$D,3,0),"미매핑")</f>
        <v>미매핑</v>
      </c>
      <c r="F57">
        <f>IFERROR(VLOOKUP(원본데이터_SK!F57,채널매핑!$B:$E,4,0),1)</f>
        <v>1</v>
      </c>
      <c r="G57">
        <f>원본데이터_SK!Q57</f>
        <v>1</v>
      </c>
      <c r="H57">
        <f>원본데이터_SK!O57</f>
        <v>119000</v>
      </c>
      <c r="I57">
        <f>원본데이터_SK!AG57</f>
        <v>119000</v>
      </c>
      <c r="J57">
        <f>원본데이터_SK!AH57</f>
        <v>82110</v>
      </c>
      <c r="K57">
        <f>IFERROR(VLOOKUP(E57,제품마스터!$A:$B,2,0),0)</f>
        <v>0</v>
      </c>
      <c r="L57">
        <f>원본데이터_SK!Q57*원본데이터_SK!P57</f>
        <v>82110</v>
      </c>
    </row>
    <row r="58" spans="1:12" x14ac:dyDescent="0.3">
      <c r="A58" t="s">
        <v>11</v>
      </c>
      <c r="B58" t="str">
        <f>원본데이터_SK!D58</f>
        <v>20260205994564</v>
      </c>
      <c r="C58" t="str">
        <f>IF(원본데이터_SK!M58="","",TEXT(원본데이터_SK!M58,"YYYY-MM-DD"))</f>
        <v>2026-02-07</v>
      </c>
      <c r="D58" t="str">
        <f>원본데이터_SK!F58</f>
        <v>58481090</v>
      </c>
      <c r="E58" t="str">
        <f>IFERROR(VLOOKUP(원본데이터_SK!F58,채널매핑!$B:$D,3,0),"미매핑")</f>
        <v>미매핑</v>
      </c>
      <c r="F58">
        <f>IFERROR(VLOOKUP(원본데이터_SK!F58,채널매핑!$B:$E,4,0),1)</f>
        <v>1</v>
      </c>
      <c r="G58">
        <f>원본데이터_SK!Q58</f>
        <v>1</v>
      </c>
      <c r="H58">
        <f>원본데이터_SK!O58</f>
        <v>119000</v>
      </c>
      <c r="I58">
        <f>원본데이터_SK!AG58</f>
        <v>119000</v>
      </c>
      <c r="J58">
        <f>원본데이터_SK!AH58</f>
        <v>82110</v>
      </c>
      <c r="K58">
        <f>IFERROR(VLOOKUP(E58,제품마스터!$A:$B,2,0),0)</f>
        <v>0</v>
      </c>
      <c r="L58">
        <f>원본데이터_SK!Q58*원본데이터_SK!P58</f>
        <v>82110</v>
      </c>
    </row>
    <row r="59" spans="1:12" x14ac:dyDescent="0.3">
      <c r="A59" t="s">
        <v>11</v>
      </c>
      <c r="B59" t="str">
        <f>원본데이터_SK!D59</f>
        <v>20260205994614</v>
      </c>
      <c r="C59" t="str">
        <f>IF(원본데이터_SK!M59="","",TEXT(원본데이터_SK!M59,"YYYY-MM-DD"))</f>
        <v>2026-02-07</v>
      </c>
      <c r="D59" t="str">
        <f>원본데이터_SK!F59</f>
        <v>58481090</v>
      </c>
      <c r="E59" t="str">
        <f>IFERROR(VLOOKUP(원본데이터_SK!F59,채널매핑!$B:$D,3,0),"미매핑")</f>
        <v>미매핑</v>
      </c>
      <c r="F59">
        <f>IFERROR(VLOOKUP(원본데이터_SK!F59,채널매핑!$B:$E,4,0),1)</f>
        <v>1</v>
      </c>
      <c r="G59">
        <f>원본데이터_SK!Q59</f>
        <v>1</v>
      </c>
      <c r="H59">
        <f>원본데이터_SK!O59</f>
        <v>119000</v>
      </c>
      <c r="I59">
        <f>원본데이터_SK!AG59</f>
        <v>109000</v>
      </c>
      <c r="J59">
        <f>원본데이터_SK!AH59</f>
        <v>82110</v>
      </c>
      <c r="K59">
        <f>IFERROR(VLOOKUP(E59,제품마스터!$A:$B,2,0),0)</f>
        <v>0</v>
      </c>
      <c r="L59">
        <f>원본데이터_SK!Q59*원본데이터_SK!P59</f>
        <v>82110</v>
      </c>
    </row>
    <row r="60" spans="1:12" x14ac:dyDescent="0.3">
      <c r="A60" t="s">
        <v>11</v>
      </c>
      <c r="B60" t="str">
        <f>원본데이터_SK!D60</f>
        <v>20260205993698</v>
      </c>
      <c r="C60" t="str">
        <f>IF(원본데이터_SK!M60="","",TEXT(원본데이터_SK!M60,"YYYY-MM-DD"))</f>
        <v>2026-02-07</v>
      </c>
      <c r="D60" t="str">
        <f>원본데이터_SK!F60</f>
        <v>58481090</v>
      </c>
      <c r="E60" t="str">
        <f>IFERROR(VLOOKUP(원본데이터_SK!F60,채널매핑!$B:$D,3,0),"미매핑")</f>
        <v>미매핑</v>
      </c>
      <c r="F60">
        <f>IFERROR(VLOOKUP(원본데이터_SK!F60,채널매핑!$B:$E,4,0),1)</f>
        <v>1</v>
      </c>
      <c r="G60">
        <f>원본데이터_SK!Q60</f>
        <v>1</v>
      </c>
      <c r="H60">
        <f>원본데이터_SK!O60</f>
        <v>119000</v>
      </c>
      <c r="I60">
        <f>원본데이터_SK!AG60</f>
        <v>99960</v>
      </c>
      <c r="J60">
        <f>원본데이터_SK!AH60</f>
        <v>82110</v>
      </c>
      <c r="K60">
        <f>IFERROR(VLOOKUP(E60,제품마스터!$A:$B,2,0),0)</f>
        <v>0</v>
      </c>
      <c r="L60">
        <f>원본데이터_SK!Q60*원본데이터_SK!P60</f>
        <v>82110</v>
      </c>
    </row>
    <row r="61" spans="1:12" x14ac:dyDescent="0.3">
      <c r="A61" t="s">
        <v>11</v>
      </c>
      <c r="B61" t="str">
        <f>원본데이터_SK!D61</f>
        <v>20260205992804</v>
      </c>
      <c r="C61" t="str">
        <f>IF(원본데이터_SK!M61="","",TEXT(원본데이터_SK!M61,"YYYY-MM-DD"))</f>
        <v>2026-02-07</v>
      </c>
      <c r="D61" t="str">
        <f>원본데이터_SK!F61</f>
        <v>58481090</v>
      </c>
      <c r="E61" t="str">
        <f>IFERROR(VLOOKUP(원본데이터_SK!F61,채널매핑!$B:$D,3,0),"미매핑")</f>
        <v>미매핑</v>
      </c>
      <c r="F61">
        <f>IFERROR(VLOOKUP(원본데이터_SK!F61,채널매핑!$B:$E,4,0),1)</f>
        <v>1</v>
      </c>
      <c r="G61">
        <f>원본데이터_SK!Q61</f>
        <v>1</v>
      </c>
      <c r="H61">
        <f>원본데이터_SK!O61</f>
        <v>119000</v>
      </c>
      <c r="I61">
        <f>원본데이터_SK!AG61</f>
        <v>119000</v>
      </c>
      <c r="J61">
        <f>원본데이터_SK!AH61</f>
        <v>82110</v>
      </c>
      <c r="K61">
        <f>IFERROR(VLOOKUP(E61,제품마스터!$A:$B,2,0),0)</f>
        <v>0</v>
      </c>
      <c r="L61">
        <f>원본데이터_SK!Q61*원본데이터_SK!P61</f>
        <v>82110</v>
      </c>
    </row>
    <row r="62" spans="1:12" x14ac:dyDescent="0.3">
      <c r="A62" t="s">
        <v>11</v>
      </c>
      <c r="B62" t="str">
        <f>원본데이터_SK!D62</f>
        <v>20260205992800</v>
      </c>
      <c r="C62" t="str">
        <f>IF(원본데이터_SK!M62="","",TEXT(원본데이터_SK!M62,"YYYY-MM-DD"))</f>
        <v>2026-02-07</v>
      </c>
      <c r="D62" t="str">
        <f>원본데이터_SK!F62</f>
        <v>58481090</v>
      </c>
      <c r="E62" t="str">
        <f>IFERROR(VLOOKUP(원본데이터_SK!F62,채널매핑!$B:$D,3,0),"미매핑")</f>
        <v>미매핑</v>
      </c>
      <c r="F62">
        <f>IFERROR(VLOOKUP(원본데이터_SK!F62,채널매핑!$B:$E,4,0),1)</f>
        <v>1</v>
      </c>
      <c r="G62">
        <f>원본데이터_SK!Q62</f>
        <v>1</v>
      </c>
      <c r="H62">
        <f>원본데이터_SK!O62</f>
        <v>119000</v>
      </c>
      <c r="I62">
        <f>원본데이터_SK!AG62</f>
        <v>113050</v>
      </c>
      <c r="J62">
        <f>원본데이터_SK!AH62</f>
        <v>82110</v>
      </c>
      <c r="K62">
        <f>IFERROR(VLOOKUP(E62,제품마스터!$A:$B,2,0),0)</f>
        <v>0</v>
      </c>
      <c r="L62">
        <f>원본데이터_SK!Q62*원본데이터_SK!P62</f>
        <v>82110</v>
      </c>
    </row>
    <row r="63" spans="1:12" x14ac:dyDescent="0.3">
      <c r="A63" t="s">
        <v>11</v>
      </c>
      <c r="B63" t="str">
        <f>원본데이터_SK!D63</f>
        <v>20260205994317</v>
      </c>
      <c r="C63" t="str">
        <f>IF(원본데이터_SK!M63="","",TEXT(원본데이터_SK!M63,"YYYY-MM-DD"))</f>
        <v>2026-02-07</v>
      </c>
      <c r="D63" t="str">
        <f>원본데이터_SK!F63</f>
        <v>58481090</v>
      </c>
      <c r="E63" t="str">
        <f>IFERROR(VLOOKUP(원본데이터_SK!F63,채널매핑!$B:$D,3,0),"미매핑")</f>
        <v>미매핑</v>
      </c>
      <c r="F63">
        <f>IFERROR(VLOOKUP(원본데이터_SK!F63,채널매핑!$B:$E,4,0),1)</f>
        <v>1</v>
      </c>
      <c r="G63">
        <f>원본데이터_SK!Q63</f>
        <v>1</v>
      </c>
      <c r="H63">
        <f>원본데이터_SK!O63</f>
        <v>119000</v>
      </c>
      <c r="I63">
        <f>원본데이터_SK!AG63</f>
        <v>113050</v>
      </c>
      <c r="J63">
        <f>원본데이터_SK!AH63</f>
        <v>82110</v>
      </c>
      <c r="K63">
        <f>IFERROR(VLOOKUP(E63,제품마스터!$A:$B,2,0),0)</f>
        <v>0</v>
      </c>
      <c r="L63">
        <f>원본데이터_SK!Q63*원본데이터_SK!P63</f>
        <v>82110</v>
      </c>
    </row>
    <row r="64" spans="1:12" x14ac:dyDescent="0.3">
      <c r="A64" t="s">
        <v>11</v>
      </c>
      <c r="B64" t="str">
        <f>원본데이터_SK!D64</f>
        <v>20260205992772</v>
      </c>
      <c r="C64" t="str">
        <f>IF(원본데이터_SK!M64="","",TEXT(원본데이터_SK!M64,"YYYY-MM-DD"))</f>
        <v>2026-02-07</v>
      </c>
      <c r="D64" t="str">
        <f>원본데이터_SK!F64</f>
        <v>58481090</v>
      </c>
      <c r="E64" t="str">
        <f>IFERROR(VLOOKUP(원본데이터_SK!F64,채널매핑!$B:$D,3,0),"미매핑")</f>
        <v>미매핑</v>
      </c>
      <c r="F64">
        <f>IFERROR(VLOOKUP(원본데이터_SK!F64,채널매핑!$B:$E,4,0),1)</f>
        <v>1</v>
      </c>
      <c r="G64">
        <f>원본데이터_SK!Q64</f>
        <v>1</v>
      </c>
      <c r="H64">
        <f>원본데이터_SK!O64</f>
        <v>119000</v>
      </c>
      <c r="I64">
        <f>원본데이터_SK!AG64</f>
        <v>119000</v>
      </c>
      <c r="J64">
        <f>원본데이터_SK!AH64</f>
        <v>82110</v>
      </c>
      <c r="K64">
        <f>IFERROR(VLOOKUP(E64,제품마스터!$A:$B,2,0),0)</f>
        <v>0</v>
      </c>
      <c r="L64">
        <f>원본데이터_SK!Q64*원본데이터_SK!P64</f>
        <v>82110</v>
      </c>
    </row>
    <row r="65" spans="1:12" x14ac:dyDescent="0.3">
      <c r="A65" t="s">
        <v>11</v>
      </c>
      <c r="B65" t="str">
        <f>원본데이터_SK!D65</f>
        <v>20260205995383</v>
      </c>
      <c r="C65" t="str">
        <f>IF(원본데이터_SK!M65="","",TEXT(원본데이터_SK!M65,"YYYY-MM-DD"))</f>
        <v>2026-02-07</v>
      </c>
      <c r="D65" t="str">
        <f>원본데이터_SK!F65</f>
        <v>58481090</v>
      </c>
      <c r="E65" t="str">
        <f>IFERROR(VLOOKUP(원본데이터_SK!F65,채널매핑!$B:$D,3,0),"미매핑")</f>
        <v>미매핑</v>
      </c>
      <c r="F65">
        <f>IFERROR(VLOOKUP(원본데이터_SK!F65,채널매핑!$B:$E,4,0),1)</f>
        <v>1</v>
      </c>
      <c r="G65">
        <f>원본데이터_SK!Q65</f>
        <v>1</v>
      </c>
      <c r="H65">
        <f>원본데이터_SK!O65</f>
        <v>119000</v>
      </c>
      <c r="I65">
        <f>원본데이터_SK!AG65</f>
        <v>119000</v>
      </c>
      <c r="J65">
        <f>원본데이터_SK!AH65</f>
        <v>82110</v>
      </c>
      <c r="K65">
        <f>IFERROR(VLOOKUP(E65,제품마스터!$A:$B,2,0),0)</f>
        <v>0</v>
      </c>
      <c r="L65">
        <f>원본데이터_SK!Q65*원본데이터_SK!P65</f>
        <v>82110</v>
      </c>
    </row>
    <row r="66" spans="1:12" x14ac:dyDescent="0.3">
      <c r="A66" t="s">
        <v>11</v>
      </c>
      <c r="B66" t="str">
        <f>원본데이터_SK!D66</f>
        <v>20260205994159</v>
      </c>
      <c r="C66" t="str">
        <f>IF(원본데이터_SK!M66="","",TEXT(원본데이터_SK!M66,"YYYY-MM-DD"))</f>
        <v>2026-02-07</v>
      </c>
      <c r="D66" t="str">
        <f>원본데이터_SK!F66</f>
        <v>58481090</v>
      </c>
      <c r="E66" t="str">
        <f>IFERROR(VLOOKUP(원본데이터_SK!F66,채널매핑!$B:$D,3,0),"미매핑")</f>
        <v>미매핑</v>
      </c>
      <c r="F66">
        <f>IFERROR(VLOOKUP(원본데이터_SK!F66,채널매핑!$B:$E,4,0),1)</f>
        <v>1</v>
      </c>
      <c r="G66">
        <f>원본데이터_SK!Q66</f>
        <v>1</v>
      </c>
      <c r="H66">
        <f>원본데이터_SK!O66</f>
        <v>119000</v>
      </c>
      <c r="I66">
        <f>원본데이터_SK!AG66</f>
        <v>119000</v>
      </c>
      <c r="J66">
        <f>원본데이터_SK!AH66</f>
        <v>82110</v>
      </c>
      <c r="K66">
        <f>IFERROR(VLOOKUP(E66,제품마스터!$A:$B,2,0),0)</f>
        <v>0</v>
      </c>
      <c r="L66">
        <f>원본데이터_SK!Q66*원본데이터_SK!P66</f>
        <v>82110</v>
      </c>
    </row>
    <row r="67" spans="1:12" x14ac:dyDescent="0.3">
      <c r="A67" t="s">
        <v>11</v>
      </c>
      <c r="B67" t="str">
        <f>원본데이터_SK!D67</f>
        <v>20260205994198</v>
      </c>
      <c r="C67" t="str">
        <f>IF(원본데이터_SK!M67="","",TEXT(원본데이터_SK!M67,"YYYY-MM-DD"))</f>
        <v>2026-02-07</v>
      </c>
      <c r="D67" t="str">
        <f>원본데이터_SK!F67</f>
        <v>58481090</v>
      </c>
      <c r="E67" t="str">
        <f>IFERROR(VLOOKUP(원본데이터_SK!F67,채널매핑!$B:$D,3,0),"미매핑")</f>
        <v>미매핑</v>
      </c>
      <c r="F67">
        <f>IFERROR(VLOOKUP(원본데이터_SK!F67,채널매핑!$B:$E,4,0),1)</f>
        <v>1</v>
      </c>
      <c r="G67">
        <f>원본데이터_SK!Q67</f>
        <v>1</v>
      </c>
      <c r="H67">
        <f>원본데이터_SK!O67</f>
        <v>119000</v>
      </c>
      <c r="I67">
        <f>원본데이터_SK!AG67</f>
        <v>119000</v>
      </c>
      <c r="J67">
        <f>원본데이터_SK!AH67</f>
        <v>82110</v>
      </c>
      <c r="K67">
        <f>IFERROR(VLOOKUP(E67,제품마스터!$A:$B,2,0),0)</f>
        <v>0</v>
      </c>
      <c r="L67">
        <f>원본데이터_SK!Q67*원본데이터_SK!P67</f>
        <v>82110</v>
      </c>
    </row>
    <row r="68" spans="1:12" x14ac:dyDescent="0.3">
      <c r="A68" t="s">
        <v>11</v>
      </c>
      <c r="B68" t="str">
        <f>원본데이터_SK!D68</f>
        <v>20260205994768</v>
      </c>
      <c r="C68" t="str">
        <f>IF(원본데이터_SK!M68="","",TEXT(원본데이터_SK!M68,"YYYY-MM-DD"))</f>
        <v>2026-02-07</v>
      </c>
      <c r="D68" t="str">
        <f>원본데이터_SK!F68</f>
        <v>58481090</v>
      </c>
      <c r="E68" t="str">
        <f>IFERROR(VLOOKUP(원본데이터_SK!F68,채널매핑!$B:$D,3,0),"미매핑")</f>
        <v>미매핑</v>
      </c>
      <c r="F68">
        <f>IFERROR(VLOOKUP(원본데이터_SK!F68,채널매핑!$B:$E,4,0),1)</f>
        <v>1</v>
      </c>
      <c r="G68">
        <f>원본데이터_SK!Q68</f>
        <v>1</v>
      </c>
      <c r="H68">
        <f>원본데이터_SK!O68</f>
        <v>119000</v>
      </c>
      <c r="I68">
        <f>원본데이터_SK!AG68</f>
        <v>119000</v>
      </c>
      <c r="J68">
        <f>원본데이터_SK!AH68</f>
        <v>82110</v>
      </c>
      <c r="K68">
        <f>IFERROR(VLOOKUP(E68,제품마스터!$A:$B,2,0),0)</f>
        <v>0</v>
      </c>
      <c r="L68">
        <f>원본데이터_SK!Q68*원본데이터_SK!P68</f>
        <v>82110</v>
      </c>
    </row>
    <row r="69" spans="1:12" x14ac:dyDescent="0.3">
      <c r="A69" t="s">
        <v>11</v>
      </c>
      <c r="B69" t="str">
        <f>원본데이터_SK!D69</f>
        <v>20260205994818</v>
      </c>
      <c r="C69" t="str">
        <f>IF(원본데이터_SK!M69="","",TEXT(원본데이터_SK!M69,"YYYY-MM-DD"))</f>
        <v>2026-02-07</v>
      </c>
      <c r="D69" t="str">
        <f>원본데이터_SK!F69</f>
        <v>58481090</v>
      </c>
      <c r="E69" t="str">
        <f>IFERROR(VLOOKUP(원본데이터_SK!F69,채널매핑!$B:$D,3,0),"미매핑")</f>
        <v>미매핑</v>
      </c>
      <c r="F69">
        <f>IFERROR(VLOOKUP(원본데이터_SK!F69,채널매핑!$B:$E,4,0),1)</f>
        <v>1</v>
      </c>
      <c r="G69">
        <f>원본데이터_SK!Q69</f>
        <v>1</v>
      </c>
      <c r="H69">
        <f>원본데이터_SK!O69</f>
        <v>119000</v>
      </c>
      <c r="I69">
        <f>원본데이터_SK!AG69</f>
        <v>119000</v>
      </c>
      <c r="J69">
        <f>원본데이터_SK!AH69</f>
        <v>82110</v>
      </c>
      <c r="K69">
        <f>IFERROR(VLOOKUP(E69,제품마스터!$A:$B,2,0),0)</f>
        <v>0</v>
      </c>
      <c r="L69">
        <f>원본데이터_SK!Q69*원본데이터_SK!P69</f>
        <v>82110</v>
      </c>
    </row>
    <row r="70" spans="1:12" x14ac:dyDescent="0.3">
      <c r="A70" t="s">
        <v>11</v>
      </c>
      <c r="B70" t="str">
        <f>원본데이터_SK!D70</f>
        <v>20260205992872</v>
      </c>
      <c r="C70" t="str">
        <f>IF(원본데이터_SK!M70="","",TEXT(원본데이터_SK!M70,"YYYY-MM-DD"))</f>
        <v>2026-02-07</v>
      </c>
      <c r="D70" t="str">
        <f>원본데이터_SK!F70</f>
        <v>58481090</v>
      </c>
      <c r="E70" t="str">
        <f>IFERROR(VLOOKUP(원본데이터_SK!F70,채널매핑!$B:$D,3,0),"미매핑")</f>
        <v>미매핑</v>
      </c>
      <c r="F70">
        <f>IFERROR(VLOOKUP(원본데이터_SK!F70,채널매핑!$B:$E,4,0),1)</f>
        <v>1</v>
      </c>
      <c r="G70">
        <f>원본데이터_SK!Q70</f>
        <v>1</v>
      </c>
      <c r="H70">
        <f>원본데이터_SK!O70</f>
        <v>119000</v>
      </c>
      <c r="I70">
        <f>원본데이터_SK!AG70</f>
        <v>119000</v>
      </c>
      <c r="J70">
        <f>원본데이터_SK!AH70</f>
        <v>82110</v>
      </c>
      <c r="K70">
        <f>IFERROR(VLOOKUP(E70,제품마스터!$A:$B,2,0),0)</f>
        <v>0</v>
      </c>
      <c r="L70">
        <f>원본데이터_SK!Q70*원본데이터_SK!P70</f>
        <v>82110</v>
      </c>
    </row>
    <row r="71" spans="1:12" x14ac:dyDescent="0.3">
      <c r="A71" t="s">
        <v>11</v>
      </c>
      <c r="B71" t="str">
        <f>원본데이터_SK!D71</f>
        <v>20260205995552</v>
      </c>
      <c r="C71" t="str">
        <f>IF(원본데이터_SK!M71="","",TEXT(원본데이터_SK!M71,"YYYY-MM-DD"))</f>
        <v>2026-02-07</v>
      </c>
      <c r="D71" t="str">
        <f>원본데이터_SK!F71</f>
        <v>58481090</v>
      </c>
      <c r="E71" t="str">
        <f>IFERROR(VLOOKUP(원본데이터_SK!F71,채널매핑!$B:$D,3,0),"미매핑")</f>
        <v>미매핑</v>
      </c>
      <c r="F71">
        <f>IFERROR(VLOOKUP(원본데이터_SK!F71,채널매핑!$B:$E,4,0),1)</f>
        <v>1</v>
      </c>
      <c r="G71">
        <f>원본데이터_SK!Q71</f>
        <v>1</v>
      </c>
      <c r="H71">
        <f>원본데이터_SK!O71</f>
        <v>119000</v>
      </c>
      <c r="I71">
        <f>원본데이터_SK!AG71</f>
        <v>119000</v>
      </c>
      <c r="J71">
        <f>원본데이터_SK!AH71</f>
        <v>82110</v>
      </c>
      <c r="K71">
        <f>IFERROR(VLOOKUP(E71,제품마스터!$A:$B,2,0),0)</f>
        <v>0</v>
      </c>
      <c r="L71">
        <f>원본데이터_SK!Q71*원본데이터_SK!P71</f>
        <v>82110</v>
      </c>
    </row>
    <row r="72" spans="1:12" x14ac:dyDescent="0.3">
      <c r="A72" t="s">
        <v>11</v>
      </c>
      <c r="B72" t="str">
        <f>원본데이터_SK!D72</f>
        <v>20260205995516</v>
      </c>
      <c r="C72" t="str">
        <f>IF(원본데이터_SK!M72="","",TEXT(원본데이터_SK!M72,"YYYY-MM-DD"))</f>
        <v>2026-02-07</v>
      </c>
      <c r="D72" t="str">
        <f>원본데이터_SK!F72</f>
        <v>58481090</v>
      </c>
      <c r="E72" t="str">
        <f>IFERROR(VLOOKUP(원본데이터_SK!F72,채널매핑!$B:$D,3,0),"미매핑")</f>
        <v>미매핑</v>
      </c>
      <c r="F72">
        <f>IFERROR(VLOOKUP(원본데이터_SK!F72,채널매핑!$B:$E,4,0),1)</f>
        <v>1</v>
      </c>
      <c r="G72">
        <f>원본데이터_SK!Q72</f>
        <v>1</v>
      </c>
      <c r="H72">
        <f>원본데이터_SK!O72</f>
        <v>119000</v>
      </c>
      <c r="I72">
        <f>원본데이터_SK!AG72</f>
        <v>119000</v>
      </c>
      <c r="J72">
        <f>원본데이터_SK!AH72</f>
        <v>82110</v>
      </c>
      <c r="K72">
        <f>IFERROR(VLOOKUP(E72,제품마스터!$A:$B,2,0),0)</f>
        <v>0</v>
      </c>
      <c r="L72">
        <f>원본데이터_SK!Q72*원본데이터_SK!P72</f>
        <v>82110</v>
      </c>
    </row>
    <row r="73" spans="1:12" x14ac:dyDescent="0.3">
      <c r="A73" t="s">
        <v>11</v>
      </c>
      <c r="B73" t="str">
        <f>원본데이터_SK!D73</f>
        <v>20260205994953</v>
      </c>
      <c r="C73" t="str">
        <f>IF(원본데이터_SK!M73="","",TEXT(원본데이터_SK!M73,"YYYY-MM-DD"))</f>
        <v>2026-02-07</v>
      </c>
      <c r="D73" t="str">
        <f>원본데이터_SK!F73</f>
        <v>58481090</v>
      </c>
      <c r="E73" t="str">
        <f>IFERROR(VLOOKUP(원본데이터_SK!F73,채널매핑!$B:$D,3,0),"미매핑")</f>
        <v>미매핑</v>
      </c>
      <c r="F73">
        <f>IFERROR(VLOOKUP(원본데이터_SK!F73,채널매핑!$B:$E,4,0),1)</f>
        <v>1</v>
      </c>
      <c r="G73">
        <f>원본데이터_SK!Q73</f>
        <v>1</v>
      </c>
      <c r="H73">
        <f>원본데이터_SK!O73</f>
        <v>119000</v>
      </c>
      <c r="I73">
        <f>원본데이터_SK!AG73</f>
        <v>99960</v>
      </c>
      <c r="J73">
        <f>원본데이터_SK!AH73</f>
        <v>82110</v>
      </c>
      <c r="K73">
        <f>IFERROR(VLOOKUP(E73,제품마스터!$A:$B,2,0),0)</f>
        <v>0</v>
      </c>
      <c r="L73">
        <f>원본데이터_SK!Q73*원본데이터_SK!P73</f>
        <v>82110</v>
      </c>
    </row>
    <row r="74" spans="1:12" x14ac:dyDescent="0.3">
      <c r="A74" t="s">
        <v>11</v>
      </c>
      <c r="B74" t="str">
        <f>원본데이터_SK!D74</f>
        <v>20260205995058</v>
      </c>
      <c r="C74" t="str">
        <f>IF(원본데이터_SK!M74="","",TEXT(원본데이터_SK!M74,"YYYY-MM-DD"))</f>
        <v>2026-02-07</v>
      </c>
      <c r="D74" t="str">
        <f>원본데이터_SK!F74</f>
        <v>58481090</v>
      </c>
      <c r="E74" t="str">
        <f>IFERROR(VLOOKUP(원본데이터_SK!F74,채널매핑!$B:$D,3,0),"미매핑")</f>
        <v>미매핑</v>
      </c>
      <c r="F74">
        <f>IFERROR(VLOOKUP(원본데이터_SK!F74,채널매핑!$B:$E,4,0),1)</f>
        <v>1</v>
      </c>
      <c r="G74">
        <f>원본데이터_SK!Q74</f>
        <v>1</v>
      </c>
      <c r="H74">
        <f>원본데이터_SK!O74</f>
        <v>119000</v>
      </c>
      <c r="I74">
        <f>원본데이터_SK!AG74</f>
        <v>108300</v>
      </c>
      <c r="J74">
        <f>원본데이터_SK!AH74</f>
        <v>82110</v>
      </c>
      <c r="K74">
        <f>IFERROR(VLOOKUP(E74,제품마스터!$A:$B,2,0),0)</f>
        <v>0</v>
      </c>
      <c r="L74">
        <f>원본데이터_SK!Q74*원본데이터_SK!P74</f>
        <v>82110</v>
      </c>
    </row>
    <row r="75" spans="1:12" x14ac:dyDescent="0.3">
      <c r="A75" t="s">
        <v>11</v>
      </c>
      <c r="B75" t="str">
        <f>원본데이터_SK!D75</f>
        <v>20260205995012</v>
      </c>
      <c r="C75" t="str">
        <f>IF(원본데이터_SK!M75="","",TEXT(원본데이터_SK!M75,"YYYY-MM-DD"))</f>
        <v>2026-02-07</v>
      </c>
      <c r="D75" t="str">
        <f>원본데이터_SK!F75</f>
        <v>58481090</v>
      </c>
      <c r="E75" t="str">
        <f>IFERROR(VLOOKUP(원본데이터_SK!F75,채널매핑!$B:$D,3,0),"미매핑")</f>
        <v>미매핑</v>
      </c>
      <c r="F75">
        <f>IFERROR(VLOOKUP(원본데이터_SK!F75,채널매핑!$B:$E,4,0),1)</f>
        <v>1</v>
      </c>
      <c r="G75">
        <f>원본데이터_SK!Q75</f>
        <v>1</v>
      </c>
      <c r="H75">
        <f>원본데이터_SK!O75</f>
        <v>119000</v>
      </c>
      <c r="I75">
        <f>원본데이터_SK!AG75</f>
        <v>119000</v>
      </c>
      <c r="J75">
        <f>원본데이터_SK!AH75</f>
        <v>82110</v>
      </c>
      <c r="K75">
        <f>IFERROR(VLOOKUP(E75,제품마스터!$A:$B,2,0),0)</f>
        <v>0</v>
      </c>
      <c r="L75">
        <f>원본데이터_SK!Q75*원본데이터_SK!P75</f>
        <v>82110</v>
      </c>
    </row>
    <row r="76" spans="1:12" x14ac:dyDescent="0.3">
      <c r="A76" t="s">
        <v>11</v>
      </c>
      <c r="B76" t="str">
        <f>원본데이터_SK!D76</f>
        <v>20260205993890</v>
      </c>
      <c r="C76" t="str">
        <f>IF(원본데이터_SK!M76="","",TEXT(원본데이터_SK!M76,"YYYY-MM-DD"))</f>
        <v>2026-02-07</v>
      </c>
      <c r="D76" t="str">
        <f>원본데이터_SK!F76</f>
        <v>58481090</v>
      </c>
      <c r="E76" t="str">
        <f>IFERROR(VLOOKUP(원본데이터_SK!F76,채널매핑!$B:$D,3,0),"미매핑")</f>
        <v>미매핑</v>
      </c>
      <c r="F76">
        <f>IFERROR(VLOOKUP(원본데이터_SK!F76,채널매핑!$B:$E,4,0),1)</f>
        <v>1</v>
      </c>
      <c r="G76">
        <f>원본데이터_SK!Q76</f>
        <v>1</v>
      </c>
      <c r="H76">
        <f>원본데이터_SK!O76</f>
        <v>119000</v>
      </c>
      <c r="I76">
        <f>원본데이터_SK!AG76</f>
        <v>119000</v>
      </c>
      <c r="J76">
        <f>원본데이터_SK!AH76</f>
        <v>82110</v>
      </c>
      <c r="K76">
        <f>IFERROR(VLOOKUP(E76,제품마스터!$A:$B,2,0),0)</f>
        <v>0</v>
      </c>
      <c r="L76">
        <f>원본데이터_SK!Q76*원본데이터_SK!P76</f>
        <v>82110</v>
      </c>
    </row>
    <row r="77" spans="1:12" x14ac:dyDescent="0.3">
      <c r="A77" t="s">
        <v>11</v>
      </c>
      <c r="B77" t="str">
        <f>원본데이터_SK!D77</f>
        <v>20260205993358</v>
      </c>
      <c r="C77" t="str">
        <f>IF(원본데이터_SK!M77="","",TEXT(원본데이터_SK!M77,"YYYY-MM-DD"))</f>
        <v>2026-02-07</v>
      </c>
      <c r="D77" t="str">
        <f>원본데이터_SK!F77</f>
        <v>58481090</v>
      </c>
      <c r="E77" t="str">
        <f>IFERROR(VLOOKUP(원본데이터_SK!F77,채널매핑!$B:$D,3,0),"미매핑")</f>
        <v>미매핑</v>
      </c>
      <c r="F77">
        <f>IFERROR(VLOOKUP(원본데이터_SK!F77,채널매핑!$B:$E,4,0),1)</f>
        <v>1</v>
      </c>
      <c r="G77">
        <f>원본데이터_SK!Q77</f>
        <v>1</v>
      </c>
      <c r="H77">
        <f>원본데이터_SK!O77</f>
        <v>119000</v>
      </c>
      <c r="I77">
        <f>원본데이터_SK!AG77</f>
        <v>109000</v>
      </c>
      <c r="J77">
        <f>원본데이터_SK!AH77</f>
        <v>82110</v>
      </c>
      <c r="K77">
        <f>IFERROR(VLOOKUP(E77,제품마스터!$A:$B,2,0),0)</f>
        <v>0</v>
      </c>
      <c r="L77">
        <f>원본데이터_SK!Q77*원본데이터_SK!P77</f>
        <v>82110</v>
      </c>
    </row>
    <row r="78" spans="1:12" x14ac:dyDescent="0.3">
      <c r="A78" t="s">
        <v>11</v>
      </c>
      <c r="B78" t="str">
        <f>원본데이터_SK!D78</f>
        <v>20260205992456</v>
      </c>
      <c r="C78" t="str">
        <f>IF(원본데이터_SK!M78="","",TEXT(원본데이터_SK!M78,"YYYY-MM-DD"))</f>
        <v>2026-02-07</v>
      </c>
      <c r="D78" t="str">
        <f>원본데이터_SK!F78</f>
        <v>58481090</v>
      </c>
      <c r="E78" t="str">
        <f>IFERROR(VLOOKUP(원본데이터_SK!F78,채널매핑!$B:$D,3,0),"미매핑")</f>
        <v>미매핑</v>
      </c>
      <c r="F78">
        <f>IFERROR(VLOOKUP(원본데이터_SK!F78,채널매핑!$B:$E,4,0),1)</f>
        <v>1</v>
      </c>
      <c r="G78">
        <f>원본데이터_SK!Q78</f>
        <v>1</v>
      </c>
      <c r="H78">
        <f>원본데이터_SK!O78</f>
        <v>119000</v>
      </c>
      <c r="I78">
        <f>원본데이터_SK!AG78</f>
        <v>119000</v>
      </c>
      <c r="J78">
        <f>원본데이터_SK!AH78</f>
        <v>82110</v>
      </c>
      <c r="K78">
        <f>IFERROR(VLOOKUP(E78,제품마스터!$A:$B,2,0),0)</f>
        <v>0</v>
      </c>
      <c r="L78">
        <f>원본데이터_SK!Q78*원본데이터_SK!P78</f>
        <v>82110</v>
      </c>
    </row>
    <row r="79" spans="1:12" x14ac:dyDescent="0.3">
      <c r="A79" t="s">
        <v>11</v>
      </c>
      <c r="B79" t="str">
        <f>원본데이터_SK!D79</f>
        <v>20260205993113</v>
      </c>
      <c r="C79" t="str">
        <f>IF(원본데이터_SK!M79="","",TEXT(원본데이터_SK!M79,"YYYY-MM-DD"))</f>
        <v>2026-02-07</v>
      </c>
      <c r="D79" t="str">
        <f>원본데이터_SK!F79</f>
        <v>58481090</v>
      </c>
      <c r="E79" t="str">
        <f>IFERROR(VLOOKUP(원본데이터_SK!F79,채널매핑!$B:$D,3,0),"미매핑")</f>
        <v>미매핑</v>
      </c>
      <c r="F79">
        <f>IFERROR(VLOOKUP(원본데이터_SK!F79,채널매핑!$B:$E,4,0),1)</f>
        <v>1</v>
      </c>
      <c r="G79">
        <f>원본데이터_SK!Q79</f>
        <v>1</v>
      </c>
      <c r="H79">
        <f>원본데이터_SK!O79</f>
        <v>119000</v>
      </c>
      <c r="I79">
        <f>원본데이터_SK!AG79</f>
        <v>119000</v>
      </c>
      <c r="J79">
        <f>원본데이터_SK!AH79</f>
        <v>82110</v>
      </c>
      <c r="K79">
        <f>IFERROR(VLOOKUP(E79,제품마스터!$A:$B,2,0),0)</f>
        <v>0</v>
      </c>
      <c r="L79">
        <f>원본데이터_SK!Q79*원본데이터_SK!P79</f>
        <v>82110</v>
      </c>
    </row>
    <row r="80" spans="1:12" x14ac:dyDescent="0.3">
      <c r="A80" t="s">
        <v>11</v>
      </c>
      <c r="B80" t="str">
        <f>원본데이터_SK!D80</f>
        <v>20260205995687</v>
      </c>
      <c r="C80" t="str">
        <f>IF(원본데이터_SK!M80="","",TEXT(원본데이터_SK!M80,"YYYY-MM-DD"))</f>
        <v>2026-02-07</v>
      </c>
      <c r="D80" t="str">
        <f>원본데이터_SK!F80</f>
        <v>58481090</v>
      </c>
      <c r="E80" t="str">
        <f>IFERROR(VLOOKUP(원본데이터_SK!F80,채널매핑!$B:$D,3,0),"미매핑")</f>
        <v>미매핑</v>
      </c>
      <c r="F80">
        <f>IFERROR(VLOOKUP(원본데이터_SK!F80,채널매핑!$B:$E,4,0),1)</f>
        <v>1</v>
      </c>
      <c r="G80">
        <f>원본데이터_SK!Q80</f>
        <v>2</v>
      </c>
      <c r="H80">
        <f>원본데이터_SK!O80</f>
        <v>119000</v>
      </c>
      <c r="I80">
        <f>원본데이터_SK!AG80</f>
        <v>238000</v>
      </c>
      <c r="J80">
        <f>원본데이터_SK!AH80</f>
        <v>164220</v>
      </c>
      <c r="K80">
        <f>IFERROR(VLOOKUP(E80,제품마스터!$A:$B,2,0),0)</f>
        <v>0</v>
      </c>
      <c r="L80">
        <f>원본데이터_SK!Q80*원본데이터_SK!P80</f>
        <v>164220</v>
      </c>
    </row>
    <row r="81" spans="1:12" x14ac:dyDescent="0.3">
      <c r="A81" t="s">
        <v>11</v>
      </c>
      <c r="B81" t="str">
        <f>원본데이터_SK!D81</f>
        <v>20260205995005</v>
      </c>
      <c r="C81" t="str">
        <f>IF(원본데이터_SK!M81="","",TEXT(원본데이터_SK!M81,"YYYY-MM-DD"))</f>
        <v>2026-02-07</v>
      </c>
      <c r="D81" t="str">
        <f>원본데이터_SK!F81</f>
        <v>58481090</v>
      </c>
      <c r="E81" t="str">
        <f>IFERROR(VLOOKUP(원본데이터_SK!F81,채널매핑!$B:$D,3,0),"미매핑")</f>
        <v>미매핑</v>
      </c>
      <c r="F81">
        <f>IFERROR(VLOOKUP(원본데이터_SK!F81,채널매핑!$B:$E,4,0),1)</f>
        <v>1</v>
      </c>
      <c r="G81">
        <f>원본데이터_SK!Q81</f>
        <v>1</v>
      </c>
      <c r="H81">
        <f>원본데이터_SK!O81</f>
        <v>119000</v>
      </c>
      <c r="I81">
        <f>원본데이터_SK!AG81</f>
        <v>119000</v>
      </c>
      <c r="J81">
        <f>원본데이터_SK!AH81</f>
        <v>82110</v>
      </c>
      <c r="K81">
        <f>IFERROR(VLOOKUP(E81,제품마스터!$A:$B,2,0),0)</f>
        <v>0</v>
      </c>
      <c r="L81">
        <f>원본데이터_SK!Q81*원본데이터_SK!P81</f>
        <v>82110</v>
      </c>
    </row>
    <row r="82" spans="1:12" x14ac:dyDescent="0.3">
      <c r="A82" t="s">
        <v>11</v>
      </c>
      <c r="B82" t="str">
        <f>원본데이터_SK!D82</f>
        <v>20260205992457</v>
      </c>
      <c r="C82" t="str">
        <f>IF(원본데이터_SK!M82="","",TEXT(원본데이터_SK!M82,"YYYY-MM-DD"))</f>
        <v>2026-02-07</v>
      </c>
      <c r="D82" t="str">
        <f>원본데이터_SK!F82</f>
        <v>58481090</v>
      </c>
      <c r="E82" t="str">
        <f>IFERROR(VLOOKUP(원본데이터_SK!F82,채널매핑!$B:$D,3,0),"미매핑")</f>
        <v>미매핑</v>
      </c>
      <c r="F82">
        <f>IFERROR(VLOOKUP(원본데이터_SK!F82,채널매핑!$B:$E,4,0),1)</f>
        <v>1</v>
      </c>
      <c r="G82">
        <f>원본데이터_SK!Q82</f>
        <v>1</v>
      </c>
      <c r="H82">
        <f>원본데이터_SK!O82</f>
        <v>119000</v>
      </c>
      <c r="I82">
        <f>원본데이터_SK!AG82</f>
        <v>119000</v>
      </c>
      <c r="J82">
        <f>원본데이터_SK!AH82</f>
        <v>82110</v>
      </c>
      <c r="K82">
        <f>IFERROR(VLOOKUP(E82,제품마스터!$A:$B,2,0),0)</f>
        <v>0</v>
      </c>
      <c r="L82">
        <f>원본데이터_SK!Q82*원본데이터_SK!P82</f>
        <v>82110</v>
      </c>
    </row>
    <row r="83" spans="1:12" x14ac:dyDescent="0.3">
      <c r="A83" t="s">
        <v>11</v>
      </c>
      <c r="B83" t="str">
        <f>원본데이터_SK!D83</f>
        <v>20260205992975</v>
      </c>
      <c r="C83" t="str">
        <f>IF(원본데이터_SK!M83="","",TEXT(원본데이터_SK!M83,"YYYY-MM-DD"))</f>
        <v>2026-02-07</v>
      </c>
      <c r="D83" t="str">
        <f>원본데이터_SK!F83</f>
        <v>58481090</v>
      </c>
      <c r="E83" t="str">
        <f>IFERROR(VLOOKUP(원본데이터_SK!F83,채널매핑!$B:$D,3,0),"미매핑")</f>
        <v>미매핑</v>
      </c>
      <c r="F83">
        <f>IFERROR(VLOOKUP(원본데이터_SK!F83,채널매핑!$B:$E,4,0),1)</f>
        <v>1</v>
      </c>
      <c r="G83">
        <f>원본데이터_SK!Q83</f>
        <v>1</v>
      </c>
      <c r="H83">
        <f>원본데이터_SK!O83</f>
        <v>119000</v>
      </c>
      <c r="I83">
        <f>원본데이터_SK!AG83</f>
        <v>99960</v>
      </c>
      <c r="J83">
        <f>원본데이터_SK!AH83</f>
        <v>82110</v>
      </c>
      <c r="K83">
        <f>IFERROR(VLOOKUP(E83,제품마스터!$A:$B,2,0),0)</f>
        <v>0</v>
      </c>
      <c r="L83">
        <f>원본데이터_SK!Q83*원본데이터_SK!P83</f>
        <v>82110</v>
      </c>
    </row>
    <row r="84" spans="1:12" x14ac:dyDescent="0.3">
      <c r="A84" t="s">
        <v>11</v>
      </c>
      <c r="B84" t="str">
        <f>원본데이터_SK!D84</f>
        <v>20260205994074</v>
      </c>
      <c r="C84" t="str">
        <f>IF(원본데이터_SK!M84="","",TEXT(원본데이터_SK!M84,"YYYY-MM-DD"))</f>
        <v>2026-02-07</v>
      </c>
      <c r="D84" t="str">
        <f>원본데이터_SK!F84</f>
        <v>58481090</v>
      </c>
      <c r="E84" t="str">
        <f>IFERROR(VLOOKUP(원본데이터_SK!F84,채널매핑!$B:$D,3,0),"미매핑")</f>
        <v>미매핑</v>
      </c>
      <c r="F84">
        <f>IFERROR(VLOOKUP(원본데이터_SK!F84,채널매핑!$B:$E,4,0),1)</f>
        <v>1</v>
      </c>
      <c r="G84">
        <f>원본데이터_SK!Q84</f>
        <v>1</v>
      </c>
      <c r="H84">
        <f>원본데이터_SK!O84</f>
        <v>119000</v>
      </c>
      <c r="I84">
        <f>원본데이터_SK!AG84</f>
        <v>119000</v>
      </c>
      <c r="J84">
        <f>원본데이터_SK!AH84</f>
        <v>82110</v>
      </c>
      <c r="K84">
        <f>IFERROR(VLOOKUP(E84,제품마스터!$A:$B,2,0),0)</f>
        <v>0</v>
      </c>
      <c r="L84">
        <f>원본데이터_SK!Q84*원본데이터_SK!P84</f>
        <v>82110</v>
      </c>
    </row>
    <row r="85" spans="1:12" x14ac:dyDescent="0.3">
      <c r="A85" t="s">
        <v>11</v>
      </c>
      <c r="B85" t="str">
        <f>원본데이터_SK!D85</f>
        <v>20260205996186</v>
      </c>
      <c r="C85" t="str">
        <f>IF(원본데이터_SK!M85="","",TEXT(원본데이터_SK!M85,"YYYY-MM-DD"))</f>
        <v>2026-02-07</v>
      </c>
      <c r="D85" t="str">
        <f>원본데이터_SK!F85</f>
        <v>58481090</v>
      </c>
      <c r="E85" t="str">
        <f>IFERROR(VLOOKUP(원본데이터_SK!F85,채널매핑!$B:$D,3,0),"미매핑")</f>
        <v>미매핑</v>
      </c>
      <c r="F85">
        <f>IFERROR(VLOOKUP(원본데이터_SK!F85,채널매핑!$B:$E,4,0),1)</f>
        <v>1</v>
      </c>
      <c r="G85">
        <f>원본데이터_SK!Q85</f>
        <v>1</v>
      </c>
      <c r="H85">
        <f>원본데이터_SK!O85</f>
        <v>119000</v>
      </c>
      <c r="I85">
        <f>원본데이터_SK!AG85</f>
        <v>109000</v>
      </c>
      <c r="J85">
        <f>원본데이터_SK!AH85</f>
        <v>82110</v>
      </c>
      <c r="K85">
        <f>IFERROR(VLOOKUP(E85,제품마스터!$A:$B,2,0),0)</f>
        <v>0</v>
      </c>
      <c r="L85">
        <f>원본데이터_SK!Q85*원본데이터_SK!P85</f>
        <v>82110</v>
      </c>
    </row>
    <row r="86" spans="1:12" x14ac:dyDescent="0.3">
      <c r="A86" t="s">
        <v>11</v>
      </c>
      <c r="B86" t="str">
        <f>원본데이터_SK!D86</f>
        <v>20260205993929</v>
      </c>
      <c r="C86" t="str">
        <f>IF(원본데이터_SK!M86="","",TEXT(원본데이터_SK!M86,"YYYY-MM-DD"))</f>
        <v>2026-02-07</v>
      </c>
      <c r="D86" t="str">
        <f>원본데이터_SK!F86</f>
        <v>58481090</v>
      </c>
      <c r="E86" t="str">
        <f>IFERROR(VLOOKUP(원본데이터_SK!F86,채널매핑!$B:$D,3,0),"미매핑")</f>
        <v>미매핑</v>
      </c>
      <c r="F86">
        <f>IFERROR(VLOOKUP(원본데이터_SK!F86,채널매핑!$B:$E,4,0),1)</f>
        <v>1</v>
      </c>
      <c r="G86">
        <f>원본데이터_SK!Q86</f>
        <v>1</v>
      </c>
      <c r="H86">
        <f>원본데이터_SK!O86</f>
        <v>119000</v>
      </c>
      <c r="I86">
        <f>원본데이터_SK!AG86</f>
        <v>119000</v>
      </c>
      <c r="J86">
        <f>원본데이터_SK!AH86</f>
        <v>82110</v>
      </c>
      <c r="K86">
        <f>IFERROR(VLOOKUP(E86,제품마스터!$A:$B,2,0),0)</f>
        <v>0</v>
      </c>
      <c r="L86">
        <f>원본데이터_SK!Q86*원본데이터_SK!P86</f>
        <v>82110</v>
      </c>
    </row>
    <row r="87" spans="1:12" x14ac:dyDescent="0.3">
      <c r="A87" t="s">
        <v>11</v>
      </c>
      <c r="B87" t="str">
        <f>원본데이터_SK!D87</f>
        <v>20260205992859</v>
      </c>
      <c r="C87" t="str">
        <f>IF(원본데이터_SK!M87="","",TEXT(원본데이터_SK!M87,"YYYY-MM-DD"))</f>
        <v>2026-02-07</v>
      </c>
      <c r="D87" t="str">
        <f>원본데이터_SK!F87</f>
        <v>58481090</v>
      </c>
      <c r="E87" t="str">
        <f>IFERROR(VLOOKUP(원본데이터_SK!F87,채널매핑!$B:$D,3,0),"미매핑")</f>
        <v>미매핑</v>
      </c>
      <c r="F87">
        <f>IFERROR(VLOOKUP(원본데이터_SK!F87,채널매핑!$B:$E,4,0),1)</f>
        <v>1</v>
      </c>
      <c r="G87">
        <f>원본데이터_SK!Q87</f>
        <v>1</v>
      </c>
      <c r="H87">
        <f>원본데이터_SK!O87</f>
        <v>119000</v>
      </c>
      <c r="I87">
        <f>원본데이터_SK!AG87</f>
        <v>119000</v>
      </c>
      <c r="J87">
        <f>원본데이터_SK!AH87</f>
        <v>82110</v>
      </c>
      <c r="K87">
        <f>IFERROR(VLOOKUP(E87,제품마스터!$A:$B,2,0),0)</f>
        <v>0</v>
      </c>
      <c r="L87">
        <f>원본데이터_SK!Q87*원본데이터_SK!P87</f>
        <v>82110</v>
      </c>
    </row>
    <row r="88" spans="1:12" x14ac:dyDescent="0.3">
      <c r="A88" t="s">
        <v>11</v>
      </c>
      <c r="B88" t="str">
        <f>원본데이터_SK!D88</f>
        <v>20260205995584</v>
      </c>
      <c r="C88" t="str">
        <f>IF(원본데이터_SK!M88="","",TEXT(원본데이터_SK!M88,"YYYY-MM-DD"))</f>
        <v>2026-02-07</v>
      </c>
      <c r="D88" t="str">
        <f>원본데이터_SK!F88</f>
        <v>58481090</v>
      </c>
      <c r="E88" t="str">
        <f>IFERROR(VLOOKUP(원본데이터_SK!F88,채널매핑!$B:$D,3,0),"미매핑")</f>
        <v>미매핑</v>
      </c>
      <c r="F88">
        <f>IFERROR(VLOOKUP(원본데이터_SK!F88,채널매핑!$B:$E,4,0),1)</f>
        <v>1</v>
      </c>
      <c r="G88">
        <f>원본데이터_SK!Q88</f>
        <v>1</v>
      </c>
      <c r="H88">
        <f>원본데이터_SK!O88</f>
        <v>119000</v>
      </c>
      <c r="I88">
        <f>원본데이터_SK!AG88</f>
        <v>101150</v>
      </c>
      <c r="J88">
        <f>원본데이터_SK!AH88</f>
        <v>82110</v>
      </c>
      <c r="K88">
        <f>IFERROR(VLOOKUP(E88,제품마스터!$A:$B,2,0),0)</f>
        <v>0</v>
      </c>
      <c r="L88">
        <f>원본데이터_SK!Q88*원본데이터_SK!P88</f>
        <v>82110</v>
      </c>
    </row>
    <row r="89" spans="1:12" x14ac:dyDescent="0.3">
      <c r="A89" t="s">
        <v>11</v>
      </c>
      <c r="B89" t="str">
        <f>원본데이터_SK!D89</f>
        <v>20260205995161</v>
      </c>
      <c r="C89" t="str">
        <f>IF(원본데이터_SK!M89="","",TEXT(원본데이터_SK!M89,"YYYY-MM-DD"))</f>
        <v>2026-02-07</v>
      </c>
      <c r="D89" t="str">
        <f>원본데이터_SK!F89</f>
        <v>58481090</v>
      </c>
      <c r="E89" t="str">
        <f>IFERROR(VLOOKUP(원본데이터_SK!F89,채널매핑!$B:$D,3,0),"미매핑")</f>
        <v>미매핑</v>
      </c>
      <c r="F89">
        <f>IFERROR(VLOOKUP(원본데이터_SK!F89,채널매핑!$B:$E,4,0),1)</f>
        <v>1</v>
      </c>
      <c r="G89">
        <f>원본데이터_SK!Q89</f>
        <v>1</v>
      </c>
      <c r="H89">
        <f>원본데이터_SK!O89</f>
        <v>119000</v>
      </c>
      <c r="I89">
        <f>원본데이터_SK!AG89</f>
        <v>119000</v>
      </c>
      <c r="J89">
        <f>원본데이터_SK!AH89</f>
        <v>82110</v>
      </c>
      <c r="K89">
        <f>IFERROR(VLOOKUP(E89,제품마스터!$A:$B,2,0),0)</f>
        <v>0</v>
      </c>
      <c r="L89">
        <f>원본데이터_SK!Q89*원본데이터_SK!P89</f>
        <v>82110</v>
      </c>
    </row>
    <row r="90" spans="1:12" x14ac:dyDescent="0.3">
      <c r="A90" t="s">
        <v>11</v>
      </c>
      <c r="B90" t="str">
        <f>원본데이터_SK!D90</f>
        <v>20260205995658</v>
      </c>
      <c r="C90" t="str">
        <f>IF(원본데이터_SK!M90="","",TEXT(원본데이터_SK!M90,"YYYY-MM-DD"))</f>
        <v>2026-02-07</v>
      </c>
      <c r="D90" t="str">
        <f>원본데이터_SK!F90</f>
        <v>58481090</v>
      </c>
      <c r="E90" t="str">
        <f>IFERROR(VLOOKUP(원본데이터_SK!F90,채널매핑!$B:$D,3,0),"미매핑")</f>
        <v>미매핑</v>
      </c>
      <c r="F90">
        <f>IFERROR(VLOOKUP(원본데이터_SK!F90,채널매핑!$B:$E,4,0),1)</f>
        <v>1</v>
      </c>
      <c r="G90">
        <f>원본데이터_SK!Q90</f>
        <v>1</v>
      </c>
      <c r="H90">
        <f>원본데이터_SK!O90</f>
        <v>119000</v>
      </c>
      <c r="I90">
        <f>원본데이터_SK!AG90</f>
        <v>113050</v>
      </c>
      <c r="J90">
        <f>원본데이터_SK!AH90</f>
        <v>82110</v>
      </c>
      <c r="K90">
        <f>IFERROR(VLOOKUP(E90,제품마스터!$A:$B,2,0),0)</f>
        <v>0</v>
      </c>
      <c r="L90">
        <f>원본데이터_SK!Q90*원본데이터_SK!P90</f>
        <v>82110</v>
      </c>
    </row>
    <row r="91" spans="1:12" x14ac:dyDescent="0.3">
      <c r="A91" t="s">
        <v>11</v>
      </c>
      <c r="B91" t="str">
        <f>원본데이터_SK!D91</f>
        <v>20260205995042</v>
      </c>
      <c r="C91" t="str">
        <f>IF(원본데이터_SK!M91="","",TEXT(원본데이터_SK!M91,"YYYY-MM-DD"))</f>
        <v>2026-02-07</v>
      </c>
      <c r="D91" t="str">
        <f>원본데이터_SK!F91</f>
        <v>58481090</v>
      </c>
      <c r="E91" t="str">
        <f>IFERROR(VLOOKUP(원본데이터_SK!F91,채널매핑!$B:$D,3,0),"미매핑")</f>
        <v>미매핑</v>
      </c>
      <c r="F91">
        <f>IFERROR(VLOOKUP(원본데이터_SK!F91,채널매핑!$B:$E,4,0),1)</f>
        <v>1</v>
      </c>
      <c r="G91">
        <f>원본데이터_SK!Q91</f>
        <v>1</v>
      </c>
      <c r="H91">
        <f>원본데이터_SK!O91</f>
        <v>119000</v>
      </c>
      <c r="I91">
        <f>원본데이터_SK!AG91</f>
        <v>109000</v>
      </c>
      <c r="J91">
        <f>원본데이터_SK!AH91</f>
        <v>82110</v>
      </c>
      <c r="K91">
        <f>IFERROR(VLOOKUP(E91,제품마스터!$A:$B,2,0),0)</f>
        <v>0</v>
      </c>
      <c r="L91">
        <f>원본데이터_SK!Q91*원본데이터_SK!P91</f>
        <v>82110</v>
      </c>
    </row>
    <row r="92" spans="1:12" x14ac:dyDescent="0.3">
      <c r="A92" t="s">
        <v>11</v>
      </c>
      <c r="B92" t="str">
        <f>원본데이터_SK!D92</f>
        <v>20260205994885</v>
      </c>
      <c r="C92" t="str">
        <f>IF(원본데이터_SK!M92="","",TEXT(원본데이터_SK!M92,"YYYY-MM-DD"))</f>
        <v>2026-02-07</v>
      </c>
      <c r="D92" t="str">
        <f>원본데이터_SK!F92</f>
        <v>58481090</v>
      </c>
      <c r="E92" t="str">
        <f>IFERROR(VLOOKUP(원본데이터_SK!F92,채널매핑!$B:$D,3,0),"미매핑")</f>
        <v>미매핑</v>
      </c>
      <c r="F92">
        <f>IFERROR(VLOOKUP(원본데이터_SK!F92,채널매핑!$B:$E,4,0),1)</f>
        <v>1</v>
      </c>
      <c r="G92">
        <f>원본데이터_SK!Q92</f>
        <v>1</v>
      </c>
      <c r="H92">
        <f>원본데이터_SK!O92</f>
        <v>119000</v>
      </c>
      <c r="I92">
        <f>원본데이터_SK!AG92</f>
        <v>119000</v>
      </c>
      <c r="J92">
        <f>원본데이터_SK!AH92</f>
        <v>82110</v>
      </c>
      <c r="K92">
        <f>IFERROR(VLOOKUP(E92,제품마스터!$A:$B,2,0),0)</f>
        <v>0</v>
      </c>
      <c r="L92">
        <f>원본데이터_SK!Q92*원본데이터_SK!P92</f>
        <v>82110</v>
      </c>
    </row>
    <row r="93" spans="1:12" x14ac:dyDescent="0.3">
      <c r="A93" t="s">
        <v>11</v>
      </c>
      <c r="B93" t="str">
        <f>원본데이터_SK!D93</f>
        <v>20260205993437</v>
      </c>
      <c r="C93" t="str">
        <f>IF(원본데이터_SK!M93="","",TEXT(원본데이터_SK!M93,"YYYY-MM-DD"))</f>
        <v>2026-02-07</v>
      </c>
      <c r="D93" t="str">
        <f>원본데이터_SK!F93</f>
        <v>58481090</v>
      </c>
      <c r="E93" t="str">
        <f>IFERROR(VLOOKUP(원본데이터_SK!F93,채널매핑!$B:$D,3,0),"미매핑")</f>
        <v>미매핑</v>
      </c>
      <c r="F93">
        <f>IFERROR(VLOOKUP(원본데이터_SK!F93,채널매핑!$B:$E,4,0),1)</f>
        <v>1</v>
      </c>
      <c r="G93">
        <f>원본데이터_SK!Q93</f>
        <v>1</v>
      </c>
      <c r="H93">
        <f>원본데이터_SK!O93</f>
        <v>119000</v>
      </c>
      <c r="I93">
        <f>원본데이터_SK!AG93</f>
        <v>119000</v>
      </c>
      <c r="J93">
        <f>원본데이터_SK!AH93</f>
        <v>82110</v>
      </c>
      <c r="K93">
        <f>IFERROR(VLOOKUP(E93,제품마스터!$A:$B,2,0),0)</f>
        <v>0</v>
      </c>
      <c r="L93">
        <f>원본데이터_SK!Q93*원본데이터_SK!P93</f>
        <v>82110</v>
      </c>
    </row>
    <row r="94" spans="1:12" x14ac:dyDescent="0.3">
      <c r="A94" t="s">
        <v>11</v>
      </c>
      <c r="B94" t="str">
        <f>원본데이터_SK!D94</f>
        <v>20260205993036</v>
      </c>
      <c r="C94" t="str">
        <f>IF(원본데이터_SK!M94="","",TEXT(원본데이터_SK!M94,"YYYY-MM-DD"))</f>
        <v>2026-02-07</v>
      </c>
      <c r="D94" t="str">
        <f>원본데이터_SK!F94</f>
        <v>58481090</v>
      </c>
      <c r="E94" t="str">
        <f>IFERROR(VLOOKUP(원본데이터_SK!F94,채널매핑!$B:$D,3,0),"미매핑")</f>
        <v>미매핑</v>
      </c>
      <c r="F94">
        <f>IFERROR(VLOOKUP(원본데이터_SK!F94,채널매핑!$B:$E,4,0),1)</f>
        <v>1</v>
      </c>
      <c r="G94">
        <f>원본데이터_SK!Q94</f>
        <v>1</v>
      </c>
      <c r="H94">
        <f>원본데이터_SK!O94</f>
        <v>119000</v>
      </c>
      <c r="I94">
        <f>원본데이터_SK!AG94</f>
        <v>99960</v>
      </c>
      <c r="J94">
        <f>원본데이터_SK!AH94</f>
        <v>82110</v>
      </c>
      <c r="K94">
        <f>IFERROR(VLOOKUP(E94,제품마스터!$A:$B,2,0),0)</f>
        <v>0</v>
      </c>
      <c r="L94">
        <f>원본데이터_SK!Q94*원본데이터_SK!P94</f>
        <v>82110</v>
      </c>
    </row>
    <row r="95" spans="1:12" x14ac:dyDescent="0.3">
      <c r="A95" t="s">
        <v>11</v>
      </c>
      <c r="B95" t="str">
        <f>원본데이터_SK!D95</f>
        <v>20260205995472</v>
      </c>
      <c r="C95" t="str">
        <f>IF(원본데이터_SK!M95="","",TEXT(원본데이터_SK!M95,"YYYY-MM-DD"))</f>
        <v>2026-02-07</v>
      </c>
      <c r="D95" t="str">
        <f>원본데이터_SK!F95</f>
        <v>58481090</v>
      </c>
      <c r="E95" t="str">
        <f>IFERROR(VLOOKUP(원본데이터_SK!F95,채널매핑!$B:$D,3,0),"미매핑")</f>
        <v>미매핑</v>
      </c>
      <c r="F95">
        <f>IFERROR(VLOOKUP(원본데이터_SK!F95,채널매핑!$B:$E,4,0),1)</f>
        <v>1</v>
      </c>
      <c r="G95">
        <f>원본데이터_SK!Q95</f>
        <v>1</v>
      </c>
      <c r="H95">
        <f>원본데이터_SK!O95</f>
        <v>119000</v>
      </c>
      <c r="I95">
        <f>원본데이터_SK!AG95</f>
        <v>113050</v>
      </c>
      <c r="J95">
        <f>원본데이터_SK!AH95</f>
        <v>82110</v>
      </c>
      <c r="K95">
        <f>IFERROR(VLOOKUP(E95,제품마스터!$A:$B,2,0),0)</f>
        <v>0</v>
      </c>
      <c r="L95">
        <f>원본데이터_SK!Q95*원본데이터_SK!P95</f>
        <v>82110</v>
      </c>
    </row>
    <row r="96" spans="1:12" x14ac:dyDescent="0.3">
      <c r="A96" t="s">
        <v>11</v>
      </c>
      <c r="B96" t="str">
        <f>원본데이터_SK!D96</f>
        <v>20260205992483</v>
      </c>
      <c r="C96" t="str">
        <f>IF(원본데이터_SK!M96="","",TEXT(원본데이터_SK!M96,"YYYY-MM-DD"))</f>
        <v>2026-02-07</v>
      </c>
      <c r="D96" t="str">
        <f>원본데이터_SK!F96</f>
        <v>58481090</v>
      </c>
      <c r="E96" t="str">
        <f>IFERROR(VLOOKUP(원본데이터_SK!F96,채널매핑!$B:$D,3,0),"미매핑")</f>
        <v>미매핑</v>
      </c>
      <c r="F96">
        <f>IFERROR(VLOOKUP(원본데이터_SK!F96,채널매핑!$B:$E,4,0),1)</f>
        <v>1</v>
      </c>
      <c r="G96">
        <f>원본데이터_SK!Q96</f>
        <v>1</v>
      </c>
      <c r="H96">
        <f>원본데이터_SK!O96</f>
        <v>119000</v>
      </c>
      <c r="I96">
        <f>원본데이터_SK!AG96</f>
        <v>109000</v>
      </c>
      <c r="J96">
        <f>원본데이터_SK!AH96</f>
        <v>82110</v>
      </c>
      <c r="K96">
        <f>IFERROR(VLOOKUP(E96,제품마스터!$A:$B,2,0),0)</f>
        <v>0</v>
      </c>
      <c r="L96">
        <f>원본데이터_SK!Q96*원본데이터_SK!P96</f>
        <v>82110</v>
      </c>
    </row>
    <row r="97" spans="1:12" x14ac:dyDescent="0.3">
      <c r="A97" t="s">
        <v>11</v>
      </c>
      <c r="B97" t="str">
        <f>원본데이터_SK!D97</f>
        <v>20260205995325</v>
      </c>
      <c r="C97" t="str">
        <f>IF(원본데이터_SK!M97="","",TEXT(원본데이터_SK!M97,"YYYY-MM-DD"))</f>
        <v>2026-02-07</v>
      </c>
      <c r="D97" t="str">
        <f>원본데이터_SK!F97</f>
        <v>58481090</v>
      </c>
      <c r="E97" t="str">
        <f>IFERROR(VLOOKUP(원본데이터_SK!F97,채널매핑!$B:$D,3,0),"미매핑")</f>
        <v>미매핑</v>
      </c>
      <c r="F97">
        <f>IFERROR(VLOOKUP(원본데이터_SK!F97,채널매핑!$B:$E,4,0),1)</f>
        <v>1</v>
      </c>
      <c r="G97">
        <f>원본데이터_SK!Q97</f>
        <v>1</v>
      </c>
      <c r="H97">
        <f>원본데이터_SK!O97</f>
        <v>119000</v>
      </c>
      <c r="I97">
        <f>원본데이터_SK!AG97</f>
        <v>119000</v>
      </c>
      <c r="J97">
        <f>원본데이터_SK!AH97</f>
        <v>82110</v>
      </c>
      <c r="K97">
        <f>IFERROR(VLOOKUP(E97,제품마스터!$A:$B,2,0),0)</f>
        <v>0</v>
      </c>
      <c r="L97">
        <f>원본데이터_SK!Q97*원본데이터_SK!P97</f>
        <v>82110</v>
      </c>
    </row>
    <row r="98" spans="1:12" x14ac:dyDescent="0.3">
      <c r="A98" t="s">
        <v>11</v>
      </c>
      <c r="B98" t="str">
        <f>원본데이터_SK!D98</f>
        <v>20260205992634</v>
      </c>
      <c r="C98" t="str">
        <f>IF(원본데이터_SK!M98="","",TEXT(원본데이터_SK!M98,"YYYY-MM-DD"))</f>
        <v>2026-02-07</v>
      </c>
      <c r="D98" t="str">
        <f>원본데이터_SK!F98</f>
        <v>58481090</v>
      </c>
      <c r="E98" t="str">
        <f>IFERROR(VLOOKUP(원본데이터_SK!F98,채널매핑!$B:$D,3,0),"미매핑")</f>
        <v>미매핑</v>
      </c>
      <c r="F98">
        <f>IFERROR(VLOOKUP(원본데이터_SK!F98,채널매핑!$B:$E,4,0),1)</f>
        <v>1</v>
      </c>
      <c r="G98">
        <f>원본데이터_SK!Q98</f>
        <v>1</v>
      </c>
      <c r="H98">
        <f>원본데이터_SK!O98</f>
        <v>119000</v>
      </c>
      <c r="I98">
        <f>원본데이터_SK!AG98</f>
        <v>119000</v>
      </c>
      <c r="J98">
        <f>원본데이터_SK!AH98</f>
        <v>82110</v>
      </c>
      <c r="K98">
        <f>IFERROR(VLOOKUP(E98,제품마스터!$A:$B,2,0),0)</f>
        <v>0</v>
      </c>
      <c r="L98">
        <f>원본데이터_SK!Q98*원본데이터_SK!P98</f>
        <v>82110</v>
      </c>
    </row>
    <row r="99" spans="1:12" x14ac:dyDescent="0.3">
      <c r="A99" t="s">
        <v>11</v>
      </c>
      <c r="B99" t="str">
        <f>원본데이터_SK!D99</f>
        <v>20260205994152</v>
      </c>
      <c r="C99" t="str">
        <f>IF(원본데이터_SK!M99="","",TEXT(원본데이터_SK!M99,"YYYY-MM-DD"))</f>
        <v>2026-02-07</v>
      </c>
      <c r="D99" t="str">
        <f>원본데이터_SK!F99</f>
        <v>58481090</v>
      </c>
      <c r="E99" t="str">
        <f>IFERROR(VLOOKUP(원본데이터_SK!F99,채널매핑!$B:$D,3,0),"미매핑")</f>
        <v>미매핑</v>
      </c>
      <c r="F99">
        <f>IFERROR(VLOOKUP(원본데이터_SK!F99,채널매핑!$B:$E,4,0),1)</f>
        <v>1</v>
      </c>
      <c r="G99">
        <f>원본데이터_SK!Q99</f>
        <v>1</v>
      </c>
      <c r="H99">
        <f>원본데이터_SK!O99</f>
        <v>119000</v>
      </c>
      <c r="I99">
        <f>원본데이터_SK!AG99</f>
        <v>119000</v>
      </c>
      <c r="J99">
        <f>원본데이터_SK!AH99</f>
        <v>82110</v>
      </c>
      <c r="K99">
        <f>IFERROR(VLOOKUP(E99,제품마스터!$A:$B,2,0),0)</f>
        <v>0</v>
      </c>
      <c r="L99">
        <f>원본데이터_SK!Q99*원본데이터_SK!P99</f>
        <v>82110</v>
      </c>
    </row>
    <row r="100" spans="1:12" x14ac:dyDescent="0.3">
      <c r="A100" t="s">
        <v>11</v>
      </c>
      <c r="B100" t="str">
        <f>원본데이터_SK!D100</f>
        <v>20260205995109</v>
      </c>
      <c r="C100" t="str">
        <f>IF(원본데이터_SK!M100="","",TEXT(원본데이터_SK!M100,"YYYY-MM-DD"))</f>
        <v>2026-02-07</v>
      </c>
      <c r="D100" t="str">
        <f>원본데이터_SK!F100</f>
        <v>58481090</v>
      </c>
      <c r="E100" t="str">
        <f>IFERROR(VLOOKUP(원본데이터_SK!F100,채널매핑!$B:$D,3,0),"미매핑")</f>
        <v>미매핑</v>
      </c>
      <c r="F100">
        <f>IFERROR(VLOOKUP(원본데이터_SK!F100,채널매핑!$B:$E,4,0),1)</f>
        <v>1</v>
      </c>
      <c r="G100">
        <f>원본데이터_SK!Q100</f>
        <v>1</v>
      </c>
      <c r="H100">
        <f>원본데이터_SK!O100</f>
        <v>119000</v>
      </c>
      <c r="I100">
        <f>원본데이터_SK!AG100</f>
        <v>119000</v>
      </c>
      <c r="J100">
        <f>원본데이터_SK!AH100</f>
        <v>82110</v>
      </c>
      <c r="K100">
        <f>IFERROR(VLOOKUP(E100,제품마스터!$A:$B,2,0),0)</f>
        <v>0</v>
      </c>
      <c r="L100">
        <f>원본데이터_SK!Q100*원본데이터_SK!P100</f>
        <v>82110</v>
      </c>
    </row>
    <row r="101" spans="1:12" x14ac:dyDescent="0.3">
      <c r="A101" t="s">
        <v>11</v>
      </c>
      <c r="B101" t="str">
        <f>원본데이터_SK!D101</f>
        <v>20260205994273</v>
      </c>
      <c r="C101" t="str">
        <f>IF(원본데이터_SK!M101="","",TEXT(원본데이터_SK!M101,"YYYY-MM-DD"))</f>
        <v>2026-02-07</v>
      </c>
      <c r="D101" t="str">
        <f>원본데이터_SK!F101</f>
        <v>58481090</v>
      </c>
      <c r="E101" t="str">
        <f>IFERROR(VLOOKUP(원본데이터_SK!F101,채널매핑!$B:$D,3,0),"미매핑")</f>
        <v>미매핑</v>
      </c>
      <c r="F101">
        <f>IFERROR(VLOOKUP(원본데이터_SK!F101,채널매핑!$B:$E,4,0),1)</f>
        <v>1</v>
      </c>
      <c r="G101">
        <f>원본데이터_SK!Q101</f>
        <v>1</v>
      </c>
      <c r="H101">
        <f>원본데이터_SK!O101</f>
        <v>119000</v>
      </c>
      <c r="I101">
        <f>원본데이터_SK!AG101</f>
        <v>119000</v>
      </c>
      <c r="J101">
        <f>원본데이터_SK!AH101</f>
        <v>82110</v>
      </c>
      <c r="K101">
        <f>IFERROR(VLOOKUP(E101,제품마스터!$A:$B,2,0),0)</f>
        <v>0</v>
      </c>
      <c r="L101">
        <f>원본데이터_SK!Q101*원본데이터_SK!P101</f>
        <v>82110</v>
      </c>
    </row>
    <row r="102" spans="1:12" x14ac:dyDescent="0.3">
      <c r="A102" t="s">
        <v>11</v>
      </c>
      <c r="B102" t="str">
        <f>원본데이터_SK!D102</f>
        <v>20260205995097</v>
      </c>
      <c r="C102" t="str">
        <f>IF(원본데이터_SK!M102="","",TEXT(원본데이터_SK!M102,"YYYY-MM-DD"))</f>
        <v>2026-02-07</v>
      </c>
      <c r="D102" t="str">
        <f>원본데이터_SK!F102</f>
        <v>58481090</v>
      </c>
      <c r="E102" t="str">
        <f>IFERROR(VLOOKUP(원본데이터_SK!F102,채널매핑!$B:$D,3,0),"미매핑")</f>
        <v>미매핑</v>
      </c>
      <c r="F102">
        <f>IFERROR(VLOOKUP(원본데이터_SK!F102,채널매핑!$B:$E,4,0),1)</f>
        <v>1</v>
      </c>
      <c r="G102">
        <f>원본데이터_SK!Q102</f>
        <v>1</v>
      </c>
      <c r="H102">
        <f>원본데이터_SK!O102</f>
        <v>119000</v>
      </c>
      <c r="I102">
        <f>원본데이터_SK!AG102</f>
        <v>119000</v>
      </c>
      <c r="J102">
        <f>원본데이터_SK!AH102</f>
        <v>82110</v>
      </c>
      <c r="K102">
        <f>IFERROR(VLOOKUP(E102,제품마스터!$A:$B,2,0),0)</f>
        <v>0</v>
      </c>
      <c r="L102">
        <f>원본데이터_SK!Q102*원본데이터_SK!P102</f>
        <v>82110</v>
      </c>
    </row>
    <row r="103" spans="1:12" x14ac:dyDescent="0.3">
      <c r="A103" t="s">
        <v>11</v>
      </c>
      <c r="B103" t="str">
        <f>원본데이터_SK!D103</f>
        <v>20260205995180</v>
      </c>
      <c r="C103" t="str">
        <f>IF(원본데이터_SK!M103="","",TEXT(원본데이터_SK!M103,"YYYY-MM-DD"))</f>
        <v>2026-02-07</v>
      </c>
      <c r="D103" t="str">
        <f>원본데이터_SK!F103</f>
        <v>58481090</v>
      </c>
      <c r="E103" t="str">
        <f>IFERROR(VLOOKUP(원본데이터_SK!F103,채널매핑!$B:$D,3,0),"미매핑")</f>
        <v>미매핑</v>
      </c>
      <c r="F103">
        <f>IFERROR(VLOOKUP(원본데이터_SK!F103,채널매핑!$B:$E,4,0),1)</f>
        <v>1</v>
      </c>
      <c r="G103">
        <f>원본데이터_SK!Q103</f>
        <v>1</v>
      </c>
      <c r="H103">
        <f>원본데이터_SK!O103</f>
        <v>119000</v>
      </c>
      <c r="I103">
        <f>원본데이터_SK!AG103</f>
        <v>96390</v>
      </c>
      <c r="J103">
        <f>원본데이터_SK!AH103</f>
        <v>82110</v>
      </c>
      <c r="K103">
        <f>IFERROR(VLOOKUP(E103,제품마스터!$A:$B,2,0),0)</f>
        <v>0</v>
      </c>
      <c r="L103">
        <f>원본데이터_SK!Q103*원본데이터_SK!P103</f>
        <v>82110</v>
      </c>
    </row>
    <row r="104" spans="1:12" x14ac:dyDescent="0.3">
      <c r="A104" t="s">
        <v>11</v>
      </c>
      <c r="B104" t="str">
        <f>원본데이터_SK!D104</f>
        <v>20260205992870</v>
      </c>
      <c r="C104" t="str">
        <f>IF(원본데이터_SK!M104="","",TEXT(원본데이터_SK!M104,"YYYY-MM-DD"))</f>
        <v>2026-02-07</v>
      </c>
      <c r="D104" t="str">
        <f>원본데이터_SK!F104</f>
        <v>58481090</v>
      </c>
      <c r="E104" t="str">
        <f>IFERROR(VLOOKUP(원본데이터_SK!F104,채널매핑!$B:$D,3,0),"미매핑")</f>
        <v>미매핑</v>
      </c>
      <c r="F104">
        <f>IFERROR(VLOOKUP(원본데이터_SK!F104,채널매핑!$B:$E,4,0),1)</f>
        <v>1</v>
      </c>
      <c r="G104">
        <f>원본데이터_SK!Q104</f>
        <v>1</v>
      </c>
      <c r="H104">
        <f>원본데이터_SK!O104</f>
        <v>119000</v>
      </c>
      <c r="I104">
        <f>원본데이터_SK!AG104</f>
        <v>119000</v>
      </c>
      <c r="J104">
        <f>원본데이터_SK!AH104</f>
        <v>82110</v>
      </c>
      <c r="K104">
        <f>IFERROR(VLOOKUP(E104,제품마스터!$A:$B,2,0),0)</f>
        <v>0</v>
      </c>
      <c r="L104">
        <f>원본데이터_SK!Q104*원본데이터_SK!P104</f>
        <v>82110</v>
      </c>
    </row>
    <row r="105" spans="1:12" x14ac:dyDescent="0.3">
      <c r="A105" t="s">
        <v>11</v>
      </c>
      <c r="B105" t="str">
        <f>원본데이터_SK!D105</f>
        <v>20260205992940</v>
      </c>
      <c r="C105" t="str">
        <f>IF(원본데이터_SK!M105="","",TEXT(원본데이터_SK!M105,"YYYY-MM-DD"))</f>
        <v>2026-02-07</v>
      </c>
      <c r="D105" t="str">
        <f>원본데이터_SK!F105</f>
        <v>58481090</v>
      </c>
      <c r="E105" t="str">
        <f>IFERROR(VLOOKUP(원본데이터_SK!F105,채널매핑!$B:$D,3,0),"미매핑")</f>
        <v>미매핑</v>
      </c>
      <c r="F105">
        <f>IFERROR(VLOOKUP(원본데이터_SK!F105,채널매핑!$B:$E,4,0),1)</f>
        <v>1</v>
      </c>
      <c r="G105">
        <f>원본데이터_SK!Q105</f>
        <v>1</v>
      </c>
      <c r="H105">
        <f>원본데이터_SK!O105</f>
        <v>119000</v>
      </c>
      <c r="I105">
        <f>원본데이터_SK!AG105</f>
        <v>119000</v>
      </c>
      <c r="J105">
        <f>원본데이터_SK!AH105</f>
        <v>82110</v>
      </c>
      <c r="K105">
        <f>IFERROR(VLOOKUP(E105,제품마스터!$A:$B,2,0),0)</f>
        <v>0</v>
      </c>
      <c r="L105">
        <f>원본데이터_SK!Q105*원본데이터_SK!P105</f>
        <v>82110</v>
      </c>
    </row>
    <row r="106" spans="1:12" x14ac:dyDescent="0.3">
      <c r="A106" t="s">
        <v>11</v>
      </c>
      <c r="B106" t="str">
        <f>원본데이터_SK!D106</f>
        <v>20260205993059</v>
      </c>
      <c r="C106" t="str">
        <f>IF(원본데이터_SK!M106="","",TEXT(원본데이터_SK!M106,"YYYY-MM-DD"))</f>
        <v>2026-02-07</v>
      </c>
      <c r="D106" t="str">
        <f>원본데이터_SK!F106</f>
        <v>58481090</v>
      </c>
      <c r="E106" t="str">
        <f>IFERROR(VLOOKUP(원본데이터_SK!F106,채널매핑!$B:$D,3,0),"미매핑")</f>
        <v>미매핑</v>
      </c>
      <c r="F106">
        <f>IFERROR(VLOOKUP(원본데이터_SK!F106,채널매핑!$B:$E,4,0),1)</f>
        <v>1</v>
      </c>
      <c r="G106">
        <f>원본데이터_SK!Q106</f>
        <v>1</v>
      </c>
      <c r="H106">
        <f>원본데이터_SK!O106</f>
        <v>119000</v>
      </c>
      <c r="I106">
        <f>원본데이터_SK!AG106</f>
        <v>119000</v>
      </c>
      <c r="J106">
        <f>원본데이터_SK!AH106</f>
        <v>82110</v>
      </c>
      <c r="K106">
        <f>IFERROR(VLOOKUP(E106,제품마스터!$A:$B,2,0),0)</f>
        <v>0</v>
      </c>
      <c r="L106">
        <f>원본데이터_SK!Q106*원본데이터_SK!P106</f>
        <v>82110</v>
      </c>
    </row>
    <row r="107" spans="1:12" x14ac:dyDescent="0.3">
      <c r="A107" t="s">
        <v>11</v>
      </c>
      <c r="B107" t="str">
        <f>원본데이터_SK!D107</f>
        <v>20260205993112</v>
      </c>
      <c r="C107" t="str">
        <f>IF(원본데이터_SK!M107="","",TEXT(원본데이터_SK!M107,"YYYY-MM-DD"))</f>
        <v>2026-02-07</v>
      </c>
      <c r="D107" t="str">
        <f>원본데이터_SK!F107</f>
        <v>58481090</v>
      </c>
      <c r="E107" t="str">
        <f>IFERROR(VLOOKUP(원본데이터_SK!F107,채널매핑!$B:$D,3,0),"미매핑")</f>
        <v>미매핑</v>
      </c>
      <c r="F107">
        <f>IFERROR(VLOOKUP(원본데이터_SK!F107,채널매핑!$B:$E,4,0),1)</f>
        <v>1</v>
      </c>
      <c r="G107">
        <f>원본데이터_SK!Q107</f>
        <v>1</v>
      </c>
      <c r="H107">
        <f>원본데이터_SK!O107</f>
        <v>119000</v>
      </c>
      <c r="I107">
        <f>원본데이터_SK!AG107</f>
        <v>119000</v>
      </c>
      <c r="J107">
        <f>원본데이터_SK!AH107</f>
        <v>82110</v>
      </c>
      <c r="K107">
        <f>IFERROR(VLOOKUP(E107,제품마스터!$A:$B,2,0),0)</f>
        <v>0</v>
      </c>
      <c r="L107">
        <f>원본데이터_SK!Q107*원본데이터_SK!P107</f>
        <v>82110</v>
      </c>
    </row>
    <row r="108" spans="1:12" x14ac:dyDescent="0.3">
      <c r="A108" t="s">
        <v>11</v>
      </c>
      <c r="B108" t="str">
        <f>원본데이터_SK!D108</f>
        <v>20260205993255</v>
      </c>
      <c r="C108" t="str">
        <f>IF(원본데이터_SK!M108="","",TEXT(원본데이터_SK!M108,"YYYY-MM-DD"))</f>
        <v>2026-02-07</v>
      </c>
      <c r="D108" t="str">
        <f>원본데이터_SK!F108</f>
        <v>58481090</v>
      </c>
      <c r="E108" t="str">
        <f>IFERROR(VLOOKUP(원본데이터_SK!F108,채널매핑!$B:$D,3,0),"미매핑")</f>
        <v>미매핑</v>
      </c>
      <c r="F108">
        <f>IFERROR(VLOOKUP(원본데이터_SK!F108,채널매핑!$B:$E,4,0),1)</f>
        <v>1</v>
      </c>
      <c r="G108">
        <f>원본데이터_SK!Q108</f>
        <v>1</v>
      </c>
      <c r="H108">
        <f>원본데이터_SK!O108</f>
        <v>119000</v>
      </c>
      <c r="I108">
        <f>원본데이터_SK!AG108</f>
        <v>101150</v>
      </c>
      <c r="J108">
        <f>원본데이터_SK!AH108</f>
        <v>82110</v>
      </c>
      <c r="K108">
        <f>IFERROR(VLOOKUP(E108,제품마스터!$A:$B,2,0),0)</f>
        <v>0</v>
      </c>
      <c r="L108">
        <f>원본데이터_SK!Q108*원본데이터_SK!P108</f>
        <v>82110</v>
      </c>
    </row>
    <row r="109" spans="1:12" x14ac:dyDescent="0.3">
      <c r="A109" t="s">
        <v>11</v>
      </c>
      <c r="B109" t="str">
        <f>원본데이터_SK!D109</f>
        <v>20260205996361</v>
      </c>
      <c r="C109" t="str">
        <f>IF(원본데이터_SK!M109="","",TEXT(원본데이터_SK!M109,"YYYY-MM-DD"))</f>
        <v>2026-02-07</v>
      </c>
      <c r="D109" t="str">
        <f>원본데이터_SK!F109</f>
        <v>58481090</v>
      </c>
      <c r="E109" t="str">
        <f>IFERROR(VLOOKUP(원본데이터_SK!F109,채널매핑!$B:$D,3,0),"미매핑")</f>
        <v>미매핑</v>
      </c>
      <c r="F109">
        <f>IFERROR(VLOOKUP(원본데이터_SK!F109,채널매핑!$B:$E,4,0),1)</f>
        <v>1</v>
      </c>
      <c r="G109">
        <f>원본데이터_SK!Q109</f>
        <v>1</v>
      </c>
      <c r="H109">
        <f>원본데이터_SK!O109</f>
        <v>119000</v>
      </c>
      <c r="I109">
        <f>원본데이터_SK!AG109</f>
        <v>113050</v>
      </c>
      <c r="J109">
        <f>원본데이터_SK!AH109</f>
        <v>82110</v>
      </c>
      <c r="K109">
        <f>IFERROR(VLOOKUP(E109,제품마스터!$A:$B,2,0),0)</f>
        <v>0</v>
      </c>
      <c r="L109">
        <f>원본데이터_SK!Q109*원본데이터_SK!P109</f>
        <v>82110</v>
      </c>
    </row>
    <row r="110" spans="1:12" x14ac:dyDescent="0.3">
      <c r="A110" t="s">
        <v>11</v>
      </c>
      <c r="B110" t="str">
        <f>원본데이터_SK!D110</f>
        <v>20260205993934</v>
      </c>
      <c r="C110" t="str">
        <f>IF(원본데이터_SK!M110="","",TEXT(원본데이터_SK!M110,"YYYY-MM-DD"))</f>
        <v>2026-02-07</v>
      </c>
      <c r="D110" t="str">
        <f>원본데이터_SK!F110</f>
        <v>58481090</v>
      </c>
      <c r="E110" t="str">
        <f>IFERROR(VLOOKUP(원본데이터_SK!F110,채널매핑!$B:$D,3,0),"미매핑")</f>
        <v>미매핑</v>
      </c>
      <c r="F110">
        <f>IFERROR(VLOOKUP(원본데이터_SK!F110,채널매핑!$B:$E,4,0),1)</f>
        <v>1</v>
      </c>
      <c r="G110">
        <f>원본데이터_SK!Q110</f>
        <v>1</v>
      </c>
      <c r="H110">
        <f>원본데이터_SK!O110</f>
        <v>119000</v>
      </c>
      <c r="I110">
        <f>원본데이터_SK!AG110</f>
        <v>119000</v>
      </c>
      <c r="J110">
        <f>원본데이터_SK!AH110</f>
        <v>82110</v>
      </c>
      <c r="K110">
        <f>IFERROR(VLOOKUP(E110,제품마스터!$A:$B,2,0),0)</f>
        <v>0</v>
      </c>
      <c r="L110">
        <f>원본데이터_SK!Q110*원본데이터_SK!P110</f>
        <v>82110</v>
      </c>
    </row>
    <row r="111" spans="1:12" x14ac:dyDescent="0.3">
      <c r="A111" t="s">
        <v>11</v>
      </c>
      <c r="B111" t="str">
        <f>원본데이터_SK!D111</f>
        <v>20260205994400</v>
      </c>
      <c r="C111" t="str">
        <f>IF(원본데이터_SK!M111="","",TEXT(원본데이터_SK!M111,"YYYY-MM-DD"))</f>
        <v>2026-02-07</v>
      </c>
      <c r="D111" t="str">
        <f>원본데이터_SK!F111</f>
        <v>58481090</v>
      </c>
      <c r="E111" t="str">
        <f>IFERROR(VLOOKUP(원본데이터_SK!F111,채널매핑!$B:$D,3,0),"미매핑")</f>
        <v>미매핑</v>
      </c>
      <c r="F111">
        <f>IFERROR(VLOOKUP(원본데이터_SK!F111,채널매핑!$B:$E,4,0),1)</f>
        <v>1</v>
      </c>
      <c r="G111">
        <f>원본데이터_SK!Q111</f>
        <v>1</v>
      </c>
      <c r="H111">
        <f>원본데이터_SK!O111</f>
        <v>119000</v>
      </c>
      <c r="I111">
        <f>원본데이터_SK!AG111</f>
        <v>119000</v>
      </c>
      <c r="J111">
        <f>원본데이터_SK!AH111</f>
        <v>82110</v>
      </c>
      <c r="K111">
        <f>IFERROR(VLOOKUP(E111,제품마스터!$A:$B,2,0),0)</f>
        <v>0</v>
      </c>
      <c r="L111">
        <f>원본데이터_SK!Q111*원본데이터_SK!P111</f>
        <v>82110</v>
      </c>
    </row>
    <row r="112" spans="1:12" x14ac:dyDescent="0.3">
      <c r="A112" t="s">
        <v>11</v>
      </c>
      <c r="B112" t="str">
        <f>원본데이터_SK!D112</f>
        <v>20260205994653</v>
      </c>
      <c r="C112" t="str">
        <f>IF(원본데이터_SK!M112="","",TEXT(원본데이터_SK!M112,"YYYY-MM-DD"))</f>
        <v>2026-02-07</v>
      </c>
      <c r="D112" t="str">
        <f>원본데이터_SK!F112</f>
        <v>58481090</v>
      </c>
      <c r="E112" t="str">
        <f>IFERROR(VLOOKUP(원본데이터_SK!F112,채널매핑!$B:$D,3,0),"미매핑")</f>
        <v>미매핑</v>
      </c>
      <c r="F112">
        <f>IFERROR(VLOOKUP(원본데이터_SK!F112,채널매핑!$B:$E,4,0),1)</f>
        <v>1</v>
      </c>
      <c r="G112">
        <f>원본데이터_SK!Q112</f>
        <v>1</v>
      </c>
      <c r="H112">
        <f>원본데이터_SK!O112</f>
        <v>119000</v>
      </c>
      <c r="I112">
        <f>원본데이터_SK!AG112</f>
        <v>119000</v>
      </c>
      <c r="J112">
        <f>원본데이터_SK!AH112</f>
        <v>82110</v>
      </c>
      <c r="K112">
        <f>IFERROR(VLOOKUP(E112,제품마스터!$A:$B,2,0),0)</f>
        <v>0</v>
      </c>
      <c r="L112">
        <f>원본데이터_SK!Q112*원본데이터_SK!P112</f>
        <v>82110</v>
      </c>
    </row>
    <row r="113" spans="1:12" x14ac:dyDescent="0.3">
      <c r="A113" t="s">
        <v>11</v>
      </c>
      <c r="B113" t="str">
        <f>원본데이터_SK!D113</f>
        <v>20260205993867</v>
      </c>
      <c r="C113" t="str">
        <f>IF(원본데이터_SK!M113="","",TEXT(원본데이터_SK!M113,"YYYY-MM-DD"))</f>
        <v>2026-02-07</v>
      </c>
      <c r="D113" t="str">
        <f>원본데이터_SK!F113</f>
        <v>58481090</v>
      </c>
      <c r="E113" t="str">
        <f>IFERROR(VLOOKUP(원본데이터_SK!F113,채널매핑!$B:$D,3,0),"미매핑")</f>
        <v>미매핑</v>
      </c>
      <c r="F113">
        <f>IFERROR(VLOOKUP(원본데이터_SK!F113,채널매핑!$B:$E,4,0),1)</f>
        <v>1</v>
      </c>
      <c r="G113">
        <f>원본데이터_SK!Q113</f>
        <v>1</v>
      </c>
      <c r="H113">
        <f>원본데이터_SK!O113</f>
        <v>119000</v>
      </c>
      <c r="I113">
        <f>원본데이터_SK!AG113</f>
        <v>119000</v>
      </c>
      <c r="J113">
        <f>원본데이터_SK!AH113</f>
        <v>82110</v>
      </c>
      <c r="K113">
        <f>IFERROR(VLOOKUP(E113,제품마스터!$A:$B,2,0),0)</f>
        <v>0</v>
      </c>
      <c r="L113">
        <f>원본데이터_SK!Q113*원본데이터_SK!P113</f>
        <v>82110</v>
      </c>
    </row>
    <row r="114" spans="1:12" x14ac:dyDescent="0.3">
      <c r="A114" t="s">
        <v>11</v>
      </c>
      <c r="B114" t="str">
        <f>원본데이터_SK!D114</f>
        <v>20260205993852</v>
      </c>
      <c r="C114" t="str">
        <f>IF(원본데이터_SK!M114="","",TEXT(원본데이터_SK!M114,"YYYY-MM-DD"))</f>
        <v>2026-02-07</v>
      </c>
      <c r="D114" t="str">
        <f>원본데이터_SK!F114</f>
        <v>58481090</v>
      </c>
      <c r="E114" t="str">
        <f>IFERROR(VLOOKUP(원본데이터_SK!F114,채널매핑!$B:$D,3,0),"미매핑")</f>
        <v>미매핑</v>
      </c>
      <c r="F114">
        <f>IFERROR(VLOOKUP(원본데이터_SK!F114,채널매핑!$B:$E,4,0),1)</f>
        <v>1</v>
      </c>
      <c r="G114">
        <f>원본데이터_SK!Q114</f>
        <v>1</v>
      </c>
      <c r="H114">
        <f>원본데이터_SK!O114</f>
        <v>119000</v>
      </c>
      <c r="I114">
        <f>원본데이터_SK!AG114</f>
        <v>119000</v>
      </c>
      <c r="J114">
        <f>원본데이터_SK!AH114</f>
        <v>82110</v>
      </c>
      <c r="K114">
        <f>IFERROR(VLOOKUP(E114,제품마스터!$A:$B,2,0),0)</f>
        <v>0</v>
      </c>
      <c r="L114">
        <f>원본데이터_SK!Q114*원본데이터_SK!P114</f>
        <v>82110</v>
      </c>
    </row>
    <row r="115" spans="1:12" x14ac:dyDescent="0.3">
      <c r="A115" t="s">
        <v>11</v>
      </c>
      <c r="B115" t="str">
        <f>원본데이터_SK!D115</f>
        <v>20260205992712</v>
      </c>
      <c r="C115" t="str">
        <f>IF(원본데이터_SK!M115="","",TEXT(원본데이터_SK!M115,"YYYY-MM-DD"))</f>
        <v>2026-02-07</v>
      </c>
      <c r="D115" t="str">
        <f>원본데이터_SK!F115</f>
        <v>58481090</v>
      </c>
      <c r="E115" t="str">
        <f>IFERROR(VLOOKUP(원본데이터_SK!F115,채널매핑!$B:$D,3,0),"미매핑")</f>
        <v>미매핑</v>
      </c>
      <c r="F115">
        <f>IFERROR(VLOOKUP(원본데이터_SK!F115,채널매핑!$B:$E,4,0),1)</f>
        <v>1</v>
      </c>
      <c r="G115">
        <f>원본데이터_SK!Q115</f>
        <v>1</v>
      </c>
      <c r="H115">
        <f>원본데이터_SK!O115</f>
        <v>119000</v>
      </c>
      <c r="I115">
        <f>원본데이터_SK!AG115</f>
        <v>99960</v>
      </c>
      <c r="J115">
        <f>원본데이터_SK!AH115</f>
        <v>82110</v>
      </c>
      <c r="K115">
        <f>IFERROR(VLOOKUP(E115,제품마스터!$A:$B,2,0),0)</f>
        <v>0</v>
      </c>
      <c r="L115">
        <f>원본데이터_SK!Q115*원본데이터_SK!P115</f>
        <v>82110</v>
      </c>
    </row>
    <row r="116" spans="1:12" x14ac:dyDescent="0.3">
      <c r="A116" t="s">
        <v>11</v>
      </c>
      <c r="B116" t="str">
        <f>원본데이터_SK!D116</f>
        <v>20260205993266</v>
      </c>
      <c r="C116" t="str">
        <f>IF(원본데이터_SK!M116="","",TEXT(원본데이터_SK!M116,"YYYY-MM-DD"))</f>
        <v>2026-02-07</v>
      </c>
      <c r="D116" t="str">
        <f>원본데이터_SK!F116</f>
        <v>58481090</v>
      </c>
      <c r="E116" t="str">
        <f>IFERROR(VLOOKUP(원본데이터_SK!F116,채널매핑!$B:$D,3,0),"미매핑")</f>
        <v>미매핑</v>
      </c>
      <c r="F116">
        <f>IFERROR(VLOOKUP(원본데이터_SK!F116,채널매핑!$B:$E,4,0),1)</f>
        <v>1</v>
      </c>
      <c r="G116">
        <f>원본데이터_SK!Q116</f>
        <v>1</v>
      </c>
      <c r="H116">
        <f>원본데이터_SK!O116</f>
        <v>119000</v>
      </c>
      <c r="I116">
        <f>원본데이터_SK!AG116</f>
        <v>119000</v>
      </c>
      <c r="J116">
        <f>원본데이터_SK!AH116</f>
        <v>82110</v>
      </c>
      <c r="K116">
        <f>IFERROR(VLOOKUP(E116,제품마스터!$A:$B,2,0),0)</f>
        <v>0</v>
      </c>
      <c r="L116">
        <f>원본데이터_SK!Q116*원본데이터_SK!P116</f>
        <v>82110</v>
      </c>
    </row>
    <row r="117" spans="1:12" x14ac:dyDescent="0.3">
      <c r="A117" t="s">
        <v>11</v>
      </c>
      <c r="B117" t="str">
        <f>원본데이터_SK!D117</f>
        <v>20260205994296</v>
      </c>
      <c r="C117" t="str">
        <f>IF(원본데이터_SK!M117="","",TEXT(원본데이터_SK!M117,"YYYY-MM-DD"))</f>
        <v>2026-02-07</v>
      </c>
      <c r="D117" t="str">
        <f>원본데이터_SK!F117</f>
        <v>58481090</v>
      </c>
      <c r="E117" t="str">
        <f>IFERROR(VLOOKUP(원본데이터_SK!F117,채널매핑!$B:$D,3,0),"미매핑")</f>
        <v>미매핑</v>
      </c>
      <c r="F117">
        <f>IFERROR(VLOOKUP(원본데이터_SK!F117,채널매핑!$B:$E,4,0),1)</f>
        <v>1</v>
      </c>
      <c r="G117">
        <f>원본데이터_SK!Q117</f>
        <v>1</v>
      </c>
      <c r="H117">
        <f>원본데이터_SK!O117</f>
        <v>119000</v>
      </c>
      <c r="I117">
        <f>원본데이터_SK!AG117</f>
        <v>119000</v>
      </c>
      <c r="J117">
        <f>원본데이터_SK!AH117</f>
        <v>82110</v>
      </c>
      <c r="K117">
        <f>IFERROR(VLOOKUP(E117,제품마스터!$A:$B,2,0),0)</f>
        <v>0</v>
      </c>
      <c r="L117">
        <f>원본데이터_SK!Q117*원본데이터_SK!P117</f>
        <v>82110</v>
      </c>
    </row>
    <row r="118" spans="1:12" x14ac:dyDescent="0.3">
      <c r="A118" t="s">
        <v>11</v>
      </c>
      <c r="B118" t="str">
        <f>원본데이터_SK!D118</f>
        <v>20260205994429</v>
      </c>
      <c r="C118" t="str">
        <f>IF(원본데이터_SK!M118="","",TEXT(원본데이터_SK!M118,"YYYY-MM-DD"))</f>
        <v>2026-02-07</v>
      </c>
      <c r="D118" t="str">
        <f>원본데이터_SK!F118</f>
        <v>58481090</v>
      </c>
      <c r="E118" t="str">
        <f>IFERROR(VLOOKUP(원본데이터_SK!F118,채널매핑!$B:$D,3,0),"미매핑")</f>
        <v>미매핑</v>
      </c>
      <c r="F118">
        <f>IFERROR(VLOOKUP(원본데이터_SK!F118,채널매핑!$B:$E,4,0),1)</f>
        <v>1</v>
      </c>
      <c r="G118">
        <f>원본데이터_SK!Q118</f>
        <v>1</v>
      </c>
      <c r="H118">
        <f>원본데이터_SK!O118</f>
        <v>119000</v>
      </c>
      <c r="I118">
        <f>원본데이터_SK!AG118</f>
        <v>119000</v>
      </c>
      <c r="J118">
        <f>원본데이터_SK!AH118</f>
        <v>82110</v>
      </c>
      <c r="K118">
        <f>IFERROR(VLOOKUP(E118,제품마스터!$A:$B,2,0),0)</f>
        <v>0</v>
      </c>
      <c r="L118">
        <f>원본데이터_SK!Q118*원본데이터_SK!P118</f>
        <v>82110</v>
      </c>
    </row>
    <row r="119" spans="1:12" x14ac:dyDescent="0.3">
      <c r="A119" t="s">
        <v>11</v>
      </c>
      <c r="B119" t="str">
        <f>원본데이터_SK!D119</f>
        <v>20260205993269</v>
      </c>
      <c r="C119" t="str">
        <f>IF(원본데이터_SK!M119="","",TEXT(원본데이터_SK!M119,"YYYY-MM-DD"))</f>
        <v>2026-02-07</v>
      </c>
      <c r="D119" t="str">
        <f>원본데이터_SK!F119</f>
        <v>58481090</v>
      </c>
      <c r="E119" t="str">
        <f>IFERROR(VLOOKUP(원본데이터_SK!F119,채널매핑!$B:$D,3,0),"미매핑")</f>
        <v>미매핑</v>
      </c>
      <c r="F119">
        <f>IFERROR(VLOOKUP(원본데이터_SK!F119,채널매핑!$B:$E,4,0),1)</f>
        <v>1</v>
      </c>
      <c r="G119">
        <f>원본데이터_SK!Q119</f>
        <v>1</v>
      </c>
      <c r="H119">
        <f>원본데이터_SK!O119</f>
        <v>119000</v>
      </c>
      <c r="I119">
        <f>원본데이터_SK!AG119</f>
        <v>119000</v>
      </c>
      <c r="J119">
        <f>원본데이터_SK!AH119</f>
        <v>82110</v>
      </c>
      <c r="K119">
        <f>IFERROR(VLOOKUP(E119,제품마스터!$A:$B,2,0),0)</f>
        <v>0</v>
      </c>
      <c r="L119">
        <f>원본데이터_SK!Q119*원본데이터_SK!P119</f>
        <v>82110</v>
      </c>
    </row>
    <row r="120" spans="1:12" x14ac:dyDescent="0.3">
      <c r="A120" t="s">
        <v>11</v>
      </c>
      <c r="B120" t="str">
        <f>원본데이터_SK!D120</f>
        <v>20260205992567</v>
      </c>
      <c r="C120" t="str">
        <f>IF(원본데이터_SK!M120="","",TEXT(원본데이터_SK!M120,"YYYY-MM-DD"))</f>
        <v>2026-02-07</v>
      </c>
      <c r="D120" t="str">
        <f>원본데이터_SK!F120</f>
        <v>58481090</v>
      </c>
      <c r="E120" t="str">
        <f>IFERROR(VLOOKUP(원본데이터_SK!F120,채널매핑!$B:$D,3,0),"미매핑")</f>
        <v>미매핑</v>
      </c>
      <c r="F120">
        <f>IFERROR(VLOOKUP(원본데이터_SK!F120,채널매핑!$B:$E,4,0),1)</f>
        <v>1</v>
      </c>
      <c r="G120">
        <f>원본데이터_SK!Q120</f>
        <v>1</v>
      </c>
      <c r="H120">
        <f>원본데이터_SK!O120</f>
        <v>119000</v>
      </c>
      <c r="I120">
        <f>원본데이터_SK!AG120</f>
        <v>109000</v>
      </c>
      <c r="J120">
        <f>원본데이터_SK!AH120</f>
        <v>82110</v>
      </c>
      <c r="K120">
        <f>IFERROR(VLOOKUP(E120,제품마스터!$A:$B,2,0),0)</f>
        <v>0</v>
      </c>
      <c r="L120">
        <f>원본데이터_SK!Q120*원본데이터_SK!P120</f>
        <v>82110</v>
      </c>
    </row>
    <row r="121" spans="1:12" x14ac:dyDescent="0.3">
      <c r="A121" t="s">
        <v>11</v>
      </c>
      <c r="B121" t="str">
        <f>원본데이터_SK!D121</f>
        <v>20260205993710</v>
      </c>
      <c r="C121" t="str">
        <f>IF(원본데이터_SK!M121="","",TEXT(원본데이터_SK!M121,"YYYY-MM-DD"))</f>
        <v>2026-02-07</v>
      </c>
      <c r="D121" t="str">
        <f>원본데이터_SK!F121</f>
        <v>58481090</v>
      </c>
      <c r="E121" t="str">
        <f>IFERROR(VLOOKUP(원본데이터_SK!F121,채널매핑!$B:$D,3,0),"미매핑")</f>
        <v>미매핑</v>
      </c>
      <c r="F121">
        <f>IFERROR(VLOOKUP(원본데이터_SK!F121,채널매핑!$B:$E,4,0),1)</f>
        <v>1</v>
      </c>
      <c r="G121">
        <f>원본데이터_SK!Q121</f>
        <v>1</v>
      </c>
      <c r="H121">
        <f>원본데이터_SK!O121</f>
        <v>119000</v>
      </c>
      <c r="I121">
        <f>원본데이터_SK!AG121</f>
        <v>119000</v>
      </c>
      <c r="J121">
        <f>원본데이터_SK!AH121</f>
        <v>82110</v>
      </c>
      <c r="K121">
        <f>IFERROR(VLOOKUP(E121,제품마스터!$A:$B,2,0),0)</f>
        <v>0</v>
      </c>
      <c r="L121">
        <f>원본데이터_SK!Q121*원본데이터_SK!P121</f>
        <v>82110</v>
      </c>
    </row>
    <row r="122" spans="1:12" x14ac:dyDescent="0.3">
      <c r="A122" t="s">
        <v>11</v>
      </c>
      <c r="B122" t="str">
        <f>원본데이터_SK!D122</f>
        <v>20260205995307</v>
      </c>
      <c r="C122" t="str">
        <f>IF(원본데이터_SK!M122="","",TEXT(원본데이터_SK!M122,"YYYY-MM-DD"))</f>
        <v>2026-02-07</v>
      </c>
      <c r="D122" t="str">
        <f>원본데이터_SK!F122</f>
        <v>58481090</v>
      </c>
      <c r="E122" t="str">
        <f>IFERROR(VLOOKUP(원본데이터_SK!F122,채널매핑!$B:$D,3,0),"미매핑")</f>
        <v>미매핑</v>
      </c>
      <c r="F122">
        <f>IFERROR(VLOOKUP(원본데이터_SK!F122,채널매핑!$B:$E,4,0),1)</f>
        <v>1</v>
      </c>
      <c r="G122">
        <f>원본데이터_SK!Q122</f>
        <v>1</v>
      </c>
      <c r="H122">
        <f>원본데이터_SK!O122</f>
        <v>119000</v>
      </c>
      <c r="I122">
        <f>원본데이터_SK!AG122</f>
        <v>113050</v>
      </c>
      <c r="J122">
        <f>원본데이터_SK!AH122</f>
        <v>82110</v>
      </c>
      <c r="K122">
        <f>IFERROR(VLOOKUP(E122,제품마스터!$A:$B,2,0),0)</f>
        <v>0</v>
      </c>
      <c r="L122">
        <f>원본데이터_SK!Q122*원본데이터_SK!P122</f>
        <v>82110</v>
      </c>
    </row>
    <row r="123" spans="1:12" x14ac:dyDescent="0.3">
      <c r="A123" t="s">
        <v>11</v>
      </c>
      <c r="B123" t="str">
        <f>원본데이터_SK!D123</f>
        <v>20260205995613</v>
      </c>
      <c r="C123" t="str">
        <f>IF(원본데이터_SK!M123="","",TEXT(원본데이터_SK!M123,"YYYY-MM-DD"))</f>
        <v>2026-02-07</v>
      </c>
      <c r="D123" t="str">
        <f>원본데이터_SK!F123</f>
        <v>58481090</v>
      </c>
      <c r="E123" t="str">
        <f>IFERROR(VLOOKUP(원본데이터_SK!F123,채널매핑!$B:$D,3,0),"미매핑")</f>
        <v>미매핑</v>
      </c>
      <c r="F123">
        <f>IFERROR(VLOOKUP(원본데이터_SK!F123,채널매핑!$B:$E,4,0),1)</f>
        <v>1</v>
      </c>
      <c r="G123">
        <f>원본데이터_SK!Q123</f>
        <v>1</v>
      </c>
      <c r="H123">
        <f>원본데이터_SK!O123</f>
        <v>119000</v>
      </c>
      <c r="I123">
        <f>원본데이터_SK!AG123</f>
        <v>119000</v>
      </c>
      <c r="J123">
        <f>원본데이터_SK!AH123</f>
        <v>82110</v>
      </c>
      <c r="K123">
        <f>IFERROR(VLOOKUP(E123,제품마스터!$A:$B,2,0),0)</f>
        <v>0</v>
      </c>
      <c r="L123">
        <f>원본데이터_SK!Q123*원본데이터_SK!P123</f>
        <v>82110</v>
      </c>
    </row>
    <row r="124" spans="1:12" x14ac:dyDescent="0.3">
      <c r="A124" t="s">
        <v>11</v>
      </c>
      <c r="B124" t="str">
        <f>원본데이터_SK!D124</f>
        <v>20260205002375</v>
      </c>
      <c r="C124" t="str">
        <f>IF(원본데이터_SK!M124="","",TEXT(원본데이터_SK!M124,"YYYY-MM-DD"))</f>
        <v>2026-02-07</v>
      </c>
      <c r="D124" t="str">
        <f>원본데이터_SK!F124</f>
        <v>58481090</v>
      </c>
      <c r="E124" t="str">
        <f>IFERROR(VLOOKUP(원본데이터_SK!F124,채널매핑!$B:$D,3,0),"미매핑")</f>
        <v>미매핑</v>
      </c>
      <c r="F124">
        <f>IFERROR(VLOOKUP(원본데이터_SK!F124,채널매핑!$B:$E,4,0),1)</f>
        <v>1</v>
      </c>
      <c r="G124">
        <f>원본데이터_SK!Q124</f>
        <v>1</v>
      </c>
      <c r="H124">
        <f>원본데이터_SK!O124</f>
        <v>119000</v>
      </c>
      <c r="I124">
        <f>원본데이터_SK!AG124</f>
        <v>119000</v>
      </c>
      <c r="J124">
        <f>원본데이터_SK!AH124</f>
        <v>82110</v>
      </c>
      <c r="K124">
        <f>IFERROR(VLOOKUP(E124,제품마스터!$A:$B,2,0),0)</f>
        <v>0</v>
      </c>
      <c r="L124">
        <f>원본데이터_SK!Q124*원본데이터_SK!P124</f>
        <v>82110</v>
      </c>
    </row>
    <row r="125" spans="1:12" x14ac:dyDescent="0.3">
      <c r="A125" t="s">
        <v>11</v>
      </c>
      <c r="B125" t="str">
        <f>원본데이터_SK!D125</f>
        <v>20260205994008</v>
      </c>
      <c r="C125" t="str">
        <f>IF(원본데이터_SK!M125="","",TEXT(원본데이터_SK!M125,"YYYY-MM-DD"))</f>
        <v>2026-02-07</v>
      </c>
      <c r="D125" t="str">
        <f>원본데이터_SK!F125</f>
        <v>58481090</v>
      </c>
      <c r="E125" t="str">
        <f>IFERROR(VLOOKUP(원본데이터_SK!F125,채널매핑!$B:$D,3,0),"미매핑")</f>
        <v>미매핑</v>
      </c>
      <c r="F125">
        <f>IFERROR(VLOOKUP(원본데이터_SK!F125,채널매핑!$B:$E,4,0),1)</f>
        <v>1</v>
      </c>
      <c r="G125">
        <f>원본데이터_SK!Q125</f>
        <v>1</v>
      </c>
      <c r="H125">
        <f>원본데이터_SK!O125</f>
        <v>119000</v>
      </c>
      <c r="I125">
        <f>원본데이터_SK!AG125</f>
        <v>109000</v>
      </c>
      <c r="J125">
        <f>원본데이터_SK!AH125</f>
        <v>82110</v>
      </c>
      <c r="K125">
        <f>IFERROR(VLOOKUP(E125,제품마스터!$A:$B,2,0),0)</f>
        <v>0</v>
      </c>
      <c r="L125">
        <f>원본데이터_SK!Q125*원본데이터_SK!P125</f>
        <v>82110</v>
      </c>
    </row>
    <row r="126" spans="1:12" x14ac:dyDescent="0.3">
      <c r="A126" t="s">
        <v>11</v>
      </c>
      <c r="B126" t="str">
        <f>원본데이터_SK!D126</f>
        <v>20260205993800</v>
      </c>
      <c r="C126" t="str">
        <f>IF(원본데이터_SK!M126="","",TEXT(원본데이터_SK!M126,"YYYY-MM-DD"))</f>
        <v>2026-02-07</v>
      </c>
      <c r="D126" t="str">
        <f>원본데이터_SK!F126</f>
        <v>58481090</v>
      </c>
      <c r="E126" t="str">
        <f>IFERROR(VLOOKUP(원본데이터_SK!F126,채널매핑!$B:$D,3,0),"미매핑")</f>
        <v>미매핑</v>
      </c>
      <c r="F126">
        <f>IFERROR(VLOOKUP(원본데이터_SK!F126,채널매핑!$B:$E,4,0),1)</f>
        <v>1</v>
      </c>
      <c r="G126">
        <f>원본데이터_SK!Q126</f>
        <v>1</v>
      </c>
      <c r="H126">
        <f>원본데이터_SK!O126</f>
        <v>119000</v>
      </c>
      <c r="I126">
        <f>원본데이터_SK!AG126</f>
        <v>119000</v>
      </c>
      <c r="J126">
        <f>원본데이터_SK!AH126</f>
        <v>82110</v>
      </c>
      <c r="K126">
        <f>IFERROR(VLOOKUP(E126,제품마스터!$A:$B,2,0),0)</f>
        <v>0</v>
      </c>
      <c r="L126">
        <f>원본데이터_SK!Q126*원본데이터_SK!P126</f>
        <v>82110</v>
      </c>
    </row>
    <row r="127" spans="1:12" x14ac:dyDescent="0.3">
      <c r="A127" t="s">
        <v>11</v>
      </c>
      <c r="B127" t="str">
        <f>원본데이터_SK!D127</f>
        <v>20260206644091</v>
      </c>
      <c r="C127" t="str">
        <f>IF(원본데이터_SK!M127="","",TEXT(원본데이터_SK!M127,"YYYY-MM-DD"))</f>
        <v>2026-02-07</v>
      </c>
      <c r="D127" t="str">
        <f>원본데이터_SK!F127</f>
        <v>58481090</v>
      </c>
      <c r="E127" t="str">
        <f>IFERROR(VLOOKUP(원본데이터_SK!F127,채널매핑!$B:$D,3,0),"미매핑")</f>
        <v>미매핑</v>
      </c>
      <c r="F127">
        <f>IFERROR(VLOOKUP(원본데이터_SK!F127,채널매핑!$B:$E,4,0),1)</f>
        <v>1</v>
      </c>
      <c r="G127">
        <f>원본데이터_SK!Q127</f>
        <v>1</v>
      </c>
      <c r="H127">
        <f>원본데이터_SK!O127</f>
        <v>119000</v>
      </c>
      <c r="I127">
        <f>원본데이터_SK!AG127</f>
        <v>113050</v>
      </c>
      <c r="J127">
        <f>원본데이터_SK!AH127</f>
        <v>82110</v>
      </c>
      <c r="K127">
        <f>IFERROR(VLOOKUP(E127,제품마스터!$A:$B,2,0),0)</f>
        <v>0</v>
      </c>
      <c r="L127">
        <f>원본데이터_SK!Q127*원본데이터_SK!P127</f>
        <v>82110</v>
      </c>
    </row>
    <row r="128" spans="1:12" x14ac:dyDescent="0.3">
      <c r="A128" t="s">
        <v>11</v>
      </c>
      <c r="B128" t="str">
        <f>원본데이터_SK!D128</f>
        <v>20260205995701</v>
      </c>
      <c r="C128" t="str">
        <f>IF(원본데이터_SK!M128="","",TEXT(원본데이터_SK!M128,"YYYY-MM-DD"))</f>
        <v>2026-02-07</v>
      </c>
      <c r="D128" t="str">
        <f>원본데이터_SK!F128</f>
        <v>58481090</v>
      </c>
      <c r="E128" t="str">
        <f>IFERROR(VLOOKUP(원본데이터_SK!F128,채널매핑!$B:$D,3,0),"미매핑")</f>
        <v>미매핑</v>
      </c>
      <c r="F128">
        <f>IFERROR(VLOOKUP(원본데이터_SK!F128,채널매핑!$B:$E,4,0),1)</f>
        <v>1</v>
      </c>
      <c r="G128">
        <f>원본데이터_SK!Q128</f>
        <v>1</v>
      </c>
      <c r="H128">
        <f>원본데이터_SK!O128</f>
        <v>119000</v>
      </c>
      <c r="I128">
        <f>원본데이터_SK!AG128</f>
        <v>119000</v>
      </c>
      <c r="J128">
        <f>원본데이터_SK!AH128</f>
        <v>82110</v>
      </c>
      <c r="K128">
        <f>IFERROR(VLOOKUP(E128,제품마스터!$A:$B,2,0),0)</f>
        <v>0</v>
      </c>
      <c r="L128">
        <f>원본데이터_SK!Q128*원본데이터_SK!P128</f>
        <v>82110</v>
      </c>
    </row>
    <row r="129" spans="1:12" x14ac:dyDescent="0.3">
      <c r="A129" t="s">
        <v>11</v>
      </c>
      <c r="B129" t="str">
        <f>원본데이터_SK!D129</f>
        <v>20260205995459</v>
      </c>
      <c r="C129" t="str">
        <f>IF(원본데이터_SK!M129="","",TEXT(원본데이터_SK!M129,"YYYY-MM-DD"))</f>
        <v>2026-02-07</v>
      </c>
      <c r="D129" t="str">
        <f>원본데이터_SK!F129</f>
        <v>58481090</v>
      </c>
      <c r="E129" t="str">
        <f>IFERROR(VLOOKUP(원본데이터_SK!F129,채널매핑!$B:$D,3,0),"미매핑")</f>
        <v>미매핑</v>
      </c>
      <c r="F129">
        <f>IFERROR(VLOOKUP(원본데이터_SK!F129,채널매핑!$B:$E,4,0),1)</f>
        <v>1</v>
      </c>
      <c r="G129">
        <f>원본데이터_SK!Q129</f>
        <v>1</v>
      </c>
      <c r="H129">
        <f>원본데이터_SK!O129</f>
        <v>119000</v>
      </c>
      <c r="I129">
        <f>원본데이터_SK!AG129</f>
        <v>99960</v>
      </c>
      <c r="J129">
        <f>원본데이터_SK!AH129</f>
        <v>82110</v>
      </c>
      <c r="K129">
        <f>IFERROR(VLOOKUP(E129,제품마스터!$A:$B,2,0),0)</f>
        <v>0</v>
      </c>
      <c r="L129">
        <f>원본데이터_SK!Q129*원본데이터_SK!P129</f>
        <v>82110</v>
      </c>
    </row>
    <row r="130" spans="1:12" x14ac:dyDescent="0.3">
      <c r="A130" t="s">
        <v>11</v>
      </c>
      <c r="B130" t="str">
        <f>원본데이터_SK!D130</f>
        <v>20260205993710</v>
      </c>
      <c r="C130" t="str">
        <f>IF(원본데이터_SK!M130="","",TEXT(원본데이터_SK!M130,"YYYY-MM-DD"))</f>
        <v>2026-02-07</v>
      </c>
      <c r="D130" t="str">
        <f>원본데이터_SK!F130</f>
        <v>58481090</v>
      </c>
      <c r="E130" t="str">
        <f>IFERROR(VLOOKUP(원본데이터_SK!F130,채널매핑!$B:$D,3,0),"미매핑")</f>
        <v>미매핑</v>
      </c>
      <c r="F130">
        <f>IFERROR(VLOOKUP(원본데이터_SK!F130,채널매핑!$B:$E,4,0),1)</f>
        <v>1</v>
      </c>
      <c r="G130">
        <f>원본데이터_SK!Q130</f>
        <v>1</v>
      </c>
      <c r="H130">
        <f>원본데이터_SK!O130</f>
        <v>119000</v>
      </c>
      <c r="I130">
        <f>원본데이터_SK!AG130</f>
        <v>119000</v>
      </c>
      <c r="J130">
        <f>원본데이터_SK!AH130</f>
        <v>82110</v>
      </c>
      <c r="K130">
        <f>IFERROR(VLOOKUP(E130,제품마스터!$A:$B,2,0),0)</f>
        <v>0</v>
      </c>
      <c r="L130">
        <f>원본데이터_SK!Q130*원본데이터_SK!P130</f>
        <v>82110</v>
      </c>
    </row>
    <row r="131" spans="1:12" x14ac:dyDescent="0.3">
      <c r="A131" t="s">
        <v>11</v>
      </c>
      <c r="B131" t="str">
        <f>원본데이터_SK!D131</f>
        <v>20260205005766</v>
      </c>
      <c r="C131" t="str">
        <f>IF(원본데이터_SK!M131="","",TEXT(원본데이터_SK!M131,"YYYY-MM-DD"))</f>
        <v>2026-02-07</v>
      </c>
      <c r="D131" t="str">
        <f>원본데이터_SK!F131</f>
        <v>58481090</v>
      </c>
      <c r="E131" t="str">
        <f>IFERROR(VLOOKUP(원본데이터_SK!F131,채널매핑!$B:$D,3,0),"미매핑")</f>
        <v>미매핑</v>
      </c>
      <c r="F131">
        <f>IFERROR(VLOOKUP(원본데이터_SK!F131,채널매핑!$B:$E,4,0),1)</f>
        <v>1</v>
      </c>
      <c r="G131">
        <f>원본데이터_SK!Q131</f>
        <v>1</v>
      </c>
      <c r="H131">
        <f>원본데이터_SK!O131</f>
        <v>119000</v>
      </c>
      <c r="I131">
        <f>원본데이터_SK!AG131</f>
        <v>119000</v>
      </c>
      <c r="J131">
        <f>원본데이터_SK!AH131</f>
        <v>82110</v>
      </c>
      <c r="K131">
        <f>IFERROR(VLOOKUP(E131,제품마스터!$A:$B,2,0),0)</f>
        <v>0</v>
      </c>
      <c r="L131">
        <f>원본데이터_SK!Q131*원본데이터_SK!P131</f>
        <v>82110</v>
      </c>
    </row>
    <row r="132" spans="1:12" x14ac:dyDescent="0.3">
      <c r="A132" t="s">
        <v>11</v>
      </c>
      <c r="B132" t="str">
        <f>원본데이터_SK!D132</f>
        <v>20260205995598</v>
      </c>
      <c r="C132" t="str">
        <f>IF(원본데이터_SK!M132="","",TEXT(원본데이터_SK!M132,"YYYY-MM-DD"))</f>
        <v>2026-02-07</v>
      </c>
      <c r="D132" t="str">
        <f>원본데이터_SK!F132</f>
        <v>58481090</v>
      </c>
      <c r="E132" t="str">
        <f>IFERROR(VLOOKUP(원본데이터_SK!F132,채널매핑!$B:$D,3,0),"미매핑")</f>
        <v>미매핑</v>
      </c>
      <c r="F132">
        <f>IFERROR(VLOOKUP(원본데이터_SK!F132,채널매핑!$B:$E,4,0),1)</f>
        <v>1</v>
      </c>
      <c r="G132">
        <f>원본데이터_SK!Q132</f>
        <v>1</v>
      </c>
      <c r="H132">
        <f>원본데이터_SK!O132</f>
        <v>119000</v>
      </c>
      <c r="I132">
        <f>원본데이터_SK!AG132</f>
        <v>119000</v>
      </c>
      <c r="J132">
        <f>원본데이터_SK!AH132</f>
        <v>82110</v>
      </c>
      <c r="K132">
        <f>IFERROR(VLOOKUP(E132,제품마스터!$A:$B,2,0),0)</f>
        <v>0</v>
      </c>
      <c r="L132">
        <f>원본데이터_SK!Q132*원본데이터_SK!P132</f>
        <v>82110</v>
      </c>
    </row>
    <row r="133" spans="1:12" x14ac:dyDescent="0.3">
      <c r="A133" t="s">
        <v>11</v>
      </c>
      <c r="B133" t="str">
        <f>원본데이터_SK!D133</f>
        <v>20260205994093</v>
      </c>
      <c r="C133" t="str">
        <f>IF(원본데이터_SK!M133="","",TEXT(원본데이터_SK!M133,"YYYY-MM-DD"))</f>
        <v>2026-02-07</v>
      </c>
      <c r="D133" t="str">
        <f>원본데이터_SK!F133</f>
        <v>58481090</v>
      </c>
      <c r="E133" t="str">
        <f>IFERROR(VLOOKUP(원본데이터_SK!F133,채널매핑!$B:$D,3,0),"미매핑")</f>
        <v>미매핑</v>
      </c>
      <c r="F133">
        <f>IFERROR(VLOOKUP(원본데이터_SK!F133,채널매핑!$B:$E,4,0),1)</f>
        <v>1</v>
      </c>
      <c r="G133">
        <f>원본데이터_SK!Q133</f>
        <v>1</v>
      </c>
      <c r="H133">
        <f>원본데이터_SK!O133</f>
        <v>119000</v>
      </c>
      <c r="I133">
        <f>원본데이터_SK!AG133</f>
        <v>119000</v>
      </c>
      <c r="J133">
        <f>원본데이터_SK!AH133</f>
        <v>82110</v>
      </c>
      <c r="K133">
        <f>IFERROR(VLOOKUP(E133,제품마스터!$A:$B,2,0),0)</f>
        <v>0</v>
      </c>
      <c r="L133">
        <f>원본데이터_SK!Q133*원본데이터_SK!P133</f>
        <v>82110</v>
      </c>
    </row>
    <row r="134" spans="1:12" x14ac:dyDescent="0.3">
      <c r="A134" t="s">
        <v>11</v>
      </c>
      <c r="B134" t="str">
        <f>원본데이터_SK!D134</f>
        <v>20260205994741</v>
      </c>
      <c r="C134" t="str">
        <f>IF(원본데이터_SK!M134="","",TEXT(원본데이터_SK!M134,"YYYY-MM-DD"))</f>
        <v>2026-02-07</v>
      </c>
      <c r="D134" t="str">
        <f>원본데이터_SK!F134</f>
        <v>58481090</v>
      </c>
      <c r="E134" t="str">
        <f>IFERROR(VLOOKUP(원본데이터_SK!F134,채널매핑!$B:$D,3,0),"미매핑")</f>
        <v>미매핑</v>
      </c>
      <c r="F134">
        <f>IFERROR(VLOOKUP(원본데이터_SK!F134,채널매핑!$B:$E,4,0),1)</f>
        <v>1</v>
      </c>
      <c r="G134">
        <f>원본데이터_SK!Q134</f>
        <v>1</v>
      </c>
      <c r="H134">
        <f>원본데이터_SK!O134</f>
        <v>119000</v>
      </c>
      <c r="I134">
        <f>원본데이터_SK!AG134</f>
        <v>109000</v>
      </c>
      <c r="J134">
        <f>원본데이터_SK!AH134</f>
        <v>82110</v>
      </c>
      <c r="K134">
        <f>IFERROR(VLOOKUP(E134,제품마스터!$A:$B,2,0),0)</f>
        <v>0</v>
      </c>
      <c r="L134">
        <f>원본데이터_SK!Q134*원본데이터_SK!P134</f>
        <v>82110</v>
      </c>
    </row>
    <row r="135" spans="1:12" x14ac:dyDescent="0.3">
      <c r="A135" t="s">
        <v>11</v>
      </c>
      <c r="B135" t="str">
        <f>원본데이터_SK!D135</f>
        <v>20260205993823</v>
      </c>
      <c r="C135" t="str">
        <f>IF(원본데이터_SK!M135="","",TEXT(원본데이터_SK!M135,"YYYY-MM-DD"))</f>
        <v>2026-02-07</v>
      </c>
      <c r="D135" t="str">
        <f>원본데이터_SK!F135</f>
        <v>58481090</v>
      </c>
      <c r="E135" t="str">
        <f>IFERROR(VLOOKUP(원본데이터_SK!F135,채널매핑!$B:$D,3,0),"미매핑")</f>
        <v>미매핑</v>
      </c>
      <c r="F135">
        <f>IFERROR(VLOOKUP(원본데이터_SK!F135,채널매핑!$B:$E,4,0),1)</f>
        <v>1</v>
      </c>
      <c r="G135">
        <f>원본데이터_SK!Q135</f>
        <v>1</v>
      </c>
      <c r="H135">
        <f>원본데이터_SK!O135</f>
        <v>119000</v>
      </c>
      <c r="I135">
        <f>원본데이터_SK!AG135</f>
        <v>119000</v>
      </c>
      <c r="J135">
        <f>원본데이터_SK!AH135</f>
        <v>82110</v>
      </c>
      <c r="K135">
        <f>IFERROR(VLOOKUP(E135,제품마스터!$A:$B,2,0),0)</f>
        <v>0</v>
      </c>
      <c r="L135">
        <f>원본데이터_SK!Q135*원본데이터_SK!P135</f>
        <v>82110</v>
      </c>
    </row>
    <row r="136" spans="1:12" x14ac:dyDescent="0.3">
      <c r="A136" t="s">
        <v>11</v>
      </c>
      <c r="B136" t="str">
        <f>원본데이터_SK!D136</f>
        <v>20260205993746</v>
      </c>
      <c r="C136" t="str">
        <f>IF(원본데이터_SK!M136="","",TEXT(원본데이터_SK!M136,"YYYY-MM-DD"))</f>
        <v>2026-02-07</v>
      </c>
      <c r="D136" t="str">
        <f>원본데이터_SK!F136</f>
        <v>58481090</v>
      </c>
      <c r="E136" t="str">
        <f>IFERROR(VLOOKUP(원본데이터_SK!F136,채널매핑!$B:$D,3,0),"미매핑")</f>
        <v>미매핑</v>
      </c>
      <c r="F136">
        <f>IFERROR(VLOOKUP(원본데이터_SK!F136,채널매핑!$B:$E,4,0),1)</f>
        <v>1</v>
      </c>
      <c r="G136">
        <f>원본데이터_SK!Q136</f>
        <v>2</v>
      </c>
      <c r="H136">
        <f>원본데이터_SK!O136</f>
        <v>119000</v>
      </c>
      <c r="I136">
        <f>원본데이터_SK!AG136</f>
        <v>238000</v>
      </c>
      <c r="J136">
        <f>원본데이터_SK!AH136</f>
        <v>164220</v>
      </c>
      <c r="K136">
        <f>IFERROR(VLOOKUP(E136,제품마스터!$A:$B,2,0),0)</f>
        <v>0</v>
      </c>
      <c r="L136">
        <f>원본데이터_SK!Q136*원본데이터_SK!P136</f>
        <v>164220</v>
      </c>
    </row>
    <row r="137" spans="1:12" x14ac:dyDescent="0.3">
      <c r="A137" t="s">
        <v>11</v>
      </c>
      <c r="B137" t="str">
        <f>원본데이터_SK!D137</f>
        <v>20260205993743</v>
      </c>
      <c r="C137" t="str">
        <f>IF(원본데이터_SK!M137="","",TEXT(원본데이터_SK!M137,"YYYY-MM-DD"))</f>
        <v>2026-02-07</v>
      </c>
      <c r="D137" t="str">
        <f>원본데이터_SK!F137</f>
        <v>58481090</v>
      </c>
      <c r="E137" t="str">
        <f>IFERROR(VLOOKUP(원본데이터_SK!F137,채널매핑!$B:$D,3,0),"미매핑")</f>
        <v>미매핑</v>
      </c>
      <c r="F137">
        <f>IFERROR(VLOOKUP(원본데이터_SK!F137,채널매핑!$B:$E,4,0),1)</f>
        <v>1</v>
      </c>
      <c r="G137">
        <f>원본데이터_SK!Q137</f>
        <v>1</v>
      </c>
      <c r="H137">
        <f>원본데이터_SK!O137</f>
        <v>119000</v>
      </c>
      <c r="I137">
        <f>원본데이터_SK!AG137</f>
        <v>119000</v>
      </c>
      <c r="J137">
        <f>원본데이터_SK!AH137</f>
        <v>82110</v>
      </c>
      <c r="K137">
        <f>IFERROR(VLOOKUP(E137,제품마스터!$A:$B,2,0),0)</f>
        <v>0</v>
      </c>
      <c r="L137">
        <f>원본데이터_SK!Q137*원본데이터_SK!P137</f>
        <v>82110</v>
      </c>
    </row>
    <row r="138" spans="1:12" x14ac:dyDescent="0.3">
      <c r="A138" t="s">
        <v>11</v>
      </c>
      <c r="B138" t="str">
        <f>원본데이터_SK!D138</f>
        <v>20260205993518</v>
      </c>
      <c r="C138" t="str">
        <f>IF(원본데이터_SK!M138="","",TEXT(원본데이터_SK!M138,"YYYY-MM-DD"))</f>
        <v>2026-02-07</v>
      </c>
      <c r="D138" t="str">
        <f>원본데이터_SK!F138</f>
        <v>58481090</v>
      </c>
      <c r="E138" t="str">
        <f>IFERROR(VLOOKUP(원본데이터_SK!F138,채널매핑!$B:$D,3,0),"미매핑")</f>
        <v>미매핑</v>
      </c>
      <c r="F138">
        <f>IFERROR(VLOOKUP(원본데이터_SK!F138,채널매핑!$B:$E,4,0),1)</f>
        <v>1</v>
      </c>
      <c r="G138">
        <f>원본데이터_SK!Q138</f>
        <v>1</v>
      </c>
      <c r="H138">
        <f>원본데이터_SK!O138</f>
        <v>119000</v>
      </c>
      <c r="I138">
        <f>원본데이터_SK!AG138</f>
        <v>99960</v>
      </c>
      <c r="J138">
        <f>원본데이터_SK!AH138</f>
        <v>82110</v>
      </c>
      <c r="K138">
        <f>IFERROR(VLOOKUP(E138,제품마스터!$A:$B,2,0),0)</f>
        <v>0</v>
      </c>
      <c r="L138">
        <f>원본데이터_SK!Q138*원본데이터_SK!P138</f>
        <v>82110</v>
      </c>
    </row>
    <row r="139" spans="1:12" x14ac:dyDescent="0.3">
      <c r="A139" t="s">
        <v>11</v>
      </c>
      <c r="B139" t="str">
        <f>원본데이터_SK!D139</f>
        <v>20260205993886</v>
      </c>
      <c r="C139" t="str">
        <f>IF(원본데이터_SK!M139="","",TEXT(원본데이터_SK!M139,"YYYY-MM-DD"))</f>
        <v>2026-02-07</v>
      </c>
      <c r="D139" t="str">
        <f>원본데이터_SK!F139</f>
        <v>58481090</v>
      </c>
      <c r="E139" t="str">
        <f>IFERROR(VLOOKUP(원본데이터_SK!F139,채널매핑!$B:$D,3,0),"미매핑")</f>
        <v>미매핑</v>
      </c>
      <c r="F139">
        <f>IFERROR(VLOOKUP(원본데이터_SK!F139,채널매핑!$B:$E,4,0),1)</f>
        <v>1</v>
      </c>
      <c r="G139">
        <f>원본데이터_SK!Q139</f>
        <v>1</v>
      </c>
      <c r="H139">
        <f>원본데이터_SK!O139</f>
        <v>119000</v>
      </c>
      <c r="I139">
        <f>원본데이터_SK!AG139</f>
        <v>119000</v>
      </c>
      <c r="J139">
        <f>원본데이터_SK!AH139</f>
        <v>82110</v>
      </c>
      <c r="K139">
        <f>IFERROR(VLOOKUP(E139,제품마스터!$A:$B,2,0),0)</f>
        <v>0</v>
      </c>
      <c r="L139">
        <f>원본데이터_SK!Q139*원본데이터_SK!P139</f>
        <v>82110</v>
      </c>
    </row>
    <row r="140" spans="1:12" x14ac:dyDescent="0.3">
      <c r="A140" t="s">
        <v>11</v>
      </c>
      <c r="B140" t="str">
        <f>원본데이터_SK!D140</f>
        <v>20260205993347</v>
      </c>
      <c r="C140" t="str">
        <f>IF(원본데이터_SK!M140="","",TEXT(원본데이터_SK!M140,"YYYY-MM-DD"))</f>
        <v>2026-02-07</v>
      </c>
      <c r="D140" t="str">
        <f>원본데이터_SK!F140</f>
        <v>58481090</v>
      </c>
      <c r="E140" t="str">
        <f>IFERROR(VLOOKUP(원본데이터_SK!F140,채널매핑!$B:$D,3,0),"미매핑")</f>
        <v>미매핑</v>
      </c>
      <c r="F140">
        <f>IFERROR(VLOOKUP(원본데이터_SK!F140,채널매핑!$B:$E,4,0),1)</f>
        <v>1</v>
      </c>
      <c r="G140">
        <f>원본데이터_SK!Q140</f>
        <v>1</v>
      </c>
      <c r="H140">
        <f>원본데이터_SK!O140</f>
        <v>119000</v>
      </c>
      <c r="I140">
        <f>원본데이터_SK!AG140</f>
        <v>109000</v>
      </c>
      <c r="J140">
        <f>원본데이터_SK!AH140</f>
        <v>82110</v>
      </c>
      <c r="K140">
        <f>IFERROR(VLOOKUP(E140,제품마스터!$A:$B,2,0),0)</f>
        <v>0</v>
      </c>
      <c r="L140">
        <f>원본데이터_SK!Q140*원본데이터_SK!P140</f>
        <v>82110</v>
      </c>
    </row>
    <row r="141" spans="1:12" x14ac:dyDescent="0.3">
      <c r="A141" t="s">
        <v>11</v>
      </c>
      <c r="B141" t="str">
        <f>원본데이터_SK!D141</f>
        <v>20260205992569</v>
      </c>
      <c r="C141" t="str">
        <f>IF(원본데이터_SK!M141="","",TEXT(원본데이터_SK!M141,"YYYY-MM-DD"))</f>
        <v>2026-02-07</v>
      </c>
      <c r="D141" t="str">
        <f>원본데이터_SK!F141</f>
        <v>58481090</v>
      </c>
      <c r="E141" t="str">
        <f>IFERROR(VLOOKUP(원본데이터_SK!F141,채널매핑!$B:$D,3,0),"미매핑")</f>
        <v>미매핑</v>
      </c>
      <c r="F141">
        <f>IFERROR(VLOOKUP(원본데이터_SK!F141,채널매핑!$B:$E,4,0),1)</f>
        <v>1</v>
      </c>
      <c r="G141">
        <f>원본데이터_SK!Q141</f>
        <v>1</v>
      </c>
      <c r="H141">
        <f>원본데이터_SK!O141</f>
        <v>119000</v>
      </c>
      <c r="I141">
        <f>원본데이터_SK!AG141</f>
        <v>119000</v>
      </c>
      <c r="J141">
        <f>원본데이터_SK!AH141</f>
        <v>82110</v>
      </c>
      <c r="K141">
        <f>IFERROR(VLOOKUP(E141,제품마스터!$A:$B,2,0),0)</f>
        <v>0</v>
      </c>
      <c r="L141">
        <f>원본데이터_SK!Q141*원본데이터_SK!P141</f>
        <v>82110</v>
      </c>
    </row>
    <row r="142" spans="1:12" x14ac:dyDescent="0.3">
      <c r="A142" t="s">
        <v>11</v>
      </c>
      <c r="B142" t="str">
        <f>원본데이터_SK!D142</f>
        <v>20260205992662</v>
      </c>
      <c r="C142" t="str">
        <f>IF(원본데이터_SK!M142="","",TEXT(원본데이터_SK!M142,"YYYY-MM-DD"))</f>
        <v>2026-02-07</v>
      </c>
      <c r="D142" t="str">
        <f>원본데이터_SK!F142</f>
        <v>58481090</v>
      </c>
      <c r="E142" t="str">
        <f>IFERROR(VLOOKUP(원본데이터_SK!F142,채널매핑!$B:$D,3,0),"미매핑")</f>
        <v>미매핑</v>
      </c>
      <c r="F142">
        <f>IFERROR(VLOOKUP(원본데이터_SK!F142,채널매핑!$B:$E,4,0),1)</f>
        <v>1</v>
      </c>
      <c r="G142">
        <f>원본데이터_SK!Q142</f>
        <v>1</v>
      </c>
      <c r="H142">
        <f>원본데이터_SK!O142</f>
        <v>119000</v>
      </c>
      <c r="I142">
        <f>원본데이터_SK!AG142</f>
        <v>119000</v>
      </c>
      <c r="J142">
        <f>원본데이터_SK!AH142</f>
        <v>82110</v>
      </c>
      <c r="K142">
        <f>IFERROR(VLOOKUP(E142,제품마스터!$A:$B,2,0),0)</f>
        <v>0</v>
      </c>
      <c r="L142">
        <f>원본데이터_SK!Q142*원본데이터_SK!P142</f>
        <v>82110</v>
      </c>
    </row>
    <row r="143" spans="1:12" x14ac:dyDescent="0.3">
      <c r="A143" t="s">
        <v>11</v>
      </c>
      <c r="B143" t="str">
        <f>원본데이터_SK!D143</f>
        <v>20260205993291</v>
      </c>
      <c r="C143" t="str">
        <f>IF(원본데이터_SK!M143="","",TEXT(원본데이터_SK!M143,"YYYY-MM-DD"))</f>
        <v>2026-02-07</v>
      </c>
      <c r="D143" t="str">
        <f>원본데이터_SK!F143</f>
        <v>58481090</v>
      </c>
      <c r="E143" t="str">
        <f>IFERROR(VLOOKUP(원본데이터_SK!F143,채널매핑!$B:$D,3,0),"미매핑")</f>
        <v>미매핑</v>
      </c>
      <c r="F143">
        <f>IFERROR(VLOOKUP(원본데이터_SK!F143,채널매핑!$B:$E,4,0),1)</f>
        <v>1</v>
      </c>
      <c r="G143">
        <f>원본데이터_SK!Q143</f>
        <v>1</v>
      </c>
      <c r="H143">
        <f>원본데이터_SK!O143</f>
        <v>119000</v>
      </c>
      <c r="I143">
        <f>원본데이터_SK!AG143</f>
        <v>119000</v>
      </c>
      <c r="J143">
        <f>원본데이터_SK!AH143</f>
        <v>82110</v>
      </c>
      <c r="K143">
        <f>IFERROR(VLOOKUP(E143,제품마스터!$A:$B,2,0),0)</f>
        <v>0</v>
      </c>
      <c r="L143">
        <f>원본데이터_SK!Q143*원본데이터_SK!P143</f>
        <v>82110</v>
      </c>
    </row>
    <row r="144" spans="1:12" x14ac:dyDescent="0.3">
      <c r="A144" t="s">
        <v>11</v>
      </c>
      <c r="B144" t="str">
        <f>원본데이터_SK!D144</f>
        <v>20260205995260</v>
      </c>
      <c r="C144" t="str">
        <f>IF(원본데이터_SK!M144="","",TEXT(원본데이터_SK!M144,"YYYY-MM-DD"))</f>
        <v>2026-02-07</v>
      </c>
      <c r="D144" t="str">
        <f>원본데이터_SK!F144</f>
        <v>58481090</v>
      </c>
      <c r="E144" t="str">
        <f>IFERROR(VLOOKUP(원본데이터_SK!F144,채널매핑!$B:$D,3,0),"미매핑")</f>
        <v>미매핑</v>
      </c>
      <c r="F144">
        <f>IFERROR(VLOOKUP(원본데이터_SK!F144,채널매핑!$B:$E,4,0),1)</f>
        <v>1</v>
      </c>
      <c r="G144">
        <f>원본데이터_SK!Q144</f>
        <v>1</v>
      </c>
      <c r="H144">
        <f>원본데이터_SK!O144</f>
        <v>119000</v>
      </c>
      <c r="I144">
        <f>원본데이터_SK!AG144</f>
        <v>119000</v>
      </c>
      <c r="J144">
        <f>원본데이터_SK!AH144</f>
        <v>82110</v>
      </c>
      <c r="K144">
        <f>IFERROR(VLOOKUP(E144,제품마스터!$A:$B,2,0),0)</f>
        <v>0</v>
      </c>
      <c r="L144">
        <f>원본데이터_SK!Q144*원본데이터_SK!P144</f>
        <v>82110</v>
      </c>
    </row>
    <row r="145" spans="1:12" x14ac:dyDescent="0.3">
      <c r="A145" t="s">
        <v>11</v>
      </c>
      <c r="B145" t="str">
        <f>원본데이터_SK!D145</f>
        <v>20260205995397</v>
      </c>
      <c r="C145" t="str">
        <f>IF(원본데이터_SK!M145="","",TEXT(원본데이터_SK!M145,"YYYY-MM-DD"))</f>
        <v>2026-02-07</v>
      </c>
      <c r="D145" t="str">
        <f>원본데이터_SK!F145</f>
        <v>58481090</v>
      </c>
      <c r="E145" t="str">
        <f>IFERROR(VLOOKUP(원본데이터_SK!F145,채널매핑!$B:$D,3,0),"미매핑")</f>
        <v>미매핑</v>
      </c>
      <c r="F145">
        <f>IFERROR(VLOOKUP(원본데이터_SK!F145,채널매핑!$B:$E,4,0),1)</f>
        <v>1</v>
      </c>
      <c r="G145">
        <f>원본데이터_SK!Q145</f>
        <v>1</v>
      </c>
      <c r="H145">
        <f>원본데이터_SK!O145</f>
        <v>119000</v>
      </c>
      <c r="I145">
        <f>원본데이터_SK!AG145</f>
        <v>119000</v>
      </c>
      <c r="J145">
        <f>원본데이터_SK!AH145</f>
        <v>82110</v>
      </c>
      <c r="K145">
        <f>IFERROR(VLOOKUP(E145,제품마스터!$A:$B,2,0),0)</f>
        <v>0</v>
      </c>
      <c r="L145">
        <f>원본데이터_SK!Q145*원본데이터_SK!P145</f>
        <v>82110</v>
      </c>
    </row>
    <row r="146" spans="1:12" x14ac:dyDescent="0.3">
      <c r="A146" t="s">
        <v>11</v>
      </c>
      <c r="B146" t="str">
        <f>원본데이터_SK!D146</f>
        <v>20260205997063</v>
      </c>
      <c r="C146" t="str">
        <f>IF(원본데이터_SK!M146="","",TEXT(원본데이터_SK!M146,"YYYY-MM-DD"))</f>
        <v>2026-02-07</v>
      </c>
      <c r="D146" t="str">
        <f>원본데이터_SK!F146</f>
        <v>58481090</v>
      </c>
      <c r="E146" t="str">
        <f>IFERROR(VLOOKUP(원본데이터_SK!F146,채널매핑!$B:$D,3,0),"미매핑")</f>
        <v>미매핑</v>
      </c>
      <c r="F146">
        <f>IFERROR(VLOOKUP(원본데이터_SK!F146,채널매핑!$B:$E,4,0),1)</f>
        <v>1</v>
      </c>
      <c r="G146">
        <f>원본데이터_SK!Q146</f>
        <v>1</v>
      </c>
      <c r="H146">
        <f>원본데이터_SK!O146</f>
        <v>119000</v>
      </c>
      <c r="I146">
        <f>원본데이터_SK!AG146</f>
        <v>119000</v>
      </c>
      <c r="J146">
        <f>원본데이터_SK!AH146</f>
        <v>82110</v>
      </c>
      <c r="K146">
        <f>IFERROR(VLOOKUP(E146,제품마스터!$A:$B,2,0),0)</f>
        <v>0</v>
      </c>
      <c r="L146">
        <f>원본데이터_SK!Q146*원본데이터_SK!P146</f>
        <v>82110</v>
      </c>
    </row>
    <row r="147" spans="1:12" x14ac:dyDescent="0.3">
      <c r="A147" t="s">
        <v>11</v>
      </c>
      <c r="B147" t="str">
        <f>원본데이터_SK!D147</f>
        <v>20260205994666</v>
      </c>
      <c r="C147" t="str">
        <f>IF(원본데이터_SK!M147="","",TEXT(원본데이터_SK!M147,"YYYY-MM-DD"))</f>
        <v>2026-02-07</v>
      </c>
      <c r="D147" t="str">
        <f>원본데이터_SK!F147</f>
        <v>58481090</v>
      </c>
      <c r="E147" t="str">
        <f>IFERROR(VLOOKUP(원본데이터_SK!F147,채널매핑!$B:$D,3,0),"미매핑")</f>
        <v>미매핑</v>
      </c>
      <c r="F147">
        <f>IFERROR(VLOOKUP(원본데이터_SK!F147,채널매핑!$B:$E,4,0),1)</f>
        <v>1</v>
      </c>
      <c r="G147">
        <f>원본데이터_SK!Q147</f>
        <v>1</v>
      </c>
      <c r="H147">
        <f>원본데이터_SK!O147</f>
        <v>119000</v>
      </c>
      <c r="I147">
        <f>원본데이터_SK!AG147</f>
        <v>119000</v>
      </c>
      <c r="J147">
        <f>원본데이터_SK!AH147</f>
        <v>82110</v>
      </c>
      <c r="K147">
        <f>IFERROR(VLOOKUP(E147,제품마스터!$A:$B,2,0),0)</f>
        <v>0</v>
      </c>
      <c r="L147">
        <f>원본데이터_SK!Q147*원본데이터_SK!P147</f>
        <v>82110</v>
      </c>
    </row>
    <row r="148" spans="1:12" x14ac:dyDescent="0.3">
      <c r="A148" t="s">
        <v>11</v>
      </c>
      <c r="B148" t="str">
        <f>원본데이터_SK!D148</f>
        <v>20260206628960</v>
      </c>
      <c r="C148" t="str">
        <f>IF(원본데이터_SK!M148="","",TEXT(원본데이터_SK!M148,"YYYY-MM-DD"))</f>
        <v>2026-02-07</v>
      </c>
      <c r="D148" t="str">
        <f>원본데이터_SK!F148</f>
        <v>58481090</v>
      </c>
      <c r="E148" t="str">
        <f>IFERROR(VLOOKUP(원본데이터_SK!F148,채널매핑!$B:$D,3,0),"미매핑")</f>
        <v>미매핑</v>
      </c>
      <c r="F148">
        <f>IFERROR(VLOOKUP(원본데이터_SK!F148,채널매핑!$B:$E,4,0),1)</f>
        <v>1</v>
      </c>
      <c r="G148">
        <f>원본데이터_SK!Q148</f>
        <v>1</v>
      </c>
      <c r="H148">
        <f>원본데이터_SK!O148</f>
        <v>119000</v>
      </c>
      <c r="I148">
        <f>원본데이터_SK!AG148</f>
        <v>119000</v>
      </c>
      <c r="J148">
        <f>원본데이터_SK!AH148</f>
        <v>82110</v>
      </c>
      <c r="K148">
        <f>IFERROR(VLOOKUP(E148,제품마스터!$A:$B,2,0),0)</f>
        <v>0</v>
      </c>
      <c r="L148">
        <f>원본데이터_SK!Q148*원본데이터_SK!P148</f>
        <v>82110</v>
      </c>
    </row>
    <row r="149" spans="1:12" x14ac:dyDescent="0.3">
      <c r="A149" t="s">
        <v>11</v>
      </c>
      <c r="B149" t="str">
        <f>원본데이터_SK!D149</f>
        <v>20260205995524</v>
      </c>
      <c r="C149" t="str">
        <f>IF(원본데이터_SK!M149="","",TEXT(원본데이터_SK!M149,"YYYY-MM-DD"))</f>
        <v>2026-02-07</v>
      </c>
      <c r="D149" t="str">
        <f>원본데이터_SK!F149</f>
        <v>58481090</v>
      </c>
      <c r="E149" t="str">
        <f>IFERROR(VLOOKUP(원본데이터_SK!F149,채널매핑!$B:$D,3,0),"미매핑")</f>
        <v>미매핑</v>
      </c>
      <c r="F149">
        <f>IFERROR(VLOOKUP(원본데이터_SK!F149,채널매핑!$B:$E,4,0),1)</f>
        <v>1</v>
      </c>
      <c r="G149">
        <f>원본데이터_SK!Q149</f>
        <v>1</v>
      </c>
      <c r="H149">
        <f>원본데이터_SK!O149</f>
        <v>119000</v>
      </c>
      <c r="I149">
        <f>원본데이터_SK!AG149</f>
        <v>119000</v>
      </c>
      <c r="J149">
        <f>원본데이터_SK!AH149</f>
        <v>82110</v>
      </c>
      <c r="K149">
        <f>IFERROR(VLOOKUP(E149,제품마스터!$A:$B,2,0),0)</f>
        <v>0</v>
      </c>
      <c r="L149">
        <f>원본데이터_SK!Q149*원본데이터_SK!P149</f>
        <v>82110</v>
      </c>
    </row>
    <row r="150" spans="1:12" x14ac:dyDescent="0.3">
      <c r="A150" t="s">
        <v>11</v>
      </c>
      <c r="B150" t="str">
        <f>원본데이터_SK!D150</f>
        <v>20260205994107</v>
      </c>
      <c r="C150" t="str">
        <f>IF(원본데이터_SK!M150="","",TEXT(원본데이터_SK!M150,"YYYY-MM-DD"))</f>
        <v>2026-02-07</v>
      </c>
      <c r="D150" t="str">
        <f>원본데이터_SK!F150</f>
        <v>58481090</v>
      </c>
      <c r="E150" t="str">
        <f>IFERROR(VLOOKUP(원본데이터_SK!F150,채널매핑!$B:$D,3,0),"미매핑")</f>
        <v>미매핑</v>
      </c>
      <c r="F150">
        <f>IFERROR(VLOOKUP(원본데이터_SK!F150,채널매핑!$B:$E,4,0),1)</f>
        <v>1</v>
      </c>
      <c r="G150">
        <f>원본데이터_SK!Q150</f>
        <v>1</v>
      </c>
      <c r="H150">
        <f>원본데이터_SK!O150</f>
        <v>119000</v>
      </c>
      <c r="I150">
        <f>원본데이터_SK!AG150</f>
        <v>119000</v>
      </c>
      <c r="J150">
        <f>원본데이터_SK!AH150</f>
        <v>82110</v>
      </c>
      <c r="K150">
        <f>IFERROR(VLOOKUP(E150,제품마스터!$A:$B,2,0),0)</f>
        <v>0</v>
      </c>
      <c r="L150">
        <f>원본데이터_SK!Q150*원본데이터_SK!P150</f>
        <v>82110</v>
      </c>
    </row>
    <row r="151" spans="1:12" x14ac:dyDescent="0.3">
      <c r="A151" t="s">
        <v>11</v>
      </c>
      <c r="B151" t="str">
        <f>원본데이터_SK!D151</f>
        <v>20260205995032</v>
      </c>
      <c r="C151" t="str">
        <f>IF(원본데이터_SK!M151="","",TEXT(원본데이터_SK!M151,"YYYY-MM-DD"))</f>
        <v>2026-02-07</v>
      </c>
      <c r="D151" t="str">
        <f>원본데이터_SK!F151</f>
        <v>58481090</v>
      </c>
      <c r="E151" t="str">
        <f>IFERROR(VLOOKUP(원본데이터_SK!F151,채널매핑!$B:$D,3,0),"미매핑")</f>
        <v>미매핑</v>
      </c>
      <c r="F151">
        <f>IFERROR(VLOOKUP(원본데이터_SK!F151,채널매핑!$B:$E,4,0),1)</f>
        <v>1</v>
      </c>
      <c r="G151">
        <f>원본데이터_SK!Q151</f>
        <v>1</v>
      </c>
      <c r="H151">
        <f>원본데이터_SK!O151</f>
        <v>119000</v>
      </c>
      <c r="I151">
        <f>원본데이터_SK!AG151</f>
        <v>119000</v>
      </c>
      <c r="J151">
        <f>원본데이터_SK!AH151</f>
        <v>82110</v>
      </c>
      <c r="K151">
        <f>IFERROR(VLOOKUP(E151,제품마스터!$A:$B,2,0),0)</f>
        <v>0</v>
      </c>
      <c r="L151">
        <f>원본데이터_SK!Q151*원본데이터_SK!P151</f>
        <v>82110</v>
      </c>
    </row>
    <row r="152" spans="1:12" x14ac:dyDescent="0.3">
      <c r="A152" t="s">
        <v>11</v>
      </c>
      <c r="B152" t="str">
        <f>원본데이터_SK!D152</f>
        <v>20260205995095</v>
      </c>
      <c r="C152" t="str">
        <f>IF(원본데이터_SK!M152="","",TEXT(원본데이터_SK!M152,"YYYY-MM-DD"))</f>
        <v>2026-02-07</v>
      </c>
      <c r="D152" t="str">
        <f>원본데이터_SK!F152</f>
        <v>58481090</v>
      </c>
      <c r="E152" t="str">
        <f>IFERROR(VLOOKUP(원본데이터_SK!F152,채널매핑!$B:$D,3,0),"미매핑")</f>
        <v>미매핑</v>
      </c>
      <c r="F152">
        <f>IFERROR(VLOOKUP(원본데이터_SK!F152,채널매핑!$B:$E,4,0),1)</f>
        <v>1</v>
      </c>
      <c r="G152">
        <f>원본데이터_SK!Q152</f>
        <v>1</v>
      </c>
      <c r="H152">
        <f>원본데이터_SK!O152</f>
        <v>119000</v>
      </c>
      <c r="I152">
        <f>원본데이터_SK!AG152</f>
        <v>119000</v>
      </c>
      <c r="J152">
        <f>원본데이터_SK!AH152</f>
        <v>82110</v>
      </c>
      <c r="K152">
        <f>IFERROR(VLOOKUP(E152,제품마스터!$A:$B,2,0),0)</f>
        <v>0</v>
      </c>
      <c r="L152">
        <f>원본데이터_SK!Q152*원본데이터_SK!P152</f>
        <v>82110</v>
      </c>
    </row>
    <row r="153" spans="1:12" x14ac:dyDescent="0.3">
      <c r="A153" t="s">
        <v>11</v>
      </c>
      <c r="B153" t="str">
        <f>원본데이터_SK!D153</f>
        <v>20260205994275</v>
      </c>
      <c r="C153" t="str">
        <f>IF(원본데이터_SK!M153="","",TEXT(원본데이터_SK!M153,"YYYY-MM-DD"))</f>
        <v>2026-02-07</v>
      </c>
      <c r="D153" t="str">
        <f>원본데이터_SK!F153</f>
        <v>58481090</v>
      </c>
      <c r="E153" t="str">
        <f>IFERROR(VLOOKUP(원본데이터_SK!F153,채널매핑!$B:$D,3,0),"미매핑")</f>
        <v>미매핑</v>
      </c>
      <c r="F153">
        <f>IFERROR(VLOOKUP(원본데이터_SK!F153,채널매핑!$B:$E,4,0),1)</f>
        <v>1</v>
      </c>
      <c r="G153">
        <f>원본데이터_SK!Q153</f>
        <v>1</v>
      </c>
      <c r="H153">
        <f>원본데이터_SK!O153</f>
        <v>119000</v>
      </c>
      <c r="I153">
        <f>원본데이터_SK!AG153</f>
        <v>119000</v>
      </c>
      <c r="J153">
        <f>원본데이터_SK!AH153</f>
        <v>82110</v>
      </c>
      <c r="K153">
        <f>IFERROR(VLOOKUP(E153,제품마스터!$A:$B,2,0),0)</f>
        <v>0</v>
      </c>
      <c r="L153">
        <f>원본데이터_SK!Q153*원본데이터_SK!P153</f>
        <v>82110</v>
      </c>
    </row>
    <row r="154" spans="1:12" x14ac:dyDescent="0.3">
      <c r="A154" t="s">
        <v>11</v>
      </c>
      <c r="B154" t="str">
        <f>원본데이터_SK!D154</f>
        <v>20260205994238</v>
      </c>
      <c r="C154" t="str">
        <f>IF(원본데이터_SK!M154="","",TEXT(원본데이터_SK!M154,"YYYY-MM-DD"))</f>
        <v>2026-02-07</v>
      </c>
      <c r="D154" t="str">
        <f>원본데이터_SK!F154</f>
        <v>58481090</v>
      </c>
      <c r="E154" t="str">
        <f>IFERROR(VLOOKUP(원본데이터_SK!F154,채널매핑!$B:$D,3,0),"미매핑")</f>
        <v>미매핑</v>
      </c>
      <c r="F154">
        <f>IFERROR(VLOOKUP(원본데이터_SK!F154,채널매핑!$B:$E,4,0),1)</f>
        <v>1</v>
      </c>
      <c r="G154">
        <f>원본데이터_SK!Q154</f>
        <v>1</v>
      </c>
      <c r="H154">
        <f>원본데이터_SK!O154</f>
        <v>119000</v>
      </c>
      <c r="I154">
        <f>원본데이터_SK!AG154</f>
        <v>119000</v>
      </c>
      <c r="J154">
        <f>원본데이터_SK!AH154</f>
        <v>82110</v>
      </c>
      <c r="K154">
        <f>IFERROR(VLOOKUP(E154,제품마스터!$A:$B,2,0),0)</f>
        <v>0</v>
      </c>
      <c r="L154">
        <f>원본데이터_SK!Q154*원본데이터_SK!P154</f>
        <v>82110</v>
      </c>
    </row>
    <row r="155" spans="1:12" x14ac:dyDescent="0.3">
      <c r="A155" t="s">
        <v>11</v>
      </c>
      <c r="B155" t="str">
        <f>원본데이터_SK!D155</f>
        <v>20260206629059</v>
      </c>
      <c r="C155" t="str">
        <f>IF(원본데이터_SK!M155="","",TEXT(원본데이터_SK!M155,"YYYY-MM-DD"))</f>
        <v>2026-02-07</v>
      </c>
      <c r="D155" t="str">
        <f>원본데이터_SK!F155</f>
        <v>58481090</v>
      </c>
      <c r="E155" t="str">
        <f>IFERROR(VLOOKUP(원본데이터_SK!F155,채널매핑!$B:$D,3,0),"미매핑")</f>
        <v>미매핑</v>
      </c>
      <c r="F155">
        <f>IFERROR(VLOOKUP(원본데이터_SK!F155,채널매핑!$B:$E,4,0),1)</f>
        <v>1</v>
      </c>
      <c r="G155">
        <f>원본데이터_SK!Q155</f>
        <v>1</v>
      </c>
      <c r="H155">
        <f>원본데이터_SK!O155</f>
        <v>119000</v>
      </c>
      <c r="I155">
        <f>원본데이터_SK!AG155</f>
        <v>119000</v>
      </c>
      <c r="J155">
        <f>원본데이터_SK!AH155</f>
        <v>82110</v>
      </c>
      <c r="K155">
        <f>IFERROR(VLOOKUP(E155,제품마스터!$A:$B,2,0),0)</f>
        <v>0</v>
      </c>
      <c r="L155">
        <f>원본데이터_SK!Q155*원본데이터_SK!P155</f>
        <v>82110</v>
      </c>
    </row>
    <row r="156" spans="1:12" x14ac:dyDescent="0.3">
      <c r="A156" t="s">
        <v>11</v>
      </c>
      <c r="B156" t="str">
        <f>원본데이터_SK!D156</f>
        <v>20260205997716</v>
      </c>
      <c r="C156" t="str">
        <f>IF(원본데이터_SK!M156="","",TEXT(원본데이터_SK!M156,"YYYY-MM-DD"))</f>
        <v>2026-02-07</v>
      </c>
      <c r="D156" t="str">
        <f>원본데이터_SK!F156</f>
        <v>58481090</v>
      </c>
      <c r="E156" t="str">
        <f>IFERROR(VLOOKUP(원본데이터_SK!F156,채널매핑!$B:$D,3,0),"미매핑")</f>
        <v>미매핑</v>
      </c>
      <c r="F156">
        <f>IFERROR(VLOOKUP(원본데이터_SK!F156,채널매핑!$B:$E,4,0),1)</f>
        <v>1</v>
      </c>
      <c r="G156">
        <f>원본데이터_SK!Q156</f>
        <v>1</v>
      </c>
      <c r="H156">
        <f>원본데이터_SK!O156</f>
        <v>119000</v>
      </c>
      <c r="I156">
        <f>원본데이터_SK!AG156</f>
        <v>114000</v>
      </c>
      <c r="J156">
        <f>원본데이터_SK!AH156</f>
        <v>82110</v>
      </c>
      <c r="K156">
        <f>IFERROR(VLOOKUP(E156,제품마스터!$A:$B,2,0),0)</f>
        <v>0</v>
      </c>
      <c r="L156">
        <f>원본데이터_SK!Q156*원본데이터_SK!P156</f>
        <v>82110</v>
      </c>
    </row>
    <row r="157" spans="1:12" x14ac:dyDescent="0.3">
      <c r="A157" t="s">
        <v>11</v>
      </c>
      <c r="B157" t="str">
        <f>원본데이터_SK!D157</f>
        <v>20260205994854</v>
      </c>
      <c r="C157" t="str">
        <f>IF(원본데이터_SK!M157="","",TEXT(원본데이터_SK!M157,"YYYY-MM-DD"))</f>
        <v>2026-02-07</v>
      </c>
      <c r="D157" t="str">
        <f>원본데이터_SK!F157</f>
        <v>58481090</v>
      </c>
      <c r="E157" t="str">
        <f>IFERROR(VLOOKUP(원본데이터_SK!F157,채널매핑!$B:$D,3,0),"미매핑")</f>
        <v>미매핑</v>
      </c>
      <c r="F157">
        <f>IFERROR(VLOOKUP(원본데이터_SK!F157,채널매핑!$B:$E,4,0),1)</f>
        <v>1</v>
      </c>
      <c r="G157">
        <f>원본데이터_SK!Q157</f>
        <v>1</v>
      </c>
      <c r="H157">
        <f>원본데이터_SK!O157</f>
        <v>119000</v>
      </c>
      <c r="I157">
        <f>원본데이터_SK!AG157</f>
        <v>119000</v>
      </c>
      <c r="J157">
        <f>원본데이터_SK!AH157</f>
        <v>82110</v>
      </c>
      <c r="K157">
        <f>IFERROR(VLOOKUP(E157,제품마스터!$A:$B,2,0),0)</f>
        <v>0</v>
      </c>
      <c r="L157">
        <f>원본데이터_SK!Q157*원본데이터_SK!P157</f>
        <v>82110</v>
      </c>
    </row>
    <row r="158" spans="1:12" x14ac:dyDescent="0.3">
      <c r="A158" t="s">
        <v>11</v>
      </c>
      <c r="B158" t="str">
        <f>원본데이터_SK!D158</f>
        <v>20260205995046</v>
      </c>
      <c r="C158" t="str">
        <f>IF(원본데이터_SK!M158="","",TEXT(원본데이터_SK!M158,"YYYY-MM-DD"))</f>
        <v>2026-02-07</v>
      </c>
      <c r="D158" t="str">
        <f>원본데이터_SK!F158</f>
        <v>58481090</v>
      </c>
      <c r="E158" t="str">
        <f>IFERROR(VLOOKUP(원본데이터_SK!F158,채널매핑!$B:$D,3,0),"미매핑")</f>
        <v>미매핑</v>
      </c>
      <c r="F158">
        <f>IFERROR(VLOOKUP(원본데이터_SK!F158,채널매핑!$B:$E,4,0),1)</f>
        <v>1</v>
      </c>
      <c r="G158">
        <f>원본데이터_SK!Q158</f>
        <v>1</v>
      </c>
      <c r="H158">
        <f>원본데이터_SK!O158</f>
        <v>119000</v>
      </c>
      <c r="I158">
        <f>원본데이터_SK!AG158</f>
        <v>119000</v>
      </c>
      <c r="J158">
        <f>원본데이터_SK!AH158</f>
        <v>82110</v>
      </c>
      <c r="K158">
        <f>IFERROR(VLOOKUP(E158,제품마스터!$A:$B,2,0),0)</f>
        <v>0</v>
      </c>
      <c r="L158">
        <f>원본데이터_SK!Q158*원본데이터_SK!P158</f>
        <v>82110</v>
      </c>
    </row>
    <row r="159" spans="1:12" x14ac:dyDescent="0.3">
      <c r="A159" t="s">
        <v>11</v>
      </c>
      <c r="B159" t="str">
        <f>원본데이터_SK!D159</f>
        <v>20260205992812</v>
      </c>
      <c r="C159" t="str">
        <f>IF(원본데이터_SK!M159="","",TEXT(원본데이터_SK!M159,"YYYY-MM-DD"))</f>
        <v>2026-02-07</v>
      </c>
      <c r="D159" t="str">
        <f>원본데이터_SK!F159</f>
        <v>58481090</v>
      </c>
      <c r="E159" t="str">
        <f>IFERROR(VLOOKUP(원본데이터_SK!F159,채널매핑!$B:$D,3,0),"미매핑")</f>
        <v>미매핑</v>
      </c>
      <c r="F159">
        <f>IFERROR(VLOOKUP(원본데이터_SK!F159,채널매핑!$B:$E,4,0),1)</f>
        <v>1</v>
      </c>
      <c r="G159">
        <f>원본데이터_SK!Q159</f>
        <v>1</v>
      </c>
      <c r="H159">
        <f>원본데이터_SK!O159</f>
        <v>119000</v>
      </c>
      <c r="I159">
        <f>원본데이터_SK!AG159</f>
        <v>119000</v>
      </c>
      <c r="J159">
        <f>원본데이터_SK!AH159</f>
        <v>82110</v>
      </c>
      <c r="K159">
        <f>IFERROR(VLOOKUP(E159,제품마스터!$A:$B,2,0),0)</f>
        <v>0</v>
      </c>
      <c r="L159">
        <f>원본데이터_SK!Q159*원본데이터_SK!P159</f>
        <v>82110</v>
      </c>
    </row>
    <row r="160" spans="1:12" x14ac:dyDescent="0.3">
      <c r="A160" t="s">
        <v>11</v>
      </c>
      <c r="B160" t="str">
        <f>원본데이터_SK!D160</f>
        <v>20260205993048</v>
      </c>
      <c r="C160" t="str">
        <f>IF(원본데이터_SK!M160="","",TEXT(원본데이터_SK!M160,"YYYY-MM-DD"))</f>
        <v>2026-02-07</v>
      </c>
      <c r="D160" t="str">
        <f>원본데이터_SK!F160</f>
        <v>58481090</v>
      </c>
      <c r="E160" t="str">
        <f>IFERROR(VLOOKUP(원본데이터_SK!F160,채널매핑!$B:$D,3,0),"미매핑")</f>
        <v>미매핑</v>
      </c>
      <c r="F160">
        <f>IFERROR(VLOOKUP(원본데이터_SK!F160,채널매핑!$B:$E,4,0),1)</f>
        <v>1</v>
      </c>
      <c r="G160">
        <f>원본데이터_SK!Q160</f>
        <v>1</v>
      </c>
      <c r="H160">
        <f>원본데이터_SK!O160</f>
        <v>119000</v>
      </c>
      <c r="I160">
        <f>원본데이터_SK!AG160</f>
        <v>119000</v>
      </c>
      <c r="J160">
        <f>원본데이터_SK!AH160</f>
        <v>82110</v>
      </c>
      <c r="K160">
        <f>IFERROR(VLOOKUP(E160,제품마스터!$A:$B,2,0),0)</f>
        <v>0</v>
      </c>
      <c r="L160">
        <f>원본데이터_SK!Q160*원본데이터_SK!P160</f>
        <v>82110</v>
      </c>
    </row>
    <row r="161" spans="1:12" x14ac:dyDescent="0.3">
      <c r="A161" t="s">
        <v>11</v>
      </c>
      <c r="B161" t="str">
        <f>원본데이터_SK!D161</f>
        <v>20260205993092</v>
      </c>
      <c r="C161" t="str">
        <f>IF(원본데이터_SK!M161="","",TEXT(원본데이터_SK!M161,"YYYY-MM-DD"))</f>
        <v>2026-02-07</v>
      </c>
      <c r="D161" t="str">
        <f>원본데이터_SK!F161</f>
        <v>58481090</v>
      </c>
      <c r="E161" t="str">
        <f>IFERROR(VLOOKUP(원본데이터_SK!F161,채널매핑!$B:$D,3,0),"미매핑")</f>
        <v>미매핑</v>
      </c>
      <c r="F161">
        <f>IFERROR(VLOOKUP(원본데이터_SK!F161,채널매핑!$B:$E,4,0),1)</f>
        <v>1</v>
      </c>
      <c r="G161">
        <f>원본데이터_SK!Q161</f>
        <v>1</v>
      </c>
      <c r="H161">
        <f>원본데이터_SK!O161</f>
        <v>119000</v>
      </c>
      <c r="I161">
        <f>원본데이터_SK!AG161</f>
        <v>119000</v>
      </c>
      <c r="J161">
        <f>원본데이터_SK!AH161</f>
        <v>82110</v>
      </c>
      <c r="K161">
        <f>IFERROR(VLOOKUP(E161,제품마스터!$A:$B,2,0),0)</f>
        <v>0</v>
      </c>
      <c r="L161">
        <f>원본데이터_SK!Q161*원본데이터_SK!P161</f>
        <v>82110</v>
      </c>
    </row>
    <row r="162" spans="1:12" x14ac:dyDescent="0.3">
      <c r="A162" t="s">
        <v>11</v>
      </c>
      <c r="B162" t="str">
        <f>원본데이터_SK!D162</f>
        <v>20260205993598</v>
      </c>
      <c r="C162" t="str">
        <f>IF(원본데이터_SK!M162="","",TEXT(원본데이터_SK!M162,"YYYY-MM-DD"))</f>
        <v>2026-02-07</v>
      </c>
      <c r="D162" t="str">
        <f>원본데이터_SK!F162</f>
        <v>58481090</v>
      </c>
      <c r="E162" t="str">
        <f>IFERROR(VLOOKUP(원본데이터_SK!F162,채널매핑!$B:$D,3,0),"미매핑")</f>
        <v>미매핑</v>
      </c>
      <c r="F162">
        <f>IFERROR(VLOOKUP(원본데이터_SK!F162,채널매핑!$B:$E,4,0),1)</f>
        <v>1</v>
      </c>
      <c r="G162">
        <f>원본데이터_SK!Q162</f>
        <v>1</v>
      </c>
      <c r="H162">
        <f>원본데이터_SK!O162</f>
        <v>119000</v>
      </c>
      <c r="I162">
        <f>원본데이터_SK!AG162</f>
        <v>119000</v>
      </c>
      <c r="J162">
        <f>원본데이터_SK!AH162</f>
        <v>82110</v>
      </c>
      <c r="K162">
        <f>IFERROR(VLOOKUP(E162,제품마스터!$A:$B,2,0),0)</f>
        <v>0</v>
      </c>
      <c r="L162">
        <f>원본데이터_SK!Q162*원본데이터_SK!P162</f>
        <v>82110</v>
      </c>
    </row>
    <row r="163" spans="1:12" x14ac:dyDescent="0.3">
      <c r="A163" t="s">
        <v>11</v>
      </c>
      <c r="B163" t="str">
        <f>원본데이터_SK!D163</f>
        <v>20260205995045</v>
      </c>
      <c r="C163" t="str">
        <f>IF(원본데이터_SK!M163="","",TEXT(원본데이터_SK!M163,"YYYY-MM-DD"))</f>
        <v>2026-02-07</v>
      </c>
      <c r="D163" t="str">
        <f>원본데이터_SK!F163</f>
        <v>58481090</v>
      </c>
      <c r="E163" t="str">
        <f>IFERROR(VLOOKUP(원본데이터_SK!F163,채널매핑!$B:$D,3,0),"미매핑")</f>
        <v>미매핑</v>
      </c>
      <c r="F163">
        <f>IFERROR(VLOOKUP(원본데이터_SK!F163,채널매핑!$B:$E,4,0),1)</f>
        <v>1</v>
      </c>
      <c r="G163">
        <f>원본데이터_SK!Q163</f>
        <v>1</v>
      </c>
      <c r="H163">
        <f>원본데이터_SK!O163</f>
        <v>119000</v>
      </c>
      <c r="I163">
        <f>원본데이터_SK!AG163</f>
        <v>119000</v>
      </c>
      <c r="J163">
        <f>원본데이터_SK!AH163</f>
        <v>82110</v>
      </c>
      <c r="K163">
        <f>IFERROR(VLOOKUP(E163,제품마스터!$A:$B,2,0),0)</f>
        <v>0</v>
      </c>
      <c r="L163">
        <f>원본데이터_SK!Q163*원본데이터_SK!P163</f>
        <v>82110</v>
      </c>
    </row>
    <row r="164" spans="1:12" x14ac:dyDescent="0.3">
      <c r="A164" t="s">
        <v>11</v>
      </c>
      <c r="B164" t="str">
        <f>원본데이터_SK!D164</f>
        <v>20260205993918</v>
      </c>
      <c r="C164" t="str">
        <f>IF(원본데이터_SK!M164="","",TEXT(원본데이터_SK!M164,"YYYY-MM-DD"))</f>
        <v>2026-02-07</v>
      </c>
      <c r="D164" t="str">
        <f>원본데이터_SK!F164</f>
        <v>58481090</v>
      </c>
      <c r="E164" t="str">
        <f>IFERROR(VLOOKUP(원본데이터_SK!F164,채널매핑!$B:$D,3,0),"미매핑")</f>
        <v>미매핑</v>
      </c>
      <c r="F164">
        <f>IFERROR(VLOOKUP(원본데이터_SK!F164,채널매핑!$B:$E,4,0),1)</f>
        <v>1</v>
      </c>
      <c r="G164">
        <f>원본데이터_SK!Q164</f>
        <v>1</v>
      </c>
      <c r="H164">
        <f>원본데이터_SK!O164</f>
        <v>119000</v>
      </c>
      <c r="I164">
        <f>원본데이터_SK!AG164</f>
        <v>99960</v>
      </c>
      <c r="J164">
        <f>원본데이터_SK!AH164</f>
        <v>82110</v>
      </c>
      <c r="K164">
        <f>IFERROR(VLOOKUP(E164,제품마스터!$A:$B,2,0),0)</f>
        <v>0</v>
      </c>
      <c r="L164">
        <f>원본데이터_SK!Q164*원본데이터_SK!P164</f>
        <v>82110</v>
      </c>
    </row>
    <row r="165" spans="1:12" x14ac:dyDescent="0.3">
      <c r="A165" t="s">
        <v>11</v>
      </c>
      <c r="B165" t="str">
        <f>원본데이터_SK!D165</f>
        <v>20260205995159</v>
      </c>
      <c r="C165" t="str">
        <f>IF(원본데이터_SK!M165="","",TEXT(원본데이터_SK!M165,"YYYY-MM-DD"))</f>
        <v>2026-02-07</v>
      </c>
      <c r="D165" t="str">
        <f>원본데이터_SK!F165</f>
        <v>58481090</v>
      </c>
      <c r="E165" t="str">
        <f>IFERROR(VLOOKUP(원본데이터_SK!F165,채널매핑!$B:$D,3,0),"미매핑")</f>
        <v>미매핑</v>
      </c>
      <c r="F165">
        <f>IFERROR(VLOOKUP(원본데이터_SK!F165,채널매핑!$B:$E,4,0),1)</f>
        <v>1</v>
      </c>
      <c r="G165">
        <f>원본데이터_SK!Q165</f>
        <v>1</v>
      </c>
      <c r="H165">
        <f>원본데이터_SK!O165</f>
        <v>119000</v>
      </c>
      <c r="I165">
        <f>원본데이터_SK!AG165</f>
        <v>119000</v>
      </c>
      <c r="J165">
        <f>원본데이터_SK!AH165</f>
        <v>82110</v>
      </c>
      <c r="K165">
        <f>IFERROR(VLOOKUP(E165,제품마스터!$A:$B,2,0),0)</f>
        <v>0</v>
      </c>
      <c r="L165">
        <f>원본데이터_SK!Q165*원본데이터_SK!P165</f>
        <v>82110</v>
      </c>
    </row>
    <row r="166" spans="1:12" x14ac:dyDescent="0.3">
      <c r="A166" t="s">
        <v>11</v>
      </c>
      <c r="B166" t="str">
        <f>원본데이터_SK!D166</f>
        <v>20260205995312</v>
      </c>
      <c r="C166" t="str">
        <f>IF(원본데이터_SK!M166="","",TEXT(원본데이터_SK!M166,"YYYY-MM-DD"))</f>
        <v>2026-02-07</v>
      </c>
      <c r="D166" t="str">
        <f>원본데이터_SK!F166</f>
        <v>58481090</v>
      </c>
      <c r="E166" t="str">
        <f>IFERROR(VLOOKUP(원본데이터_SK!F166,채널매핑!$B:$D,3,0),"미매핑")</f>
        <v>미매핑</v>
      </c>
      <c r="F166">
        <f>IFERROR(VLOOKUP(원본데이터_SK!F166,채널매핑!$B:$E,4,0),1)</f>
        <v>1</v>
      </c>
      <c r="G166">
        <f>원본데이터_SK!Q166</f>
        <v>1</v>
      </c>
      <c r="H166">
        <f>원본데이터_SK!O166</f>
        <v>119000</v>
      </c>
      <c r="I166">
        <f>원본데이터_SK!AG166</f>
        <v>119000</v>
      </c>
      <c r="J166">
        <f>원본데이터_SK!AH166</f>
        <v>82110</v>
      </c>
      <c r="K166">
        <f>IFERROR(VLOOKUP(E166,제품마스터!$A:$B,2,0),0)</f>
        <v>0</v>
      </c>
      <c r="L166">
        <f>원본데이터_SK!Q166*원본데이터_SK!P166</f>
        <v>82110</v>
      </c>
    </row>
    <row r="167" spans="1:12" x14ac:dyDescent="0.3">
      <c r="A167" t="s">
        <v>11</v>
      </c>
      <c r="B167" t="str">
        <f>원본데이터_SK!D167</f>
        <v>20260205994825</v>
      </c>
      <c r="C167" t="str">
        <f>IF(원본데이터_SK!M167="","",TEXT(원본데이터_SK!M167,"YYYY-MM-DD"))</f>
        <v>2026-02-07</v>
      </c>
      <c r="D167" t="str">
        <f>원본데이터_SK!F167</f>
        <v>58481090</v>
      </c>
      <c r="E167" t="str">
        <f>IFERROR(VLOOKUP(원본데이터_SK!F167,채널매핑!$B:$D,3,0),"미매핑")</f>
        <v>미매핑</v>
      </c>
      <c r="F167">
        <f>IFERROR(VLOOKUP(원본데이터_SK!F167,채널매핑!$B:$E,4,0),1)</f>
        <v>1</v>
      </c>
      <c r="G167">
        <f>원본데이터_SK!Q167</f>
        <v>1</v>
      </c>
      <c r="H167">
        <f>원본데이터_SK!O167</f>
        <v>119000</v>
      </c>
      <c r="I167">
        <f>원본데이터_SK!AG167</f>
        <v>119000</v>
      </c>
      <c r="J167">
        <f>원본데이터_SK!AH167</f>
        <v>82110</v>
      </c>
      <c r="K167">
        <f>IFERROR(VLOOKUP(E167,제품마스터!$A:$B,2,0),0)</f>
        <v>0</v>
      </c>
      <c r="L167">
        <f>원본데이터_SK!Q167*원본데이터_SK!P167</f>
        <v>82110</v>
      </c>
    </row>
    <row r="168" spans="1:12" x14ac:dyDescent="0.3">
      <c r="A168" t="s">
        <v>11</v>
      </c>
      <c r="B168" t="str">
        <f>원본데이터_SK!D168</f>
        <v>20260205994949</v>
      </c>
      <c r="C168" t="str">
        <f>IF(원본데이터_SK!M168="","",TEXT(원본데이터_SK!M168,"YYYY-MM-DD"))</f>
        <v>2026-02-07</v>
      </c>
      <c r="D168" t="str">
        <f>원본데이터_SK!F168</f>
        <v>58481090</v>
      </c>
      <c r="E168" t="str">
        <f>IFERROR(VLOOKUP(원본데이터_SK!F168,채널매핑!$B:$D,3,0),"미매핑")</f>
        <v>미매핑</v>
      </c>
      <c r="F168">
        <f>IFERROR(VLOOKUP(원본데이터_SK!F168,채널매핑!$B:$E,4,0),1)</f>
        <v>1</v>
      </c>
      <c r="G168">
        <f>원본데이터_SK!Q168</f>
        <v>1</v>
      </c>
      <c r="H168">
        <f>원본데이터_SK!O168</f>
        <v>119000</v>
      </c>
      <c r="I168">
        <f>원본데이터_SK!AG168</f>
        <v>103550</v>
      </c>
      <c r="J168">
        <f>원본데이터_SK!AH168</f>
        <v>82110</v>
      </c>
      <c r="K168">
        <f>IFERROR(VLOOKUP(E168,제품마스터!$A:$B,2,0),0)</f>
        <v>0</v>
      </c>
      <c r="L168">
        <f>원본데이터_SK!Q168*원본데이터_SK!P168</f>
        <v>82110</v>
      </c>
    </row>
    <row r="169" spans="1:12" x14ac:dyDescent="0.3">
      <c r="A169" t="s">
        <v>11</v>
      </c>
      <c r="B169" t="str">
        <f>원본데이터_SK!D169</f>
        <v>20260205994979</v>
      </c>
      <c r="C169" t="str">
        <f>IF(원본데이터_SK!M169="","",TEXT(원본데이터_SK!M169,"YYYY-MM-DD"))</f>
        <v>2026-02-07</v>
      </c>
      <c r="D169" t="str">
        <f>원본데이터_SK!F169</f>
        <v>58481090</v>
      </c>
      <c r="E169" t="str">
        <f>IFERROR(VLOOKUP(원본데이터_SK!F169,채널매핑!$B:$D,3,0),"미매핑")</f>
        <v>미매핑</v>
      </c>
      <c r="F169">
        <f>IFERROR(VLOOKUP(원본데이터_SK!F169,채널매핑!$B:$E,4,0),1)</f>
        <v>1</v>
      </c>
      <c r="G169">
        <f>원본데이터_SK!Q169</f>
        <v>1</v>
      </c>
      <c r="H169">
        <f>원본데이터_SK!O169</f>
        <v>119000</v>
      </c>
      <c r="I169">
        <f>원본데이터_SK!AG169</f>
        <v>119000</v>
      </c>
      <c r="J169">
        <f>원본데이터_SK!AH169</f>
        <v>82110</v>
      </c>
      <c r="K169">
        <f>IFERROR(VLOOKUP(E169,제품마스터!$A:$B,2,0),0)</f>
        <v>0</v>
      </c>
      <c r="L169">
        <f>원본데이터_SK!Q169*원본데이터_SK!P169</f>
        <v>82110</v>
      </c>
    </row>
    <row r="170" spans="1:12" x14ac:dyDescent="0.3">
      <c r="A170" t="s">
        <v>11</v>
      </c>
      <c r="B170" t="str">
        <f>원본데이터_SK!D170</f>
        <v>20260205993513</v>
      </c>
      <c r="C170" t="str">
        <f>IF(원본데이터_SK!M170="","",TEXT(원본데이터_SK!M170,"YYYY-MM-DD"))</f>
        <v>2026-02-07</v>
      </c>
      <c r="D170" t="str">
        <f>원본데이터_SK!F170</f>
        <v>58481090</v>
      </c>
      <c r="E170" t="str">
        <f>IFERROR(VLOOKUP(원본데이터_SK!F170,채널매핑!$B:$D,3,0),"미매핑")</f>
        <v>미매핑</v>
      </c>
      <c r="F170">
        <f>IFERROR(VLOOKUP(원본데이터_SK!F170,채널매핑!$B:$E,4,0),1)</f>
        <v>1</v>
      </c>
      <c r="G170">
        <f>원본데이터_SK!Q170</f>
        <v>1</v>
      </c>
      <c r="H170">
        <f>원본데이터_SK!O170</f>
        <v>119000</v>
      </c>
      <c r="I170">
        <f>원본데이터_SK!AG170</f>
        <v>96390</v>
      </c>
      <c r="J170">
        <f>원본데이터_SK!AH170</f>
        <v>82110</v>
      </c>
      <c r="K170">
        <f>IFERROR(VLOOKUP(E170,제품마스터!$A:$B,2,0),0)</f>
        <v>0</v>
      </c>
      <c r="L170">
        <f>원본데이터_SK!Q170*원본데이터_SK!P170</f>
        <v>82110</v>
      </c>
    </row>
    <row r="171" spans="1:12" x14ac:dyDescent="0.3">
      <c r="A171" t="s">
        <v>11</v>
      </c>
      <c r="B171" t="str">
        <f>원본데이터_SK!D171</f>
        <v>20260205995604</v>
      </c>
      <c r="C171" t="str">
        <f>IF(원본데이터_SK!M171="","",TEXT(원본데이터_SK!M171,"YYYY-MM-DD"))</f>
        <v>2026-02-07</v>
      </c>
      <c r="D171" t="str">
        <f>원본데이터_SK!F171</f>
        <v>58481090</v>
      </c>
      <c r="E171" t="str">
        <f>IFERROR(VLOOKUP(원본데이터_SK!F171,채널매핑!$B:$D,3,0),"미매핑")</f>
        <v>미매핑</v>
      </c>
      <c r="F171">
        <f>IFERROR(VLOOKUP(원본데이터_SK!F171,채널매핑!$B:$E,4,0),1)</f>
        <v>1</v>
      </c>
      <c r="G171">
        <f>원본데이터_SK!Q171</f>
        <v>1</v>
      </c>
      <c r="H171">
        <f>원본데이터_SK!O171</f>
        <v>119000</v>
      </c>
      <c r="I171">
        <f>원본데이터_SK!AG171</f>
        <v>119000</v>
      </c>
      <c r="J171">
        <f>원본데이터_SK!AH171</f>
        <v>82110</v>
      </c>
      <c r="K171">
        <f>IFERROR(VLOOKUP(E171,제품마스터!$A:$B,2,0),0)</f>
        <v>0</v>
      </c>
      <c r="L171">
        <f>원본데이터_SK!Q171*원본데이터_SK!P171</f>
        <v>82110</v>
      </c>
    </row>
    <row r="172" spans="1:12" x14ac:dyDescent="0.3">
      <c r="A172" t="s">
        <v>11</v>
      </c>
      <c r="B172" t="str">
        <f>원본데이터_SK!D172</f>
        <v>20260205995517</v>
      </c>
      <c r="C172" t="str">
        <f>IF(원본데이터_SK!M172="","",TEXT(원본데이터_SK!M172,"YYYY-MM-DD"))</f>
        <v>2026-02-07</v>
      </c>
      <c r="D172" t="str">
        <f>원본데이터_SK!F172</f>
        <v>58481090</v>
      </c>
      <c r="E172" t="str">
        <f>IFERROR(VLOOKUP(원본데이터_SK!F172,채널매핑!$B:$D,3,0),"미매핑")</f>
        <v>미매핑</v>
      </c>
      <c r="F172">
        <f>IFERROR(VLOOKUP(원본데이터_SK!F172,채널매핑!$B:$E,4,0),1)</f>
        <v>1</v>
      </c>
      <c r="G172">
        <f>원본데이터_SK!Q172</f>
        <v>1</v>
      </c>
      <c r="H172">
        <f>원본데이터_SK!O172</f>
        <v>119000</v>
      </c>
      <c r="I172">
        <f>원본데이터_SK!AG172</f>
        <v>105910</v>
      </c>
      <c r="J172">
        <f>원본데이터_SK!AH172</f>
        <v>82110</v>
      </c>
      <c r="K172">
        <f>IFERROR(VLOOKUP(E172,제품마스터!$A:$B,2,0),0)</f>
        <v>0</v>
      </c>
      <c r="L172">
        <f>원본데이터_SK!Q172*원본데이터_SK!P172</f>
        <v>82110</v>
      </c>
    </row>
    <row r="173" spans="1:12" x14ac:dyDescent="0.3">
      <c r="A173" t="s">
        <v>11</v>
      </c>
      <c r="B173" t="str">
        <f>원본데이터_SK!D173</f>
        <v>20260205995098</v>
      </c>
      <c r="C173" t="str">
        <f>IF(원본데이터_SK!M173="","",TEXT(원본데이터_SK!M173,"YYYY-MM-DD"))</f>
        <v>2026-02-07</v>
      </c>
      <c r="D173" t="str">
        <f>원본데이터_SK!F173</f>
        <v>58481090</v>
      </c>
      <c r="E173" t="str">
        <f>IFERROR(VLOOKUP(원본데이터_SK!F173,채널매핑!$B:$D,3,0),"미매핑")</f>
        <v>미매핑</v>
      </c>
      <c r="F173">
        <f>IFERROR(VLOOKUP(원본데이터_SK!F173,채널매핑!$B:$E,4,0),1)</f>
        <v>1</v>
      </c>
      <c r="G173">
        <f>원본데이터_SK!Q173</f>
        <v>1</v>
      </c>
      <c r="H173">
        <f>원본데이터_SK!O173</f>
        <v>119000</v>
      </c>
      <c r="I173">
        <f>원본데이터_SK!AG173</f>
        <v>119000</v>
      </c>
      <c r="J173">
        <f>원본데이터_SK!AH173</f>
        <v>82110</v>
      </c>
      <c r="K173">
        <f>IFERROR(VLOOKUP(E173,제품마스터!$A:$B,2,0),0)</f>
        <v>0</v>
      </c>
      <c r="L173">
        <f>원본데이터_SK!Q173*원본데이터_SK!P173</f>
        <v>82110</v>
      </c>
    </row>
    <row r="174" spans="1:12" x14ac:dyDescent="0.3">
      <c r="A174" t="s">
        <v>11</v>
      </c>
      <c r="B174" t="str">
        <f>원본데이터_SK!D174</f>
        <v>20260205994449</v>
      </c>
      <c r="C174" t="str">
        <f>IF(원본데이터_SK!M174="","",TEXT(원본데이터_SK!M174,"YYYY-MM-DD"))</f>
        <v>2026-02-07</v>
      </c>
      <c r="D174" t="str">
        <f>원본데이터_SK!F174</f>
        <v>58481090</v>
      </c>
      <c r="E174" t="str">
        <f>IFERROR(VLOOKUP(원본데이터_SK!F174,채널매핑!$B:$D,3,0),"미매핑")</f>
        <v>미매핑</v>
      </c>
      <c r="F174">
        <f>IFERROR(VLOOKUP(원본데이터_SK!F174,채널매핑!$B:$E,4,0),1)</f>
        <v>1</v>
      </c>
      <c r="G174">
        <f>원본데이터_SK!Q174</f>
        <v>1</v>
      </c>
      <c r="H174">
        <f>원본데이터_SK!O174</f>
        <v>119000</v>
      </c>
      <c r="I174">
        <f>원본데이터_SK!AG174</f>
        <v>119000</v>
      </c>
      <c r="J174">
        <f>원본데이터_SK!AH174</f>
        <v>82110</v>
      </c>
      <c r="K174">
        <f>IFERROR(VLOOKUP(E174,제품마스터!$A:$B,2,0),0)</f>
        <v>0</v>
      </c>
      <c r="L174">
        <f>원본데이터_SK!Q174*원본데이터_SK!P174</f>
        <v>82110</v>
      </c>
    </row>
    <row r="175" spans="1:12" x14ac:dyDescent="0.3">
      <c r="A175" t="s">
        <v>11</v>
      </c>
      <c r="B175" t="str">
        <f>원본데이터_SK!D175</f>
        <v>20260205993692</v>
      </c>
      <c r="C175" t="str">
        <f>IF(원본데이터_SK!M175="","",TEXT(원본데이터_SK!M175,"YYYY-MM-DD"))</f>
        <v>2026-02-07</v>
      </c>
      <c r="D175" t="str">
        <f>원본데이터_SK!F175</f>
        <v>58481090</v>
      </c>
      <c r="E175" t="str">
        <f>IFERROR(VLOOKUP(원본데이터_SK!F175,채널매핑!$B:$D,3,0),"미매핑")</f>
        <v>미매핑</v>
      </c>
      <c r="F175">
        <f>IFERROR(VLOOKUP(원본데이터_SK!F175,채널매핑!$B:$E,4,0),1)</f>
        <v>1</v>
      </c>
      <c r="G175">
        <f>원본데이터_SK!Q175</f>
        <v>1</v>
      </c>
      <c r="H175">
        <f>원본데이터_SK!O175</f>
        <v>119000</v>
      </c>
      <c r="I175">
        <f>원본데이터_SK!AG175</f>
        <v>119000</v>
      </c>
      <c r="J175">
        <f>원본데이터_SK!AH175</f>
        <v>82110</v>
      </c>
      <c r="K175">
        <f>IFERROR(VLOOKUP(E175,제품마스터!$A:$B,2,0),0)</f>
        <v>0</v>
      </c>
      <c r="L175">
        <f>원본데이터_SK!Q175*원본데이터_SK!P175</f>
        <v>82110</v>
      </c>
    </row>
    <row r="176" spans="1:12" x14ac:dyDescent="0.3">
      <c r="A176" t="s">
        <v>11</v>
      </c>
      <c r="B176" t="str">
        <f>원본데이터_SK!D176</f>
        <v>20260205994013</v>
      </c>
      <c r="C176" t="str">
        <f>IF(원본데이터_SK!M176="","",TEXT(원본데이터_SK!M176,"YYYY-MM-DD"))</f>
        <v>2026-02-07</v>
      </c>
      <c r="D176" t="str">
        <f>원본데이터_SK!F176</f>
        <v>58481090</v>
      </c>
      <c r="E176" t="str">
        <f>IFERROR(VLOOKUP(원본데이터_SK!F176,채널매핑!$B:$D,3,0),"미매핑")</f>
        <v>미매핑</v>
      </c>
      <c r="F176">
        <f>IFERROR(VLOOKUP(원본데이터_SK!F176,채널매핑!$B:$E,4,0),1)</f>
        <v>1</v>
      </c>
      <c r="G176">
        <f>원본데이터_SK!Q176</f>
        <v>1</v>
      </c>
      <c r="H176">
        <f>원본데이터_SK!O176</f>
        <v>119000</v>
      </c>
      <c r="I176">
        <f>원본데이터_SK!AG176</f>
        <v>113050</v>
      </c>
      <c r="J176">
        <f>원본데이터_SK!AH176</f>
        <v>82110</v>
      </c>
      <c r="K176">
        <f>IFERROR(VLOOKUP(E176,제품마스터!$A:$B,2,0),0)</f>
        <v>0</v>
      </c>
      <c r="L176">
        <f>원본데이터_SK!Q176*원본데이터_SK!P176</f>
        <v>82110</v>
      </c>
    </row>
    <row r="177" spans="1:12" x14ac:dyDescent="0.3">
      <c r="A177" t="s">
        <v>11</v>
      </c>
      <c r="B177" t="str">
        <f>원본데이터_SK!D177</f>
        <v>20260205993305</v>
      </c>
      <c r="C177" t="str">
        <f>IF(원본데이터_SK!M177="","",TEXT(원본데이터_SK!M177,"YYYY-MM-DD"))</f>
        <v>2026-02-07</v>
      </c>
      <c r="D177" t="str">
        <f>원본데이터_SK!F177</f>
        <v>58481090</v>
      </c>
      <c r="E177" t="str">
        <f>IFERROR(VLOOKUP(원본데이터_SK!F177,채널매핑!$B:$D,3,0),"미매핑")</f>
        <v>미매핑</v>
      </c>
      <c r="F177">
        <f>IFERROR(VLOOKUP(원본데이터_SK!F177,채널매핑!$B:$E,4,0),1)</f>
        <v>1</v>
      </c>
      <c r="G177">
        <f>원본데이터_SK!Q177</f>
        <v>1</v>
      </c>
      <c r="H177">
        <f>원본데이터_SK!O177</f>
        <v>119000</v>
      </c>
      <c r="I177">
        <f>원본데이터_SK!AG177</f>
        <v>113050</v>
      </c>
      <c r="J177">
        <f>원본데이터_SK!AH177</f>
        <v>82110</v>
      </c>
      <c r="K177">
        <f>IFERROR(VLOOKUP(E177,제품마스터!$A:$B,2,0),0)</f>
        <v>0</v>
      </c>
      <c r="L177">
        <f>원본데이터_SK!Q177*원본데이터_SK!P177</f>
        <v>82110</v>
      </c>
    </row>
    <row r="178" spans="1:12" x14ac:dyDescent="0.3">
      <c r="A178" t="s">
        <v>11</v>
      </c>
      <c r="B178" t="str">
        <f>원본데이터_SK!D178</f>
        <v>20260205992338</v>
      </c>
      <c r="C178" t="str">
        <f>IF(원본데이터_SK!M178="","",TEXT(원본데이터_SK!M178,"YYYY-MM-DD"))</f>
        <v>2026-02-07</v>
      </c>
      <c r="D178" t="str">
        <f>원본데이터_SK!F178</f>
        <v>58481090</v>
      </c>
      <c r="E178" t="str">
        <f>IFERROR(VLOOKUP(원본데이터_SK!F178,채널매핑!$B:$D,3,0),"미매핑")</f>
        <v>미매핑</v>
      </c>
      <c r="F178">
        <f>IFERROR(VLOOKUP(원본데이터_SK!F178,채널매핑!$B:$E,4,0),1)</f>
        <v>1</v>
      </c>
      <c r="G178">
        <f>원본데이터_SK!Q178</f>
        <v>1</v>
      </c>
      <c r="H178">
        <f>원본데이터_SK!O178</f>
        <v>119000</v>
      </c>
      <c r="I178">
        <f>원본데이터_SK!AG178</f>
        <v>119000</v>
      </c>
      <c r="J178">
        <f>원본데이터_SK!AH178</f>
        <v>82110</v>
      </c>
      <c r="K178">
        <f>IFERROR(VLOOKUP(E178,제품마스터!$A:$B,2,0),0)</f>
        <v>0</v>
      </c>
      <c r="L178">
        <f>원본데이터_SK!Q178*원본데이터_SK!P178</f>
        <v>82110</v>
      </c>
    </row>
    <row r="179" spans="1:12" x14ac:dyDescent="0.3">
      <c r="A179" t="s">
        <v>11</v>
      </c>
      <c r="B179" t="str">
        <f>원본데이터_SK!D179</f>
        <v>20260205992763</v>
      </c>
      <c r="C179" t="str">
        <f>IF(원본데이터_SK!M179="","",TEXT(원본데이터_SK!M179,"YYYY-MM-DD"))</f>
        <v>2026-02-07</v>
      </c>
      <c r="D179" t="str">
        <f>원본데이터_SK!F179</f>
        <v>58481090</v>
      </c>
      <c r="E179" t="str">
        <f>IFERROR(VLOOKUP(원본데이터_SK!F179,채널매핑!$B:$D,3,0),"미매핑")</f>
        <v>미매핑</v>
      </c>
      <c r="F179">
        <f>IFERROR(VLOOKUP(원본데이터_SK!F179,채널매핑!$B:$E,4,0),1)</f>
        <v>1</v>
      </c>
      <c r="G179">
        <f>원본데이터_SK!Q179</f>
        <v>1</v>
      </c>
      <c r="H179">
        <f>원본데이터_SK!O179</f>
        <v>119000</v>
      </c>
      <c r="I179">
        <f>원본데이터_SK!AG179</f>
        <v>119000</v>
      </c>
      <c r="J179">
        <f>원본데이터_SK!AH179</f>
        <v>82110</v>
      </c>
      <c r="K179">
        <f>IFERROR(VLOOKUP(E179,제품마스터!$A:$B,2,0),0)</f>
        <v>0</v>
      </c>
      <c r="L179">
        <f>원본데이터_SK!Q179*원본데이터_SK!P179</f>
        <v>82110</v>
      </c>
    </row>
    <row r="180" spans="1:12" x14ac:dyDescent="0.3">
      <c r="A180" t="s">
        <v>11</v>
      </c>
      <c r="B180" t="str">
        <f>원본데이터_SK!D180</f>
        <v>20260205992914</v>
      </c>
      <c r="C180" t="str">
        <f>IF(원본데이터_SK!M180="","",TEXT(원본데이터_SK!M180,"YYYY-MM-DD"))</f>
        <v>2026-02-07</v>
      </c>
      <c r="D180" t="str">
        <f>원본데이터_SK!F180</f>
        <v>58481090</v>
      </c>
      <c r="E180" t="str">
        <f>IFERROR(VLOOKUP(원본데이터_SK!F180,채널매핑!$B:$D,3,0),"미매핑")</f>
        <v>미매핑</v>
      </c>
      <c r="F180">
        <f>IFERROR(VLOOKUP(원본데이터_SK!F180,채널매핑!$B:$E,4,0),1)</f>
        <v>1</v>
      </c>
      <c r="G180">
        <f>원본데이터_SK!Q180</f>
        <v>1</v>
      </c>
      <c r="H180">
        <f>원본데이터_SK!O180</f>
        <v>119000</v>
      </c>
      <c r="I180">
        <f>원본데이터_SK!AG180</f>
        <v>119000</v>
      </c>
      <c r="J180">
        <f>원본데이터_SK!AH180</f>
        <v>82110</v>
      </c>
      <c r="K180">
        <f>IFERROR(VLOOKUP(E180,제품마스터!$A:$B,2,0),0)</f>
        <v>0</v>
      </c>
      <c r="L180">
        <f>원본데이터_SK!Q180*원본데이터_SK!P180</f>
        <v>82110</v>
      </c>
    </row>
    <row r="181" spans="1:12" x14ac:dyDescent="0.3">
      <c r="A181" t="s">
        <v>11</v>
      </c>
      <c r="B181" t="str">
        <f>원본데이터_SK!D181</f>
        <v>20260205992756</v>
      </c>
      <c r="C181" t="str">
        <f>IF(원본데이터_SK!M181="","",TEXT(원본데이터_SK!M181,"YYYY-MM-DD"))</f>
        <v>2026-02-07</v>
      </c>
      <c r="D181" t="str">
        <f>원본데이터_SK!F181</f>
        <v>58481090</v>
      </c>
      <c r="E181" t="str">
        <f>IFERROR(VLOOKUP(원본데이터_SK!F181,채널매핑!$B:$D,3,0),"미매핑")</f>
        <v>미매핑</v>
      </c>
      <c r="F181">
        <f>IFERROR(VLOOKUP(원본데이터_SK!F181,채널매핑!$B:$E,4,0),1)</f>
        <v>1</v>
      </c>
      <c r="G181">
        <f>원본데이터_SK!Q181</f>
        <v>2</v>
      </c>
      <c r="H181">
        <f>원본데이터_SK!O181</f>
        <v>119000</v>
      </c>
      <c r="I181">
        <f>원본데이터_SK!AG181</f>
        <v>192780</v>
      </c>
      <c r="J181">
        <f>원본데이터_SK!AH181</f>
        <v>164220</v>
      </c>
      <c r="K181">
        <f>IFERROR(VLOOKUP(E181,제품마스터!$A:$B,2,0),0)</f>
        <v>0</v>
      </c>
      <c r="L181">
        <f>원본데이터_SK!Q181*원본데이터_SK!P181</f>
        <v>164220</v>
      </c>
    </row>
    <row r="182" spans="1:12" x14ac:dyDescent="0.3">
      <c r="A182" t="s">
        <v>11</v>
      </c>
      <c r="B182" t="str">
        <f>원본데이터_SK!D182</f>
        <v>20260205993968</v>
      </c>
      <c r="C182" t="str">
        <f>IF(원본데이터_SK!M182="","",TEXT(원본데이터_SK!M182,"YYYY-MM-DD"))</f>
        <v>2026-02-07</v>
      </c>
      <c r="D182" t="str">
        <f>원본데이터_SK!F182</f>
        <v>58481090</v>
      </c>
      <c r="E182" t="str">
        <f>IFERROR(VLOOKUP(원본데이터_SK!F182,채널매핑!$B:$D,3,0),"미매핑")</f>
        <v>미매핑</v>
      </c>
      <c r="F182">
        <f>IFERROR(VLOOKUP(원본데이터_SK!F182,채널매핑!$B:$E,4,0),1)</f>
        <v>1</v>
      </c>
      <c r="G182">
        <f>원본데이터_SK!Q182</f>
        <v>1</v>
      </c>
      <c r="H182">
        <f>원본데이터_SK!O182</f>
        <v>119000</v>
      </c>
      <c r="I182">
        <f>원본데이터_SK!AG182</f>
        <v>119000</v>
      </c>
      <c r="J182">
        <f>원본데이터_SK!AH182</f>
        <v>82110</v>
      </c>
      <c r="K182">
        <f>IFERROR(VLOOKUP(E182,제품마스터!$A:$B,2,0),0)</f>
        <v>0</v>
      </c>
      <c r="L182">
        <f>원본데이터_SK!Q182*원본데이터_SK!P182</f>
        <v>82110</v>
      </c>
    </row>
    <row r="183" spans="1:12" x14ac:dyDescent="0.3">
      <c r="A183" t="s">
        <v>11</v>
      </c>
      <c r="B183" t="str">
        <f>원본데이터_SK!D183</f>
        <v>20260205994732</v>
      </c>
      <c r="C183" t="str">
        <f>IF(원본데이터_SK!M183="","",TEXT(원본데이터_SK!M183,"YYYY-MM-DD"))</f>
        <v>2026-02-07</v>
      </c>
      <c r="D183" t="str">
        <f>원본데이터_SK!F183</f>
        <v>58481090</v>
      </c>
      <c r="E183" t="str">
        <f>IFERROR(VLOOKUP(원본데이터_SK!F183,채널매핑!$B:$D,3,0),"미매핑")</f>
        <v>미매핑</v>
      </c>
      <c r="F183">
        <f>IFERROR(VLOOKUP(원본데이터_SK!F183,채널매핑!$B:$E,4,0),1)</f>
        <v>1</v>
      </c>
      <c r="G183">
        <f>원본데이터_SK!Q183</f>
        <v>1</v>
      </c>
      <c r="H183">
        <f>원본데이터_SK!O183</f>
        <v>119000</v>
      </c>
      <c r="I183">
        <f>원본데이터_SK!AG183</f>
        <v>119000</v>
      </c>
      <c r="J183">
        <f>원본데이터_SK!AH183</f>
        <v>82110</v>
      </c>
      <c r="K183">
        <f>IFERROR(VLOOKUP(E183,제품마스터!$A:$B,2,0),0)</f>
        <v>0</v>
      </c>
      <c r="L183">
        <f>원본데이터_SK!Q183*원본데이터_SK!P183</f>
        <v>82110</v>
      </c>
    </row>
    <row r="184" spans="1:12" x14ac:dyDescent="0.3">
      <c r="A184" t="s">
        <v>11</v>
      </c>
      <c r="B184" t="str">
        <f>원본데이터_SK!D184</f>
        <v>20260205994658</v>
      </c>
      <c r="C184" t="str">
        <f>IF(원본데이터_SK!M184="","",TEXT(원본데이터_SK!M184,"YYYY-MM-DD"))</f>
        <v>2026-02-07</v>
      </c>
      <c r="D184" t="str">
        <f>원본데이터_SK!F184</f>
        <v>58481090</v>
      </c>
      <c r="E184" t="str">
        <f>IFERROR(VLOOKUP(원본데이터_SK!F184,채널매핑!$B:$D,3,0),"미매핑")</f>
        <v>미매핑</v>
      </c>
      <c r="F184">
        <f>IFERROR(VLOOKUP(원본데이터_SK!F184,채널매핑!$B:$E,4,0),1)</f>
        <v>1</v>
      </c>
      <c r="G184">
        <f>원본데이터_SK!Q184</f>
        <v>1</v>
      </c>
      <c r="H184">
        <f>원본데이터_SK!O184</f>
        <v>119000</v>
      </c>
      <c r="I184">
        <f>원본데이터_SK!AG184</f>
        <v>119000</v>
      </c>
      <c r="J184">
        <f>원본데이터_SK!AH184</f>
        <v>82110</v>
      </c>
      <c r="K184">
        <f>IFERROR(VLOOKUP(E184,제품마스터!$A:$B,2,0),0)</f>
        <v>0</v>
      </c>
      <c r="L184">
        <f>원본데이터_SK!Q184*원본데이터_SK!P184</f>
        <v>82110</v>
      </c>
    </row>
    <row r="185" spans="1:12" x14ac:dyDescent="0.3">
      <c r="A185" t="s">
        <v>11</v>
      </c>
      <c r="B185" t="str">
        <f>원본데이터_SK!D185</f>
        <v>20260205994878</v>
      </c>
      <c r="C185" t="str">
        <f>IF(원본데이터_SK!M185="","",TEXT(원본데이터_SK!M185,"YYYY-MM-DD"))</f>
        <v>2026-02-07</v>
      </c>
      <c r="D185" t="str">
        <f>원본데이터_SK!F185</f>
        <v>58481090</v>
      </c>
      <c r="E185" t="str">
        <f>IFERROR(VLOOKUP(원본데이터_SK!F185,채널매핑!$B:$D,3,0),"미매핑")</f>
        <v>미매핑</v>
      </c>
      <c r="F185">
        <f>IFERROR(VLOOKUP(원본데이터_SK!F185,채널매핑!$B:$E,4,0),1)</f>
        <v>1</v>
      </c>
      <c r="G185">
        <f>원본데이터_SK!Q185</f>
        <v>1</v>
      </c>
      <c r="H185">
        <f>원본데이터_SK!O185</f>
        <v>119000</v>
      </c>
      <c r="I185">
        <f>원본데이터_SK!AG185</f>
        <v>113050</v>
      </c>
      <c r="J185">
        <f>원본데이터_SK!AH185</f>
        <v>82110</v>
      </c>
      <c r="K185">
        <f>IFERROR(VLOOKUP(E185,제품마스터!$A:$B,2,0),0)</f>
        <v>0</v>
      </c>
      <c r="L185">
        <f>원본데이터_SK!Q185*원본데이터_SK!P185</f>
        <v>82110</v>
      </c>
    </row>
    <row r="186" spans="1:12" x14ac:dyDescent="0.3">
      <c r="A186" t="s">
        <v>11</v>
      </c>
      <c r="B186" t="str">
        <f>원본데이터_SK!D186</f>
        <v>20260205996662</v>
      </c>
      <c r="C186" t="str">
        <f>IF(원본데이터_SK!M186="","",TEXT(원본데이터_SK!M186,"YYYY-MM-DD"))</f>
        <v>2026-02-07</v>
      </c>
      <c r="D186" t="str">
        <f>원본데이터_SK!F186</f>
        <v>58481090</v>
      </c>
      <c r="E186" t="str">
        <f>IFERROR(VLOOKUP(원본데이터_SK!F186,채널매핑!$B:$D,3,0),"미매핑")</f>
        <v>미매핑</v>
      </c>
      <c r="F186">
        <f>IFERROR(VLOOKUP(원본데이터_SK!F186,채널매핑!$B:$E,4,0),1)</f>
        <v>1</v>
      </c>
      <c r="G186">
        <f>원본데이터_SK!Q186</f>
        <v>1</v>
      </c>
      <c r="H186">
        <f>원본데이터_SK!O186</f>
        <v>119000</v>
      </c>
      <c r="I186">
        <f>원본데이터_SK!AG186</f>
        <v>109000</v>
      </c>
      <c r="J186">
        <f>원본데이터_SK!AH186</f>
        <v>82110</v>
      </c>
      <c r="K186">
        <f>IFERROR(VLOOKUP(E186,제품마스터!$A:$B,2,0),0)</f>
        <v>0</v>
      </c>
      <c r="L186">
        <f>원본데이터_SK!Q186*원본데이터_SK!P186</f>
        <v>82110</v>
      </c>
    </row>
    <row r="187" spans="1:12" x14ac:dyDescent="0.3">
      <c r="A187" t="s">
        <v>11</v>
      </c>
      <c r="B187" t="str">
        <f>원본데이터_SK!D187</f>
        <v>20260205994173</v>
      </c>
      <c r="C187" t="str">
        <f>IF(원본데이터_SK!M187="","",TEXT(원본데이터_SK!M187,"YYYY-MM-DD"))</f>
        <v>2026-02-07</v>
      </c>
      <c r="D187" t="str">
        <f>원본데이터_SK!F187</f>
        <v>58481090</v>
      </c>
      <c r="E187" t="str">
        <f>IFERROR(VLOOKUP(원본데이터_SK!F187,채널매핑!$B:$D,3,0),"미매핑")</f>
        <v>미매핑</v>
      </c>
      <c r="F187">
        <f>IFERROR(VLOOKUP(원본데이터_SK!F187,채널매핑!$B:$E,4,0),1)</f>
        <v>1</v>
      </c>
      <c r="G187">
        <f>원본데이터_SK!Q187</f>
        <v>1</v>
      </c>
      <c r="H187">
        <f>원본데이터_SK!O187</f>
        <v>119000</v>
      </c>
      <c r="I187">
        <f>원본데이터_SK!AG187</f>
        <v>105910</v>
      </c>
      <c r="J187">
        <f>원본데이터_SK!AH187</f>
        <v>82110</v>
      </c>
      <c r="K187">
        <f>IFERROR(VLOOKUP(E187,제품마스터!$A:$B,2,0),0)</f>
        <v>0</v>
      </c>
      <c r="L187">
        <f>원본데이터_SK!Q187*원본데이터_SK!P187</f>
        <v>82110</v>
      </c>
    </row>
    <row r="188" spans="1:12" x14ac:dyDescent="0.3">
      <c r="A188" t="s">
        <v>11</v>
      </c>
      <c r="B188" t="str">
        <f>원본데이터_SK!D188</f>
        <v>20260205992741</v>
      </c>
      <c r="C188" t="str">
        <f>IF(원본데이터_SK!M188="","",TEXT(원본데이터_SK!M188,"YYYY-MM-DD"))</f>
        <v>2026-02-07</v>
      </c>
      <c r="D188" t="str">
        <f>원본데이터_SK!F188</f>
        <v>58481090</v>
      </c>
      <c r="E188" t="str">
        <f>IFERROR(VLOOKUP(원본데이터_SK!F188,채널매핑!$B:$D,3,0),"미매핑")</f>
        <v>미매핑</v>
      </c>
      <c r="F188">
        <f>IFERROR(VLOOKUP(원본데이터_SK!F188,채널매핑!$B:$E,4,0),1)</f>
        <v>1</v>
      </c>
      <c r="G188">
        <f>원본데이터_SK!Q188</f>
        <v>1</v>
      </c>
      <c r="H188">
        <f>원본데이터_SK!O188</f>
        <v>119000</v>
      </c>
      <c r="I188">
        <f>원본데이터_SK!AG188</f>
        <v>119000</v>
      </c>
      <c r="J188">
        <f>원본데이터_SK!AH188</f>
        <v>82110</v>
      </c>
      <c r="K188">
        <f>IFERROR(VLOOKUP(E188,제품마스터!$A:$B,2,0),0)</f>
        <v>0</v>
      </c>
      <c r="L188">
        <f>원본데이터_SK!Q188*원본데이터_SK!P188</f>
        <v>82110</v>
      </c>
    </row>
    <row r="189" spans="1:12" x14ac:dyDescent="0.3">
      <c r="A189" t="s">
        <v>11</v>
      </c>
      <c r="B189" t="str">
        <f>원본데이터_SK!D189</f>
        <v>20260205992734</v>
      </c>
      <c r="C189" t="str">
        <f>IF(원본데이터_SK!M189="","",TEXT(원본데이터_SK!M189,"YYYY-MM-DD"))</f>
        <v>2026-02-07</v>
      </c>
      <c r="D189" t="str">
        <f>원본데이터_SK!F189</f>
        <v>58481090</v>
      </c>
      <c r="E189" t="str">
        <f>IFERROR(VLOOKUP(원본데이터_SK!F189,채널매핑!$B:$D,3,0),"미매핑")</f>
        <v>미매핑</v>
      </c>
      <c r="F189">
        <f>IFERROR(VLOOKUP(원본데이터_SK!F189,채널매핑!$B:$E,4,0),1)</f>
        <v>1</v>
      </c>
      <c r="G189">
        <f>원본데이터_SK!Q189</f>
        <v>1</v>
      </c>
      <c r="H189">
        <f>원본데이터_SK!O189</f>
        <v>119000</v>
      </c>
      <c r="I189">
        <f>원본데이터_SK!AG189</f>
        <v>119000</v>
      </c>
      <c r="J189">
        <f>원본데이터_SK!AH189</f>
        <v>82110</v>
      </c>
      <c r="K189">
        <f>IFERROR(VLOOKUP(E189,제품마스터!$A:$B,2,0),0)</f>
        <v>0</v>
      </c>
      <c r="L189">
        <f>원본데이터_SK!Q189*원본데이터_SK!P189</f>
        <v>82110</v>
      </c>
    </row>
    <row r="190" spans="1:12" x14ac:dyDescent="0.3">
      <c r="A190" t="s">
        <v>11</v>
      </c>
      <c r="B190" t="str">
        <f>원본데이터_SK!D190</f>
        <v>20260205992797</v>
      </c>
      <c r="C190" t="str">
        <f>IF(원본데이터_SK!M190="","",TEXT(원본데이터_SK!M190,"YYYY-MM-DD"))</f>
        <v>2026-02-07</v>
      </c>
      <c r="D190" t="str">
        <f>원본데이터_SK!F190</f>
        <v>58481090</v>
      </c>
      <c r="E190" t="str">
        <f>IFERROR(VLOOKUP(원본데이터_SK!F190,채널매핑!$B:$D,3,0),"미매핑")</f>
        <v>미매핑</v>
      </c>
      <c r="F190">
        <f>IFERROR(VLOOKUP(원본데이터_SK!F190,채널매핑!$B:$E,4,0),1)</f>
        <v>1</v>
      </c>
      <c r="G190">
        <f>원본데이터_SK!Q190</f>
        <v>1</v>
      </c>
      <c r="H190">
        <f>원본데이터_SK!O190</f>
        <v>119000</v>
      </c>
      <c r="I190">
        <f>원본데이터_SK!AG190</f>
        <v>105910</v>
      </c>
      <c r="J190">
        <f>원본데이터_SK!AH190</f>
        <v>82110</v>
      </c>
      <c r="K190">
        <f>IFERROR(VLOOKUP(E190,제품마스터!$A:$B,2,0),0)</f>
        <v>0</v>
      </c>
      <c r="L190">
        <f>원본데이터_SK!Q190*원본데이터_SK!P190</f>
        <v>82110</v>
      </c>
    </row>
    <row r="191" spans="1:12" x14ac:dyDescent="0.3">
      <c r="A191" t="s">
        <v>11</v>
      </c>
      <c r="B191" t="str">
        <f>원본데이터_SK!D191</f>
        <v>20260205994648</v>
      </c>
      <c r="C191" t="str">
        <f>IF(원본데이터_SK!M191="","",TEXT(원본데이터_SK!M191,"YYYY-MM-DD"))</f>
        <v>2026-02-07</v>
      </c>
      <c r="D191" t="str">
        <f>원본데이터_SK!F191</f>
        <v>58481090</v>
      </c>
      <c r="E191" t="str">
        <f>IFERROR(VLOOKUP(원본데이터_SK!F191,채널매핑!$B:$D,3,0),"미매핑")</f>
        <v>미매핑</v>
      </c>
      <c r="F191">
        <f>IFERROR(VLOOKUP(원본데이터_SK!F191,채널매핑!$B:$E,4,0),1)</f>
        <v>1</v>
      </c>
      <c r="G191">
        <f>원본데이터_SK!Q191</f>
        <v>1</v>
      </c>
      <c r="H191">
        <f>원본데이터_SK!O191</f>
        <v>119000</v>
      </c>
      <c r="I191">
        <f>원본데이터_SK!AG191</f>
        <v>119000</v>
      </c>
      <c r="J191">
        <f>원본데이터_SK!AH191</f>
        <v>82110</v>
      </c>
      <c r="K191">
        <f>IFERROR(VLOOKUP(E191,제품마스터!$A:$B,2,0),0)</f>
        <v>0</v>
      </c>
      <c r="L191">
        <f>원본데이터_SK!Q191*원본데이터_SK!P191</f>
        <v>82110</v>
      </c>
    </row>
    <row r="192" spans="1:12" x14ac:dyDescent="0.3">
      <c r="A192" t="s">
        <v>11</v>
      </c>
      <c r="B192" t="str">
        <f>원본데이터_SK!D192</f>
        <v>20260205995119</v>
      </c>
      <c r="C192" t="str">
        <f>IF(원본데이터_SK!M192="","",TEXT(원본데이터_SK!M192,"YYYY-MM-DD"))</f>
        <v>2026-02-07</v>
      </c>
      <c r="D192" t="str">
        <f>원본데이터_SK!F192</f>
        <v>58481090</v>
      </c>
      <c r="E192" t="str">
        <f>IFERROR(VLOOKUP(원본데이터_SK!F192,채널매핑!$B:$D,3,0),"미매핑")</f>
        <v>미매핑</v>
      </c>
      <c r="F192">
        <f>IFERROR(VLOOKUP(원본데이터_SK!F192,채널매핑!$B:$E,4,0),1)</f>
        <v>1</v>
      </c>
      <c r="G192">
        <f>원본데이터_SK!Q192</f>
        <v>1</v>
      </c>
      <c r="H192">
        <f>원본데이터_SK!O192</f>
        <v>119000</v>
      </c>
      <c r="I192">
        <f>원본데이터_SK!AG192</f>
        <v>109000</v>
      </c>
      <c r="J192">
        <f>원본데이터_SK!AH192</f>
        <v>82110</v>
      </c>
      <c r="K192">
        <f>IFERROR(VLOOKUP(E192,제품마스터!$A:$B,2,0),0)</f>
        <v>0</v>
      </c>
      <c r="L192">
        <f>원본데이터_SK!Q192*원본데이터_SK!P192</f>
        <v>82110</v>
      </c>
    </row>
    <row r="193" spans="1:12" x14ac:dyDescent="0.3">
      <c r="A193" t="s">
        <v>11</v>
      </c>
      <c r="B193" t="str">
        <f>원본데이터_SK!D193</f>
        <v>20260205994118</v>
      </c>
      <c r="C193" t="str">
        <f>IF(원본데이터_SK!M193="","",TEXT(원본데이터_SK!M193,"YYYY-MM-DD"))</f>
        <v>2026-02-07</v>
      </c>
      <c r="D193" t="str">
        <f>원본데이터_SK!F193</f>
        <v>58481090</v>
      </c>
      <c r="E193" t="str">
        <f>IFERROR(VLOOKUP(원본데이터_SK!F193,채널매핑!$B:$D,3,0),"미매핑")</f>
        <v>미매핑</v>
      </c>
      <c r="F193">
        <f>IFERROR(VLOOKUP(원본데이터_SK!F193,채널매핑!$B:$E,4,0),1)</f>
        <v>1</v>
      </c>
      <c r="G193">
        <f>원본데이터_SK!Q193</f>
        <v>1</v>
      </c>
      <c r="H193">
        <f>원본데이터_SK!O193</f>
        <v>119000</v>
      </c>
      <c r="I193">
        <f>원본데이터_SK!AG193</f>
        <v>119000</v>
      </c>
      <c r="J193">
        <f>원본데이터_SK!AH193</f>
        <v>82110</v>
      </c>
      <c r="K193">
        <f>IFERROR(VLOOKUP(E193,제품마스터!$A:$B,2,0),0)</f>
        <v>0</v>
      </c>
      <c r="L193">
        <f>원본데이터_SK!Q193*원본데이터_SK!P193</f>
        <v>82110</v>
      </c>
    </row>
    <row r="194" spans="1:12" x14ac:dyDescent="0.3">
      <c r="A194" t="s">
        <v>11</v>
      </c>
      <c r="B194" t="str">
        <f>원본데이터_SK!D194</f>
        <v>20260205993710</v>
      </c>
      <c r="C194" t="str">
        <f>IF(원본데이터_SK!M194="","",TEXT(원본데이터_SK!M194,"YYYY-MM-DD"))</f>
        <v>2026-02-07</v>
      </c>
      <c r="D194" t="str">
        <f>원본데이터_SK!F194</f>
        <v>58481090</v>
      </c>
      <c r="E194" t="str">
        <f>IFERROR(VLOOKUP(원본데이터_SK!F194,채널매핑!$B:$D,3,0),"미매핑")</f>
        <v>미매핑</v>
      </c>
      <c r="F194">
        <f>IFERROR(VLOOKUP(원본데이터_SK!F194,채널매핑!$B:$E,4,0),1)</f>
        <v>1</v>
      </c>
      <c r="G194">
        <f>원본데이터_SK!Q194</f>
        <v>1</v>
      </c>
      <c r="H194">
        <f>원본데이터_SK!O194</f>
        <v>119000</v>
      </c>
      <c r="I194">
        <f>원본데이터_SK!AG194</f>
        <v>119000</v>
      </c>
      <c r="J194">
        <f>원본데이터_SK!AH194</f>
        <v>82110</v>
      </c>
      <c r="K194">
        <f>IFERROR(VLOOKUP(E194,제품마스터!$A:$B,2,0),0)</f>
        <v>0</v>
      </c>
      <c r="L194">
        <f>원본데이터_SK!Q194*원본데이터_SK!P194</f>
        <v>82110</v>
      </c>
    </row>
    <row r="195" spans="1:12" x14ac:dyDescent="0.3">
      <c r="A195" t="s">
        <v>11</v>
      </c>
      <c r="B195" t="str">
        <f>원본데이터_SK!D195</f>
        <v>20260205993710</v>
      </c>
      <c r="C195" t="str">
        <f>IF(원본데이터_SK!M195="","",TEXT(원본데이터_SK!M195,"YYYY-MM-DD"))</f>
        <v>2026-02-07</v>
      </c>
      <c r="D195" t="str">
        <f>원본데이터_SK!F195</f>
        <v>58481090</v>
      </c>
      <c r="E195" t="str">
        <f>IFERROR(VLOOKUP(원본데이터_SK!F195,채널매핑!$B:$D,3,0),"미매핑")</f>
        <v>미매핑</v>
      </c>
      <c r="F195">
        <f>IFERROR(VLOOKUP(원본데이터_SK!F195,채널매핑!$B:$E,4,0),1)</f>
        <v>1</v>
      </c>
      <c r="G195">
        <f>원본데이터_SK!Q195</f>
        <v>1</v>
      </c>
      <c r="H195">
        <f>원본데이터_SK!O195</f>
        <v>119000</v>
      </c>
      <c r="I195">
        <f>원본데이터_SK!AG195</f>
        <v>119000</v>
      </c>
      <c r="J195">
        <f>원본데이터_SK!AH195</f>
        <v>82110</v>
      </c>
      <c r="K195">
        <f>IFERROR(VLOOKUP(E195,제품마스터!$A:$B,2,0),0)</f>
        <v>0</v>
      </c>
      <c r="L195">
        <f>원본데이터_SK!Q195*원본데이터_SK!P195</f>
        <v>82110</v>
      </c>
    </row>
    <row r="196" spans="1:12" x14ac:dyDescent="0.3">
      <c r="A196" t="s">
        <v>11</v>
      </c>
      <c r="B196" t="str">
        <f>원본데이터_SK!D196</f>
        <v>20260205994226</v>
      </c>
      <c r="C196" t="str">
        <f>IF(원본데이터_SK!M196="","",TEXT(원본데이터_SK!M196,"YYYY-MM-DD"))</f>
        <v>2026-02-07</v>
      </c>
      <c r="D196" t="str">
        <f>원본데이터_SK!F196</f>
        <v>58481090</v>
      </c>
      <c r="E196" t="str">
        <f>IFERROR(VLOOKUP(원본데이터_SK!F196,채널매핑!$B:$D,3,0),"미매핑")</f>
        <v>미매핑</v>
      </c>
      <c r="F196">
        <f>IFERROR(VLOOKUP(원본데이터_SK!F196,채널매핑!$B:$E,4,0),1)</f>
        <v>1</v>
      </c>
      <c r="G196">
        <f>원본데이터_SK!Q196</f>
        <v>1</v>
      </c>
      <c r="H196">
        <f>원본데이터_SK!O196</f>
        <v>119000</v>
      </c>
      <c r="I196">
        <f>원본데이터_SK!AG196</f>
        <v>119000</v>
      </c>
      <c r="J196">
        <f>원본데이터_SK!AH196</f>
        <v>82110</v>
      </c>
      <c r="K196">
        <f>IFERROR(VLOOKUP(E196,제품마스터!$A:$B,2,0),0)</f>
        <v>0</v>
      </c>
      <c r="L196">
        <f>원본데이터_SK!Q196*원본데이터_SK!P196</f>
        <v>82110</v>
      </c>
    </row>
    <row r="197" spans="1:12" x14ac:dyDescent="0.3">
      <c r="A197" t="s">
        <v>11</v>
      </c>
      <c r="B197" t="str">
        <f>원본데이터_SK!D197</f>
        <v>20260205995392</v>
      </c>
      <c r="C197" t="str">
        <f>IF(원본데이터_SK!M197="","",TEXT(원본데이터_SK!M197,"YYYY-MM-DD"))</f>
        <v>2026-02-07</v>
      </c>
      <c r="D197" t="str">
        <f>원본데이터_SK!F197</f>
        <v>58481090</v>
      </c>
      <c r="E197" t="str">
        <f>IFERROR(VLOOKUP(원본데이터_SK!F197,채널매핑!$B:$D,3,0),"미매핑")</f>
        <v>미매핑</v>
      </c>
      <c r="F197">
        <f>IFERROR(VLOOKUP(원본데이터_SK!F197,채널매핑!$B:$E,4,0),1)</f>
        <v>1</v>
      </c>
      <c r="G197">
        <f>원본데이터_SK!Q197</f>
        <v>1</v>
      </c>
      <c r="H197">
        <f>원본데이터_SK!O197</f>
        <v>119000</v>
      </c>
      <c r="I197">
        <f>원본데이터_SK!AG197</f>
        <v>119000</v>
      </c>
      <c r="J197">
        <f>원본데이터_SK!AH197</f>
        <v>82110</v>
      </c>
      <c r="K197">
        <f>IFERROR(VLOOKUP(E197,제품마스터!$A:$B,2,0),0)</f>
        <v>0</v>
      </c>
      <c r="L197">
        <f>원본데이터_SK!Q197*원본데이터_SK!P197</f>
        <v>82110</v>
      </c>
    </row>
    <row r="198" spans="1:12" x14ac:dyDescent="0.3">
      <c r="A198" t="s">
        <v>11</v>
      </c>
      <c r="B198" t="str">
        <f>원본데이터_SK!D198</f>
        <v>20260205994445</v>
      </c>
      <c r="C198" t="str">
        <f>IF(원본데이터_SK!M198="","",TEXT(원본데이터_SK!M198,"YYYY-MM-DD"))</f>
        <v>2026-02-07</v>
      </c>
      <c r="D198" t="str">
        <f>원본데이터_SK!F198</f>
        <v>58481090</v>
      </c>
      <c r="E198" t="str">
        <f>IFERROR(VLOOKUP(원본데이터_SK!F198,채널매핑!$B:$D,3,0),"미매핑")</f>
        <v>미매핑</v>
      </c>
      <c r="F198">
        <f>IFERROR(VLOOKUP(원본데이터_SK!F198,채널매핑!$B:$E,4,0),1)</f>
        <v>1</v>
      </c>
      <c r="G198">
        <f>원본데이터_SK!Q198</f>
        <v>1</v>
      </c>
      <c r="H198">
        <f>원본데이터_SK!O198</f>
        <v>119000</v>
      </c>
      <c r="I198">
        <f>원본데이터_SK!AG198</f>
        <v>119000</v>
      </c>
      <c r="J198">
        <f>원본데이터_SK!AH198</f>
        <v>82110</v>
      </c>
      <c r="K198">
        <f>IFERROR(VLOOKUP(E198,제품마스터!$A:$B,2,0),0)</f>
        <v>0</v>
      </c>
      <c r="L198">
        <f>원본데이터_SK!Q198*원본데이터_SK!P198</f>
        <v>82110</v>
      </c>
    </row>
    <row r="199" spans="1:12" x14ac:dyDescent="0.3">
      <c r="A199" t="s">
        <v>11</v>
      </c>
      <c r="B199" t="str">
        <f>원본데이터_SK!D199</f>
        <v>20260205994636</v>
      </c>
      <c r="C199" t="str">
        <f>IF(원본데이터_SK!M199="","",TEXT(원본데이터_SK!M199,"YYYY-MM-DD"))</f>
        <v>2026-02-07</v>
      </c>
      <c r="D199" t="str">
        <f>원본데이터_SK!F199</f>
        <v>58481090</v>
      </c>
      <c r="E199" t="str">
        <f>IFERROR(VLOOKUP(원본데이터_SK!F199,채널매핑!$B:$D,3,0),"미매핑")</f>
        <v>미매핑</v>
      </c>
      <c r="F199">
        <f>IFERROR(VLOOKUP(원본데이터_SK!F199,채널매핑!$B:$E,4,0),1)</f>
        <v>1</v>
      </c>
      <c r="G199">
        <f>원본데이터_SK!Q199</f>
        <v>1</v>
      </c>
      <c r="H199">
        <f>원본데이터_SK!O199</f>
        <v>119000</v>
      </c>
      <c r="I199">
        <f>원본데이터_SK!AG199</f>
        <v>119000</v>
      </c>
      <c r="J199">
        <f>원본데이터_SK!AH199</f>
        <v>82110</v>
      </c>
      <c r="K199">
        <f>IFERROR(VLOOKUP(E199,제품마스터!$A:$B,2,0),0)</f>
        <v>0</v>
      </c>
      <c r="L199">
        <f>원본데이터_SK!Q199*원본데이터_SK!P199</f>
        <v>82110</v>
      </c>
    </row>
    <row r="200" spans="1:12" x14ac:dyDescent="0.3">
      <c r="A200" t="s">
        <v>11</v>
      </c>
      <c r="B200" t="str">
        <f>원본데이터_SK!D200</f>
        <v>20260205993543</v>
      </c>
      <c r="C200" t="str">
        <f>IF(원본데이터_SK!M200="","",TEXT(원본데이터_SK!M200,"YYYY-MM-DD"))</f>
        <v>2026-02-07</v>
      </c>
      <c r="D200" t="str">
        <f>원본데이터_SK!F200</f>
        <v>58481090</v>
      </c>
      <c r="E200" t="str">
        <f>IFERROR(VLOOKUP(원본데이터_SK!F200,채널매핑!$B:$D,3,0),"미매핑")</f>
        <v>미매핑</v>
      </c>
      <c r="F200">
        <f>IFERROR(VLOOKUP(원본데이터_SK!F200,채널매핑!$B:$E,4,0),1)</f>
        <v>1</v>
      </c>
      <c r="G200">
        <f>원본데이터_SK!Q200</f>
        <v>1</v>
      </c>
      <c r="H200">
        <f>원본데이터_SK!O200</f>
        <v>119000</v>
      </c>
      <c r="I200">
        <f>원본데이터_SK!AG200</f>
        <v>119000</v>
      </c>
      <c r="J200">
        <f>원본데이터_SK!AH200</f>
        <v>82110</v>
      </c>
      <c r="K200">
        <f>IFERROR(VLOOKUP(E200,제품마스터!$A:$B,2,0),0)</f>
        <v>0</v>
      </c>
      <c r="L200">
        <f>원본데이터_SK!Q200*원본데이터_SK!P200</f>
        <v>82110</v>
      </c>
    </row>
    <row r="201" spans="1:12" x14ac:dyDescent="0.3">
      <c r="A201" t="s">
        <v>11</v>
      </c>
      <c r="B201" t="str">
        <f>원본데이터_SK!D201</f>
        <v>20260205994834</v>
      </c>
      <c r="C201" t="str">
        <f>IF(원본데이터_SK!M201="","",TEXT(원본데이터_SK!M201,"YYYY-MM-DD"))</f>
        <v>2026-02-07</v>
      </c>
      <c r="D201" t="str">
        <f>원본데이터_SK!F201</f>
        <v>58481090</v>
      </c>
      <c r="E201" t="str">
        <f>IFERROR(VLOOKUP(원본데이터_SK!F201,채널매핑!$B:$D,3,0),"미매핑")</f>
        <v>미매핑</v>
      </c>
      <c r="F201">
        <f>IFERROR(VLOOKUP(원본데이터_SK!F201,채널매핑!$B:$E,4,0),1)</f>
        <v>1</v>
      </c>
      <c r="G201">
        <f>원본데이터_SK!Q201</f>
        <v>1</v>
      </c>
      <c r="H201">
        <f>원본데이터_SK!O201</f>
        <v>119000</v>
      </c>
      <c r="I201">
        <f>원본데이터_SK!AG201</f>
        <v>119000</v>
      </c>
      <c r="J201">
        <f>원본데이터_SK!AH201</f>
        <v>82110</v>
      </c>
      <c r="K201">
        <f>IFERROR(VLOOKUP(E201,제품마스터!$A:$B,2,0),0)</f>
        <v>0</v>
      </c>
      <c r="L201">
        <f>원본데이터_SK!Q201*원본데이터_SK!P201</f>
        <v>82110</v>
      </c>
    </row>
    <row r="202" spans="1:12" x14ac:dyDescent="0.3">
      <c r="A202" t="s">
        <v>11</v>
      </c>
      <c r="B202" t="str">
        <f>원본데이터_SK!D202</f>
        <v>20260205993877</v>
      </c>
      <c r="C202" t="str">
        <f>IF(원본데이터_SK!M202="","",TEXT(원본데이터_SK!M202,"YYYY-MM-DD"))</f>
        <v>2026-02-07</v>
      </c>
      <c r="D202" t="str">
        <f>원본데이터_SK!F202</f>
        <v>58481090</v>
      </c>
      <c r="E202" t="str">
        <f>IFERROR(VLOOKUP(원본데이터_SK!F202,채널매핑!$B:$D,3,0),"미매핑")</f>
        <v>미매핑</v>
      </c>
      <c r="F202">
        <f>IFERROR(VLOOKUP(원본데이터_SK!F202,채널매핑!$B:$E,4,0),1)</f>
        <v>1</v>
      </c>
      <c r="G202">
        <f>원본데이터_SK!Q202</f>
        <v>1</v>
      </c>
      <c r="H202">
        <f>원본데이터_SK!O202</f>
        <v>119000</v>
      </c>
      <c r="I202">
        <f>원본데이터_SK!AG202</f>
        <v>119000</v>
      </c>
      <c r="J202">
        <f>원본데이터_SK!AH202</f>
        <v>82110</v>
      </c>
      <c r="K202">
        <f>IFERROR(VLOOKUP(E202,제품마스터!$A:$B,2,0),0)</f>
        <v>0</v>
      </c>
      <c r="L202">
        <f>원본데이터_SK!Q202*원본데이터_SK!P202</f>
        <v>82110</v>
      </c>
    </row>
    <row r="203" spans="1:12" x14ac:dyDescent="0.3">
      <c r="A203" t="s">
        <v>11</v>
      </c>
      <c r="B203" t="str">
        <f>원본데이터_SK!D203</f>
        <v>20260205993908</v>
      </c>
      <c r="C203" t="str">
        <f>IF(원본데이터_SK!M203="","",TEXT(원본데이터_SK!M203,"YYYY-MM-DD"))</f>
        <v>2026-02-07</v>
      </c>
      <c r="D203" t="str">
        <f>원본데이터_SK!F203</f>
        <v>58481090</v>
      </c>
      <c r="E203" t="str">
        <f>IFERROR(VLOOKUP(원본데이터_SK!F203,채널매핑!$B:$D,3,0),"미매핑")</f>
        <v>미매핑</v>
      </c>
      <c r="F203">
        <f>IFERROR(VLOOKUP(원본데이터_SK!F203,채널매핑!$B:$E,4,0),1)</f>
        <v>1</v>
      </c>
      <c r="G203">
        <f>원본데이터_SK!Q203</f>
        <v>1</v>
      </c>
      <c r="H203">
        <f>원본데이터_SK!O203</f>
        <v>119000</v>
      </c>
      <c r="I203">
        <f>원본데이터_SK!AG203</f>
        <v>119000</v>
      </c>
      <c r="J203">
        <f>원본데이터_SK!AH203</f>
        <v>82110</v>
      </c>
      <c r="K203">
        <f>IFERROR(VLOOKUP(E203,제품마스터!$A:$B,2,0),0)</f>
        <v>0</v>
      </c>
      <c r="L203">
        <f>원본데이터_SK!Q203*원본데이터_SK!P203</f>
        <v>82110</v>
      </c>
    </row>
    <row r="204" spans="1:12" x14ac:dyDescent="0.3">
      <c r="A204" t="s">
        <v>11</v>
      </c>
      <c r="B204" t="str">
        <f>원본데이터_SK!D204</f>
        <v>20260205993875</v>
      </c>
      <c r="C204" t="str">
        <f>IF(원본데이터_SK!M204="","",TEXT(원본데이터_SK!M204,"YYYY-MM-DD"))</f>
        <v>2026-02-07</v>
      </c>
      <c r="D204" t="str">
        <f>원본데이터_SK!F204</f>
        <v>58481090</v>
      </c>
      <c r="E204" t="str">
        <f>IFERROR(VLOOKUP(원본데이터_SK!F204,채널매핑!$B:$D,3,0),"미매핑")</f>
        <v>미매핑</v>
      </c>
      <c r="F204">
        <f>IFERROR(VLOOKUP(원본데이터_SK!F204,채널매핑!$B:$E,4,0),1)</f>
        <v>1</v>
      </c>
      <c r="G204">
        <f>원본데이터_SK!Q204</f>
        <v>1</v>
      </c>
      <c r="H204">
        <f>원본데이터_SK!O204</f>
        <v>119000</v>
      </c>
      <c r="I204">
        <f>원본데이터_SK!AG204</f>
        <v>113050</v>
      </c>
      <c r="J204">
        <f>원본데이터_SK!AH204</f>
        <v>82110</v>
      </c>
      <c r="K204">
        <f>IFERROR(VLOOKUP(E204,제품마스터!$A:$B,2,0),0)</f>
        <v>0</v>
      </c>
      <c r="L204">
        <f>원본데이터_SK!Q204*원본데이터_SK!P204</f>
        <v>82110</v>
      </c>
    </row>
    <row r="205" spans="1:12" x14ac:dyDescent="0.3">
      <c r="A205" t="s">
        <v>11</v>
      </c>
      <c r="B205" t="str">
        <f>원본데이터_SK!D205</f>
        <v>20260205993960</v>
      </c>
      <c r="C205" t="str">
        <f>IF(원본데이터_SK!M205="","",TEXT(원본데이터_SK!M205,"YYYY-MM-DD"))</f>
        <v>2026-02-07</v>
      </c>
      <c r="D205" t="str">
        <f>원본데이터_SK!F205</f>
        <v>58481090</v>
      </c>
      <c r="E205" t="str">
        <f>IFERROR(VLOOKUP(원본데이터_SK!F205,채널매핑!$B:$D,3,0),"미매핑")</f>
        <v>미매핑</v>
      </c>
      <c r="F205">
        <f>IFERROR(VLOOKUP(원본데이터_SK!F205,채널매핑!$B:$E,4,0),1)</f>
        <v>1</v>
      </c>
      <c r="G205">
        <f>원본데이터_SK!Q205</f>
        <v>1</v>
      </c>
      <c r="H205">
        <f>원본데이터_SK!O205</f>
        <v>119000</v>
      </c>
      <c r="I205">
        <f>원본데이터_SK!AG205</f>
        <v>119000</v>
      </c>
      <c r="J205">
        <f>원본데이터_SK!AH205</f>
        <v>82110</v>
      </c>
      <c r="K205">
        <f>IFERROR(VLOOKUP(E205,제품마스터!$A:$B,2,0),0)</f>
        <v>0</v>
      </c>
      <c r="L205">
        <f>원본데이터_SK!Q205*원본데이터_SK!P205</f>
        <v>82110</v>
      </c>
    </row>
    <row r="206" spans="1:12" x14ac:dyDescent="0.3">
      <c r="A206" t="s">
        <v>11</v>
      </c>
      <c r="B206" t="str">
        <f>원본데이터_SK!D206</f>
        <v>20260205992628</v>
      </c>
      <c r="C206" t="str">
        <f>IF(원본데이터_SK!M206="","",TEXT(원본데이터_SK!M206,"YYYY-MM-DD"))</f>
        <v>2026-02-07</v>
      </c>
      <c r="D206" t="str">
        <f>원본데이터_SK!F206</f>
        <v>58481090</v>
      </c>
      <c r="E206" t="str">
        <f>IFERROR(VLOOKUP(원본데이터_SK!F206,채널매핑!$B:$D,3,0),"미매핑")</f>
        <v>미매핑</v>
      </c>
      <c r="F206">
        <f>IFERROR(VLOOKUP(원본데이터_SK!F206,채널매핑!$B:$E,4,0),1)</f>
        <v>1</v>
      </c>
      <c r="G206">
        <f>원본데이터_SK!Q206</f>
        <v>1</v>
      </c>
      <c r="H206">
        <f>원본데이터_SK!O206</f>
        <v>119000</v>
      </c>
      <c r="I206">
        <f>원본데이터_SK!AG206</f>
        <v>119000</v>
      </c>
      <c r="J206">
        <f>원본데이터_SK!AH206</f>
        <v>82110</v>
      </c>
      <c r="K206">
        <f>IFERROR(VLOOKUP(E206,제품마스터!$A:$B,2,0),0)</f>
        <v>0</v>
      </c>
      <c r="L206">
        <f>원본데이터_SK!Q206*원본데이터_SK!P206</f>
        <v>82110</v>
      </c>
    </row>
    <row r="207" spans="1:12" x14ac:dyDescent="0.3">
      <c r="A207" t="s">
        <v>11</v>
      </c>
      <c r="B207" t="str">
        <f>원본데이터_SK!D207</f>
        <v>20260205992776</v>
      </c>
      <c r="C207" t="str">
        <f>IF(원본데이터_SK!M207="","",TEXT(원본데이터_SK!M207,"YYYY-MM-DD"))</f>
        <v>2026-02-07</v>
      </c>
      <c r="D207" t="str">
        <f>원본데이터_SK!F207</f>
        <v>58481090</v>
      </c>
      <c r="E207" t="str">
        <f>IFERROR(VLOOKUP(원본데이터_SK!F207,채널매핑!$B:$D,3,0),"미매핑")</f>
        <v>미매핑</v>
      </c>
      <c r="F207">
        <f>IFERROR(VLOOKUP(원본데이터_SK!F207,채널매핑!$B:$E,4,0),1)</f>
        <v>1</v>
      </c>
      <c r="G207">
        <f>원본데이터_SK!Q207</f>
        <v>1</v>
      </c>
      <c r="H207">
        <f>원본데이터_SK!O207</f>
        <v>119000</v>
      </c>
      <c r="I207">
        <f>원본데이터_SK!AG207</f>
        <v>119000</v>
      </c>
      <c r="J207">
        <f>원본데이터_SK!AH207</f>
        <v>82110</v>
      </c>
      <c r="K207">
        <f>IFERROR(VLOOKUP(E207,제품마스터!$A:$B,2,0),0)</f>
        <v>0</v>
      </c>
      <c r="L207">
        <f>원본데이터_SK!Q207*원본데이터_SK!P207</f>
        <v>82110</v>
      </c>
    </row>
    <row r="208" spans="1:12" x14ac:dyDescent="0.3">
      <c r="A208" t="s">
        <v>11</v>
      </c>
      <c r="B208" t="str">
        <f>원본데이터_SK!D208</f>
        <v>20260205992776</v>
      </c>
      <c r="C208" t="str">
        <f>IF(원본데이터_SK!M208="","",TEXT(원본데이터_SK!M208,"YYYY-MM-DD"))</f>
        <v>2026-02-07</v>
      </c>
      <c r="D208" t="str">
        <f>원본데이터_SK!F208</f>
        <v>58481090</v>
      </c>
      <c r="E208" t="str">
        <f>IFERROR(VLOOKUP(원본데이터_SK!F208,채널매핑!$B:$D,3,0),"미매핑")</f>
        <v>미매핑</v>
      </c>
      <c r="F208">
        <f>IFERROR(VLOOKUP(원본데이터_SK!F208,채널매핑!$B:$E,4,0),1)</f>
        <v>1</v>
      </c>
      <c r="G208">
        <f>원본데이터_SK!Q208</f>
        <v>1</v>
      </c>
      <c r="H208">
        <f>원본데이터_SK!O208</f>
        <v>119000</v>
      </c>
      <c r="I208">
        <f>원본데이터_SK!AG208</f>
        <v>119000</v>
      </c>
      <c r="J208">
        <f>원본데이터_SK!AH208</f>
        <v>82110</v>
      </c>
      <c r="K208">
        <f>IFERROR(VLOOKUP(E208,제품마스터!$A:$B,2,0),0)</f>
        <v>0</v>
      </c>
      <c r="L208">
        <f>원본데이터_SK!Q208*원본데이터_SK!P208</f>
        <v>82110</v>
      </c>
    </row>
    <row r="209" spans="1:12" x14ac:dyDescent="0.3">
      <c r="A209" t="s">
        <v>11</v>
      </c>
      <c r="B209" t="str">
        <f>원본데이터_SK!D209</f>
        <v>20260205992904</v>
      </c>
      <c r="C209" t="str">
        <f>IF(원본데이터_SK!M209="","",TEXT(원본데이터_SK!M209,"YYYY-MM-DD"))</f>
        <v>2026-02-07</v>
      </c>
      <c r="D209" t="str">
        <f>원본데이터_SK!F209</f>
        <v>58481090</v>
      </c>
      <c r="E209" t="str">
        <f>IFERROR(VLOOKUP(원본데이터_SK!F209,채널매핑!$B:$D,3,0),"미매핑")</f>
        <v>미매핑</v>
      </c>
      <c r="F209">
        <f>IFERROR(VLOOKUP(원본데이터_SK!F209,채널매핑!$B:$E,4,0),1)</f>
        <v>1</v>
      </c>
      <c r="G209">
        <f>원본데이터_SK!Q209</f>
        <v>1</v>
      </c>
      <c r="H209">
        <f>원본데이터_SK!O209</f>
        <v>119000</v>
      </c>
      <c r="I209">
        <f>원본데이터_SK!AG209</f>
        <v>119000</v>
      </c>
      <c r="J209">
        <f>원본데이터_SK!AH209</f>
        <v>82110</v>
      </c>
      <c r="K209">
        <f>IFERROR(VLOOKUP(E209,제품마스터!$A:$B,2,0),0)</f>
        <v>0</v>
      </c>
      <c r="L209">
        <f>원본데이터_SK!Q209*원본데이터_SK!P209</f>
        <v>82110</v>
      </c>
    </row>
    <row r="210" spans="1:12" x14ac:dyDescent="0.3">
      <c r="A210" t="s">
        <v>11</v>
      </c>
      <c r="B210" t="str">
        <f>원본데이터_SK!D210</f>
        <v>20260205992898</v>
      </c>
      <c r="C210" t="str">
        <f>IF(원본데이터_SK!M210="","",TEXT(원본데이터_SK!M210,"YYYY-MM-DD"))</f>
        <v>2026-02-07</v>
      </c>
      <c r="D210" t="str">
        <f>원본데이터_SK!F210</f>
        <v>58481090</v>
      </c>
      <c r="E210" t="str">
        <f>IFERROR(VLOOKUP(원본데이터_SK!F210,채널매핑!$B:$D,3,0),"미매핑")</f>
        <v>미매핑</v>
      </c>
      <c r="F210">
        <f>IFERROR(VLOOKUP(원본데이터_SK!F210,채널매핑!$B:$E,4,0),1)</f>
        <v>1</v>
      </c>
      <c r="G210">
        <f>원본데이터_SK!Q210</f>
        <v>1</v>
      </c>
      <c r="H210">
        <f>원본데이터_SK!O210</f>
        <v>119000</v>
      </c>
      <c r="I210">
        <f>원본데이터_SK!AG210</f>
        <v>113050</v>
      </c>
      <c r="J210">
        <f>원본데이터_SK!AH210</f>
        <v>82110</v>
      </c>
      <c r="K210">
        <f>IFERROR(VLOOKUP(E210,제품마스터!$A:$B,2,0),0)</f>
        <v>0</v>
      </c>
      <c r="L210">
        <f>원본데이터_SK!Q210*원본데이터_SK!P210</f>
        <v>82110</v>
      </c>
    </row>
    <row r="211" spans="1:12" x14ac:dyDescent="0.3">
      <c r="A211" t="s">
        <v>11</v>
      </c>
      <c r="B211" t="str">
        <f>원본데이터_SK!D211</f>
        <v>20260205993183</v>
      </c>
      <c r="C211" t="str">
        <f>IF(원본데이터_SK!M211="","",TEXT(원본데이터_SK!M211,"YYYY-MM-DD"))</f>
        <v>2026-02-07</v>
      </c>
      <c r="D211" t="str">
        <f>원본데이터_SK!F211</f>
        <v>58481090</v>
      </c>
      <c r="E211" t="str">
        <f>IFERROR(VLOOKUP(원본데이터_SK!F211,채널매핑!$B:$D,3,0),"미매핑")</f>
        <v>미매핑</v>
      </c>
      <c r="F211">
        <f>IFERROR(VLOOKUP(원본데이터_SK!F211,채널매핑!$B:$E,4,0),1)</f>
        <v>1</v>
      </c>
      <c r="G211">
        <f>원본데이터_SK!Q211</f>
        <v>1</v>
      </c>
      <c r="H211">
        <f>원본데이터_SK!O211</f>
        <v>119000</v>
      </c>
      <c r="I211">
        <f>원본데이터_SK!AG211</f>
        <v>119000</v>
      </c>
      <c r="J211">
        <f>원본데이터_SK!AH211</f>
        <v>82110</v>
      </c>
      <c r="K211">
        <f>IFERROR(VLOOKUP(E211,제품마스터!$A:$B,2,0),0)</f>
        <v>0</v>
      </c>
      <c r="L211">
        <f>원본데이터_SK!Q211*원본데이터_SK!P211</f>
        <v>82110</v>
      </c>
    </row>
    <row r="212" spans="1:12" x14ac:dyDescent="0.3">
      <c r="A212" t="s">
        <v>11</v>
      </c>
      <c r="B212" t="str">
        <f>원본데이터_SK!D212</f>
        <v>20260205993148</v>
      </c>
      <c r="C212" t="str">
        <f>IF(원본데이터_SK!M212="","",TEXT(원본데이터_SK!M212,"YYYY-MM-DD"))</f>
        <v>2026-02-07</v>
      </c>
      <c r="D212" t="str">
        <f>원본데이터_SK!F212</f>
        <v>58481090</v>
      </c>
      <c r="E212" t="str">
        <f>IFERROR(VLOOKUP(원본데이터_SK!F212,채널매핑!$B:$D,3,0),"미매핑")</f>
        <v>미매핑</v>
      </c>
      <c r="F212">
        <f>IFERROR(VLOOKUP(원본데이터_SK!F212,채널매핑!$B:$E,4,0),1)</f>
        <v>1</v>
      </c>
      <c r="G212">
        <f>원본데이터_SK!Q212</f>
        <v>1</v>
      </c>
      <c r="H212">
        <f>원본데이터_SK!O212</f>
        <v>119000</v>
      </c>
      <c r="I212">
        <f>원본데이터_SK!AG212</f>
        <v>119000</v>
      </c>
      <c r="J212">
        <f>원본데이터_SK!AH212</f>
        <v>82110</v>
      </c>
      <c r="K212">
        <f>IFERROR(VLOOKUP(E212,제품마스터!$A:$B,2,0),0)</f>
        <v>0</v>
      </c>
      <c r="L212">
        <f>원본데이터_SK!Q212*원본데이터_SK!P212</f>
        <v>82110</v>
      </c>
    </row>
    <row r="213" spans="1:12" x14ac:dyDescent="0.3">
      <c r="A213" t="s">
        <v>11</v>
      </c>
      <c r="B213" t="str">
        <f>원본데이터_SK!D213</f>
        <v>20260205993058</v>
      </c>
      <c r="C213" t="str">
        <f>IF(원본데이터_SK!M213="","",TEXT(원본데이터_SK!M213,"YYYY-MM-DD"))</f>
        <v>2026-02-07</v>
      </c>
      <c r="D213" t="str">
        <f>원본데이터_SK!F213</f>
        <v>58481090</v>
      </c>
      <c r="E213" t="str">
        <f>IFERROR(VLOOKUP(원본데이터_SK!F213,채널매핑!$B:$D,3,0),"미매핑")</f>
        <v>미매핑</v>
      </c>
      <c r="F213">
        <f>IFERROR(VLOOKUP(원본데이터_SK!F213,채널매핑!$B:$E,4,0),1)</f>
        <v>1</v>
      </c>
      <c r="G213">
        <f>원본데이터_SK!Q213</f>
        <v>1</v>
      </c>
      <c r="H213">
        <f>원본데이터_SK!O213</f>
        <v>119000</v>
      </c>
      <c r="I213">
        <f>원본데이터_SK!AG213</f>
        <v>119000</v>
      </c>
      <c r="J213">
        <f>원본데이터_SK!AH213</f>
        <v>82110</v>
      </c>
      <c r="K213">
        <f>IFERROR(VLOOKUP(E213,제품마스터!$A:$B,2,0),0)</f>
        <v>0</v>
      </c>
      <c r="L213">
        <f>원본데이터_SK!Q213*원본데이터_SK!P213</f>
        <v>82110</v>
      </c>
    </row>
    <row r="214" spans="1:12" x14ac:dyDescent="0.3">
      <c r="A214" t="s">
        <v>11</v>
      </c>
      <c r="B214" t="str">
        <f>원본데이터_SK!D214</f>
        <v>20260205996079</v>
      </c>
      <c r="C214" t="str">
        <f>IF(원본데이터_SK!M214="","",TEXT(원본데이터_SK!M214,"YYYY-MM-DD"))</f>
        <v>2026-02-07</v>
      </c>
      <c r="D214" t="str">
        <f>원본데이터_SK!F214</f>
        <v>58481090</v>
      </c>
      <c r="E214" t="str">
        <f>IFERROR(VLOOKUP(원본데이터_SK!F214,채널매핑!$B:$D,3,0),"미매핑")</f>
        <v>미매핑</v>
      </c>
      <c r="F214">
        <f>IFERROR(VLOOKUP(원본데이터_SK!F214,채널매핑!$B:$E,4,0),1)</f>
        <v>1</v>
      </c>
      <c r="G214">
        <f>원본데이터_SK!Q214</f>
        <v>1</v>
      </c>
      <c r="H214">
        <f>원본데이터_SK!O214</f>
        <v>119000</v>
      </c>
      <c r="I214">
        <f>원본데이터_SK!AG214</f>
        <v>119000</v>
      </c>
      <c r="J214">
        <f>원본데이터_SK!AH214</f>
        <v>82110</v>
      </c>
      <c r="K214">
        <f>IFERROR(VLOOKUP(E214,제품마스터!$A:$B,2,0),0)</f>
        <v>0</v>
      </c>
      <c r="L214">
        <f>원본데이터_SK!Q214*원본데이터_SK!P214</f>
        <v>82110</v>
      </c>
    </row>
    <row r="215" spans="1:12" x14ac:dyDescent="0.3">
      <c r="A215" t="s">
        <v>11</v>
      </c>
      <c r="B215" t="str">
        <f>원본데이터_SK!D215</f>
        <v>20260205993619</v>
      </c>
      <c r="C215" t="str">
        <f>IF(원본데이터_SK!M215="","",TEXT(원본데이터_SK!M215,"YYYY-MM-DD"))</f>
        <v>2026-02-07</v>
      </c>
      <c r="D215" t="str">
        <f>원본데이터_SK!F215</f>
        <v>58481090</v>
      </c>
      <c r="E215" t="str">
        <f>IFERROR(VLOOKUP(원본데이터_SK!F215,채널매핑!$B:$D,3,0),"미매핑")</f>
        <v>미매핑</v>
      </c>
      <c r="F215">
        <f>IFERROR(VLOOKUP(원본데이터_SK!F215,채널매핑!$B:$E,4,0),1)</f>
        <v>1</v>
      </c>
      <c r="G215">
        <f>원본데이터_SK!Q215</f>
        <v>1</v>
      </c>
      <c r="H215">
        <f>원본데이터_SK!O215</f>
        <v>119000</v>
      </c>
      <c r="I215">
        <f>원본데이터_SK!AG215</f>
        <v>119000</v>
      </c>
      <c r="J215">
        <f>원본데이터_SK!AH215</f>
        <v>82110</v>
      </c>
      <c r="K215">
        <f>IFERROR(VLOOKUP(E215,제품마스터!$A:$B,2,0),0)</f>
        <v>0</v>
      </c>
      <c r="L215">
        <f>원본데이터_SK!Q215*원본데이터_SK!P215</f>
        <v>82110</v>
      </c>
    </row>
    <row r="216" spans="1:12" x14ac:dyDescent="0.3">
      <c r="A216" t="s">
        <v>11</v>
      </c>
      <c r="B216" t="str">
        <f>원본데이터_SK!D216</f>
        <v>20260205994384</v>
      </c>
      <c r="C216" t="str">
        <f>IF(원본데이터_SK!M216="","",TEXT(원본데이터_SK!M216,"YYYY-MM-DD"))</f>
        <v>2026-02-07</v>
      </c>
      <c r="D216" t="str">
        <f>원본데이터_SK!F216</f>
        <v>58481090</v>
      </c>
      <c r="E216" t="str">
        <f>IFERROR(VLOOKUP(원본데이터_SK!F216,채널매핑!$B:$D,3,0),"미매핑")</f>
        <v>미매핑</v>
      </c>
      <c r="F216">
        <f>IFERROR(VLOOKUP(원본데이터_SK!F216,채널매핑!$B:$E,4,0),1)</f>
        <v>1</v>
      </c>
      <c r="G216">
        <f>원본데이터_SK!Q216</f>
        <v>1</v>
      </c>
      <c r="H216">
        <f>원본데이터_SK!O216</f>
        <v>119000</v>
      </c>
      <c r="I216">
        <f>원본데이터_SK!AG216</f>
        <v>105910</v>
      </c>
      <c r="J216">
        <f>원본데이터_SK!AH216</f>
        <v>82110</v>
      </c>
      <c r="K216">
        <f>IFERROR(VLOOKUP(E216,제품마스터!$A:$B,2,0),0)</f>
        <v>0</v>
      </c>
      <c r="L216">
        <f>원본데이터_SK!Q216*원본데이터_SK!P216</f>
        <v>82110</v>
      </c>
    </row>
    <row r="217" spans="1:12" x14ac:dyDescent="0.3">
      <c r="A217" t="s">
        <v>11</v>
      </c>
      <c r="B217" t="str">
        <f>원본데이터_SK!D217</f>
        <v>20260205994642</v>
      </c>
      <c r="C217" t="str">
        <f>IF(원본데이터_SK!M217="","",TEXT(원본데이터_SK!M217,"YYYY-MM-DD"))</f>
        <v>2026-02-07</v>
      </c>
      <c r="D217" t="str">
        <f>원본데이터_SK!F217</f>
        <v>58481090</v>
      </c>
      <c r="E217" t="str">
        <f>IFERROR(VLOOKUP(원본데이터_SK!F217,채널매핑!$B:$D,3,0),"미매핑")</f>
        <v>미매핑</v>
      </c>
      <c r="F217">
        <f>IFERROR(VLOOKUP(원본데이터_SK!F217,채널매핑!$B:$E,4,0),1)</f>
        <v>1</v>
      </c>
      <c r="G217">
        <f>원본데이터_SK!Q217</f>
        <v>1</v>
      </c>
      <c r="H217">
        <f>원본데이터_SK!O217</f>
        <v>119000</v>
      </c>
      <c r="I217">
        <f>원본데이터_SK!AG217</f>
        <v>119000</v>
      </c>
      <c r="J217">
        <f>원본데이터_SK!AH217</f>
        <v>82110</v>
      </c>
      <c r="K217">
        <f>IFERROR(VLOOKUP(E217,제품마스터!$A:$B,2,0),0)</f>
        <v>0</v>
      </c>
      <c r="L217">
        <f>원본데이터_SK!Q217*원본데이터_SK!P217</f>
        <v>82110</v>
      </c>
    </row>
    <row r="218" spans="1:12" x14ac:dyDescent="0.3">
      <c r="A218" t="s">
        <v>11</v>
      </c>
      <c r="B218" t="str">
        <f>원본데이터_SK!D218</f>
        <v>20260205993790</v>
      </c>
      <c r="C218" t="str">
        <f>IF(원본데이터_SK!M218="","",TEXT(원본데이터_SK!M218,"YYYY-MM-DD"))</f>
        <v>2026-02-07</v>
      </c>
      <c r="D218" t="str">
        <f>원본데이터_SK!F218</f>
        <v>58481090</v>
      </c>
      <c r="E218" t="str">
        <f>IFERROR(VLOOKUP(원본데이터_SK!F218,채널매핑!$B:$D,3,0),"미매핑")</f>
        <v>미매핑</v>
      </c>
      <c r="F218">
        <f>IFERROR(VLOOKUP(원본데이터_SK!F218,채널매핑!$B:$E,4,0),1)</f>
        <v>1</v>
      </c>
      <c r="G218">
        <f>원본데이터_SK!Q218</f>
        <v>1</v>
      </c>
      <c r="H218">
        <f>원본데이터_SK!O218</f>
        <v>119000</v>
      </c>
      <c r="I218">
        <f>원본데이터_SK!AG218</f>
        <v>119000</v>
      </c>
      <c r="J218">
        <f>원본데이터_SK!AH218</f>
        <v>82110</v>
      </c>
      <c r="K218">
        <f>IFERROR(VLOOKUP(E218,제품마스터!$A:$B,2,0),0)</f>
        <v>0</v>
      </c>
      <c r="L218">
        <f>원본데이터_SK!Q218*원본데이터_SK!P218</f>
        <v>82110</v>
      </c>
    </row>
    <row r="219" spans="1:12" x14ac:dyDescent="0.3">
      <c r="A219" t="s">
        <v>11</v>
      </c>
      <c r="B219" t="str">
        <f>원본데이터_SK!D219</f>
        <v>20260205993178</v>
      </c>
      <c r="C219" t="str">
        <f>IF(원본데이터_SK!M219="","",TEXT(원본데이터_SK!M219,"YYYY-MM-DD"))</f>
        <v>2026-02-07</v>
      </c>
      <c r="D219" t="str">
        <f>원본데이터_SK!F219</f>
        <v>58481090</v>
      </c>
      <c r="E219" t="str">
        <f>IFERROR(VLOOKUP(원본데이터_SK!F219,채널매핑!$B:$D,3,0),"미매핑")</f>
        <v>미매핑</v>
      </c>
      <c r="F219">
        <f>IFERROR(VLOOKUP(원본데이터_SK!F219,채널매핑!$B:$E,4,0),1)</f>
        <v>1</v>
      </c>
      <c r="G219">
        <f>원본데이터_SK!Q219</f>
        <v>1</v>
      </c>
      <c r="H219">
        <f>원본데이터_SK!O219</f>
        <v>119000</v>
      </c>
      <c r="I219">
        <f>원본데이터_SK!AG219</f>
        <v>109000</v>
      </c>
      <c r="J219">
        <f>원본데이터_SK!AH219</f>
        <v>82110</v>
      </c>
      <c r="K219">
        <f>IFERROR(VLOOKUP(E219,제품마스터!$A:$B,2,0),0)</f>
        <v>0</v>
      </c>
      <c r="L219">
        <f>원본데이터_SK!Q219*원본데이터_SK!P219</f>
        <v>82110</v>
      </c>
    </row>
    <row r="220" spans="1:12" x14ac:dyDescent="0.3">
      <c r="A220" t="s">
        <v>11</v>
      </c>
      <c r="B220" t="str">
        <f>원본데이터_SK!D220</f>
        <v>20260205995500</v>
      </c>
      <c r="C220" t="str">
        <f>IF(원본데이터_SK!M220="","",TEXT(원본데이터_SK!M220,"YYYY-MM-DD"))</f>
        <v>2026-02-07</v>
      </c>
      <c r="D220" t="str">
        <f>원본데이터_SK!F220</f>
        <v>58481090</v>
      </c>
      <c r="E220" t="str">
        <f>IFERROR(VLOOKUP(원본데이터_SK!F220,채널매핑!$B:$D,3,0),"미매핑")</f>
        <v>미매핑</v>
      </c>
      <c r="F220">
        <f>IFERROR(VLOOKUP(원본데이터_SK!F220,채널매핑!$B:$E,4,0),1)</f>
        <v>1</v>
      </c>
      <c r="G220">
        <f>원본데이터_SK!Q220</f>
        <v>1</v>
      </c>
      <c r="H220">
        <f>원본데이터_SK!O220</f>
        <v>119000</v>
      </c>
      <c r="I220">
        <f>원본데이터_SK!AG220</f>
        <v>119000</v>
      </c>
      <c r="J220">
        <f>원본데이터_SK!AH220</f>
        <v>82110</v>
      </c>
      <c r="K220">
        <f>IFERROR(VLOOKUP(E220,제품마스터!$A:$B,2,0),0)</f>
        <v>0</v>
      </c>
      <c r="L220">
        <f>원본데이터_SK!Q220*원본데이터_SK!P220</f>
        <v>82110</v>
      </c>
    </row>
    <row r="221" spans="1:12" x14ac:dyDescent="0.3">
      <c r="A221" t="s">
        <v>11</v>
      </c>
      <c r="B221" t="str">
        <f>원본데이터_SK!D221</f>
        <v>20260205995571</v>
      </c>
      <c r="C221" t="str">
        <f>IF(원본데이터_SK!M221="","",TEXT(원본데이터_SK!M221,"YYYY-MM-DD"))</f>
        <v>2026-02-07</v>
      </c>
      <c r="D221" t="str">
        <f>원본데이터_SK!F221</f>
        <v>58481090</v>
      </c>
      <c r="E221" t="str">
        <f>IFERROR(VLOOKUP(원본데이터_SK!F221,채널매핑!$B:$D,3,0),"미매핑")</f>
        <v>미매핑</v>
      </c>
      <c r="F221">
        <f>IFERROR(VLOOKUP(원본데이터_SK!F221,채널매핑!$B:$E,4,0),1)</f>
        <v>1</v>
      </c>
      <c r="G221">
        <f>원본데이터_SK!Q221</f>
        <v>1</v>
      </c>
      <c r="H221">
        <f>원본데이터_SK!O221</f>
        <v>119000</v>
      </c>
      <c r="I221">
        <f>원본데이터_SK!AG221</f>
        <v>101150</v>
      </c>
      <c r="J221">
        <f>원본데이터_SK!AH221</f>
        <v>82110</v>
      </c>
      <c r="K221">
        <f>IFERROR(VLOOKUP(E221,제품마스터!$A:$B,2,0),0)</f>
        <v>0</v>
      </c>
      <c r="L221">
        <f>원본데이터_SK!Q221*원본데이터_SK!P221</f>
        <v>82110</v>
      </c>
    </row>
    <row r="222" spans="1:12" x14ac:dyDescent="0.3">
      <c r="A222" t="s">
        <v>11</v>
      </c>
      <c r="B222" t="str">
        <f>원본데이터_SK!D222</f>
        <v>20260205994980</v>
      </c>
      <c r="C222" t="str">
        <f>IF(원본데이터_SK!M222="","",TEXT(원본데이터_SK!M222,"YYYY-MM-DD"))</f>
        <v>2026-02-07</v>
      </c>
      <c r="D222" t="str">
        <f>원본데이터_SK!F222</f>
        <v>58481090</v>
      </c>
      <c r="E222" t="str">
        <f>IFERROR(VLOOKUP(원본데이터_SK!F222,채널매핑!$B:$D,3,0),"미매핑")</f>
        <v>미매핑</v>
      </c>
      <c r="F222">
        <f>IFERROR(VLOOKUP(원본데이터_SK!F222,채널매핑!$B:$E,4,0),1)</f>
        <v>1</v>
      </c>
      <c r="G222">
        <f>원본데이터_SK!Q222</f>
        <v>1</v>
      </c>
      <c r="H222">
        <f>원본데이터_SK!O222</f>
        <v>119000</v>
      </c>
      <c r="I222">
        <f>원본데이터_SK!AG222</f>
        <v>119000</v>
      </c>
      <c r="J222">
        <f>원본데이터_SK!AH222</f>
        <v>82110</v>
      </c>
      <c r="K222">
        <f>IFERROR(VLOOKUP(E222,제품마스터!$A:$B,2,0),0)</f>
        <v>0</v>
      </c>
      <c r="L222">
        <f>원본데이터_SK!Q222*원본데이터_SK!P222</f>
        <v>82110</v>
      </c>
    </row>
    <row r="223" spans="1:12" x14ac:dyDescent="0.3">
      <c r="A223" t="s">
        <v>11</v>
      </c>
      <c r="B223" t="str">
        <f>원본데이터_SK!D223</f>
        <v>20260205992733</v>
      </c>
      <c r="C223" t="str">
        <f>IF(원본데이터_SK!M223="","",TEXT(원본데이터_SK!M223,"YYYY-MM-DD"))</f>
        <v>2026-02-07</v>
      </c>
      <c r="D223" t="str">
        <f>원본데이터_SK!F223</f>
        <v>58481090</v>
      </c>
      <c r="E223" t="str">
        <f>IFERROR(VLOOKUP(원본데이터_SK!F223,채널매핑!$B:$D,3,0),"미매핑")</f>
        <v>미매핑</v>
      </c>
      <c r="F223">
        <f>IFERROR(VLOOKUP(원본데이터_SK!F223,채널매핑!$B:$E,4,0),1)</f>
        <v>1</v>
      </c>
      <c r="G223">
        <f>원본데이터_SK!Q223</f>
        <v>1</v>
      </c>
      <c r="H223">
        <f>원본데이터_SK!O223</f>
        <v>119000</v>
      </c>
      <c r="I223">
        <f>원본데이터_SK!AG223</f>
        <v>119000</v>
      </c>
      <c r="J223">
        <f>원본데이터_SK!AH223</f>
        <v>82110</v>
      </c>
      <c r="K223">
        <f>IFERROR(VLOOKUP(E223,제품마스터!$A:$B,2,0),0)</f>
        <v>0</v>
      </c>
      <c r="L223">
        <f>원본데이터_SK!Q223*원본데이터_SK!P223</f>
        <v>82110</v>
      </c>
    </row>
    <row r="224" spans="1:12" x14ac:dyDescent="0.3">
      <c r="A224" t="s">
        <v>11</v>
      </c>
      <c r="B224" t="str">
        <f>원본데이터_SK!D224</f>
        <v>20260205992956</v>
      </c>
      <c r="C224" t="str">
        <f>IF(원본데이터_SK!M224="","",TEXT(원본데이터_SK!M224,"YYYY-MM-DD"))</f>
        <v>2026-02-07</v>
      </c>
      <c r="D224" t="str">
        <f>원본데이터_SK!F224</f>
        <v>58481090</v>
      </c>
      <c r="E224" t="str">
        <f>IFERROR(VLOOKUP(원본데이터_SK!F224,채널매핑!$B:$D,3,0),"미매핑")</f>
        <v>미매핑</v>
      </c>
      <c r="F224">
        <f>IFERROR(VLOOKUP(원본데이터_SK!F224,채널매핑!$B:$E,4,0),1)</f>
        <v>1</v>
      </c>
      <c r="G224">
        <f>원본데이터_SK!Q224</f>
        <v>1</v>
      </c>
      <c r="H224">
        <f>원본데이터_SK!O224</f>
        <v>119000</v>
      </c>
      <c r="I224">
        <f>원본데이터_SK!AG224</f>
        <v>119000</v>
      </c>
      <c r="J224">
        <f>원본데이터_SK!AH224</f>
        <v>82110</v>
      </c>
      <c r="K224">
        <f>IFERROR(VLOOKUP(E224,제품마스터!$A:$B,2,0),0)</f>
        <v>0</v>
      </c>
      <c r="L224">
        <f>원본데이터_SK!Q224*원본데이터_SK!P224</f>
        <v>82110</v>
      </c>
    </row>
    <row r="225" spans="1:12" x14ac:dyDescent="0.3">
      <c r="A225" t="s">
        <v>11</v>
      </c>
      <c r="B225" t="str">
        <f>원본데이터_SK!D225</f>
        <v>20260205994593</v>
      </c>
      <c r="C225" t="str">
        <f>IF(원본데이터_SK!M225="","",TEXT(원본데이터_SK!M225,"YYYY-MM-DD"))</f>
        <v>2026-02-07</v>
      </c>
      <c r="D225" t="str">
        <f>원본데이터_SK!F225</f>
        <v>58481090</v>
      </c>
      <c r="E225" t="str">
        <f>IFERROR(VLOOKUP(원본데이터_SK!F225,채널매핑!$B:$D,3,0),"미매핑")</f>
        <v>미매핑</v>
      </c>
      <c r="F225">
        <f>IFERROR(VLOOKUP(원본데이터_SK!F225,채널매핑!$B:$E,4,0),1)</f>
        <v>1</v>
      </c>
      <c r="G225">
        <f>원본데이터_SK!Q225</f>
        <v>1</v>
      </c>
      <c r="H225">
        <f>원본데이터_SK!O225</f>
        <v>119000</v>
      </c>
      <c r="I225">
        <f>원본데이터_SK!AG225</f>
        <v>119000</v>
      </c>
      <c r="J225">
        <f>원본데이터_SK!AH225</f>
        <v>82110</v>
      </c>
      <c r="K225">
        <f>IFERROR(VLOOKUP(E225,제품마스터!$A:$B,2,0),0)</f>
        <v>0</v>
      </c>
      <c r="L225">
        <f>원본데이터_SK!Q225*원본데이터_SK!P225</f>
        <v>82110</v>
      </c>
    </row>
    <row r="226" spans="1:12" x14ac:dyDescent="0.3">
      <c r="A226" t="s">
        <v>11</v>
      </c>
      <c r="B226" t="str">
        <f>원본데이터_SK!D226</f>
        <v>20260205994146</v>
      </c>
      <c r="C226" t="str">
        <f>IF(원본데이터_SK!M226="","",TEXT(원본데이터_SK!M226,"YYYY-MM-DD"))</f>
        <v>2026-02-07</v>
      </c>
      <c r="D226" t="str">
        <f>원본데이터_SK!F226</f>
        <v>58481090</v>
      </c>
      <c r="E226" t="str">
        <f>IFERROR(VLOOKUP(원본데이터_SK!F226,채널매핑!$B:$D,3,0),"미매핑")</f>
        <v>미매핑</v>
      </c>
      <c r="F226">
        <f>IFERROR(VLOOKUP(원본데이터_SK!F226,채널매핑!$B:$E,4,0),1)</f>
        <v>1</v>
      </c>
      <c r="G226">
        <f>원본데이터_SK!Q226</f>
        <v>1</v>
      </c>
      <c r="H226">
        <f>원본데이터_SK!O226</f>
        <v>119000</v>
      </c>
      <c r="I226">
        <f>원본데이터_SK!AG226</f>
        <v>119000</v>
      </c>
      <c r="J226">
        <f>원본데이터_SK!AH226</f>
        <v>82110</v>
      </c>
      <c r="K226">
        <f>IFERROR(VLOOKUP(E226,제품마스터!$A:$B,2,0),0)</f>
        <v>0</v>
      </c>
      <c r="L226">
        <f>원본데이터_SK!Q226*원본데이터_SK!P226</f>
        <v>82110</v>
      </c>
    </row>
    <row r="227" spans="1:12" x14ac:dyDescent="0.3">
      <c r="A227" t="s">
        <v>11</v>
      </c>
      <c r="B227" t="str">
        <f>원본데이터_SK!D227</f>
        <v>20260205993672</v>
      </c>
      <c r="C227" t="str">
        <f>IF(원본데이터_SK!M227="","",TEXT(원본데이터_SK!M227,"YYYY-MM-DD"))</f>
        <v>2026-02-07</v>
      </c>
      <c r="D227" t="str">
        <f>원본데이터_SK!F227</f>
        <v>58481090</v>
      </c>
      <c r="E227" t="str">
        <f>IFERROR(VLOOKUP(원본데이터_SK!F227,채널매핑!$B:$D,3,0),"미매핑")</f>
        <v>미매핑</v>
      </c>
      <c r="F227">
        <f>IFERROR(VLOOKUP(원본데이터_SK!F227,채널매핑!$B:$E,4,0),1)</f>
        <v>1</v>
      </c>
      <c r="G227">
        <f>원본데이터_SK!Q227</f>
        <v>1</v>
      </c>
      <c r="H227">
        <f>원본데이터_SK!O227</f>
        <v>119000</v>
      </c>
      <c r="I227">
        <f>원본데이터_SK!AG227</f>
        <v>119000</v>
      </c>
      <c r="J227">
        <f>원본데이터_SK!AH227</f>
        <v>82110</v>
      </c>
      <c r="K227">
        <f>IFERROR(VLOOKUP(E227,제품마스터!$A:$B,2,0),0)</f>
        <v>0</v>
      </c>
      <c r="L227">
        <f>원본데이터_SK!Q227*원본데이터_SK!P227</f>
        <v>82110</v>
      </c>
    </row>
    <row r="228" spans="1:12" x14ac:dyDescent="0.3">
      <c r="A228" t="s">
        <v>11</v>
      </c>
      <c r="B228" t="str">
        <f>원본데이터_SK!D228</f>
        <v>20260205994792</v>
      </c>
      <c r="C228" t="str">
        <f>IF(원본데이터_SK!M228="","",TEXT(원본데이터_SK!M228,"YYYY-MM-DD"))</f>
        <v>2026-02-07</v>
      </c>
      <c r="D228" t="str">
        <f>원본데이터_SK!F228</f>
        <v>58481090</v>
      </c>
      <c r="E228" t="str">
        <f>IFERROR(VLOOKUP(원본데이터_SK!F228,채널매핑!$B:$D,3,0),"미매핑")</f>
        <v>미매핑</v>
      </c>
      <c r="F228">
        <f>IFERROR(VLOOKUP(원본데이터_SK!F228,채널매핑!$B:$E,4,0),1)</f>
        <v>1</v>
      </c>
      <c r="G228">
        <f>원본데이터_SK!Q228</f>
        <v>1</v>
      </c>
      <c r="H228">
        <f>원본데이터_SK!O228</f>
        <v>119000</v>
      </c>
      <c r="I228">
        <f>원본데이터_SK!AG228</f>
        <v>119000</v>
      </c>
      <c r="J228">
        <f>원본데이터_SK!AH228</f>
        <v>82110</v>
      </c>
      <c r="K228">
        <f>IFERROR(VLOOKUP(E228,제품마스터!$A:$B,2,0),0)</f>
        <v>0</v>
      </c>
      <c r="L228">
        <f>원본데이터_SK!Q228*원본데이터_SK!P228</f>
        <v>82110</v>
      </c>
    </row>
    <row r="229" spans="1:12" x14ac:dyDescent="0.3">
      <c r="A229" t="s">
        <v>11</v>
      </c>
      <c r="B229" t="str">
        <f>원본데이터_SK!D229</f>
        <v>20260205994934</v>
      </c>
      <c r="C229" t="str">
        <f>IF(원본데이터_SK!M229="","",TEXT(원본데이터_SK!M229,"YYYY-MM-DD"))</f>
        <v>2026-02-07</v>
      </c>
      <c r="D229" t="str">
        <f>원본데이터_SK!F229</f>
        <v>58481090</v>
      </c>
      <c r="E229" t="str">
        <f>IFERROR(VLOOKUP(원본데이터_SK!F229,채널매핑!$B:$D,3,0),"미매핑")</f>
        <v>미매핑</v>
      </c>
      <c r="F229">
        <f>IFERROR(VLOOKUP(원본데이터_SK!F229,채널매핑!$B:$E,4,0),1)</f>
        <v>1</v>
      </c>
      <c r="G229">
        <f>원본데이터_SK!Q229</f>
        <v>1</v>
      </c>
      <c r="H229">
        <f>원본데이터_SK!O229</f>
        <v>119000</v>
      </c>
      <c r="I229">
        <f>원본데이터_SK!AG229</f>
        <v>119000</v>
      </c>
      <c r="J229">
        <f>원본데이터_SK!AH229</f>
        <v>82110</v>
      </c>
      <c r="K229">
        <f>IFERROR(VLOOKUP(E229,제품마스터!$A:$B,2,0),0)</f>
        <v>0</v>
      </c>
      <c r="L229">
        <f>원본데이터_SK!Q229*원본데이터_SK!P229</f>
        <v>82110</v>
      </c>
    </row>
    <row r="230" spans="1:12" x14ac:dyDescent="0.3">
      <c r="A230" t="s">
        <v>11</v>
      </c>
      <c r="B230" t="str">
        <f>원본데이터_SK!D230</f>
        <v>20260205993519</v>
      </c>
      <c r="C230" t="str">
        <f>IF(원본데이터_SK!M230="","",TEXT(원본데이터_SK!M230,"YYYY-MM-DD"))</f>
        <v>2026-02-07</v>
      </c>
      <c r="D230" t="str">
        <f>원본데이터_SK!F230</f>
        <v>58481090</v>
      </c>
      <c r="E230" t="str">
        <f>IFERROR(VLOOKUP(원본데이터_SK!F230,채널매핑!$B:$D,3,0),"미매핑")</f>
        <v>미매핑</v>
      </c>
      <c r="F230">
        <f>IFERROR(VLOOKUP(원본데이터_SK!F230,채널매핑!$B:$E,4,0),1)</f>
        <v>1</v>
      </c>
      <c r="G230">
        <f>원본데이터_SK!Q230</f>
        <v>1</v>
      </c>
      <c r="H230">
        <f>원본데이터_SK!O230</f>
        <v>119000</v>
      </c>
      <c r="I230">
        <f>원본데이터_SK!AG230</f>
        <v>99960</v>
      </c>
      <c r="J230">
        <f>원본데이터_SK!AH230</f>
        <v>82110</v>
      </c>
      <c r="K230">
        <f>IFERROR(VLOOKUP(E230,제품마스터!$A:$B,2,0),0)</f>
        <v>0</v>
      </c>
      <c r="L230">
        <f>원본데이터_SK!Q230*원본데이터_SK!P230</f>
        <v>82110</v>
      </c>
    </row>
    <row r="231" spans="1:12" x14ac:dyDescent="0.3">
      <c r="A231" t="s">
        <v>11</v>
      </c>
      <c r="B231" t="str">
        <f>원본데이터_SK!D231</f>
        <v>20260205992372</v>
      </c>
      <c r="C231" t="str">
        <f>IF(원본데이터_SK!M231="","",TEXT(원본데이터_SK!M231,"YYYY-MM-DD"))</f>
        <v>2026-02-07</v>
      </c>
      <c r="D231" t="str">
        <f>원본데이터_SK!F231</f>
        <v>58481090</v>
      </c>
      <c r="E231" t="str">
        <f>IFERROR(VLOOKUP(원본데이터_SK!F231,채널매핑!$B:$D,3,0),"미매핑")</f>
        <v>미매핑</v>
      </c>
      <c r="F231">
        <f>IFERROR(VLOOKUP(원본데이터_SK!F231,채널매핑!$B:$E,4,0),1)</f>
        <v>1</v>
      </c>
      <c r="G231">
        <f>원본데이터_SK!Q231</f>
        <v>2</v>
      </c>
      <c r="H231">
        <f>원본데이터_SK!O231</f>
        <v>119000</v>
      </c>
      <c r="I231">
        <f>원본데이터_SK!AG231</f>
        <v>238000</v>
      </c>
      <c r="J231">
        <f>원본데이터_SK!AH231</f>
        <v>164220</v>
      </c>
      <c r="K231">
        <f>IFERROR(VLOOKUP(E231,제품마스터!$A:$B,2,0),0)</f>
        <v>0</v>
      </c>
      <c r="L231">
        <f>원본데이터_SK!Q231*원본데이터_SK!P231</f>
        <v>164220</v>
      </c>
    </row>
    <row r="232" spans="1:12" x14ac:dyDescent="0.3">
      <c r="A232" t="s">
        <v>11</v>
      </c>
      <c r="B232" t="str">
        <f>원본데이터_SK!D232</f>
        <v>20260205994821</v>
      </c>
      <c r="C232" t="str">
        <f>IF(원본데이터_SK!M232="","",TEXT(원본데이터_SK!M232,"YYYY-MM-DD"))</f>
        <v>2026-02-07</v>
      </c>
      <c r="D232" t="str">
        <f>원본데이터_SK!F232</f>
        <v>58481090</v>
      </c>
      <c r="E232" t="str">
        <f>IFERROR(VLOOKUP(원본데이터_SK!F232,채널매핑!$B:$D,3,0),"미매핑")</f>
        <v>미매핑</v>
      </c>
      <c r="F232">
        <f>IFERROR(VLOOKUP(원본데이터_SK!F232,채널매핑!$B:$E,4,0),1)</f>
        <v>1</v>
      </c>
      <c r="G232">
        <f>원본데이터_SK!Q232</f>
        <v>1</v>
      </c>
      <c r="H232">
        <f>원본데이터_SK!O232</f>
        <v>119000</v>
      </c>
      <c r="I232">
        <f>원본데이터_SK!AG232</f>
        <v>119000</v>
      </c>
      <c r="J232">
        <f>원본데이터_SK!AH232</f>
        <v>82110</v>
      </c>
      <c r="K232">
        <f>IFERROR(VLOOKUP(E232,제품마스터!$A:$B,2,0),0)</f>
        <v>0</v>
      </c>
      <c r="L232">
        <f>원본데이터_SK!Q232*원본데이터_SK!P232</f>
        <v>82110</v>
      </c>
    </row>
    <row r="233" spans="1:12" x14ac:dyDescent="0.3">
      <c r="A233" t="s">
        <v>11</v>
      </c>
      <c r="B233" t="str">
        <f>원본데이터_SK!D233</f>
        <v>20260205994969</v>
      </c>
      <c r="C233" t="str">
        <f>IF(원본데이터_SK!M233="","",TEXT(원본데이터_SK!M233,"YYYY-MM-DD"))</f>
        <v>2026-02-07</v>
      </c>
      <c r="D233" t="str">
        <f>원본데이터_SK!F233</f>
        <v>58481090</v>
      </c>
      <c r="E233" t="str">
        <f>IFERROR(VLOOKUP(원본데이터_SK!F233,채널매핑!$B:$D,3,0),"미매핑")</f>
        <v>미매핑</v>
      </c>
      <c r="F233">
        <f>IFERROR(VLOOKUP(원본데이터_SK!F233,채널매핑!$B:$E,4,0),1)</f>
        <v>1</v>
      </c>
      <c r="G233">
        <f>원본데이터_SK!Q233</f>
        <v>1</v>
      </c>
      <c r="H233">
        <f>원본데이터_SK!O233</f>
        <v>119000</v>
      </c>
      <c r="I233">
        <f>원본데이터_SK!AG233</f>
        <v>119000</v>
      </c>
      <c r="J233">
        <f>원본데이터_SK!AH233</f>
        <v>82110</v>
      </c>
      <c r="K233">
        <f>IFERROR(VLOOKUP(E233,제품마스터!$A:$B,2,0),0)</f>
        <v>0</v>
      </c>
      <c r="L233">
        <f>원본데이터_SK!Q233*원본데이터_SK!P233</f>
        <v>82110</v>
      </c>
    </row>
    <row r="234" spans="1:12" x14ac:dyDescent="0.3">
      <c r="A234" t="s">
        <v>11</v>
      </c>
      <c r="B234" t="str">
        <f>원본데이터_SK!D234</f>
        <v>20260205994017</v>
      </c>
      <c r="C234" t="str">
        <f>IF(원본데이터_SK!M234="","",TEXT(원본데이터_SK!M234,"YYYY-MM-DD"))</f>
        <v>2026-02-07</v>
      </c>
      <c r="D234" t="str">
        <f>원본데이터_SK!F234</f>
        <v>58481090</v>
      </c>
      <c r="E234" t="str">
        <f>IFERROR(VLOOKUP(원본데이터_SK!F234,채널매핑!$B:$D,3,0),"미매핑")</f>
        <v>미매핑</v>
      </c>
      <c r="F234">
        <f>IFERROR(VLOOKUP(원본데이터_SK!F234,채널매핑!$B:$E,4,0),1)</f>
        <v>1</v>
      </c>
      <c r="G234">
        <f>원본데이터_SK!Q234</f>
        <v>1</v>
      </c>
      <c r="H234">
        <f>원본데이터_SK!O234</f>
        <v>119000</v>
      </c>
      <c r="I234">
        <f>원본데이터_SK!AG234</f>
        <v>113050</v>
      </c>
      <c r="J234">
        <f>원본데이터_SK!AH234</f>
        <v>82110</v>
      </c>
      <c r="K234">
        <f>IFERROR(VLOOKUP(E234,제품마스터!$A:$B,2,0),0)</f>
        <v>0</v>
      </c>
      <c r="L234">
        <f>원본데이터_SK!Q234*원본데이터_SK!P234</f>
        <v>82110</v>
      </c>
    </row>
    <row r="235" spans="1:12" x14ac:dyDescent="0.3">
      <c r="A235" t="s">
        <v>11</v>
      </c>
      <c r="B235" t="str">
        <f>원본데이터_SK!D235</f>
        <v>20260205994011</v>
      </c>
      <c r="C235" t="str">
        <f>IF(원본데이터_SK!M235="","",TEXT(원본데이터_SK!M235,"YYYY-MM-DD"))</f>
        <v>2026-02-07</v>
      </c>
      <c r="D235" t="str">
        <f>원본데이터_SK!F235</f>
        <v>58481090</v>
      </c>
      <c r="E235" t="str">
        <f>IFERROR(VLOOKUP(원본데이터_SK!F235,채널매핑!$B:$D,3,0),"미매핑")</f>
        <v>미매핑</v>
      </c>
      <c r="F235">
        <f>IFERROR(VLOOKUP(원본데이터_SK!F235,채널매핑!$B:$E,4,0),1)</f>
        <v>1</v>
      </c>
      <c r="G235">
        <f>원본데이터_SK!Q235</f>
        <v>1</v>
      </c>
      <c r="H235">
        <f>원본데이터_SK!O235</f>
        <v>119000</v>
      </c>
      <c r="I235">
        <f>원본데이터_SK!AG235</f>
        <v>119000</v>
      </c>
      <c r="J235">
        <f>원본데이터_SK!AH235</f>
        <v>82110</v>
      </c>
      <c r="K235">
        <f>IFERROR(VLOOKUP(E235,제품마스터!$A:$B,2,0),0)</f>
        <v>0</v>
      </c>
      <c r="L235">
        <f>원본데이터_SK!Q235*원본데이터_SK!P235</f>
        <v>82110</v>
      </c>
    </row>
    <row r="236" spans="1:12" x14ac:dyDescent="0.3">
      <c r="A236" t="s">
        <v>11</v>
      </c>
      <c r="B236" t="str">
        <f>원본데이터_SK!D236</f>
        <v>20260205994772</v>
      </c>
      <c r="C236" t="str">
        <f>IF(원본데이터_SK!M236="","",TEXT(원본데이터_SK!M236,"YYYY-MM-DD"))</f>
        <v>2026-02-07</v>
      </c>
      <c r="D236" t="str">
        <f>원본데이터_SK!F236</f>
        <v>58481090</v>
      </c>
      <c r="E236" t="str">
        <f>IFERROR(VLOOKUP(원본데이터_SK!F236,채널매핑!$B:$D,3,0),"미매핑")</f>
        <v>미매핑</v>
      </c>
      <c r="F236">
        <f>IFERROR(VLOOKUP(원본데이터_SK!F236,채널매핑!$B:$E,4,0),1)</f>
        <v>1</v>
      </c>
      <c r="G236">
        <f>원본데이터_SK!Q236</f>
        <v>1</v>
      </c>
      <c r="H236">
        <f>원본데이터_SK!O236</f>
        <v>119000</v>
      </c>
      <c r="I236">
        <f>원본데이터_SK!AG236</f>
        <v>119000</v>
      </c>
      <c r="J236">
        <f>원본데이터_SK!AH236</f>
        <v>82110</v>
      </c>
      <c r="K236">
        <f>IFERROR(VLOOKUP(E236,제품마스터!$A:$B,2,0),0)</f>
        <v>0</v>
      </c>
      <c r="L236">
        <f>원본데이터_SK!Q236*원본데이터_SK!P236</f>
        <v>82110</v>
      </c>
    </row>
    <row r="237" spans="1:12" x14ac:dyDescent="0.3">
      <c r="A237" t="s">
        <v>11</v>
      </c>
      <c r="B237" t="str">
        <f>원본데이터_SK!D237</f>
        <v>20260205994841</v>
      </c>
      <c r="C237" t="str">
        <f>IF(원본데이터_SK!M237="","",TEXT(원본데이터_SK!M237,"YYYY-MM-DD"))</f>
        <v>2026-02-07</v>
      </c>
      <c r="D237" t="str">
        <f>원본데이터_SK!F237</f>
        <v>58481090</v>
      </c>
      <c r="E237" t="str">
        <f>IFERROR(VLOOKUP(원본데이터_SK!F237,채널매핑!$B:$D,3,0),"미매핑")</f>
        <v>미매핑</v>
      </c>
      <c r="F237">
        <f>IFERROR(VLOOKUP(원본데이터_SK!F237,채널매핑!$B:$E,4,0),1)</f>
        <v>1</v>
      </c>
      <c r="G237">
        <f>원본데이터_SK!Q237</f>
        <v>1</v>
      </c>
      <c r="H237">
        <f>원본데이터_SK!O237</f>
        <v>119000</v>
      </c>
      <c r="I237">
        <f>원본데이터_SK!AG237</f>
        <v>109000</v>
      </c>
      <c r="J237">
        <f>원본데이터_SK!AH237</f>
        <v>82110</v>
      </c>
      <c r="K237">
        <f>IFERROR(VLOOKUP(E237,제품마스터!$A:$B,2,0),0)</f>
        <v>0</v>
      </c>
      <c r="L237">
        <f>원본데이터_SK!Q237*원본데이터_SK!P237</f>
        <v>82110</v>
      </c>
    </row>
    <row r="238" spans="1:12" x14ac:dyDescent="0.3">
      <c r="A238" t="s">
        <v>11</v>
      </c>
      <c r="B238" t="str">
        <f>원본데이터_SK!D238</f>
        <v>20260205993648</v>
      </c>
      <c r="C238" t="str">
        <f>IF(원본데이터_SK!M238="","",TEXT(원본데이터_SK!M238,"YYYY-MM-DD"))</f>
        <v>2026-02-07</v>
      </c>
      <c r="D238" t="str">
        <f>원본데이터_SK!F238</f>
        <v>58481090</v>
      </c>
      <c r="E238" t="str">
        <f>IFERROR(VLOOKUP(원본데이터_SK!F238,채널매핑!$B:$D,3,0),"미매핑")</f>
        <v>미매핑</v>
      </c>
      <c r="F238">
        <f>IFERROR(VLOOKUP(원본데이터_SK!F238,채널매핑!$B:$E,4,0),1)</f>
        <v>1</v>
      </c>
      <c r="G238">
        <f>원본데이터_SK!Q238</f>
        <v>1</v>
      </c>
      <c r="H238">
        <f>원본데이터_SK!O238</f>
        <v>119000</v>
      </c>
      <c r="I238">
        <f>원본데이터_SK!AG238</f>
        <v>119000</v>
      </c>
      <c r="J238">
        <f>원본데이터_SK!AH238</f>
        <v>82110</v>
      </c>
      <c r="K238">
        <f>IFERROR(VLOOKUP(E238,제품마스터!$A:$B,2,0),0)</f>
        <v>0</v>
      </c>
      <c r="L238">
        <f>원본데이터_SK!Q238*원본데이터_SK!P238</f>
        <v>82110</v>
      </c>
    </row>
    <row r="239" spans="1:12" x14ac:dyDescent="0.3">
      <c r="A239" t="s">
        <v>11</v>
      </c>
      <c r="B239" t="str">
        <f>원본데이터_SK!D239</f>
        <v>20260205992386</v>
      </c>
      <c r="C239" t="str">
        <f>IF(원본데이터_SK!M239="","",TEXT(원본데이터_SK!M239,"YYYY-MM-DD"))</f>
        <v>2026-02-07</v>
      </c>
      <c r="D239" t="str">
        <f>원본데이터_SK!F239</f>
        <v>58481090</v>
      </c>
      <c r="E239" t="str">
        <f>IFERROR(VLOOKUP(원본데이터_SK!F239,채널매핑!$B:$D,3,0),"미매핑")</f>
        <v>미매핑</v>
      </c>
      <c r="F239">
        <f>IFERROR(VLOOKUP(원본데이터_SK!F239,채널매핑!$B:$E,4,0),1)</f>
        <v>1</v>
      </c>
      <c r="G239">
        <f>원본데이터_SK!Q239</f>
        <v>1</v>
      </c>
      <c r="H239">
        <f>원본데이터_SK!O239</f>
        <v>119000</v>
      </c>
      <c r="I239">
        <f>원본데이터_SK!AG239</f>
        <v>119000</v>
      </c>
      <c r="J239">
        <f>원본데이터_SK!AH239</f>
        <v>82110</v>
      </c>
      <c r="K239">
        <f>IFERROR(VLOOKUP(E239,제품마스터!$A:$B,2,0),0)</f>
        <v>0</v>
      </c>
      <c r="L239">
        <f>원본데이터_SK!Q239*원본데이터_SK!P239</f>
        <v>82110</v>
      </c>
    </row>
    <row r="240" spans="1:12" x14ac:dyDescent="0.3">
      <c r="A240" t="s">
        <v>11</v>
      </c>
      <c r="B240" t="str">
        <f>원본데이터_SK!D240</f>
        <v>20260205995406</v>
      </c>
      <c r="C240" t="str">
        <f>IF(원본데이터_SK!M240="","",TEXT(원본데이터_SK!M240,"YYYY-MM-DD"))</f>
        <v>2026-02-07</v>
      </c>
      <c r="D240" t="str">
        <f>원본데이터_SK!F240</f>
        <v>58481090</v>
      </c>
      <c r="E240" t="str">
        <f>IFERROR(VLOOKUP(원본데이터_SK!F240,채널매핑!$B:$D,3,0),"미매핑")</f>
        <v>미매핑</v>
      </c>
      <c r="F240">
        <f>IFERROR(VLOOKUP(원본데이터_SK!F240,채널매핑!$B:$E,4,0),1)</f>
        <v>1</v>
      </c>
      <c r="G240">
        <f>원본데이터_SK!Q240</f>
        <v>1</v>
      </c>
      <c r="H240">
        <f>원본데이터_SK!O240</f>
        <v>119000</v>
      </c>
      <c r="I240">
        <f>원본데이터_SK!AG240</f>
        <v>119000</v>
      </c>
      <c r="J240">
        <f>원본데이터_SK!AH240</f>
        <v>82110</v>
      </c>
      <c r="K240">
        <f>IFERROR(VLOOKUP(E240,제품마스터!$A:$B,2,0),0)</f>
        <v>0</v>
      </c>
      <c r="L240">
        <f>원본데이터_SK!Q240*원본데이터_SK!P240</f>
        <v>82110</v>
      </c>
    </row>
    <row r="241" spans="1:12" x14ac:dyDescent="0.3">
      <c r="A241" t="s">
        <v>11</v>
      </c>
      <c r="B241" t="str">
        <f>원본데이터_SK!D241</f>
        <v>20260205993902</v>
      </c>
      <c r="C241" t="str">
        <f>IF(원본데이터_SK!M241="","",TEXT(원본데이터_SK!M241,"YYYY-MM-DD"))</f>
        <v>2026-02-07</v>
      </c>
      <c r="D241" t="str">
        <f>원본데이터_SK!F241</f>
        <v>58481090</v>
      </c>
      <c r="E241" t="str">
        <f>IFERROR(VLOOKUP(원본데이터_SK!F241,채널매핑!$B:$D,3,0),"미매핑")</f>
        <v>미매핑</v>
      </c>
      <c r="F241">
        <f>IFERROR(VLOOKUP(원본데이터_SK!F241,채널매핑!$B:$E,4,0),1)</f>
        <v>1</v>
      </c>
      <c r="G241">
        <f>원본데이터_SK!Q241</f>
        <v>1</v>
      </c>
      <c r="H241">
        <f>원본데이터_SK!O241</f>
        <v>119000</v>
      </c>
      <c r="I241">
        <f>원본데이터_SK!AG241</f>
        <v>113050</v>
      </c>
      <c r="J241">
        <f>원본데이터_SK!AH241</f>
        <v>82110</v>
      </c>
      <c r="K241">
        <f>IFERROR(VLOOKUP(E241,제품마스터!$A:$B,2,0),0)</f>
        <v>0</v>
      </c>
      <c r="L241">
        <f>원본데이터_SK!Q241*원본데이터_SK!P241</f>
        <v>82110</v>
      </c>
    </row>
    <row r="242" spans="1:12" x14ac:dyDescent="0.3">
      <c r="A242" t="s">
        <v>11</v>
      </c>
      <c r="B242" t="str">
        <f>원본데이터_SK!D242</f>
        <v>20260205995112</v>
      </c>
      <c r="C242" t="str">
        <f>IF(원본데이터_SK!M242="","",TEXT(원본데이터_SK!M242,"YYYY-MM-DD"))</f>
        <v>2026-02-07</v>
      </c>
      <c r="D242" t="str">
        <f>원본데이터_SK!F242</f>
        <v>58481090</v>
      </c>
      <c r="E242" t="str">
        <f>IFERROR(VLOOKUP(원본데이터_SK!F242,채널매핑!$B:$D,3,0),"미매핑")</f>
        <v>미매핑</v>
      </c>
      <c r="F242">
        <f>IFERROR(VLOOKUP(원본데이터_SK!F242,채널매핑!$B:$E,4,0),1)</f>
        <v>1</v>
      </c>
      <c r="G242">
        <f>원본데이터_SK!Q242</f>
        <v>1</v>
      </c>
      <c r="H242">
        <f>원본데이터_SK!O242</f>
        <v>119000</v>
      </c>
      <c r="I242">
        <f>원본데이터_SK!AG242</f>
        <v>119000</v>
      </c>
      <c r="J242">
        <f>원본데이터_SK!AH242</f>
        <v>82110</v>
      </c>
      <c r="K242">
        <f>IFERROR(VLOOKUP(E242,제품마스터!$A:$B,2,0),0)</f>
        <v>0</v>
      </c>
      <c r="L242">
        <f>원본데이터_SK!Q242*원본데이터_SK!P242</f>
        <v>82110</v>
      </c>
    </row>
    <row r="243" spans="1:12" x14ac:dyDescent="0.3">
      <c r="A243" t="s">
        <v>11</v>
      </c>
      <c r="B243" t="str">
        <f>원본데이터_SK!D243</f>
        <v>20260205992636</v>
      </c>
      <c r="C243" t="str">
        <f>IF(원본데이터_SK!M243="","",TEXT(원본데이터_SK!M243,"YYYY-MM-DD"))</f>
        <v>2026-02-07</v>
      </c>
      <c r="D243" t="str">
        <f>원본데이터_SK!F243</f>
        <v>58481090</v>
      </c>
      <c r="E243" t="str">
        <f>IFERROR(VLOOKUP(원본데이터_SK!F243,채널매핑!$B:$D,3,0),"미매핑")</f>
        <v>미매핑</v>
      </c>
      <c r="F243">
        <f>IFERROR(VLOOKUP(원본데이터_SK!F243,채널매핑!$B:$E,4,0),1)</f>
        <v>1</v>
      </c>
      <c r="G243">
        <f>원본데이터_SK!Q243</f>
        <v>1</v>
      </c>
      <c r="H243">
        <f>원본데이터_SK!O243</f>
        <v>119000</v>
      </c>
      <c r="I243">
        <f>원본데이터_SK!AG243</f>
        <v>119000</v>
      </c>
      <c r="J243">
        <f>원본데이터_SK!AH243</f>
        <v>82110</v>
      </c>
      <c r="K243">
        <f>IFERROR(VLOOKUP(E243,제품마스터!$A:$B,2,0),0)</f>
        <v>0</v>
      </c>
      <c r="L243">
        <f>원본데이터_SK!Q243*원본데이터_SK!P243</f>
        <v>82110</v>
      </c>
    </row>
    <row r="244" spans="1:12" x14ac:dyDescent="0.3">
      <c r="A244" t="s">
        <v>11</v>
      </c>
      <c r="B244" t="str">
        <f>원본데이터_SK!D244</f>
        <v>20260205993892</v>
      </c>
      <c r="C244" t="str">
        <f>IF(원본데이터_SK!M244="","",TEXT(원본데이터_SK!M244,"YYYY-MM-DD"))</f>
        <v>2026-02-07</v>
      </c>
      <c r="D244" t="str">
        <f>원본데이터_SK!F244</f>
        <v>58481090</v>
      </c>
      <c r="E244" t="str">
        <f>IFERROR(VLOOKUP(원본데이터_SK!F244,채널매핑!$B:$D,3,0),"미매핑")</f>
        <v>미매핑</v>
      </c>
      <c r="F244">
        <f>IFERROR(VLOOKUP(원본데이터_SK!F244,채널매핑!$B:$E,4,0),1)</f>
        <v>1</v>
      </c>
      <c r="G244">
        <f>원본데이터_SK!Q244</f>
        <v>1</v>
      </c>
      <c r="H244">
        <f>원본데이터_SK!O244</f>
        <v>119000</v>
      </c>
      <c r="I244">
        <f>원본데이터_SK!AG244</f>
        <v>119000</v>
      </c>
      <c r="J244">
        <f>원본데이터_SK!AH244</f>
        <v>82110</v>
      </c>
      <c r="K244">
        <f>IFERROR(VLOOKUP(E244,제품마스터!$A:$B,2,0),0)</f>
        <v>0</v>
      </c>
      <c r="L244">
        <f>원본데이터_SK!Q244*원본데이터_SK!P244</f>
        <v>82110</v>
      </c>
    </row>
    <row r="245" spans="1:12" x14ac:dyDescent="0.3">
      <c r="A245" t="s">
        <v>11</v>
      </c>
      <c r="B245" t="str">
        <f>원본데이터_SK!D245</f>
        <v>20260205994997</v>
      </c>
      <c r="C245" t="str">
        <f>IF(원본데이터_SK!M245="","",TEXT(원본데이터_SK!M245,"YYYY-MM-DD"))</f>
        <v>2026-02-07</v>
      </c>
      <c r="D245" t="str">
        <f>원본데이터_SK!F245</f>
        <v>58481090</v>
      </c>
      <c r="E245" t="str">
        <f>IFERROR(VLOOKUP(원본데이터_SK!F245,채널매핑!$B:$D,3,0),"미매핑")</f>
        <v>미매핑</v>
      </c>
      <c r="F245">
        <f>IFERROR(VLOOKUP(원본데이터_SK!F245,채널매핑!$B:$E,4,0),1)</f>
        <v>1</v>
      </c>
      <c r="G245">
        <f>원본데이터_SK!Q245</f>
        <v>1</v>
      </c>
      <c r="H245">
        <f>원본데이터_SK!O245</f>
        <v>119000</v>
      </c>
      <c r="I245">
        <f>원본데이터_SK!AG245</f>
        <v>107350</v>
      </c>
      <c r="J245">
        <f>원본데이터_SK!AH245</f>
        <v>82110</v>
      </c>
      <c r="K245">
        <f>IFERROR(VLOOKUP(E245,제품마스터!$A:$B,2,0),0)</f>
        <v>0</v>
      </c>
      <c r="L245">
        <f>원본데이터_SK!Q245*원본데이터_SK!P245</f>
        <v>82110</v>
      </c>
    </row>
    <row r="246" spans="1:12" x14ac:dyDescent="0.3">
      <c r="A246" t="s">
        <v>11</v>
      </c>
      <c r="B246" t="str">
        <f>원본데이터_SK!D246</f>
        <v>20260205993878</v>
      </c>
      <c r="C246" t="str">
        <f>IF(원본데이터_SK!M246="","",TEXT(원본데이터_SK!M246,"YYYY-MM-DD"))</f>
        <v>2026-02-07</v>
      </c>
      <c r="D246" t="str">
        <f>원본데이터_SK!F246</f>
        <v>58481090</v>
      </c>
      <c r="E246" t="str">
        <f>IFERROR(VLOOKUP(원본데이터_SK!F246,채널매핑!$B:$D,3,0),"미매핑")</f>
        <v>미매핑</v>
      </c>
      <c r="F246">
        <f>IFERROR(VLOOKUP(원본데이터_SK!F246,채널매핑!$B:$E,4,0),1)</f>
        <v>1</v>
      </c>
      <c r="G246">
        <f>원본데이터_SK!Q246</f>
        <v>2</v>
      </c>
      <c r="H246">
        <f>원본데이터_SK!O246</f>
        <v>119000</v>
      </c>
      <c r="I246">
        <f>원본데이터_SK!AG246</f>
        <v>238000</v>
      </c>
      <c r="J246">
        <f>원본데이터_SK!AH246</f>
        <v>164220</v>
      </c>
      <c r="K246">
        <f>IFERROR(VLOOKUP(E246,제품마스터!$A:$B,2,0),0)</f>
        <v>0</v>
      </c>
      <c r="L246">
        <f>원본데이터_SK!Q246*원본데이터_SK!P246</f>
        <v>164220</v>
      </c>
    </row>
    <row r="247" spans="1:12" x14ac:dyDescent="0.3">
      <c r="A247" t="s">
        <v>11</v>
      </c>
      <c r="B247" t="str">
        <f>원본데이터_SK!D247</f>
        <v>20260205993394</v>
      </c>
      <c r="C247" t="str">
        <f>IF(원본데이터_SK!M247="","",TEXT(원본데이터_SK!M247,"YYYY-MM-DD"))</f>
        <v>2026-02-07</v>
      </c>
      <c r="D247" t="str">
        <f>원본데이터_SK!F247</f>
        <v>58481090</v>
      </c>
      <c r="E247" t="str">
        <f>IFERROR(VLOOKUP(원본데이터_SK!F247,채널매핑!$B:$D,3,0),"미매핑")</f>
        <v>미매핑</v>
      </c>
      <c r="F247">
        <f>IFERROR(VLOOKUP(원본데이터_SK!F247,채널매핑!$B:$E,4,0),1)</f>
        <v>1</v>
      </c>
      <c r="G247">
        <f>원본데이터_SK!Q247</f>
        <v>1</v>
      </c>
      <c r="H247">
        <f>원본데이터_SK!O247</f>
        <v>119000</v>
      </c>
      <c r="I247">
        <f>원본데이터_SK!AG247</f>
        <v>119000</v>
      </c>
      <c r="J247">
        <f>원본데이터_SK!AH247</f>
        <v>82110</v>
      </c>
      <c r="K247">
        <f>IFERROR(VLOOKUP(E247,제품마스터!$A:$B,2,0),0)</f>
        <v>0</v>
      </c>
      <c r="L247">
        <f>원본데이터_SK!Q247*원본데이터_SK!P247</f>
        <v>82110</v>
      </c>
    </row>
    <row r="248" spans="1:12" x14ac:dyDescent="0.3">
      <c r="A248" t="s">
        <v>11</v>
      </c>
      <c r="B248" t="str">
        <f>원본데이터_SK!D248</f>
        <v>20260205993490</v>
      </c>
      <c r="C248" t="str">
        <f>IF(원본데이터_SK!M248="","",TEXT(원본데이터_SK!M248,"YYYY-MM-DD"))</f>
        <v>2026-02-07</v>
      </c>
      <c r="D248" t="str">
        <f>원본데이터_SK!F248</f>
        <v>58481090</v>
      </c>
      <c r="E248" t="str">
        <f>IFERROR(VLOOKUP(원본데이터_SK!F248,채널매핑!$B:$D,3,0),"미매핑")</f>
        <v>미매핑</v>
      </c>
      <c r="F248">
        <f>IFERROR(VLOOKUP(원본데이터_SK!F248,채널매핑!$B:$E,4,0),1)</f>
        <v>1</v>
      </c>
      <c r="G248">
        <f>원본데이터_SK!Q248</f>
        <v>1</v>
      </c>
      <c r="H248">
        <f>원본데이터_SK!O248</f>
        <v>119000</v>
      </c>
      <c r="I248">
        <f>원본데이터_SK!AG248</f>
        <v>119000</v>
      </c>
      <c r="J248">
        <f>원본데이터_SK!AH248</f>
        <v>82110</v>
      </c>
      <c r="K248">
        <f>IFERROR(VLOOKUP(E248,제품마스터!$A:$B,2,0),0)</f>
        <v>0</v>
      </c>
      <c r="L248">
        <f>원본데이터_SK!Q248*원본데이터_SK!P248</f>
        <v>82110</v>
      </c>
    </row>
    <row r="249" spans="1:12" x14ac:dyDescent="0.3">
      <c r="A249" t="s">
        <v>11</v>
      </c>
      <c r="B249" t="str">
        <f>원본데이터_SK!D249</f>
        <v>20260205992805</v>
      </c>
      <c r="C249" t="str">
        <f>IF(원본데이터_SK!M249="","",TEXT(원본데이터_SK!M249,"YYYY-MM-DD"))</f>
        <v>2026-02-07</v>
      </c>
      <c r="D249" t="str">
        <f>원본데이터_SK!F249</f>
        <v>58481090</v>
      </c>
      <c r="E249" t="str">
        <f>IFERROR(VLOOKUP(원본데이터_SK!F249,채널매핑!$B:$D,3,0),"미매핑")</f>
        <v>미매핑</v>
      </c>
      <c r="F249">
        <f>IFERROR(VLOOKUP(원본데이터_SK!F249,채널매핑!$B:$E,4,0),1)</f>
        <v>1</v>
      </c>
      <c r="G249">
        <f>원본데이터_SK!Q249</f>
        <v>1</v>
      </c>
      <c r="H249">
        <f>원본데이터_SK!O249</f>
        <v>119000</v>
      </c>
      <c r="I249">
        <f>원본데이터_SK!AG249</f>
        <v>119000</v>
      </c>
      <c r="J249">
        <f>원본데이터_SK!AH249</f>
        <v>82110</v>
      </c>
      <c r="K249">
        <f>IFERROR(VLOOKUP(E249,제품마스터!$A:$B,2,0),0)</f>
        <v>0</v>
      </c>
      <c r="L249">
        <f>원본데이터_SK!Q249*원본데이터_SK!P249</f>
        <v>82110</v>
      </c>
    </row>
    <row r="250" spans="1:12" x14ac:dyDescent="0.3">
      <c r="A250" t="s">
        <v>11</v>
      </c>
      <c r="B250" t="str">
        <f>원본데이터_SK!D250</f>
        <v>20260205993167</v>
      </c>
      <c r="C250" t="str">
        <f>IF(원본데이터_SK!M250="","",TEXT(원본데이터_SK!M250,"YYYY-MM-DD"))</f>
        <v>2026-02-07</v>
      </c>
      <c r="D250" t="str">
        <f>원본데이터_SK!F250</f>
        <v>58481090</v>
      </c>
      <c r="E250" t="str">
        <f>IFERROR(VLOOKUP(원본데이터_SK!F250,채널매핑!$B:$D,3,0),"미매핑")</f>
        <v>미매핑</v>
      </c>
      <c r="F250">
        <f>IFERROR(VLOOKUP(원본데이터_SK!F250,채널매핑!$B:$E,4,0),1)</f>
        <v>1</v>
      </c>
      <c r="G250">
        <f>원본데이터_SK!Q250</f>
        <v>1</v>
      </c>
      <c r="H250">
        <f>원본데이터_SK!O250</f>
        <v>119000</v>
      </c>
      <c r="I250">
        <f>원본데이터_SK!AG250</f>
        <v>119000</v>
      </c>
      <c r="J250">
        <f>원본데이터_SK!AH250</f>
        <v>82110</v>
      </c>
      <c r="K250">
        <f>IFERROR(VLOOKUP(E250,제품마스터!$A:$B,2,0),0)</f>
        <v>0</v>
      </c>
      <c r="L250">
        <f>원본데이터_SK!Q250*원본데이터_SK!P250</f>
        <v>82110</v>
      </c>
    </row>
    <row r="251" spans="1:12" x14ac:dyDescent="0.3">
      <c r="A251" t="s">
        <v>11</v>
      </c>
      <c r="B251" t="str">
        <f>원본데이터_SK!D251</f>
        <v>20260206639164</v>
      </c>
      <c r="C251" t="str">
        <f>IF(원본데이터_SK!M251="","",TEXT(원본데이터_SK!M251,"YYYY-MM-DD"))</f>
        <v>2026-02-07</v>
      </c>
      <c r="D251" t="str">
        <f>원본데이터_SK!F251</f>
        <v>58481090</v>
      </c>
      <c r="E251" t="str">
        <f>IFERROR(VLOOKUP(원본데이터_SK!F251,채널매핑!$B:$D,3,0),"미매핑")</f>
        <v>미매핑</v>
      </c>
      <c r="F251">
        <f>IFERROR(VLOOKUP(원본데이터_SK!F251,채널매핑!$B:$E,4,0),1)</f>
        <v>1</v>
      </c>
      <c r="G251">
        <f>원본데이터_SK!Q251</f>
        <v>1</v>
      </c>
      <c r="H251">
        <f>원본데이터_SK!O251</f>
        <v>119000</v>
      </c>
      <c r="I251">
        <f>원본데이터_SK!AG251</f>
        <v>101150</v>
      </c>
      <c r="J251">
        <f>원본데이터_SK!AH251</f>
        <v>82110</v>
      </c>
      <c r="K251">
        <f>IFERROR(VLOOKUP(E251,제품마스터!$A:$B,2,0),0)</f>
        <v>0</v>
      </c>
      <c r="L251">
        <f>원본데이터_SK!Q251*원본데이터_SK!P251</f>
        <v>82110</v>
      </c>
    </row>
    <row r="252" spans="1:12" x14ac:dyDescent="0.3">
      <c r="A252" t="s">
        <v>11</v>
      </c>
      <c r="B252" t="str">
        <f>원본데이터_SK!D252</f>
        <v>20260205994965</v>
      </c>
      <c r="C252" t="str">
        <f>IF(원본데이터_SK!M252="","",TEXT(원본데이터_SK!M252,"YYYY-MM-DD"))</f>
        <v>2026-02-07</v>
      </c>
      <c r="D252" t="str">
        <f>원본데이터_SK!F252</f>
        <v>58481090</v>
      </c>
      <c r="E252" t="str">
        <f>IFERROR(VLOOKUP(원본데이터_SK!F252,채널매핑!$B:$D,3,0),"미매핑")</f>
        <v>미매핑</v>
      </c>
      <c r="F252">
        <f>IFERROR(VLOOKUP(원본데이터_SK!F252,채널매핑!$B:$E,4,0),1)</f>
        <v>1</v>
      </c>
      <c r="G252">
        <f>원본데이터_SK!Q252</f>
        <v>1</v>
      </c>
      <c r="H252">
        <f>원본데이터_SK!O252</f>
        <v>119000</v>
      </c>
      <c r="I252">
        <f>원본데이터_SK!AG252</f>
        <v>119000</v>
      </c>
      <c r="J252">
        <f>원본데이터_SK!AH252</f>
        <v>82110</v>
      </c>
      <c r="K252">
        <f>IFERROR(VLOOKUP(E252,제품마스터!$A:$B,2,0),0)</f>
        <v>0</v>
      </c>
      <c r="L252">
        <f>원본데이터_SK!Q252*원본데이터_SK!P252</f>
        <v>82110</v>
      </c>
    </row>
    <row r="253" spans="1:12" x14ac:dyDescent="0.3">
      <c r="A253" t="s">
        <v>11</v>
      </c>
      <c r="B253" t="str">
        <f>원본데이터_SK!D253</f>
        <v>20260205995226</v>
      </c>
      <c r="C253" t="str">
        <f>IF(원본데이터_SK!M253="","",TEXT(원본데이터_SK!M253,"YYYY-MM-DD"))</f>
        <v>2026-02-07</v>
      </c>
      <c r="D253" t="str">
        <f>원본데이터_SK!F253</f>
        <v>58481090</v>
      </c>
      <c r="E253" t="str">
        <f>IFERROR(VLOOKUP(원본데이터_SK!F253,채널매핑!$B:$D,3,0),"미매핑")</f>
        <v>미매핑</v>
      </c>
      <c r="F253">
        <f>IFERROR(VLOOKUP(원본데이터_SK!F253,채널매핑!$B:$E,4,0),1)</f>
        <v>1</v>
      </c>
      <c r="G253">
        <f>원본데이터_SK!Q253</f>
        <v>1</v>
      </c>
      <c r="H253">
        <f>원본데이터_SK!O253</f>
        <v>119000</v>
      </c>
      <c r="I253">
        <f>원본데이터_SK!AG253</f>
        <v>119000</v>
      </c>
      <c r="J253">
        <f>원본데이터_SK!AH253</f>
        <v>82110</v>
      </c>
      <c r="K253">
        <f>IFERROR(VLOOKUP(E253,제품마스터!$A:$B,2,0),0)</f>
        <v>0</v>
      </c>
      <c r="L253">
        <f>원본데이터_SK!Q253*원본데이터_SK!P253</f>
        <v>82110</v>
      </c>
    </row>
    <row r="254" spans="1:12" x14ac:dyDescent="0.3">
      <c r="A254" t="s">
        <v>11</v>
      </c>
      <c r="B254" t="str">
        <f>원본데이터_SK!D254</f>
        <v>20260205995451</v>
      </c>
      <c r="C254" t="str">
        <f>IF(원본데이터_SK!M254="","",TEXT(원본데이터_SK!M254,"YYYY-MM-DD"))</f>
        <v>2026-02-07</v>
      </c>
      <c r="D254" t="str">
        <f>원본데이터_SK!F254</f>
        <v>58481090</v>
      </c>
      <c r="E254" t="str">
        <f>IFERROR(VLOOKUP(원본데이터_SK!F254,채널매핑!$B:$D,3,0),"미매핑")</f>
        <v>미매핑</v>
      </c>
      <c r="F254">
        <f>IFERROR(VLOOKUP(원본데이터_SK!F254,채널매핑!$B:$E,4,0),1)</f>
        <v>1</v>
      </c>
      <c r="G254">
        <f>원본데이터_SK!Q254</f>
        <v>1</v>
      </c>
      <c r="H254">
        <f>원본데이터_SK!O254</f>
        <v>119000</v>
      </c>
      <c r="I254">
        <f>원본데이터_SK!AG254</f>
        <v>119000</v>
      </c>
      <c r="J254">
        <f>원본데이터_SK!AH254</f>
        <v>82110</v>
      </c>
      <c r="K254">
        <f>IFERROR(VLOOKUP(E254,제품마스터!$A:$B,2,0),0)</f>
        <v>0</v>
      </c>
      <c r="L254">
        <f>원본데이터_SK!Q254*원본데이터_SK!P254</f>
        <v>82110</v>
      </c>
    </row>
    <row r="255" spans="1:12" x14ac:dyDescent="0.3">
      <c r="A255" t="s">
        <v>11</v>
      </c>
      <c r="B255" t="str">
        <f>원본데이터_SK!D255</f>
        <v>20260205995408</v>
      </c>
      <c r="C255" t="str">
        <f>IF(원본데이터_SK!M255="","",TEXT(원본데이터_SK!M255,"YYYY-MM-DD"))</f>
        <v>2026-02-07</v>
      </c>
      <c r="D255" t="str">
        <f>원본데이터_SK!F255</f>
        <v>58481090</v>
      </c>
      <c r="E255" t="str">
        <f>IFERROR(VLOOKUP(원본데이터_SK!F255,채널매핑!$B:$D,3,0),"미매핑")</f>
        <v>미매핑</v>
      </c>
      <c r="F255">
        <f>IFERROR(VLOOKUP(원본데이터_SK!F255,채널매핑!$B:$E,4,0),1)</f>
        <v>1</v>
      </c>
      <c r="G255">
        <f>원본데이터_SK!Q255</f>
        <v>1</v>
      </c>
      <c r="H255">
        <f>원본데이터_SK!O255</f>
        <v>119000</v>
      </c>
      <c r="I255">
        <f>원본데이터_SK!AG255</f>
        <v>119000</v>
      </c>
      <c r="J255">
        <f>원본데이터_SK!AH255</f>
        <v>82110</v>
      </c>
      <c r="K255">
        <f>IFERROR(VLOOKUP(E255,제품마스터!$A:$B,2,0),0)</f>
        <v>0</v>
      </c>
      <c r="L255">
        <f>원본데이터_SK!Q255*원본데이터_SK!P255</f>
        <v>82110</v>
      </c>
    </row>
    <row r="256" spans="1:12" x14ac:dyDescent="0.3">
      <c r="A256" t="s">
        <v>11</v>
      </c>
      <c r="B256" t="str">
        <f>원본데이터_SK!D256</f>
        <v>20260205995252</v>
      </c>
      <c r="C256" t="str">
        <f>IF(원본데이터_SK!M256="","",TEXT(원본데이터_SK!M256,"YYYY-MM-DD"))</f>
        <v>2026-02-07</v>
      </c>
      <c r="D256" t="str">
        <f>원본데이터_SK!F256</f>
        <v>58481090</v>
      </c>
      <c r="E256" t="str">
        <f>IFERROR(VLOOKUP(원본데이터_SK!F256,채널매핑!$B:$D,3,0),"미매핑")</f>
        <v>미매핑</v>
      </c>
      <c r="F256">
        <f>IFERROR(VLOOKUP(원본데이터_SK!F256,채널매핑!$B:$E,4,0),1)</f>
        <v>1</v>
      </c>
      <c r="G256">
        <f>원본데이터_SK!Q256</f>
        <v>1</v>
      </c>
      <c r="H256">
        <f>원본데이터_SK!O256</f>
        <v>119000</v>
      </c>
      <c r="I256">
        <f>원본데이터_SK!AG256</f>
        <v>119000</v>
      </c>
      <c r="J256">
        <f>원본데이터_SK!AH256</f>
        <v>82110</v>
      </c>
      <c r="K256">
        <f>IFERROR(VLOOKUP(E256,제품마스터!$A:$B,2,0),0)</f>
        <v>0</v>
      </c>
      <c r="L256">
        <f>원본데이터_SK!Q256*원본데이터_SK!P256</f>
        <v>82110</v>
      </c>
    </row>
    <row r="257" spans="1:12" x14ac:dyDescent="0.3">
      <c r="A257" t="s">
        <v>11</v>
      </c>
      <c r="B257" t="str">
        <f>원본데이터_SK!D257</f>
        <v>20260205995543</v>
      </c>
      <c r="C257" t="str">
        <f>IF(원본데이터_SK!M257="","",TEXT(원본데이터_SK!M257,"YYYY-MM-DD"))</f>
        <v>2026-02-07</v>
      </c>
      <c r="D257" t="str">
        <f>원본데이터_SK!F257</f>
        <v>58481090</v>
      </c>
      <c r="E257" t="str">
        <f>IFERROR(VLOOKUP(원본데이터_SK!F257,채널매핑!$B:$D,3,0),"미매핑")</f>
        <v>미매핑</v>
      </c>
      <c r="F257">
        <f>IFERROR(VLOOKUP(원본데이터_SK!F257,채널매핑!$B:$E,4,0),1)</f>
        <v>1</v>
      </c>
      <c r="G257">
        <f>원본데이터_SK!Q257</f>
        <v>1</v>
      </c>
      <c r="H257">
        <f>원본데이터_SK!O257</f>
        <v>119000</v>
      </c>
      <c r="I257">
        <f>원본데이터_SK!AG257</f>
        <v>119000</v>
      </c>
      <c r="J257">
        <f>원본데이터_SK!AH257</f>
        <v>82110</v>
      </c>
      <c r="K257">
        <f>IFERROR(VLOOKUP(E257,제품마스터!$A:$B,2,0),0)</f>
        <v>0</v>
      </c>
      <c r="L257">
        <f>원본데이터_SK!Q257*원본데이터_SK!P257</f>
        <v>82110</v>
      </c>
    </row>
    <row r="258" spans="1:12" x14ac:dyDescent="0.3">
      <c r="A258" t="s">
        <v>11</v>
      </c>
      <c r="B258" t="str">
        <f>원본데이터_SK!D258</f>
        <v>20260205995557</v>
      </c>
      <c r="C258" t="str">
        <f>IF(원본데이터_SK!M258="","",TEXT(원본데이터_SK!M258,"YYYY-MM-DD"))</f>
        <v>2026-02-07</v>
      </c>
      <c r="D258" t="str">
        <f>원본데이터_SK!F258</f>
        <v>58481090</v>
      </c>
      <c r="E258" t="str">
        <f>IFERROR(VLOOKUP(원본데이터_SK!F258,채널매핑!$B:$D,3,0),"미매핑")</f>
        <v>미매핑</v>
      </c>
      <c r="F258">
        <f>IFERROR(VLOOKUP(원본데이터_SK!F258,채널매핑!$B:$E,4,0),1)</f>
        <v>1</v>
      </c>
      <c r="G258">
        <f>원본데이터_SK!Q258</f>
        <v>1</v>
      </c>
      <c r="H258">
        <f>원본데이터_SK!O258</f>
        <v>119000</v>
      </c>
      <c r="I258">
        <f>원본데이터_SK!AG258</f>
        <v>119000</v>
      </c>
      <c r="J258">
        <f>원본데이터_SK!AH258</f>
        <v>82110</v>
      </c>
      <c r="K258">
        <f>IFERROR(VLOOKUP(E258,제품마스터!$A:$B,2,0),0)</f>
        <v>0</v>
      </c>
      <c r="L258">
        <f>원본데이터_SK!Q258*원본데이터_SK!P258</f>
        <v>82110</v>
      </c>
    </row>
    <row r="259" spans="1:12" x14ac:dyDescent="0.3">
      <c r="A259" t="s">
        <v>11</v>
      </c>
      <c r="B259" t="str">
        <f>원본데이터_SK!D259</f>
        <v>20260205995144</v>
      </c>
      <c r="C259" t="str">
        <f>IF(원본데이터_SK!M259="","",TEXT(원본데이터_SK!M259,"YYYY-MM-DD"))</f>
        <v>2026-02-07</v>
      </c>
      <c r="D259" t="str">
        <f>원본데이터_SK!F259</f>
        <v>58481090</v>
      </c>
      <c r="E259" t="str">
        <f>IFERROR(VLOOKUP(원본데이터_SK!F259,채널매핑!$B:$D,3,0),"미매핑")</f>
        <v>미매핑</v>
      </c>
      <c r="F259">
        <f>IFERROR(VLOOKUP(원본데이터_SK!F259,채널매핑!$B:$E,4,0),1)</f>
        <v>1</v>
      </c>
      <c r="G259">
        <f>원본데이터_SK!Q259</f>
        <v>1</v>
      </c>
      <c r="H259">
        <f>원본데이터_SK!O259</f>
        <v>119000</v>
      </c>
      <c r="I259">
        <f>원본데이터_SK!AG259</f>
        <v>119000</v>
      </c>
      <c r="J259">
        <f>원본데이터_SK!AH259</f>
        <v>82110</v>
      </c>
      <c r="K259">
        <f>IFERROR(VLOOKUP(E259,제품마스터!$A:$B,2,0),0)</f>
        <v>0</v>
      </c>
      <c r="L259">
        <f>원본데이터_SK!Q259*원본데이터_SK!P259</f>
        <v>82110</v>
      </c>
    </row>
    <row r="260" spans="1:12" x14ac:dyDescent="0.3">
      <c r="A260" t="s">
        <v>11</v>
      </c>
      <c r="B260" t="str">
        <f>원본데이터_SK!D260</f>
        <v>20260205993754</v>
      </c>
      <c r="C260" t="str">
        <f>IF(원본데이터_SK!M260="","",TEXT(원본데이터_SK!M260,"YYYY-MM-DD"))</f>
        <v>2026-02-07</v>
      </c>
      <c r="D260" t="str">
        <f>원본데이터_SK!F260</f>
        <v>58481090</v>
      </c>
      <c r="E260" t="str">
        <f>IFERROR(VLOOKUP(원본데이터_SK!F260,채널매핑!$B:$D,3,0),"미매핑")</f>
        <v>미매핑</v>
      </c>
      <c r="F260">
        <f>IFERROR(VLOOKUP(원본데이터_SK!F260,채널매핑!$B:$E,4,0),1)</f>
        <v>1</v>
      </c>
      <c r="G260">
        <f>원본데이터_SK!Q260</f>
        <v>1</v>
      </c>
      <c r="H260">
        <f>원본데이터_SK!O260</f>
        <v>119000</v>
      </c>
      <c r="I260">
        <f>원본데이터_SK!AG260</f>
        <v>119000</v>
      </c>
      <c r="J260">
        <f>원본데이터_SK!AH260</f>
        <v>82110</v>
      </c>
      <c r="K260">
        <f>IFERROR(VLOOKUP(E260,제품마스터!$A:$B,2,0),0)</f>
        <v>0</v>
      </c>
      <c r="L260">
        <f>원본데이터_SK!Q260*원본데이터_SK!P260</f>
        <v>82110</v>
      </c>
    </row>
    <row r="261" spans="1:12" x14ac:dyDescent="0.3">
      <c r="A261" t="s">
        <v>11</v>
      </c>
      <c r="B261" t="str">
        <f>원본데이터_SK!D261</f>
        <v>20260205994732</v>
      </c>
      <c r="C261" t="str">
        <f>IF(원본데이터_SK!M261="","",TEXT(원본데이터_SK!M261,"YYYY-MM-DD"))</f>
        <v>2026-02-07</v>
      </c>
      <c r="D261" t="str">
        <f>원본데이터_SK!F261</f>
        <v>58481090</v>
      </c>
      <c r="E261" t="str">
        <f>IFERROR(VLOOKUP(원본데이터_SK!F261,채널매핑!$B:$D,3,0),"미매핑")</f>
        <v>미매핑</v>
      </c>
      <c r="F261">
        <f>IFERROR(VLOOKUP(원본데이터_SK!F261,채널매핑!$B:$E,4,0),1)</f>
        <v>1</v>
      </c>
      <c r="G261">
        <f>원본데이터_SK!Q261</f>
        <v>1</v>
      </c>
      <c r="H261">
        <f>원본데이터_SK!O261</f>
        <v>119000</v>
      </c>
      <c r="I261">
        <f>원본데이터_SK!AG261</f>
        <v>119000</v>
      </c>
      <c r="J261">
        <f>원본데이터_SK!AH261</f>
        <v>82110</v>
      </c>
      <c r="K261">
        <f>IFERROR(VLOOKUP(E261,제품마스터!$A:$B,2,0),0)</f>
        <v>0</v>
      </c>
      <c r="L261">
        <f>원본데이터_SK!Q261*원본데이터_SK!P261</f>
        <v>82110</v>
      </c>
    </row>
    <row r="262" spans="1:12" x14ac:dyDescent="0.3">
      <c r="A262" t="s">
        <v>11</v>
      </c>
      <c r="B262" t="str">
        <f>원본데이터_SK!D262</f>
        <v>20260205994833</v>
      </c>
      <c r="C262" t="str">
        <f>IF(원본데이터_SK!M262="","",TEXT(원본데이터_SK!M262,"YYYY-MM-DD"))</f>
        <v>2026-02-07</v>
      </c>
      <c r="D262" t="str">
        <f>원본데이터_SK!F262</f>
        <v>58481090</v>
      </c>
      <c r="E262" t="str">
        <f>IFERROR(VLOOKUP(원본데이터_SK!F262,채널매핑!$B:$D,3,0),"미매핑")</f>
        <v>미매핑</v>
      </c>
      <c r="F262">
        <f>IFERROR(VLOOKUP(원본데이터_SK!F262,채널매핑!$B:$E,4,0),1)</f>
        <v>1</v>
      </c>
      <c r="G262">
        <f>원본데이터_SK!Q262</f>
        <v>1</v>
      </c>
      <c r="H262">
        <f>원본데이터_SK!O262</f>
        <v>119000</v>
      </c>
      <c r="I262">
        <f>원본데이터_SK!AG262</f>
        <v>119000</v>
      </c>
      <c r="J262">
        <f>원본데이터_SK!AH262</f>
        <v>82110</v>
      </c>
      <c r="K262">
        <f>IFERROR(VLOOKUP(E262,제품마스터!$A:$B,2,0),0)</f>
        <v>0</v>
      </c>
      <c r="L262">
        <f>원본데이터_SK!Q262*원본데이터_SK!P262</f>
        <v>82110</v>
      </c>
    </row>
    <row r="263" spans="1:12" x14ac:dyDescent="0.3">
      <c r="A263" t="s">
        <v>11</v>
      </c>
      <c r="B263" t="str">
        <f>원본데이터_SK!D263</f>
        <v>20260205994879</v>
      </c>
      <c r="C263" t="str">
        <f>IF(원본데이터_SK!M263="","",TEXT(원본데이터_SK!M263,"YYYY-MM-DD"))</f>
        <v>2026-02-07</v>
      </c>
      <c r="D263" t="str">
        <f>원본데이터_SK!F263</f>
        <v>58481090</v>
      </c>
      <c r="E263" t="str">
        <f>IFERROR(VLOOKUP(원본데이터_SK!F263,채널매핑!$B:$D,3,0),"미매핑")</f>
        <v>미매핑</v>
      </c>
      <c r="F263">
        <f>IFERROR(VLOOKUP(원본데이터_SK!F263,채널매핑!$B:$E,4,0),1)</f>
        <v>1</v>
      </c>
      <c r="G263">
        <f>원본데이터_SK!Q263</f>
        <v>1</v>
      </c>
      <c r="H263">
        <f>원본데이터_SK!O263</f>
        <v>119000</v>
      </c>
      <c r="I263">
        <f>원본데이터_SK!AG263</f>
        <v>119000</v>
      </c>
      <c r="J263">
        <f>원본데이터_SK!AH263</f>
        <v>82110</v>
      </c>
      <c r="K263">
        <f>IFERROR(VLOOKUP(E263,제품마스터!$A:$B,2,0),0)</f>
        <v>0</v>
      </c>
      <c r="L263">
        <f>원본데이터_SK!Q263*원본데이터_SK!P263</f>
        <v>82110</v>
      </c>
    </row>
    <row r="264" spans="1:12" x14ac:dyDescent="0.3">
      <c r="A264" t="s">
        <v>11</v>
      </c>
      <c r="B264" t="str">
        <f>원본데이터_SK!D264</f>
        <v>20260205994922</v>
      </c>
      <c r="C264" t="str">
        <f>IF(원본데이터_SK!M264="","",TEXT(원본데이터_SK!M264,"YYYY-MM-DD"))</f>
        <v>2026-02-07</v>
      </c>
      <c r="D264" t="str">
        <f>원본데이터_SK!F264</f>
        <v>58481090</v>
      </c>
      <c r="E264" t="str">
        <f>IFERROR(VLOOKUP(원본데이터_SK!F264,채널매핑!$B:$D,3,0),"미매핑")</f>
        <v>미매핑</v>
      </c>
      <c r="F264">
        <f>IFERROR(VLOOKUP(원본데이터_SK!F264,채널매핑!$B:$E,4,0),1)</f>
        <v>1</v>
      </c>
      <c r="G264">
        <f>원본데이터_SK!Q264</f>
        <v>1</v>
      </c>
      <c r="H264">
        <f>원본데이터_SK!O264</f>
        <v>119000</v>
      </c>
      <c r="I264">
        <f>원본데이터_SK!AG264</f>
        <v>119000</v>
      </c>
      <c r="J264">
        <f>원본데이터_SK!AH264</f>
        <v>82110</v>
      </c>
      <c r="K264">
        <f>IFERROR(VLOOKUP(E264,제품마스터!$A:$B,2,0),0)</f>
        <v>0</v>
      </c>
      <c r="L264">
        <f>원본데이터_SK!Q264*원본데이터_SK!P264</f>
        <v>82110</v>
      </c>
    </row>
    <row r="265" spans="1:12" x14ac:dyDescent="0.3">
      <c r="A265" t="s">
        <v>11</v>
      </c>
      <c r="B265" t="str">
        <f>원본데이터_SK!D265</f>
        <v>20260205993720</v>
      </c>
      <c r="C265" t="str">
        <f>IF(원본데이터_SK!M265="","",TEXT(원본데이터_SK!M265,"YYYY-MM-DD"))</f>
        <v>2026-02-07</v>
      </c>
      <c r="D265" t="str">
        <f>원본데이터_SK!F265</f>
        <v>58481090</v>
      </c>
      <c r="E265" t="str">
        <f>IFERROR(VLOOKUP(원본데이터_SK!F265,채널매핑!$B:$D,3,0),"미매핑")</f>
        <v>미매핑</v>
      </c>
      <c r="F265">
        <f>IFERROR(VLOOKUP(원본데이터_SK!F265,채널매핑!$B:$E,4,0),1)</f>
        <v>1</v>
      </c>
      <c r="G265">
        <f>원본데이터_SK!Q265</f>
        <v>1</v>
      </c>
      <c r="H265">
        <f>원본데이터_SK!O265</f>
        <v>119000</v>
      </c>
      <c r="I265">
        <f>원본데이터_SK!AG265</f>
        <v>119000</v>
      </c>
      <c r="J265">
        <f>원본데이터_SK!AH265</f>
        <v>82110</v>
      </c>
      <c r="K265">
        <f>IFERROR(VLOOKUP(E265,제품마스터!$A:$B,2,0),0)</f>
        <v>0</v>
      </c>
      <c r="L265">
        <f>원본데이터_SK!Q265*원본데이터_SK!P265</f>
        <v>82110</v>
      </c>
    </row>
    <row r="266" spans="1:12" x14ac:dyDescent="0.3">
      <c r="A266" t="s">
        <v>11</v>
      </c>
      <c r="B266" t="str">
        <f>원본데이터_SK!D266</f>
        <v>20260205993936</v>
      </c>
      <c r="C266" t="str">
        <f>IF(원본데이터_SK!M266="","",TEXT(원본데이터_SK!M266,"YYYY-MM-DD"))</f>
        <v>2026-02-07</v>
      </c>
      <c r="D266" t="str">
        <f>원본데이터_SK!F266</f>
        <v>58481090</v>
      </c>
      <c r="E266" t="str">
        <f>IFERROR(VLOOKUP(원본데이터_SK!F266,채널매핑!$B:$D,3,0),"미매핑")</f>
        <v>미매핑</v>
      </c>
      <c r="F266">
        <f>IFERROR(VLOOKUP(원본데이터_SK!F266,채널매핑!$B:$E,4,0),1)</f>
        <v>1</v>
      </c>
      <c r="G266">
        <f>원본데이터_SK!Q266</f>
        <v>1</v>
      </c>
      <c r="H266">
        <f>원본데이터_SK!O266</f>
        <v>119000</v>
      </c>
      <c r="I266">
        <f>원본데이터_SK!AG266</f>
        <v>119000</v>
      </c>
      <c r="J266">
        <f>원본데이터_SK!AH266</f>
        <v>82110</v>
      </c>
      <c r="K266">
        <f>IFERROR(VLOOKUP(E266,제품마스터!$A:$B,2,0),0)</f>
        <v>0</v>
      </c>
      <c r="L266">
        <f>원본데이터_SK!Q266*원본데이터_SK!P266</f>
        <v>82110</v>
      </c>
    </row>
    <row r="267" spans="1:12" x14ac:dyDescent="0.3">
      <c r="A267" t="s">
        <v>11</v>
      </c>
      <c r="B267" t="str">
        <f>원본데이터_SK!D267</f>
        <v>20260205993350</v>
      </c>
      <c r="C267" t="str">
        <f>IF(원본데이터_SK!M267="","",TEXT(원본데이터_SK!M267,"YYYY-MM-DD"))</f>
        <v>2026-02-07</v>
      </c>
      <c r="D267" t="str">
        <f>원본데이터_SK!F267</f>
        <v>58481090</v>
      </c>
      <c r="E267" t="str">
        <f>IFERROR(VLOOKUP(원본데이터_SK!F267,채널매핑!$B:$D,3,0),"미매핑")</f>
        <v>미매핑</v>
      </c>
      <c r="F267">
        <f>IFERROR(VLOOKUP(원본데이터_SK!F267,채널매핑!$B:$E,4,0),1)</f>
        <v>1</v>
      </c>
      <c r="G267">
        <f>원본데이터_SK!Q267</f>
        <v>1</v>
      </c>
      <c r="H267">
        <f>원본데이터_SK!O267</f>
        <v>119000</v>
      </c>
      <c r="I267">
        <f>원본데이터_SK!AG267</f>
        <v>109000</v>
      </c>
      <c r="J267">
        <f>원본데이터_SK!AH267</f>
        <v>82110</v>
      </c>
      <c r="K267">
        <f>IFERROR(VLOOKUP(E267,제품마스터!$A:$B,2,0),0)</f>
        <v>0</v>
      </c>
      <c r="L267">
        <f>원본데이터_SK!Q267*원본데이터_SK!P267</f>
        <v>82110</v>
      </c>
    </row>
    <row r="268" spans="1:12" x14ac:dyDescent="0.3">
      <c r="A268" t="s">
        <v>11</v>
      </c>
      <c r="B268" t="str">
        <f>원본데이터_SK!D268</f>
        <v>20260205992637</v>
      </c>
      <c r="C268" t="str">
        <f>IF(원본데이터_SK!M268="","",TEXT(원본데이터_SK!M268,"YYYY-MM-DD"))</f>
        <v>2026-02-07</v>
      </c>
      <c r="D268" t="str">
        <f>원본데이터_SK!F268</f>
        <v>58481090</v>
      </c>
      <c r="E268" t="str">
        <f>IFERROR(VLOOKUP(원본데이터_SK!F268,채널매핑!$B:$D,3,0),"미매핑")</f>
        <v>미매핑</v>
      </c>
      <c r="F268">
        <f>IFERROR(VLOOKUP(원본데이터_SK!F268,채널매핑!$B:$E,4,0),1)</f>
        <v>1</v>
      </c>
      <c r="G268">
        <f>원본데이터_SK!Q268</f>
        <v>1</v>
      </c>
      <c r="H268">
        <f>원본데이터_SK!O268</f>
        <v>119000</v>
      </c>
      <c r="I268">
        <f>원본데이터_SK!AG268</f>
        <v>119000</v>
      </c>
      <c r="J268">
        <f>원본데이터_SK!AH268</f>
        <v>82110</v>
      </c>
      <c r="K268">
        <f>IFERROR(VLOOKUP(E268,제품마스터!$A:$B,2,0),0)</f>
        <v>0</v>
      </c>
      <c r="L268">
        <f>원본데이터_SK!Q268*원본데이터_SK!P268</f>
        <v>82110</v>
      </c>
    </row>
    <row r="269" spans="1:12" x14ac:dyDescent="0.3">
      <c r="A269" t="s">
        <v>11</v>
      </c>
      <c r="B269" t="str">
        <f>원본데이터_SK!D269</f>
        <v>20260205992663</v>
      </c>
      <c r="C269" t="str">
        <f>IF(원본데이터_SK!M269="","",TEXT(원본데이터_SK!M269,"YYYY-MM-DD"))</f>
        <v>2026-02-07</v>
      </c>
      <c r="D269" t="str">
        <f>원본데이터_SK!F269</f>
        <v>58481090</v>
      </c>
      <c r="E269" t="str">
        <f>IFERROR(VLOOKUP(원본데이터_SK!F269,채널매핑!$B:$D,3,0),"미매핑")</f>
        <v>미매핑</v>
      </c>
      <c r="F269">
        <f>IFERROR(VLOOKUP(원본데이터_SK!F269,채널매핑!$B:$E,4,0),1)</f>
        <v>1</v>
      </c>
      <c r="G269">
        <f>원본데이터_SK!Q269</f>
        <v>1</v>
      </c>
      <c r="H269">
        <f>원본데이터_SK!O269</f>
        <v>119000</v>
      </c>
      <c r="I269">
        <f>원본데이터_SK!AG269</f>
        <v>119000</v>
      </c>
      <c r="J269">
        <f>원본데이터_SK!AH269</f>
        <v>82110</v>
      </c>
      <c r="K269">
        <f>IFERROR(VLOOKUP(E269,제품마스터!$A:$B,2,0),0)</f>
        <v>0</v>
      </c>
      <c r="L269">
        <f>원본데이터_SK!Q269*원본데이터_SK!P269</f>
        <v>82110</v>
      </c>
    </row>
    <row r="270" spans="1:12" x14ac:dyDescent="0.3">
      <c r="A270" t="s">
        <v>11</v>
      </c>
      <c r="B270" t="str">
        <f>원본데이터_SK!D270</f>
        <v>20260205992791</v>
      </c>
      <c r="C270" t="str">
        <f>IF(원본데이터_SK!M270="","",TEXT(원본데이터_SK!M270,"YYYY-MM-DD"))</f>
        <v>2026-02-07</v>
      </c>
      <c r="D270" t="str">
        <f>원본데이터_SK!F270</f>
        <v>58481090</v>
      </c>
      <c r="E270" t="str">
        <f>IFERROR(VLOOKUP(원본데이터_SK!F270,채널매핑!$B:$D,3,0),"미매핑")</f>
        <v>미매핑</v>
      </c>
      <c r="F270">
        <f>IFERROR(VLOOKUP(원본데이터_SK!F270,채널매핑!$B:$E,4,0),1)</f>
        <v>1</v>
      </c>
      <c r="G270">
        <f>원본데이터_SK!Q270</f>
        <v>1</v>
      </c>
      <c r="H270">
        <f>원본데이터_SK!O270</f>
        <v>119000</v>
      </c>
      <c r="I270">
        <f>원본데이터_SK!AG270</f>
        <v>119000</v>
      </c>
      <c r="J270">
        <f>원본데이터_SK!AH270</f>
        <v>82110</v>
      </c>
      <c r="K270">
        <f>IFERROR(VLOOKUP(E270,제품마스터!$A:$B,2,0),0)</f>
        <v>0</v>
      </c>
      <c r="L270">
        <f>원본데이터_SK!Q270*원본데이터_SK!P270</f>
        <v>82110</v>
      </c>
    </row>
    <row r="271" spans="1:12" x14ac:dyDescent="0.3">
      <c r="A271" t="s">
        <v>11</v>
      </c>
      <c r="B271" t="str">
        <f>원본데이터_SK!D271</f>
        <v>20260205992861</v>
      </c>
      <c r="C271" t="str">
        <f>IF(원본데이터_SK!M271="","",TEXT(원본데이터_SK!M271,"YYYY-MM-DD"))</f>
        <v>2026-02-07</v>
      </c>
      <c r="D271" t="str">
        <f>원본데이터_SK!F271</f>
        <v>58481090</v>
      </c>
      <c r="E271" t="str">
        <f>IFERROR(VLOOKUP(원본데이터_SK!F271,채널매핑!$B:$D,3,0),"미매핑")</f>
        <v>미매핑</v>
      </c>
      <c r="F271">
        <f>IFERROR(VLOOKUP(원본데이터_SK!F271,채널매핑!$B:$E,4,0),1)</f>
        <v>1</v>
      </c>
      <c r="G271">
        <f>원본데이터_SK!Q271</f>
        <v>1</v>
      </c>
      <c r="H271">
        <f>원본데이터_SK!O271</f>
        <v>119000</v>
      </c>
      <c r="I271">
        <f>원본데이터_SK!AG271</f>
        <v>119000</v>
      </c>
      <c r="J271">
        <f>원본데이터_SK!AH271</f>
        <v>82110</v>
      </c>
      <c r="K271">
        <f>IFERROR(VLOOKUP(E271,제품마스터!$A:$B,2,0),0)</f>
        <v>0</v>
      </c>
      <c r="L271">
        <f>원본데이터_SK!Q271*원본데이터_SK!P271</f>
        <v>82110</v>
      </c>
    </row>
    <row r="272" spans="1:12" x14ac:dyDescent="0.3">
      <c r="A272" t="s">
        <v>11</v>
      </c>
      <c r="B272" t="str">
        <f>원본데이터_SK!D272</f>
        <v>20260205993182</v>
      </c>
      <c r="C272" t="str">
        <f>IF(원본데이터_SK!M272="","",TEXT(원본데이터_SK!M272,"YYYY-MM-DD"))</f>
        <v>2026-02-07</v>
      </c>
      <c r="D272" t="str">
        <f>원본데이터_SK!F272</f>
        <v>58481090</v>
      </c>
      <c r="E272" t="str">
        <f>IFERROR(VLOOKUP(원본데이터_SK!F272,채널매핑!$B:$D,3,0),"미매핑")</f>
        <v>미매핑</v>
      </c>
      <c r="F272">
        <f>IFERROR(VLOOKUP(원본데이터_SK!F272,채널매핑!$B:$E,4,0),1)</f>
        <v>1</v>
      </c>
      <c r="G272">
        <f>원본데이터_SK!Q272</f>
        <v>1</v>
      </c>
      <c r="H272">
        <f>원본데이터_SK!O272</f>
        <v>119000</v>
      </c>
      <c r="I272">
        <f>원본데이터_SK!AG272</f>
        <v>119000</v>
      </c>
      <c r="J272">
        <f>원본데이터_SK!AH272</f>
        <v>82110</v>
      </c>
      <c r="K272">
        <f>IFERROR(VLOOKUP(E272,제품마스터!$A:$B,2,0),0)</f>
        <v>0</v>
      </c>
      <c r="L272">
        <f>원본데이터_SK!Q272*원본데이터_SK!P272</f>
        <v>82110</v>
      </c>
    </row>
    <row r="273" spans="1:12" x14ac:dyDescent="0.3">
      <c r="A273" t="s">
        <v>11</v>
      </c>
      <c r="B273" t="str">
        <f>원본데이터_SK!D273</f>
        <v>20260205993222</v>
      </c>
      <c r="C273" t="str">
        <f>IF(원본데이터_SK!M273="","",TEXT(원본데이터_SK!M273,"YYYY-MM-DD"))</f>
        <v>2026-02-07</v>
      </c>
      <c r="D273" t="str">
        <f>원본데이터_SK!F273</f>
        <v>58481090</v>
      </c>
      <c r="E273" t="str">
        <f>IFERROR(VLOOKUP(원본데이터_SK!F273,채널매핑!$B:$D,3,0),"미매핑")</f>
        <v>미매핑</v>
      </c>
      <c r="F273">
        <f>IFERROR(VLOOKUP(원본데이터_SK!F273,채널매핑!$B:$E,4,0),1)</f>
        <v>1</v>
      </c>
      <c r="G273">
        <f>원본데이터_SK!Q273</f>
        <v>1</v>
      </c>
      <c r="H273">
        <f>원본데이터_SK!O273</f>
        <v>119000</v>
      </c>
      <c r="I273">
        <f>원본데이터_SK!AG273</f>
        <v>119000</v>
      </c>
      <c r="J273">
        <f>원본데이터_SK!AH273</f>
        <v>82110</v>
      </c>
      <c r="K273">
        <f>IFERROR(VLOOKUP(E273,제품마스터!$A:$B,2,0),0)</f>
        <v>0</v>
      </c>
      <c r="L273">
        <f>원본데이터_SK!Q273*원본데이터_SK!P273</f>
        <v>82110</v>
      </c>
    </row>
    <row r="274" spans="1:12" x14ac:dyDescent="0.3">
      <c r="A274" t="s">
        <v>11</v>
      </c>
      <c r="B274" t="str">
        <f>원본데이터_SK!D274</f>
        <v>20260205993549</v>
      </c>
      <c r="C274" t="str">
        <f>IF(원본데이터_SK!M274="","",TEXT(원본데이터_SK!M274,"YYYY-MM-DD"))</f>
        <v>2026-02-07</v>
      </c>
      <c r="D274" t="str">
        <f>원본데이터_SK!F274</f>
        <v>58481090</v>
      </c>
      <c r="E274" t="str">
        <f>IFERROR(VLOOKUP(원본데이터_SK!F274,채널매핑!$B:$D,3,0),"미매핑")</f>
        <v>미매핑</v>
      </c>
      <c r="F274">
        <f>IFERROR(VLOOKUP(원본데이터_SK!F274,채널매핑!$B:$E,4,0),1)</f>
        <v>1</v>
      </c>
      <c r="G274">
        <f>원본데이터_SK!Q274</f>
        <v>1</v>
      </c>
      <c r="H274">
        <f>원본데이터_SK!O274</f>
        <v>119000</v>
      </c>
      <c r="I274">
        <f>원본데이터_SK!AG274</f>
        <v>119000</v>
      </c>
      <c r="J274">
        <f>원본데이터_SK!AH274</f>
        <v>82110</v>
      </c>
      <c r="K274">
        <f>IFERROR(VLOOKUP(E274,제품마스터!$A:$B,2,0),0)</f>
        <v>0</v>
      </c>
      <c r="L274">
        <f>원본데이터_SK!Q274*원본데이터_SK!P274</f>
        <v>82110</v>
      </c>
    </row>
    <row r="275" spans="1:12" x14ac:dyDescent="0.3">
      <c r="A275" t="s">
        <v>11</v>
      </c>
      <c r="B275" t="str">
        <f>원본데이터_SK!D275</f>
        <v>20260205992690</v>
      </c>
      <c r="C275" t="str">
        <f>IF(원본데이터_SK!M275="","",TEXT(원본데이터_SK!M275,"YYYY-MM-DD"))</f>
        <v>2026-02-07</v>
      </c>
      <c r="D275" t="str">
        <f>원본데이터_SK!F275</f>
        <v>58481090</v>
      </c>
      <c r="E275" t="str">
        <f>IFERROR(VLOOKUP(원본데이터_SK!F275,채널매핑!$B:$D,3,0),"미매핑")</f>
        <v>미매핑</v>
      </c>
      <c r="F275">
        <f>IFERROR(VLOOKUP(원본데이터_SK!F275,채널매핑!$B:$E,4,0),1)</f>
        <v>1</v>
      </c>
      <c r="G275">
        <f>원본데이터_SK!Q275</f>
        <v>1</v>
      </c>
      <c r="H275">
        <f>원본데이터_SK!O275</f>
        <v>119000</v>
      </c>
      <c r="I275">
        <f>원본데이터_SK!AG275</f>
        <v>119000</v>
      </c>
      <c r="J275">
        <f>원본데이터_SK!AH275</f>
        <v>82110</v>
      </c>
      <c r="K275">
        <f>IFERROR(VLOOKUP(E275,제품마스터!$A:$B,2,0),0)</f>
        <v>0</v>
      </c>
      <c r="L275">
        <f>원본데이터_SK!Q275*원본데이터_SK!P275</f>
        <v>82110</v>
      </c>
    </row>
    <row r="276" spans="1:12" x14ac:dyDescent="0.3">
      <c r="A276" t="s">
        <v>11</v>
      </c>
      <c r="B276" t="str">
        <f>원본데이터_SK!D276</f>
        <v>20260205995551</v>
      </c>
      <c r="C276" t="str">
        <f>IF(원본데이터_SK!M276="","",TEXT(원본데이터_SK!M276,"YYYY-MM-DD"))</f>
        <v>2026-02-07</v>
      </c>
      <c r="D276" t="str">
        <f>원본데이터_SK!F276</f>
        <v>58481090</v>
      </c>
      <c r="E276" t="str">
        <f>IFERROR(VLOOKUP(원본데이터_SK!F276,채널매핑!$B:$D,3,0),"미매핑")</f>
        <v>미매핑</v>
      </c>
      <c r="F276">
        <f>IFERROR(VLOOKUP(원본데이터_SK!F276,채널매핑!$B:$E,4,0),1)</f>
        <v>1</v>
      </c>
      <c r="G276">
        <f>원본데이터_SK!Q276</f>
        <v>1</v>
      </c>
      <c r="H276">
        <f>원본데이터_SK!O276</f>
        <v>119000</v>
      </c>
      <c r="I276">
        <f>원본데이터_SK!AG276</f>
        <v>119000</v>
      </c>
      <c r="J276">
        <f>원본데이터_SK!AH276</f>
        <v>82110</v>
      </c>
      <c r="K276">
        <f>IFERROR(VLOOKUP(E276,제품마스터!$A:$B,2,0),0)</f>
        <v>0</v>
      </c>
      <c r="L276">
        <f>원본데이터_SK!Q276*원본데이터_SK!P276</f>
        <v>82110</v>
      </c>
    </row>
    <row r="277" spans="1:12" x14ac:dyDescent="0.3">
      <c r="A277" t="s">
        <v>11</v>
      </c>
      <c r="B277" t="str">
        <f>원본데이터_SK!D277</f>
        <v>20260205995626</v>
      </c>
      <c r="C277" t="str">
        <f>IF(원본데이터_SK!M277="","",TEXT(원본데이터_SK!M277,"YYYY-MM-DD"))</f>
        <v>2026-02-07</v>
      </c>
      <c r="D277" t="str">
        <f>원본데이터_SK!F277</f>
        <v>58481090</v>
      </c>
      <c r="E277" t="str">
        <f>IFERROR(VLOOKUP(원본데이터_SK!F277,채널매핑!$B:$D,3,0),"미매핑")</f>
        <v>미매핑</v>
      </c>
      <c r="F277">
        <f>IFERROR(VLOOKUP(원본데이터_SK!F277,채널매핑!$B:$E,4,0),1)</f>
        <v>1</v>
      </c>
      <c r="G277">
        <f>원본데이터_SK!Q277</f>
        <v>1</v>
      </c>
      <c r="H277">
        <f>원본데이터_SK!O277</f>
        <v>119000</v>
      </c>
      <c r="I277">
        <f>원본데이터_SK!AG277</f>
        <v>119000</v>
      </c>
      <c r="J277">
        <f>원본데이터_SK!AH277</f>
        <v>82110</v>
      </c>
      <c r="K277">
        <f>IFERROR(VLOOKUP(E277,제품마스터!$A:$B,2,0),0)</f>
        <v>0</v>
      </c>
      <c r="L277">
        <f>원본데이터_SK!Q277*원본데이터_SK!P277</f>
        <v>82110</v>
      </c>
    </row>
    <row r="278" spans="1:12" x14ac:dyDescent="0.3">
      <c r="A278" t="s">
        <v>11</v>
      </c>
      <c r="B278" t="str">
        <f>원본데이터_SK!D278</f>
        <v>20260205996241</v>
      </c>
      <c r="C278" t="str">
        <f>IF(원본데이터_SK!M278="","",TEXT(원본데이터_SK!M278,"YYYY-MM-DD"))</f>
        <v>2026-02-07</v>
      </c>
      <c r="D278" t="str">
        <f>원본데이터_SK!F278</f>
        <v>58481090</v>
      </c>
      <c r="E278" t="str">
        <f>IFERROR(VLOOKUP(원본데이터_SK!F278,채널매핑!$B:$D,3,0),"미매핑")</f>
        <v>미매핑</v>
      </c>
      <c r="F278">
        <f>IFERROR(VLOOKUP(원본데이터_SK!F278,채널매핑!$B:$E,4,0),1)</f>
        <v>1</v>
      </c>
      <c r="G278">
        <f>원본데이터_SK!Q278</f>
        <v>1</v>
      </c>
      <c r="H278">
        <f>원본데이터_SK!O278</f>
        <v>119000</v>
      </c>
      <c r="I278">
        <f>원본데이터_SK!AG278</f>
        <v>119000</v>
      </c>
      <c r="J278">
        <f>원본데이터_SK!AH278</f>
        <v>82110</v>
      </c>
      <c r="K278">
        <f>IFERROR(VLOOKUP(E278,제품마스터!$A:$B,2,0),0)</f>
        <v>0</v>
      </c>
      <c r="L278">
        <f>원본데이터_SK!Q278*원본데이터_SK!P278</f>
        <v>82110</v>
      </c>
    </row>
    <row r="279" spans="1:12" x14ac:dyDescent="0.3">
      <c r="A279" t="s">
        <v>11</v>
      </c>
      <c r="B279" t="str">
        <f>원본데이터_SK!D279</f>
        <v>20260205994016</v>
      </c>
      <c r="C279" t="str">
        <f>IF(원본데이터_SK!M279="","",TEXT(원본데이터_SK!M279,"YYYY-MM-DD"))</f>
        <v>2026-02-07</v>
      </c>
      <c r="D279" t="str">
        <f>원본데이터_SK!F279</f>
        <v>58481090</v>
      </c>
      <c r="E279" t="str">
        <f>IFERROR(VLOOKUP(원본데이터_SK!F279,채널매핑!$B:$D,3,0),"미매핑")</f>
        <v>미매핑</v>
      </c>
      <c r="F279">
        <f>IFERROR(VLOOKUP(원본데이터_SK!F279,채널매핑!$B:$E,4,0),1)</f>
        <v>1</v>
      </c>
      <c r="G279">
        <f>원본데이터_SK!Q279</f>
        <v>1</v>
      </c>
      <c r="H279">
        <f>원본데이터_SK!O279</f>
        <v>119000</v>
      </c>
      <c r="I279">
        <f>원본데이터_SK!AG279</f>
        <v>119000</v>
      </c>
      <c r="J279">
        <f>원본데이터_SK!AH279</f>
        <v>82110</v>
      </c>
      <c r="K279">
        <f>IFERROR(VLOOKUP(E279,제품마스터!$A:$B,2,0),0)</f>
        <v>0</v>
      </c>
      <c r="L279">
        <f>원본데이터_SK!Q279*원본데이터_SK!P279</f>
        <v>82110</v>
      </c>
    </row>
    <row r="280" spans="1:12" x14ac:dyDescent="0.3">
      <c r="A280" t="s">
        <v>11</v>
      </c>
      <c r="B280" t="str">
        <f>원본데이터_SK!D280</f>
        <v>20260205994157</v>
      </c>
      <c r="C280" t="str">
        <f>IF(원본데이터_SK!M280="","",TEXT(원본데이터_SK!M280,"YYYY-MM-DD"))</f>
        <v>2026-02-07</v>
      </c>
      <c r="D280" t="str">
        <f>원본데이터_SK!F280</f>
        <v>58481090</v>
      </c>
      <c r="E280" t="str">
        <f>IFERROR(VLOOKUP(원본데이터_SK!F280,채널매핑!$B:$D,3,0),"미매핑")</f>
        <v>미매핑</v>
      </c>
      <c r="F280">
        <f>IFERROR(VLOOKUP(원본데이터_SK!F280,채널매핑!$B:$E,4,0),1)</f>
        <v>1</v>
      </c>
      <c r="G280">
        <f>원본데이터_SK!Q280</f>
        <v>1</v>
      </c>
      <c r="H280">
        <f>원본데이터_SK!O280</f>
        <v>119000</v>
      </c>
      <c r="I280">
        <f>원본데이터_SK!AG280</f>
        <v>119000</v>
      </c>
      <c r="J280">
        <f>원본데이터_SK!AH280</f>
        <v>82110</v>
      </c>
      <c r="K280">
        <f>IFERROR(VLOOKUP(E280,제품마스터!$A:$B,2,0),0)</f>
        <v>0</v>
      </c>
      <c r="L280">
        <f>원본데이터_SK!Q280*원본데이터_SK!P280</f>
        <v>82110</v>
      </c>
    </row>
    <row r="281" spans="1:12" x14ac:dyDescent="0.3">
      <c r="A281" t="s">
        <v>11</v>
      </c>
      <c r="B281" t="str">
        <f>원본데이터_SK!D281</f>
        <v>20260205995268</v>
      </c>
      <c r="C281" t="str">
        <f>IF(원본데이터_SK!M281="","",TEXT(원본데이터_SK!M281,"YYYY-MM-DD"))</f>
        <v>2026-02-07</v>
      </c>
      <c r="D281" t="str">
        <f>원본데이터_SK!F281</f>
        <v>58481090</v>
      </c>
      <c r="E281" t="str">
        <f>IFERROR(VLOOKUP(원본데이터_SK!F281,채널매핑!$B:$D,3,0),"미매핑")</f>
        <v>미매핑</v>
      </c>
      <c r="F281">
        <f>IFERROR(VLOOKUP(원본데이터_SK!F281,채널매핑!$B:$E,4,0),1)</f>
        <v>1</v>
      </c>
      <c r="G281">
        <f>원본데이터_SK!Q281</f>
        <v>1</v>
      </c>
      <c r="H281">
        <f>원본데이터_SK!O281</f>
        <v>119000</v>
      </c>
      <c r="I281">
        <f>원본데이터_SK!AG281</f>
        <v>119000</v>
      </c>
      <c r="J281">
        <f>원본데이터_SK!AH281</f>
        <v>82110</v>
      </c>
      <c r="K281">
        <f>IFERROR(VLOOKUP(E281,제품마스터!$A:$B,2,0),0)</f>
        <v>0</v>
      </c>
      <c r="L281">
        <f>원본데이터_SK!Q281*원본데이터_SK!P281</f>
        <v>82110</v>
      </c>
    </row>
    <row r="282" spans="1:12" x14ac:dyDescent="0.3">
      <c r="A282" t="s">
        <v>11</v>
      </c>
      <c r="B282" t="str">
        <f>원본데이터_SK!D282</f>
        <v>20260205994486</v>
      </c>
      <c r="C282" t="str">
        <f>IF(원본데이터_SK!M282="","",TEXT(원본데이터_SK!M282,"YYYY-MM-DD"))</f>
        <v>2026-02-07</v>
      </c>
      <c r="D282" t="str">
        <f>원본데이터_SK!F282</f>
        <v>58481090</v>
      </c>
      <c r="E282" t="str">
        <f>IFERROR(VLOOKUP(원본데이터_SK!F282,채널매핑!$B:$D,3,0),"미매핑")</f>
        <v>미매핑</v>
      </c>
      <c r="F282">
        <f>IFERROR(VLOOKUP(원본데이터_SK!F282,채널매핑!$B:$E,4,0),1)</f>
        <v>1</v>
      </c>
      <c r="G282">
        <f>원본데이터_SK!Q282</f>
        <v>1</v>
      </c>
      <c r="H282">
        <f>원본데이터_SK!O282</f>
        <v>119000</v>
      </c>
      <c r="I282">
        <f>원본데이터_SK!AG282</f>
        <v>119000</v>
      </c>
      <c r="J282">
        <f>원본데이터_SK!AH282</f>
        <v>82110</v>
      </c>
      <c r="K282">
        <f>IFERROR(VLOOKUP(E282,제품마스터!$A:$B,2,0),0)</f>
        <v>0</v>
      </c>
      <c r="L282">
        <f>원본데이터_SK!Q282*원본데이터_SK!P282</f>
        <v>82110</v>
      </c>
    </row>
    <row r="283" spans="1:12" x14ac:dyDescent="0.3">
      <c r="A283" t="s">
        <v>11</v>
      </c>
      <c r="B283" t="str">
        <f>원본데이터_SK!D283</f>
        <v>20260205994744</v>
      </c>
      <c r="C283" t="str">
        <f>IF(원본데이터_SK!M283="","",TEXT(원본데이터_SK!M283,"YYYY-MM-DD"))</f>
        <v>2026-02-07</v>
      </c>
      <c r="D283" t="str">
        <f>원본데이터_SK!F283</f>
        <v>58481090</v>
      </c>
      <c r="E283" t="str">
        <f>IFERROR(VLOOKUP(원본데이터_SK!F283,채널매핑!$B:$D,3,0),"미매핑")</f>
        <v>미매핑</v>
      </c>
      <c r="F283">
        <f>IFERROR(VLOOKUP(원본데이터_SK!F283,채널매핑!$B:$E,4,0),1)</f>
        <v>1</v>
      </c>
      <c r="G283">
        <f>원본데이터_SK!Q283</f>
        <v>1</v>
      </c>
      <c r="H283">
        <f>원본데이터_SK!O283</f>
        <v>119000</v>
      </c>
      <c r="I283">
        <f>원본데이터_SK!AG283</f>
        <v>99960</v>
      </c>
      <c r="J283">
        <f>원본데이터_SK!AH283</f>
        <v>82110</v>
      </c>
      <c r="K283">
        <f>IFERROR(VLOOKUP(E283,제품마스터!$A:$B,2,0),0)</f>
        <v>0</v>
      </c>
      <c r="L283">
        <f>원본데이터_SK!Q283*원본데이터_SK!P283</f>
        <v>82110</v>
      </c>
    </row>
    <row r="284" spans="1:12" x14ac:dyDescent="0.3">
      <c r="A284" t="s">
        <v>11</v>
      </c>
      <c r="B284" t="str">
        <f>원본데이터_SK!D284</f>
        <v>20260205992679</v>
      </c>
      <c r="C284" t="str">
        <f>IF(원본데이터_SK!M284="","",TEXT(원본데이터_SK!M284,"YYYY-MM-DD"))</f>
        <v>2026-02-07</v>
      </c>
      <c r="D284" t="str">
        <f>원본데이터_SK!F284</f>
        <v>58481090</v>
      </c>
      <c r="E284" t="str">
        <f>IFERROR(VLOOKUP(원본데이터_SK!F284,채널매핑!$B:$D,3,0),"미매핑")</f>
        <v>미매핑</v>
      </c>
      <c r="F284">
        <f>IFERROR(VLOOKUP(원본데이터_SK!F284,채널매핑!$B:$E,4,0),1)</f>
        <v>1</v>
      </c>
      <c r="G284">
        <f>원본데이터_SK!Q284</f>
        <v>1</v>
      </c>
      <c r="H284">
        <f>원본데이터_SK!O284</f>
        <v>119000</v>
      </c>
      <c r="I284">
        <f>원본데이터_SK!AG284</f>
        <v>119000</v>
      </c>
      <c r="J284">
        <f>원본데이터_SK!AH284</f>
        <v>82110</v>
      </c>
      <c r="K284">
        <f>IFERROR(VLOOKUP(E284,제품마스터!$A:$B,2,0),0)</f>
        <v>0</v>
      </c>
      <c r="L284">
        <f>원본데이터_SK!Q284*원본데이터_SK!P284</f>
        <v>82110</v>
      </c>
    </row>
    <row r="285" spans="1:12" x14ac:dyDescent="0.3">
      <c r="A285" t="s">
        <v>11</v>
      </c>
      <c r="B285" t="str">
        <f>원본데이터_SK!D285</f>
        <v>20260205992794</v>
      </c>
      <c r="C285" t="str">
        <f>IF(원본데이터_SK!M285="","",TEXT(원본데이터_SK!M285,"YYYY-MM-DD"))</f>
        <v>2026-02-07</v>
      </c>
      <c r="D285" t="str">
        <f>원본데이터_SK!F285</f>
        <v>58481090</v>
      </c>
      <c r="E285" t="str">
        <f>IFERROR(VLOOKUP(원본데이터_SK!F285,채널매핑!$B:$D,3,0),"미매핑")</f>
        <v>미매핑</v>
      </c>
      <c r="F285">
        <f>IFERROR(VLOOKUP(원본데이터_SK!F285,채널매핑!$B:$E,4,0),1)</f>
        <v>1</v>
      </c>
      <c r="G285">
        <f>원본데이터_SK!Q285</f>
        <v>1</v>
      </c>
      <c r="H285">
        <f>원본데이터_SK!O285</f>
        <v>119000</v>
      </c>
      <c r="I285">
        <f>원본데이터_SK!AG285</f>
        <v>119000</v>
      </c>
      <c r="J285">
        <f>원본데이터_SK!AH285</f>
        <v>82110</v>
      </c>
      <c r="K285">
        <f>IFERROR(VLOOKUP(E285,제품마스터!$A:$B,2,0),0)</f>
        <v>0</v>
      </c>
      <c r="L285">
        <f>원본데이터_SK!Q285*원본데이터_SK!P285</f>
        <v>82110</v>
      </c>
    </row>
    <row r="286" spans="1:12" x14ac:dyDescent="0.3">
      <c r="A286" t="s">
        <v>11</v>
      </c>
      <c r="B286" t="str">
        <f>원본데이터_SK!D286</f>
        <v>20260205992734</v>
      </c>
      <c r="C286" t="str">
        <f>IF(원본데이터_SK!M286="","",TEXT(원본데이터_SK!M286,"YYYY-MM-DD"))</f>
        <v>2026-02-07</v>
      </c>
      <c r="D286" t="str">
        <f>원본데이터_SK!F286</f>
        <v>58481090</v>
      </c>
      <c r="E286" t="str">
        <f>IFERROR(VLOOKUP(원본데이터_SK!F286,채널매핑!$B:$D,3,0),"미매핑")</f>
        <v>미매핑</v>
      </c>
      <c r="F286">
        <f>IFERROR(VLOOKUP(원본데이터_SK!F286,채널매핑!$B:$E,4,0),1)</f>
        <v>1</v>
      </c>
      <c r="G286">
        <f>원본데이터_SK!Q286</f>
        <v>1</v>
      </c>
      <c r="H286">
        <f>원본데이터_SK!O286</f>
        <v>119000</v>
      </c>
      <c r="I286">
        <f>원본데이터_SK!AG286</f>
        <v>119000</v>
      </c>
      <c r="J286">
        <f>원본데이터_SK!AH286</f>
        <v>82110</v>
      </c>
      <c r="K286">
        <f>IFERROR(VLOOKUP(E286,제품마스터!$A:$B,2,0),0)</f>
        <v>0</v>
      </c>
      <c r="L286">
        <f>원본데이터_SK!Q286*원본데이터_SK!P286</f>
        <v>82110</v>
      </c>
    </row>
    <row r="287" spans="1:12" x14ac:dyDescent="0.3">
      <c r="A287" t="s">
        <v>11</v>
      </c>
      <c r="B287" t="str">
        <f>원본데이터_SK!D287</f>
        <v>20260205992738</v>
      </c>
      <c r="C287" t="str">
        <f>IF(원본데이터_SK!M287="","",TEXT(원본데이터_SK!M287,"YYYY-MM-DD"))</f>
        <v>2026-02-07</v>
      </c>
      <c r="D287" t="str">
        <f>원본데이터_SK!F287</f>
        <v>58481090</v>
      </c>
      <c r="E287" t="str">
        <f>IFERROR(VLOOKUP(원본데이터_SK!F287,채널매핑!$B:$D,3,0),"미매핑")</f>
        <v>미매핑</v>
      </c>
      <c r="F287">
        <f>IFERROR(VLOOKUP(원본데이터_SK!F287,채널매핑!$B:$E,4,0),1)</f>
        <v>1</v>
      </c>
      <c r="G287">
        <f>원본데이터_SK!Q287</f>
        <v>1</v>
      </c>
      <c r="H287">
        <f>원본데이터_SK!O287</f>
        <v>119000</v>
      </c>
      <c r="I287">
        <f>원본데이터_SK!AG287</f>
        <v>119000</v>
      </c>
      <c r="J287">
        <f>원본데이터_SK!AH287</f>
        <v>82110</v>
      </c>
      <c r="K287">
        <f>IFERROR(VLOOKUP(E287,제품마스터!$A:$B,2,0),0)</f>
        <v>0</v>
      </c>
      <c r="L287">
        <f>원본데이터_SK!Q287*원본데이터_SK!P287</f>
        <v>82110</v>
      </c>
    </row>
    <row r="288" spans="1:12" x14ac:dyDescent="0.3">
      <c r="A288" t="s">
        <v>11</v>
      </c>
      <c r="B288" t="str">
        <f>원본데이터_SK!D288</f>
        <v>20260205992986</v>
      </c>
      <c r="C288" t="str">
        <f>IF(원본데이터_SK!M288="","",TEXT(원본데이터_SK!M288,"YYYY-MM-DD"))</f>
        <v>2026-02-07</v>
      </c>
      <c r="D288" t="str">
        <f>원본데이터_SK!F288</f>
        <v>58481090</v>
      </c>
      <c r="E288" t="str">
        <f>IFERROR(VLOOKUP(원본데이터_SK!F288,채널매핑!$B:$D,3,0),"미매핑")</f>
        <v>미매핑</v>
      </c>
      <c r="F288">
        <f>IFERROR(VLOOKUP(원본데이터_SK!F288,채널매핑!$B:$E,4,0),1)</f>
        <v>1</v>
      </c>
      <c r="G288">
        <f>원본데이터_SK!Q288</f>
        <v>1</v>
      </c>
      <c r="H288">
        <f>원본데이터_SK!O288</f>
        <v>119000</v>
      </c>
      <c r="I288">
        <f>원본데이터_SK!AG288</f>
        <v>119000</v>
      </c>
      <c r="J288">
        <f>원본데이터_SK!AH288</f>
        <v>82110</v>
      </c>
      <c r="K288">
        <f>IFERROR(VLOOKUP(E288,제품마스터!$A:$B,2,0),0)</f>
        <v>0</v>
      </c>
      <c r="L288">
        <f>원본데이터_SK!Q288*원본데이터_SK!P288</f>
        <v>82110</v>
      </c>
    </row>
    <row r="289" spans="1:12" x14ac:dyDescent="0.3">
      <c r="A289" t="s">
        <v>11</v>
      </c>
      <c r="B289" t="str">
        <f>원본데이터_SK!D289</f>
        <v>20260205995135</v>
      </c>
      <c r="C289" t="str">
        <f>IF(원본데이터_SK!M289="","",TEXT(원본데이터_SK!M289,"YYYY-MM-DD"))</f>
        <v>2026-02-07</v>
      </c>
      <c r="D289" t="str">
        <f>원본데이터_SK!F289</f>
        <v>58481090</v>
      </c>
      <c r="E289" t="str">
        <f>IFERROR(VLOOKUP(원본데이터_SK!F289,채널매핑!$B:$D,3,0),"미매핑")</f>
        <v>미매핑</v>
      </c>
      <c r="F289">
        <f>IFERROR(VLOOKUP(원본데이터_SK!F289,채널매핑!$B:$E,4,0),1)</f>
        <v>1</v>
      </c>
      <c r="G289">
        <f>원본데이터_SK!Q289</f>
        <v>1</v>
      </c>
      <c r="H289">
        <f>원본데이터_SK!O289</f>
        <v>119000</v>
      </c>
      <c r="I289">
        <f>원본데이터_SK!AG289</f>
        <v>119000</v>
      </c>
      <c r="J289">
        <f>원본데이터_SK!AH289</f>
        <v>82110</v>
      </c>
      <c r="K289">
        <f>IFERROR(VLOOKUP(E289,제품마스터!$A:$B,2,0),0)</f>
        <v>0</v>
      </c>
      <c r="L289">
        <f>원본데이터_SK!Q289*원본데이터_SK!P289</f>
        <v>82110</v>
      </c>
    </row>
    <row r="290" spans="1:12" x14ac:dyDescent="0.3">
      <c r="A290" t="s">
        <v>11</v>
      </c>
      <c r="B290" t="str">
        <f>원본데이터_SK!D290</f>
        <v>20260205995051</v>
      </c>
      <c r="C290" t="str">
        <f>IF(원본데이터_SK!M290="","",TEXT(원본데이터_SK!M290,"YYYY-MM-DD"))</f>
        <v>2026-02-07</v>
      </c>
      <c r="D290" t="str">
        <f>원본데이터_SK!F290</f>
        <v>58481090</v>
      </c>
      <c r="E290" t="str">
        <f>IFERROR(VLOOKUP(원본데이터_SK!F290,채널매핑!$B:$D,3,0),"미매핑")</f>
        <v>미매핑</v>
      </c>
      <c r="F290">
        <f>IFERROR(VLOOKUP(원본데이터_SK!F290,채널매핑!$B:$E,4,0),1)</f>
        <v>1</v>
      </c>
      <c r="G290">
        <f>원본데이터_SK!Q290</f>
        <v>1</v>
      </c>
      <c r="H290">
        <f>원본데이터_SK!O290</f>
        <v>119000</v>
      </c>
      <c r="I290">
        <f>원본데이터_SK!AG290</f>
        <v>113050</v>
      </c>
      <c r="J290">
        <f>원본데이터_SK!AH290</f>
        <v>82110</v>
      </c>
      <c r="K290">
        <f>IFERROR(VLOOKUP(E290,제품마스터!$A:$B,2,0),0)</f>
        <v>0</v>
      </c>
      <c r="L290">
        <f>원본데이터_SK!Q290*원본데이터_SK!P290</f>
        <v>82110</v>
      </c>
    </row>
    <row r="291" spans="1:12" x14ac:dyDescent="0.3">
      <c r="A291" t="s">
        <v>11</v>
      </c>
      <c r="B291" t="str">
        <f>원본데이터_SK!D291</f>
        <v>20260205995178</v>
      </c>
      <c r="C291" t="str">
        <f>IF(원본데이터_SK!M291="","",TEXT(원본데이터_SK!M291,"YYYY-MM-DD"))</f>
        <v>2026-02-07</v>
      </c>
      <c r="D291" t="str">
        <f>원본데이터_SK!F291</f>
        <v>58481090</v>
      </c>
      <c r="E291" t="str">
        <f>IFERROR(VLOOKUP(원본데이터_SK!F291,채널매핑!$B:$D,3,0),"미매핑")</f>
        <v>미매핑</v>
      </c>
      <c r="F291">
        <f>IFERROR(VLOOKUP(원본데이터_SK!F291,채널매핑!$B:$E,4,0),1)</f>
        <v>1</v>
      </c>
      <c r="G291">
        <f>원본데이터_SK!Q291</f>
        <v>1</v>
      </c>
      <c r="H291">
        <f>원본데이터_SK!O291</f>
        <v>119000</v>
      </c>
      <c r="I291">
        <f>원본데이터_SK!AG291</f>
        <v>119000</v>
      </c>
      <c r="J291">
        <f>원본데이터_SK!AH291</f>
        <v>82110</v>
      </c>
      <c r="K291">
        <f>IFERROR(VLOOKUP(E291,제품마스터!$A:$B,2,0),0)</f>
        <v>0</v>
      </c>
      <c r="L291">
        <f>원본데이터_SK!Q291*원본데이터_SK!P291</f>
        <v>82110</v>
      </c>
    </row>
    <row r="292" spans="1:12" x14ac:dyDescent="0.3">
      <c r="A292" t="s">
        <v>11</v>
      </c>
      <c r="B292" t="str">
        <f>원본데이터_SK!D292</f>
        <v>20260205995310</v>
      </c>
      <c r="C292" t="str">
        <f>IF(원본데이터_SK!M292="","",TEXT(원본데이터_SK!M292,"YYYY-MM-DD"))</f>
        <v>2026-02-07</v>
      </c>
      <c r="D292" t="str">
        <f>원본데이터_SK!F292</f>
        <v>58481090</v>
      </c>
      <c r="E292" t="str">
        <f>IFERROR(VLOOKUP(원본데이터_SK!F292,채널매핑!$B:$D,3,0),"미매핑")</f>
        <v>미매핑</v>
      </c>
      <c r="F292">
        <f>IFERROR(VLOOKUP(원본데이터_SK!F292,채널매핑!$B:$E,4,0),1)</f>
        <v>1</v>
      </c>
      <c r="G292">
        <f>원본데이터_SK!Q292</f>
        <v>1</v>
      </c>
      <c r="H292">
        <f>원본데이터_SK!O292</f>
        <v>119000</v>
      </c>
      <c r="I292">
        <f>원본데이터_SK!AG292</f>
        <v>119000</v>
      </c>
      <c r="J292">
        <f>원본데이터_SK!AH292</f>
        <v>82110</v>
      </c>
      <c r="K292">
        <f>IFERROR(VLOOKUP(E292,제품마스터!$A:$B,2,0),0)</f>
        <v>0</v>
      </c>
      <c r="L292">
        <f>원본데이터_SK!Q292*원본데이터_SK!P292</f>
        <v>82110</v>
      </c>
    </row>
    <row r="293" spans="1:12" x14ac:dyDescent="0.3">
      <c r="A293" t="s">
        <v>11</v>
      </c>
      <c r="B293" t="str">
        <f>원본데이터_SK!D293</f>
        <v>20260205994627</v>
      </c>
      <c r="C293" t="str">
        <f>IF(원본데이터_SK!M293="","",TEXT(원본데이터_SK!M293,"YYYY-MM-DD"))</f>
        <v>2026-02-07</v>
      </c>
      <c r="D293" t="str">
        <f>원본데이터_SK!F293</f>
        <v>58481090</v>
      </c>
      <c r="E293" t="str">
        <f>IFERROR(VLOOKUP(원본데이터_SK!F293,채널매핑!$B:$D,3,0),"미매핑")</f>
        <v>미매핑</v>
      </c>
      <c r="F293">
        <f>IFERROR(VLOOKUP(원본데이터_SK!F293,채널매핑!$B:$E,4,0),1)</f>
        <v>1</v>
      </c>
      <c r="G293">
        <f>원본데이터_SK!Q293</f>
        <v>1</v>
      </c>
      <c r="H293">
        <f>원본데이터_SK!O293</f>
        <v>119000</v>
      </c>
      <c r="I293">
        <f>원본데이터_SK!AG293</f>
        <v>119000</v>
      </c>
      <c r="J293">
        <f>원본데이터_SK!AH293</f>
        <v>82110</v>
      </c>
      <c r="K293">
        <f>IFERROR(VLOOKUP(E293,제품마스터!$A:$B,2,0),0)</f>
        <v>0</v>
      </c>
      <c r="L293">
        <f>원본데이터_SK!Q293*원본데이터_SK!P293</f>
        <v>82110</v>
      </c>
    </row>
    <row r="294" spans="1:12" x14ac:dyDescent="0.3">
      <c r="A294" t="s">
        <v>11</v>
      </c>
      <c r="B294" t="str">
        <f>원본데이터_SK!D294</f>
        <v>20260205992706</v>
      </c>
      <c r="C294" t="str">
        <f>IF(원본데이터_SK!M294="","",TEXT(원본데이터_SK!M294,"YYYY-MM-DD"))</f>
        <v>2026-02-07</v>
      </c>
      <c r="D294" t="str">
        <f>원본데이터_SK!F294</f>
        <v>58481090</v>
      </c>
      <c r="E294" t="str">
        <f>IFERROR(VLOOKUP(원본데이터_SK!F294,채널매핑!$B:$D,3,0),"미매핑")</f>
        <v>미매핑</v>
      </c>
      <c r="F294">
        <f>IFERROR(VLOOKUP(원본데이터_SK!F294,채널매핑!$B:$E,4,0),1)</f>
        <v>1</v>
      </c>
      <c r="G294">
        <f>원본데이터_SK!Q294</f>
        <v>1</v>
      </c>
      <c r="H294">
        <f>원본데이터_SK!O294</f>
        <v>119000</v>
      </c>
      <c r="I294">
        <f>원본데이터_SK!AG294</f>
        <v>101150</v>
      </c>
      <c r="J294">
        <f>원본데이터_SK!AH294</f>
        <v>82110</v>
      </c>
      <c r="K294">
        <f>IFERROR(VLOOKUP(E294,제품마스터!$A:$B,2,0),0)</f>
        <v>0</v>
      </c>
      <c r="L294">
        <f>원본데이터_SK!Q294*원본데이터_SK!P294</f>
        <v>82110</v>
      </c>
    </row>
    <row r="295" spans="1:12" x14ac:dyDescent="0.3">
      <c r="A295" t="s">
        <v>11</v>
      </c>
      <c r="B295" t="str">
        <f>원본데이터_SK!D295</f>
        <v>20260205992897</v>
      </c>
      <c r="C295" t="str">
        <f>IF(원본데이터_SK!M295="","",TEXT(원본데이터_SK!M295,"YYYY-MM-DD"))</f>
        <v>2026-02-07</v>
      </c>
      <c r="D295" t="str">
        <f>원본데이터_SK!F295</f>
        <v>58481090</v>
      </c>
      <c r="E295" t="str">
        <f>IFERROR(VLOOKUP(원본데이터_SK!F295,채널매핑!$B:$D,3,0),"미매핑")</f>
        <v>미매핑</v>
      </c>
      <c r="F295">
        <f>IFERROR(VLOOKUP(원본데이터_SK!F295,채널매핑!$B:$E,4,0),1)</f>
        <v>1</v>
      </c>
      <c r="G295">
        <f>원본데이터_SK!Q295</f>
        <v>1</v>
      </c>
      <c r="H295">
        <f>원본데이터_SK!O295</f>
        <v>119000</v>
      </c>
      <c r="I295">
        <f>원본데이터_SK!AG295</f>
        <v>96390</v>
      </c>
      <c r="J295">
        <f>원본데이터_SK!AH295</f>
        <v>82110</v>
      </c>
      <c r="K295">
        <f>IFERROR(VLOOKUP(E295,제품마스터!$A:$B,2,0),0)</f>
        <v>0</v>
      </c>
      <c r="L295">
        <f>원본데이터_SK!Q295*원본데이터_SK!P295</f>
        <v>82110</v>
      </c>
    </row>
    <row r="296" spans="1:12" x14ac:dyDescent="0.3">
      <c r="A296" t="s">
        <v>11</v>
      </c>
      <c r="B296" t="str">
        <f>원본데이터_SK!D296</f>
        <v>20260205994669</v>
      </c>
      <c r="C296" t="str">
        <f>IF(원본데이터_SK!M296="","",TEXT(원본데이터_SK!M296,"YYYY-MM-DD"))</f>
        <v>2026-02-07</v>
      </c>
      <c r="D296" t="str">
        <f>원본데이터_SK!F296</f>
        <v>58481090</v>
      </c>
      <c r="E296" t="str">
        <f>IFERROR(VLOOKUP(원본데이터_SK!F296,채널매핑!$B:$D,3,0),"미매핑")</f>
        <v>미매핑</v>
      </c>
      <c r="F296">
        <f>IFERROR(VLOOKUP(원본데이터_SK!F296,채널매핑!$B:$E,4,0),1)</f>
        <v>1</v>
      </c>
      <c r="G296">
        <f>원본데이터_SK!Q296</f>
        <v>1</v>
      </c>
      <c r="H296">
        <f>원본데이터_SK!O296</f>
        <v>119000</v>
      </c>
      <c r="I296">
        <f>원본데이터_SK!AG296</f>
        <v>119000</v>
      </c>
      <c r="J296">
        <f>원본데이터_SK!AH296</f>
        <v>82110</v>
      </c>
      <c r="K296">
        <f>IFERROR(VLOOKUP(E296,제품마스터!$A:$B,2,0),0)</f>
        <v>0</v>
      </c>
      <c r="L296">
        <f>원본데이터_SK!Q296*원본데이터_SK!P296</f>
        <v>82110</v>
      </c>
    </row>
    <row r="297" spans="1:12" x14ac:dyDescent="0.3">
      <c r="A297" t="s">
        <v>11</v>
      </c>
      <c r="B297" t="str">
        <f>원본데이터_SK!D297</f>
        <v>20260205993830</v>
      </c>
      <c r="C297" t="str">
        <f>IF(원본데이터_SK!M297="","",TEXT(원본데이터_SK!M297,"YYYY-MM-DD"))</f>
        <v>2026-02-07</v>
      </c>
      <c r="D297" t="str">
        <f>원본데이터_SK!F297</f>
        <v>58481090</v>
      </c>
      <c r="E297" t="str">
        <f>IFERROR(VLOOKUP(원본데이터_SK!F297,채널매핑!$B:$D,3,0),"미매핑")</f>
        <v>미매핑</v>
      </c>
      <c r="F297">
        <f>IFERROR(VLOOKUP(원본데이터_SK!F297,채널매핑!$B:$E,4,0),1)</f>
        <v>1</v>
      </c>
      <c r="G297">
        <f>원본데이터_SK!Q297</f>
        <v>1</v>
      </c>
      <c r="H297">
        <f>원본데이터_SK!O297</f>
        <v>119000</v>
      </c>
      <c r="I297">
        <f>원본데이터_SK!AG297</f>
        <v>119000</v>
      </c>
      <c r="J297">
        <f>원본데이터_SK!AH297</f>
        <v>82110</v>
      </c>
      <c r="K297">
        <f>IFERROR(VLOOKUP(E297,제품마스터!$A:$B,2,0),0)</f>
        <v>0</v>
      </c>
      <c r="L297">
        <f>원본데이터_SK!Q297*원본데이터_SK!P297</f>
        <v>82110</v>
      </c>
    </row>
    <row r="298" spans="1:12" x14ac:dyDescent="0.3">
      <c r="A298" t="s">
        <v>11</v>
      </c>
      <c r="B298" t="str">
        <f>원본데이터_SK!D298</f>
        <v>20260205993830</v>
      </c>
      <c r="C298" t="str">
        <f>IF(원본데이터_SK!M298="","",TEXT(원본데이터_SK!M298,"YYYY-MM-DD"))</f>
        <v>2026-02-07</v>
      </c>
      <c r="D298" t="str">
        <f>원본데이터_SK!F298</f>
        <v>58481090</v>
      </c>
      <c r="E298" t="str">
        <f>IFERROR(VLOOKUP(원본데이터_SK!F298,채널매핑!$B:$D,3,0),"미매핑")</f>
        <v>미매핑</v>
      </c>
      <c r="F298">
        <f>IFERROR(VLOOKUP(원본데이터_SK!F298,채널매핑!$B:$E,4,0),1)</f>
        <v>1</v>
      </c>
      <c r="G298">
        <f>원본데이터_SK!Q298</f>
        <v>1</v>
      </c>
      <c r="H298">
        <f>원본데이터_SK!O298</f>
        <v>119000</v>
      </c>
      <c r="I298">
        <f>원본데이터_SK!AG298</f>
        <v>119000</v>
      </c>
      <c r="J298">
        <f>원본데이터_SK!AH298</f>
        <v>82110</v>
      </c>
      <c r="K298">
        <f>IFERROR(VLOOKUP(E298,제품마스터!$A:$B,2,0),0)</f>
        <v>0</v>
      </c>
      <c r="L298">
        <f>원본데이터_SK!Q298*원본데이터_SK!P298</f>
        <v>82110</v>
      </c>
    </row>
    <row r="299" spans="1:12" x14ac:dyDescent="0.3">
      <c r="A299" t="s">
        <v>11</v>
      </c>
      <c r="B299" t="str">
        <f>원본데이터_SK!D299</f>
        <v>20260205993426</v>
      </c>
      <c r="C299" t="str">
        <f>IF(원본데이터_SK!M299="","",TEXT(원본데이터_SK!M299,"YYYY-MM-DD"))</f>
        <v>2026-02-07</v>
      </c>
      <c r="D299" t="str">
        <f>원본데이터_SK!F299</f>
        <v>58481090</v>
      </c>
      <c r="E299" t="str">
        <f>IFERROR(VLOOKUP(원본데이터_SK!F299,채널매핑!$B:$D,3,0),"미매핑")</f>
        <v>미매핑</v>
      </c>
      <c r="F299">
        <f>IFERROR(VLOOKUP(원본데이터_SK!F299,채널매핑!$B:$E,4,0),1)</f>
        <v>1</v>
      </c>
      <c r="G299">
        <f>원본데이터_SK!Q299</f>
        <v>1</v>
      </c>
      <c r="H299">
        <f>원본데이터_SK!O299</f>
        <v>119000</v>
      </c>
      <c r="I299">
        <f>원본데이터_SK!AG299</f>
        <v>119000</v>
      </c>
      <c r="J299">
        <f>원본데이터_SK!AH299</f>
        <v>82110</v>
      </c>
      <c r="K299">
        <f>IFERROR(VLOOKUP(E299,제품마스터!$A:$B,2,0),0)</f>
        <v>0</v>
      </c>
      <c r="L299">
        <f>원본데이터_SK!Q299*원본데이터_SK!P299</f>
        <v>82110</v>
      </c>
    </row>
    <row r="300" spans="1:12" x14ac:dyDescent="0.3">
      <c r="A300" t="s">
        <v>11</v>
      </c>
      <c r="B300" t="str">
        <f>원본데이터_SK!D300</f>
        <v>20260205993231</v>
      </c>
      <c r="C300" t="str">
        <f>IF(원본데이터_SK!M300="","",TEXT(원본데이터_SK!M300,"YYYY-MM-DD"))</f>
        <v>2026-02-07</v>
      </c>
      <c r="D300" t="str">
        <f>원본데이터_SK!F300</f>
        <v>58481090</v>
      </c>
      <c r="E300" t="str">
        <f>IFERROR(VLOOKUP(원본데이터_SK!F300,채널매핑!$B:$D,3,0),"미매핑")</f>
        <v>미매핑</v>
      </c>
      <c r="F300">
        <f>IFERROR(VLOOKUP(원본데이터_SK!F300,채널매핑!$B:$E,4,0),1)</f>
        <v>1</v>
      </c>
      <c r="G300">
        <f>원본데이터_SK!Q300</f>
        <v>1</v>
      </c>
      <c r="H300">
        <f>원본데이터_SK!O300</f>
        <v>119000</v>
      </c>
      <c r="I300">
        <f>원본데이터_SK!AG300</f>
        <v>119000</v>
      </c>
      <c r="J300">
        <f>원본데이터_SK!AH300</f>
        <v>82110</v>
      </c>
      <c r="K300">
        <f>IFERROR(VLOOKUP(E300,제품마스터!$A:$B,2,0),0)</f>
        <v>0</v>
      </c>
      <c r="L300">
        <f>원본데이터_SK!Q300*원본데이터_SK!P300</f>
        <v>82110</v>
      </c>
    </row>
    <row r="301" spans="1:12" x14ac:dyDescent="0.3">
      <c r="A301" t="s">
        <v>11</v>
      </c>
      <c r="B301" t="str">
        <f>원본데이터_SK!D301</f>
        <v>20260205995033</v>
      </c>
      <c r="C301" t="str">
        <f>IF(원본데이터_SK!M301="","",TEXT(원본데이터_SK!M301,"YYYY-MM-DD"))</f>
        <v>2026-02-07</v>
      </c>
      <c r="D301" t="str">
        <f>원본데이터_SK!F301</f>
        <v>58481090</v>
      </c>
      <c r="E301" t="str">
        <f>IFERROR(VLOOKUP(원본데이터_SK!F301,채널매핑!$B:$D,3,0),"미매핑")</f>
        <v>미매핑</v>
      </c>
      <c r="F301">
        <f>IFERROR(VLOOKUP(원본데이터_SK!F301,채널매핑!$B:$E,4,0),1)</f>
        <v>1</v>
      </c>
      <c r="G301">
        <f>원본데이터_SK!Q301</f>
        <v>1</v>
      </c>
      <c r="H301">
        <f>원본데이터_SK!O301</f>
        <v>119000</v>
      </c>
      <c r="I301">
        <f>원본데이터_SK!AG301</f>
        <v>119000</v>
      </c>
      <c r="J301">
        <f>원본데이터_SK!AH301</f>
        <v>82110</v>
      </c>
      <c r="K301">
        <f>IFERROR(VLOOKUP(E301,제품마스터!$A:$B,2,0),0)</f>
        <v>0</v>
      </c>
      <c r="L301">
        <f>원본데이터_SK!Q301*원본데이터_SK!P301</f>
        <v>82110</v>
      </c>
    </row>
    <row r="302" spans="1:12" x14ac:dyDescent="0.3">
      <c r="A302" t="s">
        <v>11</v>
      </c>
      <c r="B302" t="str">
        <f>원본데이터_SK!D302</f>
        <v>20260205994734</v>
      </c>
      <c r="C302" t="str">
        <f>IF(원본데이터_SK!M302="","",TEXT(원본데이터_SK!M302,"YYYY-MM-DD"))</f>
        <v>2026-02-07</v>
      </c>
      <c r="D302" t="str">
        <f>원본데이터_SK!F302</f>
        <v>58481090</v>
      </c>
      <c r="E302" t="str">
        <f>IFERROR(VLOOKUP(원본데이터_SK!F302,채널매핑!$B:$D,3,0),"미매핑")</f>
        <v>미매핑</v>
      </c>
      <c r="F302">
        <f>IFERROR(VLOOKUP(원본데이터_SK!F302,채널매핑!$B:$E,4,0),1)</f>
        <v>1</v>
      </c>
      <c r="G302">
        <f>원본데이터_SK!Q302</f>
        <v>1</v>
      </c>
      <c r="H302">
        <f>원본데이터_SK!O302</f>
        <v>119000</v>
      </c>
      <c r="I302">
        <f>원본데이터_SK!AG302</f>
        <v>119000</v>
      </c>
      <c r="J302">
        <f>원본데이터_SK!AH302</f>
        <v>82110</v>
      </c>
      <c r="K302">
        <f>IFERROR(VLOOKUP(E302,제품마스터!$A:$B,2,0),0)</f>
        <v>0</v>
      </c>
      <c r="L302">
        <f>원본데이터_SK!Q302*원본데이터_SK!P302</f>
        <v>82110</v>
      </c>
    </row>
    <row r="303" spans="1:12" x14ac:dyDescent="0.3">
      <c r="A303" t="s">
        <v>11</v>
      </c>
      <c r="B303" t="str">
        <f>원본데이터_SK!D303</f>
        <v>20260205005878</v>
      </c>
      <c r="C303" t="str">
        <f>IF(원본데이터_SK!M303="","",TEXT(원본데이터_SK!M303,"YYYY-MM-DD"))</f>
        <v>2026-02-07</v>
      </c>
      <c r="D303" t="str">
        <f>원본데이터_SK!F303</f>
        <v>58481090</v>
      </c>
      <c r="E303" t="str">
        <f>IFERROR(VLOOKUP(원본데이터_SK!F303,채널매핑!$B:$D,3,0),"미매핑")</f>
        <v>미매핑</v>
      </c>
      <c r="F303">
        <f>IFERROR(VLOOKUP(원본데이터_SK!F303,채널매핑!$B:$E,4,0),1)</f>
        <v>1</v>
      </c>
      <c r="G303">
        <f>원본데이터_SK!Q303</f>
        <v>1</v>
      </c>
      <c r="H303">
        <f>원본데이터_SK!O303</f>
        <v>119000</v>
      </c>
      <c r="I303">
        <f>원본데이터_SK!AG303</f>
        <v>113050</v>
      </c>
      <c r="J303">
        <f>원본데이터_SK!AH303</f>
        <v>82110</v>
      </c>
      <c r="K303">
        <f>IFERROR(VLOOKUP(E303,제품마스터!$A:$B,2,0),0)</f>
        <v>0</v>
      </c>
      <c r="L303">
        <f>원본데이터_SK!Q303*원본데이터_SK!P303</f>
        <v>82110</v>
      </c>
    </row>
    <row r="304" spans="1:12" x14ac:dyDescent="0.3">
      <c r="A304" t="s">
        <v>11</v>
      </c>
      <c r="B304" t="str">
        <f>원본데이터_SK!D304</f>
        <v>20260205002209</v>
      </c>
      <c r="C304" t="str">
        <f>IF(원본데이터_SK!M304="","",TEXT(원본데이터_SK!M304,"YYYY-MM-DD"))</f>
        <v>2026-02-07</v>
      </c>
      <c r="D304" t="str">
        <f>원본데이터_SK!F304</f>
        <v>58481090</v>
      </c>
      <c r="E304" t="str">
        <f>IFERROR(VLOOKUP(원본데이터_SK!F304,채널매핑!$B:$D,3,0),"미매핑")</f>
        <v>미매핑</v>
      </c>
      <c r="F304">
        <f>IFERROR(VLOOKUP(원본데이터_SK!F304,채널매핑!$B:$E,4,0),1)</f>
        <v>1</v>
      </c>
      <c r="G304">
        <f>원본데이터_SK!Q304</f>
        <v>1</v>
      </c>
      <c r="H304">
        <f>원본데이터_SK!O304</f>
        <v>119000</v>
      </c>
      <c r="I304">
        <f>원본데이터_SK!AG304</f>
        <v>119000</v>
      </c>
      <c r="J304">
        <f>원본데이터_SK!AH304</f>
        <v>82110</v>
      </c>
      <c r="K304">
        <f>IFERROR(VLOOKUP(E304,제품마스터!$A:$B,2,0),0)</f>
        <v>0</v>
      </c>
      <c r="L304">
        <f>원본데이터_SK!Q304*원본데이터_SK!P304</f>
        <v>82110</v>
      </c>
    </row>
    <row r="305" spans="1:12" x14ac:dyDescent="0.3">
      <c r="A305" t="s">
        <v>11</v>
      </c>
      <c r="B305" t="str">
        <f>원본데이터_SK!D305</f>
        <v>20260205994403</v>
      </c>
      <c r="C305" t="str">
        <f>IF(원본데이터_SK!M305="","",TEXT(원본데이터_SK!M305,"YYYY-MM-DD"))</f>
        <v>2026-02-07</v>
      </c>
      <c r="D305" t="str">
        <f>원본데이터_SK!F305</f>
        <v>58481090</v>
      </c>
      <c r="E305" t="str">
        <f>IFERROR(VLOOKUP(원본데이터_SK!F305,채널매핑!$B:$D,3,0),"미매핑")</f>
        <v>미매핑</v>
      </c>
      <c r="F305">
        <f>IFERROR(VLOOKUP(원본데이터_SK!F305,채널매핑!$B:$E,4,0),1)</f>
        <v>1</v>
      </c>
      <c r="G305">
        <f>원본데이터_SK!Q305</f>
        <v>1</v>
      </c>
      <c r="H305">
        <f>원본데이터_SK!O305</f>
        <v>119000</v>
      </c>
      <c r="I305">
        <f>원본데이터_SK!AG305</f>
        <v>119000</v>
      </c>
      <c r="J305">
        <f>원본데이터_SK!AH305</f>
        <v>82110</v>
      </c>
      <c r="K305">
        <f>IFERROR(VLOOKUP(E305,제품마스터!$A:$B,2,0),0)</f>
        <v>0</v>
      </c>
      <c r="L305">
        <f>원본데이터_SK!Q305*원본데이터_SK!P305</f>
        <v>82110</v>
      </c>
    </row>
    <row r="306" spans="1:12" x14ac:dyDescent="0.3">
      <c r="A306" t="s">
        <v>11</v>
      </c>
      <c r="B306" t="str">
        <f>원본데이터_SK!D306</f>
        <v>20260205993716</v>
      </c>
      <c r="C306" t="str">
        <f>IF(원본데이터_SK!M306="","",TEXT(원본데이터_SK!M306,"YYYY-MM-DD"))</f>
        <v>2026-02-07</v>
      </c>
      <c r="D306" t="str">
        <f>원본데이터_SK!F306</f>
        <v>58481090</v>
      </c>
      <c r="E306" t="str">
        <f>IFERROR(VLOOKUP(원본데이터_SK!F306,채널매핑!$B:$D,3,0),"미매핑")</f>
        <v>미매핑</v>
      </c>
      <c r="F306">
        <f>IFERROR(VLOOKUP(원본데이터_SK!F306,채널매핑!$B:$E,4,0),1)</f>
        <v>1</v>
      </c>
      <c r="G306">
        <f>원본데이터_SK!Q306</f>
        <v>1</v>
      </c>
      <c r="H306">
        <f>원본데이터_SK!O306</f>
        <v>119000</v>
      </c>
      <c r="I306">
        <f>원본데이터_SK!AG306</f>
        <v>119000</v>
      </c>
      <c r="J306">
        <f>원본데이터_SK!AH306</f>
        <v>82110</v>
      </c>
      <c r="K306">
        <f>IFERROR(VLOOKUP(E306,제품마스터!$A:$B,2,0),0)</f>
        <v>0</v>
      </c>
      <c r="L306">
        <f>원본데이터_SK!Q306*원본데이터_SK!P306</f>
        <v>82110</v>
      </c>
    </row>
    <row r="307" spans="1:12" x14ac:dyDescent="0.3">
      <c r="A307" t="s">
        <v>11</v>
      </c>
      <c r="B307" t="str">
        <f>원본데이터_SK!D307</f>
        <v>20260205994897</v>
      </c>
      <c r="C307" t="str">
        <f>IF(원본데이터_SK!M307="","",TEXT(원본데이터_SK!M307,"YYYY-MM-DD"))</f>
        <v>2026-02-07</v>
      </c>
      <c r="D307" t="str">
        <f>원본데이터_SK!F307</f>
        <v>58481090</v>
      </c>
      <c r="E307" t="str">
        <f>IFERROR(VLOOKUP(원본데이터_SK!F307,채널매핑!$B:$D,3,0),"미매핑")</f>
        <v>미매핑</v>
      </c>
      <c r="F307">
        <f>IFERROR(VLOOKUP(원본데이터_SK!F307,채널매핑!$B:$E,4,0),1)</f>
        <v>1</v>
      </c>
      <c r="G307">
        <f>원본데이터_SK!Q307</f>
        <v>1</v>
      </c>
      <c r="H307">
        <f>원본데이터_SK!O307</f>
        <v>119000</v>
      </c>
      <c r="I307">
        <f>원본데이터_SK!AG307</f>
        <v>119000</v>
      </c>
      <c r="J307">
        <f>원본데이터_SK!AH307</f>
        <v>82110</v>
      </c>
      <c r="K307">
        <f>IFERROR(VLOOKUP(E307,제품마스터!$A:$B,2,0),0)</f>
        <v>0</v>
      </c>
      <c r="L307">
        <f>원본데이터_SK!Q307*원본데이터_SK!P307</f>
        <v>82110</v>
      </c>
    </row>
    <row r="308" spans="1:12" x14ac:dyDescent="0.3">
      <c r="A308" t="s">
        <v>11</v>
      </c>
      <c r="B308" t="str">
        <f>원본데이터_SK!D308</f>
        <v>20260205995346</v>
      </c>
      <c r="C308" t="str">
        <f>IF(원본데이터_SK!M308="","",TEXT(원본데이터_SK!M308,"YYYY-MM-DD"))</f>
        <v>2026-02-07</v>
      </c>
      <c r="D308" t="str">
        <f>원본데이터_SK!F308</f>
        <v>58481090</v>
      </c>
      <c r="E308" t="str">
        <f>IFERROR(VLOOKUP(원본데이터_SK!F308,채널매핑!$B:$D,3,0),"미매핑")</f>
        <v>미매핑</v>
      </c>
      <c r="F308">
        <f>IFERROR(VLOOKUP(원본데이터_SK!F308,채널매핑!$B:$E,4,0),1)</f>
        <v>1</v>
      </c>
      <c r="G308">
        <f>원본데이터_SK!Q308</f>
        <v>1</v>
      </c>
      <c r="H308">
        <f>원본데이터_SK!O308</f>
        <v>119000</v>
      </c>
      <c r="I308">
        <f>원본데이터_SK!AG308</f>
        <v>119000</v>
      </c>
      <c r="J308">
        <f>원본데이터_SK!AH308</f>
        <v>82110</v>
      </c>
      <c r="K308">
        <f>IFERROR(VLOOKUP(E308,제품마스터!$A:$B,2,0),0)</f>
        <v>0</v>
      </c>
      <c r="L308">
        <f>원본데이터_SK!Q308*원본데이터_SK!P308</f>
        <v>82110</v>
      </c>
    </row>
    <row r="309" spans="1:12" x14ac:dyDescent="0.3">
      <c r="A309" t="s">
        <v>11</v>
      </c>
      <c r="B309" t="str">
        <f>원본데이터_SK!D309</f>
        <v>20260205994059</v>
      </c>
      <c r="C309" t="str">
        <f>IF(원본데이터_SK!M309="","",TEXT(원본데이터_SK!M309,"YYYY-MM-DD"))</f>
        <v>2026-02-07</v>
      </c>
      <c r="D309" t="str">
        <f>원본데이터_SK!F309</f>
        <v>58481090</v>
      </c>
      <c r="E309" t="str">
        <f>IFERROR(VLOOKUP(원본데이터_SK!F309,채널매핑!$B:$D,3,0),"미매핑")</f>
        <v>미매핑</v>
      </c>
      <c r="F309">
        <f>IFERROR(VLOOKUP(원본데이터_SK!F309,채널매핑!$B:$E,4,0),1)</f>
        <v>1</v>
      </c>
      <c r="G309">
        <f>원본데이터_SK!Q309</f>
        <v>1</v>
      </c>
      <c r="H309">
        <f>원본데이터_SK!O309</f>
        <v>119000</v>
      </c>
      <c r="I309">
        <f>원본데이터_SK!AG309</f>
        <v>109000</v>
      </c>
      <c r="J309">
        <f>원본데이터_SK!AH309</f>
        <v>82110</v>
      </c>
      <c r="K309">
        <f>IFERROR(VLOOKUP(E309,제품마스터!$A:$B,2,0),0)</f>
        <v>0</v>
      </c>
      <c r="L309">
        <f>원본데이터_SK!Q309*원본데이터_SK!P309</f>
        <v>82110</v>
      </c>
    </row>
    <row r="310" spans="1:12" x14ac:dyDescent="0.3">
      <c r="A310" t="s">
        <v>11</v>
      </c>
      <c r="B310" t="str">
        <f>원본데이터_SK!D310</f>
        <v>20260205994147</v>
      </c>
      <c r="C310" t="str">
        <f>IF(원본데이터_SK!M310="","",TEXT(원본데이터_SK!M310,"YYYY-MM-DD"))</f>
        <v>2026-02-07</v>
      </c>
      <c r="D310" t="str">
        <f>원본데이터_SK!F310</f>
        <v>58481090</v>
      </c>
      <c r="E310" t="str">
        <f>IFERROR(VLOOKUP(원본데이터_SK!F310,채널매핑!$B:$D,3,0),"미매핑")</f>
        <v>미매핑</v>
      </c>
      <c r="F310">
        <f>IFERROR(VLOOKUP(원본데이터_SK!F310,채널매핑!$B:$E,4,0),1)</f>
        <v>1</v>
      </c>
      <c r="G310">
        <f>원본데이터_SK!Q310</f>
        <v>1</v>
      </c>
      <c r="H310">
        <f>원본데이터_SK!O310</f>
        <v>119000</v>
      </c>
      <c r="I310">
        <f>원본데이터_SK!AG310</f>
        <v>119000</v>
      </c>
      <c r="J310">
        <f>원본데이터_SK!AH310</f>
        <v>82110</v>
      </c>
      <c r="K310">
        <f>IFERROR(VLOOKUP(E310,제품마스터!$A:$B,2,0),0)</f>
        <v>0</v>
      </c>
      <c r="L310">
        <f>원본데이터_SK!Q310*원본데이터_SK!P310</f>
        <v>82110</v>
      </c>
    </row>
    <row r="311" spans="1:12" x14ac:dyDescent="0.3">
      <c r="A311" t="s">
        <v>11</v>
      </c>
      <c r="B311" t="str">
        <f>원본데이터_SK!D311</f>
        <v>20260205993758</v>
      </c>
      <c r="C311" t="str">
        <f>IF(원본데이터_SK!M311="","",TEXT(원본데이터_SK!M311,"YYYY-MM-DD"))</f>
        <v>2026-02-07</v>
      </c>
      <c r="D311" t="str">
        <f>원본데이터_SK!F311</f>
        <v>58481090</v>
      </c>
      <c r="E311" t="str">
        <f>IFERROR(VLOOKUP(원본데이터_SK!F311,채널매핑!$B:$D,3,0),"미매핑")</f>
        <v>미매핑</v>
      </c>
      <c r="F311">
        <f>IFERROR(VLOOKUP(원본데이터_SK!F311,채널매핑!$B:$E,4,0),1)</f>
        <v>1</v>
      </c>
      <c r="G311">
        <f>원본데이터_SK!Q311</f>
        <v>1</v>
      </c>
      <c r="H311">
        <f>원본데이터_SK!O311</f>
        <v>119000</v>
      </c>
      <c r="I311">
        <f>원본데이터_SK!AG311</f>
        <v>119000</v>
      </c>
      <c r="J311">
        <f>원본데이터_SK!AH311</f>
        <v>82110</v>
      </c>
      <c r="K311">
        <f>IFERROR(VLOOKUP(E311,제품마스터!$A:$B,2,0),0)</f>
        <v>0</v>
      </c>
      <c r="L311">
        <f>원본데이터_SK!Q311*원본데이터_SK!P311</f>
        <v>82110</v>
      </c>
    </row>
    <row r="312" spans="1:12" x14ac:dyDescent="0.3">
      <c r="A312" t="s">
        <v>11</v>
      </c>
      <c r="B312" t="str">
        <f>원본데이터_SK!D312</f>
        <v>20260205994158</v>
      </c>
      <c r="C312" t="str">
        <f>IF(원본데이터_SK!M312="","",TEXT(원본데이터_SK!M312,"YYYY-MM-DD"))</f>
        <v>2026-02-07</v>
      </c>
      <c r="D312" t="str">
        <f>원본데이터_SK!F312</f>
        <v>58481090</v>
      </c>
      <c r="E312" t="str">
        <f>IFERROR(VLOOKUP(원본데이터_SK!F312,채널매핑!$B:$D,3,0),"미매핑")</f>
        <v>미매핑</v>
      </c>
      <c r="F312">
        <f>IFERROR(VLOOKUP(원본데이터_SK!F312,채널매핑!$B:$E,4,0),1)</f>
        <v>1</v>
      </c>
      <c r="G312">
        <f>원본데이터_SK!Q312</f>
        <v>1</v>
      </c>
      <c r="H312">
        <f>원본데이터_SK!O312</f>
        <v>119000</v>
      </c>
      <c r="I312">
        <f>원본데이터_SK!AG312</f>
        <v>119000</v>
      </c>
      <c r="J312">
        <f>원본데이터_SK!AH312</f>
        <v>82110</v>
      </c>
      <c r="K312">
        <f>IFERROR(VLOOKUP(E312,제품마스터!$A:$B,2,0),0)</f>
        <v>0</v>
      </c>
      <c r="L312">
        <f>원본데이터_SK!Q312*원본데이터_SK!P312</f>
        <v>82110</v>
      </c>
    </row>
    <row r="313" spans="1:12" x14ac:dyDescent="0.3">
      <c r="A313" t="s">
        <v>11</v>
      </c>
      <c r="B313" t="str">
        <f>원본데이터_SK!D313</f>
        <v>20260205994158</v>
      </c>
      <c r="C313" t="str">
        <f>IF(원본데이터_SK!M313="","",TEXT(원본데이터_SK!M313,"YYYY-MM-DD"))</f>
        <v>2026-02-07</v>
      </c>
      <c r="D313" t="str">
        <f>원본데이터_SK!F313</f>
        <v>58481090</v>
      </c>
      <c r="E313" t="str">
        <f>IFERROR(VLOOKUP(원본데이터_SK!F313,채널매핑!$B:$D,3,0),"미매핑")</f>
        <v>미매핑</v>
      </c>
      <c r="F313">
        <f>IFERROR(VLOOKUP(원본데이터_SK!F313,채널매핑!$B:$E,4,0),1)</f>
        <v>1</v>
      </c>
      <c r="G313">
        <f>원본데이터_SK!Q313</f>
        <v>1</v>
      </c>
      <c r="H313">
        <f>원본데이터_SK!O313</f>
        <v>119000</v>
      </c>
      <c r="I313">
        <f>원본데이터_SK!AG313</f>
        <v>119000</v>
      </c>
      <c r="J313">
        <f>원본데이터_SK!AH313</f>
        <v>82110</v>
      </c>
      <c r="K313">
        <f>IFERROR(VLOOKUP(E313,제품마스터!$A:$B,2,0),0)</f>
        <v>0</v>
      </c>
      <c r="L313">
        <f>원본데이터_SK!Q313*원본데이터_SK!P313</f>
        <v>82110</v>
      </c>
    </row>
    <row r="314" spans="1:12" x14ac:dyDescent="0.3">
      <c r="A314" t="s">
        <v>11</v>
      </c>
      <c r="B314" t="str">
        <f>원본데이터_SK!D314</f>
        <v>20260205993463</v>
      </c>
      <c r="C314" t="str">
        <f>IF(원본데이터_SK!M314="","",TEXT(원본데이터_SK!M314,"YYYY-MM-DD"))</f>
        <v>2026-02-07</v>
      </c>
      <c r="D314" t="str">
        <f>원본데이터_SK!F314</f>
        <v>58481090</v>
      </c>
      <c r="E314" t="str">
        <f>IFERROR(VLOOKUP(원본데이터_SK!F314,채널매핑!$B:$D,3,0),"미매핑")</f>
        <v>미매핑</v>
      </c>
      <c r="F314">
        <f>IFERROR(VLOOKUP(원본데이터_SK!F314,채널매핑!$B:$E,4,0),1)</f>
        <v>1</v>
      </c>
      <c r="G314">
        <f>원본데이터_SK!Q314</f>
        <v>1</v>
      </c>
      <c r="H314">
        <f>원본데이터_SK!O314</f>
        <v>119000</v>
      </c>
      <c r="I314">
        <f>원본데이터_SK!AG314</f>
        <v>119000</v>
      </c>
      <c r="J314">
        <f>원본데이터_SK!AH314</f>
        <v>82110</v>
      </c>
      <c r="K314">
        <f>IFERROR(VLOOKUP(E314,제품마스터!$A:$B,2,0),0)</f>
        <v>0</v>
      </c>
      <c r="L314">
        <f>원본데이터_SK!Q314*원본데이터_SK!P314</f>
        <v>82110</v>
      </c>
    </row>
    <row r="315" spans="1:12" x14ac:dyDescent="0.3">
      <c r="A315" t="s">
        <v>11</v>
      </c>
      <c r="B315" t="str">
        <f>원본데이터_SK!D315</f>
        <v>20260205994122</v>
      </c>
      <c r="C315" t="str">
        <f>IF(원본데이터_SK!M315="","",TEXT(원본데이터_SK!M315,"YYYY-MM-DD"))</f>
        <v>2026-02-07</v>
      </c>
      <c r="D315" t="str">
        <f>원본데이터_SK!F315</f>
        <v>58481090</v>
      </c>
      <c r="E315" t="str">
        <f>IFERROR(VLOOKUP(원본데이터_SK!F315,채널매핑!$B:$D,3,0),"미매핑")</f>
        <v>미매핑</v>
      </c>
      <c r="F315">
        <f>IFERROR(VLOOKUP(원본데이터_SK!F315,채널매핑!$B:$E,4,0),1)</f>
        <v>1</v>
      </c>
      <c r="G315">
        <f>원본데이터_SK!Q315</f>
        <v>1</v>
      </c>
      <c r="H315">
        <f>원본데이터_SK!O315</f>
        <v>119000</v>
      </c>
      <c r="I315">
        <f>원본데이터_SK!AG315</f>
        <v>119000</v>
      </c>
      <c r="J315">
        <f>원본데이터_SK!AH315</f>
        <v>82110</v>
      </c>
      <c r="K315">
        <f>IFERROR(VLOOKUP(E315,제품마스터!$A:$B,2,0),0)</f>
        <v>0</v>
      </c>
      <c r="L315">
        <f>원본데이터_SK!Q315*원본데이터_SK!P315</f>
        <v>82110</v>
      </c>
    </row>
    <row r="316" spans="1:12" x14ac:dyDescent="0.3">
      <c r="A316" t="s">
        <v>11</v>
      </c>
      <c r="B316" t="str">
        <f>원본데이터_SK!D316</f>
        <v>20260205995057</v>
      </c>
      <c r="C316" t="str">
        <f>IF(원본데이터_SK!M316="","",TEXT(원본데이터_SK!M316,"YYYY-MM-DD"))</f>
        <v>2026-02-07</v>
      </c>
      <c r="D316" t="str">
        <f>원본데이터_SK!F316</f>
        <v>58481090</v>
      </c>
      <c r="E316" t="str">
        <f>IFERROR(VLOOKUP(원본데이터_SK!F316,채널매핑!$B:$D,3,0),"미매핑")</f>
        <v>미매핑</v>
      </c>
      <c r="F316">
        <f>IFERROR(VLOOKUP(원본데이터_SK!F316,채널매핑!$B:$E,4,0),1)</f>
        <v>1</v>
      </c>
      <c r="G316">
        <f>원본데이터_SK!Q316</f>
        <v>1</v>
      </c>
      <c r="H316">
        <f>원본데이터_SK!O316</f>
        <v>119000</v>
      </c>
      <c r="I316">
        <f>원본데이터_SK!AG316</f>
        <v>109000</v>
      </c>
      <c r="J316">
        <f>원본데이터_SK!AH316</f>
        <v>82110</v>
      </c>
      <c r="K316">
        <f>IFERROR(VLOOKUP(E316,제품마스터!$A:$B,2,0),0)</f>
        <v>0</v>
      </c>
      <c r="L316">
        <f>원본데이터_SK!Q316*원본데이터_SK!P316</f>
        <v>82110</v>
      </c>
    </row>
    <row r="317" spans="1:12" x14ac:dyDescent="0.3">
      <c r="A317" t="s">
        <v>11</v>
      </c>
      <c r="B317" t="str">
        <f>원본데이터_SK!D317</f>
        <v>20260205994528</v>
      </c>
      <c r="C317" t="str">
        <f>IF(원본데이터_SK!M317="","",TEXT(원본데이터_SK!M317,"YYYY-MM-DD"))</f>
        <v>2026-02-07</v>
      </c>
      <c r="D317" t="str">
        <f>원본데이터_SK!F317</f>
        <v>58481090</v>
      </c>
      <c r="E317" t="str">
        <f>IFERROR(VLOOKUP(원본데이터_SK!F317,채널매핑!$B:$D,3,0),"미매핑")</f>
        <v>미매핑</v>
      </c>
      <c r="F317">
        <f>IFERROR(VLOOKUP(원본데이터_SK!F317,채널매핑!$B:$E,4,0),1)</f>
        <v>1</v>
      </c>
      <c r="G317">
        <f>원본데이터_SK!Q317</f>
        <v>1</v>
      </c>
      <c r="H317">
        <f>원본데이터_SK!O317</f>
        <v>119000</v>
      </c>
      <c r="I317">
        <f>원본데이터_SK!AG317</f>
        <v>119000</v>
      </c>
      <c r="J317">
        <f>원본데이터_SK!AH317</f>
        <v>82110</v>
      </c>
      <c r="K317">
        <f>IFERROR(VLOOKUP(E317,제품마스터!$A:$B,2,0),0)</f>
        <v>0</v>
      </c>
      <c r="L317">
        <f>원본데이터_SK!Q317*원본데이터_SK!P317</f>
        <v>82110</v>
      </c>
    </row>
    <row r="318" spans="1:12" x14ac:dyDescent="0.3">
      <c r="A318" t="s">
        <v>11</v>
      </c>
      <c r="B318" t="str">
        <f>원본데이터_SK!D318</f>
        <v>20260205993913</v>
      </c>
      <c r="C318" t="str">
        <f>IF(원본데이터_SK!M318="","",TEXT(원본데이터_SK!M318,"YYYY-MM-DD"))</f>
        <v>2026-02-07</v>
      </c>
      <c r="D318" t="str">
        <f>원본데이터_SK!F318</f>
        <v>58481090</v>
      </c>
      <c r="E318" t="str">
        <f>IFERROR(VLOOKUP(원본데이터_SK!F318,채널매핑!$B:$D,3,0),"미매핑")</f>
        <v>미매핑</v>
      </c>
      <c r="F318">
        <f>IFERROR(VLOOKUP(원본데이터_SK!F318,채널매핑!$B:$E,4,0),1)</f>
        <v>1</v>
      </c>
      <c r="G318">
        <f>원본데이터_SK!Q318</f>
        <v>1</v>
      </c>
      <c r="H318">
        <f>원본데이터_SK!O318</f>
        <v>119000</v>
      </c>
      <c r="I318">
        <f>원본데이터_SK!AG318</f>
        <v>109000</v>
      </c>
      <c r="J318">
        <f>원본데이터_SK!AH318</f>
        <v>82110</v>
      </c>
      <c r="K318">
        <f>IFERROR(VLOOKUP(E318,제품마스터!$A:$B,2,0),0)</f>
        <v>0</v>
      </c>
      <c r="L318">
        <f>원본데이터_SK!Q318*원본데이터_SK!P318</f>
        <v>82110</v>
      </c>
    </row>
    <row r="319" spans="1:12" x14ac:dyDescent="0.3">
      <c r="A319" t="s">
        <v>11</v>
      </c>
      <c r="B319" t="str">
        <f>원본데이터_SK!D319</f>
        <v>20260205994535</v>
      </c>
      <c r="C319" t="str">
        <f>IF(원본데이터_SK!M319="","",TEXT(원본데이터_SK!M319,"YYYY-MM-DD"))</f>
        <v>2026-02-07</v>
      </c>
      <c r="D319" t="str">
        <f>원본데이터_SK!F319</f>
        <v>58481090</v>
      </c>
      <c r="E319" t="str">
        <f>IFERROR(VLOOKUP(원본데이터_SK!F319,채널매핑!$B:$D,3,0),"미매핑")</f>
        <v>미매핑</v>
      </c>
      <c r="F319">
        <f>IFERROR(VLOOKUP(원본데이터_SK!F319,채널매핑!$B:$E,4,0),1)</f>
        <v>1</v>
      </c>
      <c r="G319">
        <f>원본데이터_SK!Q319</f>
        <v>2</v>
      </c>
      <c r="H319">
        <f>원본데이터_SK!O319</f>
        <v>119000</v>
      </c>
      <c r="I319">
        <f>원본데이터_SK!AG319</f>
        <v>238000</v>
      </c>
      <c r="J319">
        <f>원본데이터_SK!AH319</f>
        <v>164220</v>
      </c>
      <c r="K319">
        <f>IFERROR(VLOOKUP(E319,제품마스터!$A:$B,2,0),0)</f>
        <v>0</v>
      </c>
      <c r="L319">
        <f>원본데이터_SK!Q319*원본데이터_SK!P319</f>
        <v>164220</v>
      </c>
    </row>
    <row r="320" spans="1:12" x14ac:dyDescent="0.3">
      <c r="A320" t="s">
        <v>11</v>
      </c>
      <c r="B320" t="str">
        <f>원본데이터_SK!D320</f>
        <v>20260205994836</v>
      </c>
      <c r="C320" t="str">
        <f>IF(원본데이터_SK!M320="","",TEXT(원본데이터_SK!M320,"YYYY-MM-DD"))</f>
        <v>2026-02-07</v>
      </c>
      <c r="D320" t="str">
        <f>원본데이터_SK!F320</f>
        <v>58481090</v>
      </c>
      <c r="E320" t="str">
        <f>IFERROR(VLOOKUP(원본데이터_SK!F320,채널매핑!$B:$D,3,0),"미매핑")</f>
        <v>미매핑</v>
      </c>
      <c r="F320">
        <f>IFERROR(VLOOKUP(원본데이터_SK!F320,채널매핑!$B:$E,4,0),1)</f>
        <v>1</v>
      </c>
      <c r="G320">
        <f>원본데이터_SK!Q320</f>
        <v>1</v>
      </c>
      <c r="H320">
        <f>원본데이터_SK!O320</f>
        <v>119000</v>
      </c>
      <c r="I320">
        <f>원본데이터_SK!AG320</f>
        <v>119000</v>
      </c>
      <c r="J320">
        <f>원본데이터_SK!AH320</f>
        <v>82110</v>
      </c>
      <c r="K320">
        <f>IFERROR(VLOOKUP(E320,제품마스터!$A:$B,2,0),0)</f>
        <v>0</v>
      </c>
      <c r="L320">
        <f>원본데이터_SK!Q320*원본데이터_SK!P320</f>
        <v>82110</v>
      </c>
    </row>
    <row r="321" spans="1:12" x14ac:dyDescent="0.3">
      <c r="A321" t="s">
        <v>11</v>
      </c>
      <c r="B321" t="str">
        <f>원본데이터_SK!D321</f>
        <v>20260205994447</v>
      </c>
      <c r="C321" t="str">
        <f>IF(원본데이터_SK!M321="","",TEXT(원본데이터_SK!M321,"YYYY-MM-DD"))</f>
        <v>2026-02-07</v>
      </c>
      <c r="D321" t="str">
        <f>원본데이터_SK!F321</f>
        <v>58481090</v>
      </c>
      <c r="E321" t="str">
        <f>IFERROR(VLOOKUP(원본데이터_SK!F321,채널매핑!$B:$D,3,0),"미매핑")</f>
        <v>미매핑</v>
      </c>
      <c r="F321">
        <f>IFERROR(VLOOKUP(원본데이터_SK!F321,채널매핑!$B:$E,4,0),1)</f>
        <v>1</v>
      </c>
      <c r="G321">
        <f>원본데이터_SK!Q321</f>
        <v>1</v>
      </c>
      <c r="H321">
        <f>원본데이터_SK!O321</f>
        <v>119000</v>
      </c>
      <c r="I321">
        <f>원본데이터_SK!AG321</f>
        <v>119000</v>
      </c>
      <c r="J321">
        <f>원본데이터_SK!AH321</f>
        <v>82110</v>
      </c>
      <c r="K321">
        <f>IFERROR(VLOOKUP(E321,제품마스터!$A:$B,2,0),0)</f>
        <v>0</v>
      </c>
      <c r="L321">
        <f>원본데이터_SK!Q321*원본데이터_SK!P321</f>
        <v>82110</v>
      </c>
    </row>
    <row r="322" spans="1:12" x14ac:dyDescent="0.3">
      <c r="A322" t="s">
        <v>11</v>
      </c>
      <c r="B322" t="str">
        <f>원본데이터_SK!D322</f>
        <v>20260205995071</v>
      </c>
      <c r="C322" t="str">
        <f>IF(원본데이터_SK!M322="","",TEXT(원본데이터_SK!M322,"YYYY-MM-DD"))</f>
        <v>2026-02-07</v>
      </c>
      <c r="D322" t="str">
        <f>원본데이터_SK!F322</f>
        <v>58481090</v>
      </c>
      <c r="E322" t="str">
        <f>IFERROR(VLOOKUP(원본데이터_SK!F322,채널매핑!$B:$D,3,0),"미매핑")</f>
        <v>미매핑</v>
      </c>
      <c r="F322">
        <f>IFERROR(VLOOKUP(원본데이터_SK!F322,채널매핑!$B:$E,4,0),1)</f>
        <v>1</v>
      </c>
      <c r="G322">
        <f>원본데이터_SK!Q322</f>
        <v>1</v>
      </c>
      <c r="H322">
        <f>원본데이터_SK!O322</f>
        <v>119000</v>
      </c>
      <c r="I322">
        <f>원본데이터_SK!AG322</f>
        <v>119000</v>
      </c>
      <c r="J322">
        <f>원본데이터_SK!AH322</f>
        <v>82110</v>
      </c>
      <c r="K322">
        <f>IFERROR(VLOOKUP(E322,제품마스터!$A:$B,2,0),0)</f>
        <v>0</v>
      </c>
      <c r="L322">
        <f>원본데이터_SK!Q322*원본데이터_SK!P322</f>
        <v>82110</v>
      </c>
    </row>
    <row r="323" spans="1:12" x14ac:dyDescent="0.3">
      <c r="A323" t="s">
        <v>11</v>
      </c>
      <c r="B323" t="str">
        <f>원본데이터_SK!D323</f>
        <v>20260205994350</v>
      </c>
      <c r="C323" t="str">
        <f>IF(원본데이터_SK!M323="","",TEXT(원본데이터_SK!M323,"YYYY-MM-DD"))</f>
        <v>2026-02-07</v>
      </c>
      <c r="D323" t="str">
        <f>원본데이터_SK!F323</f>
        <v>58481090</v>
      </c>
      <c r="E323" t="str">
        <f>IFERROR(VLOOKUP(원본데이터_SK!F323,채널매핑!$B:$D,3,0),"미매핑")</f>
        <v>미매핑</v>
      </c>
      <c r="F323">
        <f>IFERROR(VLOOKUP(원본데이터_SK!F323,채널매핑!$B:$E,4,0),1)</f>
        <v>1</v>
      </c>
      <c r="G323">
        <f>원본데이터_SK!Q323</f>
        <v>1</v>
      </c>
      <c r="H323">
        <f>원본데이터_SK!O323</f>
        <v>119000</v>
      </c>
      <c r="I323">
        <f>원본데이터_SK!AG323</f>
        <v>119000</v>
      </c>
      <c r="J323">
        <f>원본데이터_SK!AH323</f>
        <v>82110</v>
      </c>
      <c r="K323">
        <f>IFERROR(VLOOKUP(E323,제품마스터!$A:$B,2,0),0)</f>
        <v>0</v>
      </c>
      <c r="L323">
        <f>원본데이터_SK!Q323*원본데이터_SK!P323</f>
        <v>82110</v>
      </c>
    </row>
    <row r="324" spans="1:12" x14ac:dyDescent="0.3">
      <c r="A324" t="s">
        <v>11</v>
      </c>
      <c r="B324" t="str">
        <f>원본데이터_SK!D324</f>
        <v>20260205992509</v>
      </c>
      <c r="C324" t="str">
        <f>IF(원본데이터_SK!M324="","",TEXT(원본데이터_SK!M324,"YYYY-MM-DD"))</f>
        <v>2026-02-07</v>
      </c>
      <c r="D324" t="str">
        <f>원본데이터_SK!F324</f>
        <v>58481090</v>
      </c>
      <c r="E324" t="str">
        <f>IFERROR(VLOOKUP(원본데이터_SK!F324,채널매핑!$B:$D,3,0),"미매핑")</f>
        <v>미매핑</v>
      </c>
      <c r="F324">
        <f>IFERROR(VLOOKUP(원본데이터_SK!F324,채널매핑!$B:$E,4,0),1)</f>
        <v>1</v>
      </c>
      <c r="G324">
        <f>원본데이터_SK!Q324</f>
        <v>1</v>
      </c>
      <c r="H324">
        <f>원본데이터_SK!O324</f>
        <v>119000</v>
      </c>
      <c r="I324">
        <f>원본데이터_SK!AG324</f>
        <v>119000</v>
      </c>
      <c r="J324">
        <f>원본데이터_SK!AH324</f>
        <v>82110</v>
      </c>
      <c r="K324">
        <f>IFERROR(VLOOKUP(E324,제품마스터!$A:$B,2,0),0)</f>
        <v>0</v>
      </c>
      <c r="L324">
        <f>원본데이터_SK!Q324*원본데이터_SK!P324</f>
        <v>82110</v>
      </c>
    </row>
    <row r="325" spans="1:12" x14ac:dyDescent="0.3">
      <c r="A325" t="s">
        <v>11</v>
      </c>
      <c r="B325" t="str">
        <f>원본데이터_SK!D325</f>
        <v>20260205995352</v>
      </c>
      <c r="C325" t="str">
        <f>IF(원본데이터_SK!M325="","",TEXT(원본데이터_SK!M325,"YYYY-MM-DD"))</f>
        <v>2026-02-07</v>
      </c>
      <c r="D325" t="str">
        <f>원본데이터_SK!F325</f>
        <v>58481090</v>
      </c>
      <c r="E325" t="str">
        <f>IFERROR(VLOOKUP(원본데이터_SK!F325,채널매핑!$B:$D,3,0),"미매핑")</f>
        <v>미매핑</v>
      </c>
      <c r="F325">
        <f>IFERROR(VLOOKUP(원본데이터_SK!F325,채널매핑!$B:$E,4,0),1)</f>
        <v>1</v>
      </c>
      <c r="G325">
        <f>원본데이터_SK!Q325</f>
        <v>1</v>
      </c>
      <c r="H325">
        <f>원본데이터_SK!O325</f>
        <v>119000</v>
      </c>
      <c r="I325">
        <f>원본데이터_SK!AG325</f>
        <v>119000</v>
      </c>
      <c r="J325">
        <f>원본데이터_SK!AH325</f>
        <v>82110</v>
      </c>
      <c r="K325">
        <f>IFERROR(VLOOKUP(E325,제품마스터!$A:$B,2,0),0)</f>
        <v>0</v>
      </c>
      <c r="L325">
        <f>원본데이터_SK!Q325*원본데이터_SK!P325</f>
        <v>82110</v>
      </c>
    </row>
    <row r="326" spans="1:12" x14ac:dyDescent="0.3">
      <c r="A326" t="s">
        <v>11</v>
      </c>
      <c r="B326" t="str">
        <f>원본데이터_SK!D326</f>
        <v>20260205995384</v>
      </c>
      <c r="C326" t="str">
        <f>IF(원본데이터_SK!M326="","",TEXT(원본데이터_SK!M326,"YYYY-MM-DD"))</f>
        <v>2026-02-07</v>
      </c>
      <c r="D326" t="str">
        <f>원본데이터_SK!F326</f>
        <v>58481090</v>
      </c>
      <c r="E326" t="str">
        <f>IFERROR(VLOOKUP(원본데이터_SK!F326,채널매핑!$B:$D,3,0),"미매핑")</f>
        <v>미매핑</v>
      </c>
      <c r="F326">
        <f>IFERROR(VLOOKUP(원본데이터_SK!F326,채널매핑!$B:$E,4,0),1)</f>
        <v>1</v>
      </c>
      <c r="G326">
        <f>원본데이터_SK!Q326</f>
        <v>1</v>
      </c>
      <c r="H326">
        <f>원본데이터_SK!O326</f>
        <v>119000</v>
      </c>
      <c r="I326">
        <f>원본데이터_SK!AG326</f>
        <v>119000</v>
      </c>
      <c r="J326">
        <f>원본데이터_SK!AH326</f>
        <v>82110</v>
      </c>
      <c r="K326">
        <f>IFERROR(VLOOKUP(E326,제품마스터!$A:$B,2,0),0)</f>
        <v>0</v>
      </c>
      <c r="L326">
        <f>원본데이터_SK!Q326*원본데이터_SK!P326</f>
        <v>82110</v>
      </c>
    </row>
    <row r="327" spans="1:12" x14ac:dyDescent="0.3">
      <c r="A327" t="s">
        <v>11</v>
      </c>
      <c r="B327" t="str">
        <f>원본데이터_SK!D327</f>
        <v>20260205994156</v>
      </c>
      <c r="C327" t="str">
        <f>IF(원본데이터_SK!M327="","",TEXT(원본데이터_SK!M327,"YYYY-MM-DD"))</f>
        <v>2026-02-07</v>
      </c>
      <c r="D327" t="str">
        <f>원본데이터_SK!F327</f>
        <v>58481090</v>
      </c>
      <c r="E327" t="str">
        <f>IFERROR(VLOOKUP(원본데이터_SK!F327,채널매핑!$B:$D,3,0),"미매핑")</f>
        <v>미매핑</v>
      </c>
      <c r="F327">
        <f>IFERROR(VLOOKUP(원본데이터_SK!F327,채널매핑!$B:$E,4,0),1)</f>
        <v>1</v>
      </c>
      <c r="G327">
        <f>원본데이터_SK!Q327</f>
        <v>1</v>
      </c>
      <c r="H327">
        <f>원본데이터_SK!O327</f>
        <v>119000</v>
      </c>
      <c r="I327">
        <f>원본데이터_SK!AG327</f>
        <v>119000</v>
      </c>
      <c r="J327">
        <f>원본데이터_SK!AH327</f>
        <v>82110</v>
      </c>
      <c r="K327">
        <f>IFERROR(VLOOKUP(E327,제품마스터!$A:$B,2,0),0)</f>
        <v>0</v>
      </c>
      <c r="L327">
        <f>원본데이터_SK!Q327*원본데이터_SK!P327</f>
        <v>82110</v>
      </c>
    </row>
    <row r="328" spans="1:12" x14ac:dyDescent="0.3">
      <c r="A328" t="s">
        <v>11</v>
      </c>
      <c r="B328" t="str">
        <f>원본데이터_SK!D328</f>
        <v>20260205995064</v>
      </c>
      <c r="C328" t="str">
        <f>IF(원본데이터_SK!M328="","",TEXT(원본데이터_SK!M328,"YYYY-MM-DD"))</f>
        <v>2026-02-07</v>
      </c>
      <c r="D328" t="str">
        <f>원본데이터_SK!F328</f>
        <v>58481090</v>
      </c>
      <c r="E328" t="str">
        <f>IFERROR(VLOOKUP(원본데이터_SK!F328,채널매핑!$B:$D,3,0),"미매핑")</f>
        <v>미매핑</v>
      </c>
      <c r="F328">
        <f>IFERROR(VLOOKUP(원본데이터_SK!F328,채널매핑!$B:$E,4,0),1)</f>
        <v>1</v>
      </c>
      <c r="G328">
        <f>원본데이터_SK!Q328</f>
        <v>1</v>
      </c>
      <c r="H328">
        <f>원본데이터_SK!O328</f>
        <v>119000</v>
      </c>
      <c r="I328">
        <f>원본데이터_SK!AG328</f>
        <v>119000</v>
      </c>
      <c r="J328">
        <f>원본데이터_SK!AH328</f>
        <v>82110</v>
      </c>
      <c r="K328">
        <f>IFERROR(VLOOKUP(E328,제품마스터!$A:$B,2,0),0)</f>
        <v>0</v>
      </c>
      <c r="L328">
        <f>원본데이터_SK!Q328*원본데이터_SK!P328</f>
        <v>82110</v>
      </c>
    </row>
    <row r="329" spans="1:12" x14ac:dyDescent="0.3">
      <c r="A329" t="s">
        <v>11</v>
      </c>
      <c r="B329" t="str">
        <f>원본데이터_SK!D329</f>
        <v>20260205995094</v>
      </c>
      <c r="C329" t="str">
        <f>IF(원본데이터_SK!M329="","",TEXT(원본데이터_SK!M329,"YYYY-MM-DD"))</f>
        <v>2026-02-07</v>
      </c>
      <c r="D329" t="str">
        <f>원본데이터_SK!F329</f>
        <v>58481090</v>
      </c>
      <c r="E329" t="str">
        <f>IFERROR(VLOOKUP(원본데이터_SK!F329,채널매핑!$B:$D,3,0),"미매핑")</f>
        <v>미매핑</v>
      </c>
      <c r="F329">
        <f>IFERROR(VLOOKUP(원본데이터_SK!F329,채널매핑!$B:$E,4,0),1)</f>
        <v>1</v>
      </c>
      <c r="G329">
        <f>원본데이터_SK!Q329</f>
        <v>1</v>
      </c>
      <c r="H329">
        <f>원본데이터_SK!O329</f>
        <v>119000</v>
      </c>
      <c r="I329">
        <f>원본데이터_SK!AG329</f>
        <v>119000</v>
      </c>
      <c r="J329">
        <f>원본데이터_SK!AH329</f>
        <v>82110</v>
      </c>
      <c r="K329">
        <f>IFERROR(VLOOKUP(E329,제품마스터!$A:$B,2,0),0)</f>
        <v>0</v>
      </c>
      <c r="L329">
        <f>원본데이터_SK!Q329*원본데이터_SK!P329</f>
        <v>82110</v>
      </c>
    </row>
    <row r="330" spans="1:12" x14ac:dyDescent="0.3">
      <c r="A330" t="s">
        <v>11</v>
      </c>
      <c r="B330" t="str">
        <f>원본데이터_SK!D330</f>
        <v>20260205995405</v>
      </c>
      <c r="C330" t="str">
        <f>IF(원본데이터_SK!M330="","",TEXT(원본데이터_SK!M330,"YYYY-MM-DD"))</f>
        <v>2026-02-07</v>
      </c>
      <c r="D330" t="str">
        <f>원본데이터_SK!F330</f>
        <v>58481090</v>
      </c>
      <c r="E330" t="str">
        <f>IFERROR(VLOOKUP(원본데이터_SK!F330,채널매핑!$B:$D,3,0),"미매핑")</f>
        <v>미매핑</v>
      </c>
      <c r="F330">
        <f>IFERROR(VLOOKUP(원본데이터_SK!F330,채널매핑!$B:$E,4,0),1)</f>
        <v>1</v>
      </c>
      <c r="G330">
        <f>원본데이터_SK!Q330</f>
        <v>1</v>
      </c>
      <c r="H330">
        <f>원본데이터_SK!O330</f>
        <v>119000</v>
      </c>
      <c r="I330">
        <f>원본데이터_SK!AG330</f>
        <v>119000</v>
      </c>
      <c r="J330">
        <f>원본데이터_SK!AH330</f>
        <v>82110</v>
      </c>
      <c r="K330">
        <f>IFERROR(VLOOKUP(E330,제품마스터!$A:$B,2,0),0)</f>
        <v>0</v>
      </c>
      <c r="L330">
        <f>원본데이터_SK!Q330*원본데이터_SK!P330</f>
        <v>82110</v>
      </c>
    </row>
    <row r="331" spans="1:12" x14ac:dyDescent="0.3">
      <c r="A331" t="s">
        <v>11</v>
      </c>
      <c r="B331" t="str">
        <f>원본데이터_SK!D331</f>
        <v>20260205995039</v>
      </c>
      <c r="C331" t="str">
        <f>IF(원본데이터_SK!M331="","",TEXT(원본데이터_SK!M331,"YYYY-MM-DD"))</f>
        <v>2026-02-07</v>
      </c>
      <c r="D331" t="str">
        <f>원본데이터_SK!F331</f>
        <v>58481090</v>
      </c>
      <c r="E331" t="str">
        <f>IFERROR(VLOOKUP(원본데이터_SK!F331,채널매핑!$B:$D,3,0),"미매핑")</f>
        <v>미매핑</v>
      </c>
      <c r="F331">
        <f>IFERROR(VLOOKUP(원본데이터_SK!F331,채널매핑!$B:$E,4,0),1)</f>
        <v>1</v>
      </c>
      <c r="G331">
        <f>원본데이터_SK!Q331</f>
        <v>1</v>
      </c>
      <c r="H331">
        <f>원본데이터_SK!O331</f>
        <v>119000</v>
      </c>
      <c r="I331">
        <f>원본데이터_SK!AG331</f>
        <v>119000</v>
      </c>
      <c r="J331">
        <f>원본데이터_SK!AH331</f>
        <v>82110</v>
      </c>
      <c r="K331">
        <f>IFERROR(VLOOKUP(E331,제품마스터!$A:$B,2,0),0)</f>
        <v>0</v>
      </c>
      <c r="L331">
        <f>원본데이터_SK!Q331*원본데이터_SK!P331</f>
        <v>82110</v>
      </c>
    </row>
    <row r="332" spans="1:12" x14ac:dyDescent="0.3">
      <c r="A332" t="s">
        <v>11</v>
      </c>
      <c r="B332" t="str">
        <f>원본데이터_SK!D332</f>
        <v>20260205994153</v>
      </c>
      <c r="C332" t="str">
        <f>IF(원본데이터_SK!M332="","",TEXT(원본데이터_SK!M332,"YYYY-MM-DD"))</f>
        <v>2026-02-07</v>
      </c>
      <c r="D332" t="str">
        <f>원본데이터_SK!F332</f>
        <v>58481090</v>
      </c>
      <c r="E332" t="str">
        <f>IFERROR(VLOOKUP(원본데이터_SK!F332,채널매핑!$B:$D,3,0),"미매핑")</f>
        <v>미매핑</v>
      </c>
      <c r="F332">
        <f>IFERROR(VLOOKUP(원본데이터_SK!F332,채널매핑!$B:$E,4,0),1)</f>
        <v>1</v>
      </c>
      <c r="G332">
        <f>원본데이터_SK!Q332</f>
        <v>1</v>
      </c>
      <c r="H332">
        <f>원본데이터_SK!O332</f>
        <v>119000</v>
      </c>
      <c r="I332">
        <f>원본데이터_SK!AG332</f>
        <v>119000</v>
      </c>
      <c r="J332">
        <f>원본데이터_SK!AH332</f>
        <v>82110</v>
      </c>
      <c r="K332">
        <f>IFERROR(VLOOKUP(E332,제품마스터!$A:$B,2,0),0)</f>
        <v>0</v>
      </c>
      <c r="L332">
        <f>원본데이터_SK!Q332*원본데이터_SK!P332</f>
        <v>82110</v>
      </c>
    </row>
    <row r="333" spans="1:12" x14ac:dyDescent="0.3">
      <c r="A333" t="s">
        <v>11</v>
      </c>
      <c r="B333" t="str">
        <f>원본데이터_SK!D333</f>
        <v>20260205994151</v>
      </c>
      <c r="C333" t="str">
        <f>IF(원본데이터_SK!M333="","",TEXT(원본데이터_SK!M333,"YYYY-MM-DD"))</f>
        <v>2026-02-07</v>
      </c>
      <c r="D333" t="str">
        <f>원본데이터_SK!F333</f>
        <v>58481090</v>
      </c>
      <c r="E333" t="str">
        <f>IFERROR(VLOOKUP(원본데이터_SK!F333,채널매핑!$B:$D,3,0),"미매핑")</f>
        <v>미매핑</v>
      </c>
      <c r="F333">
        <f>IFERROR(VLOOKUP(원본데이터_SK!F333,채널매핑!$B:$E,4,0),1)</f>
        <v>1</v>
      </c>
      <c r="G333">
        <f>원본데이터_SK!Q333</f>
        <v>1</v>
      </c>
      <c r="H333">
        <f>원본데이터_SK!O333</f>
        <v>119000</v>
      </c>
      <c r="I333">
        <f>원본데이터_SK!AG333</f>
        <v>119000</v>
      </c>
      <c r="J333">
        <f>원본데이터_SK!AH333</f>
        <v>82110</v>
      </c>
      <c r="K333">
        <f>IFERROR(VLOOKUP(E333,제품마스터!$A:$B,2,0),0)</f>
        <v>0</v>
      </c>
      <c r="L333">
        <f>원본데이터_SK!Q333*원본데이터_SK!P333</f>
        <v>82110</v>
      </c>
    </row>
    <row r="334" spans="1:12" x14ac:dyDescent="0.3">
      <c r="A334" t="s">
        <v>11</v>
      </c>
      <c r="B334" t="str">
        <f>원본데이터_SK!D334</f>
        <v>20260205994805</v>
      </c>
      <c r="C334" t="str">
        <f>IF(원본데이터_SK!M334="","",TEXT(원본데이터_SK!M334,"YYYY-MM-DD"))</f>
        <v>2026-02-07</v>
      </c>
      <c r="D334" t="str">
        <f>원본데이터_SK!F334</f>
        <v>58481090</v>
      </c>
      <c r="E334" t="str">
        <f>IFERROR(VLOOKUP(원본데이터_SK!F334,채널매핑!$B:$D,3,0),"미매핑")</f>
        <v>미매핑</v>
      </c>
      <c r="F334">
        <f>IFERROR(VLOOKUP(원본데이터_SK!F334,채널매핑!$B:$E,4,0),1)</f>
        <v>1</v>
      </c>
      <c r="G334">
        <f>원본데이터_SK!Q334</f>
        <v>1</v>
      </c>
      <c r="H334">
        <f>원본데이터_SK!O334</f>
        <v>119000</v>
      </c>
      <c r="I334">
        <f>원본데이터_SK!AG334</f>
        <v>119000</v>
      </c>
      <c r="J334">
        <f>원본데이터_SK!AH334</f>
        <v>82110</v>
      </c>
      <c r="K334">
        <f>IFERROR(VLOOKUP(E334,제품마스터!$A:$B,2,0),0)</f>
        <v>0</v>
      </c>
      <c r="L334">
        <f>원본데이터_SK!Q334*원본데이터_SK!P334</f>
        <v>82110</v>
      </c>
    </row>
    <row r="335" spans="1:12" x14ac:dyDescent="0.3">
      <c r="A335" t="s">
        <v>11</v>
      </c>
      <c r="B335" t="str">
        <f>원본데이터_SK!D335</f>
        <v>20260205993562</v>
      </c>
      <c r="C335" t="str">
        <f>IF(원본데이터_SK!M335="","",TEXT(원본데이터_SK!M335,"YYYY-MM-DD"))</f>
        <v>2026-02-07</v>
      </c>
      <c r="D335" t="str">
        <f>원본데이터_SK!F335</f>
        <v>58481090</v>
      </c>
      <c r="E335" t="str">
        <f>IFERROR(VLOOKUP(원본데이터_SK!F335,채널매핑!$B:$D,3,0),"미매핑")</f>
        <v>미매핑</v>
      </c>
      <c r="F335">
        <f>IFERROR(VLOOKUP(원본데이터_SK!F335,채널매핑!$B:$E,4,0),1)</f>
        <v>1</v>
      </c>
      <c r="G335">
        <f>원본데이터_SK!Q335</f>
        <v>1</v>
      </c>
      <c r="H335">
        <f>원본데이터_SK!O335</f>
        <v>119000</v>
      </c>
      <c r="I335">
        <f>원본데이터_SK!AG335</f>
        <v>119000</v>
      </c>
      <c r="J335">
        <f>원본데이터_SK!AH335</f>
        <v>82110</v>
      </c>
      <c r="K335">
        <f>IFERROR(VLOOKUP(E335,제품마스터!$A:$B,2,0),0)</f>
        <v>0</v>
      </c>
      <c r="L335">
        <f>원본데이터_SK!Q335*원본데이터_SK!P335</f>
        <v>82110</v>
      </c>
    </row>
    <row r="336" spans="1:12" x14ac:dyDescent="0.3">
      <c r="A336" t="s">
        <v>11</v>
      </c>
      <c r="B336" t="str">
        <f>원본데이터_SK!D336</f>
        <v>20260205992492</v>
      </c>
      <c r="C336" t="str">
        <f>IF(원본데이터_SK!M336="","",TEXT(원본데이터_SK!M336,"YYYY-MM-DD"))</f>
        <v>2026-02-07</v>
      </c>
      <c r="D336" t="str">
        <f>원본데이터_SK!F336</f>
        <v>58481090</v>
      </c>
      <c r="E336" t="str">
        <f>IFERROR(VLOOKUP(원본데이터_SK!F336,채널매핑!$B:$D,3,0),"미매핑")</f>
        <v>미매핑</v>
      </c>
      <c r="F336">
        <f>IFERROR(VLOOKUP(원본데이터_SK!F336,채널매핑!$B:$E,4,0),1)</f>
        <v>1</v>
      </c>
      <c r="G336">
        <f>원본데이터_SK!Q336</f>
        <v>1</v>
      </c>
      <c r="H336">
        <f>원본데이터_SK!O336</f>
        <v>119000</v>
      </c>
      <c r="I336">
        <f>원본데이터_SK!AG336</f>
        <v>119000</v>
      </c>
      <c r="J336">
        <f>원본데이터_SK!AH336</f>
        <v>82110</v>
      </c>
      <c r="K336">
        <f>IFERROR(VLOOKUP(E336,제품마스터!$A:$B,2,0),0)</f>
        <v>0</v>
      </c>
      <c r="L336">
        <f>원본데이터_SK!Q336*원본데이터_SK!P336</f>
        <v>82110</v>
      </c>
    </row>
    <row r="337" spans="1:12" x14ac:dyDescent="0.3">
      <c r="A337" t="s">
        <v>11</v>
      </c>
      <c r="B337" t="str">
        <f>원본데이터_SK!D337</f>
        <v>20260205992669</v>
      </c>
      <c r="C337" t="str">
        <f>IF(원본데이터_SK!M337="","",TEXT(원본데이터_SK!M337,"YYYY-MM-DD"))</f>
        <v>2026-02-07</v>
      </c>
      <c r="D337" t="str">
        <f>원본데이터_SK!F337</f>
        <v>58481090</v>
      </c>
      <c r="E337" t="str">
        <f>IFERROR(VLOOKUP(원본데이터_SK!F337,채널매핑!$B:$D,3,0),"미매핑")</f>
        <v>미매핑</v>
      </c>
      <c r="F337">
        <f>IFERROR(VLOOKUP(원본데이터_SK!F337,채널매핑!$B:$E,4,0),1)</f>
        <v>1</v>
      </c>
      <c r="G337">
        <f>원본데이터_SK!Q337</f>
        <v>1</v>
      </c>
      <c r="H337">
        <f>원본데이터_SK!O337</f>
        <v>119000</v>
      </c>
      <c r="I337">
        <f>원본데이터_SK!AG337</f>
        <v>119000</v>
      </c>
      <c r="J337">
        <f>원본데이터_SK!AH337</f>
        <v>82110</v>
      </c>
      <c r="K337">
        <f>IFERROR(VLOOKUP(E337,제품마스터!$A:$B,2,0),0)</f>
        <v>0</v>
      </c>
      <c r="L337">
        <f>원본데이터_SK!Q337*원본데이터_SK!P337</f>
        <v>82110</v>
      </c>
    </row>
    <row r="338" spans="1:12" x14ac:dyDescent="0.3">
      <c r="A338" t="s">
        <v>11</v>
      </c>
      <c r="B338" t="str">
        <f>원본데이터_SK!D338</f>
        <v>20260205993173</v>
      </c>
      <c r="C338" t="str">
        <f>IF(원본데이터_SK!M338="","",TEXT(원본데이터_SK!M338,"YYYY-MM-DD"))</f>
        <v>2026-02-07</v>
      </c>
      <c r="D338" t="str">
        <f>원본데이터_SK!F338</f>
        <v>58481090</v>
      </c>
      <c r="E338" t="str">
        <f>IFERROR(VLOOKUP(원본데이터_SK!F338,채널매핑!$B:$D,3,0),"미매핑")</f>
        <v>미매핑</v>
      </c>
      <c r="F338">
        <f>IFERROR(VLOOKUP(원본데이터_SK!F338,채널매핑!$B:$E,4,0),1)</f>
        <v>1</v>
      </c>
      <c r="G338">
        <f>원본데이터_SK!Q338</f>
        <v>1</v>
      </c>
      <c r="H338">
        <f>원본데이터_SK!O338</f>
        <v>119000</v>
      </c>
      <c r="I338">
        <f>원본데이터_SK!AG338</f>
        <v>114000</v>
      </c>
      <c r="J338">
        <f>원본데이터_SK!AH338</f>
        <v>82110</v>
      </c>
      <c r="K338">
        <f>IFERROR(VLOOKUP(E338,제품마스터!$A:$B,2,0),0)</f>
        <v>0</v>
      </c>
      <c r="L338">
        <f>원본데이터_SK!Q338*원본데이터_SK!P338</f>
        <v>82110</v>
      </c>
    </row>
    <row r="339" spans="1:12" x14ac:dyDescent="0.3">
      <c r="A339" t="s">
        <v>11</v>
      </c>
      <c r="B339" t="str">
        <f>원본데이터_SK!D339</f>
        <v>20260205995345</v>
      </c>
      <c r="C339" t="str">
        <f>IF(원본데이터_SK!M339="","",TEXT(원본데이터_SK!M339,"YYYY-MM-DD"))</f>
        <v>2026-02-07</v>
      </c>
      <c r="D339" t="str">
        <f>원본데이터_SK!F339</f>
        <v>58481090</v>
      </c>
      <c r="E339" t="str">
        <f>IFERROR(VLOOKUP(원본데이터_SK!F339,채널매핑!$B:$D,3,0),"미매핑")</f>
        <v>미매핑</v>
      </c>
      <c r="F339">
        <f>IFERROR(VLOOKUP(원본데이터_SK!F339,채널매핑!$B:$E,4,0),1)</f>
        <v>1</v>
      </c>
      <c r="G339">
        <f>원본데이터_SK!Q339</f>
        <v>1</v>
      </c>
      <c r="H339">
        <f>원본데이터_SK!O339</f>
        <v>119000</v>
      </c>
      <c r="I339">
        <f>원본데이터_SK!AG339</f>
        <v>119000</v>
      </c>
      <c r="J339">
        <f>원본데이터_SK!AH339</f>
        <v>82110</v>
      </c>
      <c r="K339">
        <f>IFERROR(VLOOKUP(E339,제품마스터!$A:$B,2,0),0)</f>
        <v>0</v>
      </c>
      <c r="L339">
        <f>원본데이터_SK!Q339*원본데이터_SK!P339</f>
        <v>82110</v>
      </c>
    </row>
    <row r="340" spans="1:12" x14ac:dyDescent="0.3">
      <c r="A340" t="s">
        <v>11</v>
      </c>
      <c r="B340" t="str">
        <f>원본데이터_SK!D340</f>
        <v>20260205994889</v>
      </c>
      <c r="C340" t="str">
        <f>IF(원본데이터_SK!M340="","",TEXT(원본데이터_SK!M340,"YYYY-MM-DD"))</f>
        <v>2026-02-07</v>
      </c>
      <c r="D340" t="str">
        <f>원본데이터_SK!F340</f>
        <v>58481090</v>
      </c>
      <c r="E340" t="str">
        <f>IFERROR(VLOOKUP(원본데이터_SK!F340,채널매핑!$B:$D,3,0),"미매핑")</f>
        <v>미매핑</v>
      </c>
      <c r="F340">
        <f>IFERROR(VLOOKUP(원본데이터_SK!F340,채널매핑!$B:$E,4,0),1)</f>
        <v>1</v>
      </c>
      <c r="G340">
        <f>원본데이터_SK!Q340</f>
        <v>1</v>
      </c>
      <c r="H340">
        <f>원본데이터_SK!O340</f>
        <v>119000</v>
      </c>
      <c r="I340">
        <f>원본데이터_SK!AG340</f>
        <v>119000</v>
      </c>
      <c r="J340">
        <f>원본데이터_SK!AH340</f>
        <v>82110</v>
      </c>
      <c r="K340">
        <f>IFERROR(VLOOKUP(E340,제품마스터!$A:$B,2,0),0)</f>
        <v>0</v>
      </c>
      <c r="L340">
        <f>원본데이터_SK!Q340*원본데이터_SK!P340</f>
        <v>82110</v>
      </c>
    </row>
    <row r="341" spans="1:12" x14ac:dyDescent="0.3">
      <c r="A341" t="s">
        <v>11</v>
      </c>
      <c r="B341" t="str">
        <f>원본데이터_SK!D341</f>
        <v>20260205995613</v>
      </c>
      <c r="C341" t="str">
        <f>IF(원본데이터_SK!M341="","",TEXT(원본데이터_SK!M341,"YYYY-MM-DD"))</f>
        <v>2026-02-07</v>
      </c>
      <c r="D341" t="str">
        <f>원본데이터_SK!F341</f>
        <v>58481090</v>
      </c>
      <c r="E341" t="str">
        <f>IFERROR(VLOOKUP(원본데이터_SK!F341,채널매핑!$B:$D,3,0),"미매핑")</f>
        <v>미매핑</v>
      </c>
      <c r="F341">
        <f>IFERROR(VLOOKUP(원본데이터_SK!F341,채널매핑!$B:$E,4,0),1)</f>
        <v>1</v>
      </c>
      <c r="G341">
        <f>원본데이터_SK!Q341</f>
        <v>1</v>
      </c>
      <c r="H341">
        <f>원본데이터_SK!O341</f>
        <v>119000</v>
      </c>
      <c r="I341">
        <f>원본데이터_SK!AG341</f>
        <v>119000</v>
      </c>
      <c r="J341">
        <f>원본데이터_SK!AH341</f>
        <v>82110</v>
      </c>
      <c r="K341">
        <f>IFERROR(VLOOKUP(E341,제품마스터!$A:$B,2,0),0)</f>
        <v>0</v>
      </c>
      <c r="L341">
        <f>원본데이터_SK!Q341*원본데이터_SK!P341</f>
        <v>82110</v>
      </c>
    </row>
    <row r="342" spans="1:12" x14ac:dyDescent="0.3">
      <c r="A342" t="s">
        <v>11</v>
      </c>
      <c r="B342" t="str">
        <f>원본데이터_SK!D342</f>
        <v>20260205994040</v>
      </c>
      <c r="C342" t="str">
        <f>IF(원본데이터_SK!M342="","",TEXT(원본데이터_SK!M342,"YYYY-MM-DD"))</f>
        <v>2026-02-07</v>
      </c>
      <c r="D342" t="str">
        <f>원본데이터_SK!F342</f>
        <v>58481090</v>
      </c>
      <c r="E342" t="str">
        <f>IFERROR(VLOOKUP(원본데이터_SK!F342,채널매핑!$B:$D,3,0),"미매핑")</f>
        <v>미매핑</v>
      </c>
      <c r="F342">
        <f>IFERROR(VLOOKUP(원본데이터_SK!F342,채널매핑!$B:$E,4,0),1)</f>
        <v>1</v>
      </c>
      <c r="G342">
        <f>원본데이터_SK!Q342</f>
        <v>1</v>
      </c>
      <c r="H342">
        <f>원본데이터_SK!O342</f>
        <v>119000</v>
      </c>
      <c r="I342">
        <f>원본데이터_SK!AG342</f>
        <v>119000</v>
      </c>
      <c r="J342">
        <f>원본데이터_SK!AH342</f>
        <v>82110</v>
      </c>
      <c r="K342">
        <f>IFERROR(VLOOKUP(E342,제품마스터!$A:$B,2,0),0)</f>
        <v>0</v>
      </c>
      <c r="L342">
        <f>원본데이터_SK!Q342*원본데이터_SK!P342</f>
        <v>82110</v>
      </c>
    </row>
    <row r="343" spans="1:12" x14ac:dyDescent="0.3">
      <c r="A343" t="s">
        <v>11</v>
      </c>
      <c r="B343" t="str">
        <f>원본데이터_SK!D343</f>
        <v>20260205995186</v>
      </c>
      <c r="C343" t="str">
        <f>IF(원본데이터_SK!M343="","",TEXT(원본데이터_SK!M343,"YYYY-MM-DD"))</f>
        <v>2026-02-07</v>
      </c>
      <c r="D343" t="str">
        <f>원본데이터_SK!F343</f>
        <v>58481090</v>
      </c>
      <c r="E343" t="str">
        <f>IFERROR(VLOOKUP(원본데이터_SK!F343,채널매핑!$B:$D,3,0),"미매핑")</f>
        <v>미매핑</v>
      </c>
      <c r="F343">
        <f>IFERROR(VLOOKUP(원본데이터_SK!F343,채널매핑!$B:$E,4,0),1)</f>
        <v>1</v>
      </c>
      <c r="G343">
        <f>원본데이터_SK!Q343</f>
        <v>1</v>
      </c>
      <c r="H343">
        <f>원본데이터_SK!O343</f>
        <v>119000</v>
      </c>
      <c r="I343">
        <f>원본데이터_SK!AG343</f>
        <v>119000</v>
      </c>
      <c r="J343">
        <f>원본데이터_SK!AH343</f>
        <v>82110</v>
      </c>
      <c r="K343">
        <f>IFERROR(VLOOKUP(E343,제품마스터!$A:$B,2,0),0)</f>
        <v>0</v>
      </c>
      <c r="L343">
        <f>원본데이터_SK!Q343*원본데이터_SK!P343</f>
        <v>82110</v>
      </c>
    </row>
    <row r="344" spans="1:12" x14ac:dyDescent="0.3">
      <c r="A344" t="s">
        <v>11</v>
      </c>
      <c r="B344" t="str">
        <f>원본데이터_SK!D344</f>
        <v>20260205995299</v>
      </c>
      <c r="C344" t="str">
        <f>IF(원본데이터_SK!M344="","",TEXT(원본데이터_SK!M344,"YYYY-MM-DD"))</f>
        <v>2026-02-07</v>
      </c>
      <c r="D344" t="str">
        <f>원본데이터_SK!F344</f>
        <v>58481090</v>
      </c>
      <c r="E344" t="str">
        <f>IFERROR(VLOOKUP(원본데이터_SK!F344,채널매핑!$B:$D,3,0),"미매핑")</f>
        <v>미매핑</v>
      </c>
      <c r="F344">
        <f>IFERROR(VLOOKUP(원본데이터_SK!F344,채널매핑!$B:$E,4,0),1)</f>
        <v>1</v>
      </c>
      <c r="G344">
        <f>원본데이터_SK!Q344</f>
        <v>1</v>
      </c>
      <c r="H344">
        <f>원본데이터_SK!O344</f>
        <v>119000</v>
      </c>
      <c r="I344">
        <f>원본데이터_SK!AG344</f>
        <v>119000</v>
      </c>
      <c r="J344">
        <f>원본데이터_SK!AH344</f>
        <v>82110</v>
      </c>
      <c r="K344">
        <f>IFERROR(VLOOKUP(E344,제품마스터!$A:$B,2,0),0)</f>
        <v>0</v>
      </c>
      <c r="L344">
        <f>원본데이터_SK!Q344*원본데이터_SK!P344</f>
        <v>82110</v>
      </c>
    </row>
    <row r="345" spans="1:12" x14ac:dyDescent="0.3">
      <c r="A345" t="s">
        <v>11</v>
      </c>
      <c r="B345" t="str">
        <f>원본데이터_SK!D345</f>
        <v>20260205995316</v>
      </c>
      <c r="C345" t="str">
        <f>IF(원본데이터_SK!M345="","",TEXT(원본데이터_SK!M345,"YYYY-MM-DD"))</f>
        <v>2026-02-07</v>
      </c>
      <c r="D345" t="str">
        <f>원본데이터_SK!F345</f>
        <v>58481090</v>
      </c>
      <c r="E345" t="str">
        <f>IFERROR(VLOOKUP(원본데이터_SK!F345,채널매핑!$B:$D,3,0),"미매핑")</f>
        <v>미매핑</v>
      </c>
      <c r="F345">
        <f>IFERROR(VLOOKUP(원본데이터_SK!F345,채널매핑!$B:$E,4,0),1)</f>
        <v>1</v>
      </c>
      <c r="G345">
        <f>원본데이터_SK!Q345</f>
        <v>1</v>
      </c>
      <c r="H345">
        <f>원본데이터_SK!O345</f>
        <v>119000</v>
      </c>
      <c r="I345">
        <f>원본데이터_SK!AG345</f>
        <v>101150</v>
      </c>
      <c r="J345">
        <f>원본데이터_SK!AH345</f>
        <v>82110</v>
      </c>
      <c r="K345">
        <f>IFERROR(VLOOKUP(E345,제품마스터!$A:$B,2,0),0)</f>
        <v>0</v>
      </c>
      <c r="L345">
        <f>원본데이터_SK!Q345*원본데이터_SK!P345</f>
        <v>82110</v>
      </c>
    </row>
    <row r="346" spans="1:12" x14ac:dyDescent="0.3">
      <c r="A346" t="s">
        <v>11</v>
      </c>
      <c r="B346" t="str">
        <f>원본데이터_SK!D346</f>
        <v>20260205994533</v>
      </c>
      <c r="C346" t="str">
        <f>IF(원본데이터_SK!M346="","",TEXT(원본데이터_SK!M346,"YYYY-MM-DD"))</f>
        <v>2026-02-07</v>
      </c>
      <c r="D346" t="str">
        <f>원본데이터_SK!F346</f>
        <v>58481090</v>
      </c>
      <c r="E346" t="str">
        <f>IFERROR(VLOOKUP(원본데이터_SK!F346,채널매핑!$B:$D,3,0),"미매핑")</f>
        <v>미매핑</v>
      </c>
      <c r="F346">
        <f>IFERROR(VLOOKUP(원본데이터_SK!F346,채널매핑!$B:$E,4,0),1)</f>
        <v>1</v>
      </c>
      <c r="G346">
        <f>원본데이터_SK!Q346</f>
        <v>1</v>
      </c>
      <c r="H346">
        <f>원본데이터_SK!O346</f>
        <v>119000</v>
      </c>
      <c r="I346">
        <f>원본데이터_SK!AG346</f>
        <v>119000</v>
      </c>
      <c r="J346">
        <f>원본데이터_SK!AH346</f>
        <v>82110</v>
      </c>
      <c r="K346">
        <f>IFERROR(VLOOKUP(E346,제품마스터!$A:$B,2,0),0)</f>
        <v>0</v>
      </c>
      <c r="L346">
        <f>원본데이터_SK!Q346*원본데이터_SK!P346</f>
        <v>82110</v>
      </c>
    </row>
    <row r="347" spans="1:12" x14ac:dyDescent="0.3">
      <c r="A347" t="s">
        <v>11</v>
      </c>
      <c r="B347" t="str">
        <f>원본데이터_SK!D347</f>
        <v>20260205993733</v>
      </c>
      <c r="C347" t="str">
        <f>IF(원본데이터_SK!M347="","",TEXT(원본데이터_SK!M347,"YYYY-MM-DD"))</f>
        <v>2026-02-07</v>
      </c>
      <c r="D347" t="str">
        <f>원본데이터_SK!F347</f>
        <v>58481090</v>
      </c>
      <c r="E347" t="str">
        <f>IFERROR(VLOOKUP(원본데이터_SK!F347,채널매핑!$B:$D,3,0),"미매핑")</f>
        <v>미매핑</v>
      </c>
      <c r="F347">
        <f>IFERROR(VLOOKUP(원본데이터_SK!F347,채널매핑!$B:$E,4,0),1)</f>
        <v>1</v>
      </c>
      <c r="G347">
        <f>원본데이터_SK!Q347</f>
        <v>1</v>
      </c>
      <c r="H347">
        <f>원본데이터_SK!O347</f>
        <v>119000</v>
      </c>
      <c r="I347">
        <f>원본데이터_SK!AG347</f>
        <v>119000</v>
      </c>
      <c r="J347">
        <f>원본데이터_SK!AH347</f>
        <v>82110</v>
      </c>
      <c r="K347">
        <f>IFERROR(VLOOKUP(E347,제품마스터!$A:$B,2,0),0)</f>
        <v>0</v>
      </c>
      <c r="L347">
        <f>원본데이터_SK!Q347*원본데이터_SK!P347</f>
        <v>82110</v>
      </c>
    </row>
    <row r="348" spans="1:12" x14ac:dyDescent="0.3">
      <c r="A348" t="s">
        <v>11</v>
      </c>
      <c r="B348" t="str">
        <f>원본데이터_SK!D348</f>
        <v>20260205994835</v>
      </c>
      <c r="C348" t="str">
        <f>IF(원본데이터_SK!M348="","",TEXT(원본데이터_SK!M348,"YYYY-MM-DD"))</f>
        <v>2026-02-07</v>
      </c>
      <c r="D348" t="str">
        <f>원본데이터_SK!F348</f>
        <v>58481090</v>
      </c>
      <c r="E348" t="str">
        <f>IFERROR(VLOOKUP(원본데이터_SK!F348,채널매핑!$B:$D,3,0),"미매핑")</f>
        <v>미매핑</v>
      </c>
      <c r="F348">
        <f>IFERROR(VLOOKUP(원본데이터_SK!F348,채널매핑!$B:$E,4,0),1)</f>
        <v>1</v>
      </c>
      <c r="G348">
        <f>원본데이터_SK!Q348</f>
        <v>1</v>
      </c>
      <c r="H348">
        <f>원본데이터_SK!O348</f>
        <v>119000</v>
      </c>
      <c r="I348">
        <f>원본데이터_SK!AG348</f>
        <v>119000</v>
      </c>
      <c r="J348">
        <f>원본데이터_SK!AH348</f>
        <v>82110</v>
      </c>
      <c r="K348">
        <f>IFERROR(VLOOKUP(E348,제품마스터!$A:$B,2,0),0)</f>
        <v>0</v>
      </c>
      <c r="L348">
        <f>원본데이터_SK!Q348*원본데이터_SK!P348</f>
        <v>82110</v>
      </c>
    </row>
    <row r="349" spans="1:12" x14ac:dyDescent="0.3">
      <c r="A349" t="s">
        <v>11</v>
      </c>
      <c r="B349" t="str">
        <f>원본데이터_SK!D349</f>
        <v>20260205994754</v>
      </c>
      <c r="C349" t="str">
        <f>IF(원본데이터_SK!M349="","",TEXT(원본데이터_SK!M349,"YYYY-MM-DD"))</f>
        <v>2026-02-07</v>
      </c>
      <c r="D349" t="str">
        <f>원본데이터_SK!F349</f>
        <v>58481090</v>
      </c>
      <c r="E349" t="str">
        <f>IFERROR(VLOOKUP(원본데이터_SK!F349,채널매핑!$B:$D,3,0),"미매핑")</f>
        <v>미매핑</v>
      </c>
      <c r="F349">
        <f>IFERROR(VLOOKUP(원본데이터_SK!F349,채널매핑!$B:$E,4,0),1)</f>
        <v>1</v>
      </c>
      <c r="G349">
        <f>원본데이터_SK!Q349</f>
        <v>1</v>
      </c>
      <c r="H349">
        <f>원본데이터_SK!O349</f>
        <v>119000</v>
      </c>
      <c r="I349">
        <f>원본데이터_SK!AG349</f>
        <v>119000</v>
      </c>
      <c r="J349">
        <f>원본데이터_SK!AH349</f>
        <v>82110</v>
      </c>
      <c r="K349">
        <f>IFERROR(VLOOKUP(E349,제품마스터!$A:$B,2,0),0)</f>
        <v>0</v>
      </c>
      <c r="L349">
        <f>원본데이터_SK!Q349*원본데이터_SK!P349</f>
        <v>82110</v>
      </c>
    </row>
    <row r="350" spans="1:12" x14ac:dyDescent="0.3">
      <c r="A350" t="s">
        <v>11</v>
      </c>
      <c r="B350" t="str">
        <f>원본데이터_SK!D350</f>
        <v>20260205993550</v>
      </c>
      <c r="C350" t="str">
        <f>IF(원본데이터_SK!M350="","",TEXT(원본데이터_SK!M350,"YYYY-MM-DD"))</f>
        <v>2026-02-07</v>
      </c>
      <c r="D350" t="str">
        <f>원본데이터_SK!F350</f>
        <v>58481090</v>
      </c>
      <c r="E350" t="str">
        <f>IFERROR(VLOOKUP(원본데이터_SK!F350,채널매핑!$B:$D,3,0),"미매핑")</f>
        <v>미매핑</v>
      </c>
      <c r="F350">
        <f>IFERROR(VLOOKUP(원본데이터_SK!F350,채널매핑!$B:$E,4,0),1)</f>
        <v>1</v>
      </c>
      <c r="G350">
        <f>원본데이터_SK!Q350</f>
        <v>1</v>
      </c>
      <c r="H350">
        <f>원본데이터_SK!O350</f>
        <v>119000</v>
      </c>
      <c r="I350">
        <f>원본데이터_SK!AG350</f>
        <v>119000</v>
      </c>
      <c r="J350">
        <f>원본데이터_SK!AH350</f>
        <v>82110</v>
      </c>
      <c r="K350">
        <f>IFERROR(VLOOKUP(E350,제품마스터!$A:$B,2,0),0)</f>
        <v>0</v>
      </c>
      <c r="L350">
        <f>원본데이터_SK!Q350*원본데이터_SK!P350</f>
        <v>82110</v>
      </c>
    </row>
    <row r="351" spans="1:12" x14ac:dyDescent="0.3">
      <c r="A351" t="s">
        <v>11</v>
      </c>
      <c r="B351" t="str">
        <f>원본데이터_SK!D351</f>
        <v>20260205992544</v>
      </c>
      <c r="C351" t="str">
        <f>IF(원본데이터_SK!M351="","",TEXT(원본데이터_SK!M351,"YYYY-MM-DD"))</f>
        <v>2026-02-07</v>
      </c>
      <c r="D351" t="str">
        <f>원본데이터_SK!F351</f>
        <v>58481090</v>
      </c>
      <c r="E351" t="str">
        <f>IFERROR(VLOOKUP(원본데이터_SK!F351,채널매핑!$B:$D,3,0),"미매핑")</f>
        <v>미매핑</v>
      </c>
      <c r="F351">
        <f>IFERROR(VLOOKUP(원본데이터_SK!F351,채널매핑!$B:$E,4,0),1)</f>
        <v>1</v>
      </c>
      <c r="G351">
        <f>원본데이터_SK!Q351</f>
        <v>1</v>
      </c>
      <c r="H351">
        <f>원본데이터_SK!O351</f>
        <v>119000</v>
      </c>
      <c r="I351">
        <f>원본데이터_SK!AG351</f>
        <v>119000</v>
      </c>
      <c r="J351">
        <f>원본데이터_SK!AH351</f>
        <v>82110</v>
      </c>
      <c r="K351">
        <f>IFERROR(VLOOKUP(E351,제품마스터!$A:$B,2,0),0)</f>
        <v>0</v>
      </c>
      <c r="L351">
        <f>원본데이터_SK!Q351*원본데이터_SK!P351</f>
        <v>82110</v>
      </c>
    </row>
    <row r="352" spans="1:12" x14ac:dyDescent="0.3">
      <c r="A352" t="s">
        <v>11</v>
      </c>
      <c r="B352" t="str">
        <f>원본데이터_SK!D352</f>
        <v>20260205992696</v>
      </c>
      <c r="C352" t="str">
        <f>IF(원본데이터_SK!M352="","",TEXT(원본데이터_SK!M352,"YYYY-MM-DD"))</f>
        <v>2026-02-07</v>
      </c>
      <c r="D352" t="str">
        <f>원본데이터_SK!F352</f>
        <v>58481090</v>
      </c>
      <c r="E352" t="str">
        <f>IFERROR(VLOOKUP(원본데이터_SK!F352,채널매핑!$B:$D,3,0),"미매핑")</f>
        <v>미매핑</v>
      </c>
      <c r="F352">
        <f>IFERROR(VLOOKUP(원본데이터_SK!F352,채널매핑!$B:$E,4,0),1)</f>
        <v>1</v>
      </c>
      <c r="G352">
        <f>원본데이터_SK!Q352</f>
        <v>1</v>
      </c>
      <c r="H352">
        <f>원본데이터_SK!O352</f>
        <v>119000</v>
      </c>
      <c r="I352">
        <f>원본데이터_SK!AG352</f>
        <v>119000</v>
      </c>
      <c r="J352">
        <f>원본데이터_SK!AH352</f>
        <v>82110</v>
      </c>
      <c r="K352">
        <f>IFERROR(VLOOKUP(E352,제품마스터!$A:$B,2,0),0)</f>
        <v>0</v>
      </c>
      <c r="L352">
        <f>원본데이터_SK!Q352*원본데이터_SK!P352</f>
        <v>82110</v>
      </c>
    </row>
    <row r="353" spans="1:12" x14ac:dyDescent="0.3">
      <c r="A353" t="s">
        <v>11</v>
      </c>
      <c r="B353" t="str">
        <f>원본데이터_SK!D353</f>
        <v>20260205992743</v>
      </c>
      <c r="C353" t="str">
        <f>IF(원본데이터_SK!M353="","",TEXT(원본데이터_SK!M353,"YYYY-MM-DD"))</f>
        <v>2026-02-07</v>
      </c>
      <c r="D353" t="str">
        <f>원본데이터_SK!F353</f>
        <v>58481090</v>
      </c>
      <c r="E353" t="str">
        <f>IFERROR(VLOOKUP(원본데이터_SK!F353,채널매핑!$B:$D,3,0),"미매핑")</f>
        <v>미매핑</v>
      </c>
      <c r="F353">
        <f>IFERROR(VLOOKUP(원본데이터_SK!F353,채널매핑!$B:$E,4,0),1)</f>
        <v>1</v>
      </c>
      <c r="G353">
        <f>원본데이터_SK!Q353</f>
        <v>1</v>
      </c>
      <c r="H353">
        <f>원본데이터_SK!O353</f>
        <v>119000</v>
      </c>
      <c r="I353">
        <f>원본데이터_SK!AG353</f>
        <v>119000</v>
      </c>
      <c r="J353">
        <f>원본데이터_SK!AH353</f>
        <v>82110</v>
      </c>
      <c r="K353">
        <f>IFERROR(VLOOKUP(E353,제품마스터!$A:$B,2,0),0)</f>
        <v>0</v>
      </c>
      <c r="L353">
        <f>원본데이터_SK!Q353*원본데이터_SK!P353</f>
        <v>82110</v>
      </c>
    </row>
    <row r="354" spans="1:12" x14ac:dyDescent="0.3">
      <c r="A354" t="s">
        <v>11</v>
      </c>
      <c r="B354" t="str">
        <f>원본데이터_SK!D354</f>
        <v>20260205992739</v>
      </c>
      <c r="C354" t="str">
        <f>IF(원본데이터_SK!M354="","",TEXT(원본데이터_SK!M354,"YYYY-MM-DD"))</f>
        <v>2026-02-07</v>
      </c>
      <c r="D354" t="str">
        <f>원본데이터_SK!F354</f>
        <v>58481090</v>
      </c>
      <c r="E354" t="str">
        <f>IFERROR(VLOOKUP(원본데이터_SK!F354,채널매핑!$B:$D,3,0),"미매핑")</f>
        <v>미매핑</v>
      </c>
      <c r="F354">
        <f>IFERROR(VLOOKUP(원본데이터_SK!F354,채널매핑!$B:$E,4,0),1)</f>
        <v>1</v>
      </c>
      <c r="G354">
        <f>원본데이터_SK!Q354</f>
        <v>1</v>
      </c>
      <c r="H354">
        <f>원본데이터_SK!O354</f>
        <v>119000</v>
      </c>
      <c r="I354">
        <f>원본데이터_SK!AG354</f>
        <v>119000</v>
      </c>
      <c r="J354">
        <f>원본데이터_SK!AH354</f>
        <v>82110</v>
      </c>
      <c r="K354">
        <f>IFERROR(VLOOKUP(E354,제품마스터!$A:$B,2,0),0)</f>
        <v>0</v>
      </c>
      <c r="L354">
        <f>원본데이터_SK!Q354*원본데이터_SK!P354</f>
        <v>82110</v>
      </c>
    </row>
    <row r="355" spans="1:12" x14ac:dyDescent="0.3">
      <c r="A355" t="s">
        <v>11</v>
      </c>
      <c r="B355" t="str">
        <f>원본데이터_SK!D355</f>
        <v>20260205992862</v>
      </c>
      <c r="C355" t="str">
        <f>IF(원본데이터_SK!M355="","",TEXT(원본데이터_SK!M355,"YYYY-MM-DD"))</f>
        <v>2026-02-07</v>
      </c>
      <c r="D355" t="str">
        <f>원본데이터_SK!F355</f>
        <v>58481090</v>
      </c>
      <c r="E355" t="str">
        <f>IFERROR(VLOOKUP(원본데이터_SK!F355,채널매핑!$B:$D,3,0),"미매핑")</f>
        <v>미매핑</v>
      </c>
      <c r="F355">
        <f>IFERROR(VLOOKUP(원본데이터_SK!F355,채널매핑!$B:$E,4,0),1)</f>
        <v>1</v>
      </c>
      <c r="G355">
        <f>원본데이터_SK!Q355</f>
        <v>1</v>
      </c>
      <c r="H355">
        <f>원본데이터_SK!O355</f>
        <v>119000</v>
      </c>
      <c r="I355">
        <f>원본데이터_SK!AG355</f>
        <v>119000</v>
      </c>
      <c r="J355">
        <f>원본데이터_SK!AH355</f>
        <v>82110</v>
      </c>
      <c r="K355">
        <f>IFERROR(VLOOKUP(E355,제품마스터!$A:$B,2,0),0)</f>
        <v>0</v>
      </c>
      <c r="L355">
        <f>원본데이터_SK!Q355*원본데이터_SK!P355</f>
        <v>82110</v>
      </c>
    </row>
    <row r="356" spans="1:12" x14ac:dyDescent="0.3">
      <c r="A356" t="s">
        <v>11</v>
      </c>
      <c r="B356" t="str">
        <f>원본데이터_SK!D356</f>
        <v>20260205993211</v>
      </c>
      <c r="C356" t="str">
        <f>IF(원본데이터_SK!M356="","",TEXT(원본데이터_SK!M356,"YYYY-MM-DD"))</f>
        <v>2026-02-07</v>
      </c>
      <c r="D356" t="str">
        <f>원본데이터_SK!F356</f>
        <v>58481090</v>
      </c>
      <c r="E356" t="str">
        <f>IFERROR(VLOOKUP(원본데이터_SK!F356,채널매핑!$B:$D,3,0),"미매핑")</f>
        <v>미매핑</v>
      </c>
      <c r="F356">
        <f>IFERROR(VLOOKUP(원본데이터_SK!F356,채널매핑!$B:$E,4,0),1)</f>
        <v>1</v>
      </c>
      <c r="G356">
        <f>원본데이터_SK!Q356</f>
        <v>1</v>
      </c>
      <c r="H356">
        <f>원본데이터_SK!O356</f>
        <v>119000</v>
      </c>
      <c r="I356">
        <f>원본데이터_SK!AG356</f>
        <v>119000</v>
      </c>
      <c r="J356">
        <f>원본데이터_SK!AH356</f>
        <v>82110</v>
      </c>
      <c r="K356">
        <f>IFERROR(VLOOKUP(E356,제품마스터!$A:$B,2,0),0)</f>
        <v>0</v>
      </c>
      <c r="L356">
        <f>원본데이터_SK!Q356*원본데이터_SK!P356</f>
        <v>82110</v>
      </c>
    </row>
    <row r="357" spans="1:12" x14ac:dyDescent="0.3">
      <c r="A357" t="s">
        <v>11</v>
      </c>
      <c r="B357" t="str">
        <f>원본데이터_SK!D357</f>
        <v>20260205993118</v>
      </c>
      <c r="C357" t="str">
        <f>IF(원본데이터_SK!M357="","",TEXT(원본데이터_SK!M357,"YYYY-MM-DD"))</f>
        <v>2026-02-07</v>
      </c>
      <c r="D357" t="str">
        <f>원본데이터_SK!F357</f>
        <v>58481090</v>
      </c>
      <c r="E357" t="str">
        <f>IFERROR(VLOOKUP(원본데이터_SK!F357,채널매핑!$B:$D,3,0),"미매핑")</f>
        <v>미매핑</v>
      </c>
      <c r="F357">
        <f>IFERROR(VLOOKUP(원본데이터_SK!F357,채널매핑!$B:$E,4,0),1)</f>
        <v>1</v>
      </c>
      <c r="G357">
        <f>원본데이터_SK!Q357</f>
        <v>1</v>
      </c>
      <c r="H357">
        <f>원본데이터_SK!O357</f>
        <v>119000</v>
      </c>
      <c r="I357">
        <f>원본데이터_SK!AG357</f>
        <v>119000</v>
      </c>
      <c r="J357">
        <f>원본데이터_SK!AH357</f>
        <v>82110</v>
      </c>
      <c r="K357">
        <f>IFERROR(VLOOKUP(E357,제품마스터!$A:$B,2,0),0)</f>
        <v>0</v>
      </c>
      <c r="L357">
        <f>원본데이터_SK!Q357*원본데이터_SK!P357</f>
        <v>82110</v>
      </c>
    </row>
    <row r="358" spans="1:12" x14ac:dyDescent="0.3">
      <c r="A358" t="s">
        <v>11</v>
      </c>
      <c r="B358" t="str">
        <f>원본데이터_SK!D358</f>
        <v>20260205993605</v>
      </c>
      <c r="C358" t="str">
        <f>IF(원본데이터_SK!M358="","",TEXT(원본데이터_SK!M358,"YYYY-MM-DD"))</f>
        <v>2026-02-07</v>
      </c>
      <c r="D358" t="str">
        <f>원본데이터_SK!F358</f>
        <v>58481090</v>
      </c>
      <c r="E358" t="str">
        <f>IFERROR(VLOOKUP(원본데이터_SK!F358,채널매핑!$B:$D,3,0),"미매핑")</f>
        <v>미매핑</v>
      </c>
      <c r="F358">
        <f>IFERROR(VLOOKUP(원본데이터_SK!F358,채널매핑!$B:$E,4,0),1)</f>
        <v>1</v>
      </c>
      <c r="G358">
        <f>원본데이터_SK!Q358</f>
        <v>1</v>
      </c>
      <c r="H358">
        <f>원본데이터_SK!O358</f>
        <v>119000</v>
      </c>
      <c r="I358">
        <f>원본데이터_SK!AG358</f>
        <v>119000</v>
      </c>
      <c r="J358">
        <f>원본데이터_SK!AH358</f>
        <v>82110</v>
      </c>
      <c r="K358">
        <f>IFERROR(VLOOKUP(E358,제품마스터!$A:$B,2,0),0)</f>
        <v>0</v>
      </c>
      <c r="L358">
        <f>원본데이터_SK!Q358*원본데이터_SK!P358</f>
        <v>82110</v>
      </c>
    </row>
    <row r="359" spans="1:12" x14ac:dyDescent="0.3">
      <c r="A359" t="s">
        <v>11</v>
      </c>
      <c r="B359" t="str">
        <f>원본데이터_SK!D359</f>
        <v>20260205995566</v>
      </c>
      <c r="C359" t="str">
        <f>IF(원본데이터_SK!M359="","",TEXT(원본데이터_SK!M359,"YYYY-MM-DD"))</f>
        <v>2026-02-07</v>
      </c>
      <c r="D359" t="str">
        <f>원본데이터_SK!F359</f>
        <v>58481090</v>
      </c>
      <c r="E359" t="str">
        <f>IFERROR(VLOOKUP(원본데이터_SK!F359,채널매핑!$B:$D,3,0),"미매핑")</f>
        <v>미매핑</v>
      </c>
      <c r="F359">
        <f>IFERROR(VLOOKUP(원본데이터_SK!F359,채널매핑!$B:$E,4,0),1)</f>
        <v>1</v>
      </c>
      <c r="G359">
        <f>원본데이터_SK!Q359</f>
        <v>1</v>
      </c>
      <c r="H359">
        <f>원본데이터_SK!O359</f>
        <v>119000</v>
      </c>
      <c r="I359">
        <f>원본데이터_SK!AG359</f>
        <v>119000</v>
      </c>
      <c r="J359">
        <f>원본데이터_SK!AH359</f>
        <v>82110</v>
      </c>
      <c r="K359">
        <f>IFERROR(VLOOKUP(E359,제품마스터!$A:$B,2,0),0)</f>
        <v>0</v>
      </c>
      <c r="L359">
        <f>원본데이터_SK!Q359*원본데이터_SK!P359</f>
        <v>82110</v>
      </c>
    </row>
    <row r="360" spans="1:12" x14ac:dyDescent="0.3">
      <c r="A360" t="s">
        <v>11</v>
      </c>
      <c r="B360" t="str">
        <f>원본데이터_SK!D360</f>
        <v>20260205995554</v>
      </c>
      <c r="C360" t="str">
        <f>IF(원본데이터_SK!M360="","",TEXT(원본데이터_SK!M360,"YYYY-MM-DD"))</f>
        <v>2026-02-07</v>
      </c>
      <c r="D360" t="str">
        <f>원본데이터_SK!F360</f>
        <v>58481090</v>
      </c>
      <c r="E360" t="str">
        <f>IFERROR(VLOOKUP(원본데이터_SK!F360,채널매핑!$B:$D,3,0),"미매핑")</f>
        <v>미매핑</v>
      </c>
      <c r="F360">
        <f>IFERROR(VLOOKUP(원본데이터_SK!F360,채널매핑!$B:$E,4,0),1)</f>
        <v>1</v>
      </c>
      <c r="G360">
        <f>원본데이터_SK!Q360</f>
        <v>1</v>
      </c>
      <c r="H360">
        <f>원본데이터_SK!O360</f>
        <v>119000</v>
      </c>
      <c r="I360">
        <f>원본데이터_SK!AG360</f>
        <v>119000</v>
      </c>
      <c r="J360">
        <f>원본데이터_SK!AH360</f>
        <v>82110</v>
      </c>
      <c r="K360">
        <f>IFERROR(VLOOKUP(E360,제품마스터!$A:$B,2,0),0)</f>
        <v>0</v>
      </c>
      <c r="L360">
        <f>원본데이터_SK!Q360*원본데이터_SK!P360</f>
        <v>82110</v>
      </c>
    </row>
    <row r="361" spans="1:12" x14ac:dyDescent="0.3">
      <c r="A361" t="s">
        <v>11</v>
      </c>
      <c r="B361" t="str">
        <f>원본데이터_SK!D361</f>
        <v>20260205995721</v>
      </c>
      <c r="C361" t="str">
        <f>IF(원본데이터_SK!M361="","",TEXT(원본데이터_SK!M361,"YYYY-MM-DD"))</f>
        <v>2026-02-07</v>
      </c>
      <c r="D361" t="str">
        <f>원본데이터_SK!F361</f>
        <v>58481090</v>
      </c>
      <c r="E361" t="str">
        <f>IFERROR(VLOOKUP(원본데이터_SK!F361,채널매핑!$B:$D,3,0),"미매핑")</f>
        <v>미매핑</v>
      </c>
      <c r="F361">
        <f>IFERROR(VLOOKUP(원본데이터_SK!F361,채널매핑!$B:$E,4,0),1)</f>
        <v>1</v>
      </c>
      <c r="G361">
        <f>원본데이터_SK!Q361</f>
        <v>1</v>
      </c>
      <c r="H361">
        <f>원본데이터_SK!O361</f>
        <v>119000</v>
      </c>
      <c r="I361">
        <f>원본데이터_SK!AG361</f>
        <v>99960</v>
      </c>
      <c r="J361">
        <f>원본데이터_SK!AH361</f>
        <v>82110</v>
      </c>
      <c r="K361">
        <f>IFERROR(VLOOKUP(E361,제품마스터!$A:$B,2,0),0)</f>
        <v>0</v>
      </c>
      <c r="L361">
        <f>원본데이터_SK!Q361*원본데이터_SK!P361</f>
        <v>82110</v>
      </c>
    </row>
    <row r="362" spans="1:12" x14ac:dyDescent="0.3">
      <c r="A362" t="s">
        <v>11</v>
      </c>
      <c r="B362" t="str">
        <f>원본데이터_SK!D362</f>
        <v>20260205995702</v>
      </c>
      <c r="C362" t="str">
        <f>IF(원본데이터_SK!M362="","",TEXT(원본데이터_SK!M362,"YYYY-MM-DD"))</f>
        <v>2026-02-07</v>
      </c>
      <c r="D362" t="str">
        <f>원본데이터_SK!F362</f>
        <v>58481090</v>
      </c>
      <c r="E362" t="str">
        <f>IFERROR(VLOOKUP(원본데이터_SK!F362,채널매핑!$B:$D,3,0),"미매핑")</f>
        <v>미매핑</v>
      </c>
      <c r="F362">
        <f>IFERROR(VLOOKUP(원본데이터_SK!F362,채널매핑!$B:$E,4,0),1)</f>
        <v>1</v>
      </c>
      <c r="G362">
        <f>원본데이터_SK!Q362</f>
        <v>1</v>
      </c>
      <c r="H362">
        <f>원본데이터_SK!O362</f>
        <v>119000</v>
      </c>
      <c r="I362">
        <f>원본데이터_SK!AG362</f>
        <v>109000</v>
      </c>
      <c r="J362">
        <f>원본데이터_SK!AH362</f>
        <v>82110</v>
      </c>
      <c r="K362">
        <f>IFERROR(VLOOKUP(E362,제품마스터!$A:$B,2,0),0)</f>
        <v>0</v>
      </c>
      <c r="L362">
        <f>원본데이터_SK!Q362*원본데이터_SK!P362</f>
        <v>82110</v>
      </c>
    </row>
    <row r="363" spans="1:12" x14ac:dyDescent="0.3">
      <c r="A363" t="s">
        <v>11</v>
      </c>
      <c r="B363" t="str">
        <f>원본데이터_SK!D363</f>
        <v>20260205994054</v>
      </c>
      <c r="C363" t="str">
        <f>IF(원본데이터_SK!M363="","",TEXT(원본데이터_SK!M363,"YYYY-MM-DD"))</f>
        <v>2026-02-07</v>
      </c>
      <c r="D363" t="str">
        <f>원본데이터_SK!F363</f>
        <v>58481090</v>
      </c>
      <c r="E363" t="str">
        <f>IFERROR(VLOOKUP(원본데이터_SK!F363,채널매핑!$B:$D,3,0),"미매핑")</f>
        <v>미매핑</v>
      </c>
      <c r="F363">
        <f>IFERROR(VLOOKUP(원본데이터_SK!F363,채널매핑!$B:$E,4,0),1)</f>
        <v>1</v>
      </c>
      <c r="G363">
        <f>원본데이터_SK!Q363</f>
        <v>1</v>
      </c>
      <c r="H363">
        <f>원본데이터_SK!O363</f>
        <v>119000</v>
      </c>
      <c r="I363">
        <f>원본데이터_SK!AG363</f>
        <v>119000</v>
      </c>
      <c r="J363">
        <f>원본데이터_SK!AH363</f>
        <v>82110</v>
      </c>
      <c r="K363">
        <f>IFERROR(VLOOKUP(E363,제품마스터!$A:$B,2,0),0)</f>
        <v>0</v>
      </c>
      <c r="L363">
        <f>원본데이터_SK!Q363*원본데이터_SK!P363</f>
        <v>82110</v>
      </c>
    </row>
    <row r="364" spans="1:12" x14ac:dyDescent="0.3">
      <c r="A364" t="s">
        <v>11</v>
      </c>
      <c r="B364" t="str">
        <f>원본데이터_SK!D364</f>
        <v>20260205995169</v>
      </c>
      <c r="C364" t="str">
        <f>IF(원본데이터_SK!M364="","",TEXT(원본데이터_SK!M364,"YYYY-MM-DD"))</f>
        <v>2026-02-07</v>
      </c>
      <c r="D364" t="str">
        <f>원본데이터_SK!F364</f>
        <v>58481090</v>
      </c>
      <c r="E364" t="str">
        <f>IFERROR(VLOOKUP(원본데이터_SK!F364,채널매핑!$B:$D,3,0),"미매핑")</f>
        <v>미매핑</v>
      </c>
      <c r="F364">
        <f>IFERROR(VLOOKUP(원본데이터_SK!F364,채널매핑!$B:$E,4,0),1)</f>
        <v>1</v>
      </c>
      <c r="G364">
        <f>원본데이터_SK!Q364</f>
        <v>1</v>
      </c>
      <c r="H364">
        <f>원본데이터_SK!O364</f>
        <v>119000</v>
      </c>
      <c r="I364">
        <f>원본데이터_SK!AG364</f>
        <v>119000</v>
      </c>
      <c r="J364">
        <f>원본데이터_SK!AH364</f>
        <v>82110</v>
      </c>
      <c r="K364">
        <f>IFERROR(VLOOKUP(E364,제품마스터!$A:$B,2,0),0)</f>
        <v>0</v>
      </c>
      <c r="L364">
        <f>원본데이터_SK!Q364*원본데이터_SK!P364</f>
        <v>82110</v>
      </c>
    </row>
    <row r="365" spans="1:12" x14ac:dyDescent="0.3">
      <c r="A365" t="s">
        <v>11</v>
      </c>
      <c r="B365" t="str">
        <f>원본데이터_SK!D365</f>
        <v>20260205995271</v>
      </c>
      <c r="C365" t="str">
        <f>IF(원본데이터_SK!M365="","",TEXT(원본데이터_SK!M365,"YYYY-MM-DD"))</f>
        <v>2026-02-07</v>
      </c>
      <c r="D365" t="str">
        <f>원본데이터_SK!F365</f>
        <v>58481090</v>
      </c>
      <c r="E365" t="str">
        <f>IFERROR(VLOOKUP(원본데이터_SK!F365,채널매핑!$B:$D,3,0),"미매핑")</f>
        <v>미매핑</v>
      </c>
      <c r="F365">
        <f>IFERROR(VLOOKUP(원본데이터_SK!F365,채널매핑!$B:$E,4,0),1)</f>
        <v>1</v>
      </c>
      <c r="G365">
        <f>원본데이터_SK!Q365</f>
        <v>1</v>
      </c>
      <c r="H365">
        <f>원본데이터_SK!O365</f>
        <v>119000</v>
      </c>
      <c r="I365">
        <f>원본데이터_SK!AG365</f>
        <v>119000</v>
      </c>
      <c r="J365">
        <f>원본데이터_SK!AH365</f>
        <v>82110</v>
      </c>
      <c r="K365">
        <f>IFERROR(VLOOKUP(E365,제품마스터!$A:$B,2,0),0)</f>
        <v>0</v>
      </c>
      <c r="L365">
        <f>원본데이터_SK!Q365*원본데이터_SK!P365</f>
        <v>82110</v>
      </c>
    </row>
    <row r="366" spans="1:12" x14ac:dyDescent="0.3">
      <c r="A366" t="s">
        <v>11</v>
      </c>
      <c r="B366" t="str">
        <f>원본데이터_SK!D366</f>
        <v>20260205994328</v>
      </c>
      <c r="C366" t="str">
        <f>IF(원본데이터_SK!M366="","",TEXT(원본데이터_SK!M366,"YYYY-MM-DD"))</f>
        <v>2026-02-07</v>
      </c>
      <c r="D366" t="str">
        <f>원본데이터_SK!F366</f>
        <v>58481090</v>
      </c>
      <c r="E366" t="str">
        <f>IFERROR(VLOOKUP(원본데이터_SK!F366,채널매핑!$B:$D,3,0),"미매핑")</f>
        <v>미매핑</v>
      </c>
      <c r="F366">
        <f>IFERROR(VLOOKUP(원본데이터_SK!F366,채널매핑!$B:$E,4,0),1)</f>
        <v>1</v>
      </c>
      <c r="G366">
        <f>원본데이터_SK!Q366</f>
        <v>1</v>
      </c>
      <c r="H366">
        <f>원본데이터_SK!O366</f>
        <v>119000</v>
      </c>
      <c r="I366">
        <f>원본데이터_SK!AG366</f>
        <v>119000</v>
      </c>
      <c r="J366">
        <f>원본데이터_SK!AH366</f>
        <v>82110</v>
      </c>
      <c r="K366">
        <f>IFERROR(VLOOKUP(E366,제품마스터!$A:$B,2,0),0)</f>
        <v>0</v>
      </c>
      <c r="L366">
        <f>원본데이터_SK!Q366*원본데이터_SK!P366</f>
        <v>82110</v>
      </c>
    </row>
    <row r="367" spans="1:12" x14ac:dyDescent="0.3">
      <c r="A367" t="s">
        <v>11</v>
      </c>
      <c r="B367" t="str">
        <f>원본데이터_SK!D367</f>
        <v>20260205994951</v>
      </c>
      <c r="C367" t="str">
        <f>IF(원본데이터_SK!M367="","",TEXT(원본데이터_SK!M367,"YYYY-MM-DD"))</f>
        <v>2026-02-07</v>
      </c>
      <c r="D367" t="str">
        <f>원본데이터_SK!F367</f>
        <v>58481090</v>
      </c>
      <c r="E367" t="str">
        <f>IFERROR(VLOOKUP(원본데이터_SK!F367,채널매핑!$B:$D,3,0),"미매핑")</f>
        <v>미매핑</v>
      </c>
      <c r="F367">
        <f>IFERROR(VLOOKUP(원본데이터_SK!F367,채널매핑!$B:$E,4,0),1)</f>
        <v>1</v>
      </c>
      <c r="G367">
        <f>원본데이터_SK!Q367</f>
        <v>1</v>
      </c>
      <c r="H367">
        <f>원본데이터_SK!O367</f>
        <v>119000</v>
      </c>
      <c r="I367">
        <f>원본데이터_SK!AG367</f>
        <v>119000</v>
      </c>
      <c r="J367">
        <f>원본데이터_SK!AH367</f>
        <v>82110</v>
      </c>
      <c r="K367">
        <f>IFERROR(VLOOKUP(E367,제품마스터!$A:$B,2,0),0)</f>
        <v>0</v>
      </c>
      <c r="L367">
        <f>원본데이터_SK!Q367*원본데이터_SK!P367</f>
        <v>82110</v>
      </c>
    </row>
    <row r="368" spans="1:12" x14ac:dyDescent="0.3">
      <c r="A368" t="s">
        <v>11</v>
      </c>
      <c r="B368" t="str">
        <f>원본데이터_SK!D368</f>
        <v>20260205994702</v>
      </c>
      <c r="C368" t="str">
        <f>IF(원본데이터_SK!M368="","",TEXT(원본데이터_SK!M368,"YYYY-MM-DD"))</f>
        <v>2026-02-07</v>
      </c>
      <c r="D368" t="str">
        <f>원본데이터_SK!F368</f>
        <v>58481090</v>
      </c>
      <c r="E368" t="str">
        <f>IFERROR(VLOOKUP(원본데이터_SK!F368,채널매핑!$B:$D,3,0),"미매핑")</f>
        <v>미매핑</v>
      </c>
      <c r="F368">
        <f>IFERROR(VLOOKUP(원본데이터_SK!F368,채널매핑!$B:$E,4,0),1)</f>
        <v>1</v>
      </c>
      <c r="G368">
        <f>원본데이터_SK!Q368</f>
        <v>1</v>
      </c>
      <c r="H368">
        <f>원본데이터_SK!O368</f>
        <v>119000</v>
      </c>
      <c r="I368">
        <f>원본데이터_SK!AG368</f>
        <v>119000</v>
      </c>
      <c r="J368">
        <f>원본데이터_SK!AH368</f>
        <v>82110</v>
      </c>
      <c r="K368">
        <f>IFERROR(VLOOKUP(E368,제품마스터!$A:$B,2,0),0)</f>
        <v>0</v>
      </c>
      <c r="L368">
        <f>원본데이터_SK!Q368*원본데이터_SK!P368</f>
        <v>82110</v>
      </c>
    </row>
    <row r="369" spans="1:12" x14ac:dyDescent="0.3">
      <c r="A369" t="s">
        <v>11</v>
      </c>
      <c r="B369" t="str">
        <f>원본데이터_SK!D369</f>
        <v>20260205994682</v>
      </c>
      <c r="C369" t="str">
        <f>IF(원본데이터_SK!M369="","",TEXT(원본데이터_SK!M369,"YYYY-MM-DD"))</f>
        <v>2026-02-07</v>
      </c>
      <c r="D369" t="str">
        <f>원본데이터_SK!F369</f>
        <v>58481090</v>
      </c>
      <c r="E369" t="str">
        <f>IFERROR(VLOOKUP(원본데이터_SK!F369,채널매핑!$B:$D,3,0),"미매핑")</f>
        <v>미매핑</v>
      </c>
      <c r="F369">
        <f>IFERROR(VLOOKUP(원본데이터_SK!F369,채널매핑!$B:$E,4,0),1)</f>
        <v>1</v>
      </c>
      <c r="G369">
        <f>원본데이터_SK!Q369</f>
        <v>1</v>
      </c>
      <c r="H369">
        <f>원본데이터_SK!O369</f>
        <v>119000</v>
      </c>
      <c r="I369">
        <f>원본데이터_SK!AG369</f>
        <v>109000</v>
      </c>
      <c r="J369">
        <f>원본데이터_SK!AH369</f>
        <v>82110</v>
      </c>
      <c r="K369">
        <f>IFERROR(VLOOKUP(E369,제품마스터!$A:$B,2,0),0)</f>
        <v>0</v>
      </c>
      <c r="L369">
        <f>원본데이터_SK!Q369*원본데이터_SK!P369</f>
        <v>82110</v>
      </c>
    </row>
    <row r="370" spans="1:12" x14ac:dyDescent="0.3">
      <c r="A370" t="s">
        <v>11</v>
      </c>
      <c r="B370" t="str">
        <f>원본데이터_SK!D370</f>
        <v>20260205994827</v>
      </c>
      <c r="C370" t="str">
        <f>IF(원본데이터_SK!M370="","",TEXT(원본데이터_SK!M370,"YYYY-MM-DD"))</f>
        <v>2026-02-07</v>
      </c>
      <c r="D370" t="str">
        <f>원본데이터_SK!F370</f>
        <v>58481090</v>
      </c>
      <c r="E370" t="str">
        <f>IFERROR(VLOOKUP(원본데이터_SK!F370,채널매핑!$B:$D,3,0),"미매핑")</f>
        <v>미매핑</v>
      </c>
      <c r="F370">
        <f>IFERROR(VLOOKUP(원본데이터_SK!F370,채널매핑!$B:$E,4,0),1)</f>
        <v>1</v>
      </c>
      <c r="G370">
        <f>원본데이터_SK!Q370</f>
        <v>1</v>
      </c>
      <c r="H370">
        <f>원본데이터_SK!O370</f>
        <v>119000</v>
      </c>
      <c r="I370">
        <f>원본데이터_SK!AG370</f>
        <v>119000</v>
      </c>
      <c r="J370">
        <f>원본데이터_SK!AH370</f>
        <v>82110</v>
      </c>
      <c r="K370">
        <f>IFERROR(VLOOKUP(E370,제품마스터!$A:$B,2,0),0)</f>
        <v>0</v>
      </c>
      <c r="L370">
        <f>원본데이터_SK!Q370*원본데이터_SK!P370</f>
        <v>82110</v>
      </c>
    </row>
    <row r="371" spans="1:12" x14ac:dyDescent="0.3">
      <c r="A371" t="s">
        <v>11</v>
      </c>
      <c r="B371" t="str">
        <f>원본데이터_SK!D371</f>
        <v>20260205993834</v>
      </c>
      <c r="C371" t="str">
        <f>IF(원본데이터_SK!M371="","",TEXT(원본데이터_SK!M371,"YYYY-MM-DD"))</f>
        <v>2026-02-07</v>
      </c>
      <c r="D371" t="str">
        <f>원본데이터_SK!F371</f>
        <v>58481090</v>
      </c>
      <c r="E371" t="str">
        <f>IFERROR(VLOOKUP(원본데이터_SK!F371,채널매핑!$B:$D,3,0),"미매핑")</f>
        <v>미매핑</v>
      </c>
      <c r="F371">
        <f>IFERROR(VLOOKUP(원본데이터_SK!F371,채널매핑!$B:$E,4,0),1)</f>
        <v>1</v>
      </c>
      <c r="G371">
        <f>원본데이터_SK!Q371</f>
        <v>1</v>
      </c>
      <c r="H371">
        <f>원본데이터_SK!O371</f>
        <v>119000</v>
      </c>
      <c r="I371">
        <f>원본데이터_SK!AG371</f>
        <v>119000</v>
      </c>
      <c r="J371">
        <f>원본데이터_SK!AH371</f>
        <v>82110</v>
      </c>
      <c r="K371">
        <f>IFERROR(VLOOKUP(E371,제품마스터!$A:$B,2,0),0)</f>
        <v>0</v>
      </c>
      <c r="L371">
        <f>원본데이터_SK!Q371*원본데이터_SK!P371</f>
        <v>82110</v>
      </c>
    </row>
    <row r="372" spans="1:12" x14ac:dyDescent="0.3">
      <c r="A372" t="s">
        <v>11</v>
      </c>
      <c r="B372" t="str">
        <f>원본데이터_SK!D372</f>
        <v>20260205994440</v>
      </c>
      <c r="C372" t="str">
        <f>IF(원본데이터_SK!M372="","",TEXT(원본데이터_SK!M372,"YYYY-MM-DD"))</f>
        <v>2026-02-07</v>
      </c>
      <c r="D372" t="str">
        <f>원본데이터_SK!F372</f>
        <v>58481090</v>
      </c>
      <c r="E372" t="str">
        <f>IFERROR(VLOOKUP(원본데이터_SK!F372,채널매핑!$B:$D,3,0),"미매핑")</f>
        <v>미매핑</v>
      </c>
      <c r="F372">
        <f>IFERROR(VLOOKUP(원본데이터_SK!F372,채널매핑!$B:$E,4,0),1)</f>
        <v>1</v>
      </c>
      <c r="G372">
        <f>원본데이터_SK!Q372</f>
        <v>1</v>
      </c>
      <c r="H372">
        <f>원본데이터_SK!O372</f>
        <v>119000</v>
      </c>
      <c r="I372">
        <f>원본데이터_SK!AG372</f>
        <v>109000</v>
      </c>
      <c r="J372">
        <f>원본데이터_SK!AH372</f>
        <v>82110</v>
      </c>
      <c r="K372">
        <f>IFERROR(VLOOKUP(E372,제품마스터!$A:$B,2,0),0)</f>
        <v>0</v>
      </c>
      <c r="L372">
        <f>원본데이터_SK!Q372*원본데이터_SK!P372</f>
        <v>82110</v>
      </c>
    </row>
    <row r="373" spans="1:12" x14ac:dyDescent="0.3">
      <c r="A373" t="s">
        <v>11</v>
      </c>
      <c r="B373" t="str">
        <f>원본데이터_SK!D373</f>
        <v>20260205002208</v>
      </c>
      <c r="C373" t="str">
        <f>IF(원본데이터_SK!M373="","",TEXT(원본데이터_SK!M373,"YYYY-MM-DD"))</f>
        <v>2026-02-07</v>
      </c>
      <c r="D373" t="str">
        <f>원본데이터_SK!F373</f>
        <v>58481090</v>
      </c>
      <c r="E373" t="str">
        <f>IFERROR(VLOOKUP(원본데이터_SK!F373,채널매핑!$B:$D,3,0),"미매핑")</f>
        <v>미매핑</v>
      </c>
      <c r="F373">
        <f>IFERROR(VLOOKUP(원본데이터_SK!F373,채널매핑!$B:$E,4,0),1)</f>
        <v>1</v>
      </c>
      <c r="G373">
        <f>원본데이터_SK!Q373</f>
        <v>1</v>
      </c>
      <c r="H373">
        <f>원본데이터_SK!O373</f>
        <v>119000</v>
      </c>
      <c r="I373">
        <f>원본데이터_SK!AG373</f>
        <v>119000</v>
      </c>
      <c r="J373">
        <f>원본데이터_SK!AH373</f>
        <v>82110</v>
      </c>
      <c r="K373">
        <f>IFERROR(VLOOKUP(E373,제품마스터!$A:$B,2,0),0)</f>
        <v>0</v>
      </c>
      <c r="L373">
        <f>원본데이터_SK!Q373*원본데이터_SK!P373</f>
        <v>82110</v>
      </c>
    </row>
    <row r="374" spans="1:12" x14ac:dyDescent="0.3">
      <c r="A374" t="s">
        <v>11</v>
      </c>
      <c r="B374" t="str">
        <f>원본데이터_SK!D374</f>
        <v>20260205995362</v>
      </c>
      <c r="C374" t="str">
        <f>IF(원본데이터_SK!M374="","",TEXT(원본데이터_SK!M374,"YYYY-MM-DD"))</f>
        <v>2026-02-07</v>
      </c>
      <c r="D374" t="str">
        <f>원본데이터_SK!F374</f>
        <v>58481090</v>
      </c>
      <c r="E374" t="str">
        <f>IFERROR(VLOOKUP(원본데이터_SK!F374,채널매핑!$B:$D,3,0),"미매핑")</f>
        <v>미매핑</v>
      </c>
      <c r="F374">
        <f>IFERROR(VLOOKUP(원본데이터_SK!F374,채널매핑!$B:$E,4,0),1)</f>
        <v>1</v>
      </c>
      <c r="G374">
        <f>원본데이터_SK!Q374</f>
        <v>1</v>
      </c>
      <c r="H374">
        <f>원본데이터_SK!O374</f>
        <v>119000</v>
      </c>
      <c r="I374">
        <f>원본데이터_SK!AG374</f>
        <v>119000</v>
      </c>
      <c r="J374">
        <f>원본데이터_SK!AH374</f>
        <v>82110</v>
      </c>
      <c r="K374">
        <f>IFERROR(VLOOKUP(E374,제품마스터!$A:$B,2,0),0)</f>
        <v>0</v>
      </c>
      <c r="L374">
        <f>원본데이터_SK!Q374*원본데이터_SK!P374</f>
        <v>82110</v>
      </c>
    </row>
    <row r="375" spans="1:12" x14ac:dyDescent="0.3">
      <c r="A375" t="s">
        <v>11</v>
      </c>
      <c r="B375" t="str">
        <f>원본데이터_SK!D375</f>
        <v>20260205993973</v>
      </c>
      <c r="C375" t="str">
        <f>IF(원본데이터_SK!M375="","",TEXT(원본데이터_SK!M375,"YYYY-MM-DD"))</f>
        <v>2026-02-07</v>
      </c>
      <c r="D375" t="str">
        <f>원본데이터_SK!F375</f>
        <v>58481090</v>
      </c>
      <c r="E375" t="str">
        <f>IFERROR(VLOOKUP(원본데이터_SK!F375,채널매핑!$B:$D,3,0),"미매핑")</f>
        <v>미매핑</v>
      </c>
      <c r="F375">
        <f>IFERROR(VLOOKUP(원본데이터_SK!F375,채널매핑!$B:$E,4,0),1)</f>
        <v>1</v>
      </c>
      <c r="G375">
        <f>원본데이터_SK!Q375</f>
        <v>1</v>
      </c>
      <c r="H375">
        <f>원본데이터_SK!O375</f>
        <v>119000</v>
      </c>
      <c r="I375">
        <f>원본데이터_SK!AG375</f>
        <v>119000</v>
      </c>
      <c r="J375">
        <f>원본데이터_SK!AH375</f>
        <v>82110</v>
      </c>
      <c r="K375">
        <f>IFERROR(VLOOKUP(E375,제품마스터!$A:$B,2,0),0)</f>
        <v>0</v>
      </c>
      <c r="L375">
        <f>원본데이터_SK!Q375*원본데이터_SK!P375</f>
        <v>82110</v>
      </c>
    </row>
    <row r="376" spans="1:12" x14ac:dyDescent="0.3">
      <c r="A376" t="s">
        <v>11</v>
      </c>
      <c r="B376" t="str">
        <f>원본데이터_SK!D376</f>
        <v>20260205994109</v>
      </c>
      <c r="C376" t="str">
        <f>IF(원본데이터_SK!M376="","",TEXT(원본데이터_SK!M376,"YYYY-MM-DD"))</f>
        <v>2026-02-07</v>
      </c>
      <c r="D376" t="str">
        <f>원본데이터_SK!F376</f>
        <v>58481090</v>
      </c>
      <c r="E376" t="str">
        <f>IFERROR(VLOOKUP(원본데이터_SK!F376,채널매핑!$B:$D,3,0),"미매핑")</f>
        <v>미매핑</v>
      </c>
      <c r="F376">
        <f>IFERROR(VLOOKUP(원본데이터_SK!F376,채널매핑!$B:$E,4,0),1)</f>
        <v>1</v>
      </c>
      <c r="G376">
        <f>원본데이터_SK!Q376</f>
        <v>1</v>
      </c>
      <c r="H376">
        <f>원본데이터_SK!O376</f>
        <v>119000</v>
      </c>
      <c r="I376">
        <f>원본데이터_SK!AG376</f>
        <v>119000</v>
      </c>
      <c r="J376">
        <f>원본데이터_SK!AH376</f>
        <v>82110</v>
      </c>
      <c r="K376">
        <f>IFERROR(VLOOKUP(E376,제품마스터!$A:$B,2,0),0)</f>
        <v>0</v>
      </c>
      <c r="L376">
        <f>원본데이터_SK!Q376*원본데이터_SK!P376</f>
        <v>82110</v>
      </c>
    </row>
    <row r="377" spans="1:12" x14ac:dyDescent="0.3">
      <c r="A377" t="s">
        <v>11</v>
      </c>
      <c r="B377" t="str">
        <f>원본데이터_SK!D377</f>
        <v>20260205995200</v>
      </c>
      <c r="C377" t="str">
        <f>IF(원본데이터_SK!M377="","",TEXT(원본데이터_SK!M377,"YYYY-MM-DD"))</f>
        <v>2026-02-07</v>
      </c>
      <c r="D377" t="str">
        <f>원본데이터_SK!F377</f>
        <v>58481090</v>
      </c>
      <c r="E377" t="str">
        <f>IFERROR(VLOOKUP(원본데이터_SK!F377,채널매핑!$B:$D,3,0),"미매핑")</f>
        <v>미매핑</v>
      </c>
      <c r="F377">
        <f>IFERROR(VLOOKUP(원본데이터_SK!F377,채널매핑!$B:$E,4,0),1)</f>
        <v>1</v>
      </c>
      <c r="G377">
        <f>원본데이터_SK!Q377</f>
        <v>1</v>
      </c>
      <c r="H377">
        <f>원본데이터_SK!O377</f>
        <v>119000</v>
      </c>
      <c r="I377">
        <f>원본데이터_SK!AG377</f>
        <v>119000</v>
      </c>
      <c r="J377">
        <f>원본데이터_SK!AH377</f>
        <v>82110</v>
      </c>
      <c r="K377">
        <f>IFERROR(VLOOKUP(E377,제품마스터!$A:$B,2,0),0)</f>
        <v>0</v>
      </c>
      <c r="L377">
        <f>원본데이터_SK!Q377*원본데이터_SK!P377</f>
        <v>82110</v>
      </c>
    </row>
    <row r="378" spans="1:12" x14ac:dyDescent="0.3">
      <c r="A378" t="s">
        <v>11</v>
      </c>
      <c r="B378" t="str">
        <f>원본데이터_SK!D378</f>
        <v>20260205994357</v>
      </c>
      <c r="C378" t="str">
        <f>IF(원본데이터_SK!M378="","",TEXT(원본데이터_SK!M378,"YYYY-MM-DD"))</f>
        <v>2026-02-07</v>
      </c>
      <c r="D378" t="str">
        <f>원본데이터_SK!F378</f>
        <v>58481090</v>
      </c>
      <c r="E378" t="str">
        <f>IFERROR(VLOOKUP(원본데이터_SK!F378,채널매핑!$B:$D,3,0),"미매핑")</f>
        <v>미매핑</v>
      </c>
      <c r="F378">
        <f>IFERROR(VLOOKUP(원본데이터_SK!F378,채널매핑!$B:$E,4,0),1)</f>
        <v>1</v>
      </c>
      <c r="G378">
        <f>원본데이터_SK!Q378</f>
        <v>1</v>
      </c>
      <c r="H378">
        <f>원본데이터_SK!O378</f>
        <v>119000</v>
      </c>
      <c r="I378">
        <f>원본데이터_SK!AG378</f>
        <v>119000</v>
      </c>
      <c r="J378">
        <f>원본데이터_SK!AH378</f>
        <v>82110</v>
      </c>
      <c r="K378">
        <f>IFERROR(VLOOKUP(E378,제품마스터!$A:$B,2,0),0)</f>
        <v>0</v>
      </c>
      <c r="L378">
        <f>원본데이터_SK!Q378*원본데이터_SK!P378</f>
        <v>82110</v>
      </c>
    </row>
    <row r="379" spans="1:12" x14ac:dyDescent="0.3">
      <c r="A379" t="s">
        <v>11</v>
      </c>
      <c r="B379" t="str">
        <f>원본데이터_SK!D379</f>
        <v>20260205994598</v>
      </c>
      <c r="C379" t="str">
        <f>IF(원본데이터_SK!M379="","",TEXT(원본데이터_SK!M379,"YYYY-MM-DD"))</f>
        <v>2026-02-07</v>
      </c>
      <c r="D379" t="str">
        <f>원본데이터_SK!F379</f>
        <v>58481090</v>
      </c>
      <c r="E379" t="str">
        <f>IFERROR(VLOOKUP(원본데이터_SK!F379,채널매핑!$B:$D,3,0),"미매핑")</f>
        <v>미매핑</v>
      </c>
      <c r="F379">
        <f>IFERROR(VLOOKUP(원본데이터_SK!F379,채널매핑!$B:$E,4,0),1)</f>
        <v>1</v>
      </c>
      <c r="G379">
        <f>원본데이터_SK!Q379</f>
        <v>1</v>
      </c>
      <c r="H379">
        <f>원본데이터_SK!O379</f>
        <v>119000</v>
      </c>
      <c r="I379">
        <f>원본데이터_SK!AG379</f>
        <v>119000</v>
      </c>
      <c r="J379">
        <f>원본데이터_SK!AH379</f>
        <v>82110</v>
      </c>
      <c r="K379">
        <f>IFERROR(VLOOKUP(E379,제품마스터!$A:$B,2,0),0)</f>
        <v>0</v>
      </c>
      <c r="L379">
        <f>원본데이터_SK!Q379*원본데이터_SK!P379</f>
        <v>82110</v>
      </c>
    </row>
    <row r="380" spans="1:12" x14ac:dyDescent="0.3">
      <c r="A380" t="s">
        <v>11</v>
      </c>
      <c r="B380" t="str">
        <f>원본데이터_SK!D380</f>
        <v>20260205993542</v>
      </c>
      <c r="C380" t="str">
        <f>IF(원본데이터_SK!M380="","",TEXT(원본데이터_SK!M380,"YYYY-MM-DD"))</f>
        <v>2026-02-07</v>
      </c>
      <c r="D380" t="str">
        <f>원본데이터_SK!F380</f>
        <v>58481090</v>
      </c>
      <c r="E380" t="str">
        <f>IFERROR(VLOOKUP(원본데이터_SK!F380,채널매핑!$B:$D,3,0),"미매핑")</f>
        <v>미매핑</v>
      </c>
      <c r="F380">
        <f>IFERROR(VLOOKUP(원본데이터_SK!F380,채널매핑!$B:$E,4,0),1)</f>
        <v>1</v>
      </c>
      <c r="G380">
        <f>원본데이터_SK!Q380</f>
        <v>1</v>
      </c>
      <c r="H380">
        <f>원본데이터_SK!O380</f>
        <v>119000</v>
      </c>
      <c r="I380">
        <f>원본데이터_SK!AG380</f>
        <v>119000</v>
      </c>
      <c r="J380">
        <f>원본데이터_SK!AH380</f>
        <v>82110</v>
      </c>
      <c r="K380">
        <f>IFERROR(VLOOKUP(E380,제품마스터!$A:$B,2,0),0)</f>
        <v>0</v>
      </c>
      <c r="L380">
        <f>원본데이터_SK!Q380*원본데이터_SK!P380</f>
        <v>82110</v>
      </c>
    </row>
    <row r="381" spans="1:12" x14ac:dyDescent="0.3">
      <c r="A381" t="s">
        <v>11</v>
      </c>
      <c r="B381" t="str">
        <f>원본데이터_SK!D381</f>
        <v>20260205994528</v>
      </c>
      <c r="C381" t="str">
        <f>IF(원본데이터_SK!M381="","",TEXT(원본데이터_SK!M381,"YYYY-MM-DD"))</f>
        <v>2026-02-07</v>
      </c>
      <c r="D381" t="str">
        <f>원본데이터_SK!F381</f>
        <v>58481090</v>
      </c>
      <c r="E381" t="str">
        <f>IFERROR(VLOOKUP(원본데이터_SK!F381,채널매핑!$B:$D,3,0),"미매핑")</f>
        <v>미매핑</v>
      </c>
      <c r="F381">
        <f>IFERROR(VLOOKUP(원본데이터_SK!F381,채널매핑!$B:$E,4,0),1)</f>
        <v>1</v>
      </c>
      <c r="G381">
        <f>원본데이터_SK!Q381</f>
        <v>1</v>
      </c>
      <c r="H381">
        <f>원본데이터_SK!O381</f>
        <v>119000</v>
      </c>
      <c r="I381">
        <f>원본데이터_SK!AG381</f>
        <v>119000</v>
      </c>
      <c r="J381">
        <f>원본데이터_SK!AH381</f>
        <v>82110</v>
      </c>
      <c r="K381">
        <f>IFERROR(VLOOKUP(E381,제품마스터!$A:$B,2,0),0)</f>
        <v>0</v>
      </c>
      <c r="L381">
        <f>원본데이터_SK!Q381*원본데이터_SK!P381</f>
        <v>82110</v>
      </c>
    </row>
    <row r="382" spans="1:12" x14ac:dyDescent="0.3">
      <c r="A382" t="s">
        <v>11</v>
      </c>
      <c r="B382" t="str">
        <f>원본데이터_SK!D382</f>
        <v>20260205994528</v>
      </c>
      <c r="C382" t="str">
        <f>IF(원본데이터_SK!M382="","",TEXT(원본데이터_SK!M382,"YYYY-MM-DD"))</f>
        <v>2026-02-07</v>
      </c>
      <c r="D382" t="str">
        <f>원본데이터_SK!F382</f>
        <v>58481090</v>
      </c>
      <c r="E382" t="str">
        <f>IFERROR(VLOOKUP(원본데이터_SK!F382,채널매핑!$B:$D,3,0),"미매핑")</f>
        <v>미매핑</v>
      </c>
      <c r="F382">
        <f>IFERROR(VLOOKUP(원본데이터_SK!F382,채널매핑!$B:$E,4,0),1)</f>
        <v>1</v>
      </c>
      <c r="G382">
        <f>원본데이터_SK!Q382</f>
        <v>1</v>
      </c>
      <c r="H382">
        <f>원본데이터_SK!O382</f>
        <v>119000</v>
      </c>
      <c r="I382">
        <f>원본데이터_SK!AG382</f>
        <v>119000</v>
      </c>
      <c r="J382">
        <f>원본데이터_SK!AH382</f>
        <v>82110</v>
      </c>
      <c r="K382">
        <f>IFERROR(VLOOKUP(E382,제품마스터!$A:$B,2,0),0)</f>
        <v>0</v>
      </c>
      <c r="L382">
        <f>원본데이터_SK!Q382*원본데이터_SK!P382</f>
        <v>82110</v>
      </c>
    </row>
    <row r="383" spans="1:12" x14ac:dyDescent="0.3">
      <c r="A383" t="s">
        <v>11</v>
      </c>
      <c r="B383" t="str">
        <f>원본데이터_SK!D383</f>
        <v>20260205994942</v>
      </c>
      <c r="C383" t="str">
        <f>IF(원본데이터_SK!M383="","",TEXT(원본데이터_SK!M383,"YYYY-MM-DD"))</f>
        <v>2026-02-07</v>
      </c>
      <c r="D383" t="str">
        <f>원본데이터_SK!F383</f>
        <v>58481090</v>
      </c>
      <c r="E383" t="str">
        <f>IFERROR(VLOOKUP(원본데이터_SK!F383,채널매핑!$B:$D,3,0),"미매핑")</f>
        <v>미매핑</v>
      </c>
      <c r="F383">
        <f>IFERROR(VLOOKUP(원본데이터_SK!F383,채널매핑!$B:$E,4,0),1)</f>
        <v>1</v>
      </c>
      <c r="G383">
        <f>원본데이터_SK!Q383</f>
        <v>1</v>
      </c>
      <c r="H383">
        <f>원본데이터_SK!O383</f>
        <v>119000</v>
      </c>
      <c r="I383">
        <f>원본데이터_SK!AG383</f>
        <v>99960</v>
      </c>
      <c r="J383">
        <f>원본데이터_SK!AH383</f>
        <v>82110</v>
      </c>
      <c r="K383">
        <f>IFERROR(VLOOKUP(E383,제품마스터!$A:$B,2,0),0)</f>
        <v>0</v>
      </c>
      <c r="L383">
        <f>원본데이터_SK!Q383*원본데이터_SK!P383</f>
        <v>82110</v>
      </c>
    </row>
    <row r="384" spans="1:12" x14ac:dyDescent="0.3">
      <c r="A384" t="s">
        <v>11</v>
      </c>
      <c r="B384" t="str">
        <f>원본데이터_SK!D384</f>
        <v>20260205994610</v>
      </c>
      <c r="C384" t="str">
        <f>IF(원본데이터_SK!M384="","",TEXT(원본데이터_SK!M384,"YYYY-MM-DD"))</f>
        <v>2026-02-07</v>
      </c>
      <c r="D384" t="str">
        <f>원본데이터_SK!F384</f>
        <v>58481090</v>
      </c>
      <c r="E384" t="str">
        <f>IFERROR(VLOOKUP(원본데이터_SK!F384,채널매핑!$B:$D,3,0),"미매핑")</f>
        <v>미매핑</v>
      </c>
      <c r="F384">
        <f>IFERROR(VLOOKUP(원본데이터_SK!F384,채널매핑!$B:$E,4,0),1)</f>
        <v>1</v>
      </c>
      <c r="G384">
        <f>원본데이터_SK!Q384</f>
        <v>1</v>
      </c>
      <c r="H384">
        <f>원본데이터_SK!O384</f>
        <v>119000</v>
      </c>
      <c r="I384">
        <f>원본데이터_SK!AG384</f>
        <v>109000</v>
      </c>
      <c r="J384">
        <f>원본데이터_SK!AH384</f>
        <v>82110</v>
      </c>
      <c r="K384">
        <f>IFERROR(VLOOKUP(E384,제품마스터!$A:$B,2,0),0)</f>
        <v>0</v>
      </c>
      <c r="L384">
        <f>원본데이터_SK!Q384*원본데이터_SK!P384</f>
        <v>82110</v>
      </c>
    </row>
    <row r="385" spans="1:12" x14ac:dyDescent="0.3">
      <c r="A385" t="s">
        <v>11</v>
      </c>
      <c r="B385" t="str">
        <f>원본데이터_SK!D385</f>
        <v>20260205992392</v>
      </c>
      <c r="C385" t="str">
        <f>IF(원본데이터_SK!M385="","",TEXT(원본데이터_SK!M385,"YYYY-MM-DD"))</f>
        <v>2026-02-07</v>
      </c>
      <c r="D385" t="str">
        <f>원본데이터_SK!F385</f>
        <v>58481090</v>
      </c>
      <c r="E385" t="str">
        <f>IFERROR(VLOOKUP(원본데이터_SK!F385,채널매핑!$B:$D,3,0),"미매핑")</f>
        <v>미매핑</v>
      </c>
      <c r="F385">
        <f>IFERROR(VLOOKUP(원본데이터_SK!F385,채널매핑!$B:$E,4,0),1)</f>
        <v>1</v>
      </c>
      <c r="G385">
        <f>원본데이터_SK!Q385</f>
        <v>1</v>
      </c>
      <c r="H385">
        <f>원본데이터_SK!O385</f>
        <v>119000</v>
      </c>
      <c r="I385">
        <f>원본데이터_SK!AG385</f>
        <v>119000</v>
      </c>
      <c r="J385">
        <f>원본데이터_SK!AH385</f>
        <v>82110</v>
      </c>
      <c r="K385">
        <f>IFERROR(VLOOKUP(E385,제품마스터!$A:$B,2,0),0)</f>
        <v>0</v>
      </c>
      <c r="L385">
        <f>원본데이터_SK!Q385*원본데이터_SK!P385</f>
        <v>82110</v>
      </c>
    </row>
    <row r="386" spans="1:12" x14ac:dyDescent="0.3">
      <c r="A386" t="s">
        <v>11</v>
      </c>
      <c r="B386" t="str">
        <f>원본데이터_SK!D386</f>
        <v>20260205993376</v>
      </c>
      <c r="C386" t="str">
        <f>IF(원본데이터_SK!M386="","",TEXT(원본데이터_SK!M386,"YYYY-MM-DD"))</f>
        <v>2026-02-07</v>
      </c>
      <c r="D386" t="str">
        <f>원본데이터_SK!F386</f>
        <v>58481090</v>
      </c>
      <c r="E386" t="str">
        <f>IFERROR(VLOOKUP(원본데이터_SK!F386,채널매핑!$B:$D,3,0),"미매핑")</f>
        <v>미매핑</v>
      </c>
      <c r="F386">
        <f>IFERROR(VLOOKUP(원본데이터_SK!F386,채널매핑!$B:$E,4,0),1)</f>
        <v>1</v>
      </c>
      <c r="G386">
        <f>원본데이터_SK!Q386</f>
        <v>1</v>
      </c>
      <c r="H386">
        <f>원본데이터_SK!O386</f>
        <v>119000</v>
      </c>
      <c r="I386">
        <f>원본데이터_SK!AG386</f>
        <v>113050</v>
      </c>
      <c r="J386">
        <f>원본데이터_SK!AH386</f>
        <v>82110</v>
      </c>
      <c r="K386">
        <f>IFERROR(VLOOKUP(E386,제품마스터!$A:$B,2,0),0)</f>
        <v>0</v>
      </c>
      <c r="L386">
        <f>원본데이터_SK!Q386*원본데이터_SK!P386</f>
        <v>82110</v>
      </c>
    </row>
    <row r="387" spans="1:12" x14ac:dyDescent="0.3">
      <c r="A387" t="s">
        <v>11</v>
      </c>
      <c r="B387" t="str">
        <f>원본데이터_SK!D387</f>
        <v>20260205995534</v>
      </c>
      <c r="C387" t="str">
        <f>IF(원본데이터_SK!M387="","",TEXT(원본데이터_SK!M387,"YYYY-MM-DD"))</f>
        <v>2026-02-07</v>
      </c>
      <c r="D387" t="str">
        <f>원본데이터_SK!F387</f>
        <v>58481090</v>
      </c>
      <c r="E387" t="str">
        <f>IFERROR(VLOOKUP(원본데이터_SK!F387,채널매핑!$B:$D,3,0),"미매핑")</f>
        <v>미매핑</v>
      </c>
      <c r="F387">
        <f>IFERROR(VLOOKUP(원본데이터_SK!F387,채널매핑!$B:$E,4,0),1)</f>
        <v>1</v>
      </c>
      <c r="G387">
        <f>원본데이터_SK!Q387</f>
        <v>1</v>
      </c>
      <c r="H387">
        <f>원본데이터_SK!O387</f>
        <v>119000</v>
      </c>
      <c r="I387">
        <f>원본데이터_SK!AG387</f>
        <v>119000</v>
      </c>
      <c r="J387">
        <f>원본데이터_SK!AH387</f>
        <v>82110</v>
      </c>
      <c r="K387">
        <f>IFERROR(VLOOKUP(E387,제품마스터!$A:$B,2,0),0)</f>
        <v>0</v>
      </c>
      <c r="L387">
        <f>원본데이터_SK!Q387*원본데이터_SK!P387</f>
        <v>82110</v>
      </c>
    </row>
    <row r="388" spans="1:12" x14ac:dyDescent="0.3">
      <c r="A388" t="s">
        <v>11</v>
      </c>
      <c r="B388" t="str">
        <f>원본데이터_SK!D388</f>
        <v>20260205992635</v>
      </c>
      <c r="C388" t="str">
        <f>IF(원본데이터_SK!M388="","",TEXT(원본데이터_SK!M388,"YYYY-MM-DD"))</f>
        <v>2026-02-07</v>
      </c>
      <c r="D388" t="str">
        <f>원본데이터_SK!F388</f>
        <v>58481090</v>
      </c>
      <c r="E388" t="str">
        <f>IFERROR(VLOOKUP(원본데이터_SK!F388,채널매핑!$B:$D,3,0),"미매핑")</f>
        <v>미매핑</v>
      </c>
      <c r="F388">
        <f>IFERROR(VLOOKUP(원본데이터_SK!F388,채널매핑!$B:$E,4,0),1)</f>
        <v>1</v>
      </c>
      <c r="G388">
        <f>원본데이터_SK!Q388</f>
        <v>1</v>
      </c>
      <c r="H388">
        <f>원본데이터_SK!O388</f>
        <v>119000</v>
      </c>
      <c r="I388">
        <f>원본데이터_SK!AG388</f>
        <v>119000</v>
      </c>
      <c r="J388">
        <f>원본데이터_SK!AH388</f>
        <v>82110</v>
      </c>
      <c r="K388">
        <f>IFERROR(VLOOKUP(E388,제품마스터!$A:$B,2,0),0)</f>
        <v>0</v>
      </c>
      <c r="L388">
        <f>원본데이터_SK!Q388*원본데이터_SK!P388</f>
        <v>82110</v>
      </c>
    </row>
    <row r="389" spans="1:12" x14ac:dyDescent="0.3">
      <c r="A389" t="s">
        <v>11</v>
      </c>
      <c r="B389" t="str">
        <f>원본데이터_SK!D389</f>
        <v>20260205993273</v>
      </c>
      <c r="C389" t="str">
        <f>IF(원본데이터_SK!M389="","",TEXT(원본데이터_SK!M389,"YYYY-MM-DD"))</f>
        <v>2026-02-07</v>
      </c>
      <c r="D389" t="str">
        <f>원본데이터_SK!F389</f>
        <v>58481090</v>
      </c>
      <c r="E389" t="str">
        <f>IFERROR(VLOOKUP(원본데이터_SK!F389,채널매핑!$B:$D,3,0),"미매핑")</f>
        <v>미매핑</v>
      </c>
      <c r="F389">
        <f>IFERROR(VLOOKUP(원본데이터_SK!F389,채널매핑!$B:$E,4,0),1)</f>
        <v>1</v>
      </c>
      <c r="G389">
        <f>원본데이터_SK!Q389</f>
        <v>1</v>
      </c>
      <c r="H389">
        <f>원본데이터_SK!O389</f>
        <v>119000</v>
      </c>
      <c r="I389">
        <f>원본데이터_SK!AG389</f>
        <v>119000</v>
      </c>
      <c r="J389">
        <f>원본데이터_SK!AH389</f>
        <v>82110</v>
      </c>
      <c r="K389">
        <f>IFERROR(VLOOKUP(E389,제품마스터!$A:$B,2,0),0)</f>
        <v>0</v>
      </c>
      <c r="L389">
        <f>원본데이터_SK!Q389*원본데이터_SK!P389</f>
        <v>82110</v>
      </c>
    </row>
    <row r="390" spans="1:12" x14ac:dyDescent="0.3">
      <c r="A390" t="s">
        <v>11</v>
      </c>
      <c r="B390" t="str">
        <f>원본데이터_SK!D390</f>
        <v>20260205993601</v>
      </c>
      <c r="C390" t="str">
        <f>IF(원본데이터_SK!M390="","",TEXT(원본데이터_SK!M390,"YYYY-MM-DD"))</f>
        <v>2026-02-07</v>
      </c>
      <c r="D390" t="str">
        <f>원본데이터_SK!F390</f>
        <v>58481090</v>
      </c>
      <c r="E390" t="str">
        <f>IFERROR(VLOOKUP(원본데이터_SK!F390,채널매핑!$B:$D,3,0),"미매핑")</f>
        <v>미매핑</v>
      </c>
      <c r="F390">
        <f>IFERROR(VLOOKUP(원본데이터_SK!F390,채널매핑!$B:$E,4,0),1)</f>
        <v>1</v>
      </c>
      <c r="G390">
        <f>원본데이터_SK!Q390</f>
        <v>1</v>
      </c>
      <c r="H390">
        <f>원본데이터_SK!O390</f>
        <v>119000</v>
      </c>
      <c r="I390">
        <f>원본데이터_SK!AG390</f>
        <v>119000</v>
      </c>
      <c r="J390">
        <f>원본데이터_SK!AH390</f>
        <v>82110</v>
      </c>
      <c r="K390">
        <f>IFERROR(VLOOKUP(E390,제품마스터!$A:$B,2,0),0)</f>
        <v>0</v>
      </c>
      <c r="L390">
        <f>원본데이터_SK!Q390*원본데이터_SK!P390</f>
        <v>82110</v>
      </c>
    </row>
    <row r="391" spans="1:12" x14ac:dyDescent="0.3">
      <c r="A391" t="s">
        <v>11</v>
      </c>
      <c r="B391" t="str">
        <f>원본데이터_SK!D391</f>
        <v>20260205995425</v>
      </c>
      <c r="C391" t="str">
        <f>IF(원본데이터_SK!M391="","",TEXT(원본데이터_SK!M391,"YYYY-MM-DD"))</f>
        <v>2026-02-07</v>
      </c>
      <c r="D391" t="str">
        <f>원본데이터_SK!F391</f>
        <v>58481090</v>
      </c>
      <c r="E391" t="str">
        <f>IFERROR(VLOOKUP(원본데이터_SK!F391,채널매핑!$B:$D,3,0),"미매핑")</f>
        <v>미매핑</v>
      </c>
      <c r="F391">
        <f>IFERROR(VLOOKUP(원본데이터_SK!F391,채널매핑!$B:$E,4,0),1)</f>
        <v>1</v>
      </c>
      <c r="G391">
        <f>원본데이터_SK!Q391</f>
        <v>1</v>
      </c>
      <c r="H391">
        <f>원본데이터_SK!O391</f>
        <v>119000</v>
      </c>
      <c r="I391">
        <f>원본데이터_SK!AG391</f>
        <v>119000</v>
      </c>
      <c r="J391">
        <f>원본데이터_SK!AH391</f>
        <v>82110</v>
      </c>
      <c r="K391">
        <f>IFERROR(VLOOKUP(E391,제품마스터!$A:$B,2,0),0)</f>
        <v>0</v>
      </c>
      <c r="L391">
        <f>원본데이터_SK!Q391*원본데이터_SK!P391</f>
        <v>82110</v>
      </c>
    </row>
    <row r="392" spans="1:12" x14ac:dyDescent="0.3">
      <c r="A392" t="s">
        <v>11</v>
      </c>
      <c r="B392" t="str">
        <f>원본데이터_SK!D392</f>
        <v>20260205995563</v>
      </c>
      <c r="C392" t="str">
        <f>IF(원본데이터_SK!M392="","",TEXT(원본데이터_SK!M392,"YYYY-MM-DD"))</f>
        <v>2026-02-07</v>
      </c>
      <c r="D392" t="str">
        <f>원본데이터_SK!F392</f>
        <v>58481090</v>
      </c>
      <c r="E392" t="str">
        <f>IFERROR(VLOOKUP(원본데이터_SK!F392,채널매핑!$B:$D,3,0),"미매핑")</f>
        <v>미매핑</v>
      </c>
      <c r="F392">
        <f>IFERROR(VLOOKUP(원본데이터_SK!F392,채널매핑!$B:$E,4,0),1)</f>
        <v>1</v>
      </c>
      <c r="G392">
        <f>원본데이터_SK!Q392</f>
        <v>1</v>
      </c>
      <c r="H392">
        <f>원본데이터_SK!O392</f>
        <v>119000</v>
      </c>
      <c r="I392">
        <f>원본데이터_SK!AG392</f>
        <v>119000</v>
      </c>
      <c r="J392">
        <f>원본데이터_SK!AH392</f>
        <v>82110</v>
      </c>
      <c r="K392">
        <f>IFERROR(VLOOKUP(E392,제품마스터!$A:$B,2,0),0)</f>
        <v>0</v>
      </c>
      <c r="L392">
        <f>원본데이터_SK!Q392*원본데이터_SK!P392</f>
        <v>82110</v>
      </c>
    </row>
    <row r="393" spans="1:12" x14ac:dyDescent="0.3">
      <c r="A393" t="s">
        <v>11</v>
      </c>
      <c r="B393" t="str">
        <f>원본데이터_SK!D393</f>
        <v>20260205994033</v>
      </c>
      <c r="C393" t="str">
        <f>IF(원본데이터_SK!M393="","",TEXT(원본데이터_SK!M393,"YYYY-MM-DD"))</f>
        <v>2026-02-07</v>
      </c>
      <c r="D393" t="str">
        <f>원본데이터_SK!F393</f>
        <v>58481090</v>
      </c>
      <c r="E393" t="str">
        <f>IFERROR(VLOOKUP(원본데이터_SK!F393,채널매핑!$B:$D,3,0),"미매핑")</f>
        <v>미매핑</v>
      </c>
      <c r="F393">
        <f>IFERROR(VLOOKUP(원본데이터_SK!F393,채널매핑!$B:$E,4,0),1)</f>
        <v>1</v>
      </c>
      <c r="G393">
        <f>원본데이터_SK!Q393</f>
        <v>1</v>
      </c>
      <c r="H393">
        <f>원본데이터_SK!O393</f>
        <v>119000</v>
      </c>
      <c r="I393">
        <f>원본데이터_SK!AG393</f>
        <v>119000</v>
      </c>
      <c r="J393">
        <f>원본데이터_SK!AH393</f>
        <v>82110</v>
      </c>
      <c r="K393">
        <f>IFERROR(VLOOKUP(E393,제품마스터!$A:$B,2,0),0)</f>
        <v>0</v>
      </c>
      <c r="L393">
        <f>원본데이터_SK!Q393*원본데이터_SK!P393</f>
        <v>82110</v>
      </c>
    </row>
    <row r="394" spans="1:12" x14ac:dyDescent="0.3">
      <c r="A394" t="s">
        <v>11</v>
      </c>
      <c r="B394" t="str">
        <f>원본데이터_SK!D394</f>
        <v>20260205994274</v>
      </c>
      <c r="C394" t="str">
        <f>IF(원본데이터_SK!M394="","",TEXT(원본데이터_SK!M394,"YYYY-MM-DD"))</f>
        <v>2026-02-07</v>
      </c>
      <c r="D394" t="str">
        <f>원본데이터_SK!F394</f>
        <v>58481090</v>
      </c>
      <c r="E394" t="str">
        <f>IFERROR(VLOOKUP(원본데이터_SK!F394,채널매핑!$B:$D,3,0),"미매핑")</f>
        <v>미매핑</v>
      </c>
      <c r="F394">
        <f>IFERROR(VLOOKUP(원본데이터_SK!F394,채널매핑!$B:$E,4,0),1)</f>
        <v>1</v>
      </c>
      <c r="G394">
        <f>원본데이터_SK!Q394</f>
        <v>1</v>
      </c>
      <c r="H394">
        <f>원본데이터_SK!O394</f>
        <v>119000</v>
      </c>
      <c r="I394">
        <f>원본데이터_SK!AG394</f>
        <v>109000</v>
      </c>
      <c r="J394">
        <f>원본데이터_SK!AH394</f>
        <v>82110</v>
      </c>
      <c r="K394">
        <f>IFERROR(VLOOKUP(E394,제품마스터!$A:$B,2,0),0)</f>
        <v>0</v>
      </c>
      <c r="L394">
        <f>원본데이터_SK!Q394*원본데이터_SK!P394</f>
        <v>82110</v>
      </c>
    </row>
    <row r="395" spans="1:12" x14ac:dyDescent="0.3">
      <c r="A395" t="s">
        <v>11</v>
      </c>
      <c r="B395" t="str">
        <f>원본데이터_SK!D395</f>
        <v>20260205993726</v>
      </c>
      <c r="C395" t="str">
        <f>IF(원본데이터_SK!M395="","",TEXT(원본데이터_SK!M395,"YYYY-MM-DD"))</f>
        <v>2026-02-07</v>
      </c>
      <c r="D395" t="str">
        <f>원본데이터_SK!F395</f>
        <v>58481090</v>
      </c>
      <c r="E395" t="str">
        <f>IFERROR(VLOOKUP(원본데이터_SK!F395,채널매핑!$B:$D,3,0),"미매핑")</f>
        <v>미매핑</v>
      </c>
      <c r="F395">
        <f>IFERROR(VLOOKUP(원본데이터_SK!F395,채널매핑!$B:$E,4,0),1)</f>
        <v>1</v>
      </c>
      <c r="G395">
        <f>원본데이터_SK!Q395</f>
        <v>1</v>
      </c>
      <c r="H395">
        <f>원본데이터_SK!O395</f>
        <v>119000</v>
      </c>
      <c r="I395">
        <f>원본데이터_SK!AG395</f>
        <v>113050</v>
      </c>
      <c r="J395">
        <f>원본데이터_SK!AH395</f>
        <v>82110</v>
      </c>
      <c r="K395">
        <f>IFERROR(VLOOKUP(E395,제품마스터!$A:$B,2,0),0)</f>
        <v>0</v>
      </c>
      <c r="L395">
        <f>원본데이터_SK!Q395*원본데이터_SK!P395</f>
        <v>82110</v>
      </c>
    </row>
    <row r="396" spans="1:12" x14ac:dyDescent="0.3">
      <c r="A396" t="s">
        <v>11</v>
      </c>
      <c r="B396" t="str">
        <f>원본데이터_SK!D396</f>
        <v>20260205993741</v>
      </c>
      <c r="C396" t="str">
        <f>IF(원본데이터_SK!M396="","",TEXT(원본데이터_SK!M396,"YYYY-MM-DD"))</f>
        <v>2026-02-07</v>
      </c>
      <c r="D396" t="str">
        <f>원본데이터_SK!F396</f>
        <v>58481090</v>
      </c>
      <c r="E396" t="str">
        <f>IFERROR(VLOOKUP(원본데이터_SK!F396,채널매핑!$B:$D,3,0),"미매핑")</f>
        <v>미매핑</v>
      </c>
      <c r="F396">
        <f>IFERROR(VLOOKUP(원본데이터_SK!F396,채널매핑!$B:$E,4,0),1)</f>
        <v>1</v>
      </c>
      <c r="G396">
        <f>원본데이터_SK!Q396</f>
        <v>1</v>
      </c>
      <c r="H396">
        <f>원본데이터_SK!O396</f>
        <v>119000</v>
      </c>
      <c r="I396">
        <f>원본데이터_SK!AG396</f>
        <v>119000</v>
      </c>
      <c r="J396">
        <f>원본데이터_SK!AH396</f>
        <v>82110</v>
      </c>
      <c r="K396">
        <f>IFERROR(VLOOKUP(E396,제품마스터!$A:$B,2,0),0)</f>
        <v>0</v>
      </c>
      <c r="L396">
        <f>원본데이터_SK!Q396*원본데이터_SK!P396</f>
        <v>82110</v>
      </c>
    </row>
    <row r="397" spans="1:12" x14ac:dyDescent="0.3">
      <c r="A397" t="s">
        <v>11</v>
      </c>
      <c r="B397" t="str">
        <f>원본데이터_SK!D397</f>
        <v>20260205992788</v>
      </c>
      <c r="C397" t="str">
        <f>IF(원본데이터_SK!M397="","",TEXT(원본데이터_SK!M397,"YYYY-MM-DD"))</f>
        <v>2026-02-07</v>
      </c>
      <c r="D397" t="str">
        <f>원본데이터_SK!F397</f>
        <v>58481090</v>
      </c>
      <c r="E397" t="str">
        <f>IFERROR(VLOOKUP(원본데이터_SK!F397,채널매핑!$B:$D,3,0),"미매핑")</f>
        <v>미매핑</v>
      </c>
      <c r="F397">
        <f>IFERROR(VLOOKUP(원본데이터_SK!F397,채널매핑!$B:$E,4,0),1)</f>
        <v>1</v>
      </c>
      <c r="G397">
        <f>원본데이터_SK!Q397</f>
        <v>1</v>
      </c>
      <c r="H397">
        <f>원본데이터_SK!O397</f>
        <v>119000</v>
      </c>
      <c r="I397">
        <f>원본데이터_SK!AG397</f>
        <v>119000</v>
      </c>
      <c r="J397">
        <f>원본데이터_SK!AH397</f>
        <v>82110</v>
      </c>
      <c r="K397">
        <f>IFERROR(VLOOKUP(E397,제품마스터!$A:$B,2,0),0)</f>
        <v>0</v>
      </c>
      <c r="L397">
        <f>원본데이터_SK!Q397*원본데이터_SK!P397</f>
        <v>82110</v>
      </c>
    </row>
    <row r="398" spans="1:12" x14ac:dyDescent="0.3">
      <c r="A398" t="s">
        <v>11</v>
      </c>
      <c r="B398" t="str">
        <f>원본데이터_SK!D398</f>
        <v>20260205993377</v>
      </c>
      <c r="C398" t="str">
        <f>IF(원본데이터_SK!M398="","",TEXT(원본데이터_SK!M398,"YYYY-MM-DD"))</f>
        <v>2026-02-07</v>
      </c>
      <c r="D398" t="str">
        <f>원본데이터_SK!F398</f>
        <v>58481090</v>
      </c>
      <c r="E398" t="str">
        <f>IFERROR(VLOOKUP(원본데이터_SK!F398,채널매핑!$B:$D,3,0),"미매핑")</f>
        <v>미매핑</v>
      </c>
      <c r="F398">
        <f>IFERROR(VLOOKUP(원본데이터_SK!F398,채널매핑!$B:$E,4,0),1)</f>
        <v>1</v>
      </c>
      <c r="G398">
        <f>원본데이터_SK!Q398</f>
        <v>1</v>
      </c>
      <c r="H398">
        <f>원본데이터_SK!O398</f>
        <v>119000</v>
      </c>
      <c r="I398">
        <f>원본데이터_SK!AG398</f>
        <v>113050</v>
      </c>
      <c r="J398">
        <f>원본데이터_SK!AH398</f>
        <v>82110</v>
      </c>
      <c r="K398">
        <f>IFERROR(VLOOKUP(E398,제품마스터!$A:$B,2,0),0)</f>
        <v>0</v>
      </c>
      <c r="L398">
        <f>원본데이터_SK!Q398*원본데이터_SK!P398</f>
        <v>82110</v>
      </c>
    </row>
    <row r="399" spans="1:12" x14ac:dyDescent="0.3">
      <c r="A399" t="s">
        <v>11</v>
      </c>
      <c r="B399" t="str">
        <f>원본데이터_SK!D399</f>
        <v>20260205002373</v>
      </c>
      <c r="C399" t="str">
        <f>IF(원본데이터_SK!M399="","",TEXT(원본데이터_SK!M399,"YYYY-MM-DD"))</f>
        <v>2026-02-07</v>
      </c>
      <c r="D399" t="str">
        <f>원본데이터_SK!F399</f>
        <v>58481090</v>
      </c>
      <c r="E399" t="str">
        <f>IFERROR(VLOOKUP(원본데이터_SK!F399,채널매핑!$B:$D,3,0),"미매핑")</f>
        <v>미매핑</v>
      </c>
      <c r="F399">
        <f>IFERROR(VLOOKUP(원본데이터_SK!F399,채널매핑!$B:$E,4,0),1)</f>
        <v>1</v>
      </c>
      <c r="G399">
        <f>원본데이터_SK!Q399</f>
        <v>1</v>
      </c>
      <c r="H399">
        <f>원본데이터_SK!O399</f>
        <v>119000</v>
      </c>
      <c r="I399">
        <f>원본데이터_SK!AG399</f>
        <v>119000</v>
      </c>
      <c r="J399">
        <f>원본데이터_SK!AH399</f>
        <v>82110</v>
      </c>
      <c r="K399">
        <f>IFERROR(VLOOKUP(E399,제품마스터!$A:$B,2,0),0)</f>
        <v>0</v>
      </c>
      <c r="L399">
        <f>원본데이터_SK!Q399*원본데이터_SK!P399</f>
        <v>82110</v>
      </c>
    </row>
    <row r="400" spans="1:12" x14ac:dyDescent="0.3">
      <c r="A400" t="s">
        <v>11</v>
      </c>
      <c r="B400" t="str">
        <f>원본데이터_SK!D400</f>
        <v>20260205993491</v>
      </c>
      <c r="C400" t="str">
        <f>IF(원본데이터_SK!M400="","",TEXT(원본데이터_SK!M400,"YYYY-MM-DD"))</f>
        <v>2026-02-07</v>
      </c>
      <c r="D400" t="str">
        <f>원본데이터_SK!F400</f>
        <v>58481090</v>
      </c>
      <c r="E400" t="str">
        <f>IFERROR(VLOOKUP(원본데이터_SK!F400,채널매핑!$B:$D,3,0),"미매핑")</f>
        <v>미매핑</v>
      </c>
      <c r="F400">
        <f>IFERROR(VLOOKUP(원본데이터_SK!F400,채널매핑!$B:$E,4,0),1)</f>
        <v>1</v>
      </c>
      <c r="G400">
        <f>원본데이터_SK!Q400</f>
        <v>1</v>
      </c>
      <c r="H400">
        <f>원본데이터_SK!O400</f>
        <v>119000</v>
      </c>
      <c r="I400">
        <f>원본데이터_SK!AG400</f>
        <v>119000</v>
      </c>
      <c r="J400">
        <f>원본데이터_SK!AH400</f>
        <v>82110</v>
      </c>
      <c r="K400">
        <f>IFERROR(VLOOKUP(E400,제품마스터!$A:$B,2,0),0)</f>
        <v>0</v>
      </c>
      <c r="L400">
        <f>원본데이터_SK!Q400*원본데이터_SK!P400</f>
        <v>82110</v>
      </c>
    </row>
    <row r="401" spans="1:12" x14ac:dyDescent="0.3">
      <c r="A401" t="s">
        <v>11</v>
      </c>
      <c r="B401" t="str">
        <f>원본데이터_SK!D401</f>
        <v>20260205993677</v>
      </c>
      <c r="C401" t="str">
        <f>IF(원본데이터_SK!M401="","",TEXT(원본데이터_SK!M401,"YYYY-MM-DD"))</f>
        <v>2026-02-07</v>
      </c>
      <c r="D401" t="str">
        <f>원본데이터_SK!F401</f>
        <v>58481090</v>
      </c>
      <c r="E401" t="str">
        <f>IFERROR(VLOOKUP(원본데이터_SK!F401,채널매핑!$B:$D,3,0),"미매핑")</f>
        <v>미매핑</v>
      </c>
      <c r="F401">
        <f>IFERROR(VLOOKUP(원본데이터_SK!F401,채널매핑!$B:$E,4,0),1)</f>
        <v>1</v>
      </c>
      <c r="G401">
        <f>원본데이터_SK!Q401</f>
        <v>1</v>
      </c>
      <c r="H401">
        <f>원본데이터_SK!O401</f>
        <v>119000</v>
      </c>
      <c r="I401">
        <f>원본데이터_SK!AG401</f>
        <v>119000</v>
      </c>
      <c r="J401">
        <f>원본데이터_SK!AH401</f>
        <v>82110</v>
      </c>
      <c r="K401">
        <f>IFERROR(VLOOKUP(E401,제품마스터!$A:$B,2,0),0)</f>
        <v>0</v>
      </c>
      <c r="L401">
        <f>원본데이터_SK!Q401*원본데이터_SK!P401</f>
        <v>82110</v>
      </c>
    </row>
    <row r="402" spans="1:12" x14ac:dyDescent="0.3">
      <c r="A402" t="s">
        <v>11</v>
      </c>
      <c r="B402" t="str">
        <f>원본데이터_SK!D402</f>
        <v>20260205992889</v>
      </c>
      <c r="C402" t="str">
        <f>IF(원본데이터_SK!M402="","",TEXT(원본데이터_SK!M402,"YYYY-MM-DD"))</f>
        <v>2026-02-07</v>
      </c>
      <c r="D402" t="str">
        <f>원본데이터_SK!F402</f>
        <v>58481090</v>
      </c>
      <c r="E402" t="str">
        <f>IFERROR(VLOOKUP(원본데이터_SK!F402,채널매핑!$B:$D,3,0),"미매핑")</f>
        <v>미매핑</v>
      </c>
      <c r="F402">
        <f>IFERROR(VLOOKUP(원본데이터_SK!F402,채널매핑!$B:$E,4,0),1)</f>
        <v>1</v>
      </c>
      <c r="G402">
        <f>원본데이터_SK!Q402</f>
        <v>1</v>
      </c>
      <c r="H402">
        <f>원본데이터_SK!O402</f>
        <v>119000</v>
      </c>
      <c r="I402">
        <f>원본데이터_SK!AG402</f>
        <v>99960</v>
      </c>
      <c r="J402">
        <f>원본데이터_SK!AH402</f>
        <v>82110</v>
      </c>
      <c r="K402">
        <f>IFERROR(VLOOKUP(E402,제품마스터!$A:$B,2,0),0)</f>
        <v>0</v>
      </c>
      <c r="L402">
        <f>원본데이터_SK!Q402*원본데이터_SK!P402</f>
        <v>82110</v>
      </c>
    </row>
    <row r="403" spans="1:12" x14ac:dyDescent="0.3">
      <c r="A403" t="s">
        <v>11</v>
      </c>
      <c r="B403" t="str">
        <f>원본데이터_SK!D403</f>
        <v>20260205995396</v>
      </c>
      <c r="C403" t="str">
        <f>IF(원본데이터_SK!M403="","",TEXT(원본데이터_SK!M403,"YYYY-MM-DD"))</f>
        <v>2026-02-07</v>
      </c>
      <c r="D403" t="str">
        <f>원본데이터_SK!F403</f>
        <v>58481090</v>
      </c>
      <c r="E403" t="str">
        <f>IFERROR(VLOOKUP(원본데이터_SK!F403,채널매핑!$B:$D,3,0),"미매핑")</f>
        <v>미매핑</v>
      </c>
      <c r="F403">
        <f>IFERROR(VLOOKUP(원본데이터_SK!F403,채널매핑!$B:$E,4,0),1)</f>
        <v>1</v>
      </c>
      <c r="G403">
        <f>원본데이터_SK!Q403</f>
        <v>1</v>
      </c>
      <c r="H403">
        <f>원본데이터_SK!O403</f>
        <v>119000</v>
      </c>
      <c r="I403">
        <f>원본데이터_SK!AG403</f>
        <v>113050</v>
      </c>
      <c r="J403">
        <f>원본데이터_SK!AH403</f>
        <v>82110</v>
      </c>
      <c r="K403">
        <f>IFERROR(VLOOKUP(E403,제품마스터!$A:$B,2,0),0)</f>
        <v>0</v>
      </c>
      <c r="L403">
        <f>원본데이터_SK!Q403*원본데이터_SK!P403</f>
        <v>82110</v>
      </c>
    </row>
    <row r="404" spans="1:12" x14ac:dyDescent="0.3">
      <c r="A404" t="s">
        <v>11</v>
      </c>
      <c r="B404" t="str">
        <f>원본데이터_SK!D404</f>
        <v>20260205994136</v>
      </c>
      <c r="C404" t="str">
        <f>IF(원본데이터_SK!M404="","",TEXT(원본데이터_SK!M404,"YYYY-MM-DD"))</f>
        <v>2026-02-07</v>
      </c>
      <c r="D404" t="str">
        <f>원본데이터_SK!F404</f>
        <v>58481090</v>
      </c>
      <c r="E404" t="str">
        <f>IFERROR(VLOOKUP(원본데이터_SK!F404,채널매핑!$B:$D,3,0),"미매핑")</f>
        <v>미매핑</v>
      </c>
      <c r="F404">
        <f>IFERROR(VLOOKUP(원본데이터_SK!F404,채널매핑!$B:$E,4,0),1)</f>
        <v>1</v>
      </c>
      <c r="G404">
        <f>원본데이터_SK!Q404</f>
        <v>1</v>
      </c>
      <c r="H404">
        <f>원본데이터_SK!O404</f>
        <v>119000</v>
      </c>
      <c r="I404">
        <f>원본데이터_SK!AG404</f>
        <v>119000</v>
      </c>
      <c r="J404">
        <f>원본데이터_SK!AH404</f>
        <v>82110</v>
      </c>
      <c r="K404">
        <f>IFERROR(VLOOKUP(E404,제품마스터!$A:$B,2,0),0)</f>
        <v>0</v>
      </c>
      <c r="L404">
        <f>원본데이터_SK!Q404*원본데이터_SK!P404</f>
        <v>82110</v>
      </c>
    </row>
    <row r="405" spans="1:12" x14ac:dyDescent="0.3">
      <c r="A405" t="s">
        <v>11</v>
      </c>
      <c r="B405" t="str">
        <f>원본데이터_SK!D405</f>
        <v>20260205994291</v>
      </c>
      <c r="C405" t="str">
        <f>IF(원본데이터_SK!M405="","",TEXT(원본데이터_SK!M405,"YYYY-MM-DD"))</f>
        <v>2026-02-07</v>
      </c>
      <c r="D405" t="str">
        <f>원본데이터_SK!F405</f>
        <v>58481090</v>
      </c>
      <c r="E405" t="str">
        <f>IFERROR(VLOOKUP(원본데이터_SK!F405,채널매핑!$B:$D,3,0),"미매핑")</f>
        <v>미매핑</v>
      </c>
      <c r="F405">
        <f>IFERROR(VLOOKUP(원본데이터_SK!F405,채널매핑!$B:$E,4,0),1)</f>
        <v>1</v>
      </c>
      <c r="G405">
        <f>원본데이터_SK!Q405</f>
        <v>1</v>
      </c>
      <c r="H405">
        <f>원본데이터_SK!O405</f>
        <v>119000</v>
      </c>
      <c r="I405">
        <f>원본데이터_SK!AG405</f>
        <v>119000</v>
      </c>
      <c r="J405">
        <f>원본데이터_SK!AH405</f>
        <v>82110</v>
      </c>
      <c r="K405">
        <f>IFERROR(VLOOKUP(E405,제품마스터!$A:$B,2,0),0)</f>
        <v>0</v>
      </c>
      <c r="L405">
        <f>원본데이터_SK!Q405*원본데이터_SK!P405</f>
        <v>82110</v>
      </c>
    </row>
    <row r="406" spans="1:12" x14ac:dyDescent="0.3">
      <c r="A406" t="s">
        <v>11</v>
      </c>
      <c r="B406" t="str">
        <f>원본데이터_SK!D406</f>
        <v>20260205994309</v>
      </c>
      <c r="C406" t="str">
        <f>IF(원본데이터_SK!M406="","",TEXT(원본데이터_SK!M406,"YYYY-MM-DD"))</f>
        <v>2026-02-07</v>
      </c>
      <c r="D406" t="str">
        <f>원본데이터_SK!F406</f>
        <v>58481090</v>
      </c>
      <c r="E406" t="str">
        <f>IFERROR(VLOOKUP(원본데이터_SK!F406,채널매핑!$B:$D,3,0),"미매핑")</f>
        <v>미매핑</v>
      </c>
      <c r="F406">
        <f>IFERROR(VLOOKUP(원본데이터_SK!F406,채널매핑!$B:$E,4,0),1)</f>
        <v>1</v>
      </c>
      <c r="G406">
        <f>원본데이터_SK!Q406</f>
        <v>1</v>
      </c>
      <c r="H406">
        <f>원본데이터_SK!O406</f>
        <v>119000</v>
      </c>
      <c r="I406">
        <f>원본데이터_SK!AG406</f>
        <v>99960</v>
      </c>
      <c r="J406">
        <f>원본데이터_SK!AH406</f>
        <v>82110</v>
      </c>
      <c r="K406">
        <f>IFERROR(VLOOKUP(E406,제품마스터!$A:$B,2,0),0)</f>
        <v>0</v>
      </c>
      <c r="L406">
        <f>원본데이터_SK!Q406*원본데이터_SK!P406</f>
        <v>82110</v>
      </c>
    </row>
    <row r="407" spans="1:12" x14ac:dyDescent="0.3">
      <c r="A407" t="s">
        <v>11</v>
      </c>
      <c r="B407" t="str">
        <f>원본데이터_SK!D407</f>
        <v>20260205995304</v>
      </c>
      <c r="C407" t="str">
        <f>IF(원본데이터_SK!M407="","",TEXT(원본데이터_SK!M407,"YYYY-MM-DD"))</f>
        <v>2026-02-07</v>
      </c>
      <c r="D407" t="str">
        <f>원본데이터_SK!F407</f>
        <v>58481090</v>
      </c>
      <c r="E407" t="str">
        <f>IFERROR(VLOOKUP(원본데이터_SK!F407,채널매핑!$B:$D,3,0),"미매핑")</f>
        <v>미매핑</v>
      </c>
      <c r="F407">
        <f>IFERROR(VLOOKUP(원본데이터_SK!F407,채널매핑!$B:$E,4,0),1)</f>
        <v>1</v>
      </c>
      <c r="G407">
        <f>원본데이터_SK!Q407</f>
        <v>1</v>
      </c>
      <c r="H407">
        <f>원본데이터_SK!O407</f>
        <v>119000</v>
      </c>
      <c r="I407">
        <f>원본데이터_SK!AG407</f>
        <v>119000</v>
      </c>
      <c r="J407">
        <f>원본데이터_SK!AH407</f>
        <v>82110</v>
      </c>
      <c r="K407">
        <f>IFERROR(VLOOKUP(E407,제품마스터!$A:$B,2,0),0)</f>
        <v>0</v>
      </c>
      <c r="L407">
        <f>원본데이터_SK!Q407*원본데이터_SK!P407</f>
        <v>82110</v>
      </c>
    </row>
    <row r="408" spans="1:12" x14ac:dyDescent="0.3">
      <c r="A408" t="s">
        <v>11</v>
      </c>
      <c r="B408" t="str">
        <f>원본데이터_SK!D408</f>
        <v>20260205994179</v>
      </c>
      <c r="C408" t="str">
        <f>IF(원본데이터_SK!M408="","",TEXT(원본데이터_SK!M408,"YYYY-MM-DD"))</f>
        <v>2026-02-07</v>
      </c>
      <c r="D408" t="str">
        <f>원본데이터_SK!F408</f>
        <v>58481090</v>
      </c>
      <c r="E408" t="str">
        <f>IFERROR(VLOOKUP(원본데이터_SK!F408,채널매핑!$B:$D,3,0),"미매핑")</f>
        <v>미매핑</v>
      </c>
      <c r="F408">
        <f>IFERROR(VLOOKUP(원본데이터_SK!F408,채널매핑!$B:$E,4,0),1)</f>
        <v>1</v>
      </c>
      <c r="G408">
        <f>원본데이터_SK!Q408</f>
        <v>1</v>
      </c>
      <c r="H408">
        <f>원본데이터_SK!O408</f>
        <v>119000</v>
      </c>
      <c r="I408">
        <f>원본데이터_SK!AG408</f>
        <v>119000</v>
      </c>
      <c r="J408">
        <f>원본데이터_SK!AH408</f>
        <v>82110</v>
      </c>
      <c r="K408">
        <f>IFERROR(VLOOKUP(E408,제품마스터!$A:$B,2,0),0)</f>
        <v>0</v>
      </c>
      <c r="L408">
        <f>원본데이터_SK!Q408*원본데이터_SK!P408</f>
        <v>82110</v>
      </c>
    </row>
    <row r="409" spans="1:12" x14ac:dyDescent="0.3">
      <c r="A409" t="s">
        <v>11</v>
      </c>
      <c r="B409" t="str">
        <f>원본데이터_SK!D409</f>
        <v>20260205993164</v>
      </c>
      <c r="C409" t="str">
        <f>IF(원본데이터_SK!M409="","",TEXT(원본데이터_SK!M409,"YYYY-MM-DD"))</f>
        <v>2026-02-07</v>
      </c>
      <c r="D409" t="str">
        <f>원본데이터_SK!F409</f>
        <v>58481090</v>
      </c>
      <c r="E409" t="str">
        <f>IFERROR(VLOOKUP(원본데이터_SK!F409,채널매핑!$B:$D,3,0),"미매핑")</f>
        <v>미매핑</v>
      </c>
      <c r="F409">
        <f>IFERROR(VLOOKUP(원본데이터_SK!F409,채널매핑!$B:$E,4,0),1)</f>
        <v>1</v>
      </c>
      <c r="G409">
        <f>원본데이터_SK!Q409</f>
        <v>1</v>
      </c>
      <c r="H409">
        <f>원본데이터_SK!O409</f>
        <v>119000</v>
      </c>
      <c r="I409">
        <f>원본데이터_SK!AG409</f>
        <v>119000</v>
      </c>
      <c r="J409">
        <f>원본데이터_SK!AH409</f>
        <v>82110</v>
      </c>
      <c r="K409">
        <f>IFERROR(VLOOKUP(E409,제품마스터!$A:$B,2,0),0)</f>
        <v>0</v>
      </c>
      <c r="L409">
        <f>원본데이터_SK!Q409*원본데이터_SK!P409</f>
        <v>82110</v>
      </c>
    </row>
    <row r="410" spans="1:12" x14ac:dyDescent="0.3">
      <c r="A410" t="s">
        <v>11</v>
      </c>
      <c r="B410" t="str">
        <f>원본데이터_SK!D410</f>
        <v>20260205995833</v>
      </c>
      <c r="C410" t="str">
        <f>IF(원본데이터_SK!M410="","",TEXT(원본데이터_SK!M410,"YYYY-MM-DD"))</f>
        <v>2026-02-07</v>
      </c>
      <c r="D410" t="str">
        <f>원본데이터_SK!F410</f>
        <v>58481090</v>
      </c>
      <c r="E410" t="str">
        <f>IFERROR(VLOOKUP(원본데이터_SK!F410,채널매핑!$B:$D,3,0),"미매핑")</f>
        <v>미매핑</v>
      </c>
      <c r="F410">
        <f>IFERROR(VLOOKUP(원본데이터_SK!F410,채널매핑!$B:$E,4,0),1)</f>
        <v>1</v>
      </c>
      <c r="G410">
        <f>원본데이터_SK!Q410</f>
        <v>1</v>
      </c>
      <c r="H410">
        <f>원본데이터_SK!O410</f>
        <v>119000</v>
      </c>
      <c r="I410">
        <f>원본데이터_SK!AG410</f>
        <v>119000</v>
      </c>
      <c r="J410">
        <f>원본데이터_SK!AH410</f>
        <v>82110</v>
      </c>
      <c r="K410">
        <f>IFERROR(VLOOKUP(E410,제품마스터!$A:$B,2,0),0)</f>
        <v>0</v>
      </c>
      <c r="L410">
        <f>원본데이터_SK!Q410*원본데이터_SK!P410</f>
        <v>82110</v>
      </c>
    </row>
    <row r="411" spans="1:12" x14ac:dyDescent="0.3">
      <c r="A411" t="s">
        <v>11</v>
      </c>
      <c r="B411" t="str">
        <f>원본데이터_SK!D411</f>
        <v>20260205994119</v>
      </c>
      <c r="C411" t="str">
        <f>IF(원본데이터_SK!M411="","",TEXT(원본데이터_SK!M411,"YYYY-MM-DD"))</f>
        <v>2026-02-07</v>
      </c>
      <c r="D411" t="str">
        <f>원본데이터_SK!F411</f>
        <v>58481090</v>
      </c>
      <c r="E411" t="str">
        <f>IFERROR(VLOOKUP(원본데이터_SK!F411,채널매핑!$B:$D,3,0),"미매핑")</f>
        <v>미매핑</v>
      </c>
      <c r="F411">
        <f>IFERROR(VLOOKUP(원본데이터_SK!F411,채널매핑!$B:$E,4,0),1)</f>
        <v>1</v>
      </c>
      <c r="G411">
        <f>원본데이터_SK!Q411</f>
        <v>1</v>
      </c>
      <c r="H411">
        <f>원본데이터_SK!O411</f>
        <v>119000</v>
      </c>
      <c r="I411">
        <f>원본데이터_SK!AG411</f>
        <v>119000</v>
      </c>
      <c r="J411">
        <f>원본데이터_SK!AH411</f>
        <v>82110</v>
      </c>
      <c r="K411">
        <f>IFERROR(VLOOKUP(E411,제품마스터!$A:$B,2,0),0)</f>
        <v>0</v>
      </c>
      <c r="L411">
        <f>원본데이터_SK!Q411*원본데이터_SK!P411</f>
        <v>82110</v>
      </c>
    </row>
    <row r="412" spans="1:12" x14ac:dyDescent="0.3">
      <c r="A412" t="s">
        <v>11</v>
      </c>
      <c r="B412" t="str">
        <f>원본데이터_SK!D412</f>
        <v>20260205993950</v>
      </c>
      <c r="C412" t="str">
        <f>IF(원본데이터_SK!M412="","",TEXT(원본데이터_SK!M412,"YYYY-MM-DD"))</f>
        <v>2026-02-07</v>
      </c>
      <c r="D412" t="str">
        <f>원본데이터_SK!F412</f>
        <v>58481090</v>
      </c>
      <c r="E412" t="str">
        <f>IFERROR(VLOOKUP(원본데이터_SK!F412,채널매핑!$B:$D,3,0),"미매핑")</f>
        <v>미매핑</v>
      </c>
      <c r="F412">
        <f>IFERROR(VLOOKUP(원본데이터_SK!F412,채널매핑!$B:$E,4,0),1)</f>
        <v>1</v>
      </c>
      <c r="G412">
        <f>원본데이터_SK!Q412</f>
        <v>1</v>
      </c>
      <c r="H412">
        <f>원본데이터_SK!O412</f>
        <v>119000</v>
      </c>
      <c r="I412">
        <f>원본데이터_SK!AG412</f>
        <v>119000</v>
      </c>
      <c r="J412">
        <f>원본데이터_SK!AH412</f>
        <v>82110</v>
      </c>
      <c r="K412">
        <f>IFERROR(VLOOKUP(E412,제품마스터!$A:$B,2,0),0)</f>
        <v>0</v>
      </c>
      <c r="L412">
        <f>원본데이터_SK!Q412*원본데이터_SK!P412</f>
        <v>82110</v>
      </c>
    </row>
    <row r="413" spans="1:12" x14ac:dyDescent="0.3">
      <c r="A413" t="s">
        <v>11</v>
      </c>
      <c r="B413" t="str">
        <f>원본데이터_SK!D413</f>
        <v>20260205993318</v>
      </c>
      <c r="C413" t="str">
        <f>IF(원본데이터_SK!M413="","",TEXT(원본데이터_SK!M413,"YYYY-MM-DD"))</f>
        <v>2026-02-07</v>
      </c>
      <c r="D413" t="str">
        <f>원본데이터_SK!F413</f>
        <v>58481090</v>
      </c>
      <c r="E413" t="str">
        <f>IFERROR(VLOOKUP(원본데이터_SK!F413,채널매핑!$B:$D,3,0),"미매핑")</f>
        <v>미매핑</v>
      </c>
      <c r="F413">
        <f>IFERROR(VLOOKUP(원본데이터_SK!F413,채널매핑!$B:$E,4,0),1)</f>
        <v>1</v>
      </c>
      <c r="G413">
        <f>원본데이터_SK!Q413</f>
        <v>1</v>
      </c>
      <c r="H413">
        <f>원본데이터_SK!O413</f>
        <v>119000</v>
      </c>
      <c r="I413">
        <f>원본데이터_SK!AG413</f>
        <v>113050</v>
      </c>
      <c r="J413">
        <f>원본데이터_SK!AH413</f>
        <v>82110</v>
      </c>
      <c r="K413">
        <f>IFERROR(VLOOKUP(E413,제품마스터!$A:$B,2,0),0)</f>
        <v>0</v>
      </c>
      <c r="L413">
        <f>원본데이터_SK!Q413*원본데이터_SK!P413</f>
        <v>82110</v>
      </c>
    </row>
    <row r="414" spans="1:12" x14ac:dyDescent="0.3">
      <c r="A414" t="s">
        <v>11</v>
      </c>
      <c r="B414" t="str">
        <f>원본데이터_SK!D414</f>
        <v>20260205992582</v>
      </c>
      <c r="C414" t="str">
        <f>IF(원본데이터_SK!M414="","",TEXT(원본데이터_SK!M414,"YYYY-MM-DD"))</f>
        <v>2026-02-07</v>
      </c>
      <c r="D414" t="str">
        <f>원본데이터_SK!F414</f>
        <v>58481090</v>
      </c>
      <c r="E414" t="str">
        <f>IFERROR(VLOOKUP(원본데이터_SK!F414,채널매핑!$B:$D,3,0),"미매핑")</f>
        <v>미매핑</v>
      </c>
      <c r="F414">
        <f>IFERROR(VLOOKUP(원본데이터_SK!F414,채널매핑!$B:$E,4,0),1)</f>
        <v>1</v>
      </c>
      <c r="G414">
        <f>원본데이터_SK!Q414</f>
        <v>1</v>
      </c>
      <c r="H414">
        <f>원본데이터_SK!O414</f>
        <v>119000</v>
      </c>
      <c r="I414">
        <f>원본데이터_SK!AG414</f>
        <v>119000</v>
      </c>
      <c r="J414">
        <f>원본데이터_SK!AH414</f>
        <v>82110</v>
      </c>
      <c r="K414">
        <f>IFERROR(VLOOKUP(E414,제품마스터!$A:$B,2,0),0)</f>
        <v>0</v>
      </c>
      <c r="L414">
        <f>원본데이터_SK!Q414*원본데이터_SK!P414</f>
        <v>82110</v>
      </c>
    </row>
    <row r="415" spans="1:12" x14ac:dyDescent="0.3">
      <c r="A415" t="s">
        <v>11</v>
      </c>
      <c r="B415" t="str">
        <f>원본데이터_SK!D415</f>
        <v>20260205993262</v>
      </c>
      <c r="C415" t="str">
        <f>IF(원본데이터_SK!M415="","",TEXT(원본데이터_SK!M415,"YYYY-MM-DD"))</f>
        <v>2026-02-07</v>
      </c>
      <c r="D415" t="str">
        <f>원본데이터_SK!F415</f>
        <v>58481090</v>
      </c>
      <c r="E415" t="str">
        <f>IFERROR(VLOOKUP(원본데이터_SK!F415,채널매핑!$B:$D,3,0),"미매핑")</f>
        <v>미매핑</v>
      </c>
      <c r="F415">
        <f>IFERROR(VLOOKUP(원본데이터_SK!F415,채널매핑!$B:$E,4,0),1)</f>
        <v>1</v>
      </c>
      <c r="G415">
        <f>원본데이터_SK!Q415</f>
        <v>1</v>
      </c>
      <c r="H415">
        <f>원본데이터_SK!O415</f>
        <v>119000</v>
      </c>
      <c r="I415">
        <f>원본데이터_SK!AG415</f>
        <v>119000</v>
      </c>
      <c r="J415">
        <f>원본데이터_SK!AH415</f>
        <v>82110</v>
      </c>
      <c r="K415">
        <f>IFERROR(VLOOKUP(E415,제품마스터!$A:$B,2,0),0)</f>
        <v>0</v>
      </c>
      <c r="L415">
        <f>원본데이터_SK!Q415*원본데이터_SK!P415</f>
        <v>82110</v>
      </c>
    </row>
    <row r="416" spans="1:12" x14ac:dyDescent="0.3">
      <c r="A416" t="s">
        <v>11</v>
      </c>
      <c r="B416" t="str">
        <f>원본데이터_SK!D416</f>
        <v>20260205994495</v>
      </c>
      <c r="C416" t="str">
        <f>IF(원본데이터_SK!M416="","",TEXT(원본데이터_SK!M416,"YYYY-MM-DD"))</f>
        <v>2026-02-07</v>
      </c>
      <c r="D416" t="str">
        <f>원본데이터_SK!F416</f>
        <v>58481090</v>
      </c>
      <c r="E416" t="str">
        <f>IFERROR(VLOOKUP(원본데이터_SK!F416,채널매핑!$B:$D,3,0),"미매핑")</f>
        <v>미매핑</v>
      </c>
      <c r="F416">
        <f>IFERROR(VLOOKUP(원본데이터_SK!F416,채널매핑!$B:$E,4,0),1)</f>
        <v>1</v>
      </c>
      <c r="G416">
        <f>원본데이터_SK!Q416</f>
        <v>1</v>
      </c>
      <c r="H416">
        <f>원본데이터_SK!O416</f>
        <v>119000</v>
      </c>
      <c r="I416">
        <f>원본데이터_SK!AG416</f>
        <v>114000</v>
      </c>
      <c r="J416">
        <f>원본데이터_SK!AH416</f>
        <v>82110</v>
      </c>
      <c r="K416">
        <f>IFERROR(VLOOKUP(E416,제품마스터!$A:$B,2,0),0)</f>
        <v>0</v>
      </c>
      <c r="L416">
        <f>원본데이터_SK!Q416*원본데이터_SK!P416</f>
        <v>82110</v>
      </c>
    </row>
    <row r="417" spans="1:12" x14ac:dyDescent="0.3">
      <c r="A417" t="s">
        <v>11</v>
      </c>
      <c r="B417" t="str">
        <f>원본데이터_SK!D417</f>
        <v>20260205995261</v>
      </c>
      <c r="C417" t="str">
        <f>IF(원본데이터_SK!M417="","",TEXT(원본데이터_SK!M417,"YYYY-MM-DD"))</f>
        <v>2026-02-07</v>
      </c>
      <c r="D417" t="str">
        <f>원본데이터_SK!F417</f>
        <v>58481090</v>
      </c>
      <c r="E417" t="str">
        <f>IFERROR(VLOOKUP(원본데이터_SK!F417,채널매핑!$B:$D,3,0),"미매핑")</f>
        <v>미매핑</v>
      </c>
      <c r="F417">
        <f>IFERROR(VLOOKUP(원본데이터_SK!F417,채널매핑!$B:$E,4,0),1)</f>
        <v>1</v>
      </c>
      <c r="G417">
        <f>원본데이터_SK!Q417</f>
        <v>1</v>
      </c>
      <c r="H417">
        <f>원본데이터_SK!O417</f>
        <v>119000</v>
      </c>
      <c r="I417">
        <f>원본데이터_SK!AG417</f>
        <v>109000</v>
      </c>
      <c r="J417">
        <f>원본데이터_SK!AH417</f>
        <v>82110</v>
      </c>
      <c r="K417">
        <f>IFERROR(VLOOKUP(E417,제품마스터!$A:$B,2,0),0)</f>
        <v>0</v>
      </c>
      <c r="L417">
        <f>원본데이터_SK!Q417*원본데이터_SK!P417</f>
        <v>82110</v>
      </c>
    </row>
    <row r="418" spans="1:12" x14ac:dyDescent="0.3">
      <c r="A418" t="s">
        <v>11</v>
      </c>
      <c r="B418" t="str">
        <f>원본데이터_SK!D418</f>
        <v>20260205994416</v>
      </c>
      <c r="C418" t="str">
        <f>IF(원본데이터_SK!M418="","",TEXT(원본데이터_SK!M418,"YYYY-MM-DD"))</f>
        <v>2026-02-07</v>
      </c>
      <c r="D418" t="str">
        <f>원본데이터_SK!F418</f>
        <v>58481090</v>
      </c>
      <c r="E418" t="str">
        <f>IFERROR(VLOOKUP(원본데이터_SK!F418,채널매핑!$B:$D,3,0),"미매핑")</f>
        <v>미매핑</v>
      </c>
      <c r="F418">
        <f>IFERROR(VLOOKUP(원본데이터_SK!F418,채널매핑!$B:$E,4,0),1)</f>
        <v>1</v>
      </c>
      <c r="G418">
        <f>원본데이터_SK!Q418</f>
        <v>1</v>
      </c>
      <c r="H418">
        <f>원본데이터_SK!O418</f>
        <v>119000</v>
      </c>
      <c r="I418">
        <f>원본데이터_SK!AG418</f>
        <v>119000</v>
      </c>
      <c r="J418">
        <f>원본데이터_SK!AH418</f>
        <v>82110</v>
      </c>
      <c r="K418">
        <f>IFERROR(VLOOKUP(E418,제품마스터!$A:$B,2,0),0)</f>
        <v>0</v>
      </c>
      <c r="L418">
        <f>원본데이터_SK!Q418*원본데이터_SK!P418</f>
        <v>82110</v>
      </c>
    </row>
    <row r="419" spans="1:12" x14ac:dyDescent="0.3">
      <c r="A419" t="s">
        <v>11</v>
      </c>
      <c r="B419" t="str">
        <f>원본데이터_SK!D419</f>
        <v>20260205994123</v>
      </c>
      <c r="C419" t="str">
        <f>IF(원본데이터_SK!M419="","",TEXT(원본데이터_SK!M419,"YYYY-MM-DD"))</f>
        <v>2026-02-07</v>
      </c>
      <c r="D419" t="str">
        <f>원본데이터_SK!F419</f>
        <v>58481090</v>
      </c>
      <c r="E419" t="str">
        <f>IFERROR(VLOOKUP(원본데이터_SK!F419,채널매핑!$B:$D,3,0),"미매핑")</f>
        <v>미매핑</v>
      </c>
      <c r="F419">
        <f>IFERROR(VLOOKUP(원본데이터_SK!F419,채널매핑!$B:$E,4,0),1)</f>
        <v>1</v>
      </c>
      <c r="G419">
        <f>원본데이터_SK!Q419</f>
        <v>1</v>
      </c>
      <c r="H419">
        <f>원본데이터_SK!O419</f>
        <v>119000</v>
      </c>
      <c r="I419">
        <f>원본데이터_SK!AG419</f>
        <v>119000</v>
      </c>
      <c r="J419">
        <f>원본데이터_SK!AH419</f>
        <v>82110</v>
      </c>
      <c r="K419">
        <f>IFERROR(VLOOKUP(E419,제품마스터!$A:$B,2,0),0)</f>
        <v>0</v>
      </c>
      <c r="L419">
        <f>원본데이터_SK!Q419*원본데이터_SK!P419</f>
        <v>82110</v>
      </c>
    </row>
    <row r="420" spans="1:12" x14ac:dyDescent="0.3">
      <c r="A420" t="s">
        <v>11</v>
      </c>
      <c r="B420" t="str">
        <f>원본데이터_SK!D420</f>
        <v>20260205993773</v>
      </c>
      <c r="C420" t="str">
        <f>IF(원본데이터_SK!M420="","",TEXT(원본데이터_SK!M420,"YYYY-MM-DD"))</f>
        <v>2026-02-07</v>
      </c>
      <c r="D420" t="str">
        <f>원본데이터_SK!F420</f>
        <v>58481090</v>
      </c>
      <c r="E420" t="str">
        <f>IFERROR(VLOOKUP(원본데이터_SK!F420,채널매핑!$B:$D,3,0),"미매핑")</f>
        <v>미매핑</v>
      </c>
      <c r="F420">
        <f>IFERROR(VLOOKUP(원본데이터_SK!F420,채널매핑!$B:$E,4,0),1)</f>
        <v>1</v>
      </c>
      <c r="G420">
        <f>원본데이터_SK!Q420</f>
        <v>1</v>
      </c>
      <c r="H420">
        <f>원본데이터_SK!O420</f>
        <v>119000</v>
      </c>
      <c r="I420">
        <f>원본데이터_SK!AG420</f>
        <v>113050</v>
      </c>
      <c r="J420">
        <f>원본데이터_SK!AH420</f>
        <v>82110</v>
      </c>
      <c r="K420">
        <f>IFERROR(VLOOKUP(E420,제품마스터!$A:$B,2,0),0)</f>
        <v>0</v>
      </c>
      <c r="L420">
        <f>원본데이터_SK!Q420*원본데이터_SK!P420</f>
        <v>82110</v>
      </c>
    </row>
    <row r="421" spans="1:12" x14ac:dyDescent="0.3">
      <c r="A421" t="s">
        <v>11</v>
      </c>
      <c r="B421" t="str">
        <f>원본데이터_SK!D421</f>
        <v>20260205993527</v>
      </c>
      <c r="C421" t="str">
        <f>IF(원본데이터_SK!M421="","",TEXT(원본데이터_SK!M421,"YYYY-MM-DD"))</f>
        <v>2026-02-07</v>
      </c>
      <c r="D421" t="str">
        <f>원본데이터_SK!F421</f>
        <v>58481090</v>
      </c>
      <c r="E421" t="str">
        <f>IFERROR(VLOOKUP(원본데이터_SK!F421,채널매핑!$B:$D,3,0),"미매핑")</f>
        <v>미매핑</v>
      </c>
      <c r="F421">
        <f>IFERROR(VLOOKUP(원본데이터_SK!F421,채널매핑!$B:$E,4,0),1)</f>
        <v>1</v>
      </c>
      <c r="G421">
        <f>원본데이터_SK!Q421</f>
        <v>1</v>
      </c>
      <c r="H421">
        <f>원본데이터_SK!O421</f>
        <v>119000</v>
      </c>
      <c r="I421">
        <f>원본데이터_SK!AG421</f>
        <v>113050</v>
      </c>
      <c r="J421">
        <f>원본데이터_SK!AH421</f>
        <v>82110</v>
      </c>
      <c r="K421">
        <f>IFERROR(VLOOKUP(E421,제품마스터!$A:$B,2,0),0)</f>
        <v>0</v>
      </c>
      <c r="L421">
        <f>원본데이터_SK!Q421*원본데이터_SK!P421</f>
        <v>82110</v>
      </c>
    </row>
    <row r="422" spans="1:12" x14ac:dyDescent="0.3">
      <c r="A422" t="s">
        <v>11</v>
      </c>
      <c r="B422" t="str">
        <f>원본데이터_SK!D422</f>
        <v>20260205993977</v>
      </c>
      <c r="C422" t="str">
        <f>IF(원본데이터_SK!M422="","",TEXT(원본데이터_SK!M422,"YYYY-MM-DD"))</f>
        <v>2026-02-07</v>
      </c>
      <c r="D422" t="str">
        <f>원본데이터_SK!F422</f>
        <v>58481090</v>
      </c>
      <c r="E422" t="str">
        <f>IFERROR(VLOOKUP(원본데이터_SK!F422,채널매핑!$B:$D,3,0),"미매핑")</f>
        <v>미매핑</v>
      </c>
      <c r="F422">
        <f>IFERROR(VLOOKUP(원본데이터_SK!F422,채널매핑!$B:$E,4,0),1)</f>
        <v>1</v>
      </c>
      <c r="G422">
        <f>원본데이터_SK!Q422</f>
        <v>1</v>
      </c>
      <c r="H422">
        <f>원본데이터_SK!O422</f>
        <v>119000</v>
      </c>
      <c r="I422">
        <f>원본데이터_SK!AG422</f>
        <v>119000</v>
      </c>
      <c r="J422">
        <f>원본데이터_SK!AH422</f>
        <v>82110</v>
      </c>
      <c r="K422">
        <f>IFERROR(VLOOKUP(E422,제품마스터!$A:$B,2,0),0)</f>
        <v>0</v>
      </c>
      <c r="L422">
        <f>원본데이터_SK!Q422*원본데이터_SK!P422</f>
        <v>82110</v>
      </c>
    </row>
    <row r="423" spans="1:12" x14ac:dyDescent="0.3">
      <c r="A423" t="s">
        <v>11</v>
      </c>
      <c r="B423" t="str">
        <f>원본데이터_SK!D423</f>
        <v>20260205993559</v>
      </c>
      <c r="C423" t="str">
        <f>IF(원본데이터_SK!M423="","",TEXT(원본데이터_SK!M423,"YYYY-MM-DD"))</f>
        <v>2026-02-07</v>
      </c>
      <c r="D423" t="str">
        <f>원본데이터_SK!F423</f>
        <v>58481090</v>
      </c>
      <c r="E423" t="str">
        <f>IFERROR(VLOOKUP(원본데이터_SK!F423,채널매핑!$B:$D,3,0),"미매핑")</f>
        <v>미매핑</v>
      </c>
      <c r="F423">
        <f>IFERROR(VLOOKUP(원본데이터_SK!F423,채널매핑!$B:$E,4,0),1)</f>
        <v>1</v>
      </c>
      <c r="G423">
        <f>원본데이터_SK!Q423</f>
        <v>1</v>
      </c>
      <c r="H423">
        <f>원본데이터_SK!O423</f>
        <v>119000</v>
      </c>
      <c r="I423">
        <f>원본데이터_SK!AG423</f>
        <v>119000</v>
      </c>
      <c r="J423">
        <f>원본데이터_SK!AH423</f>
        <v>82110</v>
      </c>
      <c r="K423">
        <f>IFERROR(VLOOKUP(E423,제품마스터!$A:$B,2,0),0)</f>
        <v>0</v>
      </c>
      <c r="L423">
        <f>원본데이터_SK!Q423*원본데이터_SK!P423</f>
        <v>82110</v>
      </c>
    </row>
    <row r="424" spans="1:12" x14ac:dyDescent="0.3">
      <c r="A424" t="s">
        <v>11</v>
      </c>
      <c r="B424" t="str">
        <f>원본데이터_SK!D424</f>
        <v>20260205992777</v>
      </c>
      <c r="C424" t="str">
        <f>IF(원본데이터_SK!M424="","",TEXT(원본데이터_SK!M424,"YYYY-MM-DD"))</f>
        <v>2026-02-07</v>
      </c>
      <c r="D424" t="str">
        <f>원본데이터_SK!F424</f>
        <v>58481090</v>
      </c>
      <c r="E424" t="str">
        <f>IFERROR(VLOOKUP(원본데이터_SK!F424,채널매핑!$B:$D,3,0),"미매핑")</f>
        <v>미매핑</v>
      </c>
      <c r="F424">
        <f>IFERROR(VLOOKUP(원본데이터_SK!F424,채널매핑!$B:$E,4,0),1)</f>
        <v>1</v>
      </c>
      <c r="G424">
        <f>원본데이터_SK!Q424</f>
        <v>1</v>
      </c>
      <c r="H424">
        <f>원본데이터_SK!O424</f>
        <v>119000</v>
      </c>
      <c r="I424">
        <f>원본데이터_SK!AG424</f>
        <v>119000</v>
      </c>
      <c r="J424">
        <f>원본데이터_SK!AH424</f>
        <v>82110</v>
      </c>
      <c r="K424">
        <f>IFERROR(VLOOKUP(E424,제품마스터!$A:$B,2,0),0)</f>
        <v>0</v>
      </c>
      <c r="L424">
        <f>원본데이터_SK!Q424*원본데이터_SK!P424</f>
        <v>82110</v>
      </c>
    </row>
    <row r="425" spans="1:12" x14ac:dyDescent="0.3">
      <c r="A425" t="s">
        <v>11</v>
      </c>
      <c r="B425" t="str">
        <f>원본데이터_SK!D425</f>
        <v>20260205992824</v>
      </c>
      <c r="C425" t="str">
        <f>IF(원본데이터_SK!M425="","",TEXT(원본데이터_SK!M425,"YYYY-MM-DD"))</f>
        <v>2026-02-07</v>
      </c>
      <c r="D425" t="str">
        <f>원본데이터_SK!F425</f>
        <v>58481090</v>
      </c>
      <c r="E425" t="str">
        <f>IFERROR(VLOOKUP(원본데이터_SK!F425,채널매핑!$B:$D,3,0),"미매핑")</f>
        <v>미매핑</v>
      </c>
      <c r="F425">
        <f>IFERROR(VLOOKUP(원본데이터_SK!F425,채널매핑!$B:$E,4,0),1)</f>
        <v>1</v>
      </c>
      <c r="G425">
        <f>원본데이터_SK!Q425</f>
        <v>1</v>
      </c>
      <c r="H425">
        <f>원본데이터_SK!O425</f>
        <v>119000</v>
      </c>
      <c r="I425">
        <f>원본데이터_SK!AG425</f>
        <v>119000</v>
      </c>
      <c r="J425">
        <f>원본데이터_SK!AH425</f>
        <v>82110</v>
      </c>
      <c r="K425">
        <f>IFERROR(VLOOKUP(E425,제품마스터!$A:$B,2,0),0)</f>
        <v>0</v>
      </c>
      <c r="L425">
        <f>원본데이터_SK!Q425*원본데이터_SK!P425</f>
        <v>82110</v>
      </c>
    </row>
    <row r="426" spans="1:12" x14ac:dyDescent="0.3">
      <c r="A426" t="s">
        <v>11</v>
      </c>
      <c r="B426" t="str">
        <f>원본데이터_SK!D426</f>
        <v>20260205993046</v>
      </c>
      <c r="C426" t="str">
        <f>IF(원본데이터_SK!M426="","",TEXT(원본데이터_SK!M426,"YYYY-MM-DD"))</f>
        <v>2026-02-07</v>
      </c>
      <c r="D426" t="str">
        <f>원본데이터_SK!F426</f>
        <v>58481090</v>
      </c>
      <c r="E426" t="str">
        <f>IFERROR(VLOOKUP(원본데이터_SK!F426,채널매핑!$B:$D,3,0),"미매핑")</f>
        <v>미매핑</v>
      </c>
      <c r="F426">
        <f>IFERROR(VLOOKUP(원본데이터_SK!F426,채널매핑!$B:$E,4,0),1)</f>
        <v>1</v>
      </c>
      <c r="G426">
        <f>원본데이터_SK!Q426</f>
        <v>1</v>
      </c>
      <c r="H426">
        <f>원본데이터_SK!O426</f>
        <v>119000</v>
      </c>
      <c r="I426">
        <f>원본데이터_SK!AG426</f>
        <v>119000</v>
      </c>
      <c r="J426">
        <f>원본데이터_SK!AH426</f>
        <v>82110</v>
      </c>
      <c r="K426">
        <f>IFERROR(VLOOKUP(E426,제품마스터!$A:$B,2,0),0)</f>
        <v>0</v>
      </c>
      <c r="L426">
        <f>원본데이터_SK!Q426*원본데이터_SK!P426</f>
        <v>82110</v>
      </c>
    </row>
    <row r="427" spans="1:12" x14ac:dyDescent="0.3">
      <c r="A427" t="s">
        <v>11</v>
      </c>
      <c r="B427" t="str">
        <f>원본데이터_SK!D427</f>
        <v>20260205993001</v>
      </c>
      <c r="C427" t="str">
        <f>IF(원본데이터_SK!M427="","",TEXT(원본데이터_SK!M427,"YYYY-MM-DD"))</f>
        <v>2026-02-07</v>
      </c>
      <c r="D427" t="str">
        <f>원본데이터_SK!F427</f>
        <v>58481090</v>
      </c>
      <c r="E427" t="str">
        <f>IFERROR(VLOOKUP(원본데이터_SK!F427,채널매핑!$B:$D,3,0),"미매핑")</f>
        <v>미매핑</v>
      </c>
      <c r="F427">
        <f>IFERROR(VLOOKUP(원본데이터_SK!F427,채널매핑!$B:$E,4,0),1)</f>
        <v>1</v>
      </c>
      <c r="G427">
        <f>원본데이터_SK!Q427</f>
        <v>1</v>
      </c>
      <c r="H427">
        <f>원본데이터_SK!O427</f>
        <v>119000</v>
      </c>
      <c r="I427">
        <f>원본데이터_SK!AG427</f>
        <v>119000</v>
      </c>
      <c r="J427">
        <f>원본데이터_SK!AH427</f>
        <v>82110</v>
      </c>
      <c r="K427">
        <f>IFERROR(VLOOKUP(E427,제품마스터!$A:$B,2,0),0)</f>
        <v>0</v>
      </c>
      <c r="L427">
        <f>원본데이터_SK!Q427*원본데이터_SK!P427</f>
        <v>82110</v>
      </c>
    </row>
    <row r="428" spans="1:12" x14ac:dyDescent="0.3">
      <c r="A428" t="s">
        <v>11</v>
      </c>
      <c r="B428" t="str">
        <f>원본데이터_SK!D428</f>
        <v>20260205993000</v>
      </c>
      <c r="C428" t="str">
        <f>IF(원본데이터_SK!M428="","",TEXT(원본데이터_SK!M428,"YYYY-MM-DD"))</f>
        <v>2026-02-07</v>
      </c>
      <c r="D428" t="str">
        <f>원본데이터_SK!F428</f>
        <v>58481090</v>
      </c>
      <c r="E428" t="str">
        <f>IFERROR(VLOOKUP(원본데이터_SK!F428,채널매핑!$B:$D,3,0),"미매핑")</f>
        <v>미매핑</v>
      </c>
      <c r="F428">
        <f>IFERROR(VLOOKUP(원본데이터_SK!F428,채널매핑!$B:$E,4,0),1)</f>
        <v>1</v>
      </c>
      <c r="G428">
        <f>원본데이터_SK!Q428</f>
        <v>1</v>
      </c>
      <c r="H428">
        <f>원본데이터_SK!O428</f>
        <v>119000</v>
      </c>
      <c r="I428">
        <f>원본데이터_SK!AG428</f>
        <v>119000</v>
      </c>
      <c r="J428">
        <f>원본데이터_SK!AH428</f>
        <v>82110</v>
      </c>
      <c r="K428">
        <f>IFERROR(VLOOKUP(E428,제품마스터!$A:$B,2,0),0)</f>
        <v>0</v>
      </c>
      <c r="L428">
        <f>원본데이터_SK!Q428*원본데이터_SK!P428</f>
        <v>82110</v>
      </c>
    </row>
    <row r="429" spans="1:12" x14ac:dyDescent="0.3">
      <c r="A429" t="s">
        <v>11</v>
      </c>
      <c r="B429" t="str">
        <f>원본데이터_SK!D429</f>
        <v>20260205993784</v>
      </c>
      <c r="C429" t="str">
        <f>IF(원본데이터_SK!M429="","",TEXT(원본데이터_SK!M429,"YYYY-MM-DD"))</f>
        <v>2026-02-07</v>
      </c>
      <c r="D429" t="str">
        <f>원본데이터_SK!F429</f>
        <v>58481090</v>
      </c>
      <c r="E429" t="str">
        <f>IFERROR(VLOOKUP(원본데이터_SK!F429,채널매핑!$B:$D,3,0),"미매핑")</f>
        <v>미매핑</v>
      </c>
      <c r="F429">
        <f>IFERROR(VLOOKUP(원본데이터_SK!F429,채널매핑!$B:$E,4,0),1)</f>
        <v>1</v>
      </c>
      <c r="G429">
        <f>원본데이터_SK!Q429</f>
        <v>1</v>
      </c>
      <c r="H429">
        <f>원본데이터_SK!O429</f>
        <v>119000</v>
      </c>
      <c r="I429">
        <f>원본데이터_SK!AG429</f>
        <v>119000</v>
      </c>
      <c r="J429">
        <f>원본데이터_SK!AH429</f>
        <v>82110</v>
      </c>
      <c r="K429">
        <f>IFERROR(VLOOKUP(E429,제품마스터!$A:$B,2,0),0)</f>
        <v>0</v>
      </c>
      <c r="L429">
        <f>원본데이터_SK!Q429*원본데이터_SK!P429</f>
        <v>82110</v>
      </c>
    </row>
    <row r="430" spans="1:12" x14ac:dyDescent="0.3">
      <c r="A430" t="s">
        <v>11</v>
      </c>
      <c r="B430" t="str">
        <f>원본데이터_SK!D430</f>
        <v>20260205995541</v>
      </c>
      <c r="C430" t="str">
        <f>IF(원본데이터_SK!M430="","",TEXT(원본데이터_SK!M430,"YYYY-MM-DD"))</f>
        <v>2026-02-07</v>
      </c>
      <c r="D430" t="str">
        <f>원본데이터_SK!F430</f>
        <v>58481090</v>
      </c>
      <c r="E430" t="str">
        <f>IFERROR(VLOOKUP(원본데이터_SK!F430,채널매핑!$B:$D,3,0),"미매핑")</f>
        <v>미매핑</v>
      </c>
      <c r="F430">
        <f>IFERROR(VLOOKUP(원본데이터_SK!F430,채널매핑!$B:$E,4,0),1)</f>
        <v>1</v>
      </c>
      <c r="G430">
        <f>원본데이터_SK!Q430</f>
        <v>1</v>
      </c>
      <c r="H430">
        <f>원본데이터_SK!O430</f>
        <v>119000</v>
      </c>
      <c r="I430">
        <f>원본데이터_SK!AG430</f>
        <v>119000</v>
      </c>
      <c r="J430">
        <f>원본데이터_SK!AH430</f>
        <v>82110</v>
      </c>
      <c r="K430">
        <f>IFERROR(VLOOKUP(E430,제품마스터!$A:$B,2,0),0)</f>
        <v>0</v>
      </c>
      <c r="L430">
        <f>원본데이터_SK!Q430*원본데이터_SK!P430</f>
        <v>82110</v>
      </c>
    </row>
    <row r="431" spans="1:12" x14ac:dyDescent="0.3">
      <c r="A431" t="s">
        <v>11</v>
      </c>
      <c r="B431" t="str">
        <f>원본데이터_SK!D431</f>
        <v>20260205995287</v>
      </c>
      <c r="C431" t="str">
        <f>IF(원본데이터_SK!M431="","",TEXT(원본데이터_SK!M431,"YYYY-MM-DD"))</f>
        <v>2026-02-07</v>
      </c>
      <c r="D431" t="str">
        <f>원본데이터_SK!F431</f>
        <v>58481090</v>
      </c>
      <c r="E431" t="str">
        <f>IFERROR(VLOOKUP(원본데이터_SK!F431,채널매핑!$B:$D,3,0),"미매핑")</f>
        <v>미매핑</v>
      </c>
      <c r="F431">
        <f>IFERROR(VLOOKUP(원본데이터_SK!F431,채널매핑!$B:$E,4,0),1)</f>
        <v>1</v>
      </c>
      <c r="G431">
        <f>원본데이터_SK!Q431</f>
        <v>1</v>
      </c>
      <c r="H431">
        <f>원본데이터_SK!O431</f>
        <v>119000</v>
      </c>
      <c r="I431">
        <f>원본데이터_SK!AG431</f>
        <v>119000</v>
      </c>
      <c r="J431">
        <f>원본데이터_SK!AH431</f>
        <v>82110</v>
      </c>
      <c r="K431">
        <f>IFERROR(VLOOKUP(E431,제품마스터!$A:$B,2,0),0)</f>
        <v>0</v>
      </c>
      <c r="L431">
        <f>원본데이터_SK!Q431*원본데이터_SK!P431</f>
        <v>82110</v>
      </c>
    </row>
    <row r="432" spans="1:12" x14ac:dyDescent="0.3">
      <c r="A432" t="s">
        <v>11</v>
      </c>
      <c r="B432" t="str">
        <f>원본데이터_SK!D432</f>
        <v>20260205994452</v>
      </c>
      <c r="C432" t="str">
        <f>IF(원본데이터_SK!M432="","",TEXT(원본데이터_SK!M432,"YYYY-MM-DD"))</f>
        <v>2026-02-07</v>
      </c>
      <c r="D432" t="str">
        <f>원본데이터_SK!F432</f>
        <v>58481090</v>
      </c>
      <c r="E432" t="str">
        <f>IFERROR(VLOOKUP(원본데이터_SK!F432,채널매핑!$B:$D,3,0),"미매핑")</f>
        <v>미매핑</v>
      </c>
      <c r="F432">
        <f>IFERROR(VLOOKUP(원본데이터_SK!F432,채널매핑!$B:$E,4,0),1)</f>
        <v>1</v>
      </c>
      <c r="G432">
        <f>원본데이터_SK!Q432</f>
        <v>1</v>
      </c>
      <c r="H432">
        <f>원본데이터_SK!O432</f>
        <v>119000</v>
      </c>
      <c r="I432">
        <f>원본데이터_SK!AG432</f>
        <v>119000</v>
      </c>
      <c r="J432">
        <f>원본데이터_SK!AH432</f>
        <v>82110</v>
      </c>
      <c r="K432">
        <f>IFERROR(VLOOKUP(E432,제품마스터!$A:$B,2,0),0)</f>
        <v>0</v>
      </c>
      <c r="L432">
        <f>원본데이터_SK!Q432*원본데이터_SK!P432</f>
        <v>82110</v>
      </c>
    </row>
    <row r="433" spans="1:12" x14ac:dyDescent="0.3">
      <c r="A433" t="s">
        <v>11</v>
      </c>
      <c r="B433" t="str">
        <f>원본데이터_SK!D433</f>
        <v>20260205994705</v>
      </c>
      <c r="C433" t="str">
        <f>IF(원본데이터_SK!M433="","",TEXT(원본데이터_SK!M433,"YYYY-MM-DD"))</f>
        <v>2026-02-07</v>
      </c>
      <c r="D433" t="str">
        <f>원본데이터_SK!F433</f>
        <v>58481090</v>
      </c>
      <c r="E433" t="str">
        <f>IFERROR(VLOOKUP(원본데이터_SK!F433,채널매핑!$B:$D,3,0),"미매핑")</f>
        <v>미매핑</v>
      </c>
      <c r="F433">
        <f>IFERROR(VLOOKUP(원본데이터_SK!F433,채널매핑!$B:$E,4,0),1)</f>
        <v>1</v>
      </c>
      <c r="G433">
        <f>원본데이터_SK!Q433</f>
        <v>1</v>
      </c>
      <c r="H433">
        <f>원본데이터_SK!O433</f>
        <v>119000</v>
      </c>
      <c r="I433">
        <f>원본데이터_SK!AG433</f>
        <v>119000</v>
      </c>
      <c r="J433">
        <f>원본데이터_SK!AH433</f>
        <v>82110</v>
      </c>
      <c r="K433">
        <f>IFERROR(VLOOKUP(E433,제품마스터!$A:$B,2,0),0)</f>
        <v>0</v>
      </c>
      <c r="L433">
        <f>원본데이터_SK!Q433*원본데이터_SK!P433</f>
        <v>82110</v>
      </c>
    </row>
    <row r="434" spans="1:12" x14ac:dyDescent="0.3">
      <c r="A434" t="s">
        <v>11</v>
      </c>
      <c r="B434" t="str">
        <f>원본데이터_SK!D434</f>
        <v>20260205995017</v>
      </c>
      <c r="C434" t="str">
        <f>IF(원본데이터_SK!M434="","",TEXT(원본데이터_SK!M434,"YYYY-MM-DD"))</f>
        <v>2026-02-07</v>
      </c>
      <c r="D434" t="str">
        <f>원본데이터_SK!F434</f>
        <v>58481090</v>
      </c>
      <c r="E434" t="str">
        <f>IFERROR(VLOOKUP(원본데이터_SK!F434,채널매핑!$B:$D,3,0),"미매핑")</f>
        <v>미매핑</v>
      </c>
      <c r="F434">
        <f>IFERROR(VLOOKUP(원본데이터_SK!F434,채널매핑!$B:$E,4,0),1)</f>
        <v>1</v>
      </c>
      <c r="G434">
        <f>원본데이터_SK!Q434</f>
        <v>1</v>
      </c>
      <c r="H434">
        <f>원본데이터_SK!O434</f>
        <v>119000</v>
      </c>
      <c r="I434">
        <f>원본데이터_SK!AG434</f>
        <v>119000</v>
      </c>
      <c r="J434">
        <f>원본데이터_SK!AH434</f>
        <v>82110</v>
      </c>
      <c r="K434">
        <f>IFERROR(VLOOKUP(E434,제품마스터!$A:$B,2,0),0)</f>
        <v>0</v>
      </c>
      <c r="L434">
        <f>원본데이터_SK!Q434*원본데이터_SK!P434</f>
        <v>82110</v>
      </c>
    </row>
    <row r="435" spans="1:12" x14ac:dyDescent="0.3">
      <c r="A435" t="s">
        <v>11</v>
      </c>
      <c r="B435" t="str">
        <f>원본데이터_SK!D435</f>
        <v>20260205995647</v>
      </c>
      <c r="C435" t="str">
        <f>IF(원본데이터_SK!M435="","",TEXT(원본데이터_SK!M435,"YYYY-MM-DD"))</f>
        <v>2026-02-07</v>
      </c>
      <c r="D435" t="str">
        <f>원본데이터_SK!F435</f>
        <v>58999583</v>
      </c>
      <c r="E435" t="str">
        <f>IFERROR(VLOOKUP(원본데이터_SK!F435,채널매핑!$B:$D,3,0),"미매핑")</f>
        <v>미매핑</v>
      </c>
      <c r="F435">
        <f>IFERROR(VLOOKUP(원본데이터_SK!F435,채널매핑!$B:$E,4,0),1)</f>
        <v>1</v>
      </c>
      <c r="G435">
        <f>원본데이터_SK!Q435</f>
        <v>1</v>
      </c>
      <c r="H435">
        <f>원본데이터_SK!O435</f>
        <v>119000</v>
      </c>
      <c r="I435">
        <f>원본데이터_SK!AG435</f>
        <v>119000</v>
      </c>
      <c r="J435">
        <f>원본데이터_SK!AH435</f>
        <v>82110</v>
      </c>
      <c r="K435">
        <f>IFERROR(VLOOKUP(E435,제품마스터!$A:$B,2,0),0)</f>
        <v>0</v>
      </c>
      <c r="L435">
        <f>원본데이터_SK!Q435*원본데이터_SK!P435</f>
        <v>82110</v>
      </c>
    </row>
    <row r="436" spans="1:12" x14ac:dyDescent="0.3">
      <c r="A436" t="s">
        <v>11</v>
      </c>
      <c r="B436" t="str">
        <f>원본데이터_SK!D436</f>
        <v>20260205998293</v>
      </c>
      <c r="C436" t="str">
        <f>IF(원본데이터_SK!M436="","",TEXT(원본데이터_SK!M436,"YYYY-MM-DD"))</f>
        <v>2026-02-07</v>
      </c>
      <c r="D436" t="str">
        <f>원본데이터_SK!F436</f>
        <v>58999583</v>
      </c>
      <c r="E436" t="str">
        <f>IFERROR(VLOOKUP(원본데이터_SK!F436,채널매핑!$B:$D,3,0),"미매핑")</f>
        <v>미매핑</v>
      </c>
      <c r="F436">
        <f>IFERROR(VLOOKUP(원본데이터_SK!F436,채널매핑!$B:$E,4,0),1)</f>
        <v>1</v>
      </c>
      <c r="G436">
        <f>원본데이터_SK!Q436</f>
        <v>1</v>
      </c>
      <c r="H436">
        <f>원본데이터_SK!O436</f>
        <v>119000</v>
      </c>
      <c r="I436">
        <f>원본데이터_SK!AG436</f>
        <v>119000</v>
      </c>
      <c r="J436">
        <f>원본데이터_SK!AH436</f>
        <v>82110</v>
      </c>
      <c r="K436">
        <f>IFERROR(VLOOKUP(E436,제품마스터!$A:$B,2,0),0)</f>
        <v>0</v>
      </c>
      <c r="L436">
        <f>원본데이터_SK!Q436*원본데이터_SK!P436</f>
        <v>82110</v>
      </c>
    </row>
    <row r="437" spans="1:12" x14ac:dyDescent="0.3">
      <c r="A437" t="s">
        <v>11</v>
      </c>
      <c r="B437" t="str">
        <f>원본데이터_SK!D437</f>
        <v>20260206633008</v>
      </c>
      <c r="C437" t="str">
        <f>IF(원본데이터_SK!M437="","",TEXT(원본데이터_SK!M437,"YYYY-MM-DD"))</f>
        <v>2026-02-07</v>
      </c>
      <c r="D437" t="str">
        <f>원본데이터_SK!F437</f>
        <v>59163204</v>
      </c>
      <c r="E437" t="str">
        <f>IFERROR(VLOOKUP(원본데이터_SK!F437,채널매핑!$B:$D,3,0),"미매핑")</f>
        <v>미매핑</v>
      </c>
      <c r="F437">
        <f>IFERROR(VLOOKUP(원본데이터_SK!F437,채널매핑!$B:$E,4,0),1)</f>
        <v>1</v>
      </c>
      <c r="G437">
        <f>원본데이터_SK!Q437</f>
        <v>1</v>
      </c>
      <c r="H437">
        <f>원본데이터_SK!O437</f>
        <v>78000</v>
      </c>
      <c r="I437">
        <f>원본데이터_SK!AG437</f>
        <v>66300</v>
      </c>
      <c r="J437">
        <f>원본데이터_SK!AH437</f>
        <v>53820</v>
      </c>
      <c r="K437">
        <f>IFERROR(VLOOKUP(E437,제품마스터!$A:$B,2,0),0)</f>
        <v>0</v>
      </c>
      <c r="L437">
        <f>원본데이터_SK!Q437*원본데이터_SK!P437</f>
        <v>53820</v>
      </c>
    </row>
    <row r="438" spans="1:12" x14ac:dyDescent="0.3">
      <c r="A438" t="s">
        <v>11</v>
      </c>
      <c r="B438" t="str">
        <f>원본데이터_SK!D438</f>
        <v>20260205995006</v>
      </c>
      <c r="C438" t="str">
        <f>IF(원본데이터_SK!M438="","",TEXT(원본데이터_SK!M438,"YYYY-MM-DD"))</f>
        <v>2026-02-08</v>
      </c>
      <c r="D438" t="str">
        <f>원본데이터_SK!F438</f>
        <v>58481090</v>
      </c>
      <c r="E438" t="str">
        <f>IFERROR(VLOOKUP(원본데이터_SK!F438,채널매핑!$B:$D,3,0),"미매핑")</f>
        <v>미매핑</v>
      </c>
      <c r="F438">
        <f>IFERROR(VLOOKUP(원본데이터_SK!F438,채널매핑!$B:$E,4,0),1)</f>
        <v>1</v>
      </c>
      <c r="G438">
        <f>원본데이터_SK!Q438</f>
        <v>1</v>
      </c>
      <c r="H438">
        <f>원본데이터_SK!O438</f>
        <v>119000</v>
      </c>
      <c r="I438">
        <f>원본데이터_SK!AG438</f>
        <v>119000</v>
      </c>
      <c r="J438">
        <f>원본데이터_SK!AH438</f>
        <v>82110</v>
      </c>
      <c r="K438">
        <f>IFERROR(VLOOKUP(E438,제품마스터!$A:$B,2,0),0)</f>
        <v>0</v>
      </c>
      <c r="L438">
        <f>원본데이터_SK!Q438*원본데이터_SK!P438</f>
        <v>82110</v>
      </c>
    </row>
    <row r="439" spans="1:12" x14ac:dyDescent="0.3">
      <c r="A439" t="s">
        <v>11</v>
      </c>
      <c r="B439" t="str">
        <f>원본데이터_SK!D439</f>
        <v>20260205992912</v>
      </c>
      <c r="C439" t="str">
        <f>IF(원본데이터_SK!M439="","",TEXT(원본데이터_SK!M439,"YYYY-MM-DD"))</f>
        <v>2026-02-08</v>
      </c>
      <c r="D439" t="str">
        <f>원본데이터_SK!F439</f>
        <v>58481090</v>
      </c>
      <c r="E439" t="str">
        <f>IFERROR(VLOOKUP(원본데이터_SK!F439,채널매핑!$B:$D,3,0),"미매핑")</f>
        <v>미매핑</v>
      </c>
      <c r="F439">
        <f>IFERROR(VLOOKUP(원본데이터_SK!F439,채널매핑!$B:$E,4,0),1)</f>
        <v>1</v>
      </c>
      <c r="G439">
        <f>원본데이터_SK!Q439</f>
        <v>1</v>
      </c>
      <c r="H439">
        <f>원본데이터_SK!O439</f>
        <v>119000</v>
      </c>
      <c r="I439">
        <f>원본데이터_SK!AG439</f>
        <v>119000</v>
      </c>
      <c r="J439">
        <f>원본데이터_SK!AH439</f>
        <v>82110</v>
      </c>
      <c r="K439">
        <f>IFERROR(VLOOKUP(E439,제품마스터!$A:$B,2,0),0)</f>
        <v>0</v>
      </c>
      <c r="L439">
        <f>원본데이터_SK!Q439*원본데이터_SK!P439</f>
        <v>82110</v>
      </c>
    </row>
    <row r="440" spans="1:12" x14ac:dyDescent="0.3">
      <c r="A440" t="s">
        <v>11</v>
      </c>
      <c r="B440" t="str">
        <f>원본데이터_SK!D440</f>
        <v>20260208259331</v>
      </c>
      <c r="C440" t="str">
        <f>IF(원본데이터_SK!M440="","",TEXT(원본데이터_SK!M440,"YYYY-MM-DD"))</f>
        <v>2026-02-10</v>
      </c>
      <c r="D440" t="str">
        <f>원본데이터_SK!F440</f>
        <v>58481090</v>
      </c>
      <c r="E440" t="str">
        <f>IFERROR(VLOOKUP(원본데이터_SK!F440,채널매핑!$B:$D,3,0),"미매핑")</f>
        <v>미매핑</v>
      </c>
      <c r="F440">
        <f>IFERROR(VLOOKUP(원본데이터_SK!F440,채널매핑!$B:$E,4,0),1)</f>
        <v>1</v>
      </c>
      <c r="G440">
        <f>원본데이터_SK!Q440</f>
        <v>1</v>
      </c>
      <c r="H440">
        <f>원본데이터_SK!O440</f>
        <v>119000</v>
      </c>
      <c r="I440">
        <f>원본데이터_SK!AG440</f>
        <v>113050</v>
      </c>
      <c r="J440">
        <f>원본데이터_SK!AH440</f>
        <v>82110</v>
      </c>
      <c r="K440">
        <f>IFERROR(VLOOKUP(E440,제품마스터!$A:$B,2,0),0)</f>
        <v>0</v>
      </c>
      <c r="L440">
        <f>원본데이터_SK!Q440*원본데이터_SK!P440</f>
        <v>82110</v>
      </c>
    </row>
    <row r="441" spans="1:12" x14ac:dyDescent="0.3">
      <c r="A441" t="s">
        <v>11</v>
      </c>
      <c r="B441" t="str">
        <f>원본데이터_SK!D441</f>
        <v>20260208260475</v>
      </c>
      <c r="C441" t="str">
        <f>IF(원본데이터_SK!M441="","",TEXT(원본데이터_SK!M441,"YYYY-MM-DD"))</f>
        <v>2026-02-10</v>
      </c>
      <c r="D441" t="str">
        <f>원본데이터_SK!F441</f>
        <v>58481090</v>
      </c>
      <c r="E441" t="str">
        <f>IFERROR(VLOOKUP(원본데이터_SK!F441,채널매핑!$B:$D,3,0),"미매핑")</f>
        <v>미매핑</v>
      </c>
      <c r="F441">
        <f>IFERROR(VLOOKUP(원본데이터_SK!F441,채널매핑!$B:$E,4,0),1)</f>
        <v>1</v>
      </c>
      <c r="G441">
        <f>원본데이터_SK!Q441</f>
        <v>1</v>
      </c>
      <c r="H441">
        <f>원본데이터_SK!O441</f>
        <v>119000</v>
      </c>
      <c r="I441">
        <f>원본데이터_SK!AG441</f>
        <v>113050</v>
      </c>
      <c r="J441">
        <f>원본데이터_SK!AH441</f>
        <v>82110</v>
      </c>
      <c r="K441">
        <f>IFERROR(VLOOKUP(E441,제품마스터!$A:$B,2,0),0)</f>
        <v>0</v>
      </c>
      <c r="L441">
        <f>원본데이터_SK!Q441*원본데이터_SK!P441</f>
        <v>82110</v>
      </c>
    </row>
    <row r="442" spans="1:12" x14ac:dyDescent="0.3">
      <c r="A442" t="s">
        <v>11</v>
      </c>
      <c r="B442" t="str">
        <f>원본데이터_SK!D442</f>
        <v>20260207158331</v>
      </c>
      <c r="C442" t="str">
        <f>IF(원본데이터_SK!M442="","",TEXT(원본데이터_SK!M442,"YYYY-MM-DD"))</f>
        <v>2026-02-10</v>
      </c>
      <c r="D442" t="str">
        <f>원본데이터_SK!F442</f>
        <v>58481090</v>
      </c>
      <c r="E442" t="str">
        <f>IFERROR(VLOOKUP(원본데이터_SK!F442,채널매핑!$B:$D,3,0),"미매핑")</f>
        <v>미매핑</v>
      </c>
      <c r="F442">
        <f>IFERROR(VLOOKUP(원본데이터_SK!F442,채널매핑!$B:$E,4,0),1)</f>
        <v>1</v>
      </c>
      <c r="G442">
        <f>원본데이터_SK!Q442</f>
        <v>1</v>
      </c>
      <c r="H442">
        <f>원본데이터_SK!O442</f>
        <v>119000</v>
      </c>
      <c r="I442">
        <f>원본데이터_SK!AG442</f>
        <v>113050</v>
      </c>
      <c r="J442">
        <f>원본데이터_SK!AH442</f>
        <v>82110</v>
      </c>
      <c r="K442">
        <f>IFERROR(VLOOKUP(E442,제품마스터!$A:$B,2,0),0)</f>
        <v>0</v>
      </c>
      <c r="L442">
        <f>원본데이터_SK!Q442*원본데이터_SK!P442</f>
        <v>82110</v>
      </c>
    </row>
    <row r="443" spans="1:12" x14ac:dyDescent="0.3">
      <c r="A443" t="s">
        <v>11</v>
      </c>
      <c r="B443" t="str">
        <f>원본데이터_SK!D443</f>
        <v>20260208229524</v>
      </c>
      <c r="C443" t="str">
        <f>IF(원본데이터_SK!M443="","",TEXT(원본데이터_SK!M443,"YYYY-MM-DD"))</f>
        <v>2026-02-10</v>
      </c>
      <c r="D443" t="str">
        <f>원본데이터_SK!F443</f>
        <v>58481090</v>
      </c>
      <c r="E443" t="str">
        <f>IFERROR(VLOOKUP(원본데이터_SK!F443,채널매핑!$B:$D,3,0),"미매핑")</f>
        <v>미매핑</v>
      </c>
      <c r="F443">
        <f>IFERROR(VLOOKUP(원본데이터_SK!F443,채널매핑!$B:$E,4,0),1)</f>
        <v>1</v>
      </c>
      <c r="G443">
        <f>원본데이터_SK!Q443</f>
        <v>1</v>
      </c>
      <c r="H443">
        <f>원본데이터_SK!O443</f>
        <v>119000</v>
      </c>
      <c r="I443">
        <f>원본데이터_SK!AG443</f>
        <v>113050</v>
      </c>
      <c r="J443">
        <f>원본데이터_SK!AH443</f>
        <v>82110</v>
      </c>
      <c r="K443">
        <f>IFERROR(VLOOKUP(E443,제품마스터!$A:$B,2,0),0)</f>
        <v>0</v>
      </c>
      <c r="L443">
        <f>원본데이터_SK!Q443*원본데이터_SK!P443</f>
        <v>82110</v>
      </c>
    </row>
    <row r="444" spans="1:12" x14ac:dyDescent="0.3">
      <c r="A444" t="s">
        <v>11</v>
      </c>
      <c r="B444" t="str">
        <f>원본데이터_SK!D444</f>
        <v>20260208244830</v>
      </c>
      <c r="C444" t="str">
        <f>IF(원본데이터_SK!M444="","",TEXT(원본데이터_SK!M444,"YYYY-MM-DD"))</f>
        <v>2026-02-10</v>
      </c>
      <c r="D444" t="str">
        <f>원본데이터_SK!F444</f>
        <v>58481090</v>
      </c>
      <c r="E444" t="str">
        <f>IFERROR(VLOOKUP(원본데이터_SK!F444,채널매핑!$B:$D,3,0),"미매핑")</f>
        <v>미매핑</v>
      </c>
      <c r="F444">
        <f>IFERROR(VLOOKUP(원본데이터_SK!F444,채널매핑!$B:$E,4,0),1)</f>
        <v>1</v>
      </c>
      <c r="G444">
        <f>원본데이터_SK!Q444</f>
        <v>1</v>
      </c>
      <c r="H444">
        <f>원본데이터_SK!O444</f>
        <v>119000</v>
      </c>
      <c r="I444">
        <f>원본데이터_SK!AG444</f>
        <v>113050</v>
      </c>
      <c r="J444">
        <f>원본데이터_SK!AH444</f>
        <v>82110</v>
      </c>
      <c r="K444">
        <f>IFERROR(VLOOKUP(E444,제품마스터!$A:$B,2,0),0)</f>
        <v>0</v>
      </c>
      <c r="L444">
        <f>원본데이터_SK!Q444*원본데이터_SK!P444</f>
        <v>82110</v>
      </c>
    </row>
    <row r="445" spans="1:12" x14ac:dyDescent="0.3">
      <c r="A445" t="s">
        <v>11</v>
      </c>
      <c r="B445" t="str">
        <f>원본데이터_SK!D445</f>
        <v>20260207151522</v>
      </c>
      <c r="C445" t="str">
        <f>IF(원본데이터_SK!M445="","",TEXT(원본데이터_SK!M445,"YYYY-MM-DD"))</f>
        <v>2026-02-10</v>
      </c>
      <c r="D445" t="str">
        <f>원본데이터_SK!F445</f>
        <v>58481090</v>
      </c>
      <c r="E445" t="str">
        <f>IFERROR(VLOOKUP(원본데이터_SK!F445,채널매핑!$B:$D,3,0),"미매핑")</f>
        <v>미매핑</v>
      </c>
      <c r="F445">
        <f>IFERROR(VLOOKUP(원본데이터_SK!F445,채널매핑!$B:$E,4,0),1)</f>
        <v>1</v>
      </c>
      <c r="G445">
        <f>원본데이터_SK!Q445</f>
        <v>1</v>
      </c>
      <c r="H445">
        <f>원본데이터_SK!O445</f>
        <v>119000</v>
      </c>
      <c r="I445">
        <f>원본데이터_SK!AG445</f>
        <v>119000</v>
      </c>
      <c r="J445">
        <f>원본데이터_SK!AH445</f>
        <v>82110</v>
      </c>
      <c r="K445">
        <f>IFERROR(VLOOKUP(E445,제품마스터!$A:$B,2,0),0)</f>
        <v>0</v>
      </c>
      <c r="L445">
        <f>원본데이터_SK!Q445*원본데이터_SK!P445</f>
        <v>82110</v>
      </c>
    </row>
    <row r="446" spans="1:12" x14ac:dyDescent="0.3">
      <c r="A446" t="s">
        <v>11</v>
      </c>
      <c r="B446" t="str">
        <f>원본데이터_SK!D446</f>
        <v>20260210360594</v>
      </c>
      <c r="C446" t="str">
        <f>IF(원본데이터_SK!M446="","",TEXT(원본데이터_SK!M446,"YYYY-MM-DD"))</f>
        <v>2026-02-10</v>
      </c>
      <c r="D446" t="str">
        <f>원본데이터_SK!F446</f>
        <v>58481090</v>
      </c>
      <c r="E446" t="str">
        <f>IFERROR(VLOOKUP(원본데이터_SK!F446,채널매핑!$B:$D,3,0),"미매핑")</f>
        <v>미매핑</v>
      </c>
      <c r="F446">
        <f>IFERROR(VLOOKUP(원본데이터_SK!F446,채널매핑!$B:$E,4,0),1)</f>
        <v>1</v>
      </c>
      <c r="G446">
        <f>원본데이터_SK!Q446</f>
        <v>1</v>
      </c>
      <c r="H446">
        <f>원본데이터_SK!O446</f>
        <v>119000</v>
      </c>
      <c r="I446">
        <f>원본데이터_SK!AG446</f>
        <v>119000</v>
      </c>
      <c r="J446">
        <f>원본데이터_SK!AH446</f>
        <v>80920</v>
      </c>
      <c r="K446">
        <f>IFERROR(VLOOKUP(E446,제품마스터!$A:$B,2,0),0)</f>
        <v>0</v>
      </c>
      <c r="L446">
        <f>원본데이터_SK!Q446*원본데이터_SK!P446</f>
        <v>80920</v>
      </c>
    </row>
    <row r="447" spans="1:12" x14ac:dyDescent="0.3">
      <c r="A447" t="s">
        <v>11</v>
      </c>
      <c r="B447" t="str">
        <f>원본데이터_SK!D447</f>
        <v>20260207150468</v>
      </c>
      <c r="C447" t="str">
        <f>IF(원본데이터_SK!M447="","",TEXT(원본데이터_SK!M447,"YYYY-MM-DD"))</f>
        <v>2026-02-10</v>
      </c>
      <c r="D447" t="str">
        <f>원본데이터_SK!F447</f>
        <v>58481090</v>
      </c>
      <c r="E447" t="str">
        <f>IFERROR(VLOOKUP(원본데이터_SK!F447,채널매핑!$B:$D,3,0),"미매핑")</f>
        <v>미매핑</v>
      </c>
      <c r="F447">
        <f>IFERROR(VLOOKUP(원본데이터_SK!F447,채널매핑!$B:$E,4,0),1)</f>
        <v>1</v>
      </c>
      <c r="G447">
        <f>원본데이터_SK!Q447</f>
        <v>1</v>
      </c>
      <c r="H447">
        <f>원본데이터_SK!O447</f>
        <v>119000</v>
      </c>
      <c r="I447">
        <f>원본데이터_SK!AG447</f>
        <v>113050</v>
      </c>
      <c r="J447">
        <f>원본데이터_SK!AH447</f>
        <v>82110</v>
      </c>
      <c r="K447">
        <f>IFERROR(VLOOKUP(E447,제품마스터!$A:$B,2,0),0)</f>
        <v>0</v>
      </c>
      <c r="L447">
        <f>원본데이터_SK!Q447*원본데이터_SK!P447</f>
        <v>82110</v>
      </c>
    </row>
    <row r="448" spans="1:12" x14ac:dyDescent="0.3">
      <c r="A448" t="s">
        <v>11</v>
      </c>
      <c r="B448" t="str">
        <f>원본데이터_SK!D448</f>
        <v>20260209873932</v>
      </c>
      <c r="C448" t="str">
        <f>IF(원본데이터_SK!M448="","",TEXT(원본데이터_SK!M448,"YYYY-MM-DD"))</f>
        <v>2026-02-10</v>
      </c>
      <c r="D448" t="str">
        <f>원본데이터_SK!F448</f>
        <v>58481090</v>
      </c>
      <c r="E448" t="str">
        <f>IFERROR(VLOOKUP(원본데이터_SK!F448,채널매핑!$B:$D,3,0),"미매핑")</f>
        <v>미매핑</v>
      </c>
      <c r="F448">
        <f>IFERROR(VLOOKUP(원본데이터_SK!F448,채널매핑!$B:$E,4,0),1)</f>
        <v>1</v>
      </c>
      <c r="G448">
        <f>원본데이터_SK!Q448</f>
        <v>1</v>
      </c>
      <c r="H448">
        <f>원본데이터_SK!O448</f>
        <v>119000</v>
      </c>
      <c r="I448">
        <f>원본데이터_SK!AG448</f>
        <v>105910</v>
      </c>
      <c r="J448">
        <f>원본데이터_SK!AH448</f>
        <v>82110</v>
      </c>
      <c r="K448">
        <f>IFERROR(VLOOKUP(E448,제품마스터!$A:$B,2,0),0)</f>
        <v>0</v>
      </c>
      <c r="L448">
        <f>원본데이터_SK!Q448*원본데이터_SK!P448</f>
        <v>82110</v>
      </c>
    </row>
    <row r="449" spans="1:12" x14ac:dyDescent="0.3">
      <c r="A449" t="s">
        <v>11</v>
      </c>
      <c r="B449" t="str">
        <f>원본데이터_SK!D449</f>
        <v>20260206659552</v>
      </c>
      <c r="C449" t="str">
        <f>IF(원본데이터_SK!M449="","",TEXT(원본데이터_SK!M449,"YYYY-MM-DD"))</f>
        <v>2026-02-10</v>
      </c>
      <c r="D449" t="str">
        <f>원본데이터_SK!F449</f>
        <v>58481090</v>
      </c>
      <c r="E449" t="str">
        <f>IFERROR(VLOOKUP(원본데이터_SK!F449,채널매핑!$B:$D,3,0),"미매핑")</f>
        <v>미매핑</v>
      </c>
      <c r="F449">
        <f>IFERROR(VLOOKUP(원본데이터_SK!F449,채널매핑!$B:$E,4,0),1)</f>
        <v>1</v>
      </c>
      <c r="G449">
        <f>원본데이터_SK!Q449</f>
        <v>1</v>
      </c>
      <c r="H449">
        <f>원본데이터_SK!O449</f>
        <v>119000</v>
      </c>
      <c r="I449">
        <f>원본데이터_SK!AG449</f>
        <v>113050</v>
      </c>
      <c r="J449">
        <f>원본데이터_SK!AH449</f>
        <v>82110</v>
      </c>
      <c r="K449">
        <f>IFERROR(VLOOKUP(E449,제품마스터!$A:$B,2,0),0)</f>
        <v>0</v>
      </c>
      <c r="L449">
        <f>원본데이터_SK!Q449*원본데이터_SK!P449</f>
        <v>82110</v>
      </c>
    </row>
    <row r="450" spans="1:12" x14ac:dyDescent="0.3">
      <c r="A450" t="s">
        <v>11</v>
      </c>
      <c r="B450" t="str">
        <f>원본데이터_SK!D450</f>
        <v>20260206651056</v>
      </c>
      <c r="C450" t="str">
        <f>IF(원본데이터_SK!M450="","",TEXT(원본데이터_SK!M450,"YYYY-MM-DD"))</f>
        <v>2026-02-10</v>
      </c>
      <c r="D450" t="str">
        <f>원본데이터_SK!F450</f>
        <v>58481090</v>
      </c>
      <c r="E450" t="str">
        <f>IFERROR(VLOOKUP(원본데이터_SK!F450,채널매핑!$B:$D,3,0),"미매핑")</f>
        <v>미매핑</v>
      </c>
      <c r="F450">
        <f>IFERROR(VLOOKUP(원본데이터_SK!F450,채널매핑!$B:$E,4,0),1)</f>
        <v>1</v>
      </c>
      <c r="G450">
        <f>원본데이터_SK!Q450</f>
        <v>1</v>
      </c>
      <c r="H450">
        <f>원본데이터_SK!O450</f>
        <v>119000</v>
      </c>
      <c r="I450">
        <f>원본데이터_SK!AG450</f>
        <v>113050</v>
      </c>
      <c r="J450">
        <f>원본데이터_SK!AH450</f>
        <v>82110</v>
      </c>
      <c r="K450">
        <f>IFERROR(VLOOKUP(E450,제품마스터!$A:$B,2,0),0)</f>
        <v>0</v>
      </c>
      <c r="L450">
        <f>원본데이터_SK!Q450*원본데이터_SK!P450</f>
        <v>82110</v>
      </c>
    </row>
    <row r="451" spans="1:12" x14ac:dyDescent="0.3">
      <c r="A451" t="s">
        <v>11</v>
      </c>
      <c r="B451" t="str">
        <f>원본데이터_SK!D451</f>
        <v>20260207124110</v>
      </c>
      <c r="C451" t="str">
        <f>IF(원본데이터_SK!M451="","",TEXT(원본데이터_SK!M451,"YYYY-MM-DD"))</f>
        <v>2026-02-10</v>
      </c>
      <c r="D451" t="str">
        <f>원본데이터_SK!F451</f>
        <v>58481090</v>
      </c>
      <c r="E451" t="str">
        <f>IFERROR(VLOOKUP(원본데이터_SK!F451,채널매핑!$B:$D,3,0),"미매핑")</f>
        <v>미매핑</v>
      </c>
      <c r="F451">
        <f>IFERROR(VLOOKUP(원본데이터_SK!F451,채널매핑!$B:$E,4,0),1)</f>
        <v>1</v>
      </c>
      <c r="G451">
        <f>원본데이터_SK!Q451</f>
        <v>1</v>
      </c>
      <c r="H451">
        <f>원본데이터_SK!O451</f>
        <v>119000</v>
      </c>
      <c r="I451">
        <f>원본데이터_SK!AG451</f>
        <v>113050</v>
      </c>
      <c r="J451">
        <f>원본데이터_SK!AH451</f>
        <v>82110</v>
      </c>
      <c r="K451">
        <f>IFERROR(VLOOKUP(E451,제품마스터!$A:$B,2,0),0)</f>
        <v>0</v>
      </c>
      <c r="L451">
        <f>원본데이터_SK!Q451*원본데이터_SK!P451</f>
        <v>82110</v>
      </c>
    </row>
    <row r="452" spans="1:12" x14ac:dyDescent="0.3">
      <c r="A452" t="s">
        <v>11</v>
      </c>
      <c r="B452" t="str">
        <f>원본데이터_SK!D452</f>
        <v>20260208259329</v>
      </c>
      <c r="C452" t="str">
        <f>IF(원본데이터_SK!M452="","",TEXT(원본데이터_SK!M452,"YYYY-MM-DD"))</f>
        <v>2026-02-10</v>
      </c>
      <c r="D452" t="str">
        <f>원본데이터_SK!F452</f>
        <v>58481090</v>
      </c>
      <c r="E452" t="str">
        <f>IFERROR(VLOOKUP(원본데이터_SK!F452,채널매핑!$B:$D,3,0),"미매핑")</f>
        <v>미매핑</v>
      </c>
      <c r="F452">
        <f>IFERROR(VLOOKUP(원본데이터_SK!F452,채널매핑!$B:$E,4,0),1)</f>
        <v>1</v>
      </c>
      <c r="G452">
        <f>원본데이터_SK!Q452</f>
        <v>1</v>
      </c>
      <c r="H452">
        <f>원본데이터_SK!O452</f>
        <v>119000</v>
      </c>
      <c r="I452">
        <f>원본데이터_SK!AG452</f>
        <v>113050</v>
      </c>
      <c r="J452">
        <f>원본데이터_SK!AH452</f>
        <v>82110</v>
      </c>
      <c r="K452">
        <f>IFERROR(VLOOKUP(E452,제품마스터!$A:$B,2,0),0)</f>
        <v>0</v>
      </c>
      <c r="L452">
        <f>원본데이터_SK!Q452*원본데이터_SK!P452</f>
        <v>82110</v>
      </c>
    </row>
    <row r="453" spans="1:12" x14ac:dyDescent="0.3">
      <c r="A453" t="s">
        <v>11</v>
      </c>
      <c r="B453" t="str">
        <f>원본데이터_SK!D453</f>
        <v>20260207150472</v>
      </c>
      <c r="C453" t="str">
        <f>IF(원본데이터_SK!M453="","",TEXT(원본데이터_SK!M453,"YYYY-MM-DD"))</f>
        <v>2026-02-10</v>
      </c>
      <c r="D453" t="str">
        <f>원본데이터_SK!F453</f>
        <v>58481090</v>
      </c>
      <c r="E453" t="str">
        <f>IFERROR(VLOOKUP(원본데이터_SK!F453,채널매핑!$B:$D,3,0),"미매핑")</f>
        <v>미매핑</v>
      </c>
      <c r="F453">
        <f>IFERROR(VLOOKUP(원본데이터_SK!F453,채널매핑!$B:$E,4,0),1)</f>
        <v>1</v>
      </c>
      <c r="G453">
        <f>원본데이터_SK!Q453</f>
        <v>1</v>
      </c>
      <c r="H453">
        <f>원본데이터_SK!O453</f>
        <v>119000</v>
      </c>
      <c r="I453">
        <f>원본데이터_SK!AG453</f>
        <v>113050</v>
      </c>
      <c r="J453">
        <f>원본데이터_SK!AH453</f>
        <v>82110</v>
      </c>
      <c r="K453">
        <f>IFERROR(VLOOKUP(E453,제품마스터!$A:$B,2,0),0)</f>
        <v>0</v>
      </c>
      <c r="L453">
        <f>원본데이터_SK!Q453*원본데이터_SK!P453</f>
        <v>82110</v>
      </c>
    </row>
    <row r="454" spans="1:12" x14ac:dyDescent="0.3">
      <c r="A454" t="s">
        <v>11</v>
      </c>
      <c r="B454" t="str">
        <f>원본데이터_SK!D454</f>
        <v>20260207147250</v>
      </c>
      <c r="C454" t="str">
        <f>IF(원본데이터_SK!M454="","",TEXT(원본데이터_SK!M454,"YYYY-MM-DD"))</f>
        <v>2026-02-10</v>
      </c>
      <c r="D454" t="str">
        <f>원본데이터_SK!F454</f>
        <v>58481090</v>
      </c>
      <c r="E454" t="str">
        <f>IFERROR(VLOOKUP(원본데이터_SK!F454,채널매핑!$B:$D,3,0),"미매핑")</f>
        <v>미매핑</v>
      </c>
      <c r="F454">
        <f>IFERROR(VLOOKUP(원본데이터_SK!F454,채널매핑!$B:$E,4,0),1)</f>
        <v>1</v>
      </c>
      <c r="G454">
        <f>원본데이터_SK!Q454</f>
        <v>1</v>
      </c>
      <c r="H454">
        <f>원본데이터_SK!O454</f>
        <v>119000</v>
      </c>
      <c r="I454">
        <f>원본데이터_SK!AG454</f>
        <v>113050</v>
      </c>
      <c r="J454">
        <f>원본데이터_SK!AH454</f>
        <v>82110</v>
      </c>
      <c r="K454">
        <f>IFERROR(VLOOKUP(E454,제품마스터!$A:$B,2,0),0)</f>
        <v>0</v>
      </c>
      <c r="L454">
        <f>원본데이터_SK!Q454*원본데이터_SK!P454</f>
        <v>82110</v>
      </c>
    </row>
    <row r="455" spans="1:12" x14ac:dyDescent="0.3">
      <c r="A455" t="s">
        <v>11</v>
      </c>
      <c r="B455" t="str">
        <f>원본데이터_SK!D455</f>
        <v>20260207147257</v>
      </c>
      <c r="C455" t="str">
        <f>IF(원본데이터_SK!M455="","",TEXT(원본데이터_SK!M455,"YYYY-MM-DD"))</f>
        <v>2026-02-10</v>
      </c>
      <c r="D455" t="str">
        <f>원본데이터_SK!F455</f>
        <v>58481090</v>
      </c>
      <c r="E455" t="str">
        <f>IFERROR(VLOOKUP(원본데이터_SK!F455,채널매핑!$B:$D,3,0),"미매핑")</f>
        <v>미매핑</v>
      </c>
      <c r="F455">
        <f>IFERROR(VLOOKUP(원본데이터_SK!F455,채널매핑!$B:$E,4,0),1)</f>
        <v>1</v>
      </c>
      <c r="G455">
        <f>원본데이터_SK!Q455</f>
        <v>1</v>
      </c>
      <c r="H455">
        <f>원본데이터_SK!O455</f>
        <v>119000</v>
      </c>
      <c r="I455">
        <f>원본데이터_SK!AG455</f>
        <v>113050</v>
      </c>
      <c r="J455">
        <f>원본데이터_SK!AH455</f>
        <v>82110</v>
      </c>
      <c r="K455">
        <f>IFERROR(VLOOKUP(E455,제품마스터!$A:$B,2,0),0)</f>
        <v>0</v>
      </c>
      <c r="L455">
        <f>원본데이터_SK!Q455*원본데이터_SK!P455</f>
        <v>82110</v>
      </c>
    </row>
    <row r="456" spans="1:12" x14ac:dyDescent="0.3">
      <c r="A456" t="s">
        <v>11</v>
      </c>
      <c r="B456" t="str">
        <f>원본데이터_SK!D456</f>
        <v>20260208260735</v>
      </c>
      <c r="C456" t="str">
        <f>IF(원본데이터_SK!M456="","",TEXT(원본데이터_SK!M456,"YYYY-MM-DD"))</f>
        <v>2026-02-10</v>
      </c>
      <c r="D456" t="str">
        <f>원본데이터_SK!F456</f>
        <v>58481090</v>
      </c>
      <c r="E456" t="str">
        <f>IFERROR(VLOOKUP(원본데이터_SK!F456,채널매핑!$B:$D,3,0),"미매핑")</f>
        <v>미매핑</v>
      </c>
      <c r="F456">
        <f>IFERROR(VLOOKUP(원본데이터_SK!F456,채널매핑!$B:$E,4,0),1)</f>
        <v>1</v>
      </c>
      <c r="G456">
        <f>원본데이터_SK!Q456</f>
        <v>1</v>
      </c>
      <c r="H456">
        <f>원본데이터_SK!O456</f>
        <v>119000</v>
      </c>
      <c r="I456">
        <f>원본데이터_SK!AG456</f>
        <v>113050</v>
      </c>
      <c r="J456">
        <f>원본데이터_SK!AH456</f>
        <v>82110</v>
      </c>
      <c r="K456">
        <f>IFERROR(VLOOKUP(E456,제품마스터!$A:$B,2,0),0)</f>
        <v>0</v>
      </c>
      <c r="L456">
        <f>원본데이터_SK!Q456*원본데이터_SK!P456</f>
        <v>82110</v>
      </c>
    </row>
    <row r="457" spans="1:12" x14ac:dyDescent="0.3">
      <c r="A457" t="s">
        <v>11</v>
      </c>
      <c r="B457" t="str">
        <f>원본데이터_SK!D457</f>
        <v>20260207117865</v>
      </c>
      <c r="C457" t="str">
        <f>IF(원본데이터_SK!M457="","",TEXT(원본데이터_SK!M457,"YYYY-MM-DD"))</f>
        <v>2026-02-10</v>
      </c>
      <c r="D457" t="str">
        <f>원본데이터_SK!F457</f>
        <v>58481090</v>
      </c>
      <c r="E457" t="str">
        <f>IFERROR(VLOOKUP(원본데이터_SK!F457,채널매핑!$B:$D,3,0),"미매핑")</f>
        <v>미매핑</v>
      </c>
      <c r="F457">
        <f>IFERROR(VLOOKUP(원본데이터_SK!F457,채널매핑!$B:$E,4,0),1)</f>
        <v>1</v>
      </c>
      <c r="G457">
        <f>원본데이터_SK!Q457</f>
        <v>1</v>
      </c>
      <c r="H457">
        <f>원본데이터_SK!O457</f>
        <v>119000</v>
      </c>
      <c r="I457">
        <f>원본데이터_SK!AG457</f>
        <v>119000</v>
      </c>
      <c r="J457">
        <f>원본데이터_SK!AH457</f>
        <v>82110</v>
      </c>
      <c r="K457">
        <f>IFERROR(VLOOKUP(E457,제품마스터!$A:$B,2,0),0)</f>
        <v>0</v>
      </c>
      <c r="L457">
        <f>원본데이터_SK!Q457*원본데이터_SK!P457</f>
        <v>82110</v>
      </c>
    </row>
    <row r="458" spans="1:12" x14ac:dyDescent="0.3">
      <c r="A458" t="s">
        <v>11</v>
      </c>
      <c r="B458" t="str">
        <f>원본데이터_SK!D458</f>
        <v>20260205994815</v>
      </c>
      <c r="C458" t="str">
        <f>IF(원본데이터_SK!M458="","",TEXT(원본데이터_SK!M458,"YYYY-MM-DD"))</f>
        <v>2026-02-10</v>
      </c>
      <c r="D458" t="str">
        <f>원본데이터_SK!F458</f>
        <v>58481090</v>
      </c>
      <c r="E458" t="str">
        <f>IFERROR(VLOOKUP(원본데이터_SK!F458,채널매핑!$B:$D,3,0),"미매핑")</f>
        <v>미매핑</v>
      </c>
      <c r="F458">
        <f>IFERROR(VLOOKUP(원본데이터_SK!F458,채널매핑!$B:$E,4,0),1)</f>
        <v>1</v>
      </c>
      <c r="G458">
        <f>원본데이터_SK!Q458</f>
        <v>1</v>
      </c>
      <c r="H458">
        <f>원본데이터_SK!O458</f>
        <v>119000</v>
      </c>
      <c r="I458">
        <f>원본데이터_SK!AG458</f>
        <v>119000</v>
      </c>
      <c r="J458">
        <f>원본데이터_SK!AH458</f>
        <v>82110</v>
      </c>
      <c r="K458">
        <f>IFERROR(VLOOKUP(E458,제품마스터!$A:$B,2,0),0)</f>
        <v>0</v>
      </c>
      <c r="L458">
        <f>원본데이터_SK!Q458*원본데이터_SK!P458</f>
        <v>82110</v>
      </c>
    </row>
    <row r="459" spans="1:12" x14ac:dyDescent="0.3">
      <c r="A459" t="s">
        <v>11</v>
      </c>
      <c r="B459" t="str">
        <f>원본데이터_SK!D459</f>
        <v>20260203309850</v>
      </c>
      <c r="C459" t="str">
        <f>IF(원본데이터_SK!M459="","",TEXT(원본데이터_SK!M459,"YYYY-MM-DD"))</f>
        <v>2026-02-10</v>
      </c>
      <c r="D459" t="str">
        <f>원본데이터_SK!F459</f>
        <v>58481090</v>
      </c>
      <c r="E459" t="str">
        <f>IFERROR(VLOOKUP(원본데이터_SK!F459,채널매핑!$B:$D,3,0),"미매핑")</f>
        <v>미매핑</v>
      </c>
      <c r="F459">
        <f>IFERROR(VLOOKUP(원본데이터_SK!F459,채널매핑!$B:$E,4,0),1)</f>
        <v>1</v>
      </c>
      <c r="G459">
        <f>원본데이터_SK!Q459</f>
        <v>1</v>
      </c>
      <c r="H459">
        <f>원본데이터_SK!O459</f>
        <v>119000</v>
      </c>
      <c r="I459">
        <f>원본데이터_SK!AG459</f>
        <v>109000</v>
      </c>
      <c r="J459">
        <f>원본데이터_SK!AH459</f>
        <v>82110</v>
      </c>
      <c r="K459">
        <f>IFERROR(VLOOKUP(E459,제품마스터!$A:$B,2,0),0)</f>
        <v>0</v>
      </c>
      <c r="L459">
        <f>원본데이터_SK!Q459*원본데이터_SK!P459</f>
        <v>82110</v>
      </c>
    </row>
    <row r="460" spans="1:12" x14ac:dyDescent="0.3">
      <c r="A460" t="s">
        <v>11</v>
      </c>
      <c r="B460" t="str">
        <f>원본데이터_SK!D460</f>
        <v>20260207151170</v>
      </c>
      <c r="C460" t="str">
        <f>IF(원본데이터_SK!M460="","",TEXT(원본데이터_SK!M460,"YYYY-MM-DD"))</f>
        <v>2026-02-10</v>
      </c>
      <c r="D460" t="str">
        <f>원본데이터_SK!F460</f>
        <v>58481090</v>
      </c>
      <c r="E460" t="str">
        <f>IFERROR(VLOOKUP(원본데이터_SK!F460,채널매핑!$B:$D,3,0),"미매핑")</f>
        <v>미매핑</v>
      </c>
      <c r="F460">
        <f>IFERROR(VLOOKUP(원본데이터_SK!F460,채널매핑!$B:$E,4,0),1)</f>
        <v>1</v>
      </c>
      <c r="G460">
        <f>원본데이터_SK!Q460</f>
        <v>1</v>
      </c>
      <c r="H460">
        <f>원본데이터_SK!O460</f>
        <v>119000</v>
      </c>
      <c r="I460">
        <f>원본데이터_SK!AG460</f>
        <v>109000</v>
      </c>
      <c r="J460">
        <f>원본데이터_SK!AH460</f>
        <v>82110</v>
      </c>
      <c r="K460">
        <f>IFERROR(VLOOKUP(E460,제품마스터!$A:$B,2,0),0)</f>
        <v>0</v>
      </c>
      <c r="L460">
        <f>원본데이터_SK!Q460*원본데이터_SK!P460</f>
        <v>82110</v>
      </c>
    </row>
    <row r="461" spans="1:12" x14ac:dyDescent="0.3">
      <c r="A461" t="s">
        <v>11</v>
      </c>
      <c r="B461" t="str">
        <f>원본데이터_SK!D461</f>
        <v>20260205992935</v>
      </c>
      <c r="C461" t="str">
        <f>IF(원본데이터_SK!M461="","",TEXT(원본데이터_SK!M461,"YYYY-MM-DD"))</f>
        <v>2026-02-10</v>
      </c>
      <c r="D461" t="str">
        <f>원본데이터_SK!F461</f>
        <v>58481090</v>
      </c>
      <c r="E461" t="str">
        <f>IFERROR(VLOOKUP(원본데이터_SK!F461,채널매핑!$B:$D,3,0),"미매핑")</f>
        <v>미매핑</v>
      </c>
      <c r="F461">
        <f>IFERROR(VLOOKUP(원본데이터_SK!F461,채널매핑!$B:$E,4,0),1)</f>
        <v>1</v>
      </c>
      <c r="G461">
        <f>원본데이터_SK!Q461</f>
        <v>1</v>
      </c>
      <c r="H461">
        <f>원본데이터_SK!O461</f>
        <v>119000</v>
      </c>
      <c r="I461">
        <f>원본데이터_SK!AG461</f>
        <v>119000</v>
      </c>
      <c r="J461">
        <f>원본데이터_SK!AH461</f>
        <v>82110</v>
      </c>
      <c r="K461">
        <f>IFERROR(VLOOKUP(E461,제품마스터!$A:$B,2,0),0)</f>
        <v>0</v>
      </c>
      <c r="L461">
        <f>원본데이터_SK!Q461*원본데이터_SK!P461</f>
        <v>82110</v>
      </c>
    </row>
    <row r="462" spans="1:12" x14ac:dyDescent="0.3">
      <c r="A462" t="s">
        <v>11</v>
      </c>
      <c r="B462" t="str">
        <f>원본데이터_SK!D462</f>
        <v>20260205994829</v>
      </c>
      <c r="C462" t="str">
        <f>IF(원본데이터_SK!M462="","",TEXT(원본데이터_SK!M462,"YYYY-MM-DD"))</f>
        <v>2026-02-10</v>
      </c>
      <c r="D462" t="str">
        <f>원본데이터_SK!F462</f>
        <v>58481090</v>
      </c>
      <c r="E462" t="str">
        <f>IFERROR(VLOOKUP(원본데이터_SK!F462,채널매핑!$B:$D,3,0),"미매핑")</f>
        <v>미매핑</v>
      </c>
      <c r="F462">
        <f>IFERROR(VLOOKUP(원본데이터_SK!F462,채널매핑!$B:$E,4,0),1)</f>
        <v>1</v>
      </c>
      <c r="G462">
        <f>원본데이터_SK!Q462</f>
        <v>3</v>
      </c>
      <c r="H462">
        <f>원본데이터_SK!O462</f>
        <v>119000</v>
      </c>
      <c r="I462">
        <f>원본데이터_SK!AG462</f>
        <v>357000</v>
      </c>
      <c r="J462">
        <f>원본데이터_SK!AH462</f>
        <v>246330</v>
      </c>
      <c r="K462">
        <f>IFERROR(VLOOKUP(E462,제품마스터!$A:$B,2,0),0)</f>
        <v>0</v>
      </c>
      <c r="L462">
        <f>원본데이터_SK!Q462*원본데이터_SK!P462</f>
        <v>246330</v>
      </c>
    </row>
    <row r="463" spans="1:12" x14ac:dyDescent="0.3">
      <c r="A463" t="s">
        <v>11</v>
      </c>
      <c r="B463" t="str">
        <f>원본데이터_SK!D463</f>
        <v>20260205994617</v>
      </c>
      <c r="C463" t="str">
        <f>IF(원본데이터_SK!M463="","",TEXT(원본데이터_SK!M463,"YYYY-MM-DD"))</f>
        <v>2026-02-10</v>
      </c>
      <c r="D463" t="str">
        <f>원본데이터_SK!F463</f>
        <v>58481090</v>
      </c>
      <c r="E463" t="str">
        <f>IFERROR(VLOOKUP(원본데이터_SK!F463,채널매핑!$B:$D,3,0),"미매핑")</f>
        <v>미매핑</v>
      </c>
      <c r="F463">
        <f>IFERROR(VLOOKUP(원본데이터_SK!F463,채널매핑!$B:$E,4,0),1)</f>
        <v>1</v>
      </c>
      <c r="G463">
        <f>원본데이터_SK!Q463</f>
        <v>1</v>
      </c>
      <c r="H463">
        <f>원본데이터_SK!O463</f>
        <v>119000</v>
      </c>
      <c r="I463">
        <f>원본데이터_SK!AG463</f>
        <v>113050</v>
      </c>
      <c r="J463">
        <f>원본데이터_SK!AH463</f>
        <v>82110</v>
      </c>
      <c r="K463">
        <f>IFERROR(VLOOKUP(E463,제품마스터!$A:$B,2,0),0)</f>
        <v>0</v>
      </c>
      <c r="L463">
        <f>원본데이터_SK!Q463*원본데이터_SK!P463</f>
        <v>82110</v>
      </c>
    </row>
    <row r="464" spans="1:12" x14ac:dyDescent="0.3">
      <c r="A464" t="s">
        <v>11</v>
      </c>
      <c r="B464" t="str">
        <f>원본데이터_SK!D464</f>
        <v>20260205995024</v>
      </c>
      <c r="C464" t="str">
        <f>IF(원본데이터_SK!M464="","",TEXT(원본데이터_SK!M464,"YYYY-MM-DD"))</f>
        <v>2026-02-10</v>
      </c>
      <c r="D464" t="str">
        <f>원본데이터_SK!F464</f>
        <v>58481090</v>
      </c>
      <c r="E464" t="str">
        <f>IFERROR(VLOOKUP(원본데이터_SK!F464,채널매핑!$B:$D,3,0),"미매핑")</f>
        <v>미매핑</v>
      </c>
      <c r="F464">
        <f>IFERROR(VLOOKUP(원본데이터_SK!F464,채널매핑!$B:$E,4,0),1)</f>
        <v>1</v>
      </c>
      <c r="G464">
        <f>원본데이터_SK!Q464</f>
        <v>1</v>
      </c>
      <c r="H464">
        <f>원본데이터_SK!O464</f>
        <v>119000</v>
      </c>
      <c r="I464">
        <f>원본데이터_SK!AG464</f>
        <v>119000</v>
      </c>
      <c r="J464">
        <f>원본데이터_SK!AH464</f>
        <v>82110</v>
      </c>
      <c r="K464">
        <f>IFERROR(VLOOKUP(E464,제품마스터!$A:$B,2,0),0)</f>
        <v>0</v>
      </c>
      <c r="L464">
        <f>원본데이터_SK!Q464*원본데이터_SK!P464</f>
        <v>82110</v>
      </c>
    </row>
    <row r="465" spans="1:12" x14ac:dyDescent="0.3">
      <c r="A465" t="s">
        <v>11</v>
      </c>
      <c r="B465" t="str">
        <f>원본데이터_SK!D465</f>
        <v>20260203309978</v>
      </c>
      <c r="C465" t="str">
        <f>IF(원본데이터_SK!M465="","",TEXT(원본데이터_SK!M465,"YYYY-MM-DD"))</f>
        <v>2026-02-10</v>
      </c>
      <c r="D465" t="str">
        <f>원본데이터_SK!F465</f>
        <v>58481090</v>
      </c>
      <c r="E465" t="str">
        <f>IFERROR(VLOOKUP(원본데이터_SK!F465,채널매핑!$B:$D,3,0),"미매핑")</f>
        <v>미매핑</v>
      </c>
      <c r="F465">
        <f>IFERROR(VLOOKUP(원본데이터_SK!F465,채널매핑!$B:$E,4,0),1)</f>
        <v>1</v>
      </c>
      <c r="G465">
        <f>원본데이터_SK!Q465</f>
        <v>1</v>
      </c>
      <c r="H465">
        <f>원본데이터_SK!O465</f>
        <v>119000</v>
      </c>
      <c r="I465">
        <f>원본데이터_SK!AG465</f>
        <v>119000</v>
      </c>
      <c r="J465">
        <f>원본데이터_SK!AH465</f>
        <v>82110</v>
      </c>
      <c r="K465">
        <f>IFERROR(VLOOKUP(E465,제품마스터!$A:$B,2,0),0)</f>
        <v>0</v>
      </c>
      <c r="L465">
        <f>원본데이터_SK!Q465*원본데이터_SK!P465</f>
        <v>82110</v>
      </c>
    </row>
    <row r="466" spans="1:12" x14ac:dyDescent="0.3">
      <c r="A466" t="s">
        <v>11</v>
      </c>
      <c r="B466" t="str">
        <f>원본데이터_SK!D466</f>
        <v>20260205994069</v>
      </c>
      <c r="C466" t="str">
        <f>IF(원본데이터_SK!M466="","",TEXT(원본데이터_SK!M466,"YYYY-MM-DD"))</f>
        <v>2026-02-10</v>
      </c>
      <c r="D466" t="str">
        <f>원본데이터_SK!F466</f>
        <v>58481090</v>
      </c>
      <c r="E466" t="str">
        <f>IFERROR(VLOOKUP(원본데이터_SK!F466,채널매핑!$B:$D,3,0),"미매핑")</f>
        <v>미매핑</v>
      </c>
      <c r="F466">
        <f>IFERROR(VLOOKUP(원본데이터_SK!F466,채널매핑!$B:$E,4,0),1)</f>
        <v>1</v>
      </c>
      <c r="G466">
        <f>원본데이터_SK!Q466</f>
        <v>1</v>
      </c>
      <c r="H466">
        <f>원본데이터_SK!O466</f>
        <v>119000</v>
      </c>
      <c r="I466">
        <f>원본데이터_SK!AG466</f>
        <v>119000</v>
      </c>
      <c r="J466">
        <f>원본데이터_SK!AH466</f>
        <v>82110</v>
      </c>
      <c r="K466">
        <f>IFERROR(VLOOKUP(E466,제품마스터!$A:$B,2,0),0)</f>
        <v>0</v>
      </c>
      <c r="L466">
        <f>원본데이터_SK!Q466*원본데이터_SK!P466</f>
        <v>82110</v>
      </c>
    </row>
    <row r="467" spans="1:12" x14ac:dyDescent="0.3">
      <c r="A467" t="s">
        <v>11</v>
      </c>
      <c r="B467" t="str">
        <f>원본데이터_SK!D467</f>
        <v>20260208250075</v>
      </c>
      <c r="C467" t="str">
        <f>IF(원본데이터_SK!M467="","",TEXT(원본데이터_SK!M467,"YYYY-MM-DD"))</f>
        <v>2026-02-10</v>
      </c>
      <c r="D467" t="str">
        <f>원본데이터_SK!F467</f>
        <v>58481090</v>
      </c>
      <c r="E467" t="str">
        <f>IFERROR(VLOOKUP(원본데이터_SK!F467,채널매핑!$B:$D,3,0),"미매핑")</f>
        <v>미매핑</v>
      </c>
      <c r="F467">
        <f>IFERROR(VLOOKUP(원본데이터_SK!F467,채널매핑!$B:$E,4,0),1)</f>
        <v>1</v>
      </c>
      <c r="G467">
        <f>원본데이터_SK!Q467</f>
        <v>1</v>
      </c>
      <c r="H467">
        <f>원본데이터_SK!O467</f>
        <v>119000</v>
      </c>
      <c r="I467">
        <f>원본데이터_SK!AG467</f>
        <v>119000</v>
      </c>
      <c r="J467">
        <f>원본데이터_SK!AH467</f>
        <v>82110</v>
      </c>
      <c r="K467">
        <f>IFERROR(VLOOKUP(E467,제품마스터!$A:$B,2,0),0)</f>
        <v>0</v>
      </c>
      <c r="L467">
        <f>원본데이터_SK!Q467*원본데이터_SK!P467</f>
        <v>82110</v>
      </c>
    </row>
    <row r="468" spans="1:12" x14ac:dyDescent="0.3">
      <c r="A468" t="s">
        <v>11</v>
      </c>
      <c r="B468" t="str">
        <f>원본데이터_SK!D468</f>
        <v>20260205994926</v>
      </c>
      <c r="C468" t="str">
        <f>IF(원본데이터_SK!M468="","",TEXT(원본데이터_SK!M468,"YYYY-MM-DD"))</f>
        <v>2026-02-10</v>
      </c>
      <c r="D468" t="str">
        <f>원본데이터_SK!F468</f>
        <v>58481090</v>
      </c>
      <c r="E468" t="str">
        <f>IFERROR(VLOOKUP(원본데이터_SK!F468,채널매핑!$B:$D,3,0),"미매핑")</f>
        <v>미매핑</v>
      </c>
      <c r="F468">
        <f>IFERROR(VLOOKUP(원본데이터_SK!F468,채널매핑!$B:$E,4,0),1)</f>
        <v>1</v>
      </c>
      <c r="G468">
        <f>원본데이터_SK!Q468</f>
        <v>1</v>
      </c>
      <c r="H468">
        <f>원본데이터_SK!O468</f>
        <v>119000</v>
      </c>
      <c r="I468">
        <f>원본데이터_SK!AG468</f>
        <v>119000</v>
      </c>
      <c r="J468">
        <f>원본데이터_SK!AH468</f>
        <v>82110</v>
      </c>
      <c r="K468">
        <f>IFERROR(VLOOKUP(E468,제품마스터!$A:$B,2,0),0)</f>
        <v>0</v>
      </c>
      <c r="L468">
        <f>원본데이터_SK!Q468*원본데이터_SK!P468</f>
        <v>82110</v>
      </c>
    </row>
    <row r="469" spans="1:12" x14ac:dyDescent="0.3">
      <c r="A469" t="s">
        <v>11</v>
      </c>
      <c r="B469" t="str">
        <f>원본데이터_SK!D469</f>
        <v>20260205993624</v>
      </c>
      <c r="C469" t="str">
        <f>IF(원본데이터_SK!M469="","",TEXT(원본데이터_SK!M469,"YYYY-MM-DD"))</f>
        <v>2026-02-10</v>
      </c>
      <c r="D469" t="str">
        <f>원본데이터_SK!F469</f>
        <v>58481090</v>
      </c>
      <c r="E469" t="str">
        <f>IFERROR(VLOOKUP(원본데이터_SK!F469,채널매핑!$B:$D,3,0),"미매핑")</f>
        <v>미매핑</v>
      </c>
      <c r="F469">
        <f>IFERROR(VLOOKUP(원본데이터_SK!F469,채널매핑!$B:$E,4,0),1)</f>
        <v>1</v>
      </c>
      <c r="G469">
        <f>원본데이터_SK!Q469</f>
        <v>1</v>
      </c>
      <c r="H469">
        <f>원본데이터_SK!O469</f>
        <v>119000</v>
      </c>
      <c r="I469">
        <f>원본데이터_SK!AG469</f>
        <v>119000</v>
      </c>
      <c r="J469">
        <f>원본데이터_SK!AH469</f>
        <v>82110</v>
      </c>
      <c r="K469">
        <f>IFERROR(VLOOKUP(E469,제품마스터!$A:$B,2,0),0)</f>
        <v>0</v>
      </c>
      <c r="L469">
        <f>원본데이터_SK!Q469*원본데이터_SK!P469</f>
        <v>82110</v>
      </c>
    </row>
    <row r="470" spans="1:12" x14ac:dyDescent="0.3">
      <c r="A470" t="s">
        <v>11</v>
      </c>
      <c r="B470" t="str">
        <f>원본데이터_SK!D470</f>
        <v>20260205993757</v>
      </c>
      <c r="C470" t="str">
        <f>IF(원본데이터_SK!M470="","",TEXT(원본데이터_SK!M470,"YYYY-MM-DD"))</f>
        <v>2026-02-10</v>
      </c>
      <c r="D470" t="str">
        <f>원본데이터_SK!F470</f>
        <v>58481090</v>
      </c>
      <c r="E470" t="str">
        <f>IFERROR(VLOOKUP(원본데이터_SK!F470,채널매핑!$B:$D,3,0),"미매핑")</f>
        <v>미매핑</v>
      </c>
      <c r="F470">
        <f>IFERROR(VLOOKUP(원본데이터_SK!F470,채널매핑!$B:$E,4,0),1)</f>
        <v>1</v>
      </c>
      <c r="G470">
        <f>원본데이터_SK!Q470</f>
        <v>1</v>
      </c>
      <c r="H470">
        <f>원본데이터_SK!O470</f>
        <v>119000</v>
      </c>
      <c r="I470">
        <f>원본데이터_SK!AG470</f>
        <v>119000</v>
      </c>
      <c r="J470">
        <f>원본데이터_SK!AH470</f>
        <v>82110</v>
      </c>
      <c r="K470">
        <f>IFERROR(VLOOKUP(E470,제품마스터!$A:$B,2,0),0)</f>
        <v>0</v>
      </c>
      <c r="L470">
        <f>원본데이터_SK!Q470*원본데이터_SK!P470</f>
        <v>82110</v>
      </c>
    </row>
    <row r="471" spans="1:12" x14ac:dyDescent="0.3">
      <c r="A471" t="s">
        <v>11</v>
      </c>
      <c r="B471" t="str">
        <f>원본데이터_SK!D471</f>
        <v>20260205994369</v>
      </c>
      <c r="C471" t="str">
        <f>IF(원본데이터_SK!M471="","",TEXT(원본데이터_SK!M471,"YYYY-MM-DD"))</f>
        <v>2026-02-10</v>
      </c>
      <c r="D471" t="str">
        <f>원본데이터_SK!F471</f>
        <v>58481090</v>
      </c>
      <c r="E471" t="str">
        <f>IFERROR(VLOOKUP(원본데이터_SK!F471,채널매핑!$B:$D,3,0),"미매핑")</f>
        <v>미매핑</v>
      </c>
      <c r="F471">
        <f>IFERROR(VLOOKUP(원본데이터_SK!F471,채널매핑!$B:$E,4,0),1)</f>
        <v>1</v>
      </c>
      <c r="G471">
        <f>원본데이터_SK!Q471</f>
        <v>1</v>
      </c>
      <c r="H471">
        <f>원본데이터_SK!O471</f>
        <v>119000</v>
      </c>
      <c r="I471">
        <f>원본데이터_SK!AG471</f>
        <v>119000</v>
      </c>
      <c r="J471">
        <f>원본데이터_SK!AH471</f>
        <v>82110</v>
      </c>
      <c r="K471">
        <f>IFERROR(VLOOKUP(E471,제품마스터!$A:$B,2,0),0)</f>
        <v>0</v>
      </c>
      <c r="L471">
        <f>원본데이터_SK!Q471*원본데이터_SK!P471</f>
        <v>82110</v>
      </c>
    </row>
    <row r="472" spans="1:12" x14ac:dyDescent="0.3">
      <c r="A472" t="s">
        <v>11</v>
      </c>
      <c r="B472" t="str">
        <f>원본데이터_SK!D472</f>
        <v>20260206641134</v>
      </c>
      <c r="C472" t="str">
        <f>IF(원본데이터_SK!M472="","",TEXT(원본데이터_SK!M472,"YYYY-MM-DD"))</f>
        <v>2026-02-10</v>
      </c>
      <c r="D472" t="str">
        <f>원본데이터_SK!F472</f>
        <v>58481090</v>
      </c>
      <c r="E472" t="str">
        <f>IFERROR(VLOOKUP(원본데이터_SK!F472,채널매핑!$B:$D,3,0),"미매핑")</f>
        <v>미매핑</v>
      </c>
      <c r="F472">
        <f>IFERROR(VLOOKUP(원본데이터_SK!F472,채널매핑!$B:$E,4,0),1)</f>
        <v>1</v>
      </c>
      <c r="G472">
        <f>원본데이터_SK!Q472</f>
        <v>1</v>
      </c>
      <c r="H472">
        <f>원본데이터_SK!O472</f>
        <v>119000</v>
      </c>
      <c r="I472">
        <f>원본데이터_SK!AG472</f>
        <v>119000</v>
      </c>
      <c r="J472">
        <f>원본데이터_SK!AH472</f>
        <v>82110</v>
      </c>
      <c r="K472">
        <f>IFERROR(VLOOKUP(E472,제품마스터!$A:$B,2,0),0)</f>
        <v>0</v>
      </c>
      <c r="L472">
        <f>원본데이터_SK!Q472*원본데이터_SK!P472</f>
        <v>82110</v>
      </c>
    </row>
    <row r="473" spans="1:12" x14ac:dyDescent="0.3">
      <c r="A473" t="s">
        <v>11</v>
      </c>
      <c r="B473" t="str">
        <f>원본데이터_SK!D473</f>
        <v>20260208251315</v>
      </c>
      <c r="C473" t="str">
        <f>IF(원본데이터_SK!M473="","",TEXT(원본데이터_SK!M473,"YYYY-MM-DD"))</f>
        <v>2026-02-10</v>
      </c>
      <c r="D473" t="str">
        <f>원본데이터_SK!F473</f>
        <v>58481090</v>
      </c>
      <c r="E473" t="str">
        <f>IFERROR(VLOOKUP(원본데이터_SK!F473,채널매핑!$B:$D,3,0),"미매핑")</f>
        <v>미매핑</v>
      </c>
      <c r="F473">
        <f>IFERROR(VLOOKUP(원본데이터_SK!F473,채널매핑!$B:$E,4,0),1)</f>
        <v>1</v>
      </c>
      <c r="G473">
        <f>원본데이터_SK!Q473</f>
        <v>1</v>
      </c>
      <c r="H473">
        <f>원본데이터_SK!O473</f>
        <v>119000</v>
      </c>
      <c r="I473">
        <f>원본데이터_SK!AG473</f>
        <v>119000</v>
      </c>
      <c r="J473">
        <f>원본데이터_SK!AH473</f>
        <v>82110</v>
      </c>
      <c r="K473">
        <f>IFERROR(VLOOKUP(E473,제품마스터!$A:$B,2,0),0)</f>
        <v>0</v>
      </c>
      <c r="L473">
        <f>원본데이터_SK!Q473*원본데이터_SK!P473</f>
        <v>82110</v>
      </c>
    </row>
    <row r="474" spans="1:12" x14ac:dyDescent="0.3">
      <c r="A474" t="s">
        <v>11</v>
      </c>
      <c r="B474" t="str">
        <f>원본데이터_SK!D474</f>
        <v>20260205994412</v>
      </c>
      <c r="C474" t="str">
        <f>IF(원본데이터_SK!M474="","",TEXT(원본데이터_SK!M474,"YYYY-MM-DD"))</f>
        <v>2026-02-10</v>
      </c>
      <c r="D474" t="str">
        <f>원본데이터_SK!F474</f>
        <v>58481090</v>
      </c>
      <c r="E474" t="str">
        <f>IFERROR(VLOOKUP(원본데이터_SK!F474,채널매핑!$B:$D,3,0),"미매핑")</f>
        <v>미매핑</v>
      </c>
      <c r="F474">
        <f>IFERROR(VLOOKUP(원본데이터_SK!F474,채널매핑!$B:$E,4,0),1)</f>
        <v>1</v>
      </c>
      <c r="G474">
        <f>원본데이터_SK!Q474</f>
        <v>1</v>
      </c>
      <c r="H474">
        <f>원본데이터_SK!O474</f>
        <v>119000</v>
      </c>
      <c r="I474">
        <f>원본데이터_SK!AG474</f>
        <v>119000</v>
      </c>
      <c r="J474">
        <f>원본데이터_SK!AH474</f>
        <v>82110</v>
      </c>
      <c r="K474">
        <f>IFERROR(VLOOKUP(E474,제품마스터!$A:$B,2,0),0)</f>
        <v>0</v>
      </c>
      <c r="L474">
        <f>원본데이터_SK!Q474*원본데이터_SK!P474</f>
        <v>82110</v>
      </c>
    </row>
    <row r="475" spans="1:12" x14ac:dyDescent="0.3">
      <c r="A475" t="s">
        <v>11</v>
      </c>
      <c r="B475" t="str">
        <f>원본데이터_SK!D475</f>
        <v>20260210360594</v>
      </c>
      <c r="C475" t="str">
        <f>IF(원본데이터_SK!M475="","",TEXT(원본데이터_SK!M475,"YYYY-MM-DD"))</f>
        <v>2026-02-10</v>
      </c>
      <c r="D475" t="str">
        <f>원본데이터_SK!F475</f>
        <v>58481090</v>
      </c>
      <c r="E475" t="str">
        <f>IFERROR(VLOOKUP(원본데이터_SK!F475,채널매핑!$B:$D,3,0),"미매핑")</f>
        <v>미매핑</v>
      </c>
      <c r="F475">
        <f>IFERROR(VLOOKUP(원본데이터_SK!F475,채널매핑!$B:$E,4,0),1)</f>
        <v>1</v>
      </c>
      <c r="G475">
        <f>원본데이터_SK!Q475</f>
        <v>-1</v>
      </c>
      <c r="H475">
        <f>원본데이터_SK!O475</f>
        <v>119000</v>
      </c>
      <c r="I475">
        <f>원본데이터_SK!AG475</f>
        <v>-119000</v>
      </c>
      <c r="J475">
        <f>원본데이터_SK!AH475</f>
        <v>-80920</v>
      </c>
      <c r="K475">
        <f>IFERROR(VLOOKUP(E475,제품마스터!$A:$B,2,0),0)</f>
        <v>0</v>
      </c>
      <c r="L475">
        <f>원본데이터_SK!Q475*원본데이터_SK!P475</f>
        <v>-80920</v>
      </c>
    </row>
    <row r="476" spans="1:12" x14ac:dyDescent="0.3">
      <c r="A476" t="s">
        <v>11</v>
      </c>
      <c r="B476" t="str">
        <f>원본데이터_SK!D476</f>
        <v>20260206650034</v>
      </c>
      <c r="C476" t="str">
        <f>IF(원본데이터_SK!M476="","",TEXT(원본데이터_SK!M476,"YYYY-MM-DD"))</f>
        <v>2026-02-10</v>
      </c>
      <c r="D476" t="str">
        <f>원본데이터_SK!F476</f>
        <v>59163204</v>
      </c>
      <c r="E476" t="str">
        <f>IFERROR(VLOOKUP(원본데이터_SK!F476,채널매핑!$B:$D,3,0),"미매핑")</f>
        <v>미매핑</v>
      </c>
      <c r="F476">
        <f>IFERROR(VLOOKUP(원본데이터_SK!F476,채널매핑!$B:$E,4,0),1)</f>
        <v>1</v>
      </c>
      <c r="G476">
        <f>원본데이터_SK!Q476</f>
        <v>1</v>
      </c>
      <c r="H476">
        <f>원본데이터_SK!O476</f>
        <v>78000</v>
      </c>
      <c r="I476">
        <f>원본데이터_SK!AG476</f>
        <v>78000</v>
      </c>
      <c r="J476">
        <f>원본데이터_SK!AH476</f>
        <v>53820</v>
      </c>
      <c r="K476">
        <f>IFERROR(VLOOKUP(E476,제품마스터!$A:$B,2,0),0)</f>
        <v>0</v>
      </c>
      <c r="L476">
        <f>원본데이터_SK!Q476*원본데이터_SK!P476</f>
        <v>53820</v>
      </c>
    </row>
    <row r="477" spans="1:12" x14ac:dyDescent="0.3">
      <c r="A477" t="s">
        <v>11</v>
      </c>
      <c r="B477" t="str">
        <f>원본데이터_SK!D477</f>
        <v>20260208250982</v>
      </c>
      <c r="C477" t="str">
        <f>IF(원본데이터_SK!M477="","",TEXT(원본데이터_SK!M477,"YYYY-MM-DD"))</f>
        <v>2026-02-10</v>
      </c>
      <c r="D477" t="str">
        <f>원본데이터_SK!F477</f>
        <v>59163204</v>
      </c>
      <c r="E477" t="str">
        <f>IFERROR(VLOOKUP(원본데이터_SK!F477,채널매핑!$B:$D,3,0),"미매핑")</f>
        <v>미매핑</v>
      </c>
      <c r="F477">
        <f>IFERROR(VLOOKUP(원본데이터_SK!F477,채널매핑!$B:$E,4,0),1)</f>
        <v>1</v>
      </c>
      <c r="G477">
        <f>원본데이터_SK!Q477</f>
        <v>1</v>
      </c>
      <c r="H477">
        <f>원본데이터_SK!O477</f>
        <v>78000</v>
      </c>
      <c r="I477">
        <f>원본데이터_SK!AG477</f>
        <v>65520</v>
      </c>
      <c r="J477">
        <f>원본데이터_SK!AH477</f>
        <v>53820</v>
      </c>
      <c r="K477">
        <f>IFERROR(VLOOKUP(E477,제품마스터!$A:$B,2,0),0)</f>
        <v>0</v>
      </c>
      <c r="L477">
        <f>원본데이터_SK!Q477*원본데이터_SK!P477</f>
        <v>53820</v>
      </c>
    </row>
    <row r="478" spans="1:12" x14ac:dyDescent="0.3">
      <c r="A478" t="s">
        <v>11</v>
      </c>
      <c r="B478" t="str">
        <f>원본데이터_SK!D478</f>
        <v>20260207149611</v>
      </c>
      <c r="C478" t="str">
        <f>IF(원본데이터_SK!M478="","",TEXT(원본데이터_SK!M478,"YYYY-MM-DD"))</f>
        <v>2026-02-10</v>
      </c>
      <c r="D478" t="str">
        <f>원본데이터_SK!F478</f>
        <v>59163204</v>
      </c>
      <c r="E478" t="str">
        <f>IFERROR(VLOOKUP(원본데이터_SK!F478,채널매핑!$B:$D,3,0),"미매핑")</f>
        <v>미매핑</v>
      </c>
      <c r="F478">
        <f>IFERROR(VLOOKUP(원본데이터_SK!F478,채널매핑!$B:$E,4,0),1)</f>
        <v>1</v>
      </c>
      <c r="G478">
        <f>원본데이터_SK!Q478</f>
        <v>1</v>
      </c>
      <c r="H478">
        <f>원본데이터_SK!O478</f>
        <v>78000</v>
      </c>
      <c r="I478">
        <f>원본데이터_SK!AG478</f>
        <v>66300</v>
      </c>
      <c r="J478">
        <f>원본데이터_SK!AH478</f>
        <v>53820</v>
      </c>
      <c r="K478">
        <f>IFERROR(VLOOKUP(E478,제품마스터!$A:$B,2,0),0)</f>
        <v>0</v>
      </c>
      <c r="L478">
        <f>원본데이터_SK!Q478*원본데이터_SK!P478</f>
        <v>53820</v>
      </c>
    </row>
    <row r="479" spans="1:12" x14ac:dyDescent="0.3">
      <c r="A479" t="s">
        <v>11</v>
      </c>
      <c r="B479" t="str">
        <f>원본데이터_SK!D479</f>
        <v>20260209883427</v>
      </c>
      <c r="C479" t="str">
        <f>IF(원본데이터_SK!M479="","",TEXT(원본데이터_SK!M479,"YYYY-MM-DD"))</f>
        <v>2026-02-11</v>
      </c>
      <c r="D479" t="str">
        <f>원본데이터_SK!F479</f>
        <v>58481090</v>
      </c>
      <c r="E479" t="str">
        <f>IFERROR(VLOOKUP(원본데이터_SK!F479,채널매핑!$B:$D,3,0),"미매핑")</f>
        <v>미매핑</v>
      </c>
      <c r="F479">
        <f>IFERROR(VLOOKUP(원본데이터_SK!F479,채널매핑!$B:$E,4,0),1)</f>
        <v>1</v>
      </c>
      <c r="G479">
        <f>원본데이터_SK!Q479</f>
        <v>1</v>
      </c>
      <c r="H479">
        <f>원본데이터_SK!O479</f>
        <v>119000</v>
      </c>
      <c r="I479">
        <f>원본데이터_SK!AG479</f>
        <v>113050</v>
      </c>
      <c r="J479">
        <f>원본데이터_SK!AH479</f>
        <v>82110</v>
      </c>
      <c r="K479">
        <f>IFERROR(VLOOKUP(E479,제품마스터!$A:$B,2,0),0)</f>
        <v>0</v>
      </c>
      <c r="L479">
        <f>원본데이터_SK!Q479*원본데이터_SK!P479</f>
        <v>82110</v>
      </c>
    </row>
    <row r="480" spans="1:12" x14ac:dyDescent="0.3">
      <c r="A480" t="s">
        <v>11</v>
      </c>
      <c r="B480" t="str">
        <f>원본데이터_SK!D480</f>
        <v>20260210360516</v>
      </c>
      <c r="C480" t="str">
        <f>IF(원본데이터_SK!M480="","",TEXT(원본데이터_SK!M480,"YYYY-MM-DD"))</f>
        <v>2026-02-11</v>
      </c>
      <c r="D480" t="str">
        <f>원본데이터_SK!F480</f>
        <v>58481090</v>
      </c>
      <c r="E480" t="str">
        <f>IFERROR(VLOOKUP(원본데이터_SK!F480,채널매핑!$B:$D,3,0),"미매핑")</f>
        <v>미매핑</v>
      </c>
      <c r="F480">
        <f>IFERROR(VLOOKUP(원본데이터_SK!F480,채널매핑!$B:$E,4,0),1)</f>
        <v>1</v>
      </c>
      <c r="G480">
        <f>원본데이터_SK!Q480</f>
        <v>-1</v>
      </c>
      <c r="H480">
        <f>원본데이터_SK!O480</f>
        <v>119000</v>
      </c>
      <c r="I480">
        <f>원본데이터_SK!AG480</f>
        <v>-119000</v>
      </c>
      <c r="J480">
        <f>원본데이터_SK!AH480</f>
        <v>-80920</v>
      </c>
      <c r="K480">
        <f>IFERROR(VLOOKUP(E480,제품마스터!$A:$B,2,0),0)</f>
        <v>0</v>
      </c>
      <c r="L480">
        <f>원본데이터_SK!Q480*원본데이터_SK!P480</f>
        <v>-80920</v>
      </c>
    </row>
    <row r="481" spans="1:12" x14ac:dyDescent="0.3">
      <c r="A481" t="s">
        <v>11</v>
      </c>
      <c r="B481" t="str">
        <f>원본데이터_SK!D481</f>
        <v>20260210360516</v>
      </c>
      <c r="C481" t="str">
        <f>IF(원본데이터_SK!M481="","",TEXT(원본데이터_SK!M481,"YYYY-MM-DD"))</f>
        <v>2026-02-11</v>
      </c>
      <c r="D481" t="str">
        <f>원본데이터_SK!F481</f>
        <v>58481090</v>
      </c>
      <c r="E481" t="str">
        <f>IFERROR(VLOOKUP(원본데이터_SK!F481,채널매핑!$B:$D,3,0),"미매핑")</f>
        <v>미매핑</v>
      </c>
      <c r="F481">
        <f>IFERROR(VLOOKUP(원본데이터_SK!F481,채널매핑!$B:$E,4,0),1)</f>
        <v>1</v>
      </c>
      <c r="G481">
        <f>원본데이터_SK!Q481</f>
        <v>1</v>
      </c>
      <c r="H481">
        <f>원본데이터_SK!O481</f>
        <v>119000</v>
      </c>
      <c r="I481">
        <f>원본데이터_SK!AG481</f>
        <v>119000</v>
      </c>
      <c r="J481">
        <f>원본데이터_SK!AH481</f>
        <v>80920</v>
      </c>
      <c r="K481">
        <f>IFERROR(VLOOKUP(E481,제품마스터!$A:$B,2,0),0)</f>
        <v>0</v>
      </c>
      <c r="L481">
        <f>원본데이터_SK!Q481*원본데이터_SK!P481</f>
        <v>80920</v>
      </c>
    </row>
    <row r="482" spans="1:12" x14ac:dyDescent="0.3">
      <c r="A482" t="s">
        <v>11</v>
      </c>
      <c r="B482" t="str">
        <f>원본데이터_SK!D482</f>
        <v>20260209904260</v>
      </c>
      <c r="C482" t="str">
        <f>IF(원본데이터_SK!M482="","",TEXT(원본데이터_SK!M482,"YYYY-MM-DD"))</f>
        <v>2026-02-11</v>
      </c>
      <c r="D482" t="str">
        <f>원본데이터_SK!F482</f>
        <v>58481090</v>
      </c>
      <c r="E482" t="str">
        <f>IFERROR(VLOOKUP(원본데이터_SK!F482,채널매핑!$B:$D,3,0),"미매핑")</f>
        <v>미매핑</v>
      </c>
      <c r="F482">
        <f>IFERROR(VLOOKUP(원본데이터_SK!F482,채널매핑!$B:$E,4,0),1)</f>
        <v>1</v>
      </c>
      <c r="G482">
        <f>원본데이터_SK!Q482</f>
        <v>1</v>
      </c>
      <c r="H482">
        <f>원본데이터_SK!O482</f>
        <v>119000</v>
      </c>
      <c r="I482">
        <f>원본데이터_SK!AG482</f>
        <v>119000</v>
      </c>
      <c r="J482">
        <f>원본데이터_SK!AH482</f>
        <v>80920</v>
      </c>
      <c r="K482">
        <f>IFERROR(VLOOKUP(E482,제품마스터!$A:$B,2,0),0)</f>
        <v>0</v>
      </c>
      <c r="L482">
        <f>원본데이터_SK!Q482*원본데이터_SK!P482</f>
        <v>80920</v>
      </c>
    </row>
    <row r="483" spans="1:12" x14ac:dyDescent="0.3">
      <c r="A483" t="s">
        <v>11</v>
      </c>
      <c r="B483" t="str">
        <f>원본데이터_SK!D483</f>
        <v>20260209896967</v>
      </c>
      <c r="C483" t="str">
        <f>IF(원본데이터_SK!M483="","",TEXT(원본데이터_SK!M483,"YYYY-MM-DD"))</f>
        <v>2026-02-11</v>
      </c>
      <c r="D483" t="str">
        <f>원본데이터_SK!F483</f>
        <v>58481090</v>
      </c>
      <c r="E483" t="str">
        <f>IFERROR(VLOOKUP(원본데이터_SK!F483,채널매핑!$B:$D,3,0),"미매핑")</f>
        <v>미매핑</v>
      </c>
      <c r="F483">
        <f>IFERROR(VLOOKUP(원본데이터_SK!F483,채널매핑!$B:$E,4,0),1)</f>
        <v>1</v>
      </c>
      <c r="G483">
        <f>원본데이터_SK!Q483</f>
        <v>4</v>
      </c>
      <c r="H483">
        <f>원본데이터_SK!O483</f>
        <v>119000</v>
      </c>
      <c r="I483">
        <f>원본데이터_SK!AG483</f>
        <v>452200</v>
      </c>
      <c r="J483">
        <f>원본데이터_SK!AH483</f>
        <v>328440</v>
      </c>
      <c r="K483">
        <f>IFERROR(VLOOKUP(E483,제품마스터!$A:$B,2,0),0)</f>
        <v>0</v>
      </c>
      <c r="L483">
        <f>원본데이터_SK!Q483*원본데이터_SK!P483</f>
        <v>328440</v>
      </c>
    </row>
    <row r="484" spans="1:12" x14ac:dyDescent="0.3">
      <c r="A484" t="s">
        <v>11</v>
      </c>
      <c r="B484" t="str">
        <f>원본데이터_SK!D484</f>
        <v>20260209898425</v>
      </c>
      <c r="C484" t="str">
        <f>IF(원본데이터_SK!M484="","",TEXT(원본데이터_SK!M484,"YYYY-MM-DD"))</f>
        <v>2026-02-11</v>
      </c>
      <c r="D484" t="str">
        <f>원본데이터_SK!F484</f>
        <v>58481090</v>
      </c>
      <c r="E484" t="str">
        <f>IFERROR(VLOOKUP(원본데이터_SK!F484,채널매핑!$B:$D,3,0),"미매핑")</f>
        <v>미매핑</v>
      </c>
      <c r="F484">
        <f>IFERROR(VLOOKUP(원본데이터_SK!F484,채널매핑!$B:$E,4,0),1)</f>
        <v>1</v>
      </c>
      <c r="G484">
        <f>원본데이터_SK!Q484</f>
        <v>1</v>
      </c>
      <c r="H484">
        <f>원본데이터_SK!O484</f>
        <v>119000</v>
      </c>
      <c r="I484">
        <f>원본데이터_SK!AG484</f>
        <v>113050</v>
      </c>
      <c r="J484">
        <f>원본데이터_SK!AH484</f>
        <v>82110</v>
      </c>
      <c r="K484">
        <f>IFERROR(VLOOKUP(E484,제품마스터!$A:$B,2,0),0)</f>
        <v>0</v>
      </c>
      <c r="L484">
        <f>원본데이터_SK!Q484*원본데이터_SK!P484</f>
        <v>82110</v>
      </c>
    </row>
    <row r="485" spans="1:12" x14ac:dyDescent="0.3">
      <c r="A485" t="s">
        <v>11</v>
      </c>
      <c r="B485" t="str">
        <f>원본데이터_SK!D485</f>
        <v>20260208247573</v>
      </c>
      <c r="C485" t="str">
        <f>IF(원본데이터_SK!M485="","",TEXT(원본데이터_SK!M485,"YYYY-MM-DD"))</f>
        <v>2026-02-11</v>
      </c>
      <c r="D485" t="str">
        <f>원본데이터_SK!F485</f>
        <v>58481090</v>
      </c>
      <c r="E485" t="str">
        <f>IFERROR(VLOOKUP(원본데이터_SK!F485,채널매핑!$B:$D,3,0),"미매핑")</f>
        <v>미매핑</v>
      </c>
      <c r="F485">
        <f>IFERROR(VLOOKUP(원본데이터_SK!F485,채널매핑!$B:$E,4,0),1)</f>
        <v>1</v>
      </c>
      <c r="G485">
        <f>원본데이터_SK!Q485</f>
        <v>1</v>
      </c>
      <c r="H485">
        <f>원본데이터_SK!O485</f>
        <v>119000</v>
      </c>
      <c r="I485">
        <f>원본데이터_SK!AG485</f>
        <v>109000</v>
      </c>
      <c r="J485">
        <f>원본데이터_SK!AH485</f>
        <v>82110</v>
      </c>
      <c r="K485">
        <f>IFERROR(VLOOKUP(E485,제품마스터!$A:$B,2,0),0)</f>
        <v>0</v>
      </c>
      <c r="L485">
        <f>원본데이터_SK!Q485*원본데이터_SK!P485</f>
        <v>82110</v>
      </c>
    </row>
    <row r="486" spans="1:12" x14ac:dyDescent="0.3">
      <c r="A486" t="s">
        <v>11</v>
      </c>
      <c r="B486" t="str">
        <f>원본데이터_SK!D486</f>
        <v>20260209919611</v>
      </c>
      <c r="C486" t="str">
        <f>IF(원본데이터_SK!M486="","",TEXT(원본데이터_SK!M486,"YYYY-MM-DD"))</f>
        <v>2026-02-11</v>
      </c>
      <c r="D486" t="str">
        <f>원본데이터_SK!F486</f>
        <v>58481090</v>
      </c>
      <c r="E486" t="str">
        <f>IFERROR(VLOOKUP(원본데이터_SK!F486,채널매핑!$B:$D,3,0),"미매핑")</f>
        <v>미매핑</v>
      </c>
      <c r="F486">
        <f>IFERROR(VLOOKUP(원본데이터_SK!F486,채널매핑!$B:$E,4,0),1)</f>
        <v>1</v>
      </c>
      <c r="G486">
        <f>원본데이터_SK!Q486</f>
        <v>1</v>
      </c>
      <c r="H486">
        <f>원본데이터_SK!O486</f>
        <v>119000</v>
      </c>
      <c r="I486">
        <f>원본데이터_SK!AG486</f>
        <v>95200</v>
      </c>
      <c r="J486">
        <f>원본데이터_SK!AH486</f>
        <v>80920</v>
      </c>
      <c r="K486">
        <f>IFERROR(VLOOKUP(E486,제품마스터!$A:$B,2,0),0)</f>
        <v>0</v>
      </c>
      <c r="L486">
        <f>원본데이터_SK!Q486*원본데이터_SK!P486</f>
        <v>80920</v>
      </c>
    </row>
    <row r="487" spans="1:12" x14ac:dyDescent="0.3">
      <c r="A487" t="s">
        <v>11</v>
      </c>
      <c r="B487" t="str">
        <f>원본데이터_SK!D487</f>
        <v>20260205995605</v>
      </c>
      <c r="C487" t="str">
        <f>IF(원본데이터_SK!M487="","",TEXT(원본데이터_SK!M487,"YYYY-MM-DD"))</f>
        <v>2026-02-11</v>
      </c>
      <c r="D487" t="str">
        <f>원본데이터_SK!F487</f>
        <v>58481090</v>
      </c>
      <c r="E487" t="str">
        <f>IFERROR(VLOOKUP(원본데이터_SK!F487,채널매핑!$B:$D,3,0),"미매핑")</f>
        <v>미매핑</v>
      </c>
      <c r="F487">
        <f>IFERROR(VLOOKUP(원본데이터_SK!F487,채널매핑!$B:$E,4,0),1)</f>
        <v>1</v>
      </c>
      <c r="G487">
        <f>원본데이터_SK!Q487</f>
        <v>1</v>
      </c>
      <c r="H487">
        <f>원본데이터_SK!O487</f>
        <v>119000</v>
      </c>
      <c r="I487">
        <f>원본데이터_SK!AG487</f>
        <v>119000</v>
      </c>
      <c r="J487">
        <f>원본데이터_SK!AH487</f>
        <v>82110</v>
      </c>
      <c r="K487">
        <f>IFERROR(VLOOKUP(E487,제품마스터!$A:$B,2,0),0)</f>
        <v>0</v>
      </c>
      <c r="L487">
        <f>원본데이터_SK!Q487*원본데이터_SK!P487</f>
        <v>82110</v>
      </c>
    </row>
    <row r="488" spans="1:12" x14ac:dyDescent="0.3">
      <c r="A488" t="s">
        <v>11</v>
      </c>
      <c r="B488" t="str">
        <f>원본데이터_SK!D488</f>
        <v>20260209889552</v>
      </c>
      <c r="C488" t="str">
        <f>IF(원본데이터_SK!M488="","",TEXT(원본데이터_SK!M488,"YYYY-MM-DD"))</f>
        <v>2026-02-11</v>
      </c>
      <c r="D488" t="str">
        <f>원본데이터_SK!F488</f>
        <v>58481090</v>
      </c>
      <c r="E488" t="str">
        <f>IFERROR(VLOOKUP(원본데이터_SK!F488,채널매핑!$B:$D,3,0),"미매핑")</f>
        <v>미매핑</v>
      </c>
      <c r="F488">
        <f>IFERROR(VLOOKUP(원본데이터_SK!F488,채널매핑!$B:$E,4,0),1)</f>
        <v>1</v>
      </c>
      <c r="G488">
        <f>원본데이터_SK!Q488</f>
        <v>1</v>
      </c>
      <c r="H488">
        <f>원본데이터_SK!O488</f>
        <v>119000</v>
      </c>
      <c r="I488">
        <f>원본데이터_SK!AG488</f>
        <v>118180</v>
      </c>
      <c r="J488">
        <f>원본데이터_SK!AH488</f>
        <v>82110</v>
      </c>
      <c r="K488">
        <f>IFERROR(VLOOKUP(E488,제품마스터!$A:$B,2,0),0)</f>
        <v>0</v>
      </c>
      <c r="L488">
        <f>원본데이터_SK!Q488*원본데이터_SK!P488</f>
        <v>82110</v>
      </c>
    </row>
    <row r="489" spans="1:12" x14ac:dyDescent="0.3">
      <c r="A489" t="s">
        <v>11</v>
      </c>
      <c r="B489" t="str">
        <f>원본데이터_SK!D489</f>
        <v>20260205993840</v>
      </c>
      <c r="C489" t="str">
        <f>IF(원본데이터_SK!M489="","",TEXT(원본데이터_SK!M489,"YYYY-MM-DD"))</f>
        <v>2026-02-11</v>
      </c>
      <c r="D489" t="str">
        <f>원본데이터_SK!F489</f>
        <v>58481090</v>
      </c>
      <c r="E489" t="str">
        <f>IFERROR(VLOOKUP(원본데이터_SK!F489,채널매핑!$B:$D,3,0),"미매핑")</f>
        <v>미매핑</v>
      </c>
      <c r="F489">
        <f>IFERROR(VLOOKUP(원본데이터_SK!F489,채널매핑!$B:$E,4,0),1)</f>
        <v>1</v>
      </c>
      <c r="G489">
        <f>원본데이터_SK!Q489</f>
        <v>1</v>
      </c>
      <c r="H489">
        <f>원본데이터_SK!O489</f>
        <v>119000</v>
      </c>
      <c r="I489">
        <f>원본데이터_SK!AG489</f>
        <v>119000</v>
      </c>
      <c r="J489">
        <f>원본데이터_SK!AH489</f>
        <v>82110</v>
      </c>
      <c r="K489">
        <f>IFERROR(VLOOKUP(E489,제품마스터!$A:$B,2,0),0)</f>
        <v>0</v>
      </c>
      <c r="L489">
        <f>원본데이터_SK!Q489*원본데이터_SK!P489</f>
        <v>82110</v>
      </c>
    </row>
    <row r="490" spans="1:12" x14ac:dyDescent="0.3">
      <c r="A490" t="s">
        <v>11</v>
      </c>
      <c r="B490" t="str">
        <f>원본데이터_SK!D490</f>
        <v>20260205992722</v>
      </c>
      <c r="C490" t="str">
        <f>IF(원본데이터_SK!M490="","",TEXT(원본데이터_SK!M490,"YYYY-MM-DD"))</f>
        <v>2026-02-11</v>
      </c>
      <c r="D490" t="str">
        <f>원본데이터_SK!F490</f>
        <v>58481090</v>
      </c>
      <c r="E490" t="str">
        <f>IFERROR(VLOOKUP(원본데이터_SK!F490,채널매핑!$B:$D,3,0),"미매핑")</f>
        <v>미매핑</v>
      </c>
      <c r="F490">
        <f>IFERROR(VLOOKUP(원본데이터_SK!F490,채널매핑!$B:$E,4,0),1)</f>
        <v>1</v>
      </c>
      <c r="G490">
        <f>원본데이터_SK!Q490</f>
        <v>1</v>
      </c>
      <c r="H490">
        <f>원본데이터_SK!O490</f>
        <v>119000</v>
      </c>
      <c r="I490">
        <f>원본데이터_SK!AG490</f>
        <v>119000</v>
      </c>
      <c r="J490">
        <f>원본데이터_SK!AH490</f>
        <v>82110</v>
      </c>
      <c r="K490">
        <f>IFERROR(VLOOKUP(E490,제품마스터!$A:$B,2,0),0)</f>
        <v>0</v>
      </c>
      <c r="L490">
        <f>원본데이터_SK!Q490*원본데이터_SK!P490</f>
        <v>82110</v>
      </c>
    </row>
    <row r="491" spans="1:12" x14ac:dyDescent="0.3">
      <c r="A491" t="s">
        <v>11</v>
      </c>
      <c r="B491" t="str">
        <f>원본데이터_SK!D491</f>
        <v>20260210347699</v>
      </c>
      <c r="C491" t="str">
        <f>IF(원본데이터_SK!M491="","",TEXT(원본데이터_SK!M491,"YYYY-MM-DD"))</f>
        <v>2026-02-11</v>
      </c>
      <c r="D491" t="str">
        <f>원본데이터_SK!F491</f>
        <v>58481090</v>
      </c>
      <c r="E491" t="str">
        <f>IFERROR(VLOOKUP(원본데이터_SK!F491,채널매핑!$B:$D,3,0),"미매핑")</f>
        <v>미매핑</v>
      </c>
      <c r="F491">
        <f>IFERROR(VLOOKUP(원본데이터_SK!F491,채널매핑!$B:$E,4,0),1)</f>
        <v>1</v>
      </c>
      <c r="G491">
        <f>원본데이터_SK!Q491</f>
        <v>1</v>
      </c>
      <c r="H491">
        <f>원본데이터_SK!O491</f>
        <v>119000</v>
      </c>
      <c r="I491">
        <f>원본데이터_SK!AG491</f>
        <v>98770</v>
      </c>
      <c r="J491">
        <f>원본데이터_SK!AH491</f>
        <v>80920</v>
      </c>
      <c r="K491">
        <f>IFERROR(VLOOKUP(E491,제품마스터!$A:$B,2,0),0)</f>
        <v>0</v>
      </c>
      <c r="L491">
        <f>원본데이터_SK!Q491*원본데이터_SK!P491</f>
        <v>80920</v>
      </c>
    </row>
    <row r="492" spans="1:12" x14ac:dyDescent="0.3">
      <c r="A492" t="s">
        <v>11</v>
      </c>
      <c r="B492" t="str">
        <f>원본데이터_SK!D492</f>
        <v>20260205995560</v>
      </c>
      <c r="C492" t="str">
        <f>IF(원본데이터_SK!M492="","",TEXT(원본데이터_SK!M492,"YYYY-MM-DD"))</f>
        <v>2026-02-11</v>
      </c>
      <c r="D492" t="str">
        <f>원본데이터_SK!F492</f>
        <v>58481090</v>
      </c>
      <c r="E492" t="str">
        <f>IFERROR(VLOOKUP(원본데이터_SK!F492,채널매핑!$B:$D,3,0),"미매핑")</f>
        <v>미매핑</v>
      </c>
      <c r="F492">
        <f>IFERROR(VLOOKUP(원본데이터_SK!F492,채널매핑!$B:$E,4,0),1)</f>
        <v>1</v>
      </c>
      <c r="G492">
        <f>원본데이터_SK!Q492</f>
        <v>1</v>
      </c>
      <c r="H492">
        <f>원본데이터_SK!O492</f>
        <v>119000</v>
      </c>
      <c r="I492">
        <f>원본데이터_SK!AG492</f>
        <v>119000</v>
      </c>
      <c r="J492">
        <f>원본데이터_SK!AH492</f>
        <v>82110</v>
      </c>
      <c r="K492">
        <f>IFERROR(VLOOKUP(E492,제품마스터!$A:$B,2,0),0)</f>
        <v>0</v>
      </c>
      <c r="L492">
        <f>원본데이터_SK!Q492*원본데이터_SK!P492</f>
        <v>82110</v>
      </c>
    </row>
    <row r="493" spans="1:12" x14ac:dyDescent="0.3">
      <c r="A493" t="s">
        <v>11</v>
      </c>
      <c r="B493" t="str">
        <f>원본데이터_SK!D493</f>
        <v>20260205994523</v>
      </c>
      <c r="C493" t="str">
        <f>IF(원본데이터_SK!M493="","",TEXT(원본데이터_SK!M493,"YYYY-MM-DD"))</f>
        <v>2026-02-11</v>
      </c>
      <c r="D493" t="str">
        <f>원본데이터_SK!F493</f>
        <v>58481090</v>
      </c>
      <c r="E493" t="str">
        <f>IFERROR(VLOOKUP(원본데이터_SK!F493,채널매핑!$B:$D,3,0),"미매핑")</f>
        <v>미매핑</v>
      </c>
      <c r="F493">
        <f>IFERROR(VLOOKUP(원본데이터_SK!F493,채널매핑!$B:$E,4,0),1)</f>
        <v>1</v>
      </c>
      <c r="G493">
        <f>원본데이터_SK!Q493</f>
        <v>1</v>
      </c>
      <c r="H493">
        <f>원본데이터_SK!O493</f>
        <v>119000</v>
      </c>
      <c r="I493">
        <f>원본데이터_SK!AG493</f>
        <v>119000</v>
      </c>
      <c r="J493">
        <f>원본데이터_SK!AH493</f>
        <v>82110</v>
      </c>
      <c r="K493">
        <f>IFERROR(VLOOKUP(E493,제품마스터!$A:$B,2,0),0)</f>
        <v>0</v>
      </c>
      <c r="L493">
        <f>원본데이터_SK!Q493*원본데이터_SK!P493</f>
        <v>82110</v>
      </c>
    </row>
    <row r="494" spans="1:12" x14ac:dyDescent="0.3">
      <c r="A494" t="s">
        <v>11</v>
      </c>
      <c r="B494" t="str">
        <f>원본데이터_SK!D494</f>
        <v>20260209898048</v>
      </c>
      <c r="C494" t="str">
        <f>IF(원본데이터_SK!M494="","",TEXT(원본데이터_SK!M494,"YYYY-MM-DD"))</f>
        <v>2026-02-11</v>
      </c>
      <c r="D494" t="str">
        <f>원본데이터_SK!F494</f>
        <v>59163204</v>
      </c>
      <c r="E494" t="str">
        <f>IFERROR(VLOOKUP(원본데이터_SK!F494,채널매핑!$B:$D,3,0),"미매핑")</f>
        <v>미매핑</v>
      </c>
      <c r="F494">
        <f>IFERROR(VLOOKUP(원본데이터_SK!F494,채널매핑!$B:$E,4,0),1)</f>
        <v>1</v>
      </c>
      <c r="G494">
        <f>원본데이터_SK!Q494</f>
        <v>1</v>
      </c>
      <c r="H494">
        <f>원본데이터_SK!O494</f>
        <v>78000</v>
      </c>
      <c r="I494">
        <f>원본데이터_SK!AG494</f>
        <v>74100</v>
      </c>
      <c r="J494">
        <f>원본데이터_SK!AH494</f>
        <v>53820</v>
      </c>
      <c r="K494">
        <f>IFERROR(VLOOKUP(E494,제품마스터!$A:$B,2,0),0)</f>
        <v>0</v>
      </c>
      <c r="L494">
        <f>원본데이터_SK!Q494*원본데이터_SK!P494</f>
        <v>53820</v>
      </c>
    </row>
    <row r="495" spans="1:12" x14ac:dyDescent="0.3">
      <c r="A495" t="s">
        <v>11</v>
      </c>
      <c r="B495" t="str">
        <f>원본데이터_SK!D495</f>
        <v>20260210361668</v>
      </c>
      <c r="C495" t="str">
        <f>IF(원본데이터_SK!M495="","",TEXT(원본데이터_SK!M495,"YYYY-MM-DD"))</f>
        <v>2026-02-12</v>
      </c>
      <c r="D495" t="str">
        <f>원본데이터_SK!F495</f>
        <v>58481090</v>
      </c>
      <c r="E495" t="str">
        <f>IFERROR(VLOOKUP(원본데이터_SK!F495,채널매핑!$B:$D,3,0),"미매핑")</f>
        <v>미매핑</v>
      </c>
      <c r="F495">
        <f>IFERROR(VLOOKUP(원본데이터_SK!F495,채널매핑!$B:$E,4,0),1)</f>
        <v>1</v>
      </c>
      <c r="G495">
        <f>원본데이터_SK!Q495</f>
        <v>1</v>
      </c>
      <c r="H495">
        <f>원본데이터_SK!O495</f>
        <v>119000</v>
      </c>
      <c r="I495">
        <f>원본데이터_SK!AG495</f>
        <v>119000</v>
      </c>
      <c r="J495">
        <f>원본데이터_SK!AH495</f>
        <v>80920</v>
      </c>
      <c r="K495">
        <f>IFERROR(VLOOKUP(E495,제품마스터!$A:$B,2,0),0)</f>
        <v>0</v>
      </c>
      <c r="L495">
        <f>원본데이터_SK!Q495*원본데이터_SK!P495</f>
        <v>80920</v>
      </c>
    </row>
    <row r="496" spans="1:12" x14ac:dyDescent="0.3">
      <c r="A496" t="s">
        <v>11</v>
      </c>
      <c r="B496" t="str">
        <f>원본데이터_SK!D496</f>
        <v>20260210361308</v>
      </c>
      <c r="C496" t="str">
        <f>IF(원본데이터_SK!M496="","",TEXT(원본데이터_SK!M496,"YYYY-MM-DD"))</f>
        <v>2026-02-12</v>
      </c>
      <c r="D496" t="str">
        <f>원본데이터_SK!F496</f>
        <v>58481090</v>
      </c>
      <c r="E496" t="str">
        <f>IFERROR(VLOOKUP(원본데이터_SK!F496,채널매핑!$B:$D,3,0),"미매핑")</f>
        <v>미매핑</v>
      </c>
      <c r="F496">
        <f>IFERROR(VLOOKUP(원본데이터_SK!F496,채널매핑!$B:$E,4,0),1)</f>
        <v>1</v>
      </c>
      <c r="G496">
        <f>원본데이터_SK!Q496</f>
        <v>1</v>
      </c>
      <c r="H496">
        <f>원본데이터_SK!O496</f>
        <v>119000</v>
      </c>
      <c r="I496">
        <f>원본데이터_SK!AG496</f>
        <v>119000</v>
      </c>
      <c r="J496">
        <f>원본데이터_SK!AH496</f>
        <v>80920</v>
      </c>
      <c r="K496">
        <f>IFERROR(VLOOKUP(E496,제품마스터!$A:$B,2,0),0)</f>
        <v>0</v>
      </c>
      <c r="L496">
        <f>원본데이터_SK!Q496*원본데이터_SK!P496</f>
        <v>80920</v>
      </c>
    </row>
    <row r="497" spans="1:12" x14ac:dyDescent="0.3">
      <c r="A497" t="s">
        <v>11</v>
      </c>
      <c r="B497" t="str">
        <f>원본데이터_SK!D497</f>
        <v>20260210361311</v>
      </c>
      <c r="C497" t="str">
        <f>IF(원본데이터_SK!M497="","",TEXT(원본데이터_SK!M497,"YYYY-MM-DD"))</f>
        <v>2026-02-12</v>
      </c>
      <c r="D497" t="str">
        <f>원본데이터_SK!F497</f>
        <v>58481090</v>
      </c>
      <c r="E497" t="str">
        <f>IFERROR(VLOOKUP(원본데이터_SK!F497,채널매핑!$B:$D,3,0),"미매핑")</f>
        <v>미매핑</v>
      </c>
      <c r="F497">
        <f>IFERROR(VLOOKUP(원본데이터_SK!F497,채널매핑!$B:$E,4,0),1)</f>
        <v>1</v>
      </c>
      <c r="G497">
        <f>원본데이터_SK!Q497</f>
        <v>1</v>
      </c>
      <c r="H497">
        <f>원본데이터_SK!O497</f>
        <v>119000</v>
      </c>
      <c r="I497">
        <f>원본데이터_SK!AG497</f>
        <v>119000</v>
      </c>
      <c r="J497">
        <f>원본데이터_SK!AH497</f>
        <v>80920</v>
      </c>
      <c r="K497">
        <f>IFERROR(VLOOKUP(E497,제품마스터!$A:$B,2,0),0)</f>
        <v>0</v>
      </c>
      <c r="L497">
        <f>원본데이터_SK!Q497*원본데이터_SK!P497</f>
        <v>80920</v>
      </c>
    </row>
    <row r="498" spans="1:12" x14ac:dyDescent="0.3">
      <c r="A498" t="s">
        <v>11</v>
      </c>
      <c r="B498" t="str">
        <f>원본데이터_SK!D498</f>
        <v>20260210361344</v>
      </c>
      <c r="C498" t="str">
        <f>IF(원본데이터_SK!M498="","",TEXT(원본데이터_SK!M498,"YYYY-MM-DD"))</f>
        <v>2026-02-12</v>
      </c>
      <c r="D498" t="str">
        <f>원본데이터_SK!F498</f>
        <v>58481090</v>
      </c>
      <c r="E498" t="str">
        <f>IFERROR(VLOOKUP(원본데이터_SK!F498,채널매핑!$B:$D,3,0),"미매핑")</f>
        <v>미매핑</v>
      </c>
      <c r="F498">
        <f>IFERROR(VLOOKUP(원본데이터_SK!F498,채널매핑!$B:$E,4,0),1)</f>
        <v>1</v>
      </c>
      <c r="G498">
        <f>원본데이터_SK!Q498</f>
        <v>1</v>
      </c>
      <c r="H498">
        <f>원본데이터_SK!O498</f>
        <v>119000</v>
      </c>
      <c r="I498">
        <f>원본데이터_SK!AG498</f>
        <v>119000</v>
      </c>
      <c r="J498">
        <f>원본데이터_SK!AH498</f>
        <v>80920</v>
      </c>
      <c r="K498">
        <f>IFERROR(VLOOKUP(E498,제품마스터!$A:$B,2,0),0)</f>
        <v>0</v>
      </c>
      <c r="L498">
        <f>원본데이터_SK!Q498*원본데이터_SK!P498</f>
        <v>80920</v>
      </c>
    </row>
    <row r="499" spans="1:12" x14ac:dyDescent="0.3">
      <c r="A499" t="s">
        <v>11</v>
      </c>
      <c r="B499" t="str">
        <f>원본데이터_SK!D499</f>
        <v>20260210361574</v>
      </c>
      <c r="C499" t="str">
        <f>IF(원본데이터_SK!M499="","",TEXT(원본데이터_SK!M499,"YYYY-MM-DD"))</f>
        <v>2026-02-12</v>
      </c>
      <c r="D499" t="str">
        <f>원본데이터_SK!F499</f>
        <v>58481090</v>
      </c>
      <c r="E499" t="str">
        <f>IFERROR(VLOOKUP(원본데이터_SK!F499,채널매핑!$B:$D,3,0),"미매핑")</f>
        <v>미매핑</v>
      </c>
      <c r="F499">
        <f>IFERROR(VLOOKUP(원본데이터_SK!F499,채널매핑!$B:$E,4,0),1)</f>
        <v>1</v>
      </c>
      <c r="G499">
        <f>원본데이터_SK!Q499</f>
        <v>1</v>
      </c>
      <c r="H499">
        <f>원본데이터_SK!O499</f>
        <v>119000</v>
      </c>
      <c r="I499">
        <f>원본데이터_SK!AG499</f>
        <v>119000</v>
      </c>
      <c r="J499">
        <f>원본데이터_SK!AH499</f>
        <v>80920</v>
      </c>
      <c r="K499">
        <f>IFERROR(VLOOKUP(E499,제품마스터!$A:$B,2,0),0)</f>
        <v>0</v>
      </c>
      <c r="L499">
        <f>원본데이터_SK!Q499*원본데이터_SK!P499</f>
        <v>80920</v>
      </c>
    </row>
    <row r="500" spans="1:12" x14ac:dyDescent="0.3">
      <c r="A500" t="s">
        <v>11</v>
      </c>
      <c r="B500" t="str">
        <f>원본데이터_SK!D500</f>
        <v>20260210361598</v>
      </c>
      <c r="C500" t="str">
        <f>IF(원본데이터_SK!M500="","",TEXT(원본데이터_SK!M500,"YYYY-MM-DD"))</f>
        <v>2026-02-12</v>
      </c>
      <c r="D500" t="str">
        <f>원본데이터_SK!F500</f>
        <v>58481090</v>
      </c>
      <c r="E500" t="str">
        <f>IFERROR(VLOOKUP(원본데이터_SK!F500,채널매핑!$B:$D,3,0),"미매핑")</f>
        <v>미매핑</v>
      </c>
      <c r="F500">
        <f>IFERROR(VLOOKUP(원본데이터_SK!F500,채널매핑!$B:$E,4,0),1)</f>
        <v>1</v>
      </c>
      <c r="G500">
        <f>원본데이터_SK!Q500</f>
        <v>1</v>
      </c>
      <c r="H500">
        <f>원본데이터_SK!O500</f>
        <v>119000</v>
      </c>
      <c r="I500">
        <f>원본데이터_SK!AG500</f>
        <v>119000</v>
      </c>
      <c r="J500">
        <f>원본데이터_SK!AH500</f>
        <v>80920</v>
      </c>
      <c r="K500">
        <f>IFERROR(VLOOKUP(E500,제품마스터!$A:$B,2,0),0)</f>
        <v>0</v>
      </c>
      <c r="L500">
        <f>원본데이터_SK!Q500*원본데이터_SK!P500</f>
        <v>80920</v>
      </c>
    </row>
    <row r="501" spans="1:12" x14ac:dyDescent="0.3">
      <c r="A501" t="s">
        <v>11</v>
      </c>
      <c r="B501" t="str">
        <f>원본데이터_SK!D501</f>
        <v>20260210361706</v>
      </c>
      <c r="C501" t="str">
        <f>IF(원본데이터_SK!M501="","",TEXT(원본데이터_SK!M501,"YYYY-MM-DD"))</f>
        <v>2026-02-12</v>
      </c>
      <c r="D501" t="str">
        <f>원본데이터_SK!F501</f>
        <v>58481090</v>
      </c>
      <c r="E501" t="str">
        <f>IFERROR(VLOOKUP(원본데이터_SK!F501,채널매핑!$B:$D,3,0),"미매핑")</f>
        <v>미매핑</v>
      </c>
      <c r="F501">
        <f>IFERROR(VLOOKUP(원본데이터_SK!F501,채널매핑!$B:$E,4,0),1)</f>
        <v>1</v>
      </c>
      <c r="G501">
        <f>원본데이터_SK!Q501</f>
        <v>1</v>
      </c>
      <c r="H501">
        <f>원본데이터_SK!O501</f>
        <v>119000</v>
      </c>
      <c r="I501">
        <f>원본데이터_SK!AG501</f>
        <v>119000</v>
      </c>
      <c r="J501">
        <f>원본데이터_SK!AH501</f>
        <v>80920</v>
      </c>
      <c r="K501">
        <f>IFERROR(VLOOKUP(E501,제품마스터!$A:$B,2,0),0)</f>
        <v>0</v>
      </c>
      <c r="L501">
        <f>원본데이터_SK!Q501*원본데이터_SK!P501</f>
        <v>80920</v>
      </c>
    </row>
    <row r="502" spans="1:12" x14ac:dyDescent="0.3">
      <c r="A502" t="s">
        <v>11</v>
      </c>
      <c r="B502" t="str">
        <f>원본데이터_SK!D502</f>
        <v>20260210361759</v>
      </c>
      <c r="C502" t="str">
        <f>IF(원본데이터_SK!M502="","",TEXT(원본데이터_SK!M502,"YYYY-MM-DD"))</f>
        <v>2026-02-12</v>
      </c>
      <c r="D502" t="str">
        <f>원본데이터_SK!F502</f>
        <v>58481090</v>
      </c>
      <c r="E502" t="str">
        <f>IFERROR(VLOOKUP(원본데이터_SK!F502,채널매핑!$B:$D,3,0),"미매핑")</f>
        <v>미매핑</v>
      </c>
      <c r="F502">
        <f>IFERROR(VLOOKUP(원본데이터_SK!F502,채널매핑!$B:$E,4,0),1)</f>
        <v>1</v>
      </c>
      <c r="G502">
        <f>원본데이터_SK!Q502</f>
        <v>1</v>
      </c>
      <c r="H502">
        <f>원본데이터_SK!O502</f>
        <v>119000</v>
      </c>
      <c r="I502">
        <f>원본데이터_SK!AG502</f>
        <v>119000</v>
      </c>
      <c r="J502">
        <f>원본데이터_SK!AH502</f>
        <v>80920</v>
      </c>
      <c r="K502">
        <f>IFERROR(VLOOKUP(E502,제품마스터!$A:$B,2,0),0)</f>
        <v>0</v>
      </c>
      <c r="L502">
        <f>원본데이터_SK!Q502*원본데이터_SK!P502</f>
        <v>80920</v>
      </c>
    </row>
    <row r="503" spans="1:12" x14ac:dyDescent="0.3">
      <c r="A503" t="s">
        <v>11</v>
      </c>
      <c r="B503" t="str">
        <f>원본데이터_SK!D503</f>
        <v>20260210361684</v>
      </c>
      <c r="C503" t="str">
        <f>IF(원본데이터_SK!M503="","",TEXT(원본데이터_SK!M503,"YYYY-MM-DD"))</f>
        <v>2026-02-12</v>
      </c>
      <c r="D503" t="str">
        <f>원본데이터_SK!F503</f>
        <v>58481090</v>
      </c>
      <c r="E503" t="str">
        <f>IFERROR(VLOOKUP(원본데이터_SK!F503,채널매핑!$B:$D,3,0),"미매핑")</f>
        <v>미매핑</v>
      </c>
      <c r="F503">
        <f>IFERROR(VLOOKUP(원본데이터_SK!F503,채널매핑!$B:$E,4,0),1)</f>
        <v>1</v>
      </c>
      <c r="G503">
        <f>원본데이터_SK!Q503</f>
        <v>1</v>
      </c>
      <c r="H503">
        <f>원본데이터_SK!O503</f>
        <v>119000</v>
      </c>
      <c r="I503">
        <f>원본데이터_SK!AG503</f>
        <v>119000</v>
      </c>
      <c r="J503">
        <f>원본데이터_SK!AH503</f>
        <v>80920</v>
      </c>
      <c r="K503">
        <f>IFERROR(VLOOKUP(E503,제품마스터!$A:$B,2,0),0)</f>
        <v>0</v>
      </c>
      <c r="L503">
        <f>원본데이터_SK!Q503*원본데이터_SK!P503</f>
        <v>80920</v>
      </c>
    </row>
    <row r="504" spans="1:12" x14ac:dyDescent="0.3">
      <c r="A504" t="s">
        <v>11</v>
      </c>
      <c r="B504" t="str">
        <f>원본데이터_SK!D504</f>
        <v>20260210361910</v>
      </c>
      <c r="C504" t="str">
        <f>IF(원본데이터_SK!M504="","",TEXT(원본데이터_SK!M504,"YYYY-MM-DD"))</f>
        <v>2026-02-12</v>
      </c>
      <c r="D504" t="str">
        <f>원본데이터_SK!F504</f>
        <v>58481090</v>
      </c>
      <c r="E504" t="str">
        <f>IFERROR(VLOOKUP(원본데이터_SK!F504,채널매핑!$B:$D,3,0),"미매핑")</f>
        <v>미매핑</v>
      </c>
      <c r="F504">
        <f>IFERROR(VLOOKUP(원본데이터_SK!F504,채널매핑!$B:$E,4,0),1)</f>
        <v>1</v>
      </c>
      <c r="G504">
        <f>원본데이터_SK!Q504</f>
        <v>1</v>
      </c>
      <c r="H504">
        <f>원본데이터_SK!O504</f>
        <v>119000</v>
      </c>
      <c r="I504">
        <f>원본데이터_SK!AG504</f>
        <v>119000</v>
      </c>
      <c r="J504">
        <f>원본데이터_SK!AH504</f>
        <v>80920</v>
      </c>
      <c r="K504">
        <f>IFERROR(VLOOKUP(E504,제품마스터!$A:$B,2,0),0)</f>
        <v>0</v>
      </c>
      <c r="L504">
        <f>원본데이터_SK!Q504*원본데이터_SK!P504</f>
        <v>80920</v>
      </c>
    </row>
    <row r="505" spans="1:12" x14ac:dyDescent="0.3">
      <c r="A505" t="s">
        <v>11</v>
      </c>
      <c r="B505" t="str">
        <f>원본데이터_SK!D505</f>
        <v>20260210362507</v>
      </c>
      <c r="C505" t="str">
        <f>IF(원본데이터_SK!M505="","",TEXT(원본데이터_SK!M505,"YYYY-MM-DD"))</f>
        <v>2026-02-12</v>
      </c>
      <c r="D505" t="str">
        <f>원본데이터_SK!F505</f>
        <v>58481090</v>
      </c>
      <c r="E505" t="str">
        <f>IFERROR(VLOOKUP(원본데이터_SK!F505,채널매핑!$B:$D,3,0),"미매핑")</f>
        <v>미매핑</v>
      </c>
      <c r="F505">
        <f>IFERROR(VLOOKUP(원본데이터_SK!F505,채널매핑!$B:$E,4,0),1)</f>
        <v>1</v>
      </c>
      <c r="G505">
        <f>원본데이터_SK!Q505</f>
        <v>1</v>
      </c>
      <c r="H505">
        <f>원본데이터_SK!O505</f>
        <v>119000</v>
      </c>
      <c r="I505">
        <f>원본데이터_SK!AG505</f>
        <v>119000</v>
      </c>
      <c r="J505">
        <f>원본데이터_SK!AH505</f>
        <v>80920</v>
      </c>
      <c r="K505">
        <f>IFERROR(VLOOKUP(E505,제품마스터!$A:$B,2,0),0)</f>
        <v>0</v>
      </c>
      <c r="L505">
        <f>원본데이터_SK!Q505*원본데이터_SK!P505</f>
        <v>80920</v>
      </c>
    </row>
    <row r="506" spans="1:12" x14ac:dyDescent="0.3">
      <c r="A506" t="s">
        <v>11</v>
      </c>
      <c r="B506" t="str">
        <f>원본데이터_SK!D506</f>
        <v>20260210360232</v>
      </c>
      <c r="C506" t="str">
        <f>IF(원본데이터_SK!M506="","",TEXT(원본데이터_SK!M506,"YYYY-MM-DD"))</f>
        <v>2026-02-12</v>
      </c>
      <c r="D506" t="str">
        <f>원본데이터_SK!F506</f>
        <v>58481090</v>
      </c>
      <c r="E506" t="str">
        <f>IFERROR(VLOOKUP(원본데이터_SK!F506,채널매핑!$B:$D,3,0),"미매핑")</f>
        <v>미매핑</v>
      </c>
      <c r="F506">
        <f>IFERROR(VLOOKUP(원본데이터_SK!F506,채널매핑!$B:$E,4,0),1)</f>
        <v>1</v>
      </c>
      <c r="G506">
        <f>원본데이터_SK!Q506</f>
        <v>1</v>
      </c>
      <c r="H506">
        <f>원본데이터_SK!O506</f>
        <v>119000</v>
      </c>
      <c r="I506">
        <f>원본데이터_SK!AG506</f>
        <v>113050</v>
      </c>
      <c r="J506">
        <f>원본데이터_SK!AH506</f>
        <v>80920</v>
      </c>
      <c r="K506">
        <f>IFERROR(VLOOKUP(E506,제품마스터!$A:$B,2,0),0)</f>
        <v>0</v>
      </c>
      <c r="L506">
        <f>원본데이터_SK!Q506*원본데이터_SK!P506</f>
        <v>80920</v>
      </c>
    </row>
    <row r="507" spans="1:12" x14ac:dyDescent="0.3">
      <c r="A507" t="s">
        <v>11</v>
      </c>
      <c r="B507" t="str">
        <f>원본데이터_SK!D507</f>
        <v>20260210361309</v>
      </c>
      <c r="C507" t="str">
        <f>IF(원본데이터_SK!M507="","",TEXT(원본데이터_SK!M507,"YYYY-MM-DD"))</f>
        <v>2026-02-12</v>
      </c>
      <c r="D507" t="str">
        <f>원본데이터_SK!F507</f>
        <v>58481090</v>
      </c>
      <c r="E507" t="str">
        <f>IFERROR(VLOOKUP(원본데이터_SK!F507,채널매핑!$B:$D,3,0),"미매핑")</f>
        <v>미매핑</v>
      </c>
      <c r="F507">
        <f>IFERROR(VLOOKUP(원본데이터_SK!F507,채널매핑!$B:$E,4,0),1)</f>
        <v>1</v>
      </c>
      <c r="G507">
        <f>원본데이터_SK!Q507</f>
        <v>1</v>
      </c>
      <c r="H507">
        <f>원본데이터_SK!O507</f>
        <v>119000</v>
      </c>
      <c r="I507">
        <f>원본데이터_SK!AG507</f>
        <v>119000</v>
      </c>
      <c r="J507">
        <f>원본데이터_SK!AH507</f>
        <v>80920</v>
      </c>
      <c r="K507">
        <f>IFERROR(VLOOKUP(E507,제품마스터!$A:$B,2,0),0)</f>
        <v>0</v>
      </c>
      <c r="L507">
        <f>원본데이터_SK!Q507*원본데이터_SK!P507</f>
        <v>80920</v>
      </c>
    </row>
    <row r="508" spans="1:12" x14ac:dyDescent="0.3">
      <c r="A508" t="s">
        <v>11</v>
      </c>
      <c r="B508" t="str">
        <f>원본데이터_SK!D508</f>
        <v>20260210361341</v>
      </c>
      <c r="C508" t="str">
        <f>IF(원본데이터_SK!M508="","",TEXT(원본데이터_SK!M508,"YYYY-MM-DD"))</f>
        <v>2026-02-12</v>
      </c>
      <c r="D508" t="str">
        <f>원본데이터_SK!F508</f>
        <v>58481090</v>
      </c>
      <c r="E508" t="str">
        <f>IFERROR(VLOOKUP(원본데이터_SK!F508,채널매핑!$B:$D,3,0),"미매핑")</f>
        <v>미매핑</v>
      </c>
      <c r="F508">
        <f>IFERROR(VLOOKUP(원본데이터_SK!F508,채널매핑!$B:$E,4,0),1)</f>
        <v>1</v>
      </c>
      <c r="G508">
        <f>원본데이터_SK!Q508</f>
        <v>1</v>
      </c>
      <c r="H508">
        <f>원본데이터_SK!O508</f>
        <v>119000</v>
      </c>
      <c r="I508">
        <f>원본데이터_SK!AG508</f>
        <v>119000</v>
      </c>
      <c r="J508">
        <f>원본데이터_SK!AH508</f>
        <v>80920</v>
      </c>
      <c r="K508">
        <f>IFERROR(VLOOKUP(E508,제품마스터!$A:$B,2,0),0)</f>
        <v>0</v>
      </c>
      <c r="L508">
        <f>원본데이터_SK!Q508*원본데이터_SK!P508</f>
        <v>80920</v>
      </c>
    </row>
    <row r="509" spans="1:12" x14ac:dyDescent="0.3">
      <c r="A509" t="s">
        <v>11</v>
      </c>
      <c r="B509" t="str">
        <f>원본데이터_SK!D509</f>
        <v>20260210361405</v>
      </c>
      <c r="C509" t="str">
        <f>IF(원본데이터_SK!M509="","",TEXT(원본데이터_SK!M509,"YYYY-MM-DD"))</f>
        <v>2026-02-12</v>
      </c>
      <c r="D509" t="str">
        <f>원본데이터_SK!F509</f>
        <v>58481090</v>
      </c>
      <c r="E509" t="str">
        <f>IFERROR(VLOOKUP(원본데이터_SK!F509,채널매핑!$B:$D,3,0),"미매핑")</f>
        <v>미매핑</v>
      </c>
      <c r="F509">
        <f>IFERROR(VLOOKUP(원본데이터_SK!F509,채널매핑!$B:$E,4,0),1)</f>
        <v>1</v>
      </c>
      <c r="G509">
        <f>원본데이터_SK!Q509</f>
        <v>1</v>
      </c>
      <c r="H509">
        <f>원본데이터_SK!O509</f>
        <v>119000</v>
      </c>
      <c r="I509">
        <f>원본데이터_SK!AG509</f>
        <v>119000</v>
      </c>
      <c r="J509">
        <f>원본데이터_SK!AH509</f>
        <v>80920</v>
      </c>
      <c r="K509">
        <f>IFERROR(VLOOKUP(E509,제품마스터!$A:$B,2,0),0)</f>
        <v>0</v>
      </c>
      <c r="L509">
        <f>원본데이터_SK!Q509*원본데이터_SK!P509</f>
        <v>80920</v>
      </c>
    </row>
    <row r="510" spans="1:12" x14ac:dyDescent="0.3">
      <c r="A510" t="s">
        <v>11</v>
      </c>
      <c r="B510" t="str">
        <f>원본데이터_SK!D510</f>
        <v>20260210361631</v>
      </c>
      <c r="C510" t="str">
        <f>IF(원본데이터_SK!M510="","",TEXT(원본데이터_SK!M510,"YYYY-MM-DD"))</f>
        <v>2026-02-12</v>
      </c>
      <c r="D510" t="str">
        <f>원본데이터_SK!F510</f>
        <v>58481090</v>
      </c>
      <c r="E510" t="str">
        <f>IFERROR(VLOOKUP(원본데이터_SK!F510,채널매핑!$B:$D,3,0),"미매핑")</f>
        <v>미매핑</v>
      </c>
      <c r="F510">
        <f>IFERROR(VLOOKUP(원본데이터_SK!F510,채널매핑!$B:$E,4,0),1)</f>
        <v>1</v>
      </c>
      <c r="G510">
        <f>원본데이터_SK!Q510</f>
        <v>1</v>
      </c>
      <c r="H510">
        <f>원본데이터_SK!O510</f>
        <v>119000</v>
      </c>
      <c r="I510">
        <f>원본데이터_SK!AG510</f>
        <v>119000</v>
      </c>
      <c r="J510">
        <f>원본데이터_SK!AH510</f>
        <v>80920</v>
      </c>
      <c r="K510">
        <f>IFERROR(VLOOKUP(E510,제품마스터!$A:$B,2,0),0)</f>
        <v>0</v>
      </c>
      <c r="L510">
        <f>원본데이터_SK!Q510*원본데이터_SK!P510</f>
        <v>80920</v>
      </c>
    </row>
    <row r="511" spans="1:12" x14ac:dyDescent="0.3">
      <c r="A511" t="s">
        <v>11</v>
      </c>
      <c r="B511" t="str">
        <f>원본데이터_SK!D511</f>
        <v>20260210360257</v>
      </c>
      <c r="C511" t="str">
        <f>IF(원본데이터_SK!M511="","",TEXT(원본데이터_SK!M511,"YYYY-MM-DD"))</f>
        <v>2026-02-12</v>
      </c>
      <c r="D511" t="str">
        <f>원본데이터_SK!F511</f>
        <v>58481090</v>
      </c>
      <c r="E511" t="str">
        <f>IFERROR(VLOOKUP(원본데이터_SK!F511,채널매핑!$B:$D,3,0),"미매핑")</f>
        <v>미매핑</v>
      </c>
      <c r="F511">
        <f>IFERROR(VLOOKUP(원본데이터_SK!F511,채널매핑!$B:$E,4,0),1)</f>
        <v>1</v>
      </c>
      <c r="G511">
        <f>원본데이터_SK!Q511</f>
        <v>1</v>
      </c>
      <c r="H511">
        <f>원본데이터_SK!O511</f>
        <v>119000</v>
      </c>
      <c r="I511">
        <f>원본데이터_SK!AG511</f>
        <v>119000</v>
      </c>
      <c r="J511">
        <f>원본데이터_SK!AH511</f>
        <v>80920</v>
      </c>
      <c r="K511">
        <f>IFERROR(VLOOKUP(E511,제품마스터!$A:$B,2,0),0)</f>
        <v>0</v>
      </c>
      <c r="L511">
        <f>원본데이터_SK!Q511*원본데이터_SK!P511</f>
        <v>80920</v>
      </c>
    </row>
    <row r="512" spans="1:12" x14ac:dyDescent="0.3">
      <c r="A512" t="s">
        <v>11</v>
      </c>
      <c r="B512" t="str">
        <f>원본데이터_SK!D512</f>
        <v>20260210361115</v>
      </c>
      <c r="C512" t="str">
        <f>IF(원본데이터_SK!M512="","",TEXT(원본데이터_SK!M512,"YYYY-MM-DD"))</f>
        <v>2026-02-12</v>
      </c>
      <c r="D512" t="str">
        <f>원본데이터_SK!F512</f>
        <v>58481090</v>
      </c>
      <c r="E512" t="str">
        <f>IFERROR(VLOOKUP(원본데이터_SK!F512,채널매핑!$B:$D,3,0),"미매핑")</f>
        <v>미매핑</v>
      </c>
      <c r="F512">
        <f>IFERROR(VLOOKUP(원본데이터_SK!F512,채널매핑!$B:$E,4,0),1)</f>
        <v>1</v>
      </c>
      <c r="G512">
        <f>원본데이터_SK!Q512</f>
        <v>1</v>
      </c>
      <c r="H512">
        <f>원본데이터_SK!O512</f>
        <v>119000</v>
      </c>
      <c r="I512">
        <f>원본데이터_SK!AG512</f>
        <v>119000</v>
      </c>
      <c r="J512">
        <f>원본데이터_SK!AH512</f>
        <v>80920</v>
      </c>
      <c r="K512">
        <f>IFERROR(VLOOKUP(E512,제품마스터!$A:$B,2,0),0)</f>
        <v>0</v>
      </c>
      <c r="L512">
        <f>원본데이터_SK!Q512*원본데이터_SK!P512</f>
        <v>80920</v>
      </c>
    </row>
    <row r="513" spans="1:12" x14ac:dyDescent="0.3">
      <c r="A513" t="s">
        <v>11</v>
      </c>
      <c r="B513" t="str">
        <f>원본데이터_SK!D513</f>
        <v>20260210361265</v>
      </c>
      <c r="C513" t="str">
        <f>IF(원본데이터_SK!M513="","",TEXT(원본데이터_SK!M513,"YYYY-MM-DD"))</f>
        <v>2026-02-12</v>
      </c>
      <c r="D513" t="str">
        <f>원본데이터_SK!F513</f>
        <v>58481090</v>
      </c>
      <c r="E513" t="str">
        <f>IFERROR(VLOOKUP(원본데이터_SK!F513,채널매핑!$B:$D,3,0),"미매핑")</f>
        <v>미매핑</v>
      </c>
      <c r="F513">
        <f>IFERROR(VLOOKUP(원본데이터_SK!F513,채널매핑!$B:$E,4,0),1)</f>
        <v>1</v>
      </c>
      <c r="G513">
        <f>원본데이터_SK!Q513</f>
        <v>1</v>
      </c>
      <c r="H513">
        <f>원본데이터_SK!O513</f>
        <v>119000</v>
      </c>
      <c r="I513">
        <f>원본데이터_SK!AG513</f>
        <v>119000</v>
      </c>
      <c r="J513">
        <f>원본데이터_SK!AH513</f>
        <v>80920</v>
      </c>
      <c r="K513">
        <f>IFERROR(VLOOKUP(E513,제품마스터!$A:$B,2,0),0)</f>
        <v>0</v>
      </c>
      <c r="L513">
        <f>원본데이터_SK!Q513*원본데이터_SK!P513</f>
        <v>80920</v>
      </c>
    </row>
    <row r="514" spans="1:12" x14ac:dyDescent="0.3">
      <c r="A514" t="s">
        <v>11</v>
      </c>
      <c r="B514" t="str">
        <f>원본데이터_SK!D514</f>
        <v>20260210360560</v>
      </c>
      <c r="C514" t="str">
        <f>IF(원본데이터_SK!M514="","",TEXT(원본데이터_SK!M514,"YYYY-MM-DD"))</f>
        <v>2026-02-12</v>
      </c>
      <c r="D514" t="str">
        <f>원본데이터_SK!F514</f>
        <v>58481090</v>
      </c>
      <c r="E514" t="str">
        <f>IFERROR(VLOOKUP(원본데이터_SK!F514,채널매핑!$B:$D,3,0),"미매핑")</f>
        <v>미매핑</v>
      </c>
      <c r="F514">
        <f>IFERROR(VLOOKUP(원본데이터_SK!F514,채널매핑!$B:$E,4,0),1)</f>
        <v>1</v>
      </c>
      <c r="G514">
        <f>원본데이터_SK!Q514</f>
        <v>1</v>
      </c>
      <c r="H514">
        <f>원본데이터_SK!O514</f>
        <v>119000</v>
      </c>
      <c r="I514">
        <f>원본데이터_SK!AG514</f>
        <v>119000</v>
      </c>
      <c r="J514">
        <f>원본데이터_SK!AH514</f>
        <v>80920</v>
      </c>
      <c r="K514">
        <f>IFERROR(VLOOKUP(E514,제품마스터!$A:$B,2,0),0)</f>
        <v>0</v>
      </c>
      <c r="L514">
        <f>원본데이터_SK!Q514*원본데이터_SK!P514</f>
        <v>80920</v>
      </c>
    </row>
    <row r="515" spans="1:12" x14ac:dyDescent="0.3">
      <c r="A515" t="s">
        <v>11</v>
      </c>
      <c r="B515" t="str">
        <f>원본데이터_SK!D515</f>
        <v>20260210360583</v>
      </c>
      <c r="C515" t="str">
        <f>IF(원본데이터_SK!M515="","",TEXT(원본데이터_SK!M515,"YYYY-MM-DD"))</f>
        <v>2026-02-12</v>
      </c>
      <c r="D515" t="str">
        <f>원본데이터_SK!F515</f>
        <v>58481090</v>
      </c>
      <c r="E515" t="str">
        <f>IFERROR(VLOOKUP(원본데이터_SK!F515,채널매핑!$B:$D,3,0),"미매핑")</f>
        <v>미매핑</v>
      </c>
      <c r="F515">
        <f>IFERROR(VLOOKUP(원본데이터_SK!F515,채널매핑!$B:$E,4,0),1)</f>
        <v>1</v>
      </c>
      <c r="G515">
        <f>원본데이터_SK!Q515</f>
        <v>1</v>
      </c>
      <c r="H515">
        <f>원본데이터_SK!O515</f>
        <v>119000</v>
      </c>
      <c r="I515">
        <f>원본데이터_SK!AG515</f>
        <v>119000</v>
      </c>
      <c r="J515">
        <f>원본데이터_SK!AH515</f>
        <v>80920</v>
      </c>
      <c r="K515">
        <f>IFERROR(VLOOKUP(E515,제품마스터!$A:$B,2,0),0)</f>
        <v>0</v>
      </c>
      <c r="L515">
        <f>원본데이터_SK!Q515*원본데이터_SK!P515</f>
        <v>80920</v>
      </c>
    </row>
    <row r="516" spans="1:12" x14ac:dyDescent="0.3">
      <c r="A516" t="s">
        <v>11</v>
      </c>
      <c r="B516" t="str">
        <f>원본데이터_SK!D516</f>
        <v>20260210361670</v>
      </c>
      <c r="C516" t="str">
        <f>IF(원본데이터_SK!M516="","",TEXT(원본데이터_SK!M516,"YYYY-MM-DD"))</f>
        <v>2026-02-12</v>
      </c>
      <c r="D516" t="str">
        <f>원본데이터_SK!F516</f>
        <v>58481090</v>
      </c>
      <c r="E516" t="str">
        <f>IFERROR(VLOOKUP(원본데이터_SK!F516,채널매핑!$B:$D,3,0),"미매핑")</f>
        <v>미매핑</v>
      </c>
      <c r="F516">
        <f>IFERROR(VLOOKUP(원본데이터_SK!F516,채널매핑!$B:$E,4,0),1)</f>
        <v>1</v>
      </c>
      <c r="G516">
        <f>원본데이터_SK!Q516</f>
        <v>1</v>
      </c>
      <c r="H516">
        <f>원본데이터_SK!O516</f>
        <v>119000</v>
      </c>
      <c r="I516">
        <f>원본데이터_SK!AG516</f>
        <v>119000</v>
      </c>
      <c r="J516">
        <f>원본데이터_SK!AH516</f>
        <v>80920</v>
      </c>
      <c r="K516">
        <f>IFERROR(VLOOKUP(E516,제품마스터!$A:$B,2,0),0)</f>
        <v>0</v>
      </c>
      <c r="L516">
        <f>원본데이터_SK!Q516*원본데이터_SK!P516</f>
        <v>80920</v>
      </c>
    </row>
    <row r="517" spans="1:12" x14ac:dyDescent="0.3">
      <c r="A517" t="s">
        <v>11</v>
      </c>
      <c r="B517" t="str">
        <f>원본데이터_SK!D517</f>
        <v>20260210361580</v>
      </c>
      <c r="C517" t="str">
        <f>IF(원본데이터_SK!M517="","",TEXT(원본데이터_SK!M517,"YYYY-MM-DD"))</f>
        <v>2026-02-12</v>
      </c>
      <c r="D517" t="str">
        <f>원본데이터_SK!F517</f>
        <v>58481090</v>
      </c>
      <c r="E517" t="str">
        <f>IFERROR(VLOOKUP(원본데이터_SK!F517,채널매핑!$B:$D,3,0),"미매핑")</f>
        <v>미매핑</v>
      </c>
      <c r="F517">
        <f>IFERROR(VLOOKUP(원본데이터_SK!F517,채널매핑!$B:$E,4,0),1)</f>
        <v>1</v>
      </c>
      <c r="G517">
        <f>원본데이터_SK!Q517</f>
        <v>1</v>
      </c>
      <c r="H517">
        <f>원본데이터_SK!O517</f>
        <v>119000</v>
      </c>
      <c r="I517">
        <f>원본데이터_SK!AG517</f>
        <v>119000</v>
      </c>
      <c r="J517">
        <f>원본데이터_SK!AH517</f>
        <v>80920</v>
      </c>
      <c r="K517">
        <f>IFERROR(VLOOKUP(E517,제품마스터!$A:$B,2,0),0)</f>
        <v>0</v>
      </c>
      <c r="L517">
        <f>원본데이터_SK!Q517*원본데이터_SK!P517</f>
        <v>80920</v>
      </c>
    </row>
    <row r="518" spans="1:12" x14ac:dyDescent="0.3">
      <c r="A518" t="s">
        <v>11</v>
      </c>
      <c r="B518" t="str">
        <f>원본데이터_SK!D518</f>
        <v>20260210361782</v>
      </c>
      <c r="C518" t="str">
        <f>IF(원본데이터_SK!M518="","",TEXT(원본데이터_SK!M518,"YYYY-MM-DD"))</f>
        <v>2026-02-12</v>
      </c>
      <c r="D518" t="str">
        <f>원본데이터_SK!F518</f>
        <v>58481090</v>
      </c>
      <c r="E518" t="str">
        <f>IFERROR(VLOOKUP(원본데이터_SK!F518,채널매핑!$B:$D,3,0),"미매핑")</f>
        <v>미매핑</v>
      </c>
      <c r="F518">
        <f>IFERROR(VLOOKUP(원본데이터_SK!F518,채널매핑!$B:$E,4,0),1)</f>
        <v>1</v>
      </c>
      <c r="G518">
        <f>원본데이터_SK!Q518</f>
        <v>1</v>
      </c>
      <c r="H518">
        <f>원본데이터_SK!O518</f>
        <v>119000</v>
      </c>
      <c r="I518">
        <f>원본데이터_SK!AG518</f>
        <v>119000</v>
      </c>
      <c r="J518">
        <f>원본데이터_SK!AH518</f>
        <v>80920</v>
      </c>
      <c r="K518">
        <f>IFERROR(VLOOKUP(E518,제품마스터!$A:$B,2,0),0)</f>
        <v>0</v>
      </c>
      <c r="L518">
        <f>원본데이터_SK!Q518*원본데이터_SK!P518</f>
        <v>80920</v>
      </c>
    </row>
    <row r="519" spans="1:12" x14ac:dyDescent="0.3">
      <c r="A519" t="s">
        <v>11</v>
      </c>
      <c r="B519" t="str">
        <f>원본데이터_SK!D519</f>
        <v>20260210360838</v>
      </c>
      <c r="C519" t="str">
        <f>IF(원본데이터_SK!M519="","",TEXT(원본데이터_SK!M519,"YYYY-MM-DD"))</f>
        <v>2026-02-12</v>
      </c>
      <c r="D519" t="str">
        <f>원본데이터_SK!F519</f>
        <v>58481090</v>
      </c>
      <c r="E519" t="str">
        <f>IFERROR(VLOOKUP(원본데이터_SK!F519,채널매핑!$B:$D,3,0),"미매핑")</f>
        <v>미매핑</v>
      </c>
      <c r="F519">
        <f>IFERROR(VLOOKUP(원본데이터_SK!F519,채널매핑!$B:$E,4,0),1)</f>
        <v>1</v>
      </c>
      <c r="G519">
        <f>원본데이터_SK!Q519</f>
        <v>1</v>
      </c>
      <c r="H519">
        <f>원본데이터_SK!O519</f>
        <v>119000</v>
      </c>
      <c r="I519">
        <f>원본데이터_SK!AG519</f>
        <v>119000</v>
      </c>
      <c r="J519">
        <f>원본데이터_SK!AH519</f>
        <v>80920</v>
      </c>
      <c r="K519">
        <f>IFERROR(VLOOKUP(E519,제품마스터!$A:$B,2,0),0)</f>
        <v>0</v>
      </c>
      <c r="L519">
        <f>원본데이터_SK!Q519*원본데이터_SK!P519</f>
        <v>80920</v>
      </c>
    </row>
    <row r="520" spans="1:12" x14ac:dyDescent="0.3">
      <c r="A520" t="s">
        <v>11</v>
      </c>
      <c r="B520" t="str">
        <f>원본데이터_SK!D520</f>
        <v>20260210360168</v>
      </c>
      <c r="C520" t="str">
        <f>IF(원본데이터_SK!M520="","",TEXT(원본데이터_SK!M520,"YYYY-MM-DD"))</f>
        <v>2026-02-12</v>
      </c>
      <c r="D520" t="str">
        <f>원본데이터_SK!F520</f>
        <v>58481090</v>
      </c>
      <c r="E520" t="str">
        <f>IFERROR(VLOOKUP(원본데이터_SK!F520,채널매핑!$B:$D,3,0),"미매핑")</f>
        <v>미매핑</v>
      </c>
      <c r="F520">
        <f>IFERROR(VLOOKUP(원본데이터_SK!F520,채널매핑!$B:$E,4,0),1)</f>
        <v>1</v>
      </c>
      <c r="G520">
        <f>원본데이터_SK!Q520</f>
        <v>1</v>
      </c>
      <c r="H520">
        <f>원본데이터_SK!O520</f>
        <v>119000</v>
      </c>
      <c r="I520">
        <f>원본데이터_SK!AG520</f>
        <v>119000</v>
      </c>
      <c r="J520">
        <f>원본데이터_SK!AH520</f>
        <v>80920</v>
      </c>
      <c r="K520">
        <f>IFERROR(VLOOKUP(E520,제품마스터!$A:$B,2,0),0)</f>
        <v>0</v>
      </c>
      <c r="L520">
        <f>원본데이터_SK!Q520*원본데이터_SK!P520</f>
        <v>80920</v>
      </c>
    </row>
    <row r="521" spans="1:12" x14ac:dyDescent="0.3">
      <c r="A521" t="s">
        <v>11</v>
      </c>
      <c r="B521" t="str">
        <f>원본데이터_SK!D521</f>
        <v>20260210360212</v>
      </c>
      <c r="C521" t="str">
        <f>IF(원본데이터_SK!M521="","",TEXT(원본데이터_SK!M521,"YYYY-MM-DD"))</f>
        <v>2026-02-12</v>
      </c>
      <c r="D521" t="str">
        <f>원본데이터_SK!F521</f>
        <v>58481090</v>
      </c>
      <c r="E521" t="str">
        <f>IFERROR(VLOOKUP(원본데이터_SK!F521,채널매핑!$B:$D,3,0),"미매핑")</f>
        <v>미매핑</v>
      </c>
      <c r="F521">
        <f>IFERROR(VLOOKUP(원본데이터_SK!F521,채널매핑!$B:$E,4,0),1)</f>
        <v>1</v>
      </c>
      <c r="G521">
        <f>원본데이터_SK!Q521</f>
        <v>1</v>
      </c>
      <c r="H521">
        <f>원본데이터_SK!O521</f>
        <v>119000</v>
      </c>
      <c r="I521">
        <f>원본데이터_SK!AG521</f>
        <v>119000</v>
      </c>
      <c r="J521">
        <f>원본데이터_SK!AH521</f>
        <v>80920</v>
      </c>
      <c r="K521">
        <f>IFERROR(VLOOKUP(E521,제품마스터!$A:$B,2,0),0)</f>
        <v>0</v>
      </c>
      <c r="L521">
        <f>원본데이터_SK!Q521*원본데이터_SK!P521</f>
        <v>80920</v>
      </c>
    </row>
    <row r="522" spans="1:12" x14ac:dyDescent="0.3">
      <c r="A522" t="s">
        <v>11</v>
      </c>
      <c r="B522" t="str">
        <f>원본데이터_SK!D522</f>
        <v>20260210360219</v>
      </c>
      <c r="C522" t="str">
        <f>IF(원본데이터_SK!M522="","",TEXT(원본데이터_SK!M522,"YYYY-MM-DD"))</f>
        <v>2026-02-12</v>
      </c>
      <c r="D522" t="str">
        <f>원본데이터_SK!F522</f>
        <v>58481090</v>
      </c>
      <c r="E522" t="str">
        <f>IFERROR(VLOOKUP(원본데이터_SK!F522,채널매핑!$B:$D,3,0),"미매핑")</f>
        <v>미매핑</v>
      </c>
      <c r="F522">
        <f>IFERROR(VLOOKUP(원본데이터_SK!F522,채널매핑!$B:$E,4,0),1)</f>
        <v>1</v>
      </c>
      <c r="G522">
        <f>원본데이터_SK!Q522</f>
        <v>1</v>
      </c>
      <c r="H522">
        <f>원본데이터_SK!O522</f>
        <v>119000</v>
      </c>
      <c r="I522">
        <f>원본데이터_SK!AG522</f>
        <v>119000</v>
      </c>
      <c r="J522">
        <f>원본데이터_SK!AH522</f>
        <v>80920</v>
      </c>
      <c r="K522">
        <f>IFERROR(VLOOKUP(E522,제품마스터!$A:$B,2,0),0)</f>
        <v>0</v>
      </c>
      <c r="L522">
        <f>원본데이터_SK!Q522*원본데이터_SK!P522</f>
        <v>80920</v>
      </c>
    </row>
    <row r="523" spans="1:12" x14ac:dyDescent="0.3">
      <c r="A523" t="s">
        <v>11</v>
      </c>
      <c r="B523" t="str">
        <f>원본데이터_SK!D523</f>
        <v>20260210361329</v>
      </c>
      <c r="C523" t="str">
        <f>IF(원본데이터_SK!M523="","",TEXT(원본데이터_SK!M523,"YYYY-MM-DD"))</f>
        <v>2026-02-12</v>
      </c>
      <c r="D523" t="str">
        <f>원본데이터_SK!F523</f>
        <v>58481090</v>
      </c>
      <c r="E523" t="str">
        <f>IFERROR(VLOOKUP(원본데이터_SK!F523,채널매핑!$B:$D,3,0),"미매핑")</f>
        <v>미매핑</v>
      </c>
      <c r="F523">
        <f>IFERROR(VLOOKUP(원본데이터_SK!F523,채널매핑!$B:$E,4,0),1)</f>
        <v>1</v>
      </c>
      <c r="G523">
        <f>원본데이터_SK!Q523</f>
        <v>1</v>
      </c>
      <c r="H523">
        <f>원본데이터_SK!O523</f>
        <v>119000</v>
      </c>
      <c r="I523">
        <f>원본데이터_SK!AG523</f>
        <v>119000</v>
      </c>
      <c r="J523">
        <f>원본데이터_SK!AH523</f>
        <v>80920</v>
      </c>
      <c r="K523">
        <f>IFERROR(VLOOKUP(E523,제품마스터!$A:$B,2,0),0)</f>
        <v>0</v>
      </c>
      <c r="L523">
        <f>원본데이터_SK!Q523*원본데이터_SK!P523</f>
        <v>80920</v>
      </c>
    </row>
    <row r="524" spans="1:12" x14ac:dyDescent="0.3">
      <c r="A524" t="s">
        <v>11</v>
      </c>
      <c r="B524" t="str">
        <f>원본데이터_SK!D524</f>
        <v>20260210361022</v>
      </c>
      <c r="C524" t="str">
        <f>IF(원본데이터_SK!M524="","",TEXT(원본데이터_SK!M524,"YYYY-MM-DD"))</f>
        <v>2026-02-12</v>
      </c>
      <c r="D524" t="str">
        <f>원본데이터_SK!F524</f>
        <v>58481090</v>
      </c>
      <c r="E524" t="str">
        <f>IFERROR(VLOOKUP(원본데이터_SK!F524,채널매핑!$B:$D,3,0),"미매핑")</f>
        <v>미매핑</v>
      </c>
      <c r="F524">
        <f>IFERROR(VLOOKUP(원본데이터_SK!F524,채널매핑!$B:$E,4,0),1)</f>
        <v>1</v>
      </c>
      <c r="G524">
        <f>원본데이터_SK!Q524</f>
        <v>1</v>
      </c>
      <c r="H524">
        <f>원본데이터_SK!O524</f>
        <v>119000</v>
      </c>
      <c r="I524">
        <f>원본데이터_SK!AG524</f>
        <v>119000</v>
      </c>
      <c r="J524">
        <f>원본데이터_SK!AH524</f>
        <v>80920</v>
      </c>
      <c r="K524">
        <f>IFERROR(VLOOKUP(E524,제품마스터!$A:$B,2,0),0)</f>
        <v>0</v>
      </c>
      <c r="L524">
        <f>원본데이터_SK!Q524*원본데이터_SK!P524</f>
        <v>80920</v>
      </c>
    </row>
    <row r="525" spans="1:12" x14ac:dyDescent="0.3">
      <c r="A525" t="s">
        <v>11</v>
      </c>
      <c r="B525" t="str">
        <f>원본데이터_SK!D525</f>
        <v>20260210361294</v>
      </c>
      <c r="C525" t="str">
        <f>IF(원본데이터_SK!M525="","",TEXT(원본데이터_SK!M525,"YYYY-MM-DD"))</f>
        <v>2026-02-12</v>
      </c>
      <c r="D525" t="str">
        <f>원본데이터_SK!F525</f>
        <v>58481090</v>
      </c>
      <c r="E525" t="str">
        <f>IFERROR(VLOOKUP(원본데이터_SK!F525,채널매핑!$B:$D,3,0),"미매핑")</f>
        <v>미매핑</v>
      </c>
      <c r="F525">
        <f>IFERROR(VLOOKUP(원본데이터_SK!F525,채널매핑!$B:$E,4,0),1)</f>
        <v>1</v>
      </c>
      <c r="G525">
        <f>원본데이터_SK!Q525</f>
        <v>1</v>
      </c>
      <c r="H525">
        <f>원본데이터_SK!O525</f>
        <v>119000</v>
      </c>
      <c r="I525">
        <f>원본데이터_SK!AG525</f>
        <v>119000</v>
      </c>
      <c r="J525">
        <f>원본데이터_SK!AH525</f>
        <v>80920</v>
      </c>
      <c r="K525">
        <f>IFERROR(VLOOKUP(E525,제품마스터!$A:$B,2,0),0)</f>
        <v>0</v>
      </c>
      <c r="L525">
        <f>원본데이터_SK!Q525*원본데이터_SK!P525</f>
        <v>80920</v>
      </c>
    </row>
    <row r="526" spans="1:12" x14ac:dyDescent="0.3">
      <c r="A526" t="s">
        <v>11</v>
      </c>
      <c r="B526" t="str">
        <f>원본데이터_SK!D526</f>
        <v>20260210361453</v>
      </c>
      <c r="C526" t="str">
        <f>IF(원본데이터_SK!M526="","",TEXT(원본데이터_SK!M526,"YYYY-MM-DD"))</f>
        <v>2026-02-12</v>
      </c>
      <c r="D526" t="str">
        <f>원본데이터_SK!F526</f>
        <v>58481090</v>
      </c>
      <c r="E526" t="str">
        <f>IFERROR(VLOOKUP(원본데이터_SK!F526,채널매핑!$B:$D,3,0),"미매핑")</f>
        <v>미매핑</v>
      </c>
      <c r="F526">
        <f>IFERROR(VLOOKUP(원본데이터_SK!F526,채널매핑!$B:$E,4,0),1)</f>
        <v>1</v>
      </c>
      <c r="G526">
        <f>원본데이터_SK!Q526</f>
        <v>1</v>
      </c>
      <c r="H526">
        <f>원본데이터_SK!O526</f>
        <v>119000</v>
      </c>
      <c r="I526">
        <f>원본데이터_SK!AG526</f>
        <v>119000</v>
      </c>
      <c r="J526">
        <f>원본데이터_SK!AH526</f>
        <v>80920</v>
      </c>
      <c r="K526">
        <f>IFERROR(VLOOKUP(E526,제품마스터!$A:$B,2,0),0)</f>
        <v>0</v>
      </c>
      <c r="L526">
        <f>원본데이터_SK!Q526*원본데이터_SK!P526</f>
        <v>80920</v>
      </c>
    </row>
    <row r="527" spans="1:12" x14ac:dyDescent="0.3">
      <c r="A527" t="s">
        <v>11</v>
      </c>
      <c r="B527" t="str">
        <f>원본데이터_SK!D527</f>
        <v>20260210361516</v>
      </c>
      <c r="C527" t="str">
        <f>IF(원본데이터_SK!M527="","",TEXT(원본데이터_SK!M527,"YYYY-MM-DD"))</f>
        <v>2026-02-12</v>
      </c>
      <c r="D527" t="str">
        <f>원본데이터_SK!F527</f>
        <v>58481090</v>
      </c>
      <c r="E527" t="str">
        <f>IFERROR(VLOOKUP(원본데이터_SK!F527,채널매핑!$B:$D,3,0),"미매핑")</f>
        <v>미매핑</v>
      </c>
      <c r="F527">
        <f>IFERROR(VLOOKUP(원본데이터_SK!F527,채널매핑!$B:$E,4,0),1)</f>
        <v>1</v>
      </c>
      <c r="G527">
        <f>원본데이터_SK!Q527</f>
        <v>1</v>
      </c>
      <c r="H527">
        <f>원본데이터_SK!O527</f>
        <v>119000</v>
      </c>
      <c r="I527">
        <f>원본데이터_SK!AG527</f>
        <v>95200</v>
      </c>
      <c r="J527">
        <f>원본데이터_SK!AH527</f>
        <v>80920</v>
      </c>
      <c r="K527">
        <f>IFERROR(VLOOKUP(E527,제품마스터!$A:$B,2,0),0)</f>
        <v>0</v>
      </c>
      <c r="L527">
        <f>원본데이터_SK!Q527*원본데이터_SK!P527</f>
        <v>80920</v>
      </c>
    </row>
    <row r="528" spans="1:12" x14ac:dyDescent="0.3">
      <c r="A528" t="s">
        <v>11</v>
      </c>
      <c r="B528" t="str">
        <f>원본데이터_SK!D528</f>
        <v>20260210361966</v>
      </c>
      <c r="C528" t="str">
        <f>IF(원본데이터_SK!M528="","",TEXT(원본데이터_SK!M528,"YYYY-MM-DD"))</f>
        <v>2026-02-12</v>
      </c>
      <c r="D528" t="str">
        <f>원본데이터_SK!F528</f>
        <v>58481090</v>
      </c>
      <c r="E528" t="str">
        <f>IFERROR(VLOOKUP(원본데이터_SK!F528,채널매핑!$B:$D,3,0),"미매핑")</f>
        <v>미매핑</v>
      </c>
      <c r="F528">
        <f>IFERROR(VLOOKUP(원본데이터_SK!F528,채널매핑!$B:$E,4,0),1)</f>
        <v>1</v>
      </c>
      <c r="G528">
        <f>원본데이터_SK!Q528</f>
        <v>1</v>
      </c>
      <c r="H528">
        <f>원본데이터_SK!O528</f>
        <v>119000</v>
      </c>
      <c r="I528">
        <f>원본데이터_SK!AG528</f>
        <v>119000</v>
      </c>
      <c r="J528">
        <f>원본데이터_SK!AH528</f>
        <v>80920</v>
      </c>
      <c r="K528">
        <f>IFERROR(VLOOKUP(E528,제품마스터!$A:$B,2,0),0)</f>
        <v>0</v>
      </c>
      <c r="L528">
        <f>원본데이터_SK!Q528*원본데이터_SK!P528</f>
        <v>80920</v>
      </c>
    </row>
    <row r="529" spans="1:12" x14ac:dyDescent="0.3">
      <c r="A529" t="s">
        <v>11</v>
      </c>
      <c r="B529" t="str">
        <f>원본데이터_SK!D529</f>
        <v>20260210362057</v>
      </c>
      <c r="C529" t="str">
        <f>IF(원본데이터_SK!M529="","",TEXT(원본데이터_SK!M529,"YYYY-MM-DD"))</f>
        <v>2026-02-12</v>
      </c>
      <c r="D529" t="str">
        <f>원본데이터_SK!F529</f>
        <v>58481090</v>
      </c>
      <c r="E529" t="str">
        <f>IFERROR(VLOOKUP(원본데이터_SK!F529,채널매핑!$B:$D,3,0),"미매핑")</f>
        <v>미매핑</v>
      </c>
      <c r="F529">
        <f>IFERROR(VLOOKUP(원본데이터_SK!F529,채널매핑!$B:$E,4,0),1)</f>
        <v>1</v>
      </c>
      <c r="G529">
        <f>원본데이터_SK!Q529</f>
        <v>1</v>
      </c>
      <c r="H529">
        <f>원본데이터_SK!O529</f>
        <v>119000</v>
      </c>
      <c r="I529">
        <f>원본데이터_SK!AG529</f>
        <v>119000</v>
      </c>
      <c r="J529">
        <f>원본데이터_SK!AH529</f>
        <v>80920</v>
      </c>
      <c r="K529">
        <f>IFERROR(VLOOKUP(E529,제품마스터!$A:$B,2,0),0)</f>
        <v>0</v>
      </c>
      <c r="L529">
        <f>원본데이터_SK!Q529*원본데이터_SK!P529</f>
        <v>80920</v>
      </c>
    </row>
    <row r="530" spans="1:12" x14ac:dyDescent="0.3">
      <c r="A530" t="s">
        <v>11</v>
      </c>
      <c r="B530" t="str">
        <f>원본데이터_SK!D530</f>
        <v>20260210360761</v>
      </c>
      <c r="C530" t="str">
        <f>IF(원본데이터_SK!M530="","",TEXT(원본데이터_SK!M530,"YYYY-MM-DD"))</f>
        <v>2026-02-12</v>
      </c>
      <c r="D530" t="str">
        <f>원본데이터_SK!F530</f>
        <v>58481090</v>
      </c>
      <c r="E530" t="str">
        <f>IFERROR(VLOOKUP(원본데이터_SK!F530,채널매핑!$B:$D,3,0),"미매핑")</f>
        <v>미매핑</v>
      </c>
      <c r="F530">
        <f>IFERROR(VLOOKUP(원본데이터_SK!F530,채널매핑!$B:$E,4,0),1)</f>
        <v>1</v>
      </c>
      <c r="G530">
        <f>원본데이터_SK!Q530</f>
        <v>1</v>
      </c>
      <c r="H530">
        <f>원본데이터_SK!O530</f>
        <v>119000</v>
      </c>
      <c r="I530">
        <f>원본데이터_SK!AG530</f>
        <v>119000</v>
      </c>
      <c r="J530">
        <f>원본데이터_SK!AH530</f>
        <v>80920</v>
      </c>
      <c r="K530">
        <f>IFERROR(VLOOKUP(E530,제품마스터!$A:$B,2,0),0)</f>
        <v>0</v>
      </c>
      <c r="L530">
        <f>원본데이터_SK!Q530*원본데이터_SK!P530</f>
        <v>80920</v>
      </c>
    </row>
    <row r="531" spans="1:12" x14ac:dyDescent="0.3">
      <c r="A531" t="s">
        <v>11</v>
      </c>
      <c r="B531" t="str">
        <f>원본데이터_SK!D531</f>
        <v>20260210361026</v>
      </c>
      <c r="C531" t="str">
        <f>IF(원본데이터_SK!M531="","",TEXT(원본데이터_SK!M531,"YYYY-MM-DD"))</f>
        <v>2026-02-12</v>
      </c>
      <c r="D531" t="str">
        <f>원본데이터_SK!F531</f>
        <v>58481090</v>
      </c>
      <c r="E531" t="str">
        <f>IFERROR(VLOOKUP(원본데이터_SK!F531,채널매핑!$B:$D,3,0),"미매핑")</f>
        <v>미매핑</v>
      </c>
      <c r="F531">
        <f>IFERROR(VLOOKUP(원본데이터_SK!F531,채널매핑!$B:$E,4,0),1)</f>
        <v>1</v>
      </c>
      <c r="G531">
        <f>원본데이터_SK!Q531</f>
        <v>1</v>
      </c>
      <c r="H531">
        <f>원본데이터_SK!O531</f>
        <v>119000</v>
      </c>
      <c r="I531">
        <f>원본데이터_SK!AG531</f>
        <v>119000</v>
      </c>
      <c r="J531">
        <f>원본데이터_SK!AH531</f>
        <v>80920</v>
      </c>
      <c r="K531">
        <f>IFERROR(VLOOKUP(E531,제품마스터!$A:$B,2,0),0)</f>
        <v>0</v>
      </c>
      <c r="L531">
        <f>원본데이터_SK!Q531*원본데이터_SK!P531</f>
        <v>80920</v>
      </c>
    </row>
    <row r="532" spans="1:12" x14ac:dyDescent="0.3">
      <c r="A532" t="s">
        <v>11</v>
      </c>
      <c r="B532" t="str">
        <f>원본데이터_SK!D532</f>
        <v>20260210361068</v>
      </c>
      <c r="C532" t="str">
        <f>IF(원본데이터_SK!M532="","",TEXT(원본데이터_SK!M532,"YYYY-MM-DD"))</f>
        <v>2026-02-12</v>
      </c>
      <c r="D532" t="str">
        <f>원본데이터_SK!F532</f>
        <v>58481090</v>
      </c>
      <c r="E532" t="str">
        <f>IFERROR(VLOOKUP(원본데이터_SK!F532,채널매핑!$B:$D,3,0),"미매핑")</f>
        <v>미매핑</v>
      </c>
      <c r="F532">
        <f>IFERROR(VLOOKUP(원본데이터_SK!F532,채널매핑!$B:$E,4,0),1)</f>
        <v>1</v>
      </c>
      <c r="G532">
        <f>원본데이터_SK!Q532</f>
        <v>1</v>
      </c>
      <c r="H532">
        <f>원본데이터_SK!O532</f>
        <v>119000</v>
      </c>
      <c r="I532">
        <f>원본데이터_SK!AG532</f>
        <v>119000</v>
      </c>
      <c r="J532">
        <f>원본데이터_SK!AH532</f>
        <v>80920</v>
      </c>
      <c r="K532">
        <f>IFERROR(VLOOKUP(E532,제품마스터!$A:$B,2,0),0)</f>
        <v>0</v>
      </c>
      <c r="L532">
        <f>원본데이터_SK!Q532*원본데이터_SK!P532</f>
        <v>80920</v>
      </c>
    </row>
    <row r="533" spans="1:12" x14ac:dyDescent="0.3">
      <c r="A533" t="s">
        <v>11</v>
      </c>
      <c r="B533" t="str">
        <f>원본데이터_SK!D533</f>
        <v>20260210361681</v>
      </c>
      <c r="C533" t="str">
        <f>IF(원본데이터_SK!M533="","",TEXT(원본데이터_SK!M533,"YYYY-MM-DD"))</f>
        <v>2026-02-12</v>
      </c>
      <c r="D533" t="str">
        <f>원본데이터_SK!F533</f>
        <v>58481090</v>
      </c>
      <c r="E533" t="str">
        <f>IFERROR(VLOOKUP(원본데이터_SK!F533,채널매핑!$B:$D,3,0),"미매핑")</f>
        <v>미매핑</v>
      </c>
      <c r="F533">
        <f>IFERROR(VLOOKUP(원본데이터_SK!F533,채널매핑!$B:$E,4,0),1)</f>
        <v>1</v>
      </c>
      <c r="G533">
        <f>원본데이터_SK!Q533</f>
        <v>1</v>
      </c>
      <c r="H533">
        <f>원본데이터_SK!O533</f>
        <v>119000</v>
      </c>
      <c r="I533">
        <f>원본데이터_SK!AG533</f>
        <v>119000</v>
      </c>
      <c r="J533">
        <f>원본데이터_SK!AH533</f>
        <v>80920</v>
      </c>
      <c r="K533">
        <f>IFERROR(VLOOKUP(E533,제품마스터!$A:$B,2,0),0)</f>
        <v>0</v>
      </c>
      <c r="L533">
        <f>원본데이터_SK!Q533*원본데이터_SK!P533</f>
        <v>80920</v>
      </c>
    </row>
    <row r="534" spans="1:12" x14ac:dyDescent="0.3">
      <c r="A534" t="s">
        <v>11</v>
      </c>
      <c r="B534" t="str">
        <f>원본데이터_SK!D534</f>
        <v>20260210362071</v>
      </c>
      <c r="C534" t="str">
        <f>IF(원본데이터_SK!M534="","",TEXT(원본데이터_SK!M534,"YYYY-MM-DD"))</f>
        <v>2026-02-12</v>
      </c>
      <c r="D534" t="str">
        <f>원본데이터_SK!F534</f>
        <v>58481090</v>
      </c>
      <c r="E534" t="str">
        <f>IFERROR(VLOOKUP(원본데이터_SK!F534,채널매핑!$B:$D,3,0),"미매핑")</f>
        <v>미매핑</v>
      </c>
      <c r="F534">
        <f>IFERROR(VLOOKUP(원본데이터_SK!F534,채널매핑!$B:$E,4,0),1)</f>
        <v>1</v>
      </c>
      <c r="G534">
        <f>원본데이터_SK!Q534</f>
        <v>1</v>
      </c>
      <c r="H534">
        <f>원본데이터_SK!O534</f>
        <v>119000</v>
      </c>
      <c r="I534">
        <f>원본데이터_SK!AG534</f>
        <v>114000</v>
      </c>
      <c r="J534">
        <f>원본데이터_SK!AH534</f>
        <v>80920</v>
      </c>
      <c r="K534">
        <f>IFERROR(VLOOKUP(E534,제품마스터!$A:$B,2,0),0)</f>
        <v>0</v>
      </c>
      <c r="L534">
        <f>원본데이터_SK!Q534*원본데이터_SK!P534</f>
        <v>80920</v>
      </c>
    </row>
    <row r="535" spans="1:12" x14ac:dyDescent="0.3">
      <c r="A535" t="s">
        <v>11</v>
      </c>
      <c r="B535" t="str">
        <f>원본데이터_SK!D535</f>
        <v>20260210360245</v>
      </c>
      <c r="C535" t="str">
        <f>IF(원본데이터_SK!M535="","",TEXT(원본데이터_SK!M535,"YYYY-MM-DD"))</f>
        <v>2026-02-12</v>
      </c>
      <c r="D535" t="str">
        <f>원본데이터_SK!F535</f>
        <v>58481090</v>
      </c>
      <c r="E535" t="str">
        <f>IFERROR(VLOOKUP(원본데이터_SK!F535,채널매핑!$B:$D,3,0),"미매핑")</f>
        <v>미매핑</v>
      </c>
      <c r="F535">
        <f>IFERROR(VLOOKUP(원본데이터_SK!F535,채널매핑!$B:$E,4,0),1)</f>
        <v>1</v>
      </c>
      <c r="G535">
        <f>원본데이터_SK!Q535</f>
        <v>1</v>
      </c>
      <c r="H535">
        <f>원본데이터_SK!O535</f>
        <v>119000</v>
      </c>
      <c r="I535">
        <f>원본데이터_SK!AG535</f>
        <v>119000</v>
      </c>
      <c r="J535">
        <f>원본데이터_SK!AH535</f>
        <v>80920</v>
      </c>
      <c r="K535">
        <f>IFERROR(VLOOKUP(E535,제품마스터!$A:$B,2,0),0)</f>
        <v>0</v>
      </c>
      <c r="L535">
        <f>원본데이터_SK!Q535*원본데이터_SK!P535</f>
        <v>80920</v>
      </c>
    </row>
    <row r="536" spans="1:12" x14ac:dyDescent="0.3">
      <c r="A536" t="s">
        <v>11</v>
      </c>
      <c r="B536" t="str">
        <f>원본데이터_SK!D536</f>
        <v>20260210360461</v>
      </c>
      <c r="C536" t="str">
        <f>IF(원본데이터_SK!M536="","",TEXT(원본데이터_SK!M536,"YYYY-MM-DD"))</f>
        <v>2026-02-12</v>
      </c>
      <c r="D536" t="str">
        <f>원본데이터_SK!F536</f>
        <v>58481090</v>
      </c>
      <c r="E536" t="str">
        <f>IFERROR(VLOOKUP(원본데이터_SK!F536,채널매핑!$B:$D,3,0),"미매핑")</f>
        <v>미매핑</v>
      </c>
      <c r="F536">
        <f>IFERROR(VLOOKUP(원본데이터_SK!F536,채널매핑!$B:$E,4,0),1)</f>
        <v>1</v>
      </c>
      <c r="G536">
        <f>원본데이터_SK!Q536</f>
        <v>1</v>
      </c>
      <c r="H536">
        <f>원본데이터_SK!O536</f>
        <v>119000</v>
      </c>
      <c r="I536">
        <f>원본데이터_SK!AG536</f>
        <v>113050</v>
      </c>
      <c r="J536">
        <f>원본데이터_SK!AH536</f>
        <v>80920</v>
      </c>
      <c r="K536">
        <f>IFERROR(VLOOKUP(E536,제품마스터!$A:$B,2,0),0)</f>
        <v>0</v>
      </c>
      <c r="L536">
        <f>원본데이터_SK!Q536*원본데이터_SK!P536</f>
        <v>80920</v>
      </c>
    </row>
    <row r="537" spans="1:12" x14ac:dyDescent="0.3">
      <c r="A537" t="s">
        <v>11</v>
      </c>
      <c r="B537" t="str">
        <f>원본데이터_SK!D537</f>
        <v>20260210360338</v>
      </c>
      <c r="C537" t="str">
        <f>IF(원본데이터_SK!M537="","",TEXT(원본데이터_SK!M537,"YYYY-MM-DD"))</f>
        <v>2026-02-12</v>
      </c>
      <c r="D537" t="str">
        <f>원본데이터_SK!F537</f>
        <v>58481090</v>
      </c>
      <c r="E537" t="str">
        <f>IFERROR(VLOOKUP(원본데이터_SK!F537,채널매핑!$B:$D,3,0),"미매핑")</f>
        <v>미매핑</v>
      </c>
      <c r="F537">
        <f>IFERROR(VLOOKUP(원본데이터_SK!F537,채널매핑!$B:$E,4,0),1)</f>
        <v>1</v>
      </c>
      <c r="G537">
        <f>원본데이터_SK!Q537</f>
        <v>1</v>
      </c>
      <c r="H537">
        <f>원본데이터_SK!O537</f>
        <v>119000</v>
      </c>
      <c r="I537">
        <f>원본데이터_SK!AG537</f>
        <v>113050</v>
      </c>
      <c r="J537">
        <f>원본데이터_SK!AH537</f>
        <v>80920</v>
      </c>
      <c r="K537">
        <f>IFERROR(VLOOKUP(E537,제품마스터!$A:$B,2,0),0)</f>
        <v>0</v>
      </c>
      <c r="L537">
        <f>원본데이터_SK!Q537*원본데이터_SK!P537</f>
        <v>80920</v>
      </c>
    </row>
    <row r="538" spans="1:12" x14ac:dyDescent="0.3">
      <c r="A538" t="s">
        <v>11</v>
      </c>
      <c r="B538" t="str">
        <f>원본데이터_SK!D538</f>
        <v>20260210361293</v>
      </c>
      <c r="C538" t="str">
        <f>IF(원본데이터_SK!M538="","",TEXT(원본데이터_SK!M538,"YYYY-MM-DD"))</f>
        <v>2026-02-12</v>
      </c>
      <c r="D538" t="str">
        <f>원본데이터_SK!F538</f>
        <v>58481090</v>
      </c>
      <c r="E538" t="str">
        <f>IFERROR(VLOOKUP(원본데이터_SK!F538,채널매핑!$B:$D,3,0),"미매핑")</f>
        <v>미매핑</v>
      </c>
      <c r="F538">
        <f>IFERROR(VLOOKUP(원본데이터_SK!F538,채널매핑!$B:$E,4,0),1)</f>
        <v>1</v>
      </c>
      <c r="G538">
        <f>원본데이터_SK!Q538</f>
        <v>1</v>
      </c>
      <c r="H538">
        <f>원본데이터_SK!O538</f>
        <v>119000</v>
      </c>
      <c r="I538">
        <f>원본데이터_SK!AG538</f>
        <v>119000</v>
      </c>
      <c r="J538">
        <f>원본데이터_SK!AH538</f>
        <v>80920</v>
      </c>
      <c r="K538">
        <f>IFERROR(VLOOKUP(E538,제품마스터!$A:$B,2,0),0)</f>
        <v>0</v>
      </c>
      <c r="L538">
        <f>원본데이터_SK!Q538*원본데이터_SK!P538</f>
        <v>80920</v>
      </c>
    </row>
    <row r="539" spans="1:12" x14ac:dyDescent="0.3">
      <c r="A539" t="s">
        <v>11</v>
      </c>
      <c r="B539" t="str">
        <f>원본데이터_SK!D539</f>
        <v>20260210361484</v>
      </c>
      <c r="C539" t="str">
        <f>IF(원본데이터_SK!M539="","",TEXT(원본데이터_SK!M539,"YYYY-MM-DD"))</f>
        <v>2026-02-12</v>
      </c>
      <c r="D539" t="str">
        <f>원본데이터_SK!F539</f>
        <v>58481090</v>
      </c>
      <c r="E539" t="str">
        <f>IFERROR(VLOOKUP(원본데이터_SK!F539,채널매핑!$B:$D,3,0),"미매핑")</f>
        <v>미매핑</v>
      </c>
      <c r="F539">
        <f>IFERROR(VLOOKUP(원본데이터_SK!F539,채널매핑!$B:$E,4,0),1)</f>
        <v>1</v>
      </c>
      <c r="G539">
        <f>원본데이터_SK!Q539</f>
        <v>1</v>
      </c>
      <c r="H539">
        <f>원본데이터_SK!O539</f>
        <v>119000</v>
      </c>
      <c r="I539">
        <f>원본데이터_SK!AG539</f>
        <v>119000</v>
      </c>
      <c r="J539">
        <f>원본데이터_SK!AH539</f>
        <v>80920</v>
      </c>
      <c r="K539">
        <f>IFERROR(VLOOKUP(E539,제품마스터!$A:$B,2,0),0)</f>
        <v>0</v>
      </c>
      <c r="L539">
        <f>원본데이터_SK!Q539*원본데이터_SK!P539</f>
        <v>80920</v>
      </c>
    </row>
    <row r="540" spans="1:12" x14ac:dyDescent="0.3">
      <c r="A540" t="s">
        <v>11</v>
      </c>
      <c r="B540" t="str">
        <f>원본데이터_SK!D540</f>
        <v>20260210361723</v>
      </c>
      <c r="C540" t="str">
        <f>IF(원본데이터_SK!M540="","",TEXT(원본데이터_SK!M540,"YYYY-MM-DD"))</f>
        <v>2026-02-12</v>
      </c>
      <c r="D540" t="str">
        <f>원본데이터_SK!F540</f>
        <v>58481090</v>
      </c>
      <c r="E540" t="str">
        <f>IFERROR(VLOOKUP(원본데이터_SK!F540,채널매핑!$B:$D,3,0),"미매핑")</f>
        <v>미매핑</v>
      </c>
      <c r="F540">
        <f>IFERROR(VLOOKUP(원본데이터_SK!F540,채널매핑!$B:$E,4,0),1)</f>
        <v>1</v>
      </c>
      <c r="G540">
        <f>원본데이터_SK!Q540</f>
        <v>1</v>
      </c>
      <c r="H540">
        <f>원본데이터_SK!O540</f>
        <v>119000</v>
      </c>
      <c r="I540">
        <f>원본데이터_SK!AG540</f>
        <v>119000</v>
      </c>
      <c r="J540">
        <f>원본데이터_SK!AH540</f>
        <v>80920</v>
      </c>
      <c r="K540">
        <f>IFERROR(VLOOKUP(E540,제품마스터!$A:$B,2,0),0)</f>
        <v>0</v>
      </c>
      <c r="L540">
        <f>원본데이터_SK!Q540*원본데이터_SK!P540</f>
        <v>80920</v>
      </c>
    </row>
    <row r="541" spans="1:12" x14ac:dyDescent="0.3">
      <c r="A541" t="s">
        <v>11</v>
      </c>
      <c r="B541" t="str">
        <f>원본데이터_SK!D541</f>
        <v>20260210361843</v>
      </c>
      <c r="C541" t="str">
        <f>IF(원본데이터_SK!M541="","",TEXT(원본데이터_SK!M541,"YYYY-MM-DD"))</f>
        <v>2026-02-12</v>
      </c>
      <c r="D541" t="str">
        <f>원본데이터_SK!F541</f>
        <v>58481090</v>
      </c>
      <c r="E541" t="str">
        <f>IFERROR(VLOOKUP(원본데이터_SK!F541,채널매핑!$B:$D,3,0),"미매핑")</f>
        <v>미매핑</v>
      </c>
      <c r="F541">
        <f>IFERROR(VLOOKUP(원본데이터_SK!F541,채널매핑!$B:$E,4,0),1)</f>
        <v>1</v>
      </c>
      <c r="G541">
        <f>원본데이터_SK!Q541</f>
        <v>1</v>
      </c>
      <c r="H541">
        <f>원본데이터_SK!O541</f>
        <v>119000</v>
      </c>
      <c r="I541">
        <f>원본데이터_SK!AG541</f>
        <v>119000</v>
      </c>
      <c r="J541">
        <f>원본데이터_SK!AH541</f>
        <v>80920</v>
      </c>
      <c r="K541">
        <f>IFERROR(VLOOKUP(E541,제품마스터!$A:$B,2,0),0)</f>
        <v>0</v>
      </c>
      <c r="L541">
        <f>원본데이터_SK!Q541*원본데이터_SK!P541</f>
        <v>80920</v>
      </c>
    </row>
    <row r="542" spans="1:12" x14ac:dyDescent="0.3">
      <c r="A542" t="s">
        <v>11</v>
      </c>
      <c r="B542" t="str">
        <f>원본데이터_SK!D542</f>
        <v>20260210361131</v>
      </c>
      <c r="C542" t="str">
        <f>IF(원본데이터_SK!M542="","",TEXT(원본데이터_SK!M542,"YYYY-MM-DD"))</f>
        <v>2026-02-12</v>
      </c>
      <c r="D542" t="str">
        <f>원본데이터_SK!F542</f>
        <v>58481090</v>
      </c>
      <c r="E542" t="str">
        <f>IFERROR(VLOOKUP(원본데이터_SK!F542,채널매핑!$B:$D,3,0),"미매핑")</f>
        <v>미매핑</v>
      </c>
      <c r="F542">
        <f>IFERROR(VLOOKUP(원본데이터_SK!F542,채널매핑!$B:$E,4,0),1)</f>
        <v>1</v>
      </c>
      <c r="G542">
        <f>원본데이터_SK!Q542</f>
        <v>1</v>
      </c>
      <c r="H542">
        <f>원본데이터_SK!O542</f>
        <v>119000</v>
      </c>
      <c r="I542">
        <f>원본데이터_SK!AG542</f>
        <v>119000</v>
      </c>
      <c r="J542">
        <f>원본데이터_SK!AH542</f>
        <v>80920</v>
      </c>
      <c r="K542">
        <f>IFERROR(VLOOKUP(E542,제품마스터!$A:$B,2,0),0)</f>
        <v>0</v>
      </c>
      <c r="L542">
        <f>원본데이터_SK!Q542*원본데이터_SK!P542</f>
        <v>80920</v>
      </c>
    </row>
    <row r="543" spans="1:12" x14ac:dyDescent="0.3">
      <c r="A543" t="s">
        <v>11</v>
      </c>
      <c r="B543" t="str">
        <f>원본데이터_SK!D543</f>
        <v>20260210361526</v>
      </c>
      <c r="C543" t="str">
        <f>IF(원본데이터_SK!M543="","",TEXT(원본데이터_SK!M543,"YYYY-MM-DD"))</f>
        <v>2026-02-12</v>
      </c>
      <c r="D543" t="str">
        <f>원본데이터_SK!F543</f>
        <v>58481090</v>
      </c>
      <c r="E543" t="str">
        <f>IFERROR(VLOOKUP(원본데이터_SK!F543,채널매핑!$B:$D,3,0),"미매핑")</f>
        <v>미매핑</v>
      </c>
      <c r="F543">
        <f>IFERROR(VLOOKUP(원본데이터_SK!F543,채널매핑!$B:$E,4,0),1)</f>
        <v>1</v>
      </c>
      <c r="G543">
        <f>원본데이터_SK!Q543</f>
        <v>1</v>
      </c>
      <c r="H543">
        <f>원본데이터_SK!O543</f>
        <v>119000</v>
      </c>
      <c r="I543">
        <f>원본데이터_SK!AG543</f>
        <v>119000</v>
      </c>
      <c r="J543">
        <f>원본데이터_SK!AH543</f>
        <v>80920</v>
      </c>
      <c r="K543">
        <f>IFERROR(VLOOKUP(E543,제품마스터!$A:$B,2,0),0)</f>
        <v>0</v>
      </c>
      <c r="L543">
        <f>원본데이터_SK!Q543*원본데이터_SK!P543</f>
        <v>80920</v>
      </c>
    </row>
    <row r="544" spans="1:12" x14ac:dyDescent="0.3">
      <c r="A544" t="s">
        <v>11</v>
      </c>
      <c r="B544" t="str">
        <f>원본데이터_SK!D544</f>
        <v>20260210360438</v>
      </c>
      <c r="C544" t="str">
        <f>IF(원본데이터_SK!M544="","",TEXT(원본데이터_SK!M544,"YYYY-MM-DD"))</f>
        <v>2026-02-12</v>
      </c>
      <c r="D544" t="str">
        <f>원본데이터_SK!F544</f>
        <v>58481090</v>
      </c>
      <c r="E544" t="str">
        <f>IFERROR(VLOOKUP(원본데이터_SK!F544,채널매핑!$B:$D,3,0),"미매핑")</f>
        <v>미매핑</v>
      </c>
      <c r="F544">
        <f>IFERROR(VLOOKUP(원본데이터_SK!F544,채널매핑!$B:$E,4,0),1)</f>
        <v>1</v>
      </c>
      <c r="G544">
        <f>원본데이터_SK!Q544</f>
        <v>1</v>
      </c>
      <c r="H544">
        <f>원본데이터_SK!O544</f>
        <v>119000</v>
      </c>
      <c r="I544">
        <f>원본데이터_SK!AG544</f>
        <v>119000</v>
      </c>
      <c r="J544">
        <f>원본데이터_SK!AH544</f>
        <v>80920</v>
      </c>
      <c r="K544">
        <f>IFERROR(VLOOKUP(E544,제품마스터!$A:$B,2,0),0)</f>
        <v>0</v>
      </c>
      <c r="L544">
        <f>원본데이터_SK!Q544*원본데이터_SK!P544</f>
        <v>80920</v>
      </c>
    </row>
    <row r="545" spans="1:12" x14ac:dyDescent="0.3">
      <c r="A545" t="s">
        <v>11</v>
      </c>
      <c r="B545" t="str">
        <f>원본데이터_SK!D545</f>
        <v>20260210361764</v>
      </c>
      <c r="C545" t="str">
        <f>IF(원본데이터_SK!M545="","",TEXT(원본데이터_SK!M545,"YYYY-MM-DD"))</f>
        <v>2026-02-12</v>
      </c>
      <c r="D545" t="str">
        <f>원본데이터_SK!F545</f>
        <v>58481090</v>
      </c>
      <c r="E545" t="str">
        <f>IFERROR(VLOOKUP(원본데이터_SK!F545,채널매핑!$B:$D,3,0),"미매핑")</f>
        <v>미매핑</v>
      </c>
      <c r="F545">
        <f>IFERROR(VLOOKUP(원본데이터_SK!F545,채널매핑!$B:$E,4,0),1)</f>
        <v>1</v>
      </c>
      <c r="G545">
        <f>원본데이터_SK!Q545</f>
        <v>1</v>
      </c>
      <c r="H545">
        <f>원본데이터_SK!O545</f>
        <v>119000</v>
      </c>
      <c r="I545">
        <f>원본데이터_SK!AG545</f>
        <v>119000</v>
      </c>
      <c r="J545">
        <f>원본데이터_SK!AH545</f>
        <v>80920</v>
      </c>
      <c r="K545">
        <f>IFERROR(VLOOKUP(E545,제품마스터!$A:$B,2,0),0)</f>
        <v>0</v>
      </c>
      <c r="L545">
        <f>원본데이터_SK!Q545*원본데이터_SK!P545</f>
        <v>80920</v>
      </c>
    </row>
    <row r="546" spans="1:12" x14ac:dyDescent="0.3">
      <c r="A546" t="s">
        <v>11</v>
      </c>
      <c r="B546" t="str">
        <f>원본데이터_SK!D546</f>
        <v>20260210361158</v>
      </c>
      <c r="C546" t="str">
        <f>IF(원본데이터_SK!M546="","",TEXT(원본데이터_SK!M546,"YYYY-MM-DD"))</f>
        <v>2026-02-12</v>
      </c>
      <c r="D546" t="str">
        <f>원본데이터_SK!F546</f>
        <v>58481090</v>
      </c>
      <c r="E546" t="str">
        <f>IFERROR(VLOOKUP(원본데이터_SK!F546,채널매핑!$B:$D,3,0),"미매핑")</f>
        <v>미매핑</v>
      </c>
      <c r="F546">
        <f>IFERROR(VLOOKUP(원본데이터_SK!F546,채널매핑!$B:$E,4,0),1)</f>
        <v>1</v>
      </c>
      <c r="G546">
        <f>원본데이터_SK!Q546</f>
        <v>1</v>
      </c>
      <c r="H546">
        <f>원본데이터_SK!O546</f>
        <v>119000</v>
      </c>
      <c r="I546">
        <f>원본데이터_SK!AG546</f>
        <v>113050</v>
      </c>
      <c r="J546">
        <f>원본데이터_SK!AH546</f>
        <v>80920</v>
      </c>
      <c r="K546">
        <f>IFERROR(VLOOKUP(E546,제품마스터!$A:$B,2,0),0)</f>
        <v>0</v>
      </c>
      <c r="L546">
        <f>원본데이터_SK!Q546*원본데이터_SK!P546</f>
        <v>80920</v>
      </c>
    </row>
    <row r="547" spans="1:12" x14ac:dyDescent="0.3">
      <c r="A547" t="s">
        <v>11</v>
      </c>
      <c r="B547" t="str">
        <f>원본데이터_SK!D547</f>
        <v>20260210360710</v>
      </c>
      <c r="C547" t="str">
        <f>IF(원본데이터_SK!M547="","",TEXT(원본데이터_SK!M547,"YYYY-MM-DD"))</f>
        <v>2026-02-12</v>
      </c>
      <c r="D547" t="str">
        <f>원본데이터_SK!F547</f>
        <v>58481090</v>
      </c>
      <c r="E547" t="str">
        <f>IFERROR(VLOOKUP(원본데이터_SK!F547,채널매핑!$B:$D,3,0),"미매핑")</f>
        <v>미매핑</v>
      </c>
      <c r="F547">
        <f>IFERROR(VLOOKUP(원본데이터_SK!F547,채널매핑!$B:$E,4,0),1)</f>
        <v>1</v>
      </c>
      <c r="G547">
        <f>원본데이터_SK!Q547</f>
        <v>1</v>
      </c>
      <c r="H547">
        <f>원본데이터_SK!O547</f>
        <v>119000</v>
      </c>
      <c r="I547">
        <f>원본데이터_SK!AG547</f>
        <v>119000</v>
      </c>
      <c r="J547">
        <f>원본데이터_SK!AH547</f>
        <v>80920</v>
      </c>
      <c r="K547">
        <f>IFERROR(VLOOKUP(E547,제품마스터!$A:$B,2,0),0)</f>
        <v>0</v>
      </c>
      <c r="L547">
        <f>원본데이터_SK!Q547*원본데이터_SK!P547</f>
        <v>80920</v>
      </c>
    </row>
    <row r="548" spans="1:12" x14ac:dyDescent="0.3">
      <c r="A548" t="s">
        <v>11</v>
      </c>
      <c r="B548" t="str">
        <f>원본데이터_SK!D548</f>
        <v>20260210361717</v>
      </c>
      <c r="C548" t="str">
        <f>IF(원본데이터_SK!M548="","",TEXT(원본데이터_SK!M548,"YYYY-MM-DD"))</f>
        <v>2026-02-12</v>
      </c>
      <c r="D548" t="str">
        <f>원본데이터_SK!F548</f>
        <v>58481090</v>
      </c>
      <c r="E548" t="str">
        <f>IFERROR(VLOOKUP(원본데이터_SK!F548,채널매핑!$B:$D,3,0),"미매핑")</f>
        <v>미매핑</v>
      </c>
      <c r="F548">
        <f>IFERROR(VLOOKUP(원본데이터_SK!F548,채널매핑!$B:$E,4,0),1)</f>
        <v>1</v>
      </c>
      <c r="G548">
        <f>원본데이터_SK!Q548</f>
        <v>1</v>
      </c>
      <c r="H548">
        <f>원본데이터_SK!O548</f>
        <v>119000</v>
      </c>
      <c r="I548">
        <f>원본데이터_SK!AG548</f>
        <v>119000</v>
      </c>
      <c r="J548">
        <f>원본데이터_SK!AH548</f>
        <v>80920</v>
      </c>
      <c r="K548">
        <f>IFERROR(VLOOKUP(E548,제품마스터!$A:$B,2,0),0)</f>
        <v>0</v>
      </c>
      <c r="L548">
        <f>원본데이터_SK!Q548*원본데이터_SK!P548</f>
        <v>80920</v>
      </c>
    </row>
    <row r="549" spans="1:12" x14ac:dyDescent="0.3">
      <c r="A549" t="s">
        <v>11</v>
      </c>
      <c r="B549" t="str">
        <f>원본데이터_SK!D549</f>
        <v>20260210362658</v>
      </c>
      <c r="C549" t="str">
        <f>IF(원본데이터_SK!M549="","",TEXT(원본데이터_SK!M549,"YYYY-MM-DD"))</f>
        <v>2026-02-12</v>
      </c>
      <c r="D549" t="str">
        <f>원본데이터_SK!F549</f>
        <v>58481090</v>
      </c>
      <c r="E549" t="str">
        <f>IFERROR(VLOOKUP(원본데이터_SK!F549,채널매핑!$B:$D,3,0),"미매핑")</f>
        <v>미매핑</v>
      </c>
      <c r="F549">
        <f>IFERROR(VLOOKUP(원본데이터_SK!F549,채널매핑!$B:$E,4,0),1)</f>
        <v>1</v>
      </c>
      <c r="G549">
        <f>원본데이터_SK!Q549</f>
        <v>1</v>
      </c>
      <c r="H549">
        <f>원본데이터_SK!O549</f>
        <v>119000</v>
      </c>
      <c r="I549">
        <f>원본데이터_SK!AG549</f>
        <v>113050</v>
      </c>
      <c r="J549">
        <f>원본데이터_SK!AH549</f>
        <v>80920</v>
      </c>
      <c r="K549">
        <f>IFERROR(VLOOKUP(E549,제품마스터!$A:$B,2,0),0)</f>
        <v>0</v>
      </c>
      <c r="L549">
        <f>원본데이터_SK!Q549*원본데이터_SK!P549</f>
        <v>80920</v>
      </c>
    </row>
    <row r="550" spans="1:12" x14ac:dyDescent="0.3">
      <c r="A550" t="s">
        <v>11</v>
      </c>
      <c r="B550" t="str">
        <f>원본데이터_SK!D550</f>
        <v>20260210360971</v>
      </c>
      <c r="C550" t="str">
        <f>IF(원본데이터_SK!M550="","",TEXT(원본데이터_SK!M550,"YYYY-MM-DD"))</f>
        <v>2026-02-12</v>
      </c>
      <c r="D550" t="str">
        <f>원본데이터_SK!F550</f>
        <v>58481090</v>
      </c>
      <c r="E550" t="str">
        <f>IFERROR(VLOOKUP(원본데이터_SK!F550,채널매핑!$B:$D,3,0),"미매핑")</f>
        <v>미매핑</v>
      </c>
      <c r="F550">
        <f>IFERROR(VLOOKUP(원본데이터_SK!F550,채널매핑!$B:$E,4,0),1)</f>
        <v>1</v>
      </c>
      <c r="G550">
        <f>원본데이터_SK!Q550</f>
        <v>1</v>
      </c>
      <c r="H550">
        <f>원본데이터_SK!O550</f>
        <v>119000</v>
      </c>
      <c r="I550">
        <f>원본데이터_SK!AG550</f>
        <v>119000</v>
      </c>
      <c r="J550">
        <f>원본데이터_SK!AH550</f>
        <v>80920</v>
      </c>
      <c r="K550">
        <f>IFERROR(VLOOKUP(E550,제품마스터!$A:$B,2,0),0)</f>
        <v>0</v>
      </c>
      <c r="L550">
        <f>원본데이터_SK!Q550*원본데이터_SK!P550</f>
        <v>80920</v>
      </c>
    </row>
    <row r="551" spans="1:12" x14ac:dyDescent="0.3">
      <c r="A551" t="s">
        <v>11</v>
      </c>
      <c r="B551" t="str">
        <f>원본데이터_SK!D551</f>
        <v>20260210360957</v>
      </c>
      <c r="C551" t="str">
        <f>IF(원본데이터_SK!M551="","",TEXT(원본데이터_SK!M551,"YYYY-MM-DD"))</f>
        <v>2026-02-12</v>
      </c>
      <c r="D551" t="str">
        <f>원본데이터_SK!F551</f>
        <v>58481090</v>
      </c>
      <c r="E551" t="str">
        <f>IFERROR(VLOOKUP(원본데이터_SK!F551,채널매핑!$B:$D,3,0),"미매핑")</f>
        <v>미매핑</v>
      </c>
      <c r="F551">
        <f>IFERROR(VLOOKUP(원본데이터_SK!F551,채널매핑!$B:$E,4,0),1)</f>
        <v>1</v>
      </c>
      <c r="G551">
        <f>원본데이터_SK!Q551</f>
        <v>1</v>
      </c>
      <c r="H551">
        <f>원본데이터_SK!O551</f>
        <v>119000</v>
      </c>
      <c r="I551">
        <f>원본데이터_SK!AG551</f>
        <v>113050</v>
      </c>
      <c r="J551">
        <f>원본데이터_SK!AH551</f>
        <v>80920</v>
      </c>
      <c r="K551">
        <f>IFERROR(VLOOKUP(E551,제품마스터!$A:$B,2,0),0)</f>
        <v>0</v>
      </c>
      <c r="L551">
        <f>원본데이터_SK!Q551*원본데이터_SK!P551</f>
        <v>80920</v>
      </c>
    </row>
    <row r="552" spans="1:12" x14ac:dyDescent="0.3">
      <c r="A552" t="s">
        <v>11</v>
      </c>
      <c r="B552" t="str">
        <f>원본데이터_SK!D552</f>
        <v>20260210362164</v>
      </c>
      <c r="C552" t="str">
        <f>IF(원본데이터_SK!M552="","",TEXT(원본데이터_SK!M552,"YYYY-MM-DD"))</f>
        <v>2026-02-12</v>
      </c>
      <c r="D552" t="str">
        <f>원본데이터_SK!F552</f>
        <v>58481090</v>
      </c>
      <c r="E552" t="str">
        <f>IFERROR(VLOOKUP(원본데이터_SK!F552,채널매핑!$B:$D,3,0),"미매핑")</f>
        <v>미매핑</v>
      </c>
      <c r="F552">
        <f>IFERROR(VLOOKUP(원본데이터_SK!F552,채널매핑!$B:$E,4,0),1)</f>
        <v>1</v>
      </c>
      <c r="G552">
        <f>원본데이터_SK!Q552</f>
        <v>1</v>
      </c>
      <c r="H552">
        <f>원본데이터_SK!O552</f>
        <v>119000</v>
      </c>
      <c r="I552">
        <f>원본데이터_SK!AG552</f>
        <v>119000</v>
      </c>
      <c r="J552">
        <f>원본데이터_SK!AH552</f>
        <v>80920</v>
      </c>
      <c r="K552">
        <f>IFERROR(VLOOKUP(E552,제품마스터!$A:$B,2,0),0)</f>
        <v>0</v>
      </c>
      <c r="L552">
        <f>원본데이터_SK!Q552*원본데이터_SK!P552</f>
        <v>80920</v>
      </c>
    </row>
    <row r="553" spans="1:12" x14ac:dyDescent="0.3">
      <c r="A553" t="s">
        <v>11</v>
      </c>
      <c r="B553" t="str">
        <f>원본데이터_SK!D553</f>
        <v>20260210362189</v>
      </c>
      <c r="C553" t="str">
        <f>IF(원본데이터_SK!M553="","",TEXT(원본데이터_SK!M553,"YYYY-MM-DD"))</f>
        <v>2026-02-12</v>
      </c>
      <c r="D553" t="str">
        <f>원본데이터_SK!F553</f>
        <v>58481090</v>
      </c>
      <c r="E553" t="str">
        <f>IFERROR(VLOOKUP(원본데이터_SK!F553,채널매핑!$B:$D,3,0),"미매핑")</f>
        <v>미매핑</v>
      </c>
      <c r="F553">
        <f>IFERROR(VLOOKUP(원본데이터_SK!F553,채널매핑!$B:$E,4,0),1)</f>
        <v>1</v>
      </c>
      <c r="G553">
        <f>원본데이터_SK!Q553</f>
        <v>1</v>
      </c>
      <c r="H553">
        <f>원본데이터_SK!O553</f>
        <v>119000</v>
      </c>
      <c r="I553">
        <f>원본데이터_SK!AG553</f>
        <v>113050</v>
      </c>
      <c r="J553">
        <f>원본데이터_SK!AH553</f>
        <v>80920</v>
      </c>
      <c r="K553">
        <f>IFERROR(VLOOKUP(E553,제품마스터!$A:$B,2,0),0)</f>
        <v>0</v>
      </c>
      <c r="L553">
        <f>원본데이터_SK!Q553*원본데이터_SK!P553</f>
        <v>80920</v>
      </c>
    </row>
    <row r="554" spans="1:12" x14ac:dyDescent="0.3">
      <c r="A554" t="s">
        <v>11</v>
      </c>
      <c r="B554" t="str">
        <f>원본데이터_SK!D554</f>
        <v>20260210360419</v>
      </c>
      <c r="C554" t="str">
        <f>IF(원본데이터_SK!M554="","",TEXT(원본데이터_SK!M554,"YYYY-MM-DD"))</f>
        <v>2026-02-12</v>
      </c>
      <c r="D554" t="str">
        <f>원본데이터_SK!F554</f>
        <v>58481090</v>
      </c>
      <c r="E554" t="str">
        <f>IFERROR(VLOOKUP(원본데이터_SK!F554,채널매핑!$B:$D,3,0),"미매핑")</f>
        <v>미매핑</v>
      </c>
      <c r="F554">
        <f>IFERROR(VLOOKUP(원본데이터_SK!F554,채널매핑!$B:$E,4,0),1)</f>
        <v>1</v>
      </c>
      <c r="G554">
        <f>원본데이터_SK!Q554</f>
        <v>1</v>
      </c>
      <c r="H554">
        <f>원본데이터_SK!O554</f>
        <v>119000</v>
      </c>
      <c r="I554">
        <f>원본데이터_SK!AG554</f>
        <v>119000</v>
      </c>
      <c r="J554">
        <f>원본데이터_SK!AH554</f>
        <v>80920</v>
      </c>
      <c r="K554">
        <f>IFERROR(VLOOKUP(E554,제품마스터!$A:$B,2,0),0)</f>
        <v>0</v>
      </c>
      <c r="L554">
        <f>원본데이터_SK!Q554*원본데이터_SK!P554</f>
        <v>80920</v>
      </c>
    </row>
    <row r="555" spans="1:12" x14ac:dyDescent="0.3">
      <c r="A555" t="s">
        <v>11</v>
      </c>
      <c r="B555" t="str">
        <f>원본데이터_SK!D555</f>
        <v>20260210361724</v>
      </c>
      <c r="C555" t="str">
        <f>IF(원본데이터_SK!M555="","",TEXT(원본데이터_SK!M555,"YYYY-MM-DD"))</f>
        <v>2026-02-12</v>
      </c>
      <c r="D555" t="str">
        <f>원본데이터_SK!F555</f>
        <v>58481090</v>
      </c>
      <c r="E555" t="str">
        <f>IFERROR(VLOOKUP(원본데이터_SK!F555,채널매핑!$B:$D,3,0),"미매핑")</f>
        <v>미매핑</v>
      </c>
      <c r="F555">
        <f>IFERROR(VLOOKUP(원본데이터_SK!F555,채널매핑!$B:$E,4,0),1)</f>
        <v>1</v>
      </c>
      <c r="G555">
        <f>원본데이터_SK!Q555</f>
        <v>1</v>
      </c>
      <c r="H555">
        <f>원본데이터_SK!O555</f>
        <v>119000</v>
      </c>
      <c r="I555">
        <f>원본데이터_SK!AG555</f>
        <v>119000</v>
      </c>
      <c r="J555">
        <f>원본데이터_SK!AH555</f>
        <v>80920</v>
      </c>
      <c r="K555">
        <f>IFERROR(VLOOKUP(E555,제품마스터!$A:$B,2,0),0)</f>
        <v>0</v>
      </c>
      <c r="L555">
        <f>원본데이터_SK!Q555*원본데이터_SK!P555</f>
        <v>80920</v>
      </c>
    </row>
    <row r="556" spans="1:12" x14ac:dyDescent="0.3">
      <c r="A556" t="s">
        <v>11</v>
      </c>
      <c r="B556" t="str">
        <f>원본데이터_SK!D556</f>
        <v>20260210360288</v>
      </c>
      <c r="C556" t="str">
        <f>IF(원본데이터_SK!M556="","",TEXT(원본데이터_SK!M556,"YYYY-MM-DD"))</f>
        <v>2026-02-12</v>
      </c>
      <c r="D556" t="str">
        <f>원본데이터_SK!F556</f>
        <v>58481090</v>
      </c>
      <c r="E556" t="str">
        <f>IFERROR(VLOOKUP(원본데이터_SK!F556,채널매핑!$B:$D,3,0),"미매핑")</f>
        <v>미매핑</v>
      </c>
      <c r="F556">
        <f>IFERROR(VLOOKUP(원본데이터_SK!F556,채널매핑!$B:$E,4,0),1)</f>
        <v>1</v>
      </c>
      <c r="G556">
        <f>원본데이터_SK!Q556</f>
        <v>1</v>
      </c>
      <c r="H556">
        <f>원본데이터_SK!O556</f>
        <v>119000</v>
      </c>
      <c r="I556">
        <f>원본데이터_SK!AG556</f>
        <v>119000</v>
      </c>
      <c r="J556">
        <f>원본데이터_SK!AH556</f>
        <v>80920</v>
      </c>
      <c r="K556">
        <f>IFERROR(VLOOKUP(E556,제품마스터!$A:$B,2,0),0)</f>
        <v>0</v>
      </c>
      <c r="L556">
        <f>원본데이터_SK!Q556*원본데이터_SK!P556</f>
        <v>80920</v>
      </c>
    </row>
    <row r="557" spans="1:12" x14ac:dyDescent="0.3">
      <c r="A557" t="s">
        <v>11</v>
      </c>
      <c r="B557" t="str">
        <f>원본데이터_SK!D557</f>
        <v>20260210361616</v>
      </c>
      <c r="C557" t="str">
        <f>IF(원본데이터_SK!M557="","",TEXT(원본데이터_SK!M557,"YYYY-MM-DD"))</f>
        <v>2026-02-12</v>
      </c>
      <c r="D557" t="str">
        <f>원본데이터_SK!F557</f>
        <v>58481090</v>
      </c>
      <c r="E557" t="str">
        <f>IFERROR(VLOOKUP(원본데이터_SK!F557,채널매핑!$B:$D,3,0),"미매핑")</f>
        <v>미매핑</v>
      </c>
      <c r="F557">
        <f>IFERROR(VLOOKUP(원본데이터_SK!F557,채널매핑!$B:$E,4,0),1)</f>
        <v>1</v>
      </c>
      <c r="G557">
        <f>원본데이터_SK!Q557</f>
        <v>1</v>
      </c>
      <c r="H557">
        <f>원본데이터_SK!O557</f>
        <v>119000</v>
      </c>
      <c r="I557">
        <f>원본데이터_SK!AG557</f>
        <v>113050</v>
      </c>
      <c r="J557">
        <f>원본데이터_SK!AH557</f>
        <v>80920</v>
      </c>
      <c r="K557">
        <f>IFERROR(VLOOKUP(E557,제품마스터!$A:$B,2,0),0)</f>
        <v>0</v>
      </c>
      <c r="L557">
        <f>원본데이터_SK!Q557*원본데이터_SK!P557</f>
        <v>80920</v>
      </c>
    </row>
    <row r="558" spans="1:12" x14ac:dyDescent="0.3">
      <c r="A558" t="s">
        <v>11</v>
      </c>
      <c r="B558" t="str">
        <f>원본데이터_SK!D558</f>
        <v>20260210361828</v>
      </c>
      <c r="C558" t="str">
        <f>IF(원본데이터_SK!M558="","",TEXT(원본데이터_SK!M558,"YYYY-MM-DD"))</f>
        <v>2026-02-12</v>
      </c>
      <c r="D558" t="str">
        <f>원본데이터_SK!F558</f>
        <v>58481090</v>
      </c>
      <c r="E558" t="str">
        <f>IFERROR(VLOOKUP(원본데이터_SK!F558,채널매핑!$B:$D,3,0),"미매핑")</f>
        <v>미매핑</v>
      </c>
      <c r="F558">
        <f>IFERROR(VLOOKUP(원본데이터_SK!F558,채널매핑!$B:$E,4,0),1)</f>
        <v>1</v>
      </c>
      <c r="G558">
        <f>원본데이터_SK!Q558</f>
        <v>1</v>
      </c>
      <c r="H558">
        <f>원본데이터_SK!O558</f>
        <v>119000</v>
      </c>
      <c r="I558">
        <f>원본데이터_SK!AG558</f>
        <v>119000</v>
      </c>
      <c r="J558">
        <f>원본데이터_SK!AH558</f>
        <v>80920</v>
      </c>
      <c r="K558">
        <f>IFERROR(VLOOKUP(E558,제품마스터!$A:$B,2,0),0)</f>
        <v>0</v>
      </c>
      <c r="L558">
        <f>원본데이터_SK!Q558*원본데이터_SK!P558</f>
        <v>80920</v>
      </c>
    </row>
    <row r="559" spans="1:12" x14ac:dyDescent="0.3">
      <c r="A559" t="s">
        <v>11</v>
      </c>
      <c r="B559" t="str">
        <f>원본데이터_SK!D559</f>
        <v>20260210361688</v>
      </c>
      <c r="C559" t="str">
        <f>IF(원본데이터_SK!M559="","",TEXT(원본데이터_SK!M559,"YYYY-MM-DD"))</f>
        <v>2026-02-12</v>
      </c>
      <c r="D559" t="str">
        <f>원본데이터_SK!F559</f>
        <v>58481090</v>
      </c>
      <c r="E559" t="str">
        <f>IFERROR(VLOOKUP(원본데이터_SK!F559,채널매핑!$B:$D,3,0),"미매핑")</f>
        <v>미매핑</v>
      </c>
      <c r="F559">
        <f>IFERROR(VLOOKUP(원본데이터_SK!F559,채널매핑!$B:$E,4,0),1)</f>
        <v>1</v>
      </c>
      <c r="G559">
        <f>원본데이터_SK!Q559</f>
        <v>1</v>
      </c>
      <c r="H559">
        <f>원본데이터_SK!O559</f>
        <v>119000</v>
      </c>
      <c r="I559">
        <f>원본데이터_SK!AG559</f>
        <v>119000</v>
      </c>
      <c r="J559">
        <f>원본데이터_SK!AH559</f>
        <v>80920</v>
      </c>
      <c r="K559">
        <f>IFERROR(VLOOKUP(E559,제품마스터!$A:$B,2,0),0)</f>
        <v>0</v>
      </c>
      <c r="L559">
        <f>원본데이터_SK!Q559*원본데이터_SK!P559</f>
        <v>80920</v>
      </c>
    </row>
    <row r="560" spans="1:12" x14ac:dyDescent="0.3">
      <c r="A560" t="s">
        <v>11</v>
      </c>
      <c r="B560" t="str">
        <f>원본데이터_SK!D560</f>
        <v>20260210361789</v>
      </c>
      <c r="C560" t="str">
        <f>IF(원본데이터_SK!M560="","",TEXT(원본데이터_SK!M560,"YYYY-MM-DD"))</f>
        <v>2026-02-12</v>
      </c>
      <c r="D560" t="str">
        <f>원본데이터_SK!F560</f>
        <v>58481090</v>
      </c>
      <c r="E560" t="str">
        <f>IFERROR(VLOOKUP(원본데이터_SK!F560,채널매핑!$B:$D,3,0),"미매핑")</f>
        <v>미매핑</v>
      </c>
      <c r="F560">
        <f>IFERROR(VLOOKUP(원본데이터_SK!F560,채널매핑!$B:$E,4,0),1)</f>
        <v>1</v>
      </c>
      <c r="G560">
        <f>원본데이터_SK!Q560</f>
        <v>1</v>
      </c>
      <c r="H560">
        <f>원본데이터_SK!O560</f>
        <v>119000</v>
      </c>
      <c r="I560">
        <f>원본데이터_SK!AG560</f>
        <v>119000</v>
      </c>
      <c r="J560">
        <f>원본데이터_SK!AH560</f>
        <v>80920</v>
      </c>
      <c r="K560">
        <f>IFERROR(VLOOKUP(E560,제품마스터!$A:$B,2,0),0)</f>
        <v>0</v>
      </c>
      <c r="L560">
        <f>원본데이터_SK!Q560*원본데이터_SK!P560</f>
        <v>80920</v>
      </c>
    </row>
    <row r="561" spans="1:12" x14ac:dyDescent="0.3">
      <c r="A561" t="s">
        <v>11</v>
      </c>
      <c r="B561" t="str">
        <f>원본데이터_SK!D561</f>
        <v>20260210360385</v>
      </c>
      <c r="C561" t="str">
        <f>IF(원본데이터_SK!M561="","",TEXT(원본데이터_SK!M561,"YYYY-MM-DD"))</f>
        <v>2026-02-12</v>
      </c>
      <c r="D561" t="str">
        <f>원본데이터_SK!F561</f>
        <v>58481090</v>
      </c>
      <c r="E561" t="str">
        <f>IFERROR(VLOOKUP(원본데이터_SK!F561,채널매핑!$B:$D,3,0),"미매핑")</f>
        <v>미매핑</v>
      </c>
      <c r="F561">
        <f>IFERROR(VLOOKUP(원본데이터_SK!F561,채널매핑!$B:$E,4,0),1)</f>
        <v>1</v>
      </c>
      <c r="G561">
        <f>원본데이터_SK!Q561</f>
        <v>1</v>
      </c>
      <c r="H561">
        <f>원본데이터_SK!O561</f>
        <v>119000</v>
      </c>
      <c r="I561">
        <f>원본데이터_SK!AG561</f>
        <v>119000</v>
      </c>
      <c r="J561">
        <f>원본데이터_SK!AH561</f>
        <v>80920</v>
      </c>
      <c r="K561">
        <f>IFERROR(VLOOKUP(E561,제품마스터!$A:$B,2,0),0)</f>
        <v>0</v>
      </c>
      <c r="L561">
        <f>원본데이터_SK!Q561*원본데이터_SK!P561</f>
        <v>80920</v>
      </c>
    </row>
    <row r="562" spans="1:12" x14ac:dyDescent="0.3">
      <c r="A562" t="s">
        <v>11</v>
      </c>
      <c r="B562" t="str">
        <f>원본데이터_SK!D562</f>
        <v>20260210361225</v>
      </c>
      <c r="C562" t="str">
        <f>IF(원본데이터_SK!M562="","",TEXT(원본데이터_SK!M562,"YYYY-MM-DD"))</f>
        <v>2026-02-12</v>
      </c>
      <c r="D562" t="str">
        <f>원본데이터_SK!F562</f>
        <v>58481090</v>
      </c>
      <c r="E562" t="str">
        <f>IFERROR(VLOOKUP(원본데이터_SK!F562,채널매핑!$B:$D,3,0),"미매핑")</f>
        <v>미매핑</v>
      </c>
      <c r="F562">
        <f>IFERROR(VLOOKUP(원본데이터_SK!F562,채널매핑!$B:$E,4,0),1)</f>
        <v>1</v>
      </c>
      <c r="G562">
        <f>원본데이터_SK!Q562</f>
        <v>1</v>
      </c>
      <c r="H562">
        <f>원본데이터_SK!O562</f>
        <v>119000</v>
      </c>
      <c r="I562">
        <f>원본데이터_SK!AG562</f>
        <v>113050</v>
      </c>
      <c r="J562">
        <f>원본데이터_SK!AH562</f>
        <v>80920</v>
      </c>
      <c r="K562">
        <f>IFERROR(VLOOKUP(E562,제품마스터!$A:$B,2,0),0)</f>
        <v>0</v>
      </c>
      <c r="L562">
        <f>원본데이터_SK!Q562*원본데이터_SK!P562</f>
        <v>80920</v>
      </c>
    </row>
    <row r="563" spans="1:12" x14ac:dyDescent="0.3">
      <c r="A563" t="s">
        <v>11</v>
      </c>
      <c r="B563" t="str">
        <f>원본데이터_SK!D563</f>
        <v>20260210360980</v>
      </c>
      <c r="C563" t="str">
        <f>IF(원본데이터_SK!M563="","",TEXT(원본데이터_SK!M563,"YYYY-MM-DD"))</f>
        <v>2026-02-12</v>
      </c>
      <c r="D563" t="str">
        <f>원본데이터_SK!F563</f>
        <v>58481090</v>
      </c>
      <c r="E563" t="str">
        <f>IFERROR(VLOOKUP(원본데이터_SK!F563,채널매핑!$B:$D,3,0),"미매핑")</f>
        <v>미매핑</v>
      </c>
      <c r="F563">
        <f>IFERROR(VLOOKUP(원본데이터_SK!F563,채널매핑!$B:$E,4,0),1)</f>
        <v>1</v>
      </c>
      <c r="G563">
        <f>원본데이터_SK!Q563</f>
        <v>1</v>
      </c>
      <c r="H563">
        <f>원본데이터_SK!O563</f>
        <v>119000</v>
      </c>
      <c r="I563">
        <f>원본데이터_SK!AG563</f>
        <v>119000</v>
      </c>
      <c r="J563">
        <f>원본데이터_SK!AH563</f>
        <v>80920</v>
      </c>
      <c r="K563">
        <f>IFERROR(VLOOKUP(E563,제품마스터!$A:$B,2,0),0)</f>
        <v>0</v>
      </c>
      <c r="L563">
        <f>원본데이터_SK!Q563*원본데이터_SK!P563</f>
        <v>80920</v>
      </c>
    </row>
    <row r="564" spans="1:12" x14ac:dyDescent="0.3">
      <c r="A564" t="s">
        <v>11</v>
      </c>
      <c r="B564" t="str">
        <f>원본데이터_SK!D564</f>
        <v>20260210360551</v>
      </c>
      <c r="C564" t="str">
        <f>IF(원본데이터_SK!M564="","",TEXT(원본데이터_SK!M564,"YYYY-MM-DD"))</f>
        <v>2026-02-12</v>
      </c>
      <c r="D564" t="str">
        <f>원본데이터_SK!F564</f>
        <v>58481090</v>
      </c>
      <c r="E564" t="str">
        <f>IFERROR(VLOOKUP(원본데이터_SK!F564,채널매핑!$B:$D,3,0),"미매핑")</f>
        <v>미매핑</v>
      </c>
      <c r="F564">
        <f>IFERROR(VLOOKUP(원본데이터_SK!F564,채널매핑!$B:$E,4,0),1)</f>
        <v>1</v>
      </c>
      <c r="G564">
        <f>원본데이터_SK!Q564</f>
        <v>1</v>
      </c>
      <c r="H564">
        <f>원본데이터_SK!O564</f>
        <v>119000</v>
      </c>
      <c r="I564">
        <f>원본데이터_SK!AG564</f>
        <v>119000</v>
      </c>
      <c r="J564">
        <f>원본데이터_SK!AH564</f>
        <v>80920</v>
      </c>
      <c r="K564">
        <f>IFERROR(VLOOKUP(E564,제품마스터!$A:$B,2,0),0)</f>
        <v>0</v>
      </c>
      <c r="L564">
        <f>원본데이터_SK!Q564*원본데이터_SK!P564</f>
        <v>80920</v>
      </c>
    </row>
    <row r="565" spans="1:12" x14ac:dyDescent="0.3">
      <c r="A565" t="s">
        <v>11</v>
      </c>
      <c r="B565" t="str">
        <f>원본데이터_SK!D565</f>
        <v>20260210361462</v>
      </c>
      <c r="C565" t="str">
        <f>IF(원본데이터_SK!M565="","",TEXT(원본데이터_SK!M565,"YYYY-MM-DD"))</f>
        <v>2026-02-12</v>
      </c>
      <c r="D565" t="str">
        <f>원본데이터_SK!F565</f>
        <v>58481090</v>
      </c>
      <c r="E565" t="str">
        <f>IFERROR(VLOOKUP(원본데이터_SK!F565,채널매핑!$B:$D,3,0),"미매핑")</f>
        <v>미매핑</v>
      </c>
      <c r="F565">
        <f>IFERROR(VLOOKUP(원본데이터_SK!F565,채널매핑!$B:$E,4,0),1)</f>
        <v>1</v>
      </c>
      <c r="G565">
        <f>원본데이터_SK!Q565</f>
        <v>1</v>
      </c>
      <c r="H565">
        <f>원본데이터_SK!O565</f>
        <v>119000</v>
      </c>
      <c r="I565">
        <f>원본데이터_SK!AG565</f>
        <v>119000</v>
      </c>
      <c r="J565">
        <f>원본데이터_SK!AH565</f>
        <v>80920</v>
      </c>
      <c r="K565">
        <f>IFERROR(VLOOKUP(E565,제품마스터!$A:$B,2,0),0)</f>
        <v>0</v>
      </c>
      <c r="L565">
        <f>원본데이터_SK!Q565*원본데이터_SK!P565</f>
        <v>80920</v>
      </c>
    </row>
    <row r="566" spans="1:12" x14ac:dyDescent="0.3">
      <c r="A566" t="s">
        <v>11</v>
      </c>
      <c r="B566" t="str">
        <f>원본데이터_SK!D566</f>
        <v>20260210360692</v>
      </c>
      <c r="C566" t="str">
        <f>IF(원본데이터_SK!M566="","",TEXT(원본데이터_SK!M566,"YYYY-MM-DD"))</f>
        <v>2026-02-12</v>
      </c>
      <c r="D566" t="str">
        <f>원본데이터_SK!F566</f>
        <v>58481090</v>
      </c>
      <c r="E566" t="str">
        <f>IFERROR(VLOOKUP(원본데이터_SK!F566,채널매핑!$B:$D,3,0),"미매핑")</f>
        <v>미매핑</v>
      </c>
      <c r="F566">
        <f>IFERROR(VLOOKUP(원본데이터_SK!F566,채널매핑!$B:$E,4,0),1)</f>
        <v>1</v>
      </c>
      <c r="G566">
        <f>원본데이터_SK!Q566</f>
        <v>1</v>
      </c>
      <c r="H566">
        <f>원본데이터_SK!O566</f>
        <v>119000</v>
      </c>
      <c r="I566">
        <f>원본데이터_SK!AG566</f>
        <v>119000</v>
      </c>
      <c r="J566">
        <f>원본데이터_SK!AH566</f>
        <v>80920</v>
      </c>
      <c r="K566">
        <f>IFERROR(VLOOKUP(E566,제품마스터!$A:$B,2,0),0)</f>
        <v>0</v>
      </c>
      <c r="L566">
        <f>원본데이터_SK!Q566*원본데이터_SK!P566</f>
        <v>80920</v>
      </c>
    </row>
    <row r="567" spans="1:12" x14ac:dyDescent="0.3">
      <c r="A567" t="s">
        <v>11</v>
      </c>
      <c r="B567" t="str">
        <f>원본데이터_SK!D567</f>
        <v>20260210361797</v>
      </c>
      <c r="C567" t="str">
        <f>IF(원본데이터_SK!M567="","",TEXT(원본데이터_SK!M567,"YYYY-MM-DD"))</f>
        <v>2026-02-12</v>
      </c>
      <c r="D567" t="str">
        <f>원본데이터_SK!F567</f>
        <v>58481090</v>
      </c>
      <c r="E567" t="str">
        <f>IFERROR(VLOOKUP(원본데이터_SK!F567,채널매핑!$B:$D,3,0),"미매핑")</f>
        <v>미매핑</v>
      </c>
      <c r="F567">
        <f>IFERROR(VLOOKUP(원본데이터_SK!F567,채널매핑!$B:$E,4,0),1)</f>
        <v>1</v>
      </c>
      <c r="G567">
        <f>원본데이터_SK!Q567</f>
        <v>1</v>
      </c>
      <c r="H567">
        <f>원본데이터_SK!O567</f>
        <v>119000</v>
      </c>
      <c r="I567">
        <f>원본데이터_SK!AG567</f>
        <v>119000</v>
      </c>
      <c r="J567">
        <f>원본데이터_SK!AH567</f>
        <v>80920</v>
      </c>
      <c r="K567">
        <f>IFERROR(VLOOKUP(E567,제품마스터!$A:$B,2,0),0)</f>
        <v>0</v>
      </c>
      <c r="L567">
        <f>원본데이터_SK!Q567*원본데이터_SK!P567</f>
        <v>80920</v>
      </c>
    </row>
    <row r="568" spans="1:12" x14ac:dyDescent="0.3">
      <c r="A568" t="s">
        <v>11</v>
      </c>
      <c r="B568" t="str">
        <f>원본데이터_SK!D568</f>
        <v>20260210361781</v>
      </c>
      <c r="C568" t="str">
        <f>IF(원본데이터_SK!M568="","",TEXT(원본데이터_SK!M568,"YYYY-MM-DD"))</f>
        <v>2026-02-12</v>
      </c>
      <c r="D568" t="str">
        <f>원본데이터_SK!F568</f>
        <v>58481090</v>
      </c>
      <c r="E568" t="str">
        <f>IFERROR(VLOOKUP(원본데이터_SK!F568,채널매핑!$B:$D,3,0),"미매핑")</f>
        <v>미매핑</v>
      </c>
      <c r="F568">
        <f>IFERROR(VLOOKUP(원본데이터_SK!F568,채널매핑!$B:$E,4,0),1)</f>
        <v>1</v>
      </c>
      <c r="G568">
        <f>원본데이터_SK!Q568</f>
        <v>1</v>
      </c>
      <c r="H568">
        <f>원본데이터_SK!O568</f>
        <v>119000</v>
      </c>
      <c r="I568">
        <f>원본데이터_SK!AG568</f>
        <v>119000</v>
      </c>
      <c r="J568">
        <f>원본데이터_SK!AH568</f>
        <v>80920</v>
      </c>
      <c r="K568">
        <f>IFERROR(VLOOKUP(E568,제품마스터!$A:$B,2,0),0)</f>
        <v>0</v>
      </c>
      <c r="L568">
        <f>원본데이터_SK!Q568*원본데이터_SK!P568</f>
        <v>80920</v>
      </c>
    </row>
    <row r="569" spans="1:12" x14ac:dyDescent="0.3">
      <c r="A569" t="s">
        <v>11</v>
      </c>
      <c r="B569" t="str">
        <f>원본데이터_SK!D569</f>
        <v>20260210361934</v>
      </c>
      <c r="C569" t="str">
        <f>IF(원본데이터_SK!M569="","",TEXT(원본데이터_SK!M569,"YYYY-MM-DD"))</f>
        <v>2026-02-12</v>
      </c>
      <c r="D569" t="str">
        <f>원본데이터_SK!F569</f>
        <v>58481090</v>
      </c>
      <c r="E569" t="str">
        <f>IFERROR(VLOOKUP(원본데이터_SK!F569,채널매핑!$B:$D,3,0),"미매핑")</f>
        <v>미매핑</v>
      </c>
      <c r="F569">
        <f>IFERROR(VLOOKUP(원본데이터_SK!F569,채널매핑!$B:$E,4,0),1)</f>
        <v>1</v>
      </c>
      <c r="G569">
        <f>원본데이터_SK!Q569</f>
        <v>1</v>
      </c>
      <c r="H569">
        <f>원본데이터_SK!O569</f>
        <v>119000</v>
      </c>
      <c r="I569">
        <f>원본데이터_SK!AG569</f>
        <v>119000</v>
      </c>
      <c r="J569">
        <f>원본데이터_SK!AH569</f>
        <v>80920</v>
      </c>
      <c r="K569">
        <f>IFERROR(VLOOKUP(E569,제품마스터!$A:$B,2,0),0)</f>
        <v>0</v>
      </c>
      <c r="L569">
        <f>원본데이터_SK!Q569*원본데이터_SK!P569</f>
        <v>80920</v>
      </c>
    </row>
    <row r="570" spans="1:12" x14ac:dyDescent="0.3">
      <c r="A570" t="s">
        <v>11</v>
      </c>
      <c r="B570" t="str">
        <f>원본데이터_SK!D570</f>
        <v>20260210361402</v>
      </c>
      <c r="C570" t="str">
        <f>IF(원본데이터_SK!M570="","",TEXT(원본데이터_SK!M570,"YYYY-MM-DD"))</f>
        <v>2026-02-12</v>
      </c>
      <c r="D570" t="str">
        <f>원본데이터_SK!F570</f>
        <v>58481090</v>
      </c>
      <c r="E570" t="str">
        <f>IFERROR(VLOOKUP(원본데이터_SK!F570,채널매핑!$B:$D,3,0),"미매핑")</f>
        <v>미매핑</v>
      </c>
      <c r="F570">
        <f>IFERROR(VLOOKUP(원본데이터_SK!F570,채널매핑!$B:$E,4,0),1)</f>
        <v>1</v>
      </c>
      <c r="G570">
        <f>원본데이터_SK!Q570</f>
        <v>1</v>
      </c>
      <c r="H570">
        <f>원본데이터_SK!O570</f>
        <v>119000</v>
      </c>
      <c r="I570">
        <f>원본데이터_SK!AG570</f>
        <v>119000</v>
      </c>
      <c r="J570">
        <f>원본데이터_SK!AH570</f>
        <v>80920</v>
      </c>
      <c r="K570">
        <f>IFERROR(VLOOKUP(E570,제품마스터!$A:$B,2,0),0)</f>
        <v>0</v>
      </c>
      <c r="L570">
        <f>원본데이터_SK!Q570*원본데이터_SK!P570</f>
        <v>80920</v>
      </c>
    </row>
    <row r="571" spans="1:12" x14ac:dyDescent="0.3">
      <c r="A571" t="s">
        <v>11</v>
      </c>
      <c r="B571" t="str">
        <f>원본데이터_SK!D571</f>
        <v>20260210360997</v>
      </c>
      <c r="C571" t="str">
        <f>IF(원본데이터_SK!M571="","",TEXT(원본데이터_SK!M571,"YYYY-MM-DD"))</f>
        <v>2026-02-12</v>
      </c>
      <c r="D571" t="str">
        <f>원본데이터_SK!F571</f>
        <v>58481090</v>
      </c>
      <c r="E571" t="str">
        <f>IFERROR(VLOOKUP(원본데이터_SK!F571,채널매핑!$B:$D,3,0),"미매핑")</f>
        <v>미매핑</v>
      </c>
      <c r="F571">
        <f>IFERROR(VLOOKUP(원본데이터_SK!F571,채널매핑!$B:$E,4,0),1)</f>
        <v>1</v>
      </c>
      <c r="G571">
        <f>원본데이터_SK!Q571</f>
        <v>1</v>
      </c>
      <c r="H571">
        <f>원본데이터_SK!O571</f>
        <v>119000</v>
      </c>
      <c r="I571">
        <f>원본데이터_SK!AG571</f>
        <v>119000</v>
      </c>
      <c r="J571">
        <f>원본데이터_SK!AH571</f>
        <v>80920</v>
      </c>
      <c r="K571">
        <f>IFERROR(VLOOKUP(E571,제품마스터!$A:$B,2,0),0)</f>
        <v>0</v>
      </c>
      <c r="L571">
        <f>원본데이터_SK!Q571*원본데이터_SK!P571</f>
        <v>80920</v>
      </c>
    </row>
    <row r="572" spans="1:12" x14ac:dyDescent="0.3">
      <c r="A572" t="s">
        <v>11</v>
      </c>
      <c r="B572" t="str">
        <f>원본데이터_SK!D572</f>
        <v>20260210361134</v>
      </c>
      <c r="C572" t="str">
        <f>IF(원본데이터_SK!M572="","",TEXT(원본데이터_SK!M572,"YYYY-MM-DD"))</f>
        <v>2026-02-12</v>
      </c>
      <c r="D572" t="str">
        <f>원본데이터_SK!F572</f>
        <v>58481090</v>
      </c>
      <c r="E572" t="str">
        <f>IFERROR(VLOOKUP(원본데이터_SK!F572,채널매핑!$B:$D,3,0),"미매핑")</f>
        <v>미매핑</v>
      </c>
      <c r="F572">
        <f>IFERROR(VLOOKUP(원본데이터_SK!F572,채널매핑!$B:$E,4,0),1)</f>
        <v>1</v>
      </c>
      <c r="G572">
        <f>원본데이터_SK!Q572</f>
        <v>1</v>
      </c>
      <c r="H572">
        <f>원본데이터_SK!O572</f>
        <v>119000</v>
      </c>
      <c r="I572">
        <f>원본데이터_SK!AG572</f>
        <v>119000</v>
      </c>
      <c r="J572">
        <f>원본데이터_SK!AH572</f>
        <v>80920</v>
      </c>
      <c r="K572">
        <f>IFERROR(VLOOKUP(E572,제품마스터!$A:$B,2,0),0)</f>
        <v>0</v>
      </c>
      <c r="L572">
        <f>원본데이터_SK!Q572*원본데이터_SK!P572</f>
        <v>80920</v>
      </c>
    </row>
    <row r="573" spans="1:12" x14ac:dyDescent="0.3">
      <c r="A573" t="s">
        <v>11</v>
      </c>
      <c r="B573" t="str">
        <f>원본데이터_SK!D573</f>
        <v>20260210362141</v>
      </c>
      <c r="C573" t="str">
        <f>IF(원본데이터_SK!M573="","",TEXT(원본데이터_SK!M573,"YYYY-MM-DD"))</f>
        <v>2026-02-12</v>
      </c>
      <c r="D573" t="str">
        <f>원본데이터_SK!F573</f>
        <v>58481090</v>
      </c>
      <c r="E573" t="str">
        <f>IFERROR(VLOOKUP(원본데이터_SK!F573,채널매핑!$B:$D,3,0),"미매핑")</f>
        <v>미매핑</v>
      </c>
      <c r="F573">
        <f>IFERROR(VLOOKUP(원본데이터_SK!F573,채널매핑!$B:$E,4,0),1)</f>
        <v>1</v>
      </c>
      <c r="G573">
        <f>원본데이터_SK!Q573</f>
        <v>1</v>
      </c>
      <c r="H573">
        <f>원본데이터_SK!O573</f>
        <v>119000</v>
      </c>
      <c r="I573">
        <f>원본데이터_SK!AG573</f>
        <v>119000</v>
      </c>
      <c r="J573">
        <f>원본데이터_SK!AH573</f>
        <v>80920</v>
      </c>
      <c r="K573">
        <f>IFERROR(VLOOKUP(E573,제품마스터!$A:$B,2,0),0)</f>
        <v>0</v>
      </c>
      <c r="L573">
        <f>원본데이터_SK!Q573*원본데이터_SK!P573</f>
        <v>80920</v>
      </c>
    </row>
    <row r="574" spans="1:12" x14ac:dyDescent="0.3">
      <c r="A574" t="s">
        <v>11</v>
      </c>
      <c r="B574" t="str">
        <f>원본데이터_SK!D574</f>
        <v>20260210362293</v>
      </c>
      <c r="C574" t="str">
        <f>IF(원본데이터_SK!M574="","",TEXT(원본데이터_SK!M574,"YYYY-MM-DD"))</f>
        <v>2026-02-12</v>
      </c>
      <c r="D574" t="str">
        <f>원본데이터_SK!F574</f>
        <v>58481090</v>
      </c>
      <c r="E574" t="str">
        <f>IFERROR(VLOOKUP(원본데이터_SK!F574,채널매핑!$B:$D,3,0),"미매핑")</f>
        <v>미매핑</v>
      </c>
      <c r="F574">
        <f>IFERROR(VLOOKUP(원본데이터_SK!F574,채널매핑!$B:$E,4,0),1)</f>
        <v>1</v>
      </c>
      <c r="G574">
        <f>원본데이터_SK!Q574</f>
        <v>1</v>
      </c>
      <c r="H574">
        <f>원본데이터_SK!O574</f>
        <v>119000</v>
      </c>
      <c r="I574">
        <f>원본데이터_SK!AG574</f>
        <v>108300</v>
      </c>
      <c r="J574">
        <f>원본데이터_SK!AH574</f>
        <v>80920</v>
      </c>
      <c r="K574">
        <f>IFERROR(VLOOKUP(E574,제품마스터!$A:$B,2,0),0)</f>
        <v>0</v>
      </c>
      <c r="L574">
        <f>원본데이터_SK!Q574*원본데이터_SK!P574</f>
        <v>80920</v>
      </c>
    </row>
    <row r="575" spans="1:12" x14ac:dyDescent="0.3">
      <c r="A575" t="s">
        <v>11</v>
      </c>
      <c r="B575" t="str">
        <f>원본데이터_SK!D575</f>
        <v>20260210360398</v>
      </c>
      <c r="C575" t="str">
        <f>IF(원본데이터_SK!M575="","",TEXT(원본데이터_SK!M575,"YYYY-MM-DD"))</f>
        <v>2026-02-12</v>
      </c>
      <c r="D575" t="str">
        <f>원본데이터_SK!F575</f>
        <v>58481090</v>
      </c>
      <c r="E575" t="str">
        <f>IFERROR(VLOOKUP(원본데이터_SK!F575,채널매핑!$B:$D,3,0),"미매핑")</f>
        <v>미매핑</v>
      </c>
      <c r="F575">
        <f>IFERROR(VLOOKUP(원본데이터_SK!F575,채널매핑!$B:$E,4,0),1)</f>
        <v>1</v>
      </c>
      <c r="G575">
        <f>원본데이터_SK!Q575</f>
        <v>1</v>
      </c>
      <c r="H575">
        <f>원본데이터_SK!O575</f>
        <v>119000</v>
      </c>
      <c r="I575">
        <f>원본데이터_SK!AG575</f>
        <v>119000</v>
      </c>
      <c r="J575">
        <f>원본데이터_SK!AH575</f>
        <v>80920</v>
      </c>
      <c r="K575">
        <f>IFERROR(VLOOKUP(E575,제품마스터!$A:$B,2,0),0)</f>
        <v>0</v>
      </c>
      <c r="L575">
        <f>원본데이터_SK!Q575*원본데이터_SK!P575</f>
        <v>80920</v>
      </c>
    </row>
    <row r="576" spans="1:12" x14ac:dyDescent="0.3">
      <c r="A576" t="s">
        <v>11</v>
      </c>
      <c r="B576" t="str">
        <f>원본데이터_SK!D576</f>
        <v>20260210361270</v>
      </c>
      <c r="C576" t="str">
        <f>IF(원본데이터_SK!M576="","",TEXT(원본데이터_SK!M576,"YYYY-MM-DD"))</f>
        <v>2026-02-12</v>
      </c>
      <c r="D576" t="str">
        <f>원본데이터_SK!F576</f>
        <v>58481090</v>
      </c>
      <c r="E576" t="str">
        <f>IFERROR(VLOOKUP(원본데이터_SK!F576,채널매핑!$B:$D,3,0),"미매핑")</f>
        <v>미매핑</v>
      </c>
      <c r="F576">
        <f>IFERROR(VLOOKUP(원본데이터_SK!F576,채널매핑!$B:$E,4,0),1)</f>
        <v>1</v>
      </c>
      <c r="G576">
        <f>원본데이터_SK!Q576</f>
        <v>1</v>
      </c>
      <c r="H576">
        <f>원본데이터_SK!O576</f>
        <v>119000</v>
      </c>
      <c r="I576">
        <f>원본데이터_SK!AG576</f>
        <v>119000</v>
      </c>
      <c r="J576">
        <f>원본데이터_SK!AH576</f>
        <v>80920</v>
      </c>
      <c r="K576">
        <f>IFERROR(VLOOKUP(E576,제품마스터!$A:$B,2,0),0)</f>
        <v>0</v>
      </c>
      <c r="L576">
        <f>원본데이터_SK!Q576*원본데이터_SK!P576</f>
        <v>80920</v>
      </c>
    </row>
    <row r="577" spans="1:12" x14ac:dyDescent="0.3">
      <c r="A577" t="s">
        <v>11</v>
      </c>
      <c r="B577" t="str">
        <f>원본데이터_SK!D577</f>
        <v>20260210361324</v>
      </c>
      <c r="C577" t="str">
        <f>IF(원본데이터_SK!M577="","",TEXT(원본데이터_SK!M577,"YYYY-MM-DD"))</f>
        <v>2026-02-12</v>
      </c>
      <c r="D577" t="str">
        <f>원본데이터_SK!F577</f>
        <v>58481090</v>
      </c>
      <c r="E577" t="str">
        <f>IFERROR(VLOOKUP(원본데이터_SK!F577,채널매핑!$B:$D,3,0),"미매핑")</f>
        <v>미매핑</v>
      </c>
      <c r="F577">
        <f>IFERROR(VLOOKUP(원본데이터_SK!F577,채널매핑!$B:$E,4,0),1)</f>
        <v>1</v>
      </c>
      <c r="G577">
        <f>원본데이터_SK!Q577</f>
        <v>1</v>
      </c>
      <c r="H577">
        <f>원본데이터_SK!O577</f>
        <v>119000</v>
      </c>
      <c r="I577">
        <f>원본데이터_SK!AG577</f>
        <v>113050</v>
      </c>
      <c r="J577">
        <f>원본데이터_SK!AH577</f>
        <v>80920</v>
      </c>
      <c r="K577">
        <f>IFERROR(VLOOKUP(E577,제품마스터!$A:$B,2,0),0)</f>
        <v>0</v>
      </c>
      <c r="L577">
        <f>원본데이터_SK!Q577*원본데이터_SK!P577</f>
        <v>80920</v>
      </c>
    </row>
    <row r="578" spans="1:12" x14ac:dyDescent="0.3">
      <c r="A578" t="s">
        <v>11</v>
      </c>
      <c r="B578" t="str">
        <f>원본데이터_SK!D578</f>
        <v>20260210361350</v>
      </c>
      <c r="C578" t="str">
        <f>IF(원본데이터_SK!M578="","",TEXT(원본데이터_SK!M578,"YYYY-MM-DD"))</f>
        <v>2026-02-12</v>
      </c>
      <c r="D578" t="str">
        <f>원본데이터_SK!F578</f>
        <v>58481090</v>
      </c>
      <c r="E578" t="str">
        <f>IFERROR(VLOOKUP(원본데이터_SK!F578,채널매핑!$B:$D,3,0),"미매핑")</f>
        <v>미매핑</v>
      </c>
      <c r="F578">
        <f>IFERROR(VLOOKUP(원본데이터_SK!F578,채널매핑!$B:$E,4,0),1)</f>
        <v>1</v>
      </c>
      <c r="G578">
        <f>원본데이터_SK!Q578</f>
        <v>1</v>
      </c>
      <c r="H578">
        <f>원본데이터_SK!O578</f>
        <v>119000</v>
      </c>
      <c r="I578">
        <f>원본데이터_SK!AG578</f>
        <v>119000</v>
      </c>
      <c r="J578">
        <f>원본데이터_SK!AH578</f>
        <v>80920</v>
      </c>
      <c r="K578">
        <f>IFERROR(VLOOKUP(E578,제품마스터!$A:$B,2,0),0)</f>
        <v>0</v>
      </c>
      <c r="L578">
        <f>원본데이터_SK!Q578*원본데이터_SK!P578</f>
        <v>80920</v>
      </c>
    </row>
    <row r="579" spans="1:12" x14ac:dyDescent="0.3">
      <c r="A579" t="s">
        <v>11</v>
      </c>
      <c r="B579" t="str">
        <f>원본데이터_SK!D579</f>
        <v>20260210360281</v>
      </c>
      <c r="C579" t="str">
        <f>IF(원본데이터_SK!M579="","",TEXT(원본데이터_SK!M579,"YYYY-MM-DD"))</f>
        <v>2026-02-12</v>
      </c>
      <c r="D579" t="str">
        <f>원본데이터_SK!F579</f>
        <v>58481090</v>
      </c>
      <c r="E579" t="str">
        <f>IFERROR(VLOOKUP(원본데이터_SK!F579,채널매핑!$B:$D,3,0),"미매핑")</f>
        <v>미매핑</v>
      </c>
      <c r="F579">
        <f>IFERROR(VLOOKUP(원본데이터_SK!F579,채널매핑!$B:$E,4,0),1)</f>
        <v>1</v>
      </c>
      <c r="G579">
        <f>원본데이터_SK!Q579</f>
        <v>1</v>
      </c>
      <c r="H579">
        <f>원본데이터_SK!O579</f>
        <v>119000</v>
      </c>
      <c r="I579">
        <f>원본데이터_SK!AG579</f>
        <v>119000</v>
      </c>
      <c r="J579">
        <f>원본데이터_SK!AH579</f>
        <v>80920</v>
      </c>
      <c r="K579">
        <f>IFERROR(VLOOKUP(E579,제품마스터!$A:$B,2,0),0)</f>
        <v>0</v>
      </c>
      <c r="L579">
        <f>원본데이터_SK!Q579*원본데이터_SK!P579</f>
        <v>80920</v>
      </c>
    </row>
    <row r="580" spans="1:12" x14ac:dyDescent="0.3">
      <c r="A580" t="s">
        <v>11</v>
      </c>
      <c r="B580" t="str">
        <f>원본데이터_SK!D580</f>
        <v>20260210361461</v>
      </c>
      <c r="C580" t="str">
        <f>IF(원본데이터_SK!M580="","",TEXT(원본데이터_SK!M580,"YYYY-MM-DD"))</f>
        <v>2026-02-12</v>
      </c>
      <c r="D580" t="str">
        <f>원본데이터_SK!F580</f>
        <v>58481090</v>
      </c>
      <c r="E580" t="str">
        <f>IFERROR(VLOOKUP(원본데이터_SK!F580,채널매핑!$B:$D,3,0),"미매핑")</f>
        <v>미매핑</v>
      </c>
      <c r="F580">
        <f>IFERROR(VLOOKUP(원본데이터_SK!F580,채널매핑!$B:$E,4,0),1)</f>
        <v>1</v>
      </c>
      <c r="G580">
        <f>원본데이터_SK!Q580</f>
        <v>1</v>
      </c>
      <c r="H580">
        <f>원본데이터_SK!O580</f>
        <v>119000</v>
      </c>
      <c r="I580">
        <f>원본데이터_SK!AG580</f>
        <v>113050</v>
      </c>
      <c r="J580">
        <f>원본데이터_SK!AH580</f>
        <v>80920</v>
      </c>
      <c r="K580">
        <f>IFERROR(VLOOKUP(E580,제품마스터!$A:$B,2,0),0)</f>
        <v>0</v>
      </c>
      <c r="L580">
        <f>원본데이터_SK!Q580*원본데이터_SK!P580</f>
        <v>80920</v>
      </c>
    </row>
    <row r="581" spans="1:12" x14ac:dyDescent="0.3">
      <c r="A581" t="s">
        <v>11</v>
      </c>
      <c r="B581" t="str">
        <f>원본데이터_SK!D581</f>
        <v>20260210361504</v>
      </c>
      <c r="C581" t="str">
        <f>IF(원본데이터_SK!M581="","",TEXT(원본데이터_SK!M581,"YYYY-MM-DD"))</f>
        <v>2026-02-12</v>
      </c>
      <c r="D581" t="str">
        <f>원본데이터_SK!F581</f>
        <v>58481090</v>
      </c>
      <c r="E581" t="str">
        <f>IFERROR(VLOOKUP(원본데이터_SK!F581,채널매핑!$B:$D,3,0),"미매핑")</f>
        <v>미매핑</v>
      </c>
      <c r="F581">
        <f>IFERROR(VLOOKUP(원본데이터_SK!F581,채널매핑!$B:$E,4,0),1)</f>
        <v>1</v>
      </c>
      <c r="G581">
        <f>원본데이터_SK!Q581</f>
        <v>1</v>
      </c>
      <c r="H581">
        <f>원본데이터_SK!O581</f>
        <v>119000</v>
      </c>
      <c r="I581">
        <f>원본데이터_SK!AG581</f>
        <v>98770</v>
      </c>
      <c r="J581">
        <f>원본데이터_SK!AH581</f>
        <v>80920</v>
      </c>
      <c r="K581">
        <f>IFERROR(VLOOKUP(E581,제품마스터!$A:$B,2,0),0)</f>
        <v>0</v>
      </c>
      <c r="L581">
        <f>원본데이터_SK!Q581*원본데이터_SK!P581</f>
        <v>80920</v>
      </c>
    </row>
    <row r="582" spans="1:12" x14ac:dyDescent="0.3">
      <c r="A582" t="s">
        <v>11</v>
      </c>
      <c r="B582" t="str">
        <f>원본데이터_SK!D582</f>
        <v>20260210361566</v>
      </c>
      <c r="C582" t="str">
        <f>IF(원본데이터_SK!M582="","",TEXT(원본데이터_SK!M582,"YYYY-MM-DD"))</f>
        <v>2026-02-12</v>
      </c>
      <c r="D582" t="str">
        <f>원본데이터_SK!F582</f>
        <v>58481090</v>
      </c>
      <c r="E582" t="str">
        <f>IFERROR(VLOOKUP(원본데이터_SK!F582,채널매핑!$B:$D,3,0),"미매핑")</f>
        <v>미매핑</v>
      </c>
      <c r="F582">
        <f>IFERROR(VLOOKUP(원본데이터_SK!F582,채널매핑!$B:$E,4,0),1)</f>
        <v>1</v>
      </c>
      <c r="G582">
        <f>원본데이터_SK!Q582</f>
        <v>1</v>
      </c>
      <c r="H582">
        <f>원본데이터_SK!O582</f>
        <v>119000</v>
      </c>
      <c r="I582">
        <f>원본데이터_SK!AG582</f>
        <v>119000</v>
      </c>
      <c r="J582">
        <f>원본데이터_SK!AH582</f>
        <v>80920</v>
      </c>
      <c r="K582">
        <f>IFERROR(VLOOKUP(E582,제품마스터!$A:$B,2,0),0)</f>
        <v>0</v>
      </c>
      <c r="L582">
        <f>원본데이터_SK!Q582*원본데이터_SK!P582</f>
        <v>80920</v>
      </c>
    </row>
    <row r="583" spans="1:12" x14ac:dyDescent="0.3">
      <c r="A583" t="s">
        <v>11</v>
      </c>
      <c r="B583" t="str">
        <f>원본데이터_SK!D583</f>
        <v>20260210361903</v>
      </c>
      <c r="C583" t="str">
        <f>IF(원본데이터_SK!M583="","",TEXT(원본데이터_SK!M583,"YYYY-MM-DD"))</f>
        <v>2026-02-12</v>
      </c>
      <c r="D583" t="str">
        <f>원본데이터_SK!F583</f>
        <v>58481090</v>
      </c>
      <c r="E583" t="str">
        <f>IFERROR(VLOOKUP(원본데이터_SK!F583,채널매핑!$B:$D,3,0),"미매핑")</f>
        <v>미매핑</v>
      </c>
      <c r="F583">
        <f>IFERROR(VLOOKUP(원본데이터_SK!F583,채널매핑!$B:$E,4,0),1)</f>
        <v>1</v>
      </c>
      <c r="G583">
        <f>원본데이터_SK!Q583</f>
        <v>1</v>
      </c>
      <c r="H583">
        <f>원본데이터_SK!O583</f>
        <v>119000</v>
      </c>
      <c r="I583">
        <f>원본데이터_SK!AG583</f>
        <v>119000</v>
      </c>
      <c r="J583">
        <f>원본데이터_SK!AH583</f>
        <v>80920</v>
      </c>
      <c r="K583">
        <f>IFERROR(VLOOKUP(E583,제품마스터!$A:$B,2,0),0)</f>
        <v>0</v>
      </c>
      <c r="L583">
        <f>원본데이터_SK!Q583*원본데이터_SK!P583</f>
        <v>80920</v>
      </c>
    </row>
    <row r="584" spans="1:12" x14ac:dyDescent="0.3">
      <c r="A584" t="s">
        <v>11</v>
      </c>
      <c r="B584" t="str">
        <f>원본데이터_SK!D584</f>
        <v>20260210361968</v>
      </c>
      <c r="C584" t="str">
        <f>IF(원본데이터_SK!M584="","",TEXT(원본데이터_SK!M584,"YYYY-MM-DD"))</f>
        <v>2026-02-12</v>
      </c>
      <c r="D584" t="str">
        <f>원본데이터_SK!F584</f>
        <v>58481090</v>
      </c>
      <c r="E584" t="str">
        <f>IFERROR(VLOOKUP(원본데이터_SK!F584,채널매핑!$B:$D,3,0),"미매핑")</f>
        <v>미매핑</v>
      </c>
      <c r="F584">
        <f>IFERROR(VLOOKUP(원본데이터_SK!F584,채널매핑!$B:$E,4,0),1)</f>
        <v>1</v>
      </c>
      <c r="G584">
        <f>원본데이터_SK!Q584</f>
        <v>1</v>
      </c>
      <c r="H584">
        <f>원본데이터_SK!O584</f>
        <v>119000</v>
      </c>
      <c r="I584">
        <f>원본데이터_SK!AG584</f>
        <v>119000</v>
      </c>
      <c r="J584">
        <f>원본데이터_SK!AH584</f>
        <v>80920</v>
      </c>
      <c r="K584">
        <f>IFERROR(VLOOKUP(E584,제품마스터!$A:$B,2,0),0)</f>
        <v>0</v>
      </c>
      <c r="L584">
        <f>원본데이터_SK!Q584*원본데이터_SK!P584</f>
        <v>80920</v>
      </c>
    </row>
    <row r="585" spans="1:12" x14ac:dyDescent="0.3">
      <c r="A585" t="s">
        <v>11</v>
      </c>
      <c r="B585" t="str">
        <f>원본데이터_SK!D585</f>
        <v>20260210361727</v>
      </c>
      <c r="C585" t="str">
        <f>IF(원본데이터_SK!M585="","",TEXT(원본데이터_SK!M585,"YYYY-MM-DD"))</f>
        <v>2026-02-12</v>
      </c>
      <c r="D585" t="str">
        <f>원본데이터_SK!F585</f>
        <v>58481090</v>
      </c>
      <c r="E585" t="str">
        <f>IFERROR(VLOOKUP(원본데이터_SK!F585,채널매핑!$B:$D,3,0),"미매핑")</f>
        <v>미매핑</v>
      </c>
      <c r="F585">
        <f>IFERROR(VLOOKUP(원본데이터_SK!F585,채널매핑!$B:$E,4,0),1)</f>
        <v>1</v>
      </c>
      <c r="G585">
        <f>원본데이터_SK!Q585</f>
        <v>1</v>
      </c>
      <c r="H585">
        <f>원본데이터_SK!O585</f>
        <v>119000</v>
      </c>
      <c r="I585">
        <f>원본데이터_SK!AG585</f>
        <v>95200</v>
      </c>
      <c r="J585">
        <f>원본데이터_SK!AH585</f>
        <v>80920</v>
      </c>
      <c r="K585">
        <f>IFERROR(VLOOKUP(E585,제품마스터!$A:$B,2,0),0)</f>
        <v>0</v>
      </c>
      <c r="L585">
        <f>원본데이터_SK!Q585*원본데이터_SK!P585</f>
        <v>80920</v>
      </c>
    </row>
    <row r="586" spans="1:12" x14ac:dyDescent="0.3">
      <c r="A586" t="s">
        <v>11</v>
      </c>
      <c r="B586" t="str">
        <f>원본데이터_SK!D586</f>
        <v>20260210362163</v>
      </c>
      <c r="C586" t="str">
        <f>IF(원본데이터_SK!M586="","",TEXT(원본데이터_SK!M586,"YYYY-MM-DD"))</f>
        <v>2026-02-12</v>
      </c>
      <c r="D586" t="str">
        <f>원본데이터_SK!F586</f>
        <v>58481090</v>
      </c>
      <c r="E586" t="str">
        <f>IFERROR(VLOOKUP(원본데이터_SK!F586,채널매핑!$B:$D,3,0),"미매핑")</f>
        <v>미매핑</v>
      </c>
      <c r="F586">
        <f>IFERROR(VLOOKUP(원본데이터_SK!F586,채널매핑!$B:$E,4,0),1)</f>
        <v>1</v>
      </c>
      <c r="G586">
        <f>원본데이터_SK!Q586</f>
        <v>1</v>
      </c>
      <c r="H586">
        <f>원본데이터_SK!O586</f>
        <v>119000</v>
      </c>
      <c r="I586">
        <f>원본데이터_SK!AG586</f>
        <v>119000</v>
      </c>
      <c r="J586">
        <f>원본데이터_SK!AH586</f>
        <v>80920</v>
      </c>
      <c r="K586">
        <f>IFERROR(VLOOKUP(E586,제품마스터!$A:$B,2,0),0)</f>
        <v>0</v>
      </c>
      <c r="L586">
        <f>원본데이터_SK!Q586*원본데이터_SK!P586</f>
        <v>80920</v>
      </c>
    </row>
    <row r="587" spans="1:12" x14ac:dyDescent="0.3">
      <c r="A587" t="s">
        <v>11</v>
      </c>
      <c r="B587" t="str">
        <f>원본데이터_SK!D587</f>
        <v>20260210360760</v>
      </c>
      <c r="C587" t="str">
        <f>IF(원본데이터_SK!M587="","",TEXT(원본데이터_SK!M587,"YYYY-MM-DD"))</f>
        <v>2026-02-12</v>
      </c>
      <c r="D587" t="str">
        <f>원본데이터_SK!F587</f>
        <v>58481090</v>
      </c>
      <c r="E587" t="str">
        <f>IFERROR(VLOOKUP(원본데이터_SK!F587,채널매핑!$B:$D,3,0),"미매핑")</f>
        <v>미매핑</v>
      </c>
      <c r="F587">
        <f>IFERROR(VLOOKUP(원본데이터_SK!F587,채널매핑!$B:$E,4,0),1)</f>
        <v>1</v>
      </c>
      <c r="G587">
        <f>원본데이터_SK!Q587</f>
        <v>1</v>
      </c>
      <c r="H587">
        <f>원본데이터_SK!O587</f>
        <v>119000</v>
      </c>
      <c r="I587">
        <f>원본데이터_SK!AG587</f>
        <v>119000</v>
      </c>
      <c r="J587">
        <f>원본데이터_SK!AH587</f>
        <v>80920</v>
      </c>
      <c r="K587">
        <f>IFERROR(VLOOKUP(E587,제품마스터!$A:$B,2,0),0)</f>
        <v>0</v>
      </c>
      <c r="L587">
        <f>원본데이터_SK!Q587*원본데이터_SK!P587</f>
        <v>80920</v>
      </c>
    </row>
    <row r="588" spans="1:12" x14ac:dyDescent="0.3">
      <c r="A588" t="s">
        <v>11</v>
      </c>
      <c r="B588" t="str">
        <f>원본데이터_SK!D588</f>
        <v>20260210361126</v>
      </c>
      <c r="C588" t="str">
        <f>IF(원본데이터_SK!M588="","",TEXT(원본데이터_SK!M588,"YYYY-MM-DD"))</f>
        <v>2026-02-12</v>
      </c>
      <c r="D588" t="str">
        <f>원본데이터_SK!F588</f>
        <v>58481090</v>
      </c>
      <c r="E588" t="str">
        <f>IFERROR(VLOOKUP(원본데이터_SK!F588,채널매핑!$B:$D,3,0),"미매핑")</f>
        <v>미매핑</v>
      </c>
      <c r="F588">
        <f>IFERROR(VLOOKUP(원본데이터_SK!F588,채널매핑!$B:$E,4,0),1)</f>
        <v>1</v>
      </c>
      <c r="G588">
        <f>원본데이터_SK!Q588</f>
        <v>1</v>
      </c>
      <c r="H588">
        <f>원본데이터_SK!O588</f>
        <v>119000</v>
      </c>
      <c r="I588">
        <f>원본데이터_SK!AG588</f>
        <v>119000</v>
      </c>
      <c r="J588">
        <f>원본데이터_SK!AH588</f>
        <v>80920</v>
      </c>
      <c r="K588">
        <f>IFERROR(VLOOKUP(E588,제품마스터!$A:$B,2,0),0)</f>
        <v>0</v>
      </c>
      <c r="L588">
        <f>원본데이터_SK!Q588*원본데이터_SK!P588</f>
        <v>80920</v>
      </c>
    </row>
    <row r="589" spans="1:12" x14ac:dyDescent="0.3">
      <c r="A589" t="s">
        <v>11</v>
      </c>
      <c r="B589" t="str">
        <f>원본데이터_SK!D589</f>
        <v>20260210361312</v>
      </c>
      <c r="C589" t="str">
        <f>IF(원본데이터_SK!M589="","",TEXT(원본데이터_SK!M589,"YYYY-MM-DD"))</f>
        <v>2026-02-12</v>
      </c>
      <c r="D589" t="str">
        <f>원본데이터_SK!F589</f>
        <v>58481090</v>
      </c>
      <c r="E589" t="str">
        <f>IFERROR(VLOOKUP(원본데이터_SK!F589,채널매핑!$B:$D,3,0),"미매핑")</f>
        <v>미매핑</v>
      </c>
      <c r="F589">
        <f>IFERROR(VLOOKUP(원본데이터_SK!F589,채널매핑!$B:$E,4,0),1)</f>
        <v>1</v>
      </c>
      <c r="G589">
        <f>원본데이터_SK!Q589</f>
        <v>1</v>
      </c>
      <c r="H589">
        <f>원본데이터_SK!O589</f>
        <v>119000</v>
      </c>
      <c r="I589">
        <f>원본데이터_SK!AG589</f>
        <v>119000</v>
      </c>
      <c r="J589">
        <f>원본데이터_SK!AH589</f>
        <v>80920</v>
      </c>
      <c r="K589">
        <f>IFERROR(VLOOKUP(E589,제품마스터!$A:$B,2,0),0)</f>
        <v>0</v>
      </c>
      <c r="L589">
        <f>원본데이터_SK!Q589*원본데이터_SK!P589</f>
        <v>80920</v>
      </c>
    </row>
    <row r="590" spans="1:12" x14ac:dyDescent="0.3">
      <c r="A590" t="s">
        <v>11</v>
      </c>
      <c r="B590" t="str">
        <f>원본데이터_SK!D590</f>
        <v>20260210361447</v>
      </c>
      <c r="C590" t="str">
        <f>IF(원본데이터_SK!M590="","",TEXT(원본데이터_SK!M590,"YYYY-MM-DD"))</f>
        <v>2026-02-12</v>
      </c>
      <c r="D590" t="str">
        <f>원본데이터_SK!F590</f>
        <v>58481090</v>
      </c>
      <c r="E590" t="str">
        <f>IFERROR(VLOOKUP(원본데이터_SK!F590,채널매핑!$B:$D,3,0),"미매핑")</f>
        <v>미매핑</v>
      </c>
      <c r="F590">
        <f>IFERROR(VLOOKUP(원본데이터_SK!F590,채널매핑!$B:$E,4,0),1)</f>
        <v>1</v>
      </c>
      <c r="G590">
        <f>원본데이터_SK!Q590</f>
        <v>1</v>
      </c>
      <c r="H590">
        <f>원본데이터_SK!O590</f>
        <v>119000</v>
      </c>
      <c r="I590">
        <f>원본데이터_SK!AG590</f>
        <v>119000</v>
      </c>
      <c r="J590">
        <f>원본데이터_SK!AH590</f>
        <v>80920</v>
      </c>
      <c r="K590">
        <f>IFERROR(VLOOKUP(E590,제품마스터!$A:$B,2,0),0)</f>
        <v>0</v>
      </c>
      <c r="L590">
        <f>원본데이터_SK!Q590*원본데이터_SK!P590</f>
        <v>80920</v>
      </c>
    </row>
    <row r="591" spans="1:12" x14ac:dyDescent="0.3">
      <c r="A591" t="s">
        <v>11</v>
      </c>
      <c r="B591" t="str">
        <f>원본데이터_SK!D591</f>
        <v>20260210361487</v>
      </c>
      <c r="C591" t="str">
        <f>IF(원본데이터_SK!M591="","",TEXT(원본데이터_SK!M591,"YYYY-MM-DD"))</f>
        <v>2026-02-12</v>
      </c>
      <c r="D591" t="str">
        <f>원본데이터_SK!F591</f>
        <v>58481090</v>
      </c>
      <c r="E591" t="str">
        <f>IFERROR(VLOOKUP(원본데이터_SK!F591,채널매핑!$B:$D,3,0),"미매핑")</f>
        <v>미매핑</v>
      </c>
      <c r="F591">
        <f>IFERROR(VLOOKUP(원본데이터_SK!F591,채널매핑!$B:$E,4,0),1)</f>
        <v>1</v>
      </c>
      <c r="G591">
        <f>원본데이터_SK!Q591</f>
        <v>1</v>
      </c>
      <c r="H591">
        <f>원본데이터_SK!O591</f>
        <v>119000</v>
      </c>
      <c r="I591">
        <f>원본데이터_SK!AG591</f>
        <v>119000</v>
      </c>
      <c r="J591">
        <f>원본데이터_SK!AH591</f>
        <v>80920</v>
      </c>
      <c r="K591">
        <f>IFERROR(VLOOKUP(E591,제품마스터!$A:$B,2,0),0)</f>
        <v>0</v>
      </c>
      <c r="L591">
        <f>원본데이터_SK!Q591*원본데이터_SK!P591</f>
        <v>80920</v>
      </c>
    </row>
    <row r="592" spans="1:12" x14ac:dyDescent="0.3">
      <c r="A592" t="s">
        <v>11</v>
      </c>
      <c r="B592" t="str">
        <f>원본데이터_SK!D592</f>
        <v>20260210361437</v>
      </c>
      <c r="C592" t="str">
        <f>IF(원본데이터_SK!M592="","",TEXT(원본데이터_SK!M592,"YYYY-MM-DD"))</f>
        <v>2026-02-12</v>
      </c>
      <c r="D592" t="str">
        <f>원본데이터_SK!F592</f>
        <v>58481090</v>
      </c>
      <c r="E592" t="str">
        <f>IFERROR(VLOOKUP(원본데이터_SK!F592,채널매핑!$B:$D,3,0),"미매핑")</f>
        <v>미매핑</v>
      </c>
      <c r="F592">
        <f>IFERROR(VLOOKUP(원본데이터_SK!F592,채널매핑!$B:$E,4,0),1)</f>
        <v>1</v>
      </c>
      <c r="G592">
        <f>원본데이터_SK!Q592</f>
        <v>1</v>
      </c>
      <c r="H592">
        <f>원본데이터_SK!O592</f>
        <v>119000</v>
      </c>
      <c r="I592">
        <f>원본데이터_SK!AG592</f>
        <v>119000</v>
      </c>
      <c r="J592">
        <f>원본데이터_SK!AH592</f>
        <v>80920</v>
      </c>
      <c r="K592">
        <f>IFERROR(VLOOKUP(E592,제품마스터!$A:$B,2,0),0)</f>
        <v>0</v>
      </c>
      <c r="L592">
        <f>원본데이터_SK!Q592*원본데이터_SK!P592</f>
        <v>80920</v>
      </c>
    </row>
    <row r="593" spans="1:12" x14ac:dyDescent="0.3">
      <c r="A593" t="s">
        <v>11</v>
      </c>
      <c r="B593" t="str">
        <f>원본데이터_SK!D593</f>
        <v>20260210361980</v>
      </c>
      <c r="C593" t="str">
        <f>IF(원본데이터_SK!M593="","",TEXT(원본데이터_SK!M593,"YYYY-MM-DD"))</f>
        <v>2026-02-12</v>
      </c>
      <c r="D593" t="str">
        <f>원본데이터_SK!F593</f>
        <v>58481090</v>
      </c>
      <c r="E593" t="str">
        <f>IFERROR(VLOOKUP(원본데이터_SK!F593,채널매핑!$B:$D,3,0),"미매핑")</f>
        <v>미매핑</v>
      </c>
      <c r="F593">
        <f>IFERROR(VLOOKUP(원본데이터_SK!F593,채널매핑!$B:$E,4,0),1)</f>
        <v>1</v>
      </c>
      <c r="G593">
        <f>원본데이터_SK!Q593</f>
        <v>1</v>
      </c>
      <c r="H593">
        <f>원본데이터_SK!O593</f>
        <v>119000</v>
      </c>
      <c r="I593">
        <f>원본데이터_SK!AG593</f>
        <v>119000</v>
      </c>
      <c r="J593">
        <f>원본데이터_SK!AH593</f>
        <v>80920</v>
      </c>
      <c r="K593">
        <f>IFERROR(VLOOKUP(E593,제품마스터!$A:$B,2,0),0)</f>
        <v>0</v>
      </c>
      <c r="L593">
        <f>원본데이터_SK!Q593*원본데이터_SK!P593</f>
        <v>80920</v>
      </c>
    </row>
    <row r="594" spans="1:12" x14ac:dyDescent="0.3">
      <c r="A594" t="s">
        <v>11</v>
      </c>
      <c r="B594" t="str">
        <f>원본데이터_SK!D594</f>
        <v>20260210361671</v>
      </c>
      <c r="C594" t="str">
        <f>IF(원본데이터_SK!M594="","",TEXT(원본데이터_SK!M594,"YYYY-MM-DD"))</f>
        <v>2026-02-12</v>
      </c>
      <c r="D594" t="str">
        <f>원본데이터_SK!F594</f>
        <v>58481090</v>
      </c>
      <c r="E594" t="str">
        <f>IFERROR(VLOOKUP(원본데이터_SK!F594,채널매핑!$B:$D,3,0),"미매핑")</f>
        <v>미매핑</v>
      </c>
      <c r="F594">
        <f>IFERROR(VLOOKUP(원본데이터_SK!F594,채널매핑!$B:$E,4,0),1)</f>
        <v>1</v>
      </c>
      <c r="G594">
        <f>원본데이터_SK!Q594</f>
        <v>1</v>
      </c>
      <c r="H594">
        <f>원본데이터_SK!O594</f>
        <v>119000</v>
      </c>
      <c r="I594">
        <f>원본데이터_SK!AG594</f>
        <v>119000</v>
      </c>
      <c r="J594">
        <f>원본데이터_SK!AH594</f>
        <v>80920</v>
      </c>
      <c r="K594">
        <f>IFERROR(VLOOKUP(E594,제품마스터!$A:$B,2,0),0)</f>
        <v>0</v>
      </c>
      <c r="L594">
        <f>원본데이터_SK!Q594*원본데이터_SK!P594</f>
        <v>80920</v>
      </c>
    </row>
    <row r="595" spans="1:12" x14ac:dyDescent="0.3">
      <c r="A595" t="s">
        <v>11</v>
      </c>
      <c r="B595" t="str">
        <f>원본데이터_SK!D595</f>
        <v>20260210361805</v>
      </c>
      <c r="C595" t="str">
        <f>IF(원본데이터_SK!M595="","",TEXT(원본데이터_SK!M595,"YYYY-MM-DD"))</f>
        <v>2026-02-12</v>
      </c>
      <c r="D595" t="str">
        <f>원본데이터_SK!F595</f>
        <v>58481090</v>
      </c>
      <c r="E595" t="str">
        <f>IFERROR(VLOOKUP(원본데이터_SK!F595,채널매핑!$B:$D,3,0),"미매핑")</f>
        <v>미매핑</v>
      </c>
      <c r="F595">
        <f>IFERROR(VLOOKUP(원본데이터_SK!F595,채널매핑!$B:$E,4,0),1)</f>
        <v>1</v>
      </c>
      <c r="G595">
        <f>원본데이터_SK!Q595</f>
        <v>1</v>
      </c>
      <c r="H595">
        <f>원본데이터_SK!O595</f>
        <v>119000</v>
      </c>
      <c r="I595">
        <f>원본데이터_SK!AG595</f>
        <v>119000</v>
      </c>
      <c r="J595">
        <f>원본데이터_SK!AH595</f>
        <v>80920</v>
      </c>
      <c r="K595">
        <f>IFERROR(VLOOKUP(E595,제품마스터!$A:$B,2,0),0)</f>
        <v>0</v>
      </c>
      <c r="L595">
        <f>원본데이터_SK!Q595*원본데이터_SK!P595</f>
        <v>80920</v>
      </c>
    </row>
    <row r="596" spans="1:12" x14ac:dyDescent="0.3">
      <c r="A596" t="s">
        <v>11</v>
      </c>
      <c r="B596" t="str">
        <f>원본데이터_SK!D596</f>
        <v>20260210361070</v>
      </c>
      <c r="C596" t="str">
        <f>IF(원본데이터_SK!M596="","",TEXT(원본데이터_SK!M596,"YYYY-MM-DD"))</f>
        <v>2026-02-12</v>
      </c>
      <c r="D596" t="str">
        <f>원본데이터_SK!F596</f>
        <v>58481090</v>
      </c>
      <c r="E596" t="str">
        <f>IFERROR(VLOOKUP(원본데이터_SK!F596,채널매핑!$B:$D,3,0),"미매핑")</f>
        <v>미매핑</v>
      </c>
      <c r="F596">
        <f>IFERROR(VLOOKUP(원본데이터_SK!F596,채널매핑!$B:$E,4,0),1)</f>
        <v>1</v>
      </c>
      <c r="G596">
        <f>원본데이터_SK!Q596</f>
        <v>1</v>
      </c>
      <c r="H596">
        <f>원본데이터_SK!O596</f>
        <v>119000</v>
      </c>
      <c r="I596">
        <f>원본데이터_SK!AG596</f>
        <v>119000</v>
      </c>
      <c r="J596">
        <f>원본데이터_SK!AH596</f>
        <v>80920</v>
      </c>
      <c r="K596">
        <f>IFERROR(VLOOKUP(E596,제품마스터!$A:$B,2,0),0)</f>
        <v>0</v>
      </c>
      <c r="L596">
        <f>원본데이터_SK!Q596*원본데이터_SK!P596</f>
        <v>80920</v>
      </c>
    </row>
    <row r="597" spans="1:12" x14ac:dyDescent="0.3">
      <c r="A597" t="s">
        <v>11</v>
      </c>
      <c r="B597" t="str">
        <f>원본데이터_SK!D597</f>
        <v>20260210361609</v>
      </c>
      <c r="C597" t="str">
        <f>IF(원본데이터_SK!M597="","",TEXT(원본데이터_SK!M597,"YYYY-MM-DD"))</f>
        <v>2026-02-12</v>
      </c>
      <c r="D597" t="str">
        <f>원본데이터_SK!F597</f>
        <v>58481090</v>
      </c>
      <c r="E597" t="str">
        <f>IFERROR(VLOOKUP(원본데이터_SK!F597,채널매핑!$B:$D,3,0),"미매핑")</f>
        <v>미매핑</v>
      </c>
      <c r="F597">
        <f>IFERROR(VLOOKUP(원본데이터_SK!F597,채널매핑!$B:$E,4,0),1)</f>
        <v>1</v>
      </c>
      <c r="G597">
        <f>원본데이터_SK!Q597</f>
        <v>1</v>
      </c>
      <c r="H597">
        <f>원본데이터_SK!O597</f>
        <v>119000</v>
      </c>
      <c r="I597">
        <f>원본데이터_SK!AG597</f>
        <v>109000</v>
      </c>
      <c r="J597">
        <f>원본데이터_SK!AH597</f>
        <v>80920</v>
      </c>
      <c r="K597">
        <f>IFERROR(VLOOKUP(E597,제품마스터!$A:$B,2,0),0)</f>
        <v>0</v>
      </c>
      <c r="L597">
        <f>원본데이터_SK!Q597*원본데이터_SK!P597</f>
        <v>80920</v>
      </c>
    </row>
    <row r="598" spans="1:12" x14ac:dyDescent="0.3">
      <c r="A598" t="s">
        <v>11</v>
      </c>
      <c r="B598" t="str">
        <f>원본데이터_SK!D598</f>
        <v>20260210361990</v>
      </c>
      <c r="C598" t="str">
        <f>IF(원본데이터_SK!M598="","",TEXT(원본데이터_SK!M598,"YYYY-MM-DD"))</f>
        <v>2026-02-12</v>
      </c>
      <c r="D598" t="str">
        <f>원본데이터_SK!F598</f>
        <v>58481090</v>
      </c>
      <c r="E598" t="str">
        <f>IFERROR(VLOOKUP(원본데이터_SK!F598,채널매핑!$B:$D,3,0),"미매핑")</f>
        <v>미매핑</v>
      </c>
      <c r="F598">
        <f>IFERROR(VLOOKUP(원본데이터_SK!F598,채널매핑!$B:$E,4,0),1)</f>
        <v>1</v>
      </c>
      <c r="G598">
        <f>원본데이터_SK!Q598</f>
        <v>1</v>
      </c>
      <c r="H598">
        <f>원본데이터_SK!O598</f>
        <v>119000</v>
      </c>
      <c r="I598">
        <f>원본데이터_SK!AG598</f>
        <v>113050</v>
      </c>
      <c r="J598">
        <f>원본데이터_SK!AH598</f>
        <v>80920</v>
      </c>
      <c r="K598">
        <f>IFERROR(VLOOKUP(E598,제품마스터!$A:$B,2,0),0)</f>
        <v>0</v>
      </c>
      <c r="L598">
        <f>원본데이터_SK!Q598*원본데이터_SK!P598</f>
        <v>80920</v>
      </c>
    </row>
    <row r="599" spans="1:12" x14ac:dyDescent="0.3">
      <c r="A599" t="s">
        <v>11</v>
      </c>
      <c r="B599" t="str">
        <f>원본데이터_SK!D599</f>
        <v>20260210361401</v>
      </c>
      <c r="C599" t="str">
        <f>IF(원본데이터_SK!M599="","",TEXT(원본데이터_SK!M599,"YYYY-MM-DD"))</f>
        <v>2026-02-12</v>
      </c>
      <c r="D599" t="str">
        <f>원본데이터_SK!F599</f>
        <v>58481090</v>
      </c>
      <c r="E599" t="str">
        <f>IFERROR(VLOOKUP(원본데이터_SK!F599,채널매핑!$B:$D,3,0),"미매핑")</f>
        <v>미매핑</v>
      </c>
      <c r="F599">
        <f>IFERROR(VLOOKUP(원본데이터_SK!F599,채널매핑!$B:$E,4,0),1)</f>
        <v>1</v>
      </c>
      <c r="G599">
        <f>원본데이터_SK!Q599</f>
        <v>1</v>
      </c>
      <c r="H599">
        <f>원본데이터_SK!O599</f>
        <v>119000</v>
      </c>
      <c r="I599">
        <f>원본데이터_SK!AG599</f>
        <v>119000</v>
      </c>
      <c r="J599">
        <f>원본데이터_SK!AH599</f>
        <v>80920</v>
      </c>
      <c r="K599">
        <f>IFERROR(VLOOKUP(E599,제품마스터!$A:$B,2,0),0)</f>
        <v>0</v>
      </c>
      <c r="L599">
        <f>원본데이터_SK!Q599*원본데이터_SK!P599</f>
        <v>80920</v>
      </c>
    </row>
    <row r="600" spans="1:12" x14ac:dyDescent="0.3">
      <c r="A600" t="s">
        <v>11</v>
      </c>
      <c r="B600" t="str">
        <f>원본데이터_SK!D600</f>
        <v>20260210360406</v>
      </c>
      <c r="C600" t="str">
        <f>IF(원본데이터_SK!M600="","",TEXT(원본데이터_SK!M600,"YYYY-MM-DD"))</f>
        <v>2026-02-12</v>
      </c>
      <c r="D600" t="str">
        <f>원본데이터_SK!F600</f>
        <v>58481090</v>
      </c>
      <c r="E600" t="str">
        <f>IFERROR(VLOOKUP(원본데이터_SK!F600,채널매핑!$B:$D,3,0),"미매핑")</f>
        <v>미매핑</v>
      </c>
      <c r="F600">
        <f>IFERROR(VLOOKUP(원본데이터_SK!F600,채널매핑!$B:$E,4,0),1)</f>
        <v>1</v>
      </c>
      <c r="G600">
        <f>원본데이터_SK!Q600</f>
        <v>1</v>
      </c>
      <c r="H600">
        <f>원본데이터_SK!O600</f>
        <v>119000</v>
      </c>
      <c r="I600">
        <f>원본데이터_SK!AG600</f>
        <v>119000</v>
      </c>
      <c r="J600">
        <f>원본데이터_SK!AH600</f>
        <v>80920</v>
      </c>
      <c r="K600">
        <f>IFERROR(VLOOKUP(E600,제품마스터!$A:$B,2,0),0)</f>
        <v>0</v>
      </c>
      <c r="L600">
        <f>원본데이터_SK!Q600*원본데이터_SK!P600</f>
        <v>80920</v>
      </c>
    </row>
    <row r="601" spans="1:12" x14ac:dyDescent="0.3">
      <c r="A601" t="s">
        <v>11</v>
      </c>
      <c r="B601" t="str">
        <f>원본데이터_SK!D601</f>
        <v>20260210361356</v>
      </c>
      <c r="C601" t="str">
        <f>IF(원본데이터_SK!M601="","",TEXT(원본데이터_SK!M601,"YYYY-MM-DD"))</f>
        <v>2026-02-12</v>
      </c>
      <c r="D601" t="str">
        <f>원본데이터_SK!F601</f>
        <v>58481090</v>
      </c>
      <c r="E601" t="str">
        <f>IFERROR(VLOOKUP(원본데이터_SK!F601,채널매핑!$B:$D,3,0),"미매핑")</f>
        <v>미매핑</v>
      </c>
      <c r="F601">
        <f>IFERROR(VLOOKUP(원본데이터_SK!F601,채널매핑!$B:$E,4,0),1)</f>
        <v>1</v>
      </c>
      <c r="G601">
        <f>원본데이터_SK!Q601</f>
        <v>1</v>
      </c>
      <c r="H601">
        <f>원본데이터_SK!O601</f>
        <v>119000</v>
      </c>
      <c r="I601">
        <f>원본데이터_SK!AG601</f>
        <v>119000</v>
      </c>
      <c r="J601">
        <f>원본데이터_SK!AH601</f>
        <v>80920</v>
      </c>
      <c r="K601">
        <f>IFERROR(VLOOKUP(E601,제품마스터!$A:$B,2,0),0)</f>
        <v>0</v>
      </c>
      <c r="L601">
        <f>원본데이터_SK!Q601*원본데이터_SK!P601</f>
        <v>80920</v>
      </c>
    </row>
    <row r="602" spans="1:12" x14ac:dyDescent="0.3">
      <c r="A602" t="s">
        <v>11</v>
      </c>
      <c r="B602" t="str">
        <f>원본데이터_SK!D602</f>
        <v>20260210360454</v>
      </c>
      <c r="C602" t="str">
        <f>IF(원본데이터_SK!M602="","",TEXT(원본데이터_SK!M602,"YYYY-MM-DD"))</f>
        <v>2026-02-12</v>
      </c>
      <c r="D602" t="str">
        <f>원본데이터_SK!F602</f>
        <v>58481090</v>
      </c>
      <c r="E602" t="str">
        <f>IFERROR(VLOOKUP(원본데이터_SK!F602,채널매핑!$B:$D,3,0),"미매핑")</f>
        <v>미매핑</v>
      </c>
      <c r="F602">
        <f>IFERROR(VLOOKUP(원본데이터_SK!F602,채널매핑!$B:$E,4,0),1)</f>
        <v>1</v>
      </c>
      <c r="G602">
        <f>원본데이터_SK!Q602</f>
        <v>1</v>
      </c>
      <c r="H602">
        <f>원본데이터_SK!O602</f>
        <v>119000</v>
      </c>
      <c r="I602">
        <f>원본데이터_SK!AG602</f>
        <v>119000</v>
      </c>
      <c r="J602">
        <f>원본데이터_SK!AH602</f>
        <v>80920</v>
      </c>
      <c r="K602">
        <f>IFERROR(VLOOKUP(E602,제품마스터!$A:$B,2,0),0)</f>
        <v>0</v>
      </c>
      <c r="L602">
        <f>원본데이터_SK!Q602*원본데이터_SK!P602</f>
        <v>80920</v>
      </c>
    </row>
    <row r="603" spans="1:12" x14ac:dyDescent="0.3">
      <c r="A603" t="s">
        <v>11</v>
      </c>
      <c r="B603" t="str">
        <f>원본데이터_SK!D603</f>
        <v>20260210360688</v>
      </c>
      <c r="C603" t="str">
        <f>IF(원본데이터_SK!M603="","",TEXT(원본데이터_SK!M603,"YYYY-MM-DD"))</f>
        <v>2026-02-12</v>
      </c>
      <c r="D603" t="str">
        <f>원본데이터_SK!F603</f>
        <v>58481090</v>
      </c>
      <c r="E603" t="str">
        <f>IFERROR(VLOOKUP(원본데이터_SK!F603,채널매핑!$B:$D,3,0),"미매핑")</f>
        <v>미매핑</v>
      </c>
      <c r="F603">
        <f>IFERROR(VLOOKUP(원본데이터_SK!F603,채널매핑!$B:$E,4,0),1)</f>
        <v>1</v>
      </c>
      <c r="G603">
        <f>원본데이터_SK!Q603</f>
        <v>1</v>
      </c>
      <c r="H603">
        <f>원본데이터_SK!O603</f>
        <v>119000</v>
      </c>
      <c r="I603">
        <f>원본데이터_SK!AG603</f>
        <v>119000</v>
      </c>
      <c r="J603">
        <f>원본데이터_SK!AH603</f>
        <v>80920</v>
      </c>
      <c r="K603">
        <f>IFERROR(VLOOKUP(E603,제품마스터!$A:$B,2,0),0)</f>
        <v>0</v>
      </c>
      <c r="L603">
        <f>원본데이터_SK!Q603*원본데이터_SK!P603</f>
        <v>80920</v>
      </c>
    </row>
    <row r="604" spans="1:12" x14ac:dyDescent="0.3">
      <c r="A604" t="s">
        <v>11</v>
      </c>
      <c r="B604" t="str">
        <f>원본데이터_SK!D604</f>
        <v>20260210361042</v>
      </c>
      <c r="C604" t="str">
        <f>IF(원본데이터_SK!M604="","",TEXT(원본데이터_SK!M604,"YYYY-MM-DD"))</f>
        <v>2026-02-12</v>
      </c>
      <c r="D604" t="str">
        <f>원본데이터_SK!F604</f>
        <v>58481090</v>
      </c>
      <c r="E604" t="str">
        <f>IFERROR(VLOOKUP(원본데이터_SK!F604,채널매핑!$B:$D,3,0),"미매핑")</f>
        <v>미매핑</v>
      </c>
      <c r="F604">
        <f>IFERROR(VLOOKUP(원본데이터_SK!F604,채널매핑!$B:$E,4,0),1)</f>
        <v>1</v>
      </c>
      <c r="G604">
        <f>원본데이터_SK!Q604</f>
        <v>1</v>
      </c>
      <c r="H604">
        <f>원본데이터_SK!O604</f>
        <v>119000</v>
      </c>
      <c r="I604">
        <f>원본데이터_SK!AG604</f>
        <v>119000</v>
      </c>
      <c r="J604">
        <f>원본데이터_SK!AH604</f>
        <v>80920</v>
      </c>
      <c r="K604">
        <f>IFERROR(VLOOKUP(E604,제품마스터!$A:$B,2,0),0)</f>
        <v>0</v>
      </c>
      <c r="L604">
        <f>원본데이터_SK!Q604*원본데이터_SK!P604</f>
        <v>80920</v>
      </c>
    </row>
    <row r="605" spans="1:12" x14ac:dyDescent="0.3">
      <c r="A605" t="s">
        <v>11</v>
      </c>
      <c r="B605" t="str">
        <f>원본데이터_SK!D605</f>
        <v>20260210360204</v>
      </c>
      <c r="C605" t="str">
        <f>IF(원본데이터_SK!M605="","",TEXT(원본데이터_SK!M605,"YYYY-MM-DD"))</f>
        <v>2026-02-12</v>
      </c>
      <c r="D605" t="str">
        <f>원본데이터_SK!F605</f>
        <v>58481090</v>
      </c>
      <c r="E605" t="str">
        <f>IFERROR(VLOOKUP(원본데이터_SK!F605,채널매핑!$B:$D,3,0),"미매핑")</f>
        <v>미매핑</v>
      </c>
      <c r="F605">
        <f>IFERROR(VLOOKUP(원본데이터_SK!F605,채널매핑!$B:$E,4,0),1)</f>
        <v>1</v>
      </c>
      <c r="G605">
        <f>원본데이터_SK!Q605</f>
        <v>1</v>
      </c>
      <c r="H605">
        <f>원본데이터_SK!O605</f>
        <v>119000</v>
      </c>
      <c r="I605">
        <f>원본데이터_SK!AG605</f>
        <v>119000</v>
      </c>
      <c r="J605">
        <f>원본데이터_SK!AH605</f>
        <v>80920</v>
      </c>
      <c r="K605">
        <f>IFERROR(VLOOKUP(E605,제품마스터!$A:$B,2,0),0)</f>
        <v>0</v>
      </c>
      <c r="L605">
        <f>원본데이터_SK!Q605*원본데이터_SK!P605</f>
        <v>80920</v>
      </c>
    </row>
    <row r="606" spans="1:12" x14ac:dyDescent="0.3">
      <c r="A606" t="s">
        <v>11</v>
      </c>
      <c r="B606" t="str">
        <f>원본데이터_SK!D606</f>
        <v>20260210360435</v>
      </c>
      <c r="C606" t="str">
        <f>IF(원본데이터_SK!M606="","",TEXT(원본데이터_SK!M606,"YYYY-MM-DD"))</f>
        <v>2026-02-12</v>
      </c>
      <c r="D606" t="str">
        <f>원본데이터_SK!F606</f>
        <v>58481090</v>
      </c>
      <c r="E606" t="str">
        <f>IFERROR(VLOOKUP(원본데이터_SK!F606,채널매핑!$B:$D,3,0),"미매핑")</f>
        <v>미매핑</v>
      </c>
      <c r="F606">
        <f>IFERROR(VLOOKUP(원본데이터_SK!F606,채널매핑!$B:$E,4,0),1)</f>
        <v>1</v>
      </c>
      <c r="G606">
        <f>원본데이터_SK!Q606</f>
        <v>1</v>
      </c>
      <c r="H606">
        <f>원본데이터_SK!O606</f>
        <v>119000</v>
      </c>
      <c r="I606">
        <f>원본데이터_SK!AG606</f>
        <v>119000</v>
      </c>
      <c r="J606">
        <f>원본데이터_SK!AH606</f>
        <v>80920</v>
      </c>
      <c r="K606">
        <f>IFERROR(VLOOKUP(E606,제품마스터!$A:$B,2,0),0)</f>
        <v>0</v>
      </c>
      <c r="L606">
        <f>원본데이터_SK!Q606*원본데이터_SK!P606</f>
        <v>80920</v>
      </c>
    </row>
    <row r="607" spans="1:12" x14ac:dyDescent="0.3">
      <c r="A607" t="s">
        <v>11</v>
      </c>
      <c r="B607" t="str">
        <f>원본데이터_SK!D607</f>
        <v>20260210360324</v>
      </c>
      <c r="C607" t="str">
        <f>IF(원본데이터_SK!M607="","",TEXT(원본데이터_SK!M607,"YYYY-MM-DD"))</f>
        <v>2026-02-12</v>
      </c>
      <c r="D607" t="str">
        <f>원본데이터_SK!F607</f>
        <v>58481090</v>
      </c>
      <c r="E607" t="str">
        <f>IFERROR(VLOOKUP(원본데이터_SK!F607,채널매핑!$B:$D,3,0),"미매핑")</f>
        <v>미매핑</v>
      </c>
      <c r="F607">
        <f>IFERROR(VLOOKUP(원본데이터_SK!F607,채널매핑!$B:$E,4,0),1)</f>
        <v>1</v>
      </c>
      <c r="G607">
        <f>원본데이터_SK!Q607</f>
        <v>1</v>
      </c>
      <c r="H607">
        <f>원본데이터_SK!O607</f>
        <v>119000</v>
      </c>
      <c r="I607">
        <f>원본데이터_SK!AG607</f>
        <v>119000</v>
      </c>
      <c r="J607">
        <f>원본데이터_SK!AH607</f>
        <v>80920</v>
      </c>
      <c r="K607">
        <f>IFERROR(VLOOKUP(E607,제품마스터!$A:$B,2,0),0)</f>
        <v>0</v>
      </c>
      <c r="L607">
        <f>원본데이터_SK!Q607*원본데이터_SK!P607</f>
        <v>80920</v>
      </c>
    </row>
    <row r="608" spans="1:12" x14ac:dyDescent="0.3">
      <c r="A608" t="s">
        <v>11</v>
      </c>
      <c r="B608" t="str">
        <f>원본데이터_SK!D608</f>
        <v>20260210361911</v>
      </c>
      <c r="C608" t="str">
        <f>IF(원본데이터_SK!M608="","",TEXT(원본데이터_SK!M608,"YYYY-MM-DD"))</f>
        <v>2026-02-12</v>
      </c>
      <c r="D608" t="str">
        <f>원본데이터_SK!F608</f>
        <v>58481090</v>
      </c>
      <c r="E608" t="str">
        <f>IFERROR(VLOOKUP(원본데이터_SK!F608,채널매핑!$B:$D,3,0),"미매핑")</f>
        <v>미매핑</v>
      </c>
      <c r="F608">
        <f>IFERROR(VLOOKUP(원본데이터_SK!F608,채널매핑!$B:$E,4,0),1)</f>
        <v>1</v>
      </c>
      <c r="G608">
        <f>원본데이터_SK!Q608</f>
        <v>1</v>
      </c>
      <c r="H608">
        <f>원본데이터_SK!O608</f>
        <v>119000</v>
      </c>
      <c r="I608">
        <f>원본데이터_SK!AG608</f>
        <v>119000</v>
      </c>
      <c r="J608">
        <f>원본데이터_SK!AH608</f>
        <v>80920</v>
      </c>
      <c r="K608">
        <f>IFERROR(VLOOKUP(E608,제품마스터!$A:$B,2,0),0)</f>
        <v>0</v>
      </c>
      <c r="L608">
        <f>원본데이터_SK!Q608*원본데이터_SK!P608</f>
        <v>80920</v>
      </c>
    </row>
    <row r="609" spans="1:12" x14ac:dyDescent="0.3">
      <c r="A609" t="s">
        <v>11</v>
      </c>
      <c r="B609" t="str">
        <f>원본데이터_SK!D609</f>
        <v>20260210360246</v>
      </c>
      <c r="C609" t="str">
        <f>IF(원본데이터_SK!M609="","",TEXT(원본데이터_SK!M609,"YYYY-MM-DD"))</f>
        <v>2026-02-12</v>
      </c>
      <c r="D609" t="str">
        <f>원본데이터_SK!F609</f>
        <v>58481090</v>
      </c>
      <c r="E609" t="str">
        <f>IFERROR(VLOOKUP(원본데이터_SK!F609,채널매핑!$B:$D,3,0),"미매핑")</f>
        <v>미매핑</v>
      </c>
      <c r="F609">
        <f>IFERROR(VLOOKUP(원본데이터_SK!F609,채널매핑!$B:$E,4,0),1)</f>
        <v>1</v>
      </c>
      <c r="G609">
        <f>원본데이터_SK!Q609</f>
        <v>1</v>
      </c>
      <c r="H609">
        <f>원본데이터_SK!O609</f>
        <v>119000</v>
      </c>
      <c r="I609">
        <f>원본데이터_SK!AG609</f>
        <v>119000</v>
      </c>
      <c r="J609">
        <f>원본데이터_SK!AH609</f>
        <v>80920</v>
      </c>
      <c r="K609">
        <f>IFERROR(VLOOKUP(E609,제품마스터!$A:$B,2,0),0)</f>
        <v>0</v>
      </c>
      <c r="L609">
        <f>원본데이터_SK!Q609*원본데이터_SK!P609</f>
        <v>80920</v>
      </c>
    </row>
    <row r="610" spans="1:12" x14ac:dyDescent="0.3">
      <c r="A610" t="s">
        <v>11</v>
      </c>
      <c r="B610" t="str">
        <f>원본데이터_SK!D610</f>
        <v>20260210361622</v>
      </c>
      <c r="C610" t="str">
        <f>IF(원본데이터_SK!M610="","",TEXT(원본데이터_SK!M610,"YYYY-MM-DD"))</f>
        <v>2026-02-12</v>
      </c>
      <c r="D610" t="str">
        <f>원본데이터_SK!F610</f>
        <v>58481090</v>
      </c>
      <c r="E610" t="str">
        <f>IFERROR(VLOOKUP(원본데이터_SK!F610,채널매핑!$B:$D,3,0),"미매핑")</f>
        <v>미매핑</v>
      </c>
      <c r="F610">
        <f>IFERROR(VLOOKUP(원본데이터_SK!F610,채널매핑!$B:$E,4,0),1)</f>
        <v>1</v>
      </c>
      <c r="G610">
        <f>원본데이터_SK!Q610</f>
        <v>1</v>
      </c>
      <c r="H610">
        <f>원본데이터_SK!O610</f>
        <v>119000</v>
      </c>
      <c r="I610">
        <f>원본데이터_SK!AG610</f>
        <v>119000</v>
      </c>
      <c r="J610">
        <f>원본데이터_SK!AH610</f>
        <v>80920</v>
      </c>
      <c r="K610">
        <f>IFERROR(VLOOKUP(E610,제품마스터!$A:$B,2,0),0)</f>
        <v>0</v>
      </c>
      <c r="L610">
        <f>원본데이터_SK!Q610*원본데이터_SK!P610</f>
        <v>80920</v>
      </c>
    </row>
    <row r="611" spans="1:12" x14ac:dyDescent="0.3">
      <c r="A611" t="s">
        <v>11</v>
      </c>
      <c r="B611" t="str">
        <f>원본데이터_SK!D611</f>
        <v>20260210361123</v>
      </c>
      <c r="C611" t="str">
        <f>IF(원본데이터_SK!M611="","",TEXT(원본데이터_SK!M611,"YYYY-MM-DD"))</f>
        <v>2026-02-12</v>
      </c>
      <c r="D611" t="str">
        <f>원본데이터_SK!F611</f>
        <v>58481090</v>
      </c>
      <c r="E611" t="str">
        <f>IFERROR(VLOOKUP(원본데이터_SK!F611,채널매핑!$B:$D,3,0),"미매핑")</f>
        <v>미매핑</v>
      </c>
      <c r="F611">
        <f>IFERROR(VLOOKUP(원본데이터_SK!F611,채널매핑!$B:$E,4,0),1)</f>
        <v>1</v>
      </c>
      <c r="G611">
        <f>원본데이터_SK!Q611</f>
        <v>1</v>
      </c>
      <c r="H611">
        <f>원본데이터_SK!O611</f>
        <v>119000</v>
      </c>
      <c r="I611">
        <f>원본데이터_SK!AG611</f>
        <v>119000</v>
      </c>
      <c r="J611">
        <f>원본데이터_SK!AH611</f>
        <v>80920</v>
      </c>
      <c r="K611">
        <f>IFERROR(VLOOKUP(E611,제품마스터!$A:$B,2,0),0)</f>
        <v>0</v>
      </c>
      <c r="L611">
        <f>원본데이터_SK!Q611*원본데이터_SK!P611</f>
        <v>80920</v>
      </c>
    </row>
    <row r="612" spans="1:12" x14ac:dyDescent="0.3">
      <c r="A612" t="s">
        <v>11</v>
      </c>
      <c r="B612" t="str">
        <f>원본데이터_SK!D612</f>
        <v>20260210361987</v>
      </c>
      <c r="C612" t="str">
        <f>IF(원본데이터_SK!M612="","",TEXT(원본데이터_SK!M612,"YYYY-MM-DD"))</f>
        <v>2026-02-12</v>
      </c>
      <c r="D612" t="str">
        <f>원본데이터_SK!F612</f>
        <v>58481090</v>
      </c>
      <c r="E612" t="str">
        <f>IFERROR(VLOOKUP(원본데이터_SK!F612,채널매핑!$B:$D,3,0),"미매핑")</f>
        <v>미매핑</v>
      </c>
      <c r="F612">
        <f>IFERROR(VLOOKUP(원본데이터_SK!F612,채널매핑!$B:$E,4,0),1)</f>
        <v>1</v>
      </c>
      <c r="G612">
        <f>원본데이터_SK!Q612</f>
        <v>1</v>
      </c>
      <c r="H612">
        <f>원본데이터_SK!O612</f>
        <v>119000</v>
      </c>
      <c r="I612">
        <f>원본데이터_SK!AG612</f>
        <v>113050</v>
      </c>
      <c r="J612">
        <f>원본데이터_SK!AH612</f>
        <v>80920</v>
      </c>
      <c r="K612">
        <f>IFERROR(VLOOKUP(E612,제품마스터!$A:$B,2,0),0)</f>
        <v>0</v>
      </c>
      <c r="L612">
        <f>원본데이터_SK!Q612*원본데이터_SK!P612</f>
        <v>80920</v>
      </c>
    </row>
    <row r="613" spans="1:12" x14ac:dyDescent="0.3">
      <c r="A613" t="s">
        <v>11</v>
      </c>
      <c r="B613" t="str">
        <f>원본데이터_SK!D613</f>
        <v>20260210360357</v>
      </c>
      <c r="C613" t="str">
        <f>IF(원본데이터_SK!M613="","",TEXT(원본데이터_SK!M613,"YYYY-MM-DD"))</f>
        <v>2026-02-12</v>
      </c>
      <c r="D613" t="str">
        <f>원본데이터_SK!F613</f>
        <v>58481090</v>
      </c>
      <c r="E613" t="str">
        <f>IFERROR(VLOOKUP(원본데이터_SK!F613,채널매핑!$B:$D,3,0),"미매핑")</f>
        <v>미매핑</v>
      </c>
      <c r="F613">
        <f>IFERROR(VLOOKUP(원본데이터_SK!F613,채널매핑!$B:$E,4,0),1)</f>
        <v>1</v>
      </c>
      <c r="G613">
        <f>원본데이터_SK!Q613</f>
        <v>1</v>
      </c>
      <c r="H613">
        <f>원본데이터_SK!O613</f>
        <v>119000</v>
      </c>
      <c r="I613">
        <f>원본데이터_SK!AG613</f>
        <v>113050</v>
      </c>
      <c r="J613">
        <f>원본데이터_SK!AH613</f>
        <v>80920</v>
      </c>
      <c r="K613">
        <f>IFERROR(VLOOKUP(E613,제품마스터!$A:$B,2,0),0)</f>
        <v>0</v>
      </c>
      <c r="L613">
        <f>원본데이터_SK!Q613*원본데이터_SK!P613</f>
        <v>80920</v>
      </c>
    </row>
    <row r="614" spans="1:12" x14ac:dyDescent="0.3">
      <c r="A614" t="s">
        <v>11</v>
      </c>
      <c r="B614" t="str">
        <f>원본데이터_SK!D614</f>
        <v>20260210361780</v>
      </c>
      <c r="C614" t="str">
        <f>IF(원본데이터_SK!M614="","",TEXT(원본데이터_SK!M614,"YYYY-MM-DD"))</f>
        <v>2026-02-12</v>
      </c>
      <c r="D614" t="str">
        <f>원본데이터_SK!F614</f>
        <v>58481090</v>
      </c>
      <c r="E614" t="str">
        <f>IFERROR(VLOOKUP(원본데이터_SK!F614,채널매핑!$B:$D,3,0),"미매핑")</f>
        <v>미매핑</v>
      </c>
      <c r="F614">
        <f>IFERROR(VLOOKUP(원본데이터_SK!F614,채널매핑!$B:$E,4,0),1)</f>
        <v>1</v>
      </c>
      <c r="G614">
        <f>원본데이터_SK!Q614</f>
        <v>1</v>
      </c>
      <c r="H614">
        <f>원본데이터_SK!O614</f>
        <v>119000</v>
      </c>
      <c r="I614">
        <f>원본데이터_SK!AG614</f>
        <v>95200</v>
      </c>
      <c r="J614">
        <f>원본데이터_SK!AH614</f>
        <v>80920</v>
      </c>
      <c r="K614">
        <f>IFERROR(VLOOKUP(E614,제품마스터!$A:$B,2,0),0)</f>
        <v>0</v>
      </c>
      <c r="L614">
        <f>원본데이터_SK!Q614*원본데이터_SK!P614</f>
        <v>80920</v>
      </c>
    </row>
    <row r="615" spans="1:12" x14ac:dyDescent="0.3">
      <c r="A615" t="s">
        <v>11</v>
      </c>
      <c r="B615" t="str">
        <f>원본데이터_SK!D615</f>
        <v>20260210362100</v>
      </c>
      <c r="C615" t="str">
        <f>IF(원본데이터_SK!M615="","",TEXT(원본데이터_SK!M615,"YYYY-MM-DD"))</f>
        <v>2026-02-12</v>
      </c>
      <c r="D615" t="str">
        <f>원본데이터_SK!F615</f>
        <v>58481090</v>
      </c>
      <c r="E615" t="str">
        <f>IFERROR(VLOOKUP(원본데이터_SK!F615,채널매핑!$B:$D,3,0),"미매핑")</f>
        <v>미매핑</v>
      </c>
      <c r="F615">
        <f>IFERROR(VLOOKUP(원본데이터_SK!F615,채널매핑!$B:$E,4,0),1)</f>
        <v>1</v>
      </c>
      <c r="G615">
        <f>원본데이터_SK!Q615</f>
        <v>1</v>
      </c>
      <c r="H615">
        <f>원본데이터_SK!O615</f>
        <v>119000</v>
      </c>
      <c r="I615">
        <f>원본데이터_SK!AG615</f>
        <v>109000</v>
      </c>
      <c r="J615">
        <f>원본데이터_SK!AH615</f>
        <v>80920</v>
      </c>
      <c r="K615">
        <f>IFERROR(VLOOKUP(E615,제품마스터!$A:$B,2,0),0)</f>
        <v>0</v>
      </c>
      <c r="L615">
        <f>원본데이터_SK!Q615*원본데이터_SK!P615</f>
        <v>80920</v>
      </c>
    </row>
    <row r="616" spans="1:12" x14ac:dyDescent="0.3">
      <c r="A616" t="s">
        <v>11</v>
      </c>
      <c r="B616" t="str">
        <f>원본데이터_SK!D616</f>
        <v>20260210362228</v>
      </c>
      <c r="C616" t="str">
        <f>IF(원본데이터_SK!M616="","",TEXT(원본데이터_SK!M616,"YYYY-MM-DD"))</f>
        <v>2026-02-12</v>
      </c>
      <c r="D616" t="str">
        <f>원본데이터_SK!F616</f>
        <v>58481090</v>
      </c>
      <c r="E616" t="str">
        <f>IFERROR(VLOOKUP(원본데이터_SK!F616,채널매핑!$B:$D,3,0),"미매핑")</f>
        <v>미매핑</v>
      </c>
      <c r="F616">
        <f>IFERROR(VLOOKUP(원본데이터_SK!F616,채널매핑!$B:$E,4,0),1)</f>
        <v>1</v>
      </c>
      <c r="G616">
        <f>원본데이터_SK!Q616</f>
        <v>1</v>
      </c>
      <c r="H616">
        <f>원본데이터_SK!O616</f>
        <v>119000</v>
      </c>
      <c r="I616">
        <f>원본데이터_SK!AG616</f>
        <v>95200</v>
      </c>
      <c r="J616">
        <f>원본데이터_SK!AH616</f>
        <v>80920</v>
      </c>
      <c r="K616">
        <f>IFERROR(VLOOKUP(E616,제품마스터!$A:$B,2,0),0)</f>
        <v>0</v>
      </c>
      <c r="L616">
        <f>원본데이터_SK!Q616*원본데이터_SK!P616</f>
        <v>80920</v>
      </c>
    </row>
    <row r="617" spans="1:12" x14ac:dyDescent="0.3">
      <c r="A617" t="s">
        <v>11</v>
      </c>
      <c r="B617" t="str">
        <f>원본데이터_SK!D617</f>
        <v>20260210362212</v>
      </c>
      <c r="C617" t="str">
        <f>IF(원본데이터_SK!M617="","",TEXT(원본데이터_SK!M617,"YYYY-MM-DD"))</f>
        <v>2026-02-12</v>
      </c>
      <c r="D617" t="str">
        <f>원본데이터_SK!F617</f>
        <v>58481090</v>
      </c>
      <c r="E617" t="str">
        <f>IFERROR(VLOOKUP(원본데이터_SK!F617,채널매핑!$B:$D,3,0),"미매핑")</f>
        <v>미매핑</v>
      </c>
      <c r="F617">
        <f>IFERROR(VLOOKUP(원본데이터_SK!F617,채널매핑!$B:$E,4,0),1)</f>
        <v>1</v>
      </c>
      <c r="G617">
        <f>원본데이터_SK!Q617</f>
        <v>1</v>
      </c>
      <c r="H617">
        <f>원본데이터_SK!O617</f>
        <v>119000</v>
      </c>
      <c r="I617">
        <f>원본데이터_SK!AG617</f>
        <v>113050</v>
      </c>
      <c r="J617">
        <f>원본데이터_SK!AH617</f>
        <v>80920</v>
      </c>
      <c r="K617">
        <f>IFERROR(VLOOKUP(E617,제품마스터!$A:$B,2,0),0)</f>
        <v>0</v>
      </c>
      <c r="L617">
        <f>원본데이터_SK!Q617*원본데이터_SK!P617</f>
        <v>80920</v>
      </c>
    </row>
    <row r="618" spans="1:12" x14ac:dyDescent="0.3">
      <c r="A618" t="s">
        <v>11</v>
      </c>
      <c r="B618" t="str">
        <f>원본데이터_SK!D618</f>
        <v>20260210360287</v>
      </c>
      <c r="C618" t="str">
        <f>IF(원본데이터_SK!M618="","",TEXT(원본데이터_SK!M618,"YYYY-MM-DD"))</f>
        <v>2026-02-12</v>
      </c>
      <c r="D618" t="str">
        <f>원본데이터_SK!F618</f>
        <v>58481090</v>
      </c>
      <c r="E618" t="str">
        <f>IFERROR(VLOOKUP(원본데이터_SK!F618,채널매핑!$B:$D,3,0),"미매핑")</f>
        <v>미매핑</v>
      </c>
      <c r="F618">
        <f>IFERROR(VLOOKUP(원본데이터_SK!F618,채널매핑!$B:$E,4,0),1)</f>
        <v>1</v>
      </c>
      <c r="G618">
        <f>원본데이터_SK!Q618</f>
        <v>1</v>
      </c>
      <c r="H618">
        <f>원본데이터_SK!O618</f>
        <v>119000</v>
      </c>
      <c r="I618">
        <f>원본데이터_SK!AG618</f>
        <v>119000</v>
      </c>
      <c r="J618">
        <f>원본데이터_SK!AH618</f>
        <v>80920</v>
      </c>
      <c r="K618">
        <f>IFERROR(VLOOKUP(E618,제품마스터!$A:$B,2,0),0)</f>
        <v>0</v>
      </c>
      <c r="L618">
        <f>원본데이터_SK!Q618*원본데이터_SK!P618</f>
        <v>80920</v>
      </c>
    </row>
    <row r="619" spans="1:12" x14ac:dyDescent="0.3">
      <c r="A619" t="s">
        <v>11</v>
      </c>
      <c r="B619" t="str">
        <f>원본데이터_SK!D619</f>
        <v>20260210361930</v>
      </c>
      <c r="C619" t="str">
        <f>IF(원본데이터_SK!M619="","",TEXT(원본데이터_SK!M619,"YYYY-MM-DD"))</f>
        <v>2026-02-12</v>
      </c>
      <c r="D619" t="str">
        <f>원본데이터_SK!F619</f>
        <v>58481090</v>
      </c>
      <c r="E619" t="str">
        <f>IFERROR(VLOOKUP(원본데이터_SK!F619,채널매핑!$B:$D,3,0),"미매핑")</f>
        <v>미매핑</v>
      </c>
      <c r="F619">
        <f>IFERROR(VLOOKUP(원본데이터_SK!F619,채널매핑!$B:$E,4,0),1)</f>
        <v>1</v>
      </c>
      <c r="G619">
        <f>원본데이터_SK!Q619</f>
        <v>1</v>
      </c>
      <c r="H619">
        <f>원본데이터_SK!O619</f>
        <v>119000</v>
      </c>
      <c r="I619">
        <f>원본데이터_SK!AG619</f>
        <v>119000</v>
      </c>
      <c r="J619">
        <f>원본데이터_SK!AH619</f>
        <v>80920</v>
      </c>
      <c r="K619">
        <f>IFERROR(VLOOKUP(E619,제품마스터!$A:$B,2,0),0)</f>
        <v>0</v>
      </c>
      <c r="L619">
        <f>원본데이터_SK!Q619*원본데이터_SK!P619</f>
        <v>80920</v>
      </c>
    </row>
    <row r="620" spans="1:12" x14ac:dyDescent="0.3">
      <c r="A620" t="s">
        <v>11</v>
      </c>
      <c r="B620" t="str">
        <f>원본데이터_SK!D620</f>
        <v>20260210360895</v>
      </c>
      <c r="C620" t="str">
        <f>IF(원본데이터_SK!M620="","",TEXT(원본데이터_SK!M620,"YYYY-MM-DD"))</f>
        <v>2026-02-12</v>
      </c>
      <c r="D620" t="str">
        <f>원본데이터_SK!F620</f>
        <v>58481090</v>
      </c>
      <c r="E620" t="str">
        <f>IFERROR(VLOOKUP(원본데이터_SK!F620,채널매핑!$B:$D,3,0),"미매핑")</f>
        <v>미매핑</v>
      </c>
      <c r="F620">
        <f>IFERROR(VLOOKUP(원본데이터_SK!F620,채널매핑!$B:$E,4,0),1)</f>
        <v>1</v>
      </c>
      <c r="G620">
        <f>원본데이터_SK!Q620</f>
        <v>1</v>
      </c>
      <c r="H620">
        <f>원본데이터_SK!O620</f>
        <v>119000</v>
      </c>
      <c r="I620">
        <f>원본데이터_SK!AG620</f>
        <v>119000</v>
      </c>
      <c r="J620">
        <f>원본데이터_SK!AH620</f>
        <v>80920</v>
      </c>
      <c r="K620">
        <f>IFERROR(VLOOKUP(E620,제품마스터!$A:$B,2,0),0)</f>
        <v>0</v>
      </c>
      <c r="L620">
        <f>원본데이터_SK!Q620*원본데이터_SK!P620</f>
        <v>80920</v>
      </c>
    </row>
    <row r="621" spans="1:12" x14ac:dyDescent="0.3">
      <c r="A621" t="s">
        <v>11</v>
      </c>
      <c r="B621" t="str">
        <f>원본데이터_SK!D621</f>
        <v>20260210362231</v>
      </c>
      <c r="C621" t="str">
        <f>IF(원본데이터_SK!M621="","",TEXT(원본데이터_SK!M621,"YYYY-MM-DD"))</f>
        <v>2026-02-12</v>
      </c>
      <c r="D621" t="str">
        <f>원본데이터_SK!F621</f>
        <v>58481090</v>
      </c>
      <c r="E621" t="str">
        <f>IFERROR(VLOOKUP(원본데이터_SK!F621,채널매핑!$B:$D,3,0),"미매핑")</f>
        <v>미매핑</v>
      </c>
      <c r="F621">
        <f>IFERROR(VLOOKUP(원본데이터_SK!F621,채널매핑!$B:$E,4,0),1)</f>
        <v>1</v>
      </c>
      <c r="G621">
        <f>원본데이터_SK!Q621</f>
        <v>1</v>
      </c>
      <c r="H621">
        <f>원본데이터_SK!O621</f>
        <v>119000</v>
      </c>
      <c r="I621">
        <f>원본데이터_SK!AG621</f>
        <v>119000</v>
      </c>
      <c r="J621">
        <f>원본데이터_SK!AH621</f>
        <v>80920</v>
      </c>
      <c r="K621">
        <f>IFERROR(VLOOKUP(E621,제품마스터!$A:$B,2,0),0)</f>
        <v>0</v>
      </c>
      <c r="L621">
        <f>원본데이터_SK!Q621*원본데이터_SK!P621</f>
        <v>80920</v>
      </c>
    </row>
    <row r="622" spans="1:12" x14ac:dyDescent="0.3">
      <c r="A622" t="s">
        <v>11</v>
      </c>
      <c r="B622" t="str">
        <f>원본데이터_SK!D622</f>
        <v>20260210360226</v>
      </c>
      <c r="C622" t="str">
        <f>IF(원본데이터_SK!M622="","",TEXT(원본데이터_SK!M622,"YYYY-MM-DD"))</f>
        <v>2026-02-12</v>
      </c>
      <c r="D622" t="str">
        <f>원본데이터_SK!F622</f>
        <v>58481090</v>
      </c>
      <c r="E622" t="str">
        <f>IFERROR(VLOOKUP(원본데이터_SK!F622,채널매핑!$B:$D,3,0),"미매핑")</f>
        <v>미매핑</v>
      </c>
      <c r="F622">
        <f>IFERROR(VLOOKUP(원본데이터_SK!F622,채널매핑!$B:$E,4,0),1)</f>
        <v>1</v>
      </c>
      <c r="G622">
        <f>원본데이터_SK!Q622</f>
        <v>1</v>
      </c>
      <c r="H622">
        <f>원본데이터_SK!O622</f>
        <v>119000</v>
      </c>
      <c r="I622">
        <f>원본데이터_SK!AG622</f>
        <v>119000</v>
      </c>
      <c r="J622">
        <f>원본데이터_SK!AH622</f>
        <v>80920</v>
      </c>
      <c r="K622">
        <f>IFERROR(VLOOKUP(E622,제품마스터!$A:$B,2,0),0)</f>
        <v>0</v>
      </c>
      <c r="L622">
        <f>원본데이터_SK!Q622*원본데이터_SK!P622</f>
        <v>80920</v>
      </c>
    </row>
    <row r="623" spans="1:12" x14ac:dyDescent="0.3">
      <c r="A623" t="s">
        <v>11</v>
      </c>
      <c r="B623" t="str">
        <f>원본데이터_SK!D623</f>
        <v>20260210361153</v>
      </c>
      <c r="C623" t="str">
        <f>IF(원본데이터_SK!M623="","",TEXT(원본데이터_SK!M623,"YYYY-MM-DD"))</f>
        <v>2026-02-12</v>
      </c>
      <c r="D623" t="str">
        <f>원본데이터_SK!F623</f>
        <v>58481090</v>
      </c>
      <c r="E623" t="str">
        <f>IFERROR(VLOOKUP(원본데이터_SK!F623,채널매핑!$B:$D,3,0),"미매핑")</f>
        <v>미매핑</v>
      </c>
      <c r="F623">
        <f>IFERROR(VLOOKUP(원본데이터_SK!F623,채널매핑!$B:$E,4,0),1)</f>
        <v>1</v>
      </c>
      <c r="G623">
        <f>원본데이터_SK!Q623</f>
        <v>1</v>
      </c>
      <c r="H623">
        <f>원본데이터_SK!O623</f>
        <v>119000</v>
      </c>
      <c r="I623">
        <f>원본데이터_SK!AG623</f>
        <v>119000</v>
      </c>
      <c r="J623">
        <f>원본데이터_SK!AH623</f>
        <v>80920</v>
      </c>
      <c r="K623">
        <f>IFERROR(VLOOKUP(E623,제품마스터!$A:$B,2,0),0)</f>
        <v>0</v>
      </c>
      <c r="L623">
        <f>원본데이터_SK!Q623*원본데이터_SK!P623</f>
        <v>80920</v>
      </c>
    </row>
    <row r="624" spans="1:12" x14ac:dyDescent="0.3">
      <c r="A624" t="s">
        <v>11</v>
      </c>
      <c r="B624" t="str">
        <f>원본데이터_SK!D624</f>
        <v>20260210360972</v>
      </c>
      <c r="C624" t="str">
        <f>IF(원본데이터_SK!M624="","",TEXT(원본데이터_SK!M624,"YYYY-MM-DD"))</f>
        <v>2026-02-12</v>
      </c>
      <c r="D624" t="str">
        <f>원본데이터_SK!F624</f>
        <v>58481090</v>
      </c>
      <c r="E624" t="str">
        <f>IFERROR(VLOOKUP(원본데이터_SK!F624,채널매핑!$B:$D,3,0),"미매핑")</f>
        <v>미매핑</v>
      </c>
      <c r="F624">
        <f>IFERROR(VLOOKUP(원본데이터_SK!F624,채널매핑!$B:$E,4,0),1)</f>
        <v>1</v>
      </c>
      <c r="G624">
        <f>원본데이터_SK!Q624</f>
        <v>1</v>
      </c>
      <c r="H624">
        <f>원본데이터_SK!O624</f>
        <v>119000</v>
      </c>
      <c r="I624">
        <f>원본데이터_SK!AG624</f>
        <v>119000</v>
      </c>
      <c r="J624">
        <f>원본데이터_SK!AH624</f>
        <v>80920</v>
      </c>
      <c r="K624">
        <f>IFERROR(VLOOKUP(E624,제품마스터!$A:$B,2,0),0)</f>
        <v>0</v>
      </c>
      <c r="L624">
        <f>원본데이터_SK!Q624*원본데이터_SK!P624</f>
        <v>80920</v>
      </c>
    </row>
    <row r="625" spans="1:12" x14ac:dyDescent="0.3">
      <c r="A625" t="s">
        <v>11</v>
      </c>
      <c r="B625" t="str">
        <f>원본데이터_SK!D625</f>
        <v>20260210360094</v>
      </c>
      <c r="C625" t="str">
        <f>IF(원본데이터_SK!M625="","",TEXT(원본데이터_SK!M625,"YYYY-MM-DD"))</f>
        <v>2026-02-12</v>
      </c>
      <c r="D625" t="str">
        <f>원본데이터_SK!F625</f>
        <v>58481090</v>
      </c>
      <c r="E625" t="str">
        <f>IFERROR(VLOOKUP(원본데이터_SK!F625,채널매핑!$B:$D,3,0),"미매핑")</f>
        <v>미매핑</v>
      </c>
      <c r="F625">
        <f>IFERROR(VLOOKUP(원본데이터_SK!F625,채널매핑!$B:$E,4,0),1)</f>
        <v>1</v>
      </c>
      <c r="G625">
        <f>원본데이터_SK!Q625</f>
        <v>1</v>
      </c>
      <c r="H625">
        <f>원본데이터_SK!O625</f>
        <v>119000</v>
      </c>
      <c r="I625">
        <f>원본데이터_SK!AG625</f>
        <v>119000</v>
      </c>
      <c r="J625">
        <f>원본데이터_SK!AH625</f>
        <v>80920</v>
      </c>
      <c r="K625">
        <f>IFERROR(VLOOKUP(E625,제품마스터!$A:$B,2,0),0)</f>
        <v>0</v>
      </c>
      <c r="L625">
        <f>원본데이터_SK!Q625*원본데이터_SK!P625</f>
        <v>80920</v>
      </c>
    </row>
    <row r="626" spans="1:12" x14ac:dyDescent="0.3">
      <c r="A626" t="s">
        <v>11</v>
      </c>
      <c r="B626" t="str">
        <f>원본데이터_SK!D626</f>
        <v>20260210360523</v>
      </c>
      <c r="C626" t="str">
        <f>IF(원본데이터_SK!M626="","",TEXT(원본데이터_SK!M626,"YYYY-MM-DD"))</f>
        <v>2026-02-12</v>
      </c>
      <c r="D626" t="str">
        <f>원본데이터_SK!F626</f>
        <v>58481090</v>
      </c>
      <c r="E626" t="str">
        <f>IFERROR(VLOOKUP(원본데이터_SK!F626,채널매핑!$B:$D,3,0),"미매핑")</f>
        <v>미매핑</v>
      </c>
      <c r="F626">
        <f>IFERROR(VLOOKUP(원본데이터_SK!F626,채널매핑!$B:$E,4,0),1)</f>
        <v>1</v>
      </c>
      <c r="G626">
        <f>원본데이터_SK!Q626</f>
        <v>1</v>
      </c>
      <c r="H626">
        <f>원본데이터_SK!O626</f>
        <v>119000</v>
      </c>
      <c r="I626">
        <f>원본데이터_SK!AG626</f>
        <v>109000</v>
      </c>
      <c r="J626">
        <f>원본데이터_SK!AH626</f>
        <v>80920</v>
      </c>
      <c r="K626">
        <f>IFERROR(VLOOKUP(E626,제품마스터!$A:$B,2,0),0)</f>
        <v>0</v>
      </c>
      <c r="L626">
        <f>원본데이터_SK!Q626*원본데이터_SK!P626</f>
        <v>80920</v>
      </c>
    </row>
    <row r="627" spans="1:12" x14ac:dyDescent="0.3">
      <c r="A627" t="s">
        <v>11</v>
      </c>
      <c r="B627" t="str">
        <f>원본데이터_SK!D627</f>
        <v>20260210360229</v>
      </c>
      <c r="C627" t="str">
        <f>IF(원본데이터_SK!M627="","",TEXT(원본데이터_SK!M627,"YYYY-MM-DD"))</f>
        <v>2026-02-12</v>
      </c>
      <c r="D627" t="str">
        <f>원본데이터_SK!F627</f>
        <v>58481090</v>
      </c>
      <c r="E627" t="str">
        <f>IFERROR(VLOOKUP(원본데이터_SK!F627,채널매핑!$B:$D,3,0),"미매핑")</f>
        <v>미매핑</v>
      </c>
      <c r="F627">
        <f>IFERROR(VLOOKUP(원본데이터_SK!F627,채널매핑!$B:$E,4,0),1)</f>
        <v>1</v>
      </c>
      <c r="G627">
        <f>원본데이터_SK!Q627</f>
        <v>1</v>
      </c>
      <c r="H627">
        <f>원본데이터_SK!O627</f>
        <v>119000</v>
      </c>
      <c r="I627">
        <f>원본데이터_SK!AG627</f>
        <v>119000</v>
      </c>
      <c r="J627">
        <f>원본데이터_SK!AH627</f>
        <v>80920</v>
      </c>
      <c r="K627">
        <f>IFERROR(VLOOKUP(E627,제품마스터!$A:$B,2,0),0)</f>
        <v>0</v>
      </c>
      <c r="L627">
        <f>원본데이터_SK!Q627*원본데이터_SK!P627</f>
        <v>80920</v>
      </c>
    </row>
    <row r="628" spans="1:12" x14ac:dyDescent="0.3">
      <c r="A628" t="s">
        <v>11</v>
      </c>
      <c r="B628" t="str">
        <f>원본데이터_SK!D628</f>
        <v>20260205993517</v>
      </c>
      <c r="C628" t="str">
        <f>IF(원본데이터_SK!M628="","",TEXT(원본데이터_SK!M628,"YYYY-MM-DD"))</f>
        <v>2026-02-12</v>
      </c>
      <c r="D628" t="str">
        <f>원본데이터_SK!F628</f>
        <v>58481090</v>
      </c>
      <c r="E628" t="str">
        <f>IFERROR(VLOOKUP(원본데이터_SK!F628,채널매핑!$B:$D,3,0),"미매핑")</f>
        <v>미매핑</v>
      </c>
      <c r="F628">
        <f>IFERROR(VLOOKUP(원본데이터_SK!F628,채널매핑!$B:$E,4,0),1)</f>
        <v>1</v>
      </c>
      <c r="G628">
        <f>원본데이터_SK!Q628</f>
        <v>1</v>
      </c>
      <c r="H628">
        <f>원본데이터_SK!O628</f>
        <v>119000</v>
      </c>
      <c r="I628">
        <f>원본데이터_SK!AG628</f>
        <v>109000</v>
      </c>
      <c r="J628">
        <f>원본데이터_SK!AH628</f>
        <v>82110</v>
      </c>
      <c r="K628">
        <f>IFERROR(VLOOKUP(E628,제품마스터!$A:$B,2,0),0)</f>
        <v>0</v>
      </c>
      <c r="L628">
        <f>원본데이터_SK!Q628*원본데이터_SK!P628</f>
        <v>82110</v>
      </c>
    </row>
    <row r="629" spans="1:12" x14ac:dyDescent="0.3">
      <c r="A629" t="s">
        <v>11</v>
      </c>
      <c r="B629" t="str">
        <f>원본데이터_SK!D629</f>
        <v>20260210361686</v>
      </c>
      <c r="C629" t="str">
        <f>IF(원본데이터_SK!M629="","",TEXT(원본데이터_SK!M629,"YYYY-MM-DD"))</f>
        <v>2026-02-12</v>
      </c>
      <c r="D629" t="str">
        <f>원본데이터_SK!F629</f>
        <v>58481090</v>
      </c>
      <c r="E629" t="str">
        <f>IFERROR(VLOOKUP(원본데이터_SK!F629,채널매핑!$B:$D,3,0),"미매핑")</f>
        <v>미매핑</v>
      </c>
      <c r="F629">
        <f>IFERROR(VLOOKUP(원본데이터_SK!F629,채널매핑!$B:$E,4,0),1)</f>
        <v>1</v>
      </c>
      <c r="G629">
        <f>원본데이터_SK!Q629</f>
        <v>1</v>
      </c>
      <c r="H629">
        <f>원본데이터_SK!O629</f>
        <v>119000</v>
      </c>
      <c r="I629">
        <f>원본데이터_SK!AG629</f>
        <v>119000</v>
      </c>
      <c r="J629">
        <f>원본데이터_SK!AH629</f>
        <v>80920</v>
      </c>
      <c r="K629">
        <f>IFERROR(VLOOKUP(E629,제품마스터!$A:$B,2,0),0)</f>
        <v>0</v>
      </c>
      <c r="L629">
        <f>원본데이터_SK!Q629*원본데이터_SK!P629</f>
        <v>80920</v>
      </c>
    </row>
    <row r="630" spans="1:12" x14ac:dyDescent="0.3">
      <c r="A630" t="s">
        <v>11</v>
      </c>
      <c r="B630" t="str">
        <f>원본데이터_SK!D630</f>
        <v>20260210362230</v>
      </c>
      <c r="C630" t="str">
        <f>IF(원본데이터_SK!M630="","",TEXT(원본데이터_SK!M630,"YYYY-MM-DD"))</f>
        <v>2026-02-12</v>
      </c>
      <c r="D630" t="str">
        <f>원본데이터_SK!F630</f>
        <v>58481090</v>
      </c>
      <c r="E630" t="str">
        <f>IFERROR(VLOOKUP(원본데이터_SK!F630,채널매핑!$B:$D,3,0),"미매핑")</f>
        <v>미매핑</v>
      </c>
      <c r="F630">
        <f>IFERROR(VLOOKUP(원본데이터_SK!F630,채널매핑!$B:$E,4,0),1)</f>
        <v>1</v>
      </c>
      <c r="G630">
        <f>원본데이터_SK!Q630</f>
        <v>1</v>
      </c>
      <c r="H630">
        <f>원본데이터_SK!O630</f>
        <v>119000</v>
      </c>
      <c r="I630">
        <f>원본데이터_SK!AG630</f>
        <v>119000</v>
      </c>
      <c r="J630">
        <f>원본데이터_SK!AH630</f>
        <v>80920</v>
      </c>
      <c r="K630">
        <f>IFERROR(VLOOKUP(E630,제품마스터!$A:$B,2,0),0)</f>
        <v>0</v>
      </c>
      <c r="L630">
        <f>원본데이터_SK!Q630*원본데이터_SK!P630</f>
        <v>80920</v>
      </c>
    </row>
    <row r="631" spans="1:12" x14ac:dyDescent="0.3">
      <c r="A631" t="s">
        <v>11</v>
      </c>
      <c r="B631" t="str">
        <f>원본데이터_SK!D631</f>
        <v>20260210362386</v>
      </c>
      <c r="C631" t="str">
        <f>IF(원본데이터_SK!M631="","",TEXT(원본데이터_SK!M631,"YYYY-MM-DD"))</f>
        <v>2026-02-12</v>
      </c>
      <c r="D631" t="str">
        <f>원본데이터_SK!F631</f>
        <v>58481090</v>
      </c>
      <c r="E631" t="str">
        <f>IFERROR(VLOOKUP(원본데이터_SK!F631,채널매핑!$B:$D,3,0),"미매핑")</f>
        <v>미매핑</v>
      </c>
      <c r="F631">
        <f>IFERROR(VLOOKUP(원본데이터_SK!F631,채널매핑!$B:$E,4,0),1)</f>
        <v>1</v>
      </c>
      <c r="G631">
        <f>원본데이터_SK!Q631</f>
        <v>1</v>
      </c>
      <c r="H631">
        <f>원본데이터_SK!O631</f>
        <v>119000</v>
      </c>
      <c r="I631">
        <f>원본데이터_SK!AG631</f>
        <v>119000</v>
      </c>
      <c r="J631">
        <f>원본데이터_SK!AH631</f>
        <v>80920</v>
      </c>
      <c r="K631">
        <f>IFERROR(VLOOKUP(E631,제품마스터!$A:$B,2,0),0)</f>
        <v>0</v>
      </c>
      <c r="L631">
        <f>원본데이터_SK!Q631*원본데이터_SK!P631</f>
        <v>80920</v>
      </c>
    </row>
    <row r="632" spans="1:12" x14ac:dyDescent="0.3">
      <c r="A632" t="s">
        <v>11</v>
      </c>
      <c r="B632" t="str">
        <f>원본데이터_SK!D632</f>
        <v>20260210360765</v>
      </c>
      <c r="C632" t="str">
        <f>IF(원본데이터_SK!M632="","",TEXT(원본데이터_SK!M632,"YYYY-MM-DD"))</f>
        <v>2026-02-12</v>
      </c>
      <c r="D632" t="str">
        <f>원본데이터_SK!F632</f>
        <v>58481090</v>
      </c>
      <c r="E632" t="str">
        <f>IFERROR(VLOOKUP(원본데이터_SK!F632,채널매핑!$B:$D,3,0),"미매핑")</f>
        <v>미매핑</v>
      </c>
      <c r="F632">
        <f>IFERROR(VLOOKUP(원본데이터_SK!F632,채널매핑!$B:$E,4,0),1)</f>
        <v>1</v>
      </c>
      <c r="G632">
        <f>원본데이터_SK!Q632</f>
        <v>1</v>
      </c>
      <c r="H632">
        <f>원본데이터_SK!O632</f>
        <v>119000</v>
      </c>
      <c r="I632">
        <f>원본데이터_SK!AG632</f>
        <v>119000</v>
      </c>
      <c r="J632">
        <f>원본데이터_SK!AH632</f>
        <v>80920</v>
      </c>
      <c r="K632">
        <f>IFERROR(VLOOKUP(E632,제품마스터!$A:$B,2,0),0)</f>
        <v>0</v>
      </c>
      <c r="L632">
        <f>원본데이터_SK!Q632*원본데이터_SK!P632</f>
        <v>80920</v>
      </c>
    </row>
    <row r="633" spans="1:12" x14ac:dyDescent="0.3">
      <c r="A633" t="s">
        <v>11</v>
      </c>
      <c r="B633" t="str">
        <f>원본데이터_SK!D633</f>
        <v>20260210362168</v>
      </c>
      <c r="C633" t="str">
        <f>IF(원본데이터_SK!M633="","",TEXT(원본데이터_SK!M633,"YYYY-MM-DD"))</f>
        <v>2026-02-12</v>
      </c>
      <c r="D633" t="str">
        <f>원본데이터_SK!F633</f>
        <v>58481090</v>
      </c>
      <c r="E633" t="str">
        <f>IFERROR(VLOOKUP(원본데이터_SK!F633,채널매핑!$B:$D,3,0),"미매핑")</f>
        <v>미매핑</v>
      </c>
      <c r="F633">
        <f>IFERROR(VLOOKUP(원본데이터_SK!F633,채널매핑!$B:$E,4,0),1)</f>
        <v>1</v>
      </c>
      <c r="G633">
        <f>원본데이터_SK!Q633</f>
        <v>1</v>
      </c>
      <c r="H633">
        <f>원본데이터_SK!O633</f>
        <v>119000</v>
      </c>
      <c r="I633">
        <f>원본데이터_SK!AG633</f>
        <v>119000</v>
      </c>
      <c r="J633">
        <f>원본데이터_SK!AH633</f>
        <v>80920</v>
      </c>
      <c r="K633">
        <f>IFERROR(VLOOKUP(E633,제품마스터!$A:$B,2,0),0)</f>
        <v>0</v>
      </c>
      <c r="L633">
        <f>원본데이터_SK!Q633*원본데이터_SK!P633</f>
        <v>80920</v>
      </c>
    </row>
    <row r="634" spans="1:12" x14ac:dyDescent="0.3">
      <c r="A634" t="s">
        <v>11</v>
      </c>
      <c r="B634" t="str">
        <f>원본데이터_SK!D634</f>
        <v>20260210362117</v>
      </c>
      <c r="C634" t="str">
        <f>IF(원본데이터_SK!M634="","",TEXT(원본데이터_SK!M634,"YYYY-MM-DD"))</f>
        <v>2026-02-12</v>
      </c>
      <c r="D634" t="str">
        <f>원본데이터_SK!F634</f>
        <v>58481090</v>
      </c>
      <c r="E634" t="str">
        <f>IFERROR(VLOOKUP(원본데이터_SK!F634,채널매핑!$B:$D,3,0),"미매핑")</f>
        <v>미매핑</v>
      </c>
      <c r="F634">
        <f>IFERROR(VLOOKUP(원본데이터_SK!F634,채널매핑!$B:$E,4,0),1)</f>
        <v>1</v>
      </c>
      <c r="G634">
        <f>원본데이터_SK!Q634</f>
        <v>1</v>
      </c>
      <c r="H634">
        <f>원본데이터_SK!O634</f>
        <v>119000</v>
      </c>
      <c r="I634">
        <f>원본데이터_SK!AG634</f>
        <v>119000</v>
      </c>
      <c r="J634">
        <f>원본데이터_SK!AH634</f>
        <v>80920</v>
      </c>
      <c r="K634">
        <f>IFERROR(VLOOKUP(E634,제품마스터!$A:$B,2,0),0)</f>
        <v>0</v>
      </c>
      <c r="L634">
        <f>원본데이터_SK!Q634*원본데이터_SK!P634</f>
        <v>80920</v>
      </c>
    </row>
    <row r="635" spans="1:12" x14ac:dyDescent="0.3">
      <c r="A635" t="s">
        <v>11</v>
      </c>
      <c r="B635" t="str">
        <f>원본데이터_SK!D635</f>
        <v>20260210360966</v>
      </c>
      <c r="C635" t="str">
        <f>IF(원본데이터_SK!M635="","",TEXT(원본데이터_SK!M635,"YYYY-MM-DD"))</f>
        <v>2026-02-12</v>
      </c>
      <c r="D635" t="str">
        <f>원본데이터_SK!F635</f>
        <v>58481090</v>
      </c>
      <c r="E635" t="str">
        <f>IFERROR(VLOOKUP(원본데이터_SK!F635,채널매핑!$B:$D,3,0),"미매핑")</f>
        <v>미매핑</v>
      </c>
      <c r="F635">
        <f>IFERROR(VLOOKUP(원본데이터_SK!F635,채널매핑!$B:$E,4,0),1)</f>
        <v>1</v>
      </c>
      <c r="G635">
        <f>원본데이터_SK!Q635</f>
        <v>1</v>
      </c>
      <c r="H635">
        <f>원본데이터_SK!O635</f>
        <v>119000</v>
      </c>
      <c r="I635">
        <f>원본데이터_SK!AG635</f>
        <v>119000</v>
      </c>
      <c r="J635">
        <f>원본데이터_SK!AH635</f>
        <v>80920</v>
      </c>
      <c r="K635">
        <f>IFERROR(VLOOKUP(E635,제품마스터!$A:$B,2,0),0)</f>
        <v>0</v>
      </c>
      <c r="L635">
        <f>원본데이터_SK!Q635*원본데이터_SK!P635</f>
        <v>80920</v>
      </c>
    </row>
    <row r="636" spans="1:12" x14ac:dyDescent="0.3">
      <c r="A636" t="s">
        <v>11</v>
      </c>
      <c r="B636" t="str">
        <f>원본데이터_SK!D636</f>
        <v>20260210360823</v>
      </c>
      <c r="C636" t="str">
        <f>IF(원본데이터_SK!M636="","",TEXT(원본데이터_SK!M636,"YYYY-MM-DD"))</f>
        <v>2026-02-12</v>
      </c>
      <c r="D636" t="str">
        <f>원본데이터_SK!F636</f>
        <v>58481090</v>
      </c>
      <c r="E636" t="str">
        <f>IFERROR(VLOOKUP(원본데이터_SK!F636,채널매핑!$B:$D,3,0),"미매핑")</f>
        <v>미매핑</v>
      </c>
      <c r="F636">
        <f>IFERROR(VLOOKUP(원본데이터_SK!F636,채널매핑!$B:$E,4,0),1)</f>
        <v>1</v>
      </c>
      <c r="G636">
        <f>원본데이터_SK!Q636</f>
        <v>1</v>
      </c>
      <c r="H636">
        <f>원본데이터_SK!O636</f>
        <v>119000</v>
      </c>
      <c r="I636">
        <f>원본데이터_SK!AG636</f>
        <v>119000</v>
      </c>
      <c r="J636">
        <f>원본데이터_SK!AH636</f>
        <v>80920</v>
      </c>
      <c r="K636">
        <f>IFERROR(VLOOKUP(E636,제품마스터!$A:$B,2,0),0)</f>
        <v>0</v>
      </c>
      <c r="L636">
        <f>원본데이터_SK!Q636*원본데이터_SK!P636</f>
        <v>80920</v>
      </c>
    </row>
    <row r="637" spans="1:12" x14ac:dyDescent="0.3">
      <c r="A637" t="s">
        <v>11</v>
      </c>
      <c r="B637" t="str">
        <f>원본데이터_SK!D637</f>
        <v>20260210361576</v>
      </c>
      <c r="C637" t="str">
        <f>IF(원본데이터_SK!M637="","",TEXT(원본데이터_SK!M637,"YYYY-MM-DD"))</f>
        <v>2026-02-12</v>
      </c>
      <c r="D637" t="str">
        <f>원본데이터_SK!F637</f>
        <v>58481090</v>
      </c>
      <c r="E637" t="str">
        <f>IFERROR(VLOOKUP(원본데이터_SK!F637,채널매핑!$B:$D,3,0),"미매핑")</f>
        <v>미매핑</v>
      </c>
      <c r="F637">
        <f>IFERROR(VLOOKUP(원본데이터_SK!F637,채널매핑!$B:$E,4,0),1)</f>
        <v>1</v>
      </c>
      <c r="G637">
        <f>원본데이터_SK!Q637</f>
        <v>1</v>
      </c>
      <c r="H637">
        <f>원본데이터_SK!O637</f>
        <v>119000</v>
      </c>
      <c r="I637">
        <f>원본데이터_SK!AG637</f>
        <v>119000</v>
      </c>
      <c r="J637">
        <f>원본데이터_SK!AH637</f>
        <v>80920</v>
      </c>
      <c r="K637">
        <f>IFERROR(VLOOKUP(E637,제품마스터!$A:$B,2,0),0)</f>
        <v>0</v>
      </c>
      <c r="L637">
        <f>원본데이터_SK!Q637*원본데이터_SK!P637</f>
        <v>80920</v>
      </c>
    </row>
    <row r="638" spans="1:12" x14ac:dyDescent="0.3">
      <c r="A638" t="s">
        <v>11</v>
      </c>
      <c r="B638" t="str">
        <f>원본데이터_SK!D638</f>
        <v>20260210360962</v>
      </c>
      <c r="C638" t="str">
        <f>IF(원본데이터_SK!M638="","",TEXT(원본데이터_SK!M638,"YYYY-MM-DD"))</f>
        <v>2026-02-12</v>
      </c>
      <c r="D638" t="str">
        <f>원본데이터_SK!F638</f>
        <v>58481090</v>
      </c>
      <c r="E638" t="str">
        <f>IFERROR(VLOOKUP(원본데이터_SK!F638,채널매핑!$B:$D,3,0),"미매핑")</f>
        <v>미매핑</v>
      </c>
      <c r="F638">
        <f>IFERROR(VLOOKUP(원본데이터_SK!F638,채널매핑!$B:$E,4,0),1)</f>
        <v>1</v>
      </c>
      <c r="G638">
        <f>원본데이터_SK!Q638</f>
        <v>1</v>
      </c>
      <c r="H638">
        <f>원본데이터_SK!O638</f>
        <v>119000</v>
      </c>
      <c r="I638">
        <f>원본데이터_SK!AG638</f>
        <v>119000</v>
      </c>
      <c r="J638">
        <f>원본데이터_SK!AH638</f>
        <v>80920</v>
      </c>
      <c r="K638">
        <f>IFERROR(VLOOKUP(E638,제품마스터!$A:$B,2,0),0)</f>
        <v>0</v>
      </c>
      <c r="L638">
        <f>원본데이터_SK!Q638*원본데이터_SK!P638</f>
        <v>80920</v>
      </c>
    </row>
    <row r="639" spans="1:12" x14ac:dyDescent="0.3">
      <c r="A639" t="s">
        <v>11</v>
      </c>
      <c r="B639" t="str">
        <f>원본데이터_SK!D639</f>
        <v>20260210361691</v>
      </c>
      <c r="C639" t="str">
        <f>IF(원본데이터_SK!M639="","",TEXT(원본데이터_SK!M639,"YYYY-MM-DD"))</f>
        <v>2026-02-12</v>
      </c>
      <c r="D639" t="str">
        <f>원본데이터_SK!F639</f>
        <v>58481090</v>
      </c>
      <c r="E639" t="str">
        <f>IFERROR(VLOOKUP(원본데이터_SK!F639,채널매핑!$B:$D,3,0),"미매핑")</f>
        <v>미매핑</v>
      </c>
      <c r="F639">
        <f>IFERROR(VLOOKUP(원본데이터_SK!F639,채널매핑!$B:$E,4,0),1)</f>
        <v>1</v>
      </c>
      <c r="G639">
        <f>원본데이터_SK!Q639</f>
        <v>1</v>
      </c>
      <c r="H639">
        <f>원본데이터_SK!O639</f>
        <v>119000</v>
      </c>
      <c r="I639">
        <f>원본데이터_SK!AG639</f>
        <v>119000</v>
      </c>
      <c r="J639">
        <f>원본데이터_SK!AH639</f>
        <v>80920</v>
      </c>
      <c r="K639">
        <f>IFERROR(VLOOKUP(E639,제품마스터!$A:$B,2,0),0)</f>
        <v>0</v>
      </c>
      <c r="L639">
        <f>원본데이터_SK!Q639*원본데이터_SK!P639</f>
        <v>80920</v>
      </c>
    </row>
    <row r="640" spans="1:12" x14ac:dyDescent="0.3">
      <c r="A640" t="s">
        <v>11</v>
      </c>
      <c r="B640" t="str">
        <f>원본데이터_SK!D640</f>
        <v>20260210362134</v>
      </c>
      <c r="C640" t="str">
        <f>IF(원본데이터_SK!M640="","",TEXT(원본데이터_SK!M640,"YYYY-MM-DD"))</f>
        <v>2026-02-12</v>
      </c>
      <c r="D640" t="str">
        <f>원본데이터_SK!F640</f>
        <v>58481090</v>
      </c>
      <c r="E640" t="str">
        <f>IFERROR(VLOOKUP(원본데이터_SK!F640,채널매핑!$B:$D,3,0),"미매핑")</f>
        <v>미매핑</v>
      </c>
      <c r="F640">
        <f>IFERROR(VLOOKUP(원본데이터_SK!F640,채널매핑!$B:$E,4,0),1)</f>
        <v>1</v>
      </c>
      <c r="G640">
        <f>원본데이터_SK!Q640</f>
        <v>1</v>
      </c>
      <c r="H640">
        <f>원본데이터_SK!O640</f>
        <v>119000</v>
      </c>
      <c r="I640">
        <f>원본데이터_SK!AG640</f>
        <v>108300</v>
      </c>
      <c r="J640">
        <f>원본데이터_SK!AH640</f>
        <v>80920</v>
      </c>
      <c r="K640">
        <f>IFERROR(VLOOKUP(E640,제품마스터!$A:$B,2,0),0)</f>
        <v>0</v>
      </c>
      <c r="L640">
        <f>원본데이터_SK!Q640*원본데이터_SK!P640</f>
        <v>80920</v>
      </c>
    </row>
    <row r="641" spans="1:12" x14ac:dyDescent="0.3">
      <c r="A641" t="s">
        <v>11</v>
      </c>
      <c r="B641" t="str">
        <f>원본데이터_SK!D641</f>
        <v>20260210361690</v>
      </c>
      <c r="C641" t="str">
        <f>IF(원본데이터_SK!M641="","",TEXT(원본데이터_SK!M641,"YYYY-MM-DD"))</f>
        <v>2026-02-12</v>
      </c>
      <c r="D641" t="str">
        <f>원본데이터_SK!F641</f>
        <v>58481090</v>
      </c>
      <c r="E641" t="str">
        <f>IFERROR(VLOOKUP(원본데이터_SK!F641,채널매핑!$B:$D,3,0),"미매핑")</f>
        <v>미매핑</v>
      </c>
      <c r="F641">
        <f>IFERROR(VLOOKUP(원본데이터_SK!F641,채널매핑!$B:$E,4,0),1)</f>
        <v>1</v>
      </c>
      <c r="G641">
        <f>원본데이터_SK!Q641</f>
        <v>1</v>
      </c>
      <c r="H641">
        <f>원본데이터_SK!O641</f>
        <v>119000</v>
      </c>
      <c r="I641">
        <f>원본데이터_SK!AG641</f>
        <v>119000</v>
      </c>
      <c r="J641">
        <f>원본데이터_SK!AH641</f>
        <v>80920</v>
      </c>
      <c r="K641">
        <f>IFERROR(VLOOKUP(E641,제품마스터!$A:$B,2,0),0)</f>
        <v>0</v>
      </c>
      <c r="L641">
        <f>원본데이터_SK!Q641*원본데이터_SK!P641</f>
        <v>80920</v>
      </c>
    </row>
    <row r="642" spans="1:12" x14ac:dyDescent="0.3">
      <c r="A642" t="s">
        <v>11</v>
      </c>
      <c r="B642" t="str">
        <f>원본데이터_SK!D642</f>
        <v>20260210361261</v>
      </c>
      <c r="C642" t="str">
        <f>IF(원본데이터_SK!M642="","",TEXT(원본데이터_SK!M642,"YYYY-MM-DD"))</f>
        <v>2026-02-12</v>
      </c>
      <c r="D642" t="str">
        <f>원본데이터_SK!F642</f>
        <v>58481090</v>
      </c>
      <c r="E642" t="str">
        <f>IFERROR(VLOOKUP(원본데이터_SK!F642,채널매핑!$B:$D,3,0),"미매핑")</f>
        <v>미매핑</v>
      </c>
      <c r="F642">
        <f>IFERROR(VLOOKUP(원본데이터_SK!F642,채널매핑!$B:$E,4,0),1)</f>
        <v>1</v>
      </c>
      <c r="G642">
        <f>원본데이터_SK!Q642</f>
        <v>1</v>
      </c>
      <c r="H642">
        <f>원본데이터_SK!O642</f>
        <v>119000</v>
      </c>
      <c r="I642">
        <f>원본데이터_SK!AG642</f>
        <v>119000</v>
      </c>
      <c r="J642">
        <f>원본데이터_SK!AH642</f>
        <v>80920</v>
      </c>
      <c r="K642">
        <f>IFERROR(VLOOKUP(E642,제품마스터!$A:$B,2,0),0)</f>
        <v>0</v>
      </c>
      <c r="L642">
        <f>원본데이터_SK!Q642*원본데이터_SK!P642</f>
        <v>80920</v>
      </c>
    </row>
    <row r="643" spans="1:12" x14ac:dyDescent="0.3">
      <c r="A643" t="s">
        <v>11</v>
      </c>
      <c r="B643" t="str">
        <f>원본데이터_SK!D643</f>
        <v>20260210361855</v>
      </c>
      <c r="C643" t="str">
        <f>IF(원본데이터_SK!M643="","",TEXT(원본데이터_SK!M643,"YYYY-MM-DD"))</f>
        <v>2026-02-12</v>
      </c>
      <c r="D643" t="str">
        <f>원본데이터_SK!F643</f>
        <v>58481090</v>
      </c>
      <c r="E643" t="str">
        <f>IFERROR(VLOOKUP(원본데이터_SK!F643,채널매핑!$B:$D,3,0),"미매핑")</f>
        <v>미매핑</v>
      </c>
      <c r="F643">
        <f>IFERROR(VLOOKUP(원본데이터_SK!F643,채널매핑!$B:$E,4,0),1)</f>
        <v>1</v>
      </c>
      <c r="G643">
        <f>원본데이터_SK!Q643</f>
        <v>1</v>
      </c>
      <c r="H643">
        <f>원본데이터_SK!O643</f>
        <v>119000</v>
      </c>
      <c r="I643">
        <f>원본데이터_SK!AG643</f>
        <v>119000</v>
      </c>
      <c r="J643">
        <f>원본데이터_SK!AH643</f>
        <v>80920</v>
      </c>
      <c r="K643">
        <f>IFERROR(VLOOKUP(E643,제품마스터!$A:$B,2,0),0)</f>
        <v>0</v>
      </c>
      <c r="L643">
        <f>원본데이터_SK!Q643*원본데이터_SK!P643</f>
        <v>80920</v>
      </c>
    </row>
    <row r="644" spans="1:12" x14ac:dyDescent="0.3">
      <c r="A644" t="s">
        <v>11</v>
      </c>
      <c r="B644" t="str">
        <f>원본데이터_SK!D644</f>
        <v>20260210360736</v>
      </c>
      <c r="C644" t="str">
        <f>IF(원본데이터_SK!M644="","",TEXT(원본데이터_SK!M644,"YYYY-MM-DD"))</f>
        <v>2026-02-12</v>
      </c>
      <c r="D644" t="str">
        <f>원본데이터_SK!F644</f>
        <v>58481090</v>
      </c>
      <c r="E644" t="str">
        <f>IFERROR(VLOOKUP(원본데이터_SK!F644,채널매핑!$B:$D,3,0),"미매핑")</f>
        <v>미매핑</v>
      </c>
      <c r="F644">
        <f>IFERROR(VLOOKUP(원본데이터_SK!F644,채널매핑!$B:$E,4,0),1)</f>
        <v>1</v>
      </c>
      <c r="G644">
        <f>원본데이터_SK!Q644</f>
        <v>1</v>
      </c>
      <c r="H644">
        <f>원본데이터_SK!O644</f>
        <v>119000</v>
      </c>
      <c r="I644">
        <f>원본데이터_SK!AG644</f>
        <v>113050</v>
      </c>
      <c r="J644">
        <f>원본데이터_SK!AH644</f>
        <v>80920</v>
      </c>
      <c r="K644">
        <f>IFERROR(VLOOKUP(E644,제품마스터!$A:$B,2,0),0)</f>
        <v>0</v>
      </c>
      <c r="L644">
        <f>원본데이터_SK!Q644*원본데이터_SK!P644</f>
        <v>80920</v>
      </c>
    </row>
    <row r="645" spans="1:12" x14ac:dyDescent="0.3">
      <c r="A645" t="s">
        <v>11</v>
      </c>
      <c r="B645" t="str">
        <f>원본데이터_SK!D645</f>
        <v>20260205994812</v>
      </c>
      <c r="C645" t="str">
        <f>IF(원본데이터_SK!M645="","",TEXT(원본데이터_SK!M645,"YYYY-MM-DD"))</f>
        <v>2026-02-12</v>
      </c>
      <c r="D645" t="str">
        <f>원본데이터_SK!F645</f>
        <v>58481090</v>
      </c>
      <c r="E645" t="str">
        <f>IFERROR(VLOOKUP(원본데이터_SK!F645,채널매핑!$B:$D,3,0),"미매핑")</f>
        <v>미매핑</v>
      </c>
      <c r="F645">
        <f>IFERROR(VLOOKUP(원본데이터_SK!F645,채널매핑!$B:$E,4,0),1)</f>
        <v>1</v>
      </c>
      <c r="G645">
        <f>원본데이터_SK!Q645</f>
        <v>1</v>
      </c>
      <c r="H645">
        <f>원본데이터_SK!O645</f>
        <v>119000</v>
      </c>
      <c r="I645">
        <f>원본데이터_SK!AG645</f>
        <v>119000</v>
      </c>
      <c r="J645">
        <f>원본데이터_SK!AH645</f>
        <v>82110</v>
      </c>
      <c r="K645">
        <f>IFERROR(VLOOKUP(E645,제품마스터!$A:$B,2,0),0)</f>
        <v>0</v>
      </c>
      <c r="L645">
        <f>원본데이터_SK!Q645*원본데이터_SK!P645</f>
        <v>82110</v>
      </c>
    </row>
    <row r="646" spans="1:12" x14ac:dyDescent="0.3">
      <c r="A646" t="s">
        <v>11</v>
      </c>
      <c r="B646" t="str">
        <f>원본데이터_SK!D646</f>
        <v>20260210360424</v>
      </c>
      <c r="C646" t="str">
        <f>IF(원본데이터_SK!M646="","",TEXT(원본데이터_SK!M646,"YYYY-MM-DD"))</f>
        <v>2026-02-12</v>
      </c>
      <c r="D646" t="str">
        <f>원본데이터_SK!F646</f>
        <v>58481090</v>
      </c>
      <c r="E646" t="str">
        <f>IFERROR(VLOOKUP(원본데이터_SK!F646,채널매핑!$B:$D,3,0),"미매핑")</f>
        <v>미매핑</v>
      </c>
      <c r="F646">
        <f>IFERROR(VLOOKUP(원본데이터_SK!F646,채널매핑!$B:$E,4,0),1)</f>
        <v>1</v>
      </c>
      <c r="G646">
        <f>원본데이터_SK!Q646</f>
        <v>2</v>
      </c>
      <c r="H646">
        <f>원본데이터_SK!O646</f>
        <v>119000</v>
      </c>
      <c r="I646">
        <f>원본데이터_SK!AG646</f>
        <v>238000</v>
      </c>
      <c r="J646">
        <f>원본데이터_SK!AH646</f>
        <v>161840</v>
      </c>
      <c r="K646">
        <f>IFERROR(VLOOKUP(E646,제품마스터!$A:$B,2,0),0)</f>
        <v>0</v>
      </c>
      <c r="L646">
        <f>원본데이터_SK!Q646*원본데이터_SK!P646</f>
        <v>161840</v>
      </c>
    </row>
    <row r="647" spans="1:12" x14ac:dyDescent="0.3">
      <c r="A647" t="s">
        <v>11</v>
      </c>
      <c r="B647" t="str">
        <f>원본데이터_SK!D647</f>
        <v>20260210361466</v>
      </c>
      <c r="C647" t="str">
        <f>IF(원본데이터_SK!M647="","",TEXT(원본데이터_SK!M647,"YYYY-MM-DD"))</f>
        <v>2026-02-12</v>
      </c>
      <c r="D647" t="str">
        <f>원본데이터_SK!F647</f>
        <v>58481090</v>
      </c>
      <c r="E647" t="str">
        <f>IFERROR(VLOOKUP(원본데이터_SK!F647,채널매핑!$B:$D,3,0),"미매핑")</f>
        <v>미매핑</v>
      </c>
      <c r="F647">
        <f>IFERROR(VLOOKUP(원본데이터_SK!F647,채널매핑!$B:$E,4,0),1)</f>
        <v>1</v>
      </c>
      <c r="G647">
        <f>원본데이터_SK!Q647</f>
        <v>1</v>
      </c>
      <c r="H647">
        <f>원본데이터_SK!O647</f>
        <v>119000</v>
      </c>
      <c r="I647">
        <f>원본데이터_SK!AG647</f>
        <v>113050</v>
      </c>
      <c r="J647">
        <f>원본데이터_SK!AH647</f>
        <v>80920</v>
      </c>
      <c r="K647">
        <f>IFERROR(VLOOKUP(E647,제품마스터!$A:$B,2,0),0)</f>
        <v>0</v>
      </c>
      <c r="L647">
        <f>원본데이터_SK!Q647*원본데이터_SK!P647</f>
        <v>80920</v>
      </c>
    </row>
    <row r="648" spans="1:12" x14ac:dyDescent="0.3">
      <c r="A648" t="s">
        <v>11</v>
      </c>
      <c r="B648" t="str">
        <f>원본데이터_SK!D648</f>
        <v>20260210360877</v>
      </c>
      <c r="C648" t="str">
        <f>IF(원본데이터_SK!M648="","",TEXT(원본데이터_SK!M648,"YYYY-MM-DD"))</f>
        <v>2026-02-12</v>
      </c>
      <c r="D648" t="str">
        <f>원본데이터_SK!F648</f>
        <v>58481090</v>
      </c>
      <c r="E648" t="str">
        <f>IFERROR(VLOOKUP(원본데이터_SK!F648,채널매핑!$B:$D,3,0),"미매핑")</f>
        <v>미매핑</v>
      </c>
      <c r="F648">
        <f>IFERROR(VLOOKUP(원본데이터_SK!F648,채널매핑!$B:$E,4,0),1)</f>
        <v>1</v>
      </c>
      <c r="G648">
        <f>원본데이터_SK!Q648</f>
        <v>1</v>
      </c>
      <c r="H648">
        <f>원본데이터_SK!O648</f>
        <v>119000</v>
      </c>
      <c r="I648">
        <f>원본데이터_SK!AG648</f>
        <v>119000</v>
      </c>
      <c r="J648">
        <f>원본데이터_SK!AH648</f>
        <v>80920</v>
      </c>
      <c r="K648">
        <f>IFERROR(VLOOKUP(E648,제품마스터!$A:$B,2,0),0)</f>
        <v>0</v>
      </c>
      <c r="L648">
        <f>원본데이터_SK!Q648*원본데이터_SK!P648</f>
        <v>80920</v>
      </c>
    </row>
    <row r="649" spans="1:12" x14ac:dyDescent="0.3">
      <c r="A649" t="s">
        <v>11</v>
      </c>
      <c r="B649" t="str">
        <f>원본데이터_SK!D649</f>
        <v>20260210361967</v>
      </c>
      <c r="C649" t="str">
        <f>IF(원본데이터_SK!M649="","",TEXT(원본데이터_SK!M649,"YYYY-MM-DD"))</f>
        <v>2026-02-12</v>
      </c>
      <c r="D649" t="str">
        <f>원본데이터_SK!F649</f>
        <v>58481090</v>
      </c>
      <c r="E649" t="str">
        <f>IFERROR(VLOOKUP(원본데이터_SK!F649,채널매핑!$B:$D,3,0),"미매핑")</f>
        <v>미매핑</v>
      </c>
      <c r="F649">
        <f>IFERROR(VLOOKUP(원본데이터_SK!F649,채널매핑!$B:$E,4,0),1)</f>
        <v>1</v>
      </c>
      <c r="G649">
        <f>원본데이터_SK!Q649</f>
        <v>1</v>
      </c>
      <c r="H649">
        <f>원본데이터_SK!O649</f>
        <v>119000</v>
      </c>
      <c r="I649">
        <f>원본데이터_SK!AG649</f>
        <v>119000</v>
      </c>
      <c r="J649">
        <f>원본데이터_SK!AH649</f>
        <v>80920</v>
      </c>
      <c r="K649">
        <f>IFERROR(VLOOKUP(E649,제품마스터!$A:$B,2,0),0)</f>
        <v>0</v>
      </c>
      <c r="L649">
        <f>원본데이터_SK!Q649*원본데이터_SK!P649</f>
        <v>80920</v>
      </c>
    </row>
    <row r="650" spans="1:12" x14ac:dyDescent="0.3">
      <c r="A650" t="s">
        <v>11</v>
      </c>
      <c r="B650" t="str">
        <f>원본데이터_SK!D650</f>
        <v>20260210361778</v>
      </c>
      <c r="C650" t="str">
        <f>IF(원본데이터_SK!M650="","",TEXT(원본데이터_SK!M650,"YYYY-MM-DD"))</f>
        <v>2026-02-12</v>
      </c>
      <c r="D650" t="str">
        <f>원본데이터_SK!F650</f>
        <v>58481090</v>
      </c>
      <c r="E650" t="str">
        <f>IFERROR(VLOOKUP(원본데이터_SK!F650,채널매핑!$B:$D,3,0),"미매핑")</f>
        <v>미매핑</v>
      </c>
      <c r="F650">
        <f>IFERROR(VLOOKUP(원본데이터_SK!F650,채널매핑!$B:$E,4,0),1)</f>
        <v>1</v>
      </c>
      <c r="G650">
        <f>원본데이터_SK!Q650</f>
        <v>1</v>
      </c>
      <c r="H650">
        <f>원본데이터_SK!O650</f>
        <v>119000</v>
      </c>
      <c r="I650">
        <f>원본데이터_SK!AG650</f>
        <v>119000</v>
      </c>
      <c r="J650">
        <f>원본데이터_SK!AH650</f>
        <v>80920</v>
      </c>
      <c r="K650">
        <f>IFERROR(VLOOKUP(E650,제품마스터!$A:$B,2,0),0)</f>
        <v>0</v>
      </c>
      <c r="L650">
        <f>원본데이터_SK!Q650*원본데이터_SK!P650</f>
        <v>80920</v>
      </c>
    </row>
    <row r="651" spans="1:12" x14ac:dyDescent="0.3">
      <c r="A651" t="s">
        <v>11</v>
      </c>
      <c r="B651" t="str">
        <f>원본데이터_SK!D651</f>
        <v>20260210360506</v>
      </c>
      <c r="C651" t="str">
        <f>IF(원본데이터_SK!M651="","",TEXT(원본데이터_SK!M651,"YYYY-MM-DD"))</f>
        <v>2026-02-12</v>
      </c>
      <c r="D651" t="str">
        <f>원본데이터_SK!F651</f>
        <v>58481090</v>
      </c>
      <c r="E651" t="str">
        <f>IFERROR(VLOOKUP(원본데이터_SK!F651,채널매핑!$B:$D,3,0),"미매핑")</f>
        <v>미매핑</v>
      </c>
      <c r="F651">
        <f>IFERROR(VLOOKUP(원본데이터_SK!F651,채널매핑!$B:$E,4,0),1)</f>
        <v>1</v>
      </c>
      <c r="G651">
        <f>원본데이터_SK!Q651</f>
        <v>1</v>
      </c>
      <c r="H651">
        <f>원본데이터_SK!O651</f>
        <v>119000</v>
      </c>
      <c r="I651">
        <f>원본데이터_SK!AG651</f>
        <v>113050</v>
      </c>
      <c r="J651">
        <f>원본데이터_SK!AH651</f>
        <v>80920</v>
      </c>
      <c r="K651">
        <f>IFERROR(VLOOKUP(E651,제품마스터!$A:$B,2,0),0)</f>
        <v>0</v>
      </c>
      <c r="L651">
        <f>원본데이터_SK!Q651*원본데이터_SK!P651</f>
        <v>80920</v>
      </c>
    </row>
    <row r="652" spans="1:12" x14ac:dyDescent="0.3">
      <c r="A652" t="s">
        <v>11</v>
      </c>
      <c r="B652" t="str">
        <f>원본데이터_SK!D652</f>
        <v>20260210361822</v>
      </c>
      <c r="C652" t="str">
        <f>IF(원본데이터_SK!M652="","",TEXT(원본데이터_SK!M652,"YYYY-MM-DD"))</f>
        <v>2026-02-12</v>
      </c>
      <c r="D652" t="str">
        <f>원본데이터_SK!F652</f>
        <v>58481090</v>
      </c>
      <c r="E652" t="str">
        <f>IFERROR(VLOOKUP(원본데이터_SK!F652,채널매핑!$B:$D,3,0),"미매핑")</f>
        <v>미매핑</v>
      </c>
      <c r="F652">
        <f>IFERROR(VLOOKUP(원본데이터_SK!F652,채널매핑!$B:$E,4,0),1)</f>
        <v>1</v>
      </c>
      <c r="G652">
        <f>원본데이터_SK!Q652</f>
        <v>1</v>
      </c>
      <c r="H652">
        <f>원본데이터_SK!O652</f>
        <v>119000</v>
      </c>
      <c r="I652">
        <f>원본데이터_SK!AG652</f>
        <v>119000</v>
      </c>
      <c r="J652">
        <f>원본데이터_SK!AH652</f>
        <v>80920</v>
      </c>
      <c r="K652">
        <f>IFERROR(VLOOKUP(E652,제품마스터!$A:$B,2,0),0)</f>
        <v>0</v>
      </c>
      <c r="L652">
        <f>원본데이터_SK!Q652*원본데이터_SK!P652</f>
        <v>80920</v>
      </c>
    </row>
    <row r="653" spans="1:12" x14ac:dyDescent="0.3">
      <c r="A653" t="s">
        <v>11</v>
      </c>
      <c r="B653" t="str">
        <f>원본데이터_SK!D653</f>
        <v>20260211862060</v>
      </c>
      <c r="C653" t="str">
        <f>IF(원본데이터_SK!M653="","",TEXT(원본데이터_SK!M653,"YYYY-MM-DD"))</f>
        <v>2026-02-12</v>
      </c>
      <c r="D653" t="str">
        <f>원본데이터_SK!F653</f>
        <v>58481090</v>
      </c>
      <c r="E653" t="str">
        <f>IFERROR(VLOOKUP(원본데이터_SK!F653,채널매핑!$B:$D,3,0),"미매핑")</f>
        <v>미매핑</v>
      </c>
      <c r="F653">
        <f>IFERROR(VLOOKUP(원본데이터_SK!F653,채널매핑!$B:$E,4,0),1)</f>
        <v>1</v>
      </c>
      <c r="G653">
        <f>원본데이터_SK!Q653</f>
        <v>1</v>
      </c>
      <c r="H653">
        <f>원본데이터_SK!O653</f>
        <v>119000</v>
      </c>
      <c r="I653">
        <f>원본데이터_SK!AG653</f>
        <v>113050</v>
      </c>
      <c r="J653">
        <f>원본데이터_SK!AH653</f>
        <v>80920</v>
      </c>
      <c r="K653">
        <f>IFERROR(VLOOKUP(E653,제품마스터!$A:$B,2,0),0)</f>
        <v>0</v>
      </c>
      <c r="L653">
        <f>원본데이터_SK!Q653*원본데이터_SK!P653</f>
        <v>80920</v>
      </c>
    </row>
    <row r="654" spans="1:12" x14ac:dyDescent="0.3">
      <c r="A654" t="s">
        <v>11</v>
      </c>
      <c r="B654" t="str">
        <f>원본데이터_SK!D654</f>
        <v>20260210361524</v>
      </c>
      <c r="C654" t="str">
        <f>IF(원본데이터_SK!M654="","",TEXT(원본데이터_SK!M654,"YYYY-MM-DD"))</f>
        <v>2026-02-12</v>
      </c>
      <c r="D654" t="str">
        <f>원본데이터_SK!F654</f>
        <v>58481090</v>
      </c>
      <c r="E654" t="str">
        <f>IFERROR(VLOOKUP(원본데이터_SK!F654,채널매핑!$B:$D,3,0),"미매핑")</f>
        <v>미매핑</v>
      </c>
      <c r="F654">
        <f>IFERROR(VLOOKUP(원본데이터_SK!F654,채널매핑!$B:$E,4,0),1)</f>
        <v>1</v>
      </c>
      <c r="G654">
        <f>원본데이터_SK!Q654</f>
        <v>1</v>
      </c>
      <c r="H654">
        <f>원본데이터_SK!O654</f>
        <v>119000</v>
      </c>
      <c r="I654">
        <f>원본데이터_SK!AG654</f>
        <v>119000</v>
      </c>
      <c r="J654">
        <f>원본데이터_SK!AH654</f>
        <v>80920</v>
      </c>
      <c r="K654">
        <f>IFERROR(VLOOKUP(E654,제품마스터!$A:$B,2,0),0)</f>
        <v>0</v>
      </c>
      <c r="L654">
        <f>원본데이터_SK!Q654*원본데이터_SK!P654</f>
        <v>80920</v>
      </c>
    </row>
    <row r="655" spans="1:12" x14ac:dyDescent="0.3">
      <c r="A655" t="s">
        <v>11</v>
      </c>
      <c r="B655" t="str">
        <f>원본데이터_SK!D655</f>
        <v>20260210361369</v>
      </c>
      <c r="C655" t="str">
        <f>IF(원본데이터_SK!M655="","",TEXT(원본데이터_SK!M655,"YYYY-MM-DD"))</f>
        <v>2026-02-12</v>
      </c>
      <c r="D655" t="str">
        <f>원본데이터_SK!F655</f>
        <v>58481090</v>
      </c>
      <c r="E655" t="str">
        <f>IFERROR(VLOOKUP(원본데이터_SK!F655,채널매핑!$B:$D,3,0),"미매핑")</f>
        <v>미매핑</v>
      </c>
      <c r="F655">
        <f>IFERROR(VLOOKUP(원본데이터_SK!F655,채널매핑!$B:$E,4,0),1)</f>
        <v>1</v>
      </c>
      <c r="G655">
        <f>원본데이터_SK!Q655</f>
        <v>1</v>
      </c>
      <c r="H655">
        <f>원본데이터_SK!O655</f>
        <v>119000</v>
      </c>
      <c r="I655">
        <f>원본데이터_SK!AG655</f>
        <v>119000</v>
      </c>
      <c r="J655">
        <f>원본데이터_SK!AH655</f>
        <v>80920</v>
      </c>
      <c r="K655">
        <f>IFERROR(VLOOKUP(E655,제품마스터!$A:$B,2,0),0)</f>
        <v>0</v>
      </c>
      <c r="L655">
        <f>원본데이터_SK!Q655*원본데이터_SK!P655</f>
        <v>80920</v>
      </c>
    </row>
    <row r="656" spans="1:12" x14ac:dyDescent="0.3">
      <c r="A656" t="s">
        <v>11</v>
      </c>
      <c r="B656" t="str">
        <f>원본데이터_SK!D656</f>
        <v>20260210361570</v>
      </c>
      <c r="C656" t="str">
        <f>IF(원본데이터_SK!M656="","",TEXT(원본데이터_SK!M656,"YYYY-MM-DD"))</f>
        <v>2026-02-12</v>
      </c>
      <c r="D656" t="str">
        <f>원본데이터_SK!F656</f>
        <v>58481090</v>
      </c>
      <c r="E656" t="str">
        <f>IFERROR(VLOOKUP(원본데이터_SK!F656,채널매핑!$B:$D,3,0),"미매핑")</f>
        <v>미매핑</v>
      </c>
      <c r="F656">
        <f>IFERROR(VLOOKUP(원본데이터_SK!F656,채널매핑!$B:$E,4,0),1)</f>
        <v>1</v>
      </c>
      <c r="G656">
        <f>원본데이터_SK!Q656</f>
        <v>1</v>
      </c>
      <c r="H656">
        <f>원본데이터_SK!O656</f>
        <v>119000</v>
      </c>
      <c r="I656">
        <f>원본데이터_SK!AG656</f>
        <v>119000</v>
      </c>
      <c r="J656">
        <f>원본데이터_SK!AH656</f>
        <v>80920</v>
      </c>
      <c r="K656">
        <f>IFERROR(VLOOKUP(E656,제품마스터!$A:$B,2,0),0)</f>
        <v>0</v>
      </c>
      <c r="L656">
        <f>원본데이터_SK!Q656*원본데이터_SK!P656</f>
        <v>80920</v>
      </c>
    </row>
    <row r="657" spans="1:12" x14ac:dyDescent="0.3">
      <c r="A657" t="s">
        <v>11</v>
      </c>
      <c r="B657" t="str">
        <f>원본데이터_SK!D657</f>
        <v>20260210361915</v>
      </c>
      <c r="C657" t="str">
        <f>IF(원본데이터_SK!M657="","",TEXT(원본데이터_SK!M657,"YYYY-MM-DD"))</f>
        <v>2026-02-12</v>
      </c>
      <c r="D657" t="str">
        <f>원본데이터_SK!F657</f>
        <v>58481090</v>
      </c>
      <c r="E657" t="str">
        <f>IFERROR(VLOOKUP(원본데이터_SK!F657,채널매핑!$B:$D,3,0),"미매핑")</f>
        <v>미매핑</v>
      </c>
      <c r="F657">
        <f>IFERROR(VLOOKUP(원본데이터_SK!F657,채널매핑!$B:$E,4,0),1)</f>
        <v>1</v>
      </c>
      <c r="G657">
        <f>원본데이터_SK!Q657</f>
        <v>1</v>
      </c>
      <c r="H657">
        <f>원본데이터_SK!O657</f>
        <v>119000</v>
      </c>
      <c r="I657">
        <f>원본데이터_SK!AG657</f>
        <v>119000</v>
      </c>
      <c r="J657">
        <f>원본데이터_SK!AH657</f>
        <v>80920</v>
      </c>
      <c r="K657">
        <f>IFERROR(VLOOKUP(E657,제품마스터!$A:$B,2,0),0)</f>
        <v>0</v>
      </c>
      <c r="L657">
        <f>원본데이터_SK!Q657*원본데이터_SK!P657</f>
        <v>80920</v>
      </c>
    </row>
    <row r="658" spans="1:12" x14ac:dyDescent="0.3">
      <c r="A658" t="s">
        <v>11</v>
      </c>
      <c r="B658" t="str">
        <f>원본데이터_SK!D658</f>
        <v>20260210362058</v>
      </c>
      <c r="C658" t="str">
        <f>IF(원본데이터_SK!M658="","",TEXT(원본데이터_SK!M658,"YYYY-MM-DD"))</f>
        <v>2026-02-12</v>
      </c>
      <c r="D658" t="str">
        <f>원본데이터_SK!F658</f>
        <v>58481090</v>
      </c>
      <c r="E658" t="str">
        <f>IFERROR(VLOOKUP(원본데이터_SK!F658,채널매핑!$B:$D,3,0),"미매핑")</f>
        <v>미매핑</v>
      </c>
      <c r="F658">
        <f>IFERROR(VLOOKUP(원본데이터_SK!F658,채널매핑!$B:$E,4,0),1)</f>
        <v>1</v>
      </c>
      <c r="G658">
        <f>원본데이터_SK!Q658</f>
        <v>1</v>
      </c>
      <c r="H658">
        <f>원본데이터_SK!O658</f>
        <v>119000</v>
      </c>
      <c r="I658">
        <f>원본데이터_SK!AG658</f>
        <v>109000</v>
      </c>
      <c r="J658">
        <f>원본데이터_SK!AH658</f>
        <v>80920</v>
      </c>
      <c r="K658">
        <f>IFERROR(VLOOKUP(E658,제품마스터!$A:$B,2,0),0)</f>
        <v>0</v>
      </c>
      <c r="L658">
        <f>원본데이터_SK!Q658*원본데이터_SK!P658</f>
        <v>80920</v>
      </c>
    </row>
    <row r="659" spans="1:12" x14ac:dyDescent="0.3">
      <c r="A659" t="s">
        <v>11</v>
      </c>
      <c r="B659" t="str">
        <f>원본데이터_SK!D659</f>
        <v>20260210364113</v>
      </c>
      <c r="C659" t="str">
        <f>IF(원본데이터_SK!M659="","",TEXT(원본데이터_SK!M659,"YYYY-MM-DD"))</f>
        <v>2026-02-12</v>
      </c>
      <c r="D659" t="str">
        <f>원본데이터_SK!F659</f>
        <v>58481090</v>
      </c>
      <c r="E659" t="str">
        <f>IFERROR(VLOOKUP(원본데이터_SK!F659,채널매핑!$B:$D,3,0),"미매핑")</f>
        <v>미매핑</v>
      </c>
      <c r="F659">
        <f>IFERROR(VLOOKUP(원본데이터_SK!F659,채널매핑!$B:$E,4,0),1)</f>
        <v>1</v>
      </c>
      <c r="G659">
        <f>원본데이터_SK!Q659</f>
        <v>1</v>
      </c>
      <c r="H659">
        <f>원본데이터_SK!O659</f>
        <v>119000</v>
      </c>
      <c r="I659">
        <f>원본데이터_SK!AG659</f>
        <v>119000</v>
      </c>
      <c r="J659">
        <f>원본데이터_SK!AH659</f>
        <v>80920</v>
      </c>
      <c r="K659">
        <f>IFERROR(VLOOKUP(E659,제품마스터!$A:$B,2,0),0)</f>
        <v>0</v>
      </c>
      <c r="L659">
        <f>원본데이터_SK!Q659*원본데이터_SK!P659</f>
        <v>80920</v>
      </c>
    </row>
    <row r="660" spans="1:12" x14ac:dyDescent="0.3">
      <c r="A660" t="s">
        <v>11</v>
      </c>
      <c r="B660" t="str">
        <f>원본데이터_SK!D660</f>
        <v>20260210366124</v>
      </c>
      <c r="C660" t="str">
        <f>IF(원본데이터_SK!M660="","",TEXT(원본데이터_SK!M660,"YYYY-MM-DD"))</f>
        <v>2026-02-12</v>
      </c>
      <c r="D660" t="str">
        <f>원본데이터_SK!F660</f>
        <v>58481090</v>
      </c>
      <c r="E660" t="str">
        <f>IFERROR(VLOOKUP(원본데이터_SK!F660,채널매핑!$B:$D,3,0),"미매핑")</f>
        <v>미매핑</v>
      </c>
      <c r="F660">
        <f>IFERROR(VLOOKUP(원본데이터_SK!F660,채널매핑!$B:$E,4,0),1)</f>
        <v>1</v>
      </c>
      <c r="G660">
        <f>원본데이터_SK!Q660</f>
        <v>1</v>
      </c>
      <c r="H660">
        <f>원본데이터_SK!O660</f>
        <v>119000</v>
      </c>
      <c r="I660">
        <f>원본데이터_SK!AG660</f>
        <v>119000</v>
      </c>
      <c r="J660">
        <f>원본데이터_SK!AH660</f>
        <v>80920</v>
      </c>
      <c r="K660">
        <f>IFERROR(VLOOKUP(E660,제품마스터!$A:$B,2,0),0)</f>
        <v>0</v>
      </c>
      <c r="L660">
        <f>원본데이터_SK!Q660*원본데이터_SK!P660</f>
        <v>80920</v>
      </c>
    </row>
    <row r="661" spans="1:12" x14ac:dyDescent="0.3">
      <c r="A661" t="s">
        <v>11</v>
      </c>
      <c r="B661" t="str">
        <f>원본데이터_SK!D661</f>
        <v>20260210360947</v>
      </c>
      <c r="C661" t="str">
        <f>IF(원본데이터_SK!M661="","",TEXT(원본데이터_SK!M661,"YYYY-MM-DD"))</f>
        <v>2026-02-12</v>
      </c>
      <c r="D661" t="str">
        <f>원본데이터_SK!F661</f>
        <v>58481090</v>
      </c>
      <c r="E661" t="str">
        <f>IFERROR(VLOOKUP(원본데이터_SK!F661,채널매핑!$B:$D,3,0),"미매핑")</f>
        <v>미매핑</v>
      </c>
      <c r="F661">
        <f>IFERROR(VLOOKUP(원본데이터_SK!F661,채널매핑!$B:$E,4,0),1)</f>
        <v>1</v>
      </c>
      <c r="G661">
        <f>원본데이터_SK!Q661</f>
        <v>1</v>
      </c>
      <c r="H661">
        <f>원본데이터_SK!O661</f>
        <v>119000</v>
      </c>
      <c r="I661">
        <f>원본데이터_SK!AG661</f>
        <v>113050</v>
      </c>
      <c r="J661">
        <f>원본데이터_SK!AH661</f>
        <v>80920</v>
      </c>
      <c r="K661">
        <f>IFERROR(VLOOKUP(E661,제품마스터!$A:$B,2,0),0)</f>
        <v>0</v>
      </c>
      <c r="L661">
        <f>원본데이터_SK!Q661*원본데이터_SK!P661</f>
        <v>80920</v>
      </c>
    </row>
    <row r="662" spans="1:12" x14ac:dyDescent="0.3">
      <c r="A662" t="s">
        <v>11</v>
      </c>
      <c r="B662" t="str">
        <f>원본데이터_SK!D662</f>
        <v>20260210360328</v>
      </c>
      <c r="C662" t="str">
        <f>IF(원본데이터_SK!M662="","",TEXT(원본데이터_SK!M662,"YYYY-MM-DD"))</f>
        <v>2026-02-12</v>
      </c>
      <c r="D662" t="str">
        <f>원본데이터_SK!F662</f>
        <v>58481090</v>
      </c>
      <c r="E662" t="str">
        <f>IFERROR(VLOOKUP(원본데이터_SK!F662,채널매핑!$B:$D,3,0),"미매핑")</f>
        <v>미매핑</v>
      </c>
      <c r="F662">
        <f>IFERROR(VLOOKUP(원본데이터_SK!F662,채널매핑!$B:$E,4,0),1)</f>
        <v>1</v>
      </c>
      <c r="G662">
        <f>원본데이터_SK!Q662</f>
        <v>1</v>
      </c>
      <c r="H662">
        <f>원본데이터_SK!O662</f>
        <v>119000</v>
      </c>
      <c r="I662">
        <f>원본데이터_SK!AG662</f>
        <v>119000</v>
      </c>
      <c r="J662">
        <f>원본데이터_SK!AH662</f>
        <v>80920</v>
      </c>
      <c r="K662">
        <f>IFERROR(VLOOKUP(E662,제품마스터!$A:$B,2,0),0)</f>
        <v>0</v>
      </c>
      <c r="L662">
        <f>원본데이터_SK!Q662*원본데이터_SK!P662</f>
        <v>80920</v>
      </c>
    </row>
    <row r="663" spans="1:12" x14ac:dyDescent="0.3">
      <c r="A663" t="s">
        <v>11</v>
      </c>
      <c r="B663" t="str">
        <f>원본데이터_SK!D663</f>
        <v>20260210360456</v>
      </c>
      <c r="C663" t="str">
        <f>IF(원본데이터_SK!M663="","",TEXT(원본데이터_SK!M663,"YYYY-MM-DD"))</f>
        <v>2026-02-12</v>
      </c>
      <c r="D663" t="str">
        <f>원본데이터_SK!F663</f>
        <v>58481090</v>
      </c>
      <c r="E663" t="str">
        <f>IFERROR(VLOOKUP(원본데이터_SK!F663,채널매핑!$B:$D,3,0),"미매핑")</f>
        <v>미매핑</v>
      </c>
      <c r="F663">
        <f>IFERROR(VLOOKUP(원본데이터_SK!F663,채널매핑!$B:$E,4,0),1)</f>
        <v>1</v>
      </c>
      <c r="G663">
        <f>원본데이터_SK!Q663</f>
        <v>1</v>
      </c>
      <c r="H663">
        <f>원본데이터_SK!O663</f>
        <v>119000</v>
      </c>
      <c r="I663">
        <f>원본데이터_SK!AG663</f>
        <v>98800</v>
      </c>
      <c r="J663">
        <f>원본데이터_SK!AH663</f>
        <v>80920</v>
      </c>
      <c r="K663">
        <f>IFERROR(VLOOKUP(E663,제품마스터!$A:$B,2,0),0)</f>
        <v>0</v>
      </c>
      <c r="L663">
        <f>원본데이터_SK!Q663*원본데이터_SK!P663</f>
        <v>80920</v>
      </c>
    </row>
    <row r="664" spans="1:12" x14ac:dyDescent="0.3">
      <c r="A664" t="s">
        <v>11</v>
      </c>
      <c r="B664" t="str">
        <f>원본데이터_SK!D664</f>
        <v>20260210362454</v>
      </c>
      <c r="C664" t="str">
        <f>IF(원본데이터_SK!M664="","",TEXT(원본데이터_SK!M664,"YYYY-MM-DD"))</f>
        <v>2026-02-12</v>
      </c>
      <c r="D664" t="str">
        <f>원본데이터_SK!F664</f>
        <v>58481090</v>
      </c>
      <c r="E664" t="str">
        <f>IFERROR(VLOOKUP(원본데이터_SK!F664,채널매핑!$B:$D,3,0),"미매핑")</f>
        <v>미매핑</v>
      </c>
      <c r="F664">
        <f>IFERROR(VLOOKUP(원본데이터_SK!F664,채널매핑!$B:$E,4,0),1)</f>
        <v>1</v>
      </c>
      <c r="G664">
        <f>원본데이터_SK!Q664</f>
        <v>1</v>
      </c>
      <c r="H664">
        <f>원본데이터_SK!O664</f>
        <v>119000</v>
      </c>
      <c r="I664">
        <f>원본데이터_SK!AG664</f>
        <v>113050</v>
      </c>
      <c r="J664">
        <f>원본데이터_SK!AH664</f>
        <v>80920</v>
      </c>
      <c r="K664">
        <f>IFERROR(VLOOKUP(E664,제품마스터!$A:$B,2,0),0)</f>
        <v>0</v>
      </c>
      <c r="L664">
        <f>원본데이터_SK!Q664*원본데이터_SK!P664</f>
        <v>80920</v>
      </c>
    </row>
    <row r="665" spans="1:12" x14ac:dyDescent="0.3">
      <c r="A665" t="s">
        <v>11</v>
      </c>
      <c r="B665" t="str">
        <f>원본데이터_SK!D665</f>
        <v>20260210360934</v>
      </c>
      <c r="C665" t="str">
        <f>IF(원본데이터_SK!M665="","",TEXT(원본데이터_SK!M665,"YYYY-MM-DD"))</f>
        <v>2026-02-12</v>
      </c>
      <c r="D665" t="str">
        <f>원본데이터_SK!F665</f>
        <v>58481090</v>
      </c>
      <c r="E665" t="str">
        <f>IFERROR(VLOOKUP(원본데이터_SK!F665,채널매핑!$B:$D,3,0),"미매핑")</f>
        <v>미매핑</v>
      </c>
      <c r="F665">
        <f>IFERROR(VLOOKUP(원본데이터_SK!F665,채널매핑!$B:$E,4,0),1)</f>
        <v>1</v>
      </c>
      <c r="G665">
        <f>원본데이터_SK!Q665</f>
        <v>1</v>
      </c>
      <c r="H665">
        <f>원본데이터_SK!O665</f>
        <v>119000</v>
      </c>
      <c r="I665">
        <f>원본데이터_SK!AG665</f>
        <v>119000</v>
      </c>
      <c r="J665">
        <f>원본데이터_SK!AH665</f>
        <v>80920</v>
      </c>
      <c r="K665">
        <f>IFERROR(VLOOKUP(E665,제품마스터!$A:$B,2,0),0)</f>
        <v>0</v>
      </c>
      <c r="L665">
        <f>원본데이터_SK!Q665*원본데이터_SK!P665</f>
        <v>80920</v>
      </c>
    </row>
    <row r="666" spans="1:12" x14ac:dyDescent="0.3">
      <c r="A666" t="s">
        <v>11</v>
      </c>
      <c r="B666" t="str">
        <f>원본데이터_SK!D666</f>
        <v>20260210360296</v>
      </c>
      <c r="C666" t="str">
        <f>IF(원본데이터_SK!M666="","",TEXT(원본데이터_SK!M666,"YYYY-MM-DD"))</f>
        <v>2026-02-12</v>
      </c>
      <c r="D666" t="str">
        <f>원본데이터_SK!F666</f>
        <v>58481090</v>
      </c>
      <c r="E666" t="str">
        <f>IFERROR(VLOOKUP(원본데이터_SK!F666,채널매핑!$B:$D,3,0),"미매핑")</f>
        <v>미매핑</v>
      </c>
      <c r="F666">
        <f>IFERROR(VLOOKUP(원본데이터_SK!F666,채널매핑!$B:$E,4,0),1)</f>
        <v>1</v>
      </c>
      <c r="G666">
        <f>원본데이터_SK!Q666</f>
        <v>1</v>
      </c>
      <c r="H666">
        <f>원본데이터_SK!O666</f>
        <v>119000</v>
      </c>
      <c r="I666">
        <f>원본데이터_SK!AG666</f>
        <v>119000</v>
      </c>
      <c r="J666">
        <f>원본데이터_SK!AH666</f>
        <v>80920</v>
      </c>
      <c r="K666">
        <f>IFERROR(VLOOKUP(E666,제품마스터!$A:$B,2,0),0)</f>
        <v>0</v>
      </c>
      <c r="L666">
        <f>원본데이터_SK!Q666*원본데이터_SK!P666</f>
        <v>80920</v>
      </c>
    </row>
    <row r="667" spans="1:12" x14ac:dyDescent="0.3">
      <c r="A667" t="s">
        <v>11</v>
      </c>
      <c r="B667" t="str">
        <f>원본데이터_SK!D667</f>
        <v>20260210362146</v>
      </c>
      <c r="C667" t="str">
        <f>IF(원본데이터_SK!M667="","",TEXT(원본데이터_SK!M667,"YYYY-MM-DD"))</f>
        <v>2026-02-12</v>
      </c>
      <c r="D667" t="str">
        <f>원본데이터_SK!F667</f>
        <v>58481090</v>
      </c>
      <c r="E667" t="str">
        <f>IFERROR(VLOOKUP(원본데이터_SK!F667,채널매핑!$B:$D,3,0),"미매핑")</f>
        <v>미매핑</v>
      </c>
      <c r="F667">
        <f>IFERROR(VLOOKUP(원본데이터_SK!F667,채널매핑!$B:$E,4,0),1)</f>
        <v>1</v>
      </c>
      <c r="G667">
        <f>원본데이터_SK!Q667</f>
        <v>1</v>
      </c>
      <c r="H667">
        <f>원본데이터_SK!O667</f>
        <v>119000</v>
      </c>
      <c r="I667">
        <f>원본데이터_SK!AG667</f>
        <v>119000</v>
      </c>
      <c r="J667">
        <f>원본데이터_SK!AH667</f>
        <v>80920</v>
      </c>
      <c r="K667">
        <f>IFERROR(VLOOKUP(E667,제품마스터!$A:$B,2,0),0)</f>
        <v>0</v>
      </c>
      <c r="L667">
        <f>원본데이터_SK!Q667*원본데이터_SK!P667</f>
        <v>80920</v>
      </c>
    </row>
    <row r="668" spans="1:12" x14ac:dyDescent="0.3">
      <c r="A668" t="s">
        <v>11</v>
      </c>
      <c r="B668" t="str">
        <f>원본데이터_SK!D668</f>
        <v>20260210360233</v>
      </c>
      <c r="C668" t="str">
        <f>IF(원본데이터_SK!M668="","",TEXT(원본데이터_SK!M668,"YYYY-MM-DD"))</f>
        <v>2026-02-12</v>
      </c>
      <c r="D668" t="str">
        <f>원본데이터_SK!F668</f>
        <v>58481090</v>
      </c>
      <c r="E668" t="str">
        <f>IFERROR(VLOOKUP(원본데이터_SK!F668,채널매핑!$B:$D,3,0),"미매핑")</f>
        <v>미매핑</v>
      </c>
      <c r="F668">
        <f>IFERROR(VLOOKUP(원본데이터_SK!F668,채널매핑!$B:$E,4,0),1)</f>
        <v>1</v>
      </c>
      <c r="G668">
        <f>원본데이터_SK!Q668</f>
        <v>1</v>
      </c>
      <c r="H668">
        <f>원본데이터_SK!O668</f>
        <v>119000</v>
      </c>
      <c r="I668">
        <f>원본데이터_SK!AG668</f>
        <v>95200</v>
      </c>
      <c r="J668">
        <f>원본데이터_SK!AH668</f>
        <v>80920</v>
      </c>
      <c r="K668">
        <f>IFERROR(VLOOKUP(E668,제품마스터!$A:$B,2,0),0)</f>
        <v>0</v>
      </c>
      <c r="L668">
        <f>원본데이터_SK!Q668*원본데이터_SK!P668</f>
        <v>80920</v>
      </c>
    </row>
    <row r="669" spans="1:12" x14ac:dyDescent="0.3">
      <c r="A669" t="s">
        <v>11</v>
      </c>
      <c r="B669" t="str">
        <f>원본데이터_SK!D669</f>
        <v>20260210361754</v>
      </c>
      <c r="C669" t="str">
        <f>IF(원본데이터_SK!M669="","",TEXT(원본데이터_SK!M669,"YYYY-MM-DD"))</f>
        <v>2026-02-12</v>
      </c>
      <c r="D669" t="str">
        <f>원본데이터_SK!F669</f>
        <v>58481090</v>
      </c>
      <c r="E669" t="str">
        <f>IFERROR(VLOOKUP(원본데이터_SK!F669,채널매핑!$B:$D,3,0),"미매핑")</f>
        <v>미매핑</v>
      </c>
      <c r="F669">
        <f>IFERROR(VLOOKUP(원본데이터_SK!F669,채널매핑!$B:$E,4,0),1)</f>
        <v>1</v>
      </c>
      <c r="G669">
        <f>원본데이터_SK!Q669</f>
        <v>1</v>
      </c>
      <c r="H669">
        <f>원본데이터_SK!O669</f>
        <v>119000</v>
      </c>
      <c r="I669">
        <f>원본데이터_SK!AG669</f>
        <v>119000</v>
      </c>
      <c r="J669">
        <f>원본데이터_SK!AH669</f>
        <v>80920</v>
      </c>
      <c r="K669">
        <f>IFERROR(VLOOKUP(E669,제품마스터!$A:$B,2,0),0)</f>
        <v>0</v>
      </c>
      <c r="L669">
        <f>원본데이터_SK!Q669*원본데이터_SK!P669</f>
        <v>80920</v>
      </c>
    </row>
    <row r="670" spans="1:12" x14ac:dyDescent="0.3">
      <c r="A670" t="s">
        <v>11</v>
      </c>
      <c r="B670" t="str">
        <f>원본데이터_SK!D670</f>
        <v>20260210361587</v>
      </c>
      <c r="C670" t="str">
        <f>IF(원본데이터_SK!M670="","",TEXT(원본데이터_SK!M670,"YYYY-MM-DD"))</f>
        <v>2026-02-12</v>
      </c>
      <c r="D670" t="str">
        <f>원본데이터_SK!F670</f>
        <v>58481090</v>
      </c>
      <c r="E670" t="str">
        <f>IFERROR(VLOOKUP(원본데이터_SK!F670,채널매핑!$B:$D,3,0),"미매핑")</f>
        <v>미매핑</v>
      </c>
      <c r="F670">
        <f>IFERROR(VLOOKUP(원본데이터_SK!F670,채널매핑!$B:$E,4,0),1)</f>
        <v>1</v>
      </c>
      <c r="G670">
        <f>원본데이터_SK!Q670</f>
        <v>1</v>
      </c>
      <c r="H670">
        <f>원본데이터_SK!O670</f>
        <v>119000</v>
      </c>
      <c r="I670">
        <f>원본데이터_SK!AG670</f>
        <v>119000</v>
      </c>
      <c r="J670">
        <f>원본데이터_SK!AH670</f>
        <v>80920</v>
      </c>
      <c r="K670">
        <f>IFERROR(VLOOKUP(E670,제품마스터!$A:$B,2,0),0)</f>
        <v>0</v>
      </c>
      <c r="L670">
        <f>원본데이터_SK!Q670*원본데이터_SK!P670</f>
        <v>80920</v>
      </c>
    </row>
    <row r="671" spans="1:12" x14ac:dyDescent="0.3">
      <c r="A671" t="s">
        <v>11</v>
      </c>
      <c r="B671" t="str">
        <f>원본데이터_SK!D671</f>
        <v>20260210361077</v>
      </c>
      <c r="C671" t="str">
        <f>IF(원본데이터_SK!M671="","",TEXT(원본데이터_SK!M671,"YYYY-MM-DD"))</f>
        <v>2026-02-12</v>
      </c>
      <c r="D671" t="str">
        <f>원본데이터_SK!F671</f>
        <v>58481090</v>
      </c>
      <c r="E671" t="str">
        <f>IFERROR(VLOOKUP(원본데이터_SK!F671,채널매핑!$B:$D,3,0),"미매핑")</f>
        <v>미매핑</v>
      </c>
      <c r="F671">
        <f>IFERROR(VLOOKUP(원본데이터_SK!F671,채널매핑!$B:$E,4,0),1)</f>
        <v>1</v>
      </c>
      <c r="G671">
        <f>원본데이터_SK!Q671</f>
        <v>1</v>
      </c>
      <c r="H671">
        <f>원본데이터_SK!O671</f>
        <v>119000</v>
      </c>
      <c r="I671">
        <f>원본데이터_SK!AG671</f>
        <v>119000</v>
      </c>
      <c r="J671">
        <f>원본데이터_SK!AH671</f>
        <v>80920</v>
      </c>
      <c r="K671">
        <f>IFERROR(VLOOKUP(E671,제품마스터!$A:$B,2,0),0)</f>
        <v>0</v>
      </c>
      <c r="L671">
        <f>원본데이터_SK!Q671*원본데이터_SK!P671</f>
        <v>80920</v>
      </c>
    </row>
    <row r="672" spans="1:12" x14ac:dyDescent="0.3">
      <c r="A672" t="s">
        <v>11</v>
      </c>
      <c r="B672" t="str">
        <f>원본데이터_SK!D672</f>
        <v>20260210360396</v>
      </c>
      <c r="C672" t="str">
        <f>IF(원본데이터_SK!M672="","",TEXT(원본데이터_SK!M672,"YYYY-MM-DD"))</f>
        <v>2026-02-12</v>
      </c>
      <c r="D672" t="str">
        <f>원본데이터_SK!F672</f>
        <v>58481090</v>
      </c>
      <c r="E672" t="str">
        <f>IFERROR(VLOOKUP(원본데이터_SK!F672,채널매핑!$B:$D,3,0),"미매핑")</f>
        <v>미매핑</v>
      </c>
      <c r="F672">
        <f>IFERROR(VLOOKUP(원본데이터_SK!F672,채널매핑!$B:$E,4,0),1)</f>
        <v>1</v>
      </c>
      <c r="G672">
        <f>원본데이터_SK!Q672</f>
        <v>1</v>
      </c>
      <c r="H672">
        <f>원본데이터_SK!O672</f>
        <v>119000</v>
      </c>
      <c r="I672">
        <f>원본데이터_SK!AG672</f>
        <v>119000</v>
      </c>
      <c r="J672">
        <f>원본데이터_SK!AH672</f>
        <v>80920</v>
      </c>
      <c r="K672">
        <f>IFERROR(VLOOKUP(E672,제품마스터!$A:$B,2,0),0)</f>
        <v>0</v>
      </c>
      <c r="L672">
        <f>원본데이터_SK!Q672*원본데이터_SK!P672</f>
        <v>80920</v>
      </c>
    </row>
    <row r="673" spans="1:12" x14ac:dyDescent="0.3">
      <c r="A673" t="s">
        <v>11</v>
      </c>
      <c r="B673" t="str">
        <f>원본데이터_SK!D673</f>
        <v>20260210360400</v>
      </c>
      <c r="C673" t="str">
        <f>IF(원본데이터_SK!M673="","",TEXT(원본데이터_SK!M673,"YYYY-MM-DD"))</f>
        <v>2026-02-12</v>
      </c>
      <c r="D673" t="str">
        <f>원본데이터_SK!F673</f>
        <v>58481090</v>
      </c>
      <c r="E673" t="str">
        <f>IFERROR(VLOOKUP(원본데이터_SK!F673,채널매핑!$B:$D,3,0),"미매핑")</f>
        <v>미매핑</v>
      </c>
      <c r="F673">
        <f>IFERROR(VLOOKUP(원본데이터_SK!F673,채널매핑!$B:$E,4,0),1)</f>
        <v>1</v>
      </c>
      <c r="G673">
        <f>원본데이터_SK!Q673</f>
        <v>1</v>
      </c>
      <c r="H673">
        <f>원본데이터_SK!O673</f>
        <v>119000</v>
      </c>
      <c r="I673">
        <f>원본데이터_SK!AG673</f>
        <v>119000</v>
      </c>
      <c r="J673">
        <f>원본데이터_SK!AH673</f>
        <v>80920</v>
      </c>
      <c r="K673">
        <f>IFERROR(VLOOKUP(E673,제품마스터!$A:$B,2,0),0)</f>
        <v>0</v>
      </c>
      <c r="L673">
        <f>원본데이터_SK!Q673*원본데이터_SK!P673</f>
        <v>80920</v>
      </c>
    </row>
    <row r="674" spans="1:12" x14ac:dyDescent="0.3">
      <c r="A674" t="s">
        <v>11</v>
      </c>
      <c r="B674" t="str">
        <f>원본데이터_SK!D674</f>
        <v>20260210360481</v>
      </c>
      <c r="C674" t="str">
        <f>IF(원본데이터_SK!M674="","",TEXT(원본데이터_SK!M674,"YYYY-MM-DD"))</f>
        <v>2026-02-12</v>
      </c>
      <c r="D674" t="str">
        <f>원본데이터_SK!F674</f>
        <v>58481090</v>
      </c>
      <c r="E674" t="str">
        <f>IFERROR(VLOOKUP(원본데이터_SK!F674,채널매핑!$B:$D,3,0),"미매핑")</f>
        <v>미매핑</v>
      </c>
      <c r="F674">
        <f>IFERROR(VLOOKUP(원본데이터_SK!F674,채널매핑!$B:$E,4,0),1)</f>
        <v>1</v>
      </c>
      <c r="G674">
        <f>원본데이터_SK!Q674</f>
        <v>1</v>
      </c>
      <c r="H674">
        <f>원본데이터_SK!O674</f>
        <v>119000</v>
      </c>
      <c r="I674">
        <f>원본데이터_SK!AG674</f>
        <v>119000</v>
      </c>
      <c r="J674">
        <f>원본데이터_SK!AH674</f>
        <v>80920</v>
      </c>
      <c r="K674">
        <f>IFERROR(VLOOKUP(E674,제품마스터!$A:$B,2,0),0)</f>
        <v>0</v>
      </c>
      <c r="L674">
        <f>원본데이터_SK!Q674*원본데이터_SK!P674</f>
        <v>80920</v>
      </c>
    </row>
    <row r="675" spans="1:12" x14ac:dyDescent="0.3">
      <c r="A675" t="s">
        <v>11</v>
      </c>
      <c r="B675" t="str">
        <f>원본데이터_SK!D675</f>
        <v>20260210360563</v>
      </c>
      <c r="C675" t="str">
        <f>IF(원본데이터_SK!M675="","",TEXT(원본데이터_SK!M675,"YYYY-MM-DD"))</f>
        <v>2026-02-12</v>
      </c>
      <c r="D675" t="str">
        <f>원본데이터_SK!F675</f>
        <v>58481090</v>
      </c>
      <c r="E675" t="str">
        <f>IFERROR(VLOOKUP(원본데이터_SK!F675,채널매핑!$B:$D,3,0),"미매핑")</f>
        <v>미매핑</v>
      </c>
      <c r="F675">
        <f>IFERROR(VLOOKUP(원본데이터_SK!F675,채널매핑!$B:$E,4,0),1)</f>
        <v>1</v>
      </c>
      <c r="G675">
        <f>원본데이터_SK!Q675</f>
        <v>1</v>
      </c>
      <c r="H675">
        <f>원본데이터_SK!O675</f>
        <v>119000</v>
      </c>
      <c r="I675">
        <f>원본데이터_SK!AG675</f>
        <v>119000</v>
      </c>
      <c r="J675">
        <f>원본데이터_SK!AH675</f>
        <v>80920</v>
      </c>
      <c r="K675">
        <f>IFERROR(VLOOKUP(E675,제품마스터!$A:$B,2,0),0)</f>
        <v>0</v>
      </c>
      <c r="L675">
        <f>원본데이터_SK!Q675*원본데이터_SK!P675</f>
        <v>80920</v>
      </c>
    </row>
    <row r="676" spans="1:12" x14ac:dyDescent="0.3">
      <c r="A676" t="s">
        <v>11</v>
      </c>
      <c r="B676" t="str">
        <f>원본데이터_SK!D676</f>
        <v>20260210360427</v>
      </c>
      <c r="C676" t="str">
        <f>IF(원본데이터_SK!M676="","",TEXT(원본데이터_SK!M676,"YYYY-MM-DD"))</f>
        <v>2026-02-12</v>
      </c>
      <c r="D676" t="str">
        <f>원본데이터_SK!F676</f>
        <v>58481090</v>
      </c>
      <c r="E676" t="str">
        <f>IFERROR(VLOOKUP(원본데이터_SK!F676,채널매핑!$B:$D,3,0),"미매핑")</f>
        <v>미매핑</v>
      </c>
      <c r="F676">
        <f>IFERROR(VLOOKUP(원본데이터_SK!F676,채널매핑!$B:$E,4,0),1)</f>
        <v>1</v>
      </c>
      <c r="G676">
        <f>원본데이터_SK!Q676</f>
        <v>1</v>
      </c>
      <c r="H676">
        <f>원본데이터_SK!O676</f>
        <v>119000</v>
      </c>
      <c r="I676">
        <f>원본데이터_SK!AG676</f>
        <v>119000</v>
      </c>
      <c r="J676">
        <f>원본데이터_SK!AH676</f>
        <v>80920</v>
      </c>
      <c r="K676">
        <f>IFERROR(VLOOKUP(E676,제품마스터!$A:$B,2,0),0)</f>
        <v>0</v>
      </c>
      <c r="L676">
        <f>원본데이터_SK!Q676*원본데이터_SK!P676</f>
        <v>80920</v>
      </c>
    </row>
    <row r="677" spans="1:12" x14ac:dyDescent="0.3">
      <c r="A677" t="s">
        <v>11</v>
      </c>
      <c r="B677" t="str">
        <f>원본데이터_SK!D677</f>
        <v>20260210361451</v>
      </c>
      <c r="C677" t="str">
        <f>IF(원본데이터_SK!M677="","",TEXT(원본데이터_SK!M677,"YYYY-MM-DD"))</f>
        <v>2026-02-12</v>
      </c>
      <c r="D677" t="str">
        <f>원본데이터_SK!F677</f>
        <v>58481090</v>
      </c>
      <c r="E677" t="str">
        <f>IFERROR(VLOOKUP(원본데이터_SK!F677,채널매핑!$B:$D,3,0),"미매핑")</f>
        <v>미매핑</v>
      </c>
      <c r="F677">
        <f>IFERROR(VLOOKUP(원본데이터_SK!F677,채널매핑!$B:$E,4,0),1)</f>
        <v>1</v>
      </c>
      <c r="G677">
        <f>원본데이터_SK!Q677</f>
        <v>1</v>
      </c>
      <c r="H677">
        <f>원본데이터_SK!O677</f>
        <v>119000</v>
      </c>
      <c r="I677">
        <f>원본데이터_SK!AG677</f>
        <v>119000</v>
      </c>
      <c r="J677">
        <f>원본데이터_SK!AH677</f>
        <v>80920</v>
      </c>
      <c r="K677">
        <f>IFERROR(VLOOKUP(E677,제품마스터!$A:$B,2,0),0)</f>
        <v>0</v>
      </c>
      <c r="L677">
        <f>원본데이터_SK!Q677*원본데이터_SK!P677</f>
        <v>80920</v>
      </c>
    </row>
    <row r="678" spans="1:12" x14ac:dyDescent="0.3">
      <c r="A678" t="s">
        <v>11</v>
      </c>
      <c r="B678" t="str">
        <f>원본데이터_SK!D678</f>
        <v>20260210361038</v>
      </c>
      <c r="C678" t="str">
        <f>IF(원본데이터_SK!M678="","",TEXT(원본데이터_SK!M678,"YYYY-MM-DD"))</f>
        <v>2026-02-12</v>
      </c>
      <c r="D678" t="str">
        <f>원본데이터_SK!F678</f>
        <v>58481090</v>
      </c>
      <c r="E678" t="str">
        <f>IFERROR(VLOOKUP(원본데이터_SK!F678,채널매핑!$B:$D,3,0),"미매핑")</f>
        <v>미매핑</v>
      </c>
      <c r="F678">
        <f>IFERROR(VLOOKUP(원본데이터_SK!F678,채널매핑!$B:$E,4,0),1)</f>
        <v>1</v>
      </c>
      <c r="G678">
        <f>원본데이터_SK!Q678</f>
        <v>1</v>
      </c>
      <c r="H678">
        <f>원본데이터_SK!O678</f>
        <v>119000</v>
      </c>
      <c r="I678">
        <f>원본데이터_SK!AG678</f>
        <v>119000</v>
      </c>
      <c r="J678">
        <f>원본데이터_SK!AH678</f>
        <v>80920</v>
      </c>
      <c r="K678">
        <f>IFERROR(VLOOKUP(E678,제품마스터!$A:$B,2,0),0)</f>
        <v>0</v>
      </c>
      <c r="L678">
        <f>원본데이터_SK!Q678*원본데이터_SK!P678</f>
        <v>80920</v>
      </c>
    </row>
    <row r="679" spans="1:12" x14ac:dyDescent="0.3">
      <c r="A679" t="s">
        <v>11</v>
      </c>
      <c r="B679" t="str">
        <f>원본데이터_SK!D679</f>
        <v>20260210360291</v>
      </c>
      <c r="C679" t="str">
        <f>IF(원본데이터_SK!M679="","",TEXT(원본데이터_SK!M679,"YYYY-MM-DD"))</f>
        <v>2026-02-12</v>
      </c>
      <c r="D679" t="str">
        <f>원본데이터_SK!F679</f>
        <v>58481090</v>
      </c>
      <c r="E679" t="str">
        <f>IFERROR(VLOOKUP(원본데이터_SK!F679,채널매핑!$B:$D,3,0),"미매핑")</f>
        <v>미매핑</v>
      </c>
      <c r="F679">
        <f>IFERROR(VLOOKUP(원본데이터_SK!F679,채널매핑!$B:$E,4,0),1)</f>
        <v>1</v>
      </c>
      <c r="G679">
        <f>원본데이터_SK!Q679</f>
        <v>1</v>
      </c>
      <c r="H679">
        <f>원본데이터_SK!O679</f>
        <v>119000</v>
      </c>
      <c r="I679">
        <f>원본데이터_SK!AG679</f>
        <v>119000</v>
      </c>
      <c r="J679">
        <f>원본데이터_SK!AH679</f>
        <v>80920</v>
      </c>
      <c r="K679">
        <f>IFERROR(VLOOKUP(E679,제품마스터!$A:$B,2,0),0)</f>
        <v>0</v>
      </c>
      <c r="L679">
        <f>원본데이터_SK!Q679*원본데이터_SK!P679</f>
        <v>80920</v>
      </c>
    </row>
    <row r="680" spans="1:12" x14ac:dyDescent="0.3">
      <c r="A680" t="s">
        <v>11</v>
      </c>
      <c r="B680" t="str">
        <f>원본데이터_SK!D680</f>
        <v>20260210361335</v>
      </c>
      <c r="C680" t="str">
        <f>IF(원본데이터_SK!M680="","",TEXT(원본데이터_SK!M680,"YYYY-MM-DD"))</f>
        <v>2026-02-12</v>
      </c>
      <c r="D680" t="str">
        <f>원본데이터_SK!F680</f>
        <v>58481090</v>
      </c>
      <c r="E680" t="str">
        <f>IFERROR(VLOOKUP(원본데이터_SK!F680,채널매핑!$B:$D,3,0),"미매핑")</f>
        <v>미매핑</v>
      </c>
      <c r="F680">
        <f>IFERROR(VLOOKUP(원본데이터_SK!F680,채널매핑!$B:$E,4,0),1)</f>
        <v>1</v>
      </c>
      <c r="G680">
        <f>원본데이터_SK!Q680</f>
        <v>1</v>
      </c>
      <c r="H680">
        <f>원본데이터_SK!O680</f>
        <v>119000</v>
      </c>
      <c r="I680">
        <f>원본데이터_SK!AG680</f>
        <v>119000</v>
      </c>
      <c r="J680">
        <f>원본데이터_SK!AH680</f>
        <v>80920</v>
      </c>
      <c r="K680">
        <f>IFERROR(VLOOKUP(E680,제품마스터!$A:$B,2,0),0)</f>
        <v>0</v>
      </c>
      <c r="L680">
        <f>원본데이터_SK!Q680*원본데이터_SK!P680</f>
        <v>80920</v>
      </c>
    </row>
    <row r="681" spans="1:12" x14ac:dyDescent="0.3">
      <c r="A681" t="s">
        <v>11</v>
      </c>
      <c r="B681" t="str">
        <f>원본데이터_SK!D681</f>
        <v>20260210361495</v>
      </c>
      <c r="C681" t="str">
        <f>IF(원본데이터_SK!M681="","",TEXT(원본데이터_SK!M681,"YYYY-MM-DD"))</f>
        <v>2026-02-12</v>
      </c>
      <c r="D681" t="str">
        <f>원본데이터_SK!F681</f>
        <v>58481090</v>
      </c>
      <c r="E681" t="str">
        <f>IFERROR(VLOOKUP(원본데이터_SK!F681,채널매핑!$B:$D,3,0),"미매핑")</f>
        <v>미매핑</v>
      </c>
      <c r="F681">
        <f>IFERROR(VLOOKUP(원본데이터_SK!F681,채널매핑!$B:$E,4,0),1)</f>
        <v>1</v>
      </c>
      <c r="G681">
        <f>원본데이터_SK!Q681</f>
        <v>1</v>
      </c>
      <c r="H681">
        <f>원본데이터_SK!O681</f>
        <v>119000</v>
      </c>
      <c r="I681">
        <f>원본데이터_SK!AG681</f>
        <v>119000</v>
      </c>
      <c r="J681">
        <f>원본데이터_SK!AH681</f>
        <v>80920</v>
      </c>
      <c r="K681">
        <f>IFERROR(VLOOKUP(E681,제품마스터!$A:$B,2,0),0)</f>
        <v>0</v>
      </c>
      <c r="L681">
        <f>원본데이터_SK!Q681*원본데이터_SK!P681</f>
        <v>80920</v>
      </c>
    </row>
    <row r="682" spans="1:12" x14ac:dyDescent="0.3">
      <c r="A682" t="s">
        <v>11</v>
      </c>
      <c r="B682" t="str">
        <f>원본데이터_SK!D682</f>
        <v>20260210361579</v>
      </c>
      <c r="C682" t="str">
        <f>IF(원본데이터_SK!M682="","",TEXT(원본데이터_SK!M682,"YYYY-MM-DD"))</f>
        <v>2026-02-12</v>
      </c>
      <c r="D682" t="str">
        <f>원본데이터_SK!F682</f>
        <v>58481090</v>
      </c>
      <c r="E682" t="str">
        <f>IFERROR(VLOOKUP(원본데이터_SK!F682,채널매핑!$B:$D,3,0),"미매핑")</f>
        <v>미매핑</v>
      </c>
      <c r="F682">
        <f>IFERROR(VLOOKUP(원본데이터_SK!F682,채널매핑!$B:$E,4,0),1)</f>
        <v>1</v>
      </c>
      <c r="G682">
        <f>원본데이터_SK!Q682</f>
        <v>1</v>
      </c>
      <c r="H682">
        <f>원본데이터_SK!O682</f>
        <v>119000</v>
      </c>
      <c r="I682">
        <f>원본데이터_SK!AG682</f>
        <v>119000</v>
      </c>
      <c r="J682">
        <f>원본데이터_SK!AH682</f>
        <v>80920</v>
      </c>
      <c r="K682">
        <f>IFERROR(VLOOKUP(E682,제품마스터!$A:$B,2,0),0)</f>
        <v>0</v>
      </c>
      <c r="L682">
        <f>원본데이터_SK!Q682*원본데이터_SK!P682</f>
        <v>80920</v>
      </c>
    </row>
    <row r="683" spans="1:12" x14ac:dyDescent="0.3">
      <c r="A683" t="s">
        <v>11</v>
      </c>
      <c r="B683" t="str">
        <f>원본데이터_SK!D683</f>
        <v>20260210362044</v>
      </c>
      <c r="C683" t="str">
        <f>IF(원본데이터_SK!M683="","",TEXT(원본데이터_SK!M683,"YYYY-MM-DD"))</f>
        <v>2026-02-12</v>
      </c>
      <c r="D683" t="str">
        <f>원본데이터_SK!F683</f>
        <v>58481090</v>
      </c>
      <c r="E683" t="str">
        <f>IFERROR(VLOOKUP(원본데이터_SK!F683,채널매핑!$B:$D,3,0),"미매핑")</f>
        <v>미매핑</v>
      </c>
      <c r="F683">
        <f>IFERROR(VLOOKUP(원본데이터_SK!F683,채널매핑!$B:$E,4,0),1)</f>
        <v>1</v>
      </c>
      <c r="G683">
        <f>원본데이터_SK!Q683</f>
        <v>1</v>
      </c>
      <c r="H683">
        <f>원본데이터_SK!O683</f>
        <v>119000</v>
      </c>
      <c r="I683">
        <f>원본데이터_SK!AG683</f>
        <v>119000</v>
      </c>
      <c r="J683">
        <f>원본데이터_SK!AH683</f>
        <v>80920</v>
      </c>
      <c r="K683">
        <f>IFERROR(VLOOKUP(E683,제품마스터!$A:$B,2,0),0)</f>
        <v>0</v>
      </c>
      <c r="L683">
        <f>원본데이터_SK!Q683*원본데이터_SK!P683</f>
        <v>80920</v>
      </c>
    </row>
    <row r="684" spans="1:12" x14ac:dyDescent="0.3">
      <c r="A684" t="s">
        <v>11</v>
      </c>
      <c r="B684" t="str">
        <f>원본데이터_SK!D684</f>
        <v>20260210360670</v>
      </c>
      <c r="C684" t="str">
        <f>IF(원본데이터_SK!M684="","",TEXT(원본데이터_SK!M684,"YYYY-MM-DD"))</f>
        <v>2026-02-12</v>
      </c>
      <c r="D684" t="str">
        <f>원본데이터_SK!F684</f>
        <v>58481090</v>
      </c>
      <c r="E684" t="str">
        <f>IFERROR(VLOOKUP(원본데이터_SK!F684,채널매핑!$B:$D,3,0),"미매핑")</f>
        <v>미매핑</v>
      </c>
      <c r="F684">
        <f>IFERROR(VLOOKUP(원본데이터_SK!F684,채널매핑!$B:$E,4,0),1)</f>
        <v>1</v>
      </c>
      <c r="G684">
        <f>원본데이터_SK!Q684</f>
        <v>1</v>
      </c>
      <c r="H684">
        <f>원본데이터_SK!O684</f>
        <v>119000</v>
      </c>
      <c r="I684">
        <f>원본데이터_SK!AG684</f>
        <v>119000</v>
      </c>
      <c r="J684">
        <f>원본데이터_SK!AH684</f>
        <v>80920</v>
      </c>
      <c r="K684">
        <f>IFERROR(VLOOKUP(E684,제품마스터!$A:$B,2,0),0)</f>
        <v>0</v>
      </c>
      <c r="L684">
        <f>원본데이터_SK!Q684*원본데이터_SK!P684</f>
        <v>80920</v>
      </c>
    </row>
    <row r="685" spans="1:12" x14ac:dyDescent="0.3">
      <c r="A685" t="s">
        <v>11</v>
      </c>
      <c r="B685" t="str">
        <f>원본데이터_SK!D685</f>
        <v>20260210360241</v>
      </c>
      <c r="C685" t="str">
        <f>IF(원본데이터_SK!M685="","",TEXT(원본데이터_SK!M685,"YYYY-MM-DD"))</f>
        <v>2026-02-12</v>
      </c>
      <c r="D685" t="str">
        <f>원본데이터_SK!F685</f>
        <v>58481090</v>
      </c>
      <c r="E685" t="str">
        <f>IFERROR(VLOOKUP(원본데이터_SK!F685,채널매핑!$B:$D,3,0),"미매핑")</f>
        <v>미매핑</v>
      </c>
      <c r="F685">
        <f>IFERROR(VLOOKUP(원본데이터_SK!F685,채널매핑!$B:$E,4,0),1)</f>
        <v>1</v>
      </c>
      <c r="G685">
        <f>원본데이터_SK!Q685</f>
        <v>1</v>
      </c>
      <c r="H685">
        <f>원본데이터_SK!O685</f>
        <v>119000</v>
      </c>
      <c r="I685">
        <f>원본데이터_SK!AG685</f>
        <v>119000</v>
      </c>
      <c r="J685">
        <f>원본데이터_SK!AH685</f>
        <v>80920</v>
      </c>
      <c r="K685">
        <f>IFERROR(VLOOKUP(E685,제품마스터!$A:$B,2,0),0)</f>
        <v>0</v>
      </c>
      <c r="L685">
        <f>원본데이터_SK!Q685*원본데이터_SK!P685</f>
        <v>80920</v>
      </c>
    </row>
    <row r="686" spans="1:12" x14ac:dyDescent="0.3">
      <c r="A686" t="s">
        <v>11</v>
      </c>
      <c r="B686" t="str">
        <f>원본데이터_SK!D686</f>
        <v>20260210361564</v>
      </c>
      <c r="C686" t="str">
        <f>IF(원본데이터_SK!M686="","",TEXT(원본데이터_SK!M686,"YYYY-MM-DD"))</f>
        <v>2026-02-12</v>
      </c>
      <c r="D686" t="str">
        <f>원본데이터_SK!F686</f>
        <v>58481090</v>
      </c>
      <c r="E686" t="str">
        <f>IFERROR(VLOOKUP(원본데이터_SK!F686,채널매핑!$B:$D,3,0),"미매핑")</f>
        <v>미매핑</v>
      </c>
      <c r="F686">
        <f>IFERROR(VLOOKUP(원본데이터_SK!F686,채널매핑!$B:$E,4,0),1)</f>
        <v>1</v>
      </c>
      <c r="G686">
        <f>원본데이터_SK!Q686</f>
        <v>1</v>
      </c>
      <c r="H686">
        <f>원본데이터_SK!O686</f>
        <v>119000</v>
      </c>
      <c r="I686">
        <f>원본데이터_SK!AG686</f>
        <v>119000</v>
      </c>
      <c r="J686">
        <f>원본데이터_SK!AH686</f>
        <v>80920</v>
      </c>
      <c r="K686">
        <f>IFERROR(VLOOKUP(E686,제품마스터!$A:$B,2,0),0)</f>
        <v>0</v>
      </c>
      <c r="L686">
        <f>원본데이터_SK!Q686*원본데이터_SK!P686</f>
        <v>80920</v>
      </c>
    </row>
    <row r="687" spans="1:12" x14ac:dyDescent="0.3">
      <c r="A687" t="s">
        <v>11</v>
      </c>
      <c r="B687" t="str">
        <f>원본데이터_SK!D687</f>
        <v>20260210361948</v>
      </c>
      <c r="C687" t="str">
        <f>IF(원본데이터_SK!M687="","",TEXT(원본데이터_SK!M687,"YYYY-MM-DD"))</f>
        <v>2026-02-12</v>
      </c>
      <c r="D687" t="str">
        <f>원본데이터_SK!F687</f>
        <v>58481090</v>
      </c>
      <c r="E687" t="str">
        <f>IFERROR(VLOOKUP(원본데이터_SK!F687,채널매핑!$B:$D,3,0),"미매핑")</f>
        <v>미매핑</v>
      </c>
      <c r="F687">
        <f>IFERROR(VLOOKUP(원본데이터_SK!F687,채널매핑!$B:$E,4,0),1)</f>
        <v>1</v>
      </c>
      <c r="G687">
        <f>원본데이터_SK!Q687</f>
        <v>1</v>
      </c>
      <c r="H687">
        <f>원본데이터_SK!O687</f>
        <v>119000</v>
      </c>
      <c r="I687">
        <f>원본데이터_SK!AG687</f>
        <v>113050</v>
      </c>
      <c r="J687">
        <f>원본데이터_SK!AH687</f>
        <v>80920</v>
      </c>
      <c r="K687">
        <f>IFERROR(VLOOKUP(E687,제품마스터!$A:$B,2,0),0)</f>
        <v>0</v>
      </c>
      <c r="L687">
        <f>원본데이터_SK!Q687*원본데이터_SK!P687</f>
        <v>80920</v>
      </c>
    </row>
    <row r="688" spans="1:12" x14ac:dyDescent="0.3">
      <c r="A688" t="s">
        <v>11</v>
      </c>
      <c r="B688" t="str">
        <f>원본데이터_SK!D688</f>
        <v>20260210361019</v>
      </c>
      <c r="C688" t="str">
        <f>IF(원본데이터_SK!M688="","",TEXT(원본데이터_SK!M688,"YYYY-MM-DD"))</f>
        <v>2026-02-12</v>
      </c>
      <c r="D688" t="str">
        <f>원본데이터_SK!F688</f>
        <v>58481090</v>
      </c>
      <c r="E688" t="str">
        <f>IFERROR(VLOOKUP(원본데이터_SK!F688,채널매핑!$B:$D,3,0),"미매핑")</f>
        <v>미매핑</v>
      </c>
      <c r="F688">
        <f>IFERROR(VLOOKUP(원본데이터_SK!F688,채널매핑!$B:$E,4,0),1)</f>
        <v>1</v>
      </c>
      <c r="G688">
        <f>원본데이터_SK!Q688</f>
        <v>1</v>
      </c>
      <c r="H688">
        <f>원본데이터_SK!O688</f>
        <v>119000</v>
      </c>
      <c r="I688">
        <f>원본데이터_SK!AG688</f>
        <v>119000</v>
      </c>
      <c r="J688">
        <f>원본데이터_SK!AH688</f>
        <v>80920</v>
      </c>
      <c r="K688">
        <f>IFERROR(VLOOKUP(E688,제품마스터!$A:$B,2,0),0)</f>
        <v>0</v>
      </c>
      <c r="L688">
        <f>원본데이터_SK!Q688*원본데이터_SK!P688</f>
        <v>80920</v>
      </c>
    </row>
    <row r="689" spans="1:12" x14ac:dyDescent="0.3">
      <c r="A689" t="s">
        <v>11</v>
      </c>
      <c r="B689" t="str">
        <f>원본데이터_SK!D689</f>
        <v>20260210361847</v>
      </c>
      <c r="C689" t="str">
        <f>IF(원본데이터_SK!M689="","",TEXT(원본데이터_SK!M689,"YYYY-MM-DD"))</f>
        <v>2026-02-12</v>
      </c>
      <c r="D689" t="str">
        <f>원본데이터_SK!F689</f>
        <v>58481090</v>
      </c>
      <c r="E689" t="str">
        <f>IFERROR(VLOOKUP(원본데이터_SK!F689,채널매핑!$B:$D,3,0),"미매핑")</f>
        <v>미매핑</v>
      </c>
      <c r="F689">
        <f>IFERROR(VLOOKUP(원본데이터_SK!F689,채널매핑!$B:$E,4,0),1)</f>
        <v>1</v>
      </c>
      <c r="G689">
        <f>원본데이터_SK!Q689</f>
        <v>1</v>
      </c>
      <c r="H689">
        <f>원본데이터_SK!O689</f>
        <v>119000</v>
      </c>
      <c r="I689">
        <f>원본데이터_SK!AG689</f>
        <v>119000</v>
      </c>
      <c r="J689">
        <f>원본데이터_SK!AH689</f>
        <v>80920</v>
      </c>
      <c r="K689">
        <f>IFERROR(VLOOKUP(E689,제품마스터!$A:$B,2,0),0)</f>
        <v>0</v>
      </c>
      <c r="L689">
        <f>원본데이터_SK!Q689*원본데이터_SK!P689</f>
        <v>80920</v>
      </c>
    </row>
    <row r="690" spans="1:12" x14ac:dyDescent="0.3">
      <c r="A690" t="s">
        <v>11</v>
      </c>
      <c r="B690" t="str">
        <f>원본데이터_SK!D690</f>
        <v>20260210362019</v>
      </c>
      <c r="C690" t="str">
        <f>IF(원본데이터_SK!M690="","",TEXT(원본데이터_SK!M690,"YYYY-MM-DD"))</f>
        <v>2026-02-12</v>
      </c>
      <c r="D690" t="str">
        <f>원본데이터_SK!F690</f>
        <v>58481090</v>
      </c>
      <c r="E690" t="str">
        <f>IFERROR(VLOOKUP(원본데이터_SK!F690,채널매핑!$B:$D,3,0),"미매핑")</f>
        <v>미매핑</v>
      </c>
      <c r="F690">
        <f>IFERROR(VLOOKUP(원본데이터_SK!F690,채널매핑!$B:$E,4,0),1)</f>
        <v>1</v>
      </c>
      <c r="G690">
        <f>원본데이터_SK!Q690</f>
        <v>1</v>
      </c>
      <c r="H690">
        <f>원본데이터_SK!O690</f>
        <v>119000</v>
      </c>
      <c r="I690">
        <f>원본데이터_SK!AG690</f>
        <v>113050</v>
      </c>
      <c r="J690">
        <f>원본데이터_SK!AH690</f>
        <v>80920</v>
      </c>
      <c r="K690">
        <f>IFERROR(VLOOKUP(E690,제품마스터!$A:$B,2,0),0)</f>
        <v>0</v>
      </c>
      <c r="L690">
        <f>원본데이터_SK!Q690*원본데이터_SK!P690</f>
        <v>80920</v>
      </c>
    </row>
    <row r="691" spans="1:12" x14ac:dyDescent="0.3">
      <c r="A691" t="s">
        <v>11</v>
      </c>
      <c r="B691" t="str">
        <f>원본데이터_SK!D691</f>
        <v>20260210362206</v>
      </c>
      <c r="C691" t="str">
        <f>IF(원본데이터_SK!M691="","",TEXT(원본데이터_SK!M691,"YYYY-MM-DD"))</f>
        <v>2026-02-12</v>
      </c>
      <c r="D691" t="str">
        <f>원본데이터_SK!F691</f>
        <v>58481090</v>
      </c>
      <c r="E691" t="str">
        <f>IFERROR(VLOOKUP(원본데이터_SK!F691,채널매핑!$B:$D,3,0),"미매핑")</f>
        <v>미매핑</v>
      </c>
      <c r="F691">
        <f>IFERROR(VLOOKUP(원본데이터_SK!F691,채널매핑!$B:$E,4,0),1)</f>
        <v>1</v>
      </c>
      <c r="G691">
        <f>원본데이터_SK!Q691</f>
        <v>1</v>
      </c>
      <c r="H691">
        <f>원본데이터_SK!O691</f>
        <v>119000</v>
      </c>
      <c r="I691">
        <f>원본데이터_SK!AG691</f>
        <v>113050</v>
      </c>
      <c r="J691">
        <f>원본데이터_SK!AH691</f>
        <v>80920</v>
      </c>
      <c r="K691">
        <f>IFERROR(VLOOKUP(E691,제품마스터!$A:$B,2,0),0)</f>
        <v>0</v>
      </c>
      <c r="L691">
        <f>원본데이터_SK!Q691*원본데이터_SK!P691</f>
        <v>80920</v>
      </c>
    </row>
    <row r="692" spans="1:12" x14ac:dyDescent="0.3">
      <c r="A692" t="s">
        <v>11</v>
      </c>
      <c r="B692" t="str">
        <f>원본데이터_SK!D692</f>
        <v>20260210361041</v>
      </c>
      <c r="C692" t="str">
        <f>IF(원본데이터_SK!M692="","",TEXT(원본데이터_SK!M692,"YYYY-MM-DD"))</f>
        <v>2026-02-12</v>
      </c>
      <c r="D692" t="str">
        <f>원본데이터_SK!F692</f>
        <v>58481090</v>
      </c>
      <c r="E692" t="str">
        <f>IFERROR(VLOOKUP(원본데이터_SK!F692,채널매핑!$B:$D,3,0),"미매핑")</f>
        <v>미매핑</v>
      </c>
      <c r="F692">
        <f>IFERROR(VLOOKUP(원본데이터_SK!F692,채널매핑!$B:$E,4,0),1)</f>
        <v>1</v>
      </c>
      <c r="G692">
        <f>원본데이터_SK!Q692</f>
        <v>1</v>
      </c>
      <c r="H692">
        <f>원본데이터_SK!O692</f>
        <v>119000</v>
      </c>
      <c r="I692">
        <f>원본데이터_SK!AG692</f>
        <v>113050</v>
      </c>
      <c r="J692">
        <f>원본데이터_SK!AH692</f>
        <v>80920</v>
      </c>
      <c r="K692">
        <f>IFERROR(VLOOKUP(E692,제품마스터!$A:$B,2,0),0)</f>
        <v>0</v>
      </c>
      <c r="L692">
        <f>원본데이터_SK!Q692*원본데이터_SK!P692</f>
        <v>80920</v>
      </c>
    </row>
    <row r="693" spans="1:12" x14ac:dyDescent="0.3">
      <c r="A693" t="s">
        <v>11</v>
      </c>
      <c r="B693" t="str">
        <f>원본데이터_SK!D693</f>
        <v>20260210361683</v>
      </c>
      <c r="C693" t="str">
        <f>IF(원본데이터_SK!M693="","",TEXT(원본데이터_SK!M693,"YYYY-MM-DD"))</f>
        <v>2026-02-12</v>
      </c>
      <c r="D693" t="str">
        <f>원본데이터_SK!F693</f>
        <v>58481090</v>
      </c>
      <c r="E693" t="str">
        <f>IFERROR(VLOOKUP(원본데이터_SK!F693,채널매핑!$B:$D,3,0),"미매핑")</f>
        <v>미매핑</v>
      </c>
      <c r="F693">
        <f>IFERROR(VLOOKUP(원본데이터_SK!F693,채널매핑!$B:$E,4,0),1)</f>
        <v>1</v>
      </c>
      <c r="G693">
        <f>원본데이터_SK!Q693</f>
        <v>1</v>
      </c>
      <c r="H693">
        <f>원본데이터_SK!O693</f>
        <v>119000</v>
      </c>
      <c r="I693">
        <f>원본데이터_SK!AG693</f>
        <v>119000</v>
      </c>
      <c r="J693">
        <f>원본데이터_SK!AH693</f>
        <v>80920</v>
      </c>
      <c r="K693">
        <f>IFERROR(VLOOKUP(E693,제품마스터!$A:$B,2,0),0)</f>
        <v>0</v>
      </c>
      <c r="L693">
        <f>원본데이터_SK!Q693*원본데이터_SK!P693</f>
        <v>80920</v>
      </c>
    </row>
    <row r="694" spans="1:12" x14ac:dyDescent="0.3">
      <c r="A694" t="s">
        <v>11</v>
      </c>
      <c r="B694" t="str">
        <f>원본데이터_SK!D694</f>
        <v>20260210361352</v>
      </c>
      <c r="C694" t="str">
        <f>IF(원본데이터_SK!M694="","",TEXT(원본데이터_SK!M694,"YYYY-MM-DD"))</f>
        <v>2026-02-12</v>
      </c>
      <c r="D694" t="str">
        <f>원본데이터_SK!F694</f>
        <v>58481090</v>
      </c>
      <c r="E694" t="str">
        <f>IFERROR(VLOOKUP(원본데이터_SK!F694,채널매핑!$B:$D,3,0),"미매핑")</f>
        <v>미매핑</v>
      </c>
      <c r="F694">
        <f>IFERROR(VLOOKUP(원본데이터_SK!F694,채널매핑!$B:$E,4,0),1)</f>
        <v>1</v>
      </c>
      <c r="G694">
        <f>원본데이터_SK!Q694</f>
        <v>1</v>
      </c>
      <c r="H694">
        <f>원본데이터_SK!O694</f>
        <v>119000</v>
      </c>
      <c r="I694">
        <f>원본데이터_SK!AG694</f>
        <v>119000</v>
      </c>
      <c r="J694">
        <f>원본데이터_SK!AH694</f>
        <v>80920</v>
      </c>
      <c r="K694">
        <f>IFERROR(VLOOKUP(E694,제품마스터!$A:$B,2,0),0)</f>
        <v>0</v>
      </c>
      <c r="L694">
        <f>원본데이터_SK!Q694*원본데이터_SK!P694</f>
        <v>80920</v>
      </c>
    </row>
    <row r="695" spans="1:12" x14ac:dyDescent="0.3">
      <c r="A695" t="s">
        <v>11</v>
      </c>
      <c r="B695" t="str">
        <f>원본데이터_SK!D695</f>
        <v>20260210361525</v>
      </c>
      <c r="C695" t="str">
        <f>IF(원본데이터_SK!M695="","",TEXT(원본데이터_SK!M695,"YYYY-MM-DD"))</f>
        <v>2026-02-12</v>
      </c>
      <c r="D695" t="str">
        <f>원본데이터_SK!F695</f>
        <v>58481090</v>
      </c>
      <c r="E695" t="str">
        <f>IFERROR(VLOOKUP(원본데이터_SK!F695,채널매핑!$B:$D,3,0),"미매핑")</f>
        <v>미매핑</v>
      </c>
      <c r="F695">
        <f>IFERROR(VLOOKUP(원본데이터_SK!F695,채널매핑!$B:$E,4,0),1)</f>
        <v>1</v>
      </c>
      <c r="G695">
        <f>원본데이터_SK!Q695</f>
        <v>1</v>
      </c>
      <c r="H695">
        <f>원본데이터_SK!O695</f>
        <v>119000</v>
      </c>
      <c r="I695">
        <f>원본데이터_SK!AG695</f>
        <v>119000</v>
      </c>
      <c r="J695">
        <f>원본데이터_SK!AH695</f>
        <v>80920</v>
      </c>
      <c r="K695">
        <f>IFERROR(VLOOKUP(E695,제품마스터!$A:$B,2,0),0)</f>
        <v>0</v>
      </c>
      <c r="L695">
        <f>원본데이터_SK!Q695*원본데이터_SK!P695</f>
        <v>80920</v>
      </c>
    </row>
    <row r="696" spans="1:12" x14ac:dyDescent="0.3">
      <c r="A696" t="s">
        <v>11</v>
      </c>
      <c r="B696" t="str">
        <f>원본데이터_SK!D696</f>
        <v>20260210361011</v>
      </c>
      <c r="C696" t="str">
        <f>IF(원본데이터_SK!M696="","",TEXT(원본데이터_SK!M696,"YYYY-MM-DD"))</f>
        <v>2026-02-12</v>
      </c>
      <c r="D696" t="str">
        <f>원본데이터_SK!F696</f>
        <v>58481090</v>
      </c>
      <c r="E696" t="str">
        <f>IFERROR(VLOOKUP(원본데이터_SK!F696,채널매핑!$B:$D,3,0),"미매핑")</f>
        <v>미매핑</v>
      </c>
      <c r="F696">
        <f>IFERROR(VLOOKUP(원본데이터_SK!F696,채널매핑!$B:$E,4,0),1)</f>
        <v>1</v>
      </c>
      <c r="G696">
        <f>원본데이터_SK!Q696</f>
        <v>1</v>
      </c>
      <c r="H696">
        <f>원본데이터_SK!O696</f>
        <v>119000</v>
      </c>
      <c r="I696">
        <f>원본데이터_SK!AG696</f>
        <v>119000</v>
      </c>
      <c r="J696">
        <f>원본데이터_SK!AH696</f>
        <v>80920</v>
      </c>
      <c r="K696">
        <f>IFERROR(VLOOKUP(E696,제품마스터!$A:$B,2,0),0)</f>
        <v>0</v>
      </c>
      <c r="L696">
        <f>원본데이터_SK!Q696*원본데이터_SK!P696</f>
        <v>80920</v>
      </c>
    </row>
    <row r="697" spans="1:12" x14ac:dyDescent="0.3">
      <c r="A697" t="s">
        <v>11</v>
      </c>
      <c r="B697" t="str">
        <f>원본데이터_SK!D697</f>
        <v>20260210361551</v>
      </c>
      <c r="C697" t="str">
        <f>IF(원본데이터_SK!M697="","",TEXT(원본데이터_SK!M697,"YYYY-MM-DD"))</f>
        <v>2026-02-12</v>
      </c>
      <c r="D697" t="str">
        <f>원본데이터_SK!F697</f>
        <v>58481090</v>
      </c>
      <c r="E697" t="str">
        <f>IFERROR(VLOOKUP(원본데이터_SK!F697,채널매핑!$B:$D,3,0),"미매핑")</f>
        <v>미매핑</v>
      </c>
      <c r="F697">
        <f>IFERROR(VLOOKUP(원본데이터_SK!F697,채널매핑!$B:$E,4,0),1)</f>
        <v>1</v>
      </c>
      <c r="G697">
        <f>원본데이터_SK!Q697</f>
        <v>1</v>
      </c>
      <c r="H697">
        <f>원본데이터_SK!O697</f>
        <v>119000</v>
      </c>
      <c r="I697">
        <f>원본데이터_SK!AG697</f>
        <v>119000</v>
      </c>
      <c r="J697">
        <f>원본데이터_SK!AH697</f>
        <v>80920</v>
      </c>
      <c r="K697">
        <f>IFERROR(VLOOKUP(E697,제품마스터!$A:$B,2,0),0)</f>
        <v>0</v>
      </c>
      <c r="L697">
        <f>원본데이터_SK!Q697*원본데이터_SK!P697</f>
        <v>80920</v>
      </c>
    </row>
    <row r="698" spans="1:12" x14ac:dyDescent="0.3">
      <c r="A698" t="s">
        <v>11</v>
      </c>
      <c r="B698" t="str">
        <f>원본데이터_SK!D698</f>
        <v>20260210361861</v>
      </c>
      <c r="C698" t="str">
        <f>IF(원본데이터_SK!M698="","",TEXT(원본데이터_SK!M698,"YYYY-MM-DD"))</f>
        <v>2026-02-12</v>
      </c>
      <c r="D698" t="str">
        <f>원본데이터_SK!F698</f>
        <v>58481090</v>
      </c>
      <c r="E698" t="str">
        <f>IFERROR(VLOOKUP(원본데이터_SK!F698,채널매핑!$B:$D,3,0),"미매핑")</f>
        <v>미매핑</v>
      </c>
      <c r="F698">
        <f>IFERROR(VLOOKUP(원본데이터_SK!F698,채널매핑!$B:$E,4,0),1)</f>
        <v>1</v>
      </c>
      <c r="G698">
        <f>원본데이터_SK!Q698</f>
        <v>1</v>
      </c>
      <c r="H698">
        <f>원본데이터_SK!O698</f>
        <v>119000</v>
      </c>
      <c r="I698">
        <f>원본데이터_SK!AG698</f>
        <v>119000</v>
      </c>
      <c r="J698">
        <f>원본데이터_SK!AH698</f>
        <v>80920</v>
      </c>
      <c r="K698">
        <f>IFERROR(VLOOKUP(E698,제품마스터!$A:$B,2,0),0)</f>
        <v>0</v>
      </c>
      <c r="L698">
        <f>원본데이터_SK!Q698*원본데이터_SK!P698</f>
        <v>80920</v>
      </c>
    </row>
    <row r="699" spans="1:12" x14ac:dyDescent="0.3">
      <c r="A699" t="s">
        <v>11</v>
      </c>
      <c r="B699" t="str">
        <f>원본데이터_SK!D699</f>
        <v>20260210361346</v>
      </c>
      <c r="C699" t="str">
        <f>IF(원본데이터_SK!M699="","",TEXT(원본데이터_SK!M699,"YYYY-MM-DD"))</f>
        <v>2026-02-12</v>
      </c>
      <c r="D699" t="str">
        <f>원본데이터_SK!F699</f>
        <v>58481090</v>
      </c>
      <c r="E699" t="str">
        <f>IFERROR(VLOOKUP(원본데이터_SK!F699,채널매핑!$B:$D,3,0),"미매핑")</f>
        <v>미매핑</v>
      </c>
      <c r="F699">
        <f>IFERROR(VLOOKUP(원본데이터_SK!F699,채널매핑!$B:$E,4,0),1)</f>
        <v>1</v>
      </c>
      <c r="G699">
        <f>원본데이터_SK!Q699</f>
        <v>1</v>
      </c>
      <c r="H699">
        <f>원본데이터_SK!O699</f>
        <v>119000</v>
      </c>
      <c r="I699">
        <f>원본데이터_SK!AG699</f>
        <v>119000</v>
      </c>
      <c r="J699">
        <f>원본데이터_SK!AH699</f>
        <v>80920</v>
      </c>
      <c r="K699">
        <f>IFERROR(VLOOKUP(E699,제품마스터!$A:$B,2,0),0)</f>
        <v>0</v>
      </c>
      <c r="L699">
        <f>원본데이터_SK!Q699*원본데이터_SK!P699</f>
        <v>80920</v>
      </c>
    </row>
    <row r="700" spans="1:12" x14ac:dyDescent="0.3">
      <c r="A700" t="s">
        <v>11</v>
      </c>
      <c r="B700" t="str">
        <f>원본데이터_SK!D700</f>
        <v>20260210361491</v>
      </c>
      <c r="C700" t="str">
        <f>IF(원본데이터_SK!M700="","",TEXT(원본데이터_SK!M700,"YYYY-MM-DD"))</f>
        <v>2026-02-12</v>
      </c>
      <c r="D700" t="str">
        <f>원본데이터_SK!F700</f>
        <v>58481090</v>
      </c>
      <c r="E700" t="str">
        <f>IFERROR(VLOOKUP(원본데이터_SK!F700,채널매핑!$B:$D,3,0),"미매핑")</f>
        <v>미매핑</v>
      </c>
      <c r="F700">
        <f>IFERROR(VLOOKUP(원본데이터_SK!F700,채널매핑!$B:$E,4,0),1)</f>
        <v>1</v>
      </c>
      <c r="G700">
        <f>원본데이터_SK!Q700</f>
        <v>1</v>
      </c>
      <c r="H700">
        <f>원본데이터_SK!O700</f>
        <v>119000</v>
      </c>
      <c r="I700">
        <f>원본데이터_SK!AG700</f>
        <v>119000</v>
      </c>
      <c r="J700">
        <f>원본데이터_SK!AH700</f>
        <v>80920</v>
      </c>
      <c r="K700">
        <f>IFERROR(VLOOKUP(E700,제품마스터!$A:$B,2,0),0)</f>
        <v>0</v>
      </c>
      <c r="L700">
        <f>원본데이터_SK!Q700*원본데이터_SK!P700</f>
        <v>80920</v>
      </c>
    </row>
    <row r="701" spans="1:12" x14ac:dyDescent="0.3">
      <c r="A701" t="s">
        <v>11</v>
      </c>
      <c r="B701" t="str">
        <f>원본데이터_SK!D701</f>
        <v>20260210362075</v>
      </c>
      <c r="C701" t="str">
        <f>IF(원본데이터_SK!M701="","",TEXT(원본데이터_SK!M701,"YYYY-MM-DD"))</f>
        <v>2026-02-12</v>
      </c>
      <c r="D701" t="str">
        <f>원본데이터_SK!F701</f>
        <v>58481090</v>
      </c>
      <c r="E701" t="str">
        <f>IFERROR(VLOOKUP(원본데이터_SK!F701,채널매핑!$B:$D,3,0),"미매핑")</f>
        <v>미매핑</v>
      </c>
      <c r="F701">
        <f>IFERROR(VLOOKUP(원본데이터_SK!F701,채널매핑!$B:$E,4,0),1)</f>
        <v>1</v>
      </c>
      <c r="G701">
        <f>원본데이터_SK!Q701</f>
        <v>1</v>
      </c>
      <c r="H701">
        <f>원본데이터_SK!O701</f>
        <v>119000</v>
      </c>
      <c r="I701">
        <f>원본데이터_SK!AG701</f>
        <v>119000</v>
      </c>
      <c r="J701">
        <f>원본데이터_SK!AH701</f>
        <v>80920</v>
      </c>
      <c r="K701">
        <f>IFERROR(VLOOKUP(E701,제품마스터!$A:$B,2,0),0)</f>
        <v>0</v>
      </c>
      <c r="L701">
        <f>원본데이터_SK!Q701*원본데이터_SK!P701</f>
        <v>80920</v>
      </c>
    </row>
    <row r="702" spans="1:12" x14ac:dyDescent="0.3">
      <c r="A702" t="s">
        <v>11</v>
      </c>
      <c r="B702" t="str">
        <f>원본데이터_SK!D702</f>
        <v>20260210362158</v>
      </c>
      <c r="C702" t="str">
        <f>IF(원본데이터_SK!M702="","",TEXT(원본데이터_SK!M702,"YYYY-MM-DD"))</f>
        <v>2026-02-12</v>
      </c>
      <c r="D702" t="str">
        <f>원본데이터_SK!F702</f>
        <v>58481090</v>
      </c>
      <c r="E702" t="str">
        <f>IFERROR(VLOOKUP(원본데이터_SK!F702,채널매핑!$B:$D,3,0),"미매핑")</f>
        <v>미매핑</v>
      </c>
      <c r="F702">
        <f>IFERROR(VLOOKUP(원본데이터_SK!F702,채널매핑!$B:$E,4,0),1)</f>
        <v>1</v>
      </c>
      <c r="G702">
        <f>원본데이터_SK!Q702</f>
        <v>1</v>
      </c>
      <c r="H702">
        <f>원본데이터_SK!O702</f>
        <v>119000</v>
      </c>
      <c r="I702">
        <f>원본데이터_SK!AG702</f>
        <v>119000</v>
      </c>
      <c r="J702">
        <f>원본데이터_SK!AH702</f>
        <v>80920</v>
      </c>
      <c r="K702">
        <f>IFERROR(VLOOKUP(E702,제품마스터!$A:$B,2,0),0)</f>
        <v>0</v>
      </c>
      <c r="L702">
        <f>원본데이터_SK!Q702*원본데이터_SK!P702</f>
        <v>80920</v>
      </c>
    </row>
    <row r="703" spans="1:12" x14ac:dyDescent="0.3">
      <c r="A703" t="s">
        <v>11</v>
      </c>
      <c r="B703" t="str">
        <f>원본데이터_SK!D703</f>
        <v>20260210360596</v>
      </c>
      <c r="C703" t="str">
        <f>IF(원본데이터_SK!M703="","",TEXT(원본데이터_SK!M703,"YYYY-MM-DD"))</f>
        <v>2026-02-12</v>
      </c>
      <c r="D703" t="str">
        <f>원본데이터_SK!F703</f>
        <v>58481090</v>
      </c>
      <c r="E703" t="str">
        <f>IFERROR(VLOOKUP(원본데이터_SK!F703,채널매핑!$B:$D,3,0),"미매핑")</f>
        <v>미매핑</v>
      </c>
      <c r="F703">
        <f>IFERROR(VLOOKUP(원본데이터_SK!F703,채널매핑!$B:$E,4,0),1)</f>
        <v>1</v>
      </c>
      <c r="G703">
        <f>원본데이터_SK!Q703</f>
        <v>1</v>
      </c>
      <c r="H703">
        <f>원본데이터_SK!O703</f>
        <v>119000</v>
      </c>
      <c r="I703">
        <f>원본데이터_SK!AG703</f>
        <v>119000</v>
      </c>
      <c r="J703">
        <f>원본데이터_SK!AH703</f>
        <v>80920</v>
      </c>
      <c r="K703">
        <f>IFERROR(VLOOKUP(E703,제품마스터!$A:$B,2,0),0)</f>
        <v>0</v>
      </c>
      <c r="L703">
        <f>원본데이터_SK!Q703*원본데이터_SK!P703</f>
        <v>80920</v>
      </c>
    </row>
    <row r="704" spans="1:12" x14ac:dyDescent="0.3">
      <c r="A704" t="s">
        <v>11</v>
      </c>
      <c r="B704" t="str">
        <f>원본데이터_SK!D704</f>
        <v>20260210360302</v>
      </c>
      <c r="C704" t="str">
        <f>IF(원본데이터_SK!M704="","",TEXT(원본데이터_SK!M704,"YYYY-MM-DD"))</f>
        <v>2026-02-12</v>
      </c>
      <c r="D704" t="str">
        <f>원본데이터_SK!F704</f>
        <v>58481090</v>
      </c>
      <c r="E704" t="str">
        <f>IFERROR(VLOOKUP(원본데이터_SK!F704,채널매핑!$B:$D,3,0),"미매핑")</f>
        <v>미매핑</v>
      </c>
      <c r="F704">
        <f>IFERROR(VLOOKUP(원본데이터_SK!F704,채널매핑!$B:$E,4,0),1)</f>
        <v>1</v>
      </c>
      <c r="G704">
        <f>원본데이터_SK!Q704</f>
        <v>1</v>
      </c>
      <c r="H704">
        <f>원본데이터_SK!O704</f>
        <v>119000</v>
      </c>
      <c r="I704">
        <f>원본데이터_SK!AG704</f>
        <v>119000</v>
      </c>
      <c r="J704">
        <f>원본데이터_SK!AH704</f>
        <v>80920</v>
      </c>
      <c r="K704">
        <f>IFERROR(VLOOKUP(E704,제품마스터!$A:$B,2,0),0)</f>
        <v>0</v>
      </c>
      <c r="L704">
        <f>원본데이터_SK!Q704*원본데이터_SK!P704</f>
        <v>80920</v>
      </c>
    </row>
    <row r="705" spans="1:12" x14ac:dyDescent="0.3">
      <c r="A705" t="s">
        <v>11</v>
      </c>
      <c r="B705" t="str">
        <f>원본데이터_SK!D705</f>
        <v>20260210360928</v>
      </c>
      <c r="C705" t="str">
        <f>IF(원본데이터_SK!M705="","",TEXT(원본데이터_SK!M705,"YYYY-MM-DD"))</f>
        <v>2026-02-12</v>
      </c>
      <c r="D705" t="str">
        <f>원본데이터_SK!F705</f>
        <v>58481090</v>
      </c>
      <c r="E705" t="str">
        <f>IFERROR(VLOOKUP(원본데이터_SK!F705,채널매핑!$B:$D,3,0),"미매핑")</f>
        <v>미매핑</v>
      </c>
      <c r="F705">
        <f>IFERROR(VLOOKUP(원본데이터_SK!F705,채널매핑!$B:$E,4,0),1)</f>
        <v>1</v>
      </c>
      <c r="G705">
        <f>원본데이터_SK!Q705</f>
        <v>1</v>
      </c>
      <c r="H705">
        <f>원본데이터_SK!O705</f>
        <v>119000</v>
      </c>
      <c r="I705">
        <f>원본데이터_SK!AG705</f>
        <v>119000</v>
      </c>
      <c r="J705">
        <f>원본데이터_SK!AH705</f>
        <v>80920</v>
      </c>
      <c r="K705">
        <f>IFERROR(VLOOKUP(E705,제품마스터!$A:$B,2,0),0)</f>
        <v>0</v>
      </c>
      <c r="L705">
        <f>원본데이터_SK!Q705*원본데이터_SK!P705</f>
        <v>80920</v>
      </c>
    </row>
    <row r="706" spans="1:12" x14ac:dyDescent="0.3">
      <c r="A706" t="s">
        <v>11</v>
      </c>
      <c r="B706" t="str">
        <f>원본데이터_SK!D706</f>
        <v>20260210360937</v>
      </c>
      <c r="C706" t="str">
        <f>IF(원본데이터_SK!M706="","",TEXT(원본데이터_SK!M706,"YYYY-MM-DD"))</f>
        <v>2026-02-12</v>
      </c>
      <c r="D706" t="str">
        <f>원본데이터_SK!F706</f>
        <v>58481090</v>
      </c>
      <c r="E706" t="str">
        <f>IFERROR(VLOOKUP(원본데이터_SK!F706,채널매핑!$B:$D,3,0),"미매핑")</f>
        <v>미매핑</v>
      </c>
      <c r="F706">
        <f>IFERROR(VLOOKUP(원본데이터_SK!F706,채널매핑!$B:$E,4,0),1)</f>
        <v>1</v>
      </c>
      <c r="G706">
        <f>원본데이터_SK!Q706</f>
        <v>1</v>
      </c>
      <c r="H706">
        <f>원본데이터_SK!O706</f>
        <v>119000</v>
      </c>
      <c r="I706">
        <f>원본데이터_SK!AG706</f>
        <v>119000</v>
      </c>
      <c r="J706">
        <f>원본데이터_SK!AH706</f>
        <v>80920</v>
      </c>
      <c r="K706">
        <f>IFERROR(VLOOKUP(E706,제품마스터!$A:$B,2,0),0)</f>
        <v>0</v>
      </c>
      <c r="L706">
        <f>원본데이터_SK!Q706*원본데이터_SK!P706</f>
        <v>80920</v>
      </c>
    </row>
    <row r="707" spans="1:12" x14ac:dyDescent="0.3">
      <c r="A707" t="s">
        <v>11</v>
      </c>
      <c r="B707" t="str">
        <f>원본데이터_SK!D707</f>
        <v>20260210360976</v>
      </c>
      <c r="C707" t="str">
        <f>IF(원본데이터_SK!M707="","",TEXT(원본데이터_SK!M707,"YYYY-MM-DD"))</f>
        <v>2026-02-12</v>
      </c>
      <c r="D707" t="str">
        <f>원본데이터_SK!F707</f>
        <v>58481090</v>
      </c>
      <c r="E707" t="str">
        <f>IFERROR(VLOOKUP(원본데이터_SK!F707,채널매핑!$B:$D,3,0),"미매핑")</f>
        <v>미매핑</v>
      </c>
      <c r="F707">
        <f>IFERROR(VLOOKUP(원본데이터_SK!F707,채널매핑!$B:$E,4,0),1)</f>
        <v>1</v>
      </c>
      <c r="G707">
        <f>원본데이터_SK!Q707</f>
        <v>1</v>
      </c>
      <c r="H707">
        <f>원본데이터_SK!O707</f>
        <v>119000</v>
      </c>
      <c r="I707">
        <f>원본데이터_SK!AG707</f>
        <v>119000</v>
      </c>
      <c r="J707">
        <f>원본데이터_SK!AH707</f>
        <v>80920</v>
      </c>
      <c r="K707">
        <f>IFERROR(VLOOKUP(E707,제품마스터!$A:$B,2,0),0)</f>
        <v>0</v>
      </c>
      <c r="L707">
        <f>원본데이터_SK!Q707*원본데이터_SK!P707</f>
        <v>80920</v>
      </c>
    </row>
    <row r="708" spans="1:12" x14ac:dyDescent="0.3">
      <c r="A708" t="s">
        <v>11</v>
      </c>
      <c r="B708" t="str">
        <f>원본데이터_SK!D708</f>
        <v>20260210360392</v>
      </c>
      <c r="C708" t="str">
        <f>IF(원본데이터_SK!M708="","",TEXT(원본데이터_SK!M708,"YYYY-MM-DD"))</f>
        <v>2026-02-12</v>
      </c>
      <c r="D708" t="str">
        <f>원본데이터_SK!F708</f>
        <v>58481090</v>
      </c>
      <c r="E708" t="str">
        <f>IFERROR(VLOOKUP(원본데이터_SK!F708,채널매핑!$B:$D,3,0),"미매핑")</f>
        <v>미매핑</v>
      </c>
      <c r="F708">
        <f>IFERROR(VLOOKUP(원본데이터_SK!F708,채널매핑!$B:$E,4,0),1)</f>
        <v>1</v>
      </c>
      <c r="G708">
        <f>원본데이터_SK!Q708</f>
        <v>1</v>
      </c>
      <c r="H708">
        <f>원본데이터_SK!O708</f>
        <v>119000</v>
      </c>
      <c r="I708">
        <f>원본데이터_SK!AG708</f>
        <v>119000</v>
      </c>
      <c r="J708">
        <f>원본데이터_SK!AH708</f>
        <v>80920</v>
      </c>
      <c r="K708">
        <f>IFERROR(VLOOKUP(E708,제품마스터!$A:$B,2,0),0)</f>
        <v>0</v>
      </c>
      <c r="L708">
        <f>원본데이터_SK!Q708*원본데이터_SK!P708</f>
        <v>80920</v>
      </c>
    </row>
    <row r="709" spans="1:12" x14ac:dyDescent="0.3">
      <c r="A709" t="s">
        <v>11</v>
      </c>
      <c r="B709" t="str">
        <f>원본데이터_SK!D709</f>
        <v>20260210361319</v>
      </c>
      <c r="C709" t="str">
        <f>IF(원본데이터_SK!M709="","",TEXT(원본데이터_SK!M709,"YYYY-MM-DD"))</f>
        <v>2026-02-12</v>
      </c>
      <c r="D709" t="str">
        <f>원본데이터_SK!F709</f>
        <v>58481090</v>
      </c>
      <c r="E709" t="str">
        <f>IFERROR(VLOOKUP(원본데이터_SK!F709,채널매핑!$B:$D,3,0),"미매핑")</f>
        <v>미매핑</v>
      </c>
      <c r="F709">
        <f>IFERROR(VLOOKUP(원본데이터_SK!F709,채널매핑!$B:$E,4,0),1)</f>
        <v>1</v>
      </c>
      <c r="G709">
        <f>원본데이터_SK!Q709</f>
        <v>1</v>
      </c>
      <c r="H709">
        <f>원본데이터_SK!O709</f>
        <v>119000</v>
      </c>
      <c r="I709">
        <f>원본데이터_SK!AG709</f>
        <v>119000</v>
      </c>
      <c r="J709">
        <f>원본데이터_SK!AH709</f>
        <v>80920</v>
      </c>
      <c r="K709">
        <f>IFERROR(VLOOKUP(E709,제품마스터!$A:$B,2,0),0)</f>
        <v>0</v>
      </c>
      <c r="L709">
        <f>원본데이터_SK!Q709*원본데이터_SK!P709</f>
        <v>80920</v>
      </c>
    </row>
    <row r="710" spans="1:12" x14ac:dyDescent="0.3">
      <c r="A710" t="s">
        <v>11</v>
      </c>
      <c r="B710" t="str">
        <f>원본데이터_SK!D710</f>
        <v>20260210361317</v>
      </c>
      <c r="C710" t="str">
        <f>IF(원본데이터_SK!M710="","",TEXT(원본데이터_SK!M710,"YYYY-MM-DD"))</f>
        <v>2026-02-12</v>
      </c>
      <c r="D710" t="str">
        <f>원본데이터_SK!F710</f>
        <v>58481090</v>
      </c>
      <c r="E710" t="str">
        <f>IFERROR(VLOOKUP(원본데이터_SK!F710,채널매핑!$B:$D,3,0),"미매핑")</f>
        <v>미매핑</v>
      </c>
      <c r="F710">
        <f>IFERROR(VLOOKUP(원본데이터_SK!F710,채널매핑!$B:$E,4,0),1)</f>
        <v>1</v>
      </c>
      <c r="G710">
        <f>원본데이터_SK!Q710</f>
        <v>1</v>
      </c>
      <c r="H710">
        <f>원본데이터_SK!O710</f>
        <v>119000</v>
      </c>
      <c r="I710">
        <f>원본데이터_SK!AG710</f>
        <v>119000</v>
      </c>
      <c r="J710">
        <f>원본데이터_SK!AH710</f>
        <v>80920</v>
      </c>
      <c r="K710">
        <f>IFERROR(VLOOKUP(E710,제품마스터!$A:$B,2,0),0)</f>
        <v>0</v>
      </c>
      <c r="L710">
        <f>원본데이터_SK!Q710*원본데이터_SK!P710</f>
        <v>80920</v>
      </c>
    </row>
    <row r="711" spans="1:12" x14ac:dyDescent="0.3">
      <c r="A711" t="s">
        <v>11</v>
      </c>
      <c r="B711" t="str">
        <f>원본데이터_SK!D711</f>
        <v>20260210361357</v>
      </c>
      <c r="C711" t="str">
        <f>IF(원본데이터_SK!M711="","",TEXT(원본데이터_SK!M711,"YYYY-MM-DD"))</f>
        <v>2026-02-12</v>
      </c>
      <c r="D711" t="str">
        <f>원본데이터_SK!F711</f>
        <v>58481090</v>
      </c>
      <c r="E711" t="str">
        <f>IFERROR(VLOOKUP(원본데이터_SK!F711,채널매핑!$B:$D,3,0),"미매핑")</f>
        <v>미매핑</v>
      </c>
      <c r="F711">
        <f>IFERROR(VLOOKUP(원본데이터_SK!F711,채널매핑!$B:$E,4,0),1)</f>
        <v>1</v>
      </c>
      <c r="G711">
        <f>원본데이터_SK!Q711</f>
        <v>1</v>
      </c>
      <c r="H711">
        <f>원본데이터_SK!O711</f>
        <v>119000</v>
      </c>
      <c r="I711">
        <f>원본데이터_SK!AG711</f>
        <v>119000</v>
      </c>
      <c r="J711">
        <f>원본데이터_SK!AH711</f>
        <v>80920</v>
      </c>
      <c r="K711">
        <f>IFERROR(VLOOKUP(E711,제품마스터!$A:$B,2,0),0)</f>
        <v>0</v>
      </c>
      <c r="L711">
        <f>원본데이터_SK!Q711*원본데이터_SK!P711</f>
        <v>80920</v>
      </c>
    </row>
    <row r="712" spans="1:12" x14ac:dyDescent="0.3">
      <c r="A712" t="s">
        <v>11</v>
      </c>
      <c r="B712" t="str">
        <f>원본데이터_SK!D712</f>
        <v>20260210360557</v>
      </c>
      <c r="C712" t="str">
        <f>IF(원본데이터_SK!M712="","",TEXT(원본데이터_SK!M712,"YYYY-MM-DD"))</f>
        <v>2026-02-12</v>
      </c>
      <c r="D712" t="str">
        <f>원본데이터_SK!F712</f>
        <v>58481090</v>
      </c>
      <c r="E712" t="str">
        <f>IFERROR(VLOOKUP(원본데이터_SK!F712,채널매핑!$B:$D,3,0),"미매핑")</f>
        <v>미매핑</v>
      </c>
      <c r="F712">
        <f>IFERROR(VLOOKUP(원본데이터_SK!F712,채널매핑!$B:$E,4,0),1)</f>
        <v>1</v>
      </c>
      <c r="G712">
        <f>원본데이터_SK!Q712</f>
        <v>1</v>
      </c>
      <c r="H712">
        <f>원본데이터_SK!O712</f>
        <v>119000</v>
      </c>
      <c r="I712">
        <f>원본데이터_SK!AG712</f>
        <v>119000</v>
      </c>
      <c r="J712">
        <f>원본데이터_SK!AH712</f>
        <v>80920</v>
      </c>
      <c r="K712">
        <f>IFERROR(VLOOKUP(E712,제품마스터!$A:$B,2,0),0)</f>
        <v>0</v>
      </c>
      <c r="L712">
        <f>원본데이터_SK!Q712*원본데이터_SK!P712</f>
        <v>80920</v>
      </c>
    </row>
    <row r="713" spans="1:12" x14ac:dyDescent="0.3">
      <c r="A713" t="s">
        <v>11</v>
      </c>
      <c r="B713" t="str">
        <f>원본데이터_SK!D713</f>
        <v>20260210361392</v>
      </c>
      <c r="C713" t="str">
        <f>IF(원본데이터_SK!M713="","",TEXT(원본데이터_SK!M713,"YYYY-MM-DD"))</f>
        <v>2026-02-12</v>
      </c>
      <c r="D713" t="str">
        <f>원본데이터_SK!F713</f>
        <v>58481090</v>
      </c>
      <c r="E713" t="str">
        <f>IFERROR(VLOOKUP(원본데이터_SK!F713,채널매핑!$B:$D,3,0),"미매핑")</f>
        <v>미매핑</v>
      </c>
      <c r="F713">
        <f>IFERROR(VLOOKUP(원본데이터_SK!F713,채널매핑!$B:$E,4,0),1)</f>
        <v>1</v>
      </c>
      <c r="G713">
        <f>원본데이터_SK!Q713</f>
        <v>1</v>
      </c>
      <c r="H713">
        <f>원본데이터_SK!O713</f>
        <v>119000</v>
      </c>
      <c r="I713">
        <f>원본데이터_SK!AG713</f>
        <v>119000</v>
      </c>
      <c r="J713">
        <f>원본데이터_SK!AH713</f>
        <v>80920</v>
      </c>
      <c r="K713">
        <f>IFERROR(VLOOKUP(E713,제품마스터!$A:$B,2,0),0)</f>
        <v>0</v>
      </c>
      <c r="L713">
        <f>원본데이터_SK!Q713*원본데이터_SK!P713</f>
        <v>80920</v>
      </c>
    </row>
    <row r="714" spans="1:12" x14ac:dyDescent="0.3">
      <c r="A714" t="s">
        <v>11</v>
      </c>
      <c r="B714" t="str">
        <f>원본데이터_SK!D714</f>
        <v>20260210361499</v>
      </c>
      <c r="C714" t="str">
        <f>IF(원본데이터_SK!M714="","",TEXT(원본데이터_SK!M714,"YYYY-MM-DD"))</f>
        <v>2026-02-12</v>
      </c>
      <c r="D714" t="str">
        <f>원본데이터_SK!F714</f>
        <v>58481090</v>
      </c>
      <c r="E714" t="str">
        <f>IFERROR(VLOOKUP(원본데이터_SK!F714,채널매핑!$B:$D,3,0),"미매핑")</f>
        <v>미매핑</v>
      </c>
      <c r="F714">
        <f>IFERROR(VLOOKUP(원본데이터_SK!F714,채널매핑!$B:$E,4,0),1)</f>
        <v>1</v>
      </c>
      <c r="G714">
        <f>원본데이터_SK!Q714</f>
        <v>1</v>
      </c>
      <c r="H714">
        <f>원본데이터_SK!O714</f>
        <v>119000</v>
      </c>
      <c r="I714">
        <f>원본데이터_SK!AG714</f>
        <v>119000</v>
      </c>
      <c r="J714">
        <f>원본데이터_SK!AH714</f>
        <v>80920</v>
      </c>
      <c r="K714">
        <f>IFERROR(VLOOKUP(E714,제품마스터!$A:$B,2,0),0)</f>
        <v>0</v>
      </c>
      <c r="L714">
        <f>원본데이터_SK!Q714*원본데이터_SK!P714</f>
        <v>80920</v>
      </c>
    </row>
    <row r="715" spans="1:12" x14ac:dyDescent="0.3">
      <c r="A715" t="s">
        <v>11</v>
      </c>
      <c r="B715" t="str">
        <f>원본데이터_SK!D715</f>
        <v>20260210360664</v>
      </c>
      <c r="C715" t="str">
        <f>IF(원본데이터_SK!M715="","",TEXT(원본데이터_SK!M715,"YYYY-MM-DD"))</f>
        <v>2026-02-12</v>
      </c>
      <c r="D715" t="str">
        <f>원본데이터_SK!F715</f>
        <v>58481090</v>
      </c>
      <c r="E715" t="str">
        <f>IFERROR(VLOOKUP(원본데이터_SK!F715,채널매핑!$B:$D,3,0),"미매핑")</f>
        <v>미매핑</v>
      </c>
      <c r="F715">
        <f>IFERROR(VLOOKUP(원본데이터_SK!F715,채널매핑!$B:$E,4,0),1)</f>
        <v>1</v>
      </c>
      <c r="G715">
        <f>원본데이터_SK!Q715</f>
        <v>1</v>
      </c>
      <c r="H715">
        <f>원본데이터_SK!O715</f>
        <v>119000</v>
      </c>
      <c r="I715">
        <f>원본데이터_SK!AG715</f>
        <v>119000</v>
      </c>
      <c r="J715">
        <f>원본데이터_SK!AH715</f>
        <v>80920</v>
      </c>
      <c r="K715">
        <f>IFERROR(VLOOKUP(E715,제품마스터!$A:$B,2,0),0)</f>
        <v>0</v>
      </c>
      <c r="L715">
        <f>원본데이터_SK!Q715*원본데이터_SK!P715</f>
        <v>80920</v>
      </c>
    </row>
    <row r="716" spans="1:12" x14ac:dyDescent="0.3">
      <c r="A716" t="s">
        <v>11</v>
      </c>
      <c r="B716" t="str">
        <f>원본데이터_SK!D716</f>
        <v>20260210361611</v>
      </c>
      <c r="C716" t="str">
        <f>IF(원본데이터_SK!M716="","",TEXT(원본데이터_SK!M716,"YYYY-MM-DD"))</f>
        <v>2026-02-12</v>
      </c>
      <c r="D716" t="str">
        <f>원본데이터_SK!F716</f>
        <v>58481090</v>
      </c>
      <c r="E716" t="str">
        <f>IFERROR(VLOOKUP(원본데이터_SK!F716,채널매핑!$B:$D,3,0),"미매핑")</f>
        <v>미매핑</v>
      </c>
      <c r="F716">
        <f>IFERROR(VLOOKUP(원본데이터_SK!F716,채널매핑!$B:$E,4,0),1)</f>
        <v>1</v>
      </c>
      <c r="G716">
        <f>원본데이터_SK!Q716</f>
        <v>1</v>
      </c>
      <c r="H716">
        <f>원본데이터_SK!O716</f>
        <v>119000</v>
      </c>
      <c r="I716">
        <f>원본데이터_SK!AG716</f>
        <v>119000</v>
      </c>
      <c r="J716">
        <f>원본데이터_SK!AH716</f>
        <v>80920</v>
      </c>
      <c r="K716">
        <f>IFERROR(VLOOKUP(E716,제품마스터!$A:$B,2,0),0)</f>
        <v>0</v>
      </c>
      <c r="L716">
        <f>원본데이터_SK!Q716*원본데이터_SK!P716</f>
        <v>80920</v>
      </c>
    </row>
    <row r="717" spans="1:12" x14ac:dyDescent="0.3">
      <c r="A717" t="s">
        <v>11</v>
      </c>
      <c r="B717" t="str">
        <f>원본데이터_SK!D717</f>
        <v>20260210361659</v>
      </c>
      <c r="C717" t="str">
        <f>IF(원본데이터_SK!M717="","",TEXT(원본데이터_SK!M717,"YYYY-MM-DD"))</f>
        <v>2026-02-12</v>
      </c>
      <c r="D717" t="str">
        <f>원본데이터_SK!F717</f>
        <v>58481090</v>
      </c>
      <c r="E717" t="str">
        <f>IFERROR(VLOOKUP(원본데이터_SK!F717,채널매핑!$B:$D,3,0),"미매핑")</f>
        <v>미매핑</v>
      </c>
      <c r="F717">
        <f>IFERROR(VLOOKUP(원본데이터_SK!F717,채널매핑!$B:$E,4,0),1)</f>
        <v>1</v>
      </c>
      <c r="G717">
        <f>원본데이터_SK!Q717</f>
        <v>1</v>
      </c>
      <c r="H717">
        <f>원본데이터_SK!O717</f>
        <v>119000</v>
      </c>
      <c r="I717">
        <f>원본데이터_SK!AG717</f>
        <v>119000</v>
      </c>
      <c r="J717">
        <f>원본데이터_SK!AH717</f>
        <v>80920</v>
      </c>
      <c r="K717">
        <f>IFERROR(VLOOKUP(E717,제품마스터!$A:$B,2,0),0)</f>
        <v>0</v>
      </c>
      <c r="L717">
        <f>원본데이터_SK!Q717*원본데이터_SK!P717</f>
        <v>80920</v>
      </c>
    </row>
    <row r="718" spans="1:12" x14ac:dyDescent="0.3">
      <c r="A718" t="s">
        <v>11</v>
      </c>
      <c r="B718" t="str">
        <f>원본데이터_SK!D718</f>
        <v>20260210361936</v>
      </c>
      <c r="C718" t="str">
        <f>IF(원본데이터_SK!M718="","",TEXT(원본데이터_SK!M718,"YYYY-MM-DD"))</f>
        <v>2026-02-12</v>
      </c>
      <c r="D718" t="str">
        <f>원본데이터_SK!F718</f>
        <v>58481090</v>
      </c>
      <c r="E718" t="str">
        <f>IFERROR(VLOOKUP(원본데이터_SK!F718,채널매핑!$B:$D,3,0),"미매핑")</f>
        <v>미매핑</v>
      </c>
      <c r="F718">
        <f>IFERROR(VLOOKUP(원본데이터_SK!F718,채널매핑!$B:$E,4,0),1)</f>
        <v>1</v>
      </c>
      <c r="G718">
        <f>원본데이터_SK!Q718</f>
        <v>1</v>
      </c>
      <c r="H718">
        <f>원본데이터_SK!O718</f>
        <v>119000</v>
      </c>
      <c r="I718">
        <f>원본데이터_SK!AG718</f>
        <v>119000</v>
      </c>
      <c r="J718">
        <f>원본데이터_SK!AH718</f>
        <v>80920</v>
      </c>
      <c r="K718">
        <f>IFERROR(VLOOKUP(E718,제품마스터!$A:$B,2,0),0)</f>
        <v>0</v>
      </c>
      <c r="L718">
        <f>원본데이터_SK!Q718*원본데이터_SK!P718</f>
        <v>80920</v>
      </c>
    </row>
    <row r="719" spans="1:12" x14ac:dyDescent="0.3">
      <c r="A719" t="s">
        <v>11</v>
      </c>
      <c r="B719" t="str">
        <f>원본데이터_SK!D719</f>
        <v>20260210362041</v>
      </c>
      <c r="C719" t="str">
        <f>IF(원본데이터_SK!M719="","",TEXT(원본데이터_SK!M719,"YYYY-MM-DD"))</f>
        <v>2026-02-12</v>
      </c>
      <c r="D719" t="str">
        <f>원본데이터_SK!F719</f>
        <v>58481090</v>
      </c>
      <c r="E719" t="str">
        <f>IFERROR(VLOOKUP(원본데이터_SK!F719,채널매핑!$B:$D,3,0),"미매핑")</f>
        <v>미매핑</v>
      </c>
      <c r="F719">
        <f>IFERROR(VLOOKUP(원본데이터_SK!F719,채널매핑!$B:$E,4,0),1)</f>
        <v>1</v>
      </c>
      <c r="G719">
        <f>원본데이터_SK!Q719</f>
        <v>1</v>
      </c>
      <c r="H719">
        <f>원본데이터_SK!O719</f>
        <v>119000</v>
      </c>
      <c r="I719">
        <f>원본데이터_SK!AG719</f>
        <v>119000</v>
      </c>
      <c r="J719">
        <f>원본데이터_SK!AH719</f>
        <v>80920</v>
      </c>
      <c r="K719">
        <f>IFERROR(VLOOKUP(E719,제품마스터!$A:$B,2,0),0)</f>
        <v>0</v>
      </c>
      <c r="L719">
        <f>원본데이터_SK!Q719*원본데이터_SK!P719</f>
        <v>80920</v>
      </c>
    </row>
    <row r="720" spans="1:12" x14ac:dyDescent="0.3">
      <c r="A720" t="s">
        <v>11</v>
      </c>
      <c r="B720" t="str">
        <f>원본데이터_SK!D720</f>
        <v>20260210362161</v>
      </c>
      <c r="C720" t="str">
        <f>IF(원본데이터_SK!M720="","",TEXT(원본데이터_SK!M720,"YYYY-MM-DD"))</f>
        <v>2026-02-12</v>
      </c>
      <c r="D720" t="str">
        <f>원본데이터_SK!F720</f>
        <v>58481090</v>
      </c>
      <c r="E720" t="str">
        <f>IFERROR(VLOOKUP(원본데이터_SK!F720,채널매핑!$B:$D,3,0),"미매핑")</f>
        <v>미매핑</v>
      </c>
      <c r="F720">
        <f>IFERROR(VLOOKUP(원본데이터_SK!F720,채널매핑!$B:$E,4,0),1)</f>
        <v>1</v>
      </c>
      <c r="G720">
        <f>원본데이터_SK!Q720</f>
        <v>1</v>
      </c>
      <c r="H720">
        <f>원본데이터_SK!O720</f>
        <v>119000</v>
      </c>
      <c r="I720">
        <f>원본데이터_SK!AG720</f>
        <v>119000</v>
      </c>
      <c r="J720">
        <f>원본데이터_SK!AH720</f>
        <v>80920</v>
      </c>
      <c r="K720">
        <f>IFERROR(VLOOKUP(E720,제품마스터!$A:$B,2,0),0)</f>
        <v>0</v>
      </c>
      <c r="L720">
        <f>원본데이터_SK!Q720*원본데이터_SK!P720</f>
        <v>80920</v>
      </c>
    </row>
    <row r="721" spans="1:12" x14ac:dyDescent="0.3">
      <c r="A721" t="s">
        <v>11</v>
      </c>
      <c r="B721" t="str">
        <f>원본데이터_SK!D721</f>
        <v>20260210360981</v>
      </c>
      <c r="C721" t="str">
        <f>IF(원본데이터_SK!M721="","",TEXT(원본데이터_SK!M721,"YYYY-MM-DD"))</f>
        <v>2026-02-12</v>
      </c>
      <c r="D721" t="str">
        <f>원본데이터_SK!F721</f>
        <v>58481090</v>
      </c>
      <c r="E721" t="str">
        <f>IFERROR(VLOOKUP(원본데이터_SK!F721,채널매핑!$B:$D,3,0),"미매핑")</f>
        <v>미매핑</v>
      </c>
      <c r="F721">
        <f>IFERROR(VLOOKUP(원본데이터_SK!F721,채널매핑!$B:$E,4,0),1)</f>
        <v>1</v>
      </c>
      <c r="G721">
        <f>원본데이터_SK!Q721</f>
        <v>1</v>
      </c>
      <c r="H721">
        <f>원본데이터_SK!O721</f>
        <v>119000</v>
      </c>
      <c r="I721">
        <f>원본데이터_SK!AG721</f>
        <v>109000</v>
      </c>
      <c r="J721">
        <f>원본데이터_SK!AH721</f>
        <v>80920</v>
      </c>
      <c r="K721">
        <f>IFERROR(VLOOKUP(E721,제품마스터!$A:$B,2,0),0)</f>
        <v>0</v>
      </c>
      <c r="L721">
        <f>원본데이터_SK!Q721*원본데이터_SK!P721</f>
        <v>80920</v>
      </c>
    </row>
    <row r="722" spans="1:12" x14ac:dyDescent="0.3">
      <c r="A722" t="s">
        <v>11</v>
      </c>
      <c r="B722" t="str">
        <f>원본데이터_SK!D722</f>
        <v>20260210360090</v>
      </c>
      <c r="C722" t="str">
        <f>IF(원본데이터_SK!M722="","",TEXT(원본데이터_SK!M722,"YYYY-MM-DD"))</f>
        <v>2026-02-12</v>
      </c>
      <c r="D722" t="str">
        <f>원본데이터_SK!F722</f>
        <v>58481090</v>
      </c>
      <c r="E722" t="str">
        <f>IFERROR(VLOOKUP(원본데이터_SK!F722,채널매핑!$B:$D,3,0),"미매핑")</f>
        <v>미매핑</v>
      </c>
      <c r="F722">
        <f>IFERROR(VLOOKUP(원본데이터_SK!F722,채널매핑!$B:$E,4,0),1)</f>
        <v>1</v>
      </c>
      <c r="G722">
        <f>원본데이터_SK!Q722</f>
        <v>1</v>
      </c>
      <c r="H722">
        <f>원본데이터_SK!O722</f>
        <v>119000</v>
      </c>
      <c r="I722">
        <f>원본데이터_SK!AG722</f>
        <v>119000</v>
      </c>
      <c r="J722">
        <f>원본데이터_SK!AH722</f>
        <v>80920</v>
      </c>
      <c r="K722">
        <f>IFERROR(VLOOKUP(E722,제품마스터!$A:$B,2,0),0)</f>
        <v>0</v>
      </c>
      <c r="L722">
        <f>원본데이터_SK!Q722*원본데이터_SK!P722</f>
        <v>80920</v>
      </c>
    </row>
    <row r="723" spans="1:12" x14ac:dyDescent="0.3">
      <c r="A723" t="s">
        <v>11</v>
      </c>
      <c r="B723" t="str">
        <f>원본데이터_SK!D723</f>
        <v>20260210360250</v>
      </c>
      <c r="C723" t="str">
        <f>IF(원본데이터_SK!M723="","",TEXT(원본데이터_SK!M723,"YYYY-MM-DD"))</f>
        <v>2026-02-12</v>
      </c>
      <c r="D723" t="str">
        <f>원본데이터_SK!F723</f>
        <v>58481090</v>
      </c>
      <c r="E723" t="str">
        <f>IFERROR(VLOOKUP(원본데이터_SK!F723,채널매핑!$B:$D,3,0),"미매핑")</f>
        <v>미매핑</v>
      </c>
      <c r="F723">
        <f>IFERROR(VLOOKUP(원본데이터_SK!F723,채널매핑!$B:$E,4,0),1)</f>
        <v>1</v>
      </c>
      <c r="G723">
        <f>원본데이터_SK!Q723</f>
        <v>1</v>
      </c>
      <c r="H723">
        <f>원본데이터_SK!O723</f>
        <v>119000</v>
      </c>
      <c r="I723">
        <f>원본데이터_SK!AG723</f>
        <v>119000</v>
      </c>
      <c r="J723">
        <f>원본데이터_SK!AH723</f>
        <v>80920</v>
      </c>
      <c r="K723">
        <f>IFERROR(VLOOKUP(E723,제품마스터!$A:$B,2,0),0)</f>
        <v>0</v>
      </c>
      <c r="L723">
        <f>원본데이터_SK!Q723*원본데이터_SK!P723</f>
        <v>80920</v>
      </c>
    </row>
    <row r="724" spans="1:12" x14ac:dyDescent="0.3">
      <c r="A724" t="s">
        <v>11</v>
      </c>
      <c r="B724" t="str">
        <f>원본데이터_SK!D724</f>
        <v>20260210360422</v>
      </c>
      <c r="C724" t="str">
        <f>IF(원본데이터_SK!M724="","",TEXT(원본데이터_SK!M724,"YYYY-MM-DD"))</f>
        <v>2026-02-12</v>
      </c>
      <c r="D724" t="str">
        <f>원본데이터_SK!F724</f>
        <v>58481090</v>
      </c>
      <c r="E724" t="str">
        <f>IFERROR(VLOOKUP(원본데이터_SK!F724,채널매핑!$B:$D,3,0),"미매핑")</f>
        <v>미매핑</v>
      </c>
      <c r="F724">
        <f>IFERROR(VLOOKUP(원본데이터_SK!F724,채널매핑!$B:$E,4,0),1)</f>
        <v>1</v>
      </c>
      <c r="G724">
        <f>원본데이터_SK!Q724</f>
        <v>1</v>
      </c>
      <c r="H724">
        <f>원본데이터_SK!O724</f>
        <v>119000</v>
      </c>
      <c r="I724">
        <f>원본데이터_SK!AG724</f>
        <v>119000</v>
      </c>
      <c r="J724">
        <f>원본데이터_SK!AH724</f>
        <v>80920</v>
      </c>
      <c r="K724">
        <f>IFERROR(VLOOKUP(E724,제품마스터!$A:$B,2,0),0)</f>
        <v>0</v>
      </c>
      <c r="L724">
        <f>원본데이터_SK!Q724*원본데이터_SK!P724</f>
        <v>80920</v>
      </c>
    </row>
    <row r="725" spans="1:12" x14ac:dyDescent="0.3">
      <c r="A725" t="s">
        <v>11</v>
      </c>
      <c r="B725" t="str">
        <f>원본데이터_SK!D725</f>
        <v>20260210360428</v>
      </c>
      <c r="C725" t="str">
        <f>IF(원본데이터_SK!M725="","",TEXT(원본데이터_SK!M725,"YYYY-MM-DD"))</f>
        <v>2026-02-12</v>
      </c>
      <c r="D725" t="str">
        <f>원본데이터_SK!F725</f>
        <v>58481090</v>
      </c>
      <c r="E725" t="str">
        <f>IFERROR(VLOOKUP(원본데이터_SK!F725,채널매핑!$B:$D,3,0),"미매핑")</f>
        <v>미매핑</v>
      </c>
      <c r="F725">
        <f>IFERROR(VLOOKUP(원본데이터_SK!F725,채널매핑!$B:$E,4,0),1)</f>
        <v>1</v>
      </c>
      <c r="G725">
        <f>원본데이터_SK!Q725</f>
        <v>1</v>
      </c>
      <c r="H725">
        <f>원본데이터_SK!O725</f>
        <v>119000</v>
      </c>
      <c r="I725">
        <f>원본데이터_SK!AG725</f>
        <v>119000</v>
      </c>
      <c r="J725">
        <f>원본데이터_SK!AH725</f>
        <v>80920</v>
      </c>
      <c r="K725">
        <f>IFERROR(VLOOKUP(E725,제품마스터!$A:$B,2,0),0)</f>
        <v>0</v>
      </c>
      <c r="L725">
        <f>원본데이터_SK!Q725*원본데이터_SK!P725</f>
        <v>80920</v>
      </c>
    </row>
    <row r="726" spans="1:12" x14ac:dyDescent="0.3">
      <c r="A726" t="s">
        <v>11</v>
      </c>
      <c r="B726" t="str">
        <f>원본데이터_SK!D726</f>
        <v>20260210361274</v>
      </c>
      <c r="C726" t="str">
        <f>IF(원본데이터_SK!M726="","",TEXT(원본데이터_SK!M726,"YYYY-MM-DD"))</f>
        <v>2026-02-12</v>
      </c>
      <c r="D726" t="str">
        <f>원본데이터_SK!F726</f>
        <v>58481090</v>
      </c>
      <c r="E726" t="str">
        <f>IFERROR(VLOOKUP(원본데이터_SK!F726,채널매핑!$B:$D,3,0),"미매핑")</f>
        <v>미매핑</v>
      </c>
      <c r="F726">
        <f>IFERROR(VLOOKUP(원본데이터_SK!F726,채널매핑!$B:$E,4,0),1)</f>
        <v>1</v>
      </c>
      <c r="G726">
        <f>원본데이터_SK!Q726</f>
        <v>1</v>
      </c>
      <c r="H726">
        <f>원본데이터_SK!O726</f>
        <v>119000</v>
      </c>
      <c r="I726">
        <f>원본데이터_SK!AG726</f>
        <v>119000</v>
      </c>
      <c r="J726">
        <f>원본데이터_SK!AH726</f>
        <v>80920</v>
      </c>
      <c r="K726">
        <f>IFERROR(VLOOKUP(E726,제품마스터!$A:$B,2,0),0)</f>
        <v>0</v>
      </c>
      <c r="L726">
        <f>원본데이터_SK!Q726*원본데이터_SK!P726</f>
        <v>80920</v>
      </c>
    </row>
    <row r="727" spans="1:12" x14ac:dyDescent="0.3">
      <c r="A727" t="s">
        <v>11</v>
      </c>
      <c r="B727" t="str">
        <f>원본데이터_SK!D727</f>
        <v>20260210361271</v>
      </c>
      <c r="C727" t="str">
        <f>IF(원본데이터_SK!M727="","",TEXT(원본데이터_SK!M727,"YYYY-MM-DD"))</f>
        <v>2026-02-12</v>
      </c>
      <c r="D727" t="str">
        <f>원본데이터_SK!F727</f>
        <v>58481090</v>
      </c>
      <c r="E727" t="str">
        <f>IFERROR(VLOOKUP(원본데이터_SK!F727,채널매핑!$B:$D,3,0),"미매핑")</f>
        <v>미매핑</v>
      </c>
      <c r="F727">
        <f>IFERROR(VLOOKUP(원본데이터_SK!F727,채널매핑!$B:$E,4,0),1)</f>
        <v>1</v>
      </c>
      <c r="G727">
        <f>원본데이터_SK!Q727</f>
        <v>1</v>
      </c>
      <c r="H727">
        <f>원본데이터_SK!O727</f>
        <v>119000</v>
      </c>
      <c r="I727">
        <f>원본데이터_SK!AG727</f>
        <v>119000</v>
      </c>
      <c r="J727">
        <f>원본데이터_SK!AH727</f>
        <v>80920</v>
      </c>
      <c r="K727">
        <f>IFERROR(VLOOKUP(E727,제품마스터!$A:$B,2,0),0)</f>
        <v>0</v>
      </c>
      <c r="L727">
        <f>원본데이터_SK!Q727*원본데이터_SK!P727</f>
        <v>80920</v>
      </c>
    </row>
    <row r="728" spans="1:12" x14ac:dyDescent="0.3">
      <c r="A728" t="s">
        <v>11</v>
      </c>
      <c r="B728" t="str">
        <f>원본데이터_SK!D728</f>
        <v>20260210360545</v>
      </c>
      <c r="C728" t="str">
        <f>IF(원본데이터_SK!M728="","",TEXT(원본데이터_SK!M728,"YYYY-MM-DD"))</f>
        <v>2026-02-12</v>
      </c>
      <c r="D728" t="str">
        <f>원본데이터_SK!F728</f>
        <v>58481090</v>
      </c>
      <c r="E728" t="str">
        <f>IFERROR(VLOOKUP(원본데이터_SK!F728,채널매핑!$B:$D,3,0),"미매핑")</f>
        <v>미매핑</v>
      </c>
      <c r="F728">
        <f>IFERROR(VLOOKUP(원본데이터_SK!F728,채널매핑!$B:$E,4,0),1)</f>
        <v>1</v>
      </c>
      <c r="G728">
        <f>원본데이터_SK!Q728</f>
        <v>1</v>
      </c>
      <c r="H728">
        <f>원본데이터_SK!O728</f>
        <v>119000</v>
      </c>
      <c r="I728">
        <f>원본데이터_SK!AG728</f>
        <v>119000</v>
      </c>
      <c r="J728">
        <f>원본데이터_SK!AH728</f>
        <v>80920</v>
      </c>
      <c r="K728">
        <f>IFERROR(VLOOKUP(E728,제품마스터!$A:$B,2,0),0)</f>
        <v>0</v>
      </c>
      <c r="L728">
        <f>원본데이터_SK!Q728*원본데이터_SK!P728</f>
        <v>80920</v>
      </c>
    </row>
    <row r="729" spans="1:12" x14ac:dyDescent="0.3">
      <c r="A729" t="s">
        <v>11</v>
      </c>
      <c r="B729" t="str">
        <f>원본데이터_SK!D729</f>
        <v>20260210360564</v>
      </c>
      <c r="C729" t="str">
        <f>IF(원본데이터_SK!M729="","",TEXT(원본데이터_SK!M729,"YYYY-MM-DD"))</f>
        <v>2026-02-12</v>
      </c>
      <c r="D729" t="str">
        <f>원본데이터_SK!F729</f>
        <v>58481090</v>
      </c>
      <c r="E729" t="str">
        <f>IFERROR(VLOOKUP(원본데이터_SK!F729,채널매핑!$B:$D,3,0),"미매핑")</f>
        <v>미매핑</v>
      </c>
      <c r="F729">
        <f>IFERROR(VLOOKUP(원본데이터_SK!F729,채널매핑!$B:$E,4,0),1)</f>
        <v>1</v>
      </c>
      <c r="G729">
        <f>원본데이터_SK!Q729</f>
        <v>1</v>
      </c>
      <c r="H729">
        <f>원본데이터_SK!O729</f>
        <v>119000</v>
      </c>
      <c r="I729">
        <f>원본데이터_SK!AG729</f>
        <v>113050</v>
      </c>
      <c r="J729">
        <f>원본데이터_SK!AH729</f>
        <v>80920</v>
      </c>
      <c r="K729">
        <f>IFERROR(VLOOKUP(E729,제품마스터!$A:$B,2,0),0)</f>
        <v>0</v>
      </c>
      <c r="L729">
        <f>원본데이터_SK!Q729*원본데이터_SK!P729</f>
        <v>80920</v>
      </c>
    </row>
    <row r="730" spans="1:12" x14ac:dyDescent="0.3">
      <c r="A730" t="s">
        <v>11</v>
      </c>
      <c r="B730" t="str">
        <f>원본데이터_SK!D730</f>
        <v>20260210360718</v>
      </c>
      <c r="C730" t="str">
        <f>IF(원본데이터_SK!M730="","",TEXT(원본데이터_SK!M730,"YYYY-MM-DD"))</f>
        <v>2026-02-12</v>
      </c>
      <c r="D730" t="str">
        <f>원본데이터_SK!F730</f>
        <v>58481090</v>
      </c>
      <c r="E730" t="str">
        <f>IFERROR(VLOOKUP(원본데이터_SK!F730,채널매핑!$B:$D,3,0),"미매핑")</f>
        <v>미매핑</v>
      </c>
      <c r="F730">
        <f>IFERROR(VLOOKUP(원본데이터_SK!F730,채널매핑!$B:$E,4,0),1)</f>
        <v>1</v>
      </c>
      <c r="G730">
        <f>원본데이터_SK!Q730</f>
        <v>1</v>
      </c>
      <c r="H730">
        <f>원본데이터_SK!O730</f>
        <v>119000</v>
      </c>
      <c r="I730">
        <f>원본데이터_SK!AG730</f>
        <v>119000</v>
      </c>
      <c r="J730">
        <f>원본데이터_SK!AH730</f>
        <v>80920</v>
      </c>
      <c r="K730">
        <f>IFERROR(VLOOKUP(E730,제품마스터!$A:$B,2,0),0)</f>
        <v>0</v>
      </c>
      <c r="L730">
        <f>원본데이터_SK!Q730*원본데이터_SK!P730</f>
        <v>80920</v>
      </c>
    </row>
    <row r="731" spans="1:12" x14ac:dyDescent="0.3">
      <c r="A731" t="s">
        <v>11</v>
      </c>
      <c r="B731" t="str">
        <f>원본데이터_SK!D731</f>
        <v>20260210361907</v>
      </c>
      <c r="C731" t="str">
        <f>IF(원본데이터_SK!M731="","",TEXT(원본데이터_SK!M731,"YYYY-MM-DD"))</f>
        <v>2026-02-12</v>
      </c>
      <c r="D731" t="str">
        <f>원본데이터_SK!F731</f>
        <v>58481090</v>
      </c>
      <c r="E731" t="str">
        <f>IFERROR(VLOOKUP(원본데이터_SK!F731,채널매핑!$B:$D,3,0),"미매핑")</f>
        <v>미매핑</v>
      </c>
      <c r="F731">
        <f>IFERROR(VLOOKUP(원본데이터_SK!F731,채널매핑!$B:$E,4,0),1)</f>
        <v>1</v>
      </c>
      <c r="G731">
        <f>원본데이터_SK!Q731</f>
        <v>1</v>
      </c>
      <c r="H731">
        <f>원본데이터_SK!O731</f>
        <v>119000</v>
      </c>
      <c r="I731">
        <f>원본데이터_SK!AG731</f>
        <v>119000</v>
      </c>
      <c r="J731">
        <f>원본데이터_SK!AH731</f>
        <v>80920</v>
      </c>
      <c r="K731">
        <f>IFERROR(VLOOKUP(E731,제품마스터!$A:$B,2,0),0)</f>
        <v>0</v>
      </c>
      <c r="L731">
        <f>원본데이터_SK!Q731*원본데이터_SK!P731</f>
        <v>80920</v>
      </c>
    </row>
    <row r="732" spans="1:12" x14ac:dyDescent="0.3">
      <c r="A732" t="s">
        <v>11</v>
      </c>
      <c r="B732" t="str">
        <f>원본데이터_SK!D732</f>
        <v>20260210361763</v>
      </c>
      <c r="C732" t="str">
        <f>IF(원본데이터_SK!M732="","",TEXT(원본데이터_SK!M732,"YYYY-MM-DD"))</f>
        <v>2026-02-12</v>
      </c>
      <c r="D732" t="str">
        <f>원본데이터_SK!F732</f>
        <v>58481090</v>
      </c>
      <c r="E732" t="str">
        <f>IFERROR(VLOOKUP(원본데이터_SK!F732,채널매핑!$B:$D,3,0),"미매핑")</f>
        <v>미매핑</v>
      </c>
      <c r="F732">
        <f>IFERROR(VLOOKUP(원본데이터_SK!F732,채널매핑!$B:$E,4,0),1)</f>
        <v>1</v>
      </c>
      <c r="G732">
        <f>원본데이터_SK!Q732</f>
        <v>1</v>
      </c>
      <c r="H732">
        <f>원본데이터_SK!O732</f>
        <v>119000</v>
      </c>
      <c r="I732">
        <f>원본데이터_SK!AG732</f>
        <v>104720</v>
      </c>
      <c r="J732">
        <f>원본데이터_SK!AH732</f>
        <v>80920</v>
      </c>
      <c r="K732">
        <f>IFERROR(VLOOKUP(E732,제품마스터!$A:$B,2,0),0)</f>
        <v>0</v>
      </c>
      <c r="L732">
        <f>원본데이터_SK!Q732*원본데이터_SK!P732</f>
        <v>80920</v>
      </c>
    </row>
    <row r="733" spans="1:12" x14ac:dyDescent="0.3">
      <c r="A733" t="s">
        <v>11</v>
      </c>
      <c r="B733" t="str">
        <f>원본데이터_SK!D733</f>
        <v>20260210361537</v>
      </c>
      <c r="C733" t="str">
        <f>IF(원본데이터_SK!M733="","",TEXT(원본데이터_SK!M733,"YYYY-MM-DD"))</f>
        <v>2026-02-12</v>
      </c>
      <c r="D733" t="str">
        <f>원본데이터_SK!F733</f>
        <v>58481090</v>
      </c>
      <c r="E733" t="str">
        <f>IFERROR(VLOOKUP(원본데이터_SK!F733,채널매핑!$B:$D,3,0),"미매핑")</f>
        <v>미매핑</v>
      </c>
      <c r="F733">
        <f>IFERROR(VLOOKUP(원본데이터_SK!F733,채널매핑!$B:$E,4,0),1)</f>
        <v>1</v>
      </c>
      <c r="G733">
        <f>원본데이터_SK!Q733</f>
        <v>1</v>
      </c>
      <c r="H733">
        <f>원본데이터_SK!O733</f>
        <v>119000</v>
      </c>
      <c r="I733">
        <f>원본데이터_SK!AG733</f>
        <v>119000</v>
      </c>
      <c r="J733">
        <f>원본데이터_SK!AH733</f>
        <v>80920</v>
      </c>
      <c r="K733">
        <f>IFERROR(VLOOKUP(E733,제품마스터!$A:$B,2,0),0)</f>
        <v>0</v>
      </c>
      <c r="L733">
        <f>원본데이터_SK!Q733*원본데이터_SK!P733</f>
        <v>80920</v>
      </c>
    </row>
    <row r="734" spans="1:12" x14ac:dyDescent="0.3">
      <c r="A734" t="s">
        <v>11</v>
      </c>
      <c r="B734" t="str">
        <f>원본데이터_SK!D734</f>
        <v>20260210362086</v>
      </c>
      <c r="C734" t="str">
        <f>IF(원본데이터_SK!M734="","",TEXT(원본데이터_SK!M734,"YYYY-MM-DD"))</f>
        <v>2026-02-12</v>
      </c>
      <c r="D734" t="str">
        <f>원본데이터_SK!F734</f>
        <v>58481090</v>
      </c>
      <c r="E734" t="str">
        <f>IFERROR(VLOOKUP(원본데이터_SK!F734,채널매핑!$B:$D,3,0),"미매핑")</f>
        <v>미매핑</v>
      </c>
      <c r="F734">
        <f>IFERROR(VLOOKUP(원본데이터_SK!F734,채널매핑!$B:$E,4,0),1)</f>
        <v>1</v>
      </c>
      <c r="G734">
        <f>원본데이터_SK!Q734</f>
        <v>1</v>
      </c>
      <c r="H734">
        <f>원본데이터_SK!O734</f>
        <v>119000</v>
      </c>
      <c r="I734">
        <f>원본데이터_SK!AG734</f>
        <v>119000</v>
      </c>
      <c r="J734">
        <f>원본데이터_SK!AH734</f>
        <v>80920</v>
      </c>
      <c r="K734">
        <f>IFERROR(VLOOKUP(E734,제품마스터!$A:$B,2,0),0)</f>
        <v>0</v>
      </c>
      <c r="L734">
        <f>원본데이터_SK!Q734*원본데이터_SK!P734</f>
        <v>80920</v>
      </c>
    </row>
    <row r="735" spans="1:12" x14ac:dyDescent="0.3">
      <c r="A735" t="s">
        <v>11</v>
      </c>
      <c r="B735" t="str">
        <f>원본데이터_SK!D735</f>
        <v>20260210360468</v>
      </c>
      <c r="C735" t="str">
        <f>IF(원본데이터_SK!M735="","",TEXT(원본데이터_SK!M735,"YYYY-MM-DD"))</f>
        <v>2026-02-12</v>
      </c>
      <c r="D735" t="str">
        <f>원본데이터_SK!F735</f>
        <v>58481090</v>
      </c>
      <c r="E735" t="str">
        <f>IFERROR(VLOOKUP(원본데이터_SK!F735,채널매핑!$B:$D,3,0),"미매핑")</f>
        <v>미매핑</v>
      </c>
      <c r="F735">
        <f>IFERROR(VLOOKUP(원본데이터_SK!F735,채널매핑!$B:$E,4,0),1)</f>
        <v>1</v>
      </c>
      <c r="G735">
        <f>원본데이터_SK!Q735</f>
        <v>1</v>
      </c>
      <c r="H735">
        <f>원본데이터_SK!O735</f>
        <v>119000</v>
      </c>
      <c r="I735">
        <f>원본데이터_SK!AG735</f>
        <v>119000</v>
      </c>
      <c r="J735">
        <f>원본데이터_SK!AH735</f>
        <v>80920</v>
      </c>
      <c r="K735">
        <f>IFERROR(VLOOKUP(E735,제품마스터!$A:$B,2,0),0)</f>
        <v>0</v>
      </c>
      <c r="L735">
        <f>원본데이터_SK!Q735*원본데이터_SK!P735</f>
        <v>80920</v>
      </c>
    </row>
    <row r="736" spans="1:12" x14ac:dyDescent="0.3">
      <c r="A736" t="s">
        <v>11</v>
      </c>
      <c r="B736" t="str">
        <f>원본데이터_SK!D736</f>
        <v>20260210360549</v>
      </c>
      <c r="C736" t="str">
        <f>IF(원본데이터_SK!M736="","",TEXT(원본데이터_SK!M736,"YYYY-MM-DD"))</f>
        <v>2026-02-12</v>
      </c>
      <c r="D736" t="str">
        <f>원본데이터_SK!F736</f>
        <v>58481090</v>
      </c>
      <c r="E736" t="str">
        <f>IFERROR(VLOOKUP(원본데이터_SK!F736,채널매핑!$B:$D,3,0),"미매핑")</f>
        <v>미매핑</v>
      </c>
      <c r="F736">
        <f>IFERROR(VLOOKUP(원본데이터_SK!F736,채널매핑!$B:$E,4,0),1)</f>
        <v>1</v>
      </c>
      <c r="G736">
        <f>원본데이터_SK!Q736</f>
        <v>1</v>
      </c>
      <c r="H736">
        <f>원본데이터_SK!O736</f>
        <v>119000</v>
      </c>
      <c r="I736">
        <f>원본데이터_SK!AG736</f>
        <v>119000</v>
      </c>
      <c r="J736">
        <f>원본데이터_SK!AH736</f>
        <v>80920</v>
      </c>
      <c r="K736">
        <f>IFERROR(VLOOKUP(E736,제품마스터!$A:$B,2,0),0)</f>
        <v>0</v>
      </c>
      <c r="L736">
        <f>원본데이터_SK!Q736*원본데이터_SK!P736</f>
        <v>80920</v>
      </c>
    </row>
    <row r="737" spans="1:12" x14ac:dyDescent="0.3">
      <c r="A737" t="s">
        <v>11</v>
      </c>
      <c r="B737" t="str">
        <f>원본데이터_SK!D737</f>
        <v>20260210360555</v>
      </c>
      <c r="C737" t="str">
        <f>IF(원본데이터_SK!M737="","",TEXT(원본데이터_SK!M737,"YYYY-MM-DD"))</f>
        <v>2026-02-12</v>
      </c>
      <c r="D737" t="str">
        <f>원본데이터_SK!F737</f>
        <v>58481090</v>
      </c>
      <c r="E737" t="str">
        <f>IFERROR(VLOOKUP(원본데이터_SK!F737,채널매핑!$B:$D,3,0),"미매핑")</f>
        <v>미매핑</v>
      </c>
      <c r="F737">
        <f>IFERROR(VLOOKUP(원본데이터_SK!F737,채널매핑!$B:$E,4,0),1)</f>
        <v>1</v>
      </c>
      <c r="G737">
        <f>원본데이터_SK!Q737</f>
        <v>1</v>
      </c>
      <c r="H737">
        <f>원본데이터_SK!O737</f>
        <v>119000</v>
      </c>
      <c r="I737">
        <f>원본데이터_SK!AG737</f>
        <v>119000</v>
      </c>
      <c r="J737">
        <f>원본데이터_SK!AH737</f>
        <v>80920</v>
      </c>
      <c r="K737">
        <f>IFERROR(VLOOKUP(E737,제품마스터!$A:$B,2,0),0)</f>
        <v>0</v>
      </c>
      <c r="L737">
        <f>원본데이터_SK!Q737*원본데이터_SK!P737</f>
        <v>80920</v>
      </c>
    </row>
    <row r="738" spans="1:12" x14ac:dyDescent="0.3">
      <c r="A738" t="s">
        <v>11</v>
      </c>
      <c r="B738" t="str">
        <f>원본데이터_SK!D738</f>
        <v>20260210361541</v>
      </c>
      <c r="C738" t="str">
        <f>IF(원본데이터_SK!M738="","",TEXT(원본데이터_SK!M738,"YYYY-MM-DD"))</f>
        <v>2026-02-12</v>
      </c>
      <c r="D738" t="str">
        <f>원본데이터_SK!F738</f>
        <v>58481090</v>
      </c>
      <c r="E738" t="str">
        <f>IFERROR(VLOOKUP(원본데이터_SK!F738,채널매핑!$B:$D,3,0),"미매핑")</f>
        <v>미매핑</v>
      </c>
      <c r="F738">
        <f>IFERROR(VLOOKUP(원본데이터_SK!F738,채널매핑!$B:$E,4,0),1)</f>
        <v>1</v>
      </c>
      <c r="G738">
        <f>원본데이터_SK!Q738</f>
        <v>1</v>
      </c>
      <c r="H738">
        <f>원본데이터_SK!O738</f>
        <v>119000</v>
      </c>
      <c r="I738">
        <f>원본데이터_SK!AG738</f>
        <v>119000</v>
      </c>
      <c r="J738">
        <f>원본데이터_SK!AH738</f>
        <v>80920</v>
      </c>
      <c r="K738">
        <f>IFERROR(VLOOKUP(E738,제품마스터!$A:$B,2,0),0)</f>
        <v>0</v>
      </c>
      <c r="L738">
        <f>원본데이터_SK!Q738*원본데이터_SK!P738</f>
        <v>80920</v>
      </c>
    </row>
    <row r="739" spans="1:12" x14ac:dyDescent="0.3">
      <c r="A739" t="s">
        <v>11</v>
      </c>
      <c r="B739" t="str">
        <f>원본데이터_SK!D739</f>
        <v>20260210361534</v>
      </c>
      <c r="C739" t="str">
        <f>IF(원본데이터_SK!M739="","",TEXT(원본데이터_SK!M739,"YYYY-MM-DD"))</f>
        <v>2026-02-12</v>
      </c>
      <c r="D739" t="str">
        <f>원본데이터_SK!F739</f>
        <v>58481090</v>
      </c>
      <c r="E739" t="str">
        <f>IFERROR(VLOOKUP(원본데이터_SK!F739,채널매핑!$B:$D,3,0),"미매핑")</f>
        <v>미매핑</v>
      </c>
      <c r="F739">
        <f>IFERROR(VLOOKUP(원본데이터_SK!F739,채널매핑!$B:$E,4,0),1)</f>
        <v>1</v>
      </c>
      <c r="G739">
        <f>원본데이터_SK!Q739</f>
        <v>1</v>
      </c>
      <c r="H739">
        <f>원본데이터_SK!O739</f>
        <v>119000</v>
      </c>
      <c r="I739">
        <f>원본데이터_SK!AG739</f>
        <v>119000</v>
      </c>
      <c r="J739">
        <f>원본데이터_SK!AH739</f>
        <v>80920</v>
      </c>
      <c r="K739">
        <f>IFERROR(VLOOKUP(E739,제품마스터!$A:$B,2,0),0)</f>
        <v>0</v>
      </c>
      <c r="L739">
        <f>원본데이터_SK!Q739*원본데이터_SK!P739</f>
        <v>80920</v>
      </c>
    </row>
    <row r="740" spans="1:12" x14ac:dyDescent="0.3">
      <c r="A740" t="s">
        <v>11</v>
      </c>
      <c r="B740" t="str">
        <f>원본데이터_SK!D740</f>
        <v>20260210360682</v>
      </c>
      <c r="C740" t="str">
        <f>IF(원본데이터_SK!M740="","",TEXT(원본데이터_SK!M740,"YYYY-MM-DD"))</f>
        <v>2026-02-12</v>
      </c>
      <c r="D740" t="str">
        <f>원본데이터_SK!F740</f>
        <v>58481090</v>
      </c>
      <c r="E740" t="str">
        <f>IFERROR(VLOOKUP(원본데이터_SK!F740,채널매핑!$B:$D,3,0),"미매핑")</f>
        <v>미매핑</v>
      </c>
      <c r="F740">
        <f>IFERROR(VLOOKUP(원본데이터_SK!F740,채널매핑!$B:$E,4,0),1)</f>
        <v>1</v>
      </c>
      <c r="G740">
        <f>원본데이터_SK!Q740</f>
        <v>1</v>
      </c>
      <c r="H740">
        <f>원본데이터_SK!O740</f>
        <v>119000</v>
      </c>
      <c r="I740">
        <f>원본데이터_SK!AG740</f>
        <v>119000</v>
      </c>
      <c r="J740">
        <f>원본데이터_SK!AH740</f>
        <v>80920</v>
      </c>
      <c r="K740">
        <f>IFERROR(VLOOKUP(E740,제품마스터!$A:$B,2,0),0)</f>
        <v>0</v>
      </c>
      <c r="L740">
        <f>원본데이터_SK!Q740*원본데이터_SK!P740</f>
        <v>80920</v>
      </c>
    </row>
    <row r="741" spans="1:12" x14ac:dyDescent="0.3">
      <c r="A741" t="s">
        <v>11</v>
      </c>
      <c r="B741" t="str">
        <f>원본데이터_SK!D741</f>
        <v>20260210361794</v>
      </c>
      <c r="C741" t="str">
        <f>IF(원본데이터_SK!M741="","",TEXT(원본데이터_SK!M741,"YYYY-MM-DD"))</f>
        <v>2026-02-12</v>
      </c>
      <c r="D741" t="str">
        <f>원본데이터_SK!F741</f>
        <v>58481090</v>
      </c>
      <c r="E741" t="str">
        <f>IFERROR(VLOOKUP(원본데이터_SK!F741,채널매핑!$B:$D,3,0),"미매핑")</f>
        <v>미매핑</v>
      </c>
      <c r="F741">
        <f>IFERROR(VLOOKUP(원본데이터_SK!F741,채널매핑!$B:$E,4,0),1)</f>
        <v>1</v>
      </c>
      <c r="G741">
        <f>원본데이터_SK!Q741</f>
        <v>1</v>
      </c>
      <c r="H741">
        <f>원본데이터_SK!O741</f>
        <v>119000</v>
      </c>
      <c r="I741">
        <f>원본데이터_SK!AG741</f>
        <v>119000</v>
      </c>
      <c r="J741">
        <f>원본데이터_SK!AH741</f>
        <v>80920</v>
      </c>
      <c r="K741">
        <f>IFERROR(VLOOKUP(E741,제품마스터!$A:$B,2,0),0)</f>
        <v>0</v>
      </c>
      <c r="L741">
        <f>원본데이터_SK!Q741*원본데이터_SK!P741</f>
        <v>80920</v>
      </c>
    </row>
    <row r="742" spans="1:12" x14ac:dyDescent="0.3">
      <c r="A742" t="s">
        <v>11</v>
      </c>
      <c r="B742" t="str">
        <f>원본데이터_SK!D742</f>
        <v>20260210361965</v>
      </c>
      <c r="C742" t="str">
        <f>IF(원본데이터_SK!M742="","",TEXT(원본데이터_SK!M742,"YYYY-MM-DD"))</f>
        <v>2026-02-12</v>
      </c>
      <c r="D742" t="str">
        <f>원본데이터_SK!F742</f>
        <v>58481090</v>
      </c>
      <c r="E742" t="str">
        <f>IFERROR(VLOOKUP(원본데이터_SK!F742,채널매핑!$B:$D,3,0),"미매핑")</f>
        <v>미매핑</v>
      </c>
      <c r="F742">
        <f>IFERROR(VLOOKUP(원본데이터_SK!F742,채널매핑!$B:$E,4,0),1)</f>
        <v>1</v>
      </c>
      <c r="G742">
        <f>원본데이터_SK!Q742</f>
        <v>1</v>
      </c>
      <c r="H742">
        <f>원본데이터_SK!O742</f>
        <v>119000</v>
      </c>
      <c r="I742">
        <f>원본데이터_SK!AG742</f>
        <v>119000</v>
      </c>
      <c r="J742">
        <f>원본데이터_SK!AH742</f>
        <v>80920</v>
      </c>
      <c r="K742">
        <f>IFERROR(VLOOKUP(E742,제품마스터!$A:$B,2,0),0)</f>
        <v>0</v>
      </c>
      <c r="L742">
        <f>원본데이터_SK!Q742*원본데이터_SK!P742</f>
        <v>80920</v>
      </c>
    </row>
    <row r="743" spans="1:12" x14ac:dyDescent="0.3">
      <c r="A743" t="s">
        <v>11</v>
      </c>
      <c r="B743" t="str">
        <f>원본데이터_SK!D743</f>
        <v>20260210362013</v>
      </c>
      <c r="C743" t="str">
        <f>IF(원본데이터_SK!M743="","",TEXT(원본데이터_SK!M743,"YYYY-MM-DD"))</f>
        <v>2026-02-12</v>
      </c>
      <c r="D743" t="str">
        <f>원본데이터_SK!F743</f>
        <v>58481090</v>
      </c>
      <c r="E743" t="str">
        <f>IFERROR(VLOOKUP(원본데이터_SK!F743,채널매핑!$B:$D,3,0),"미매핑")</f>
        <v>미매핑</v>
      </c>
      <c r="F743">
        <f>IFERROR(VLOOKUP(원본데이터_SK!F743,채널매핑!$B:$E,4,0),1)</f>
        <v>1</v>
      </c>
      <c r="G743">
        <f>원본데이터_SK!Q743</f>
        <v>1</v>
      </c>
      <c r="H743">
        <f>원본데이터_SK!O743</f>
        <v>119000</v>
      </c>
      <c r="I743">
        <f>원본데이터_SK!AG743</f>
        <v>119000</v>
      </c>
      <c r="J743">
        <f>원본데이터_SK!AH743</f>
        <v>80920</v>
      </c>
      <c r="K743">
        <f>IFERROR(VLOOKUP(E743,제품마스터!$A:$B,2,0),0)</f>
        <v>0</v>
      </c>
      <c r="L743">
        <f>원본데이터_SK!Q743*원본데이터_SK!P743</f>
        <v>80920</v>
      </c>
    </row>
    <row r="744" spans="1:12" x14ac:dyDescent="0.3">
      <c r="A744" t="s">
        <v>11</v>
      </c>
      <c r="B744" t="str">
        <f>원본데이터_SK!D744</f>
        <v>20260210360694</v>
      </c>
      <c r="C744" t="str">
        <f>IF(원본데이터_SK!M744="","",TEXT(원본데이터_SK!M744,"YYYY-MM-DD"))</f>
        <v>2026-02-12</v>
      </c>
      <c r="D744" t="str">
        <f>원본데이터_SK!F744</f>
        <v>58481090</v>
      </c>
      <c r="E744" t="str">
        <f>IFERROR(VLOOKUP(원본데이터_SK!F744,채널매핑!$B:$D,3,0),"미매핑")</f>
        <v>미매핑</v>
      </c>
      <c r="F744">
        <f>IFERROR(VLOOKUP(원본데이터_SK!F744,채널매핑!$B:$E,4,0),1)</f>
        <v>1</v>
      </c>
      <c r="G744">
        <f>원본데이터_SK!Q744</f>
        <v>1</v>
      </c>
      <c r="H744">
        <f>원본데이터_SK!O744</f>
        <v>119000</v>
      </c>
      <c r="I744">
        <f>원본데이터_SK!AG744</f>
        <v>119000</v>
      </c>
      <c r="J744">
        <f>원본데이터_SK!AH744</f>
        <v>80920</v>
      </c>
      <c r="K744">
        <f>IFERROR(VLOOKUP(E744,제품마스터!$A:$B,2,0),0)</f>
        <v>0</v>
      </c>
      <c r="L744">
        <f>원본데이터_SK!Q744*원본데이터_SK!P744</f>
        <v>80920</v>
      </c>
    </row>
    <row r="745" spans="1:12" x14ac:dyDescent="0.3">
      <c r="A745" t="s">
        <v>11</v>
      </c>
      <c r="B745" t="str">
        <f>원본데이터_SK!D745</f>
        <v>20260210361989</v>
      </c>
      <c r="C745" t="str">
        <f>IF(원본데이터_SK!M745="","",TEXT(원본데이터_SK!M745,"YYYY-MM-DD"))</f>
        <v>2026-02-12</v>
      </c>
      <c r="D745" t="str">
        <f>원본데이터_SK!F745</f>
        <v>58481090</v>
      </c>
      <c r="E745" t="str">
        <f>IFERROR(VLOOKUP(원본데이터_SK!F745,채널매핑!$B:$D,3,0),"미매핑")</f>
        <v>미매핑</v>
      </c>
      <c r="F745">
        <f>IFERROR(VLOOKUP(원본데이터_SK!F745,채널매핑!$B:$E,4,0),1)</f>
        <v>1</v>
      </c>
      <c r="G745">
        <f>원본데이터_SK!Q745</f>
        <v>1</v>
      </c>
      <c r="H745">
        <f>원본데이터_SK!O745</f>
        <v>119000</v>
      </c>
      <c r="I745">
        <f>원본데이터_SK!AG745</f>
        <v>119000</v>
      </c>
      <c r="J745">
        <f>원본데이터_SK!AH745</f>
        <v>80920</v>
      </c>
      <c r="K745">
        <f>IFERROR(VLOOKUP(E745,제품마스터!$A:$B,2,0),0)</f>
        <v>0</v>
      </c>
      <c r="L745">
        <f>원본데이터_SK!Q745*원본데이터_SK!P745</f>
        <v>80920</v>
      </c>
    </row>
    <row r="746" spans="1:12" x14ac:dyDescent="0.3">
      <c r="A746" t="s">
        <v>11</v>
      </c>
      <c r="B746" t="str">
        <f>원본데이터_SK!D746</f>
        <v>20260210362685</v>
      </c>
      <c r="C746" t="str">
        <f>IF(원본데이터_SK!M746="","",TEXT(원본데이터_SK!M746,"YYYY-MM-DD"))</f>
        <v>2026-02-12</v>
      </c>
      <c r="D746" t="str">
        <f>원본데이터_SK!F746</f>
        <v>58481090</v>
      </c>
      <c r="E746" t="str">
        <f>IFERROR(VLOOKUP(원본데이터_SK!F746,채널매핑!$B:$D,3,0),"미매핑")</f>
        <v>미매핑</v>
      </c>
      <c r="F746">
        <f>IFERROR(VLOOKUP(원본데이터_SK!F746,채널매핑!$B:$E,4,0),1)</f>
        <v>1</v>
      </c>
      <c r="G746">
        <f>원본데이터_SK!Q746</f>
        <v>1</v>
      </c>
      <c r="H746">
        <f>원본데이터_SK!O746</f>
        <v>119000</v>
      </c>
      <c r="I746">
        <f>원본데이터_SK!AG746</f>
        <v>119000</v>
      </c>
      <c r="J746">
        <f>원본데이터_SK!AH746</f>
        <v>80920</v>
      </c>
      <c r="K746">
        <f>IFERROR(VLOOKUP(E746,제품마스터!$A:$B,2,0),0)</f>
        <v>0</v>
      </c>
      <c r="L746">
        <f>원본데이터_SK!Q746*원본데이터_SK!P746</f>
        <v>80920</v>
      </c>
    </row>
    <row r="747" spans="1:12" x14ac:dyDescent="0.3">
      <c r="A747" t="s">
        <v>11</v>
      </c>
      <c r="B747" t="str">
        <f>원본데이터_SK!D747</f>
        <v>20260210369877</v>
      </c>
      <c r="C747" t="str">
        <f>IF(원본데이터_SK!M747="","",TEXT(원본데이터_SK!M747,"YYYY-MM-DD"))</f>
        <v>2026-02-12</v>
      </c>
      <c r="D747" t="str">
        <f>원본데이터_SK!F747</f>
        <v>58481090</v>
      </c>
      <c r="E747" t="str">
        <f>IFERROR(VLOOKUP(원본데이터_SK!F747,채널매핑!$B:$D,3,0),"미매핑")</f>
        <v>미매핑</v>
      </c>
      <c r="F747">
        <f>IFERROR(VLOOKUP(원본데이터_SK!F747,채널매핑!$B:$E,4,0),1)</f>
        <v>1</v>
      </c>
      <c r="G747">
        <f>원본데이터_SK!Q747</f>
        <v>1</v>
      </c>
      <c r="H747">
        <f>원본데이터_SK!O747</f>
        <v>119000</v>
      </c>
      <c r="I747">
        <f>원본데이터_SK!AG747</f>
        <v>119000</v>
      </c>
      <c r="J747">
        <f>원본데이터_SK!AH747</f>
        <v>80920</v>
      </c>
      <c r="K747">
        <f>IFERROR(VLOOKUP(E747,제품마스터!$A:$B,2,0),0)</f>
        <v>0</v>
      </c>
      <c r="L747">
        <f>원본데이터_SK!Q747*원본데이터_SK!P747</f>
        <v>80920</v>
      </c>
    </row>
    <row r="748" spans="1:12" x14ac:dyDescent="0.3">
      <c r="A748" t="s">
        <v>11</v>
      </c>
      <c r="B748" t="str">
        <f>원본데이터_SK!D748</f>
        <v>20260210364014</v>
      </c>
      <c r="C748" t="str">
        <f>IF(원본데이터_SK!M748="","",TEXT(원본데이터_SK!M748,"YYYY-MM-DD"))</f>
        <v>2026-02-12</v>
      </c>
      <c r="D748" t="str">
        <f>원본데이터_SK!F748</f>
        <v>58481090</v>
      </c>
      <c r="E748" t="str">
        <f>IFERROR(VLOOKUP(원본데이터_SK!F748,채널매핑!$B:$D,3,0),"미매핑")</f>
        <v>미매핑</v>
      </c>
      <c r="F748">
        <f>IFERROR(VLOOKUP(원본데이터_SK!F748,채널매핑!$B:$E,4,0),1)</f>
        <v>1</v>
      </c>
      <c r="G748">
        <f>원본데이터_SK!Q748</f>
        <v>1</v>
      </c>
      <c r="H748">
        <f>원본데이터_SK!O748</f>
        <v>119000</v>
      </c>
      <c r="I748">
        <f>원본데이터_SK!AG748</f>
        <v>119000</v>
      </c>
      <c r="J748">
        <f>원본데이터_SK!AH748</f>
        <v>80920</v>
      </c>
      <c r="K748">
        <f>IFERROR(VLOOKUP(E748,제품마스터!$A:$B,2,0),0)</f>
        <v>0</v>
      </c>
      <c r="L748">
        <f>원본데이터_SK!Q748*원본데이터_SK!P748</f>
        <v>80920</v>
      </c>
    </row>
    <row r="749" spans="1:12" x14ac:dyDescent="0.3">
      <c r="A749" t="s">
        <v>11</v>
      </c>
      <c r="B749" t="str">
        <f>원본데이터_SK!D749</f>
        <v>20260210361013</v>
      </c>
      <c r="C749" t="str">
        <f>IF(원본데이터_SK!M749="","",TEXT(원본데이터_SK!M749,"YYYY-MM-DD"))</f>
        <v>2026-02-12</v>
      </c>
      <c r="D749" t="str">
        <f>원본데이터_SK!F749</f>
        <v>58481090</v>
      </c>
      <c r="E749" t="str">
        <f>IFERROR(VLOOKUP(원본데이터_SK!F749,채널매핑!$B:$D,3,0),"미매핑")</f>
        <v>미매핑</v>
      </c>
      <c r="F749">
        <f>IFERROR(VLOOKUP(원본데이터_SK!F749,채널매핑!$B:$E,4,0),1)</f>
        <v>1</v>
      </c>
      <c r="G749">
        <f>원본데이터_SK!Q749</f>
        <v>1</v>
      </c>
      <c r="H749">
        <f>원본데이터_SK!O749</f>
        <v>119000</v>
      </c>
      <c r="I749">
        <f>원본데이터_SK!AG749</f>
        <v>119000</v>
      </c>
      <c r="J749">
        <f>원본데이터_SK!AH749</f>
        <v>80920</v>
      </c>
      <c r="K749">
        <f>IFERROR(VLOOKUP(E749,제품마스터!$A:$B,2,0),0)</f>
        <v>0</v>
      </c>
      <c r="L749">
        <f>원본데이터_SK!Q749*원본데이터_SK!P749</f>
        <v>80920</v>
      </c>
    </row>
    <row r="750" spans="1:12" x14ac:dyDescent="0.3">
      <c r="A750" t="s">
        <v>11</v>
      </c>
      <c r="B750" t="str">
        <f>원본데이터_SK!D750</f>
        <v>20260210360886</v>
      </c>
      <c r="C750" t="str">
        <f>IF(원본데이터_SK!M750="","",TEXT(원본데이터_SK!M750,"YYYY-MM-DD"))</f>
        <v>2026-02-12</v>
      </c>
      <c r="D750" t="str">
        <f>원본데이터_SK!F750</f>
        <v>58481090</v>
      </c>
      <c r="E750" t="str">
        <f>IFERROR(VLOOKUP(원본데이터_SK!F750,채널매핑!$B:$D,3,0),"미매핑")</f>
        <v>미매핑</v>
      </c>
      <c r="F750">
        <f>IFERROR(VLOOKUP(원본데이터_SK!F750,채널매핑!$B:$E,4,0),1)</f>
        <v>1</v>
      </c>
      <c r="G750">
        <f>원본데이터_SK!Q750</f>
        <v>1</v>
      </c>
      <c r="H750">
        <f>원본데이터_SK!O750</f>
        <v>119000</v>
      </c>
      <c r="I750">
        <f>원본데이터_SK!AG750</f>
        <v>119000</v>
      </c>
      <c r="J750">
        <f>원본데이터_SK!AH750</f>
        <v>80920</v>
      </c>
      <c r="K750">
        <f>IFERROR(VLOOKUP(E750,제품마스터!$A:$B,2,0),0)</f>
        <v>0</v>
      </c>
      <c r="L750">
        <f>원본데이터_SK!Q750*원본데이터_SK!P750</f>
        <v>80920</v>
      </c>
    </row>
    <row r="751" spans="1:12" x14ac:dyDescent="0.3">
      <c r="A751" t="s">
        <v>11</v>
      </c>
      <c r="B751" t="str">
        <f>원본데이터_SK!D751</f>
        <v>20260210360902</v>
      </c>
      <c r="C751" t="str">
        <f>IF(원본데이터_SK!M751="","",TEXT(원본데이터_SK!M751,"YYYY-MM-DD"))</f>
        <v>2026-02-12</v>
      </c>
      <c r="D751" t="str">
        <f>원본데이터_SK!F751</f>
        <v>58481090</v>
      </c>
      <c r="E751" t="str">
        <f>IFERROR(VLOOKUP(원본데이터_SK!F751,채널매핑!$B:$D,3,0),"미매핑")</f>
        <v>미매핑</v>
      </c>
      <c r="F751">
        <f>IFERROR(VLOOKUP(원본데이터_SK!F751,채널매핑!$B:$E,4,0),1)</f>
        <v>1</v>
      </c>
      <c r="G751">
        <f>원본데이터_SK!Q751</f>
        <v>1</v>
      </c>
      <c r="H751">
        <f>원본데이터_SK!O751</f>
        <v>119000</v>
      </c>
      <c r="I751">
        <f>원본데이터_SK!AG751</f>
        <v>95200</v>
      </c>
      <c r="J751">
        <f>원본데이터_SK!AH751</f>
        <v>80920</v>
      </c>
      <c r="K751">
        <f>IFERROR(VLOOKUP(E751,제품마스터!$A:$B,2,0),0)</f>
        <v>0</v>
      </c>
      <c r="L751">
        <f>원본데이터_SK!Q751*원본데이터_SK!P751</f>
        <v>80920</v>
      </c>
    </row>
    <row r="752" spans="1:12" x14ac:dyDescent="0.3">
      <c r="A752" t="s">
        <v>11</v>
      </c>
      <c r="B752" t="str">
        <f>원본데이터_SK!D752</f>
        <v>20260210361527</v>
      </c>
      <c r="C752" t="str">
        <f>IF(원본데이터_SK!M752="","",TEXT(원본데이터_SK!M752,"YYYY-MM-DD"))</f>
        <v>2026-02-12</v>
      </c>
      <c r="D752" t="str">
        <f>원본데이터_SK!F752</f>
        <v>58481090</v>
      </c>
      <c r="E752" t="str">
        <f>IFERROR(VLOOKUP(원본데이터_SK!F752,채널매핑!$B:$D,3,0),"미매핑")</f>
        <v>미매핑</v>
      </c>
      <c r="F752">
        <f>IFERROR(VLOOKUP(원본데이터_SK!F752,채널매핑!$B:$E,4,0),1)</f>
        <v>1</v>
      </c>
      <c r="G752">
        <f>원본데이터_SK!Q752</f>
        <v>1</v>
      </c>
      <c r="H752">
        <f>원본데이터_SK!O752</f>
        <v>119000</v>
      </c>
      <c r="I752">
        <f>원본데이터_SK!AG752</f>
        <v>119000</v>
      </c>
      <c r="J752">
        <f>원본데이터_SK!AH752</f>
        <v>80920</v>
      </c>
      <c r="K752">
        <f>IFERROR(VLOOKUP(E752,제품마스터!$A:$B,2,0),0)</f>
        <v>0</v>
      </c>
      <c r="L752">
        <f>원본데이터_SK!Q752*원본데이터_SK!P752</f>
        <v>80920</v>
      </c>
    </row>
    <row r="753" spans="1:12" x14ac:dyDescent="0.3">
      <c r="A753" t="s">
        <v>11</v>
      </c>
      <c r="B753" t="str">
        <f>원본데이터_SK!D753</f>
        <v>20260210360785</v>
      </c>
      <c r="C753" t="str">
        <f>IF(원본데이터_SK!M753="","",TEXT(원본데이터_SK!M753,"YYYY-MM-DD"))</f>
        <v>2026-02-12</v>
      </c>
      <c r="D753" t="str">
        <f>원본데이터_SK!F753</f>
        <v>58481090</v>
      </c>
      <c r="E753" t="str">
        <f>IFERROR(VLOOKUP(원본데이터_SK!F753,채널매핑!$B:$D,3,0),"미매핑")</f>
        <v>미매핑</v>
      </c>
      <c r="F753">
        <f>IFERROR(VLOOKUP(원본데이터_SK!F753,채널매핑!$B:$E,4,0),1)</f>
        <v>1</v>
      </c>
      <c r="G753">
        <f>원본데이터_SK!Q753</f>
        <v>1</v>
      </c>
      <c r="H753">
        <f>원본데이터_SK!O753</f>
        <v>119000</v>
      </c>
      <c r="I753">
        <f>원본데이터_SK!AG753</f>
        <v>119000</v>
      </c>
      <c r="J753">
        <f>원본데이터_SK!AH753</f>
        <v>80920</v>
      </c>
      <c r="K753">
        <f>IFERROR(VLOOKUP(E753,제품마스터!$A:$B,2,0),0)</f>
        <v>0</v>
      </c>
      <c r="L753">
        <f>원본데이터_SK!Q753*원본데이터_SK!P753</f>
        <v>80920</v>
      </c>
    </row>
    <row r="754" spans="1:12" x14ac:dyDescent="0.3">
      <c r="A754" t="s">
        <v>11</v>
      </c>
      <c r="B754" t="str">
        <f>원본데이터_SK!D754</f>
        <v>20260210360903</v>
      </c>
      <c r="C754" t="str">
        <f>IF(원본데이터_SK!M754="","",TEXT(원본데이터_SK!M754,"YYYY-MM-DD"))</f>
        <v>2026-02-12</v>
      </c>
      <c r="D754" t="str">
        <f>원본데이터_SK!F754</f>
        <v>58481090</v>
      </c>
      <c r="E754" t="str">
        <f>IFERROR(VLOOKUP(원본데이터_SK!F754,채널매핑!$B:$D,3,0),"미매핑")</f>
        <v>미매핑</v>
      </c>
      <c r="F754">
        <f>IFERROR(VLOOKUP(원본데이터_SK!F754,채널매핑!$B:$E,4,0),1)</f>
        <v>1</v>
      </c>
      <c r="G754">
        <f>원본데이터_SK!Q754</f>
        <v>1</v>
      </c>
      <c r="H754">
        <f>원본데이터_SK!O754</f>
        <v>119000</v>
      </c>
      <c r="I754">
        <f>원본데이터_SK!AG754</f>
        <v>113050</v>
      </c>
      <c r="J754">
        <f>원본데이터_SK!AH754</f>
        <v>80920</v>
      </c>
      <c r="K754">
        <f>IFERROR(VLOOKUP(E754,제품마스터!$A:$B,2,0),0)</f>
        <v>0</v>
      </c>
      <c r="L754">
        <f>원본데이터_SK!Q754*원본데이터_SK!P754</f>
        <v>80920</v>
      </c>
    </row>
    <row r="755" spans="1:12" x14ac:dyDescent="0.3">
      <c r="A755" t="s">
        <v>11</v>
      </c>
      <c r="B755" t="str">
        <f>원본데이터_SK!D755</f>
        <v>20260210360818</v>
      </c>
      <c r="C755" t="str">
        <f>IF(원본데이터_SK!M755="","",TEXT(원본데이터_SK!M755,"YYYY-MM-DD"))</f>
        <v>2026-02-12</v>
      </c>
      <c r="D755" t="str">
        <f>원본데이터_SK!F755</f>
        <v>58481090</v>
      </c>
      <c r="E755" t="str">
        <f>IFERROR(VLOOKUP(원본데이터_SK!F755,채널매핑!$B:$D,3,0),"미매핑")</f>
        <v>미매핑</v>
      </c>
      <c r="F755">
        <f>IFERROR(VLOOKUP(원본데이터_SK!F755,채널매핑!$B:$E,4,0),1)</f>
        <v>1</v>
      </c>
      <c r="G755">
        <f>원본데이터_SK!Q755</f>
        <v>1</v>
      </c>
      <c r="H755">
        <f>원본데이터_SK!O755</f>
        <v>119000</v>
      </c>
      <c r="I755">
        <f>원본데이터_SK!AG755</f>
        <v>119000</v>
      </c>
      <c r="J755">
        <f>원본데이터_SK!AH755</f>
        <v>80920</v>
      </c>
      <c r="K755">
        <f>IFERROR(VLOOKUP(E755,제품마스터!$A:$B,2,0),0)</f>
        <v>0</v>
      </c>
      <c r="L755">
        <f>원본데이터_SK!Q755*원본데이터_SK!P755</f>
        <v>80920</v>
      </c>
    </row>
    <row r="756" spans="1:12" x14ac:dyDescent="0.3">
      <c r="A756" t="s">
        <v>11</v>
      </c>
      <c r="B756" t="str">
        <f>원본데이터_SK!D756</f>
        <v>20260210361184</v>
      </c>
      <c r="C756" t="str">
        <f>IF(원본데이터_SK!M756="","",TEXT(원본데이터_SK!M756,"YYYY-MM-DD"))</f>
        <v>2026-02-12</v>
      </c>
      <c r="D756" t="str">
        <f>원본데이터_SK!F756</f>
        <v>58481090</v>
      </c>
      <c r="E756" t="str">
        <f>IFERROR(VLOOKUP(원본데이터_SK!F756,채널매핑!$B:$D,3,0),"미매핑")</f>
        <v>미매핑</v>
      </c>
      <c r="F756">
        <f>IFERROR(VLOOKUP(원본데이터_SK!F756,채널매핑!$B:$E,4,0),1)</f>
        <v>1</v>
      </c>
      <c r="G756">
        <f>원본데이터_SK!Q756</f>
        <v>1</v>
      </c>
      <c r="H756">
        <f>원본데이터_SK!O756</f>
        <v>119000</v>
      </c>
      <c r="I756">
        <f>원본데이터_SK!AG756</f>
        <v>114000</v>
      </c>
      <c r="J756">
        <f>원본데이터_SK!AH756</f>
        <v>80920</v>
      </c>
      <c r="K756">
        <f>IFERROR(VLOOKUP(E756,제품마스터!$A:$B,2,0),0)</f>
        <v>0</v>
      </c>
      <c r="L756">
        <f>원본데이터_SK!Q756*원본데이터_SK!P756</f>
        <v>80920</v>
      </c>
    </row>
    <row r="757" spans="1:12" x14ac:dyDescent="0.3">
      <c r="A757" t="s">
        <v>11</v>
      </c>
      <c r="B757" t="str">
        <f>원본데이터_SK!D757</f>
        <v>20260210360436</v>
      </c>
      <c r="C757" t="str">
        <f>IF(원본데이터_SK!M757="","",TEXT(원본데이터_SK!M757,"YYYY-MM-DD"))</f>
        <v>2026-02-12</v>
      </c>
      <c r="D757" t="str">
        <f>원본데이터_SK!F757</f>
        <v>58481090</v>
      </c>
      <c r="E757" t="str">
        <f>IFERROR(VLOOKUP(원본데이터_SK!F757,채널매핑!$B:$D,3,0),"미매핑")</f>
        <v>미매핑</v>
      </c>
      <c r="F757">
        <f>IFERROR(VLOOKUP(원본데이터_SK!F757,채널매핑!$B:$E,4,0),1)</f>
        <v>1</v>
      </c>
      <c r="G757">
        <f>원본데이터_SK!Q757</f>
        <v>1</v>
      </c>
      <c r="H757">
        <f>원본데이터_SK!O757</f>
        <v>119000</v>
      </c>
      <c r="I757">
        <f>원본데이터_SK!AG757</f>
        <v>119000</v>
      </c>
      <c r="J757">
        <f>원본데이터_SK!AH757</f>
        <v>80920</v>
      </c>
      <c r="K757">
        <f>IFERROR(VLOOKUP(E757,제품마스터!$A:$B,2,0),0)</f>
        <v>0</v>
      </c>
      <c r="L757">
        <f>원본데이터_SK!Q757*원본데이터_SK!P757</f>
        <v>80920</v>
      </c>
    </row>
    <row r="758" spans="1:12" x14ac:dyDescent="0.3">
      <c r="A758" t="s">
        <v>11</v>
      </c>
      <c r="B758" t="str">
        <f>원본데이터_SK!D758</f>
        <v>20260210361793</v>
      </c>
      <c r="C758" t="str">
        <f>IF(원본데이터_SK!M758="","",TEXT(원본데이터_SK!M758,"YYYY-MM-DD"))</f>
        <v>2026-02-12</v>
      </c>
      <c r="D758" t="str">
        <f>원본데이터_SK!F758</f>
        <v>58481090</v>
      </c>
      <c r="E758" t="str">
        <f>IFERROR(VLOOKUP(원본데이터_SK!F758,채널매핑!$B:$D,3,0),"미매핑")</f>
        <v>미매핑</v>
      </c>
      <c r="F758">
        <f>IFERROR(VLOOKUP(원본데이터_SK!F758,채널매핑!$B:$E,4,0),1)</f>
        <v>1</v>
      </c>
      <c r="G758">
        <f>원본데이터_SK!Q758</f>
        <v>1</v>
      </c>
      <c r="H758">
        <f>원본데이터_SK!O758</f>
        <v>119000</v>
      </c>
      <c r="I758">
        <f>원본데이터_SK!AG758</f>
        <v>119000</v>
      </c>
      <c r="J758">
        <f>원본데이터_SK!AH758</f>
        <v>80920</v>
      </c>
      <c r="K758">
        <f>IFERROR(VLOOKUP(E758,제품마스터!$A:$B,2,0),0)</f>
        <v>0</v>
      </c>
      <c r="L758">
        <f>원본데이터_SK!Q758*원본데이터_SK!P758</f>
        <v>80920</v>
      </c>
    </row>
    <row r="759" spans="1:12" x14ac:dyDescent="0.3">
      <c r="A759" t="s">
        <v>11</v>
      </c>
      <c r="B759" t="str">
        <f>원본데이터_SK!D759</f>
        <v>20260210361964</v>
      </c>
      <c r="C759" t="str">
        <f>IF(원본데이터_SK!M759="","",TEXT(원본데이터_SK!M759,"YYYY-MM-DD"))</f>
        <v>2026-02-12</v>
      </c>
      <c r="D759" t="str">
        <f>원본데이터_SK!F759</f>
        <v>58481090</v>
      </c>
      <c r="E759" t="str">
        <f>IFERROR(VLOOKUP(원본데이터_SK!F759,채널매핑!$B:$D,3,0),"미매핑")</f>
        <v>미매핑</v>
      </c>
      <c r="F759">
        <f>IFERROR(VLOOKUP(원본데이터_SK!F759,채널매핑!$B:$E,4,0),1)</f>
        <v>1</v>
      </c>
      <c r="G759">
        <f>원본데이터_SK!Q759</f>
        <v>1</v>
      </c>
      <c r="H759">
        <f>원본데이터_SK!O759</f>
        <v>119000</v>
      </c>
      <c r="I759">
        <f>원본데이터_SK!AG759</f>
        <v>119000</v>
      </c>
      <c r="J759">
        <f>원본데이터_SK!AH759</f>
        <v>80920</v>
      </c>
      <c r="K759">
        <f>IFERROR(VLOOKUP(E759,제품마스터!$A:$B,2,0),0)</f>
        <v>0</v>
      </c>
      <c r="L759">
        <f>원본데이터_SK!Q759*원본데이터_SK!P759</f>
        <v>80920</v>
      </c>
    </row>
    <row r="760" spans="1:12" x14ac:dyDescent="0.3">
      <c r="A760" t="s">
        <v>11</v>
      </c>
      <c r="B760" t="str">
        <f>원본데이터_SK!D760</f>
        <v>20260210361971</v>
      </c>
      <c r="C760" t="str">
        <f>IF(원본데이터_SK!M760="","",TEXT(원본데이터_SK!M760,"YYYY-MM-DD"))</f>
        <v>2026-02-12</v>
      </c>
      <c r="D760" t="str">
        <f>원본데이터_SK!F760</f>
        <v>58481090</v>
      </c>
      <c r="E760" t="str">
        <f>IFERROR(VLOOKUP(원본데이터_SK!F760,채널매핑!$B:$D,3,0),"미매핑")</f>
        <v>미매핑</v>
      </c>
      <c r="F760">
        <f>IFERROR(VLOOKUP(원본데이터_SK!F760,채널매핑!$B:$E,4,0),1)</f>
        <v>1</v>
      </c>
      <c r="G760">
        <f>원본데이터_SK!Q760</f>
        <v>1</v>
      </c>
      <c r="H760">
        <f>원본데이터_SK!O760</f>
        <v>119000</v>
      </c>
      <c r="I760">
        <f>원본데이터_SK!AG760</f>
        <v>119000</v>
      </c>
      <c r="J760">
        <f>원본데이터_SK!AH760</f>
        <v>80920</v>
      </c>
      <c r="K760">
        <f>IFERROR(VLOOKUP(E760,제품마스터!$A:$B,2,0),0)</f>
        <v>0</v>
      </c>
      <c r="L760">
        <f>원본데이터_SK!Q760*원본데이터_SK!P760</f>
        <v>80920</v>
      </c>
    </row>
    <row r="761" spans="1:12" x14ac:dyDescent="0.3">
      <c r="A761" t="s">
        <v>11</v>
      </c>
      <c r="B761" t="str">
        <f>원본데이터_SK!D761</f>
        <v>20260210360781</v>
      </c>
      <c r="C761" t="str">
        <f>IF(원본데이터_SK!M761="","",TEXT(원본데이터_SK!M761,"YYYY-MM-DD"))</f>
        <v>2026-02-12</v>
      </c>
      <c r="D761" t="str">
        <f>원본데이터_SK!F761</f>
        <v>58481090</v>
      </c>
      <c r="E761" t="str">
        <f>IFERROR(VLOOKUP(원본데이터_SK!F761,채널매핑!$B:$D,3,0),"미매핑")</f>
        <v>미매핑</v>
      </c>
      <c r="F761">
        <f>IFERROR(VLOOKUP(원본데이터_SK!F761,채널매핑!$B:$E,4,0),1)</f>
        <v>1</v>
      </c>
      <c r="G761">
        <f>원본데이터_SK!Q761</f>
        <v>1</v>
      </c>
      <c r="H761">
        <f>원본데이터_SK!O761</f>
        <v>119000</v>
      </c>
      <c r="I761">
        <f>원본데이터_SK!AG761</f>
        <v>119000</v>
      </c>
      <c r="J761">
        <f>원본데이터_SK!AH761</f>
        <v>80920</v>
      </c>
      <c r="K761">
        <f>IFERROR(VLOOKUP(E761,제품마스터!$A:$B,2,0),0)</f>
        <v>0</v>
      </c>
      <c r="L761">
        <f>원본데이터_SK!Q761*원본데이터_SK!P761</f>
        <v>80920</v>
      </c>
    </row>
    <row r="762" spans="1:12" x14ac:dyDescent="0.3">
      <c r="A762" t="s">
        <v>11</v>
      </c>
      <c r="B762" t="str">
        <f>원본데이터_SK!D762</f>
        <v>20260210361080</v>
      </c>
      <c r="C762" t="str">
        <f>IF(원본데이터_SK!M762="","",TEXT(원본데이터_SK!M762,"YYYY-MM-DD"))</f>
        <v>2026-02-12</v>
      </c>
      <c r="D762" t="str">
        <f>원본데이터_SK!F762</f>
        <v>58481090</v>
      </c>
      <c r="E762" t="str">
        <f>IFERROR(VLOOKUP(원본데이터_SK!F762,채널매핑!$B:$D,3,0),"미매핑")</f>
        <v>미매핑</v>
      </c>
      <c r="F762">
        <f>IFERROR(VLOOKUP(원본데이터_SK!F762,채널매핑!$B:$E,4,0),1)</f>
        <v>1</v>
      </c>
      <c r="G762">
        <f>원본데이터_SK!Q762</f>
        <v>1</v>
      </c>
      <c r="H762">
        <f>원본데이터_SK!O762</f>
        <v>119000</v>
      </c>
      <c r="I762">
        <f>원본데이터_SK!AG762</f>
        <v>119000</v>
      </c>
      <c r="J762">
        <f>원본데이터_SK!AH762</f>
        <v>80920</v>
      </c>
      <c r="K762">
        <f>IFERROR(VLOOKUP(E762,제품마스터!$A:$B,2,0),0)</f>
        <v>0</v>
      </c>
      <c r="L762">
        <f>원본데이터_SK!Q762*원본데이터_SK!P762</f>
        <v>80920</v>
      </c>
    </row>
    <row r="763" spans="1:12" x14ac:dyDescent="0.3">
      <c r="A763" t="s">
        <v>11</v>
      </c>
      <c r="B763" t="str">
        <f>원본데이터_SK!D763</f>
        <v>20260210361198</v>
      </c>
      <c r="C763" t="str">
        <f>IF(원본데이터_SK!M763="","",TEXT(원본데이터_SK!M763,"YYYY-MM-DD"))</f>
        <v>2026-02-12</v>
      </c>
      <c r="D763" t="str">
        <f>원본데이터_SK!F763</f>
        <v>58481090</v>
      </c>
      <c r="E763" t="str">
        <f>IFERROR(VLOOKUP(원본데이터_SK!F763,채널매핑!$B:$D,3,0),"미매핑")</f>
        <v>미매핑</v>
      </c>
      <c r="F763">
        <f>IFERROR(VLOOKUP(원본데이터_SK!F763,채널매핑!$B:$E,4,0),1)</f>
        <v>1</v>
      </c>
      <c r="G763">
        <f>원본데이터_SK!Q763</f>
        <v>1</v>
      </c>
      <c r="H763">
        <f>원본데이터_SK!O763</f>
        <v>119000</v>
      </c>
      <c r="I763">
        <f>원본데이터_SK!AG763</f>
        <v>113050</v>
      </c>
      <c r="J763">
        <f>원본데이터_SK!AH763</f>
        <v>80920</v>
      </c>
      <c r="K763">
        <f>IFERROR(VLOOKUP(E763,제품마스터!$A:$B,2,0),0)</f>
        <v>0</v>
      </c>
      <c r="L763">
        <f>원본데이터_SK!Q763*원본데이터_SK!P763</f>
        <v>80920</v>
      </c>
    </row>
    <row r="764" spans="1:12" x14ac:dyDescent="0.3">
      <c r="A764" t="s">
        <v>11</v>
      </c>
      <c r="B764" t="str">
        <f>원본데이터_SK!D764</f>
        <v>20260210361300</v>
      </c>
      <c r="C764" t="str">
        <f>IF(원본데이터_SK!M764="","",TEXT(원본데이터_SK!M764,"YYYY-MM-DD"))</f>
        <v>2026-02-12</v>
      </c>
      <c r="D764" t="str">
        <f>원본데이터_SK!F764</f>
        <v>58481090</v>
      </c>
      <c r="E764" t="str">
        <f>IFERROR(VLOOKUP(원본데이터_SK!F764,채널매핑!$B:$D,3,0),"미매핑")</f>
        <v>미매핑</v>
      </c>
      <c r="F764">
        <f>IFERROR(VLOOKUP(원본데이터_SK!F764,채널매핑!$B:$E,4,0),1)</f>
        <v>1</v>
      </c>
      <c r="G764">
        <f>원본데이터_SK!Q764</f>
        <v>1</v>
      </c>
      <c r="H764">
        <f>원본데이터_SK!O764</f>
        <v>119000</v>
      </c>
      <c r="I764">
        <f>원본데이터_SK!AG764</f>
        <v>113050</v>
      </c>
      <c r="J764">
        <f>원본데이터_SK!AH764</f>
        <v>80920</v>
      </c>
      <c r="K764">
        <f>IFERROR(VLOOKUP(E764,제품마스터!$A:$B,2,0),0)</f>
        <v>0</v>
      </c>
      <c r="L764">
        <f>원본데이터_SK!Q764*원본데이터_SK!P764</f>
        <v>80920</v>
      </c>
    </row>
    <row r="765" spans="1:12" x14ac:dyDescent="0.3">
      <c r="A765" t="s">
        <v>11</v>
      </c>
      <c r="B765" t="str">
        <f>원본데이터_SK!D765</f>
        <v>20260210360466</v>
      </c>
      <c r="C765" t="str">
        <f>IF(원본데이터_SK!M765="","",TEXT(원본데이터_SK!M765,"YYYY-MM-DD"))</f>
        <v>2026-02-12</v>
      </c>
      <c r="D765" t="str">
        <f>원본데이터_SK!F765</f>
        <v>58481090</v>
      </c>
      <c r="E765" t="str">
        <f>IFERROR(VLOOKUP(원본데이터_SK!F765,채널매핑!$B:$D,3,0),"미매핑")</f>
        <v>미매핑</v>
      </c>
      <c r="F765">
        <f>IFERROR(VLOOKUP(원본데이터_SK!F765,채널매핑!$B:$E,4,0),1)</f>
        <v>1</v>
      </c>
      <c r="G765">
        <f>원본데이터_SK!Q765</f>
        <v>1</v>
      </c>
      <c r="H765">
        <f>원본데이터_SK!O765</f>
        <v>119000</v>
      </c>
      <c r="I765">
        <f>원본데이터_SK!AG765</f>
        <v>119000</v>
      </c>
      <c r="J765">
        <f>원본데이터_SK!AH765</f>
        <v>80920</v>
      </c>
      <c r="K765">
        <f>IFERROR(VLOOKUP(E765,제품마스터!$A:$B,2,0),0)</f>
        <v>0</v>
      </c>
      <c r="L765">
        <f>원본데이터_SK!Q765*원본데이터_SK!P765</f>
        <v>80920</v>
      </c>
    </row>
    <row r="766" spans="1:12" x14ac:dyDescent="0.3">
      <c r="A766" t="s">
        <v>11</v>
      </c>
      <c r="B766" t="str">
        <f>원본데이터_SK!D766</f>
        <v>20260210360681</v>
      </c>
      <c r="C766" t="str">
        <f>IF(원본데이터_SK!M766="","",TEXT(원본데이터_SK!M766,"YYYY-MM-DD"))</f>
        <v>2026-02-12</v>
      </c>
      <c r="D766" t="str">
        <f>원본데이터_SK!F766</f>
        <v>58481090</v>
      </c>
      <c r="E766" t="str">
        <f>IFERROR(VLOOKUP(원본데이터_SK!F766,채널매핑!$B:$D,3,0),"미매핑")</f>
        <v>미매핑</v>
      </c>
      <c r="F766">
        <f>IFERROR(VLOOKUP(원본데이터_SK!F766,채널매핑!$B:$E,4,0),1)</f>
        <v>1</v>
      </c>
      <c r="G766">
        <f>원본데이터_SK!Q766</f>
        <v>1</v>
      </c>
      <c r="H766">
        <f>원본데이터_SK!O766</f>
        <v>119000</v>
      </c>
      <c r="I766">
        <f>원본데이터_SK!AG766</f>
        <v>113050</v>
      </c>
      <c r="J766">
        <f>원본데이터_SK!AH766</f>
        <v>80920</v>
      </c>
      <c r="K766">
        <f>IFERROR(VLOOKUP(E766,제품마스터!$A:$B,2,0),0)</f>
        <v>0</v>
      </c>
      <c r="L766">
        <f>원본데이터_SK!Q766*원본데이터_SK!P766</f>
        <v>80920</v>
      </c>
    </row>
    <row r="767" spans="1:12" x14ac:dyDescent="0.3">
      <c r="A767" t="s">
        <v>11</v>
      </c>
      <c r="B767" t="str">
        <f>원본데이터_SK!D767</f>
        <v>20260210361731</v>
      </c>
      <c r="C767" t="str">
        <f>IF(원본데이터_SK!M767="","",TEXT(원본데이터_SK!M767,"YYYY-MM-DD"))</f>
        <v>2026-02-12</v>
      </c>
      <c r="D767" t="str">
        <f>원본데이터_SK!F767</f>
        <v>58481090</v>
      </c>
      <c r="E767" t="str">
        <f>IFERROR(VLOOKUP(원본데이터_SK!F767,채널매핑!$B:$D,3,0),"미매핑")</f>
        <v>미매핑</v>
      </c>
      <c r="F767">
        <f>IFERROR(VLOOKUP(원본데이터_SK!F767,채널매핑!$B:$E,4,0),1)</f>
        <v>1</v>
      </c>
      <c r="G767">
        <f>원본데이터_SK!Q767</f>
        <v>1</v>
      </c>
      <c r="H767">
        <f>원본데이터_SK!O767</f>
        <v>119000</v>
      </c>
      <c r="I767">
        <f>원본데이터_SK!AG767</f>
        <v>119000</v>
      </c>
      <c r="J767">
        <f>원본데이터_SK!AH767</f>
        <v>80920</v>
      </c>
      <c r="K767">
        <f>IFERROR(VLOOKUP(E767,제품마스터!$A:$B,2,0),0)</f>
        <v>0</v>
      </c>
      <c r="L767">
        <f>원본데이터_SK!Q767*원본데이터_SK!P767</f>
        <v>80920</v>
      </c>
    </row>
    <row r="768" spans="1:12" x14ac:dyDescent="0.3">
      <c r="A768" t="s">
        <v>11</v>
      </c>
      <c r="B768" t="str">
        <f>원본데이터_SK!D768</f>
        <v>20260210361854</v>
      </c>
      <c r="C768" t="str">
        <f>IF(원본데이터_SK!M768="","",TEXT(원본데이터_SK!M768,"YYYY-MM-DD"))</f>
        <v>2026-02-12</v>
      </c>
      <c r="D768" t="str">
        <f>원본데이터_SK!F768</f>
        <v>58481090</v>
      </c>
      <c r="E768" t="str">
        <f>IFERROR(VLOOKUP(원본데이터_SK!F768,채널매핑!$B:$D,3,0),"미매핑")</f>
        <v>미매핑</v>
      </c>
      <c r="F768">
        <f>IFERROR(VLOOKUP(원본데이터_SK!F768,채널매핑!$B:$E,4,0),1)</f>
        <v>1</v>
      </c>
      <c r="G768">
        <f>원본데이터_SK!Q768</f>
        <v>1</v>
      </c>
      <c r="H768">
        <f>원본데이터_SK!O768</f>
        <v>119000</v>
      </c>
      <c r="I768">
        <f>원본데이터_SK!AG768</f>
        <v>119000</v>
      </c>
      <c r="J768">
        <f>원본데이터_SK!AH768</f>
        <v>80920</v>
      </c>
      <c r="K768">
        <f>IFERROR(VLOOKUP(E768,제품마스터!$A:$B,2,0),0)</f>
        <v>0</v>
      </c>
      <c r="L768">
        <f>원본데이터_SK!Q768*원본데이터_SK!P768</f>
        <v>80920</v>
      </c>
    </row>
    <row r="769" spans="1:12" x14ac:dyDescent="0.3">
      <c r="A769" t="s">
        <v>11</v>
      </c>
      <c r="B769" t="str">
        <f>원본데이터_SK!D769</f>
        <v>20260210362118</v>
      </c>
      <c r="C769" t="str">
        <f>IF(원본데이터_SK!M769="","",TEXT(원본데이터_SK!M769,"YYYY-MM-DD"))</f>
        <v>2026-02-12</v>
      </c>
      <c r="D769" t="str">
        <f>원본데이터_SK!F769</f>
        <v>58481090</v>
      </c>
      <c r="E769" t="str">
        <f>IFERROR(VLOOKUP(원본데이터_SK!F769,채널매핑!$B:$D,3,0),"미매핑")</f>
        <v>미매핑</v>
      </c>
      <c r="F769">
        <f>IFERROR(VLOOKUP(원본데이터_SK!F769,채널매핑!$B:$E,4,0),1)</f>
        <v>1</v>
      </c>
      <c r="G769">
        <f>원본데이터_SK!Q769</f>
        <v>1</v>
      </c>
      <c r="H769">
        <f>원본데이터_SK!O769</f>
        <v>119000</v>
      </c>
      <c r="I769">
        <f>원본데이터_SK!AG769</f>
        <v>119000</v>
      </c>
      <c r="J769">
        <f>원본데이터_SK!AH769</f>
        <v>80920</v>
      </c>
      <c r="K769">
        <f>IFERROR(VLOOKUP(E769,제품마스터!$A:$B,2,0),0)</f>
        <v>0</v>
      </c>
      <c r="L769">
        <f>원본데이터_SK!Q769*원본데이터_SK!P769</f>
        <v>80920</v>
      </c>
    </row>
    <row r="770" spans="1:12" x14ac:dyDescent="0.3">
      <c r="A770" t="s">
        <v>11</v>
      </c>
      <c r="B770" t="str">
        <f>원본데이터_SK!D770</f>
        <v>20260210360847</v>
      </c>
      <c r="C770" t="str">
        <f>IF(원본데이터_SK!M770="","",TEXT(원본데이터_SK!M770,"YYYY-MM-DD"))</f>
        <v>2026-02-12</v>
      </c>
      <c r="D770" t="str">
        <f>원본데이터_SK!F770</f>
        <v>58481090</v>
      </c>
      <c r="E770" t="str">
        <f>IFERROR(VLOOKUP(원본데이터_SK!F770,채널매핑!$B:$D,3,0),"미매핑")</f>
        <v>미매핑</v>
      </c>
      <c r="F770">
        <f>IFERROR(VLOOKUP(원본데이터_SK!F770,채널매핑!$B:$E,4,0),1)</f>
        <v>1</v>
      </c>
      <c r="G770">
        <f>원본데이터_SK!Q770</f>
        <v>1</v>
      </c>
      <c r="H770">
        <f>원본데이터_SK!O770</f>
        <v>119000</v>
      </c>
      <c r="I770">
        <f>원본데이터_SK!AG770</f>
        <v>119000</v>
      </c>
      <c r="J770">
        <f>원본데이터_SK!AH770</f>
        <v>80920</v>
      </c>
      <c r="K770">
        <f>IFERROR(VLOOKUP(E770,제품마스터!$A:$B,2,0),0)</f>
        <v>0</v>
      </c>
      <c r="L770">
        <f>원본데이터_SK!Q770*원본데이터_SK!P770</f>
        <v>80920</v>
      </c>
    </row>
    <row r="771" spans="1:12" x14ac:dyDescent="0.3">
      <c r="A771" t="s">
        <v>11</v>
      </c>
      <c r="B771" t="str">
        <f>원본데이터_SK!D771</f>
        <v>20260210360648</v>
      </c>
      <c r="C771" t="str">
        <f>IF(원본데이터_SK!M771="","",TEXT(원본데이터_SK!M771,"YYYY-MM-DD"))</f>
        <v>2026-02-12</v>
      </c>
      <c r="D771" t="str">
        <f>원본데이터_SK!F771</f>
        <v>58481090</v>
      </c>
      <c r="E771" t="str">
        <f>IFERROR(VLOOKUP(원본데이터_SK!F771,채널매핑!$B:$D,3,0),"미매핑")</f>
        <v>미매핑</v>
      </c>
      <c r="F771">
        <f>IFERROR(VLOOKUP(원본데이터_SK!F771,채널매핑!$B:$E,4,0),1)</f>
        <v>1</v>
      </c>
      <c r="G771">
        <f>원본데이터_SK!Q771</f>
        <v>1</v>
      </c>
      <c r="H771">
        <f>원본데이터_SK!O771</f>
        <v>119000</v>
      </c>
      <c r="I771">
        <f>원본데이터_SK!AG771</f>
        <v>119000</v>
      </c>
      <c r="J771">
        <f>원본데이터_SK!AH771</f>
        <v>80920</v>
      </c>
      <c r="K771">
        <f>IFERROR(VLOOKUP(E771,제품마스터!$A:$B,2,0),0)</f>
        <v>0</v>
      </c>
      <c r="L771">
        <f>원본데이터_SK!Q771*원본데이터_SK!P771</f>
        <v>80920</v>
      </c>
    </row>
    <row r="772" spans="1:12" x14ac:dyDescent="0.3">
      <c r="A772" t="s">
        <v>11</v>
      </c>
      <c r="B772" t="str">
        <f>원본데이터_SK!D772</f>
        <v>20260210360890</v>
      </c>
      <c r="C772" t="str">
        <f>IF(원본데이터_SK!M772="","",TEXT(원본데이터_SK!M772,"YYYY-MM-DD"))</f>
        <v>2026-02-12</v>
      </c>
      <c r="D772" t="str">
        <f>원본데이터_SK!F772</f>
        <v>58481090</v>
      </c>
      <c r="E772" t="str">
        <f>IFERROR(VLOOKUP(원본데이터_SK!F772,채널매핑!$B:$D,3,0),"미매핑")</f>
        <v>미매핑</v>
      </c>
      <c r="F772">
        <f>IFERROR(VLOOKUP(원본데이터_SK!F772,채널매핑!$B:$E,4,0),1)</f>
        <v>1</v>
      </c>
      <c r="G772">
        <f>원본데이터_SK!Q772</f>
        <v>1</v>
      </c>
      <c r="H772">
        <f>원본데이터_SK!O772</f>
        <v>119000</v>
      </c>
      <c r="I772">
        <f>원본데이터_SK!AG772</f>
        <v>119000</v>
      </c>
      <c r="J772">
        <f>원본데이터_SK!AH772</f>
        <v>80920</v>
      </c>
      <c r="K772">
        <f>IFERROR(VLOOKUP(E772,제품마스터!$A:$B,2,0),0)</f>
        <v>0</v>
      </c>
      <c r="L772">
        <f>원본데이터_SK!Q772*원본데이터_SK!P772</f>
        <v>80920</v>
      </c>
    </row>
    <row r="773" spans="1:12" x14ac:dyDescent="0.3">
      <c r="A773" t="s">
        <v>11</v>
      </c>
      <c r="B773" t="str">
        <f>원본데이터_SK!D773</f>
        <v>20260210360922</v>
      </c>
      <c r="C773" t="str">
        <f>IF(원본데이터_SK!M773="","",TEXT(원본데이터_SK!M773,"YYYY-MM-DD"))</f>
        <v>2026-02-12</v>
      </c>
      <c r="D773" t="str">
        <f>원본데이터_SK!F773</f>
        <v>58481090</v>
      </c>
      <c r="E773" t="str">
        <f>IFERROR(VLOOKUP(원본데이터_SK!F773,채널매핑!$B:$D,3,0),"미매핑")</f>
        <v>미매핑</v>
      </c>
      <c r="F773">
        <f>IFERROR(VLOOKUP(원본데이터_SK!F773,채널매핑!$B:$E,4,0),1)</f>
        <v>1</v>
      </c>
      <c r="G773">
        <f>원본데이터_SK!Q773</f>
        <v>1</v>
      </c>
      <c r="H773">
        <f>원본데이터_SK!O773</f>
        <v>119000</v>
      </c>
      <c r="I773">
        <f>원본데이터_SK!AG773</f>
        <v>119000</v>
      </c>
      <c r="J773">
        <f>원본데이터_SK!AH773</f>
        <v>80920</v>
      </c>
      <c r="K773">
        <f>IFERROR(VLOOKUP(E773,제품마스터!$A:$B,2,0),0)</f>
        <v>0</v>
      </c>
      <c r="L773">
        <f>원본데이터_SK!Q773*원본데이터_SK!P773</f>
        <v>80920</v>
      </c>
    </row>
    <row r="774" spans="1:12" x14ac:dyDescent="0.3">
      <c r="A774" t="s">
        <v>11</v>
      </c>
      <c r="B774" t="str">
        <f>원본데이터_SK!D774</f>
        <v>20260210361100</v>
      </c>
      <c r="C774" t="str">
        <f>IF(원본데이터_SK!M774="","",TEXT(원본데이터_SK!M774,"YYYY-MM-DD"))</f>
        <v>2026-02-12</v>
      </c>
      <c r="D774" t="str">
        <f>원본데이터_SK!F774</f>
        <v>58481090</v>
      </c>
      <c r="E774" t="str">
        <f>IFERROR(VLOOKUP(원본데이터_SK!F774,채널매핑!$B:$D,3,0),"미매핑")</f>
        <v>미매핑</v>
      </c>
      <c r="F774">
        <f>IFERROR(VLOOKUP(원본데이터_SK!F774,채널매핑!$B:$E,4,0),1)</f>
        <v>1</v>
      </c>
      <c r="G774">
        <f>원본데이터_SK!Q774</f>
        <v>1</v>
      </c>
      <c r="H774">
        <f>원본데이터_SK!O774</f>
        <v>119000</v>
      </c>
      <c r="I774">
        <f>원본데이터_SK!AG774</f>
        <v>119000</v>
      </c>
      <c r="J774">
        <f>원본데이터_SK!AH774</f>
        <v>80920</v>
      </c>
      <c r="K774">
        <f>IFERROR(VLOOKUP(E774,제품마스터!$A:$B,2,0),0)</f>
        <v>0</v>
      </c>
      <c r="L774">
        <f>원본데이터_SK!Q774*원본데이터_SK!P774</f>
        <v>80920</v>
      </c>
    </row>
    <row r="775" spans="1:12" x14ac:dyDescent="0.3">
      <c r="A775" t="s">
        <v>11</v>
      </c>
      <c r="B775" t="str">
        <f>원본데이터_SK!D775</f>
        <v>20260210361163</v>
      </c>
      <c r="C775" t="str">
        <f>IF(원본데이터_SK!M775="","",TEXT(원본데이터_SK!M775,"YYYY-MM-DD"))</f>
        <v>2026-02-12</v>
      </c>
      <c r="D775" t="str">
        <f>원본데이터_SK!F775</f>
        <v>58481090</v>
      </c>
      <c r="E775" t="str">
        <f>IFERROR(VLOOKUP(원본데이터_SK!F775,채널매핑!$B:$D,3,0),"미매핑")</f>
        <v>미매핑</v>
      </c>
      <c r="F775">
        <f>IFERROR(VLOOKUP(원본데이터_SK!F775,채널매핑!$B:$E,4,0),1)</f>
        <v>1</v>
      </c>
      <c r="G775">
        <f>원본데이터_SK!Q775</f>
        <v>1</v>
      </c>
      <c r="H775">
        <f>원본데이터_SK!O775</f>
        <v>119000</v>
      </c>
      <c r="I775">
        <f>원본데이터_SK!AG775</f>
        <v>119000</v>
      </c>
      <c r="J775">
        <f>원본데이터_SK!AH775</f>
        <v>80920</v>
      </c>
      <c r="K775">
        <f>IFERROR(VLOOKUP(E775,제품마스터!$A:$B,2,0),0)</f>
        <v>0</v>
      </c>
      <c r="L775">
        <f>원본데이터_SK!Q775*원본데이터_SK!P775</f>
        <v>80920</v>
      </c>
    </row>
    <row r="776" spans="1:12" x14ac:dyDescent="0.3">
      <c r="A776" t="s">
        <v>11</v>
      </c>
      <c r="B776" t="str">
        <f>원본데이터_SK!D776</f>
        <v>20260210360249</v>
      </c>
      <c r="C776" t="str">
        <f>IF(원본데이터_SK!M776="","",TEXT(원본데이터_SK!M776,"YYYY-MM-DD"))</f>
        <v>2026-02-12</v>
      </c>
      <c r="D776" t="str">
        <f>원본데이터_SK!F776</f>
        <v>58481090</v>
      </c>
      <c r="E776" t="str">
        <f>IFERROR(VLOOKUP(원본데이터_SK!F776,채널매핑!$B:$D,3,0),"미매핑")</f>
        <v>미매핑</v>
      </c>
      <c r="F776">
        <f>IFERROR(VLOOKUP(원본데이터_SK!F776,채널매핑!$B:$E,4,0),1)</f>
        <v>1</v>
      </c>
      <c r="G776">
        <f>원본데이터_SK!Q776</f>
        <v>1</v>
      </c>
      <c r="H776">
        <f>원본데이터_SK!O776</f>
        <v>119000</v>
      </c>
      <c r="I776">
        <f>원본데이터_SK!AG776</f>
        <v>119000</v>
      </c>
      <c r="J776">
        <f>원본데이터_SK!AH776</f>
        <v>80920</v>
      </c>
      <c r="K776">
        <f>IFERROR(VLOOKUP(E776,제품마스터!$A:$B,2,0),0)</f>
        <v>0</v>
      </c>
      <c r="L776">
        <f>원본데이터_SK!Q776*원본데이터_SK!P776</f>
        <v>80920</v>
      </c>
    </row>
    <row r="777" spans="1:12" x14ac:dyDescent="0.3">
      <c r="A777" t="s">
        <v>11</v>
      </c>
      <c r="B777" t="str">
        <f>원본데이터_SK!D777</f>
        <v>20260210360429</v>
      </c>
      <c r="C777" t="str">
        <f>IF(원본데이터_SK!M777="","",TEXT(원본데이터_SK!M777,"YYYY-MM-DD"))</f>
        <v>2026-02-12</v>
      </c>
      <c r="D777" t="str">
        <f>원본데이터_SK!F777</f>
        <v>58481090</v>
      </c>
      <c r="E777" t="str">
        <f>IFERROR(VLOOKUP(원본데이터_SK!F777,채널매핑!$B:$D,3,0),"미매핑")</f>
        <v>미매핑</v>
      </c>
      <c r="F777">
        <f>IFERROR(VLOOKUP(원본데이터_SK!F777,채널매핑!$B:$E,4,0),1)</f>
        <v>1</v>
      </c>
      <c r="G777">
        <f>원본데이터_SK!Q777</f>
        <v>1</v>
      </c>
      <c r="H777">
        <f>원본데이터_SK!O777</f>
        <v>119000</v>
      </c>
      <c r="I777">
        <f>원본데이터_SK!AG777</f>
        <v>119000</v>
      </c>
      <c r="J777">
        <f>원본데이터_SK!AH777</f>
        <v>80920</v>
      </c>
      <c r="K777">
        <f>IFERROR(VLOOKUP(E777,제품마스터!$A:$B,2,0),0)</f>
        <v>0</v>
      </c>
      <c r="L777">
        <f>원본데이터_SK!Q777*원본데이터_SK!P777</f>
        <v>80920</v>
      </c>
    </row>
    <row r="778" spans="1:12" x14ac:dyDescent="0.3">
      <c r="A778" t="s">
        <v>11</v>
      </c>
      <c r="B778" t="str">
        <f>원본데이터_SK!D778</f>
        <v>20260210361277</v>
      </c>
      <c r="C778" t="str">
        <f>IF(원본데이터_SK!M778="","",TEXT(원본데이터_SK!M778,"YYYY-MM-DD"))</f>
        <v>2026-02-12</v>
      </c>
      <c r="D778" t="str">
        <f>원본데이터_SK!F778</f>
        <v>58481090</v>
      </c>
      <c r="E778" t="str">
        <f>IFERROR(VLOOKUP(원본데이터_SK!F778,채널매핑!$B:$D,3,0),"미매핑")</f>
        <v>미매핑</v>
      </c>
      <c r="F778">
        <f>IFERROR(VLOOKUP(원본데이터_SK!F778,채널매핑!$B:$E,4,0),1)</f>
        <v>1</v>
      </c>
      <c r="G778">
        <f>원본데이터_SK!Q778</f>
        <v>1</v>
      </c>
      <c r="H778">
        <f>원본데이터_SK!O778</f>
        <v>119000</v>
      </c>
      <c r="I778">
        <f>원본데이터_SK!AG778</f>
        <v>119000</v>
      </c>
      <c r="J778">
        <f>원본데이터_SK!AH778</f>
        <v>80920</v>
      </c>
      <c r="K778">
        <f>IFERROR(VLOOKUP(E778,제품마스터!$A:$B,2,0),0)</f>
        <v>0</v>
      </c>
      <c r="L778">
        <f>원본데이터_SK!Q778*원본데이터_SK!P778</f>
        <v>80920</v>
      </c>
    </row>
    <row r="779" spans="1:12" x14ac:dyDescent="0.3">
      <c r="A779" t="s">
        <v>11</v>
      </c>
      <c r="B779" t="str">
        <f>원본데이터_SK!D779</f>
        <v>20260210361301</v>
      </c>
      <c r="C779" t="str">
        <f>IF(원본데이터_SK!M779="","",TEXT(원본데이터_SK!M779,"YYYY-MM-DD"))</f>
        <v>2026-02-12</v>
      </c>
      <c r="D779" t="str">
        <f>원본데이터_SK!F779</f>
        <v>58481090</v>
      </c>
      <c r="E779" t="str">
        <f>IFERROR(VLOOKUP(원본데이터_SK!F779,채널매핑!$B:$D,3,0),"미매핑")</f>
        <v>미매핑</v>
      </c>
      <c r="F779">
        <f>IFERROR(VLOOKUP(원본데이터_SK!F779,채널매핑!$B:$E,4,0),1)</f>
        <v>1</v>
      </c>
      <c r="G779">
        <f>원본데이터_SK!Q779</f>
        <v>1</v>
      </c>
      <c r="H779">
        <f>원본데이터_SK!O779</f>
        <v>119000</v>
      </c>
      <c r="I779">
        <f>원본데이터_SK!AG779</f>
        <v>119000</v>
      </c>
      <c r="J779">
        <f>원본데이터_SK!AH779</f>
        <v>80920</v>
      </c>
      <c r="K779">
        <f>IFERROR(VLOOKUP(E779,제품마스터!$A:$B,2,0),0)</f>
        <v>0</v>
      </c>
      <c r="L779">
        <f>원본데이터_SK!Q779*원본데이터_SK!P779</f>
        <v>80920</v>
      </c>
    </row>
    <row r="780" spans="1:12" x14ac:dyDescent="0.3">
      <c r="A780" t="s">
        <v>11</v>
      </c>
      <c r="B780" t="str">
        <f>원본데이터_SK!D780</f>
        <v>20260210360542</v>
      </c>
      <c r="C780" t="str">
        <f>IF(원본데이터_SK!M780="","",TEXT(원본데이터_SK!M780,"YYYY-MM-DD"))</f>
        <v>2026-02-12</v>
      </c>
      <c r="D780" t="str">
        <f>원본데이터_SK!F780</f>
        <v>58481090</v>
      </c>
      <c r="E780" t="str">
        <f>IFERROR(VLOOKUP(원본데이터_SK!F780,채널매핑!$B:$D,3,0),"미매핑")</f>
        <v>미매핑</v>
      </c>
      <c r="F780">
        <f>IFERROR(VLOOKUP(원본데이터_SK!F780,채널매핑!$B:$E,4,0),1)</f>
        <v>1</v>
      </c>
      <c r="G780">
        <f>원본데이터_SK!Q780</f>
        <v>1</v>
      </c>
      <c r="H780">
        <f>원본데이터_SK!O780</f>
        <v>119000</v>
      </c>
      <c r="I780">
        <f>원본데이터_SK!AG780</f>
        <v>119000</v>
      </c>
      <c r="J780">
        <f>원본데이터_SK!AH780</f>
        <v>80920</v>
      </c>
      <c r="K780">
        <f>IFERROR(VLOOKUP(E780,제품마스터!$A:$B,2,0),0)</f>
        <v>0</v>
      </c>
      <c r="L780">
        <f>원본데이터_SK!Q780*원본데이터_SK!P780</f>
        <v>80920</v>
      </c>
    </row>
    <row r="781" spans="1:12" x14ac:dyDescent="0.3">
      <c r="A781" t="s">
        <v>11</v>
      </c>
      <c r="B781" t="str">
        <f>원본데이터_SK!D781</f>
        <v>20260210361360</v>
      </c>
      <c r="C781" t="str">
        <f>IF(원본데이터_SK!M781="","",TEXT(원본데이터_SK!M781,"YYYY-MM-DD"))</f>
        <v>2026-02-12</v>
      </c>
      <c r="D781" t="str">
        <f>원본데이터_SK!F781</f>
        <v>58481090</v>
      </c>
      <c r="E781" t="str">
        <f>IFERROR(VLOOKUP(원본데이터_SK!F781,채널매핑!$B:$D,3,0),"미매핑")</f>
        <v>미매핑</v>
      </c>
      <c r="F781">
        <f>IFERROR(VLOOKUP(원본데이터_SK!F781,채널매핑!$B:$E,4,0),1)</f>
        <v>1</v>
      </c>
      <c r="G781">
        <f>원본데이터_SK!Q781</f>
        <v>1</v>
      </c>
      <c r="H781">
        <f>원본데이터_SK!O781</f>
        <v>119000</v>
      </c>
      <c r="I781">
        <f>원본데이터_SK!AG781</f>
        <v>119000</v>
      </c>
      <c r="J781">
        <f>원본데이터_SK!AH781</f>
        <v>80920</v>
      </c>
      <c r="K781">
        <f>IFERROR(VLOOKUP(E781,제품마스터!$A:$B,2,0),0)</f>
        <v>0</v>
      </c>
      <c r="L781">
        <f>원본데이터_SK!Q781*원본데이터_SK!P781</f>
        <v>80920</v>
      </c>
    </row>
    <row r="782" spans="1:12" x14ac:dyDescent="0.3">
      <c r="A782" t="s">
        <v>11</v>
      </c>
      <c r="B782" t="str">
        <f>원본데이터_SK!D782</f>
        <v>20260210361536</v>
      </c>
      <c r="C782" t="str">
        <f>IF(원본데이터_SK!M782="","",TEXT(원본데이터_SK!M782,"YYYY-MM-DD"))</f>
        <v>2026-02-12</v>
      </c>
      <c r="D782" t="str">
        <f>원본데이터_SK!F782</f>
        <v>58481090</v>
      </c>
      <c r="E782" t="str">
        <f>IFERROR(VLOOKUP(원본데이터_SK!F782,채널매핑!$B:$D,3,0),"미매핑")</f>
        <v>미매핑</v>
      </c>
      <c r="F782">
        <f>IFERROR(VLOOKUP(원본데이터_SK!F782,채널매핑!$B:$E,4,0),1)</f>
        <v>1</v>
      </c>
      <c r="G782">
        <f>원본데이터_SK!Q782</f>
        <v>1</v>
      </c>
      <c r="H782">
        <f>원본데이터_SK!O782</f>
        <v>119000</v>
      </c>
      <c r="I782">
        <f>원본데이터_SK!AG782</f>
        <v>119000</v>
      </c>
      <c r="J782">
        <f>원본데이터_SK!AH782</f>
        <v>80920</v>
      </c>
      <c r="K782">
        <f>IFERROR(VLOOKUP(E782,제품마스터!$A:$B,2,0),0)</f>
        <v>0</v>
      </c>
      <c r="L782">
        <f>원본데이터_SK!Q782*원본데이터_SK!P782</f>
        <v>80920</v>
      </c>
    </row>
    <row r="783" spans="1:12" x14ac:dyDescent="0.3">
      <c r="A783" t="s">
        <v>11</v>
      </c>
      <c r="B783" t="str">
        <f>원본데이터_SK!D783</f>
        <v>20260210361726</v>
      </c>
      <c r="C783" t="str">
        <f>IF(원본데이터_SK!M783="","",TEXT(원본데이터_SK!M783,"YYYY-MM-DD"))</f>
        <v>2026-02-12</v>
      </c>
      <c r="D783" t="str">
        <f>원본데이터_SK!F783</f>
        <v>58481090</v>
      </c>
      <c r="E783" t="str">
        <f>IFERROR(VLOOKUP(원본데이터_SK!F783,채널매핑!$B:$D,3,0),"미매핑")</f>
        <v>미매핑</v>
      </c>
      <c r="F783">
        <f>IFERROR(VLOOKUP(원본데이터_SK!F783,채널매핑!$B:$E,4,0),1)</f>
        <v>1</v>
      </c>
      <c r="G783">
        <f>원본데이터_SK!Q783</f>
        <v>1</v>
      </c>
      <c r="H783">
        <f>원본데이터_SK!O783</f>
        <v>119000</v>
      </c>
      <c r="I783">
        <f>원본데이터_SK!AG783</f>
        <v>119000</v>
      </c>
      <c r="J783">
        <f>원본데이터_SK!AH783</f>
        <v>80920</v>
      </c>
      <c r="K783">
        <f>IFERROR(VLOOKUP(E783,제품마스터!$A:$B,2,0),0)</f>
        <v>0</v>
      </c>
      <c r="L783">
        <f>원본데이터_SK!Q783*원본데이터_SK!P783</f>
        <v>80920</v>
      </c>
    </row>
    <row r="784" spans="1:12" x14ac:dyDescent="0.3">
      <c r="A784" t="s">
        <v>11</v>
      </c>
      <c r="B784" t="str">
        <f>원본데이터_SK!D784</f>
        <v>20260210361322</v>
      </c>
      <c r="C784" t="str">
        <f>IF(원본데이터_SK!M784="","",TEXT(원본데이터_SK!M784,"YYYY-MM-DD"))</f>
        <v>2026-02-12</v>
      </c>
      <c r="D784" t="str">
        <f>원본데이터_SK!F784</f>
        <v>58481090</v>
      </c>
      <c r="E784" t="str">
        <f>IFERROR(VLOOKUP(원본데이터_SK!F784,채널매핑!$B:$D,3,0),"미매핑")</f>
        <v>미매핑</v>
      </c>
      <c r="F784">
        <f>IFERROR(VLOOKUP(원본데이터_SK!F784,채널매핑!$B:$E,4,0),1)</f>
        <v>1</v>
      </c>
      <c r="G784">
        <f>원본데이터_SK!Q784</f>
        <v>1</v>
      </c>
      <c r="H784">
        <f>원본데이터_SK!O784</f>
        <v>119000</v>
      </c>
      <c r="I784">
        <f>원본데이터_SK!AG784</f>
        <v>119000</v>
      </c>
      <c r="J784">
        <f>원본데이터_SK!AH784</f>
        <v>80920</v>
      </c>
      <c r="K784">
        <f>IFERROR(VLOOKUP(E784,제품마스터!$A:$B,2,0),0)</f>
        <v>0</v>
      </c>
      <c r="L784">
        <f>원본데이터_SK!Q784*원본데이터_SK!P784</f>
        <v>80920</v>
      </c>
    </row>
    <row r="785" spans="1:12" x14ac:dyDescent="0.3">
      <c r="A785" t="s">
        <v>11</v>
      </c>
      <c r="B785" t="str">
        <f>원본데이터_SK!D785</f>
        <v>20260210361734</v>
      </c>
      <c r="C785" t="str">
        <f>IF(원본데이터_SK!M785="","",TEXT(원본데이터_SK!M785,"YYYY-MM-DD"))</f>
        <v>2026-02-12</v>
      </c>
      <c r="D785" t="str">
        <f>원본데이터_SK!F785</f>
        <v>58481090</v>
      </c>
      <c r="E785" t="str">
        <f>IFERROR(VLOOKUP(원본데이터_SK!F785,채널매핑!$B:$D,3,0),"미매핑")</f>
        <v>미매핑</v>
      </c>
      <c r="F785">
        <f>IFERROR(VLOOKUP(원본데이터_SK!F785,채널매핑!$B:$E,4,0),1)</f>
        <v>1</v>
      </c>
      <c r="G785">
        <f>원본데이터_SK!Q785</f>
        <v>1</v>
      </c>
      <c r="H785">
        <f>원본데이터_SK!O785</f>
        <v>119000</v>
      </c>
      <c r="I785">
        <f>원본데이터_SK!AG785</f>
        <v>119000</v>
      </c>
      <c r="J785">
        <f>원본데이터_SK!AH785</f>
        <v>80920</v>
      </c>
      <c r="K785">
        <f>IFERROR(VLOOKUP(E785,제품마스터!$A:$B,2,0),0)</f>
        <v>0</v>
      </c>
      <c r="L785">
        <f>원본데이터_SK!Q785*원본데이터_SK!P785</f>
        <v>80920</v>
      </c>
    </row>
    <row r="786" spans="1:12" x14ac:dyDescent="0.3">
      <c r="A786" t="s">
        <v>11</v>
      </c>
      <c r="B786" t="str">
        <f>원본데이터_SK!D786</f>
        <v>20260210361697</v>
      </c>
      <c r="C786" t="str">
        <f>IF(원본데이터_SK!M786="","",TEXT(원본데이터_SK!M786,"YYYY-MM-DD"))</f>
        <v>2026-02-12</v>
      </c>
      <c r="D786" t="str">
        <f>원본데이터_SK!F786</f>
        <v>58481090</v>
      </c>
      <c r="E786" t="str">
        <f>IFERROR(VLOOKUP(원본데이터_SK!F786,채널매핑!$B:$D,3,0),"미매핑")</f>
        <v>미매핑</v>
      </c>
      <c r="F786">
        <f>IFERROR(VLOOKUP(원본데이터_SK!F786,채널매핑!$B:$E,4,0),1)</f>
        <v>1</v>
      </c>
      <c r="G786">
        <f>원본데이터_SK!Q786</f>
        <v>1</v>
      </c>
      <c r="H786">
        <f>원본데이터_SK!O786</f>
        <v>119000</v>
      </c>
      <c r="I786">
        <f>원본데이터_SK!AG786</f>
        <v>119000</v>
      </c>
      <c r="J786">
        <f>원본데이터_SK!AH786</f>
        <v>80920</v>
      </c>
      <c r="K786">
        <f>IFERROR(VLOOKUP(E786,제품마스터!$A:$B,2,0),0)</f>
        <v>0</v>
      </c>
      <c r="L786">
        <f>원본데이터_SK!Q786*원본데이터_SK!P786</f>
        <v>80920</v>
      </c>
    </row>
    <row r="787" spans="1:12" x14ac:dyDescent="0.3">
      <c r="A787" t="s">
        <v>11</v>
      </c>
      <c r="B787" t="str">
        <f>원본데이터_SK!D787</f>
        <v>20260210361959</v>
      </c>
      <c r="C787" t="str">
        <f>IF(원본데이터_SK!M787="","",TEXT(원본데이터_SK!M787,"YYYY-MM-DD"))</f>
        <v>2026-02-12</v>
      </c>
      <c r="D787" t="str">
        <f>원본데이터_SK!F787</f>
        <v>58481090</v>
      </c>
      <c r="E787" t="str">
        <f>IFERROR(VLOOKUP(원본데이터_SK!F787,채널매핑!$B:$D,3,0),"미매핑")</f>
        <v>미매핑</v>
      </c>
      <c r="F787">
        <f>IFERROR(VLOOKUP(원본데이터_SK!F787,채널매핑!$B:$E,4,0),1)</f>
        <v>1</v>
      </c>
      <c r="G787">
        <f>원본데이터_SK!Q787</f>
        <v>1</v>
      </c>
      <c r="H787">
        <f>원본데이터_SK!O787</f>
        <v>119000</v>
      </c>
      <c r="I787">
        <f>원본데이터_SK!AG787</f>
        <v>119000</v>
      </c>
      <c r="J787">
        <f>원본데이터_SK!AH787</f>
        <v>80920</v>
      </c>
      <c r="K787">
        <f>IFERROR(VLOOKUP(E787,제품마스터!$A:$B,2,0),0)</f>
        <v>0</v>
      </c>
      <c r="L787">
        <f>원본데이터_SK!Q787*원본데이터_SK!P787</f>
        <v>80920</v>
      </c>
    </row>
    <row r="788" spans="1:12" x14ac:dyDescent="0.3">
      <c r="A788" t="s">
        <v>11</v>
      </c>
      <c r="B788" t="str">
        <f>원본데이터_SK!D788</f>
        <v>20260210361974</v>
      </c>
      <c r="C788" t="str">
        <f>IF(원본데이터_SK!M788="","",TEXT(원본데이터_SK!M788,"YYYY-MM-DD"))</f>
        <v>2026-02-12</v>
      </c>
      <c r="D788" t="str">
        <f>원본데이터_SK!F788</f>
        <v>58481090</v>
      </c>
      <c r="E788" t="str">
        <f>IFERROR(VLOOKUP(원본데이터_SK!F788,채널매핑!$B:$D,3,0),"미매핑")</f>
        <v>미매핑</v>
      </c>
      <c r="F788">
        <f>IFERROR(VLOOKUP(원본데이터_SK!F788,채널매핑!$B:$E,4,0),1)</f>
        <v>1</v>
      </c>
      <c r="G788">
        <f>원본데이터_SK!Q788</f>
        <v>1</v>
      </c>
      <c r="H788">
        <f>원본데이터_SK!O788</f>
        <v>119000</v>
      </c>
      <c r="I788">
        <f>원본데이터_SK!AG788</f>
        <v>119000</v>
      </c>
      <c r="J788">
        <f>원본데이터_SK!AH788</f>
        <v>80920</v>
      </c>
      <c r="K788">
        <f>IFERROR(VLOOKUP(E788,제품마스터!$A:$B,2,0),0)</f>
        <v>0</v>
      </c>
      <c r="L788">
        <f>원본데이터_SK!Q788*원본데이터_SK!P788</f>
        <v>80920</v>
      </c>
    </row>
    <row r="789" spans="1:12" x14ac:dyDescent="0.3">
      <c r="A789" t="s">
        <v>11</v>
      </c>
      <c r="B789" t="str">
        <f>원본데이터_SK!D789</f>
        <v>20260210362007</v>
      </c>
      <c r="C789" t="str">
        <f>IF(원본데이터_SK!M789="","",TEXT(원본데이터_SK!M789,"YYYY-MM-DD"))</f>
        <v>2026-02-12</v>
      </c>
      <c r="D789" t="str">
        <f>원본데이터_SK!F789</f>
        <v>58481090</v>
      </c>
      <c r="E789" t="str">
        <f>IFERROR(VLOOKUP(원본데이터_SK!F789,채널매핑!$B:$D,3,0),"미매핑")</f>
        <v>미매핑</v>
      </c>
      <c r="F789">
        <f>IFERROR(VLOOKUP(원본데이터_SK!F789,채널매핑!$B:$E,4,0),1)</f>
        <v>1</v>
      </c>
      <c r="G789">
        <f>원본데이터_SK!Q789</f>
        <v>1</v>
      </c>
      <c r="H789">
        <f>원본데이터_SK!O789</f>
        <v>119000</v>
      </c>
      <c r="I789">
        <f>원본데이터_SK!AG789</f>
        <v>119000</v>
      </c>
      <c r="J789">
        <f>원본데이터_SK!AH789</f>
        <v>80920</v>
      </c>
      <c r="K789">
        <f>IFERROR(VLOOKUP(E789,제품마스터!$A:$B,2,0),0)</f>
        <v>0</v>
      </c>
      <c r="L789">
        <f>원본데이터_SK!Q789*원본데이터_SK!P789</f>
        <v>80920</v>
      </c>
    </row>
    <row r="790" spans="1:12" x14ac:dyDescent="0.3">
      <c r="A790" t="s">
        <v>11</v>
      </c>
      <c r="B790" t="str">
        <f>원본데이터_SK!D790</f>
        <v>20260210360828</v>
      </c>
      <c r="C790" t="str">
        <f>IF(원본데이터_SK!M790="","",TEXT(원본데이터_SK!M790,"YYYY-MM-DD"))</f>
        <v>2026-02-12</v>
      </c>
      <c r="D790" t="str">
        <f>원본데이터_SK!F790</f>
        <v>58481090</v>
      </c>
      <c r="E790" t="str">
        <f>IFERROR(VLOOKUP(원본데이터_SK!F790,채널매핑!$B:$D,3,0),"미매핑")</f>
        <v>미매핑</v>
      </c>
      <c r="F790">
        <f>IFERROR(VLOOKUP(원본데이터_SK!F790,채널매핑!$B:$E,4,0),1)</f>
        <v>1</v>
      </c>
      <c r="G790">
        <f>원본데이터_SK!Q790</f>
        <v>1</v>
      </c>
      <c r="H790">
        <f>원본데이터_SK!O790</f>
        <v>119000</v>
      </c>
      <c r="I790">
        <f>원본데이터_SK!AG790</f>
        <v>113050</v>
      </c>
      <c r="J790">
        <f>원본데이터_SK!AH790</f>
        <v>80920</v>
      </c>
      <c r="K790">
        <f>IFERROR(VLOOKUP(E790,제품마스터!$A:$B,2,0),0)</f>
        <v>0</v>
      </c>
      <c r="L790">
        <f>원본데이터_SK!Q790*원본데이터_SK!P790</f>
        <v>80920</v>
      </c>
    </row>
    <row r="791" spans="1:12" x14ac:dyDescent="0.3">
      <c r="A791" t="s">
        <v>11</v>
      </c>
      <c r="B791" t="str">
        <f>원본데이터_SK!D791</f>
        <v>20260210360893</v>
      </c>
      <c r="C791" t="str">
        <f>IF(원본데이터_SK!M791="","",TEXT(원본데이터_SK!M791,"YYYY-MM-DD"))</f>
        <v>2026-02-12</v>
      </c>
      <c r="D791" t="str">
        <f>원본데이터_SK!F791</f>
        <v>58481090</v>
      </c>
      <c r="E791" t="str">
        <f>IFERROR(VLOOKUP(원본데이터_SK!F791,채널매핑!$B:$D,3,0),"미매핑")</f>
        <v>미매핑</v>
      </c>
      <c r="F791">
        <f>IFERROR(VLOOKUP(원본데이터_SK!F791,채널매핑!$B:$E,4,0),1)</f>
        <v>1</v>
      </c>
      <c r="G791">
        <f>원본데이터_SK!Q791</f>
        <v>1</v>
      </c>
      <c r="H791">
        <f>원본데이터_SK!O791</f>
        <v>119000</v>
      </c>
      <c r="I791">
        <f>원본데이터_SK!AG791</f>
        <v>119000</v>
      </c>
      <c r="J791">
        <f>원본데이터_SK!AH791</f>
        <v>80920</v>
      </c>
      <c r="K791">
        <f>IFERROR(VLOOKUP(E791,제품마스터!$A:$B,2,0),0)</f>
        <v>0</v>
      </c>
      <c r="L791">
        <f>원본데이터_SK!Q791*원본데이터_SK!P791</f>
        <v>80920</v>
      </c>
    </row>
    <row r="792" spans="1:12" x14ac:dyDescent="0.3">
      <c r="A792" t="s">
        <v>11</v>
      </c>
      <c r="B792" t="str">
        <f>원본데이터_SK!D792</f>
        <v>20260210360092</v>
      </c>
      <c r="C792" t="str">
        <f>IF(원본데이터_SK!M792="","",TEXT(원본데이터_SK!M792,"YYYY-MM-DD"))</f>
        <v>2026-02-12</v>
      </c>
      <c r="D792" t="str">
        <f>원본데이터_SK!F792</f>
        <v>58481090</v>
      </c>
      <c r="E792" t="str">
        <f>IFERROR(VLOOKUP(원본데이터_SK!F792,채널매핑!$B:$D,3,0),"미매핑")</f>
        <v>미매핑</v>
      </c>
      <c r="F792">
        <f>IFERROR(VLOOKUP(원본데이터_SK!F792,채널매핑!$B:$E,4,0),1)</f>
        <v>1</v>
      </c>
      <c r="G792">
        <f>원본데이터_SK!Q792</f>
        <v>1</v>
      </c>
      <c r="H792">
        <f>원본데이터_SK!O792</f>
        <v>119000</v>
      </c>
      <c r="I792">
        <f>원본데이터_SK!AG792</f>
        <v>119000</v>
      </c>
      <c r="J792">
        <f>원본데이터_SK!AH792</f>
        <v>80920</v>
      </c>
      <c r="K792">
        <f>IFERROR(VLOOKUP(E792,제품마스터!$A:$B,2,0),0)</f>
        <v>0</v>
      </c>
      <c r="L792">
        <f>원본데이터_SK!Q792*원본데이터_SK!P792</f>
        <v>80920</v>
      </c>
    </row>
    <row r="793" spans="1:12" x14ac:dyDescent="0.3">
      <c r="A793" t="s">
        <v>11</v>
      </c>
      <c r="B793" t="str">
        <f>원본데이터_SK!D793</f>
        <v>20260210360272</v>
      </c>
      <c r="C793" t="str">
        <f>IF(원본데이터_SK!M793="","",TEXT(원본데이터_SK!M793,"YYYY-MM-DD"))</f>
        <v>2026-02-12</v>
      </c>
      <c r="D793" t="str">
        <f>원본데이터_SK!F793</f>
        <v>58481090</v>
      </c>
      <c r="E793" t="str">
        <f>IFERROR(VLOOKUP(원본데이터_SK!F793,채널매핑!$B:$D,3,0),"미매핑")</f>
        <v>미매핑</v>
      </c>
      <c r="F793">
        <f>IFERROR(VLOOKUP(원본데이터_SK!F793,채널매핑!$B:$E,4,0),1)</f>
        <v>1</v>
      </c>
      <c r="G793">
        <f>원본데이터_SK!Q793</f>
        <v>1</v>
      </c>
      <c r="H793">
        <f>원본데이터_SK!O793</f>
        <v>119000</v>
      </c>
      <c r="I793">
        <f>원본데이터_SK!AG793</f>
        <v>119000</v>
      </c>
      <c r="J793">
        <f>원본데이터_SK!AH793</f>
        <v>80920</v>
      </c>
      <c r="K793">
        <f>IFERROR(VLOOKUP(E793,제품마스터!$A:$B,2,0),0)</f>
        <v>0</v>
      </c>
      <c r="L793">
        <f>원본데이터_SK!Q793*원본데이터_SK!P793</f>
        <v>80920</v>
      </c>
    </row>
    <row r="794" spans="1:12" x14ac:dyDescent="0.3">
      <c r="A794" t="s">
        <v>11</v>
      </c>
      <c r="B794" t="str">
        <f>원본데이터_SK!D794</f>
        <v>20260210361097</v>
      </c>
      <c r="C794" t="str">
        <f>IF(원본데이터_SK!M794="","",TEXT(원본데이터_SK!M794,"YYYY-MM-DD"))</f>
        <v>2026-02-12</v>
      </c>
      <c r="D794" t="str">
        <f>원본데이터_SK!F794</f>
        <v>58481090</v>
      </c>
      <c r="E794" t="str">
        <f>IFERROR(VLOOKUP(원본데이터_SK!F794,채널매핑!$B:$D,3,0),"미매핑")</f>
        <v>미매핑</v>
      </c>
      <c r="F794">
        <f>IFERROR(VLOOKUP(원본데이터_SK!F794,채널매핑!$B:$E,4,0),1)</f>
        <v>1</v>
      </c>
      <c r="G794">
        <f>원본데이터_SK!Q794</f>
        <v>1</v>
      </c>
      <c r="H794">
        <f>원본데이터_SK!O794</f>
        <v>119000</v>
      </c>
      <c r="I794">
        <f>원본데이터_SK!AG794</f>
        <v>113050</v>
      </c>
      <c r="J794">
        <f>원본데이터_SK!AH794</f>
        <v>80920</v>
      </c>
      <c r="K794">
        <f>IFERROR(VLOOKUP(E794,제품마스터!$A:$B,2,0),0)</f>
        <v>0</v>
      </c>
      <c r="L794">
        <f>원본데이터_SK!Q794*원본데이터_SK!P794</f>
        <v>80920</v>
      </c>
    </row>
    <row r="795" spans="1:12" x14ac:dyDescent="0.3">
      <c r="A795" t="s">
        <v>11</v>
      </c>
      <c r="B795" t="str">
        <f>원본데이터_SK!D795</f>
        <v>20260210360282</v>
      </c>
      <c r="C795" t="str">
        <f>IF(원본데이터_SK!M795="","",TEXT(원본데이터_SK!M795,"YYYY-MM-DD"))</f>
        <v>2026-02-12</v>
      </c>
      <c r="D795" t="str">
        <f>원본데이터_SK!F795</f>
        <v>58481090</v>
      </c>
      <c r="E795" t="str">
        <f>IFERROR(VLOOKUP(원본데이터_SK!F795,채널매핑!$B:$D,3,0),"미매핑")</f>
        <v>미매핑</v>
      </c>
      <c r="F795">
        <f>IFERROR(VLOOKUP(원본데이터_SK!F795,채널매핑!$B:$E,4,0),1)</f>
        <v>1</v>
      </c>
      <c r="G795">
        <f>원본데이터_SK!Q795</f>
        <v>1</v>
      </c>
      <c r="H795">
        <f>원본데이터_SK!O795</f>
        <v>119000</v>
      </c>
      <c r="I795">
        <f>원본데이터_SK!AG795</f>
        <v>119000</v>
      </c>
      <c r="J795">
        <f>원본데이터_SK!AH795</f>
        <v>80920</v>
      </c>
      <c r="K795">
        <f>IFERROR(VLOOKUP(E795,제품마스터!$A:$B,2,0),0)</f>
        <v>0</v>
      </c>
      <c r="L795">
        <f>원본데이터_SK!Q795*원본데이터_SK!P795</f>
        <v>80920</v>
      </c>
    </row>
    <row r="796" spans="1:12" x14ac:dyDescent="0.3">
      <c r="A796" t="s">
        <v>11</v>
      </c>
      <c r="B796" t="str">
        <f>원본데이터_SK!D796</f>
        <v>20260210361403</v>
      </c>
      <c r="C796" t="str">
        <f>IF(원본데이터_SK!M796="","",TEXT(원본데이터_SK!M796,"YYYY-MM-DD"))</f>
        <v>2026-02-12</v>
      </c>
      <c r="D796" t="str">
        <f>원본데이터_SK!F796</f>
        <v>58481090</v>
      </c>
      <c r="E796" t="str">
        <f>IFERROR(VLOOKUP(원본데이터_SK!F796,채널매핑!$B:$D,3,0),"미매핑")</f>
        <v>미매핑</v>
      </c>
      <c r="F796">
        <f>IFERROR(VLOOKUP(원본데이터_SK!F796,채널매핑!$B:$E,4,0),1)</f>
        <v>1</v>
      </c>
      <c r="G796">
        <f>원본데이터_SK!Q796</f>
        <v>1</v>
      </c>
      <c r="H796">
        <f>원본데이터_SK!O796</f>
        <v>119000</v>
      </c>
      <c r="I796">
        <f>원본데이터_SK!AG796</f>
        <v>119000</v>
      </c>
      <c r="J796">
        <f>원본데이터_SK!AH796</f>
        <v>80920</v>
      </c>
      <c r="K796">
        <f>IFERROR(VLOOKUP(E796,제품마스터!$A:$B,2,0),0)</f>
        <v>0</v>
      </c>
      <c r="L796">
        <f>원본데이터_SK!Q796*원본데이터_SK!P796</f>
        <v>80920</v>
      </c>
    </row>
    <row r="797" spans="1:12" x14ac:dyDescent="0.3">
      <c r="A797" t="s">
        <v>11</v>
      </c>
      <c r="B797" t="str">
        <f>원본데이터_SK!D797</f>
        <v>20260210360433</v>
      </c>
      <c r="C797" t="str">
        <f>IF(원본데이터_SK!M797="","",TEXT(원본데이터_SK!M797,"YYYY-MM-DD"))</f>
        <v>2026-02-12</v>
      </c>
      <c r="D797" t="str">
        <f>원본데이터_SK!F797</f>
        <v>58481090</v>
      </c>
      <c r="E797" t="str">
        <f>IFERROR(VLOOKUP(원본데이터_SK!F797,채널매핑!$B:$D,3,0),"미매핑")</f>
        <v>미매핑</v>
      </c>
      <c r="F797">
        <f>IFERROR(VLOOKUP(원본데이터_SK!F797,채널매핑!$B:$E,4,0),1)</f>
        <v>1</v>
      </c>
      <c r="G797">
        <f>원본데이터_SK!Q797</f>
        <v>1</v>
      </c>
      <c r="H797">
        <f>원본데이터_SK!O797</f>
        <v>119000</v>
      </c>
      <c r="I797">
        <f>원본데이터_SK!AG797</f>
        <v>119000</v>
      </c>
      <c r="J797">
        <f>원본데이터_SK!AH797</f>
        <v>80920</v>
      </c>
      <c r="K797">
        <f>IFERROR(VLOOKUP(E797,제품마스터!$A:$B,2,0),0)</f>
        <v>0</v>
      </c>
      <c r="L797">
        <f>원본데이터_SK!Q797*원본데이터_SK!P797</f>
        <v>80920</v>
      </c>
    </row>
    <row r="798" spans="1:12" x14ac:dyDescent="0.3">
      <c r="A798" t="s">
        <v>11</v>
      </c>
      <c r="B798" t="str">
        <f>원본데이터_SK!D798</f>
        <v>20260210361474</v>
      </c>
      <c r="C798" t="str">
        <f>IF(원본데이터_SK!M798="","",TEXT(원본데이터_SK!M798,"YYYY-MM-DD"))</f>
        <v>2026-02-12</v>
      </c>
      <c r="D798" t="str">
        <f>원본데이터_SK!F798</f>
        <v>58481090</v>
      </c>
      <c r="E798" t="str">
        <f>IFERROR(VLOOKUP(원본데이터_SK!F798,채널매핑!$B:$D,3,0),"미매핑")</f>
        <v>미매핑</v>
      </c>
      <c r="F798">
        <f>IFERROR(VLOOKUP(원본데이터_SK!F798,채널매핑!$B:$E,4,0),1)</f>
        <v>1</v>
      </c>
      <c r="G798">
        <f>원본데이터_SK!Q798</f>
        <v>1</v>
      </c>
      <c r="H798">
        <f>원본데이터_SK!O798</f>
        <v>119000</v>
      </c>
      <c r="I798">
        <f>원본데이터_SK!AG798</f>
        <v>119000</v>
      </c>
      <c r="J798">
        <f>원본데이터_SK!AH798</f>
        <v>80920</v>
      </c>
      <c r="K798">
        <f>IFERROR(VLOOKUP(E798,제품마스터!$A:$B,2,0),0)</f>
        <v>0</v>
      </c>
      <c r="L798">
        <f>원본데이터_SK!Q798*원본데이터_SK!P798</f>
        <v>80920</v>
      </c>
    </row>
    <row r="799" spans="1:12" x14ac:dyDescent="0.3">
      <c r="A799" t="s">
        <v>11</v>
      </c>
      <c r="B799" t="str">
        <f>원본데이터_SK!D799</f>
        <v>20260210360656</v>
      </c>
      <c r="C799" t="str">
        <f>IF(원본데이터_SK!M799="","",TEXT(원본데이터_SK!M799,"YYYY-MM-DD"))</f>
        <v>2026-02-12</v>
      </c>
      <c r="D799" t="str">
        <f>원본데이터_SK!F799</f>
        <v>58481090</v>
      </c>
      <c r="E799" t="str">
        <f>IFERROR(VLOOKUP(원본데이터_SK!F799,채널매핑!$B:$D,3,0),"미매핑")</f>
        <v>미매핑</v>
      </c>
      <c r="F799">
        <f>IFERROR(VLOOKUP(원본데이터_SK!F799,채널매핑!$B:$E,4,0),1)</f>
        <v>1</v>
      </c>
      <c r="G799">
        <f>원본데이터_SK!Q799</f>
        <v>1</v>
      </c>
      <c r="H799">
        <f>원본데이터_SK!O799</f>
        <v>119000</v>
      </c>
      <c r="I799">
        <f>원본데이터_SK!AG799</f>
        <v>98770</v>
      </c>
      <c r="J799">
        <f>원본데이터_SK!AH799</f>
        <v>80920</v>
      </c>
      <c r="K799">
        <f>IFERROR(VLOOKUP(E799,제품마스터!$A:$B,2,0),0)</f>
        <v>0</v>
      </c>
      <c r="L799">
        <f>원본데이터_SK!Q799*원본데이터_SK!P799</f>
        <v>80920</v>
      </c>
    </row>
    <row r="800" spans="1:12" x14ac:dyDescent="0.3">
      <c r="A800" t="s">
        <v>11</v>
      </c>
      <c r="B800" t="str">
        <f>원본데이터_SK!D800</f>
        <v>20260210361500</v>
      </c>
      <c r="C800" t="str">
        <f>IF(원본데이터_SK!M800="","",TEXT(원본데이터_SK!M800,"YYYY-MM-DD"))</f>
        <v>2026-02-12</v>
      </c>
      <c r="D800" t="str">
        <f>원본데이터_SK!F800</f>
        <v>58481090</v>
      </c>
      <c r="E800" t="str">
        <f>IFERROR(VLOOKUP(원본데이터_SK!F800,채널매핑!$B:$D,3,0),"미매핑")</f>
        <v>미매핑</v>
      </c>
      <c r="F800">
        <f>IFERROR(VLOOKUP(원본데이터_SK!F800,채널매핑!$B:$E,4,0),1)</f>
        <v>1</v>
      </c>
      <c r="G800">
        <f>원본데이터_SK!Q800</f>
        <v>1</v>
      </c>
      <c r="H800">
        <f>원본데이터_SK!O800</f>
        <v>119000</v>
      </c>
      <c r="I800">
        <f>원본데이터_SK!AG800</f>
        <v>119000</v>
      </c>
      <c r="J800">
        <f>원본데이터_SK!AH800</f>
        <v>80920</v>
      </c>
      <c r="K800">
        <f>IFERROR(VLOOKUP(E800,제품마스터!$A:$B,2,0),0)</f>
        <v>0</v>
      </c>
      <c r="L800">
        <f>원본데이터_SK!Q800*원본데이터_SK!P800</f>
        <v>80920</v>
      </c>
    </row>
    <row r="801" spans="1:12" x14ac:dyDescent="0.3">
      <c r="A801" t="s">
        <v>11</v>
      </c>
      <c r="B801" t="str">
        <f>원본데이터_SK!D801</f>
        <v>20260210360722</v>
      </c>
      <c r="C801" t="str">
        <f>IF(원본데이터_SK!M801="","",TEXT(원본데이터_SK!M801,"YYYY-MM-DD"))</f>
        <v>2026-02-12</v>
      </c>
      <c r="D801" t="str">
        <f>원본데이터_SK!F801</f>
        <v>58481090</v>
      </c>
      <c r="E801" t="str">
        <f>IFERROR(VLOOKUP(원본데이터_SK!F801,채널매핑!$B:$D,3,0),"미매핑")</f>
        <v>미매핑</v>
      </c>
      <c r="F801">
        <f>IFERROR(VLOOKUP(원본데이터_SK!F801,채널매핑!$B:$E,4,0),1)</f>
        <v>1</v>
      </c>
      <c r="G801">
        <f>원본데이터_SK!Q801</f>
        <v>1</v>
      </c>
      <c r="H801">
        <f>원본데이터_SK!O801</f>
        <v>119000</v>
      </c>
      <c r="I801">
        <f>원본데이터_SK!AG801</f>
        <v>113050</v>
      </c>
      <c r="J801">
        <f>원본데이터_SK!AH801</f>
        <v>80920</v>
      </c>
      <c r="K801">
        <f>IFERROR(VLOOKUP(E801,제품마스터!$A:$B,2,0),0)</f>
        <v>0</v>
      </c>
      <c r="L801">
        <f>원본데이터_SK!Q801*원본데이터_SK!P801</f>
        <v>80920</v>
      </c>
    </row>
    <row r="802" spans="1:12" x14ac:dyDescent="0.3">
      <c r="A802" t="s">
        <v>11</v>
      </c>
      <c r="B802" t="str">
        <f>원본데이터_SK!D802</f>
        <v>20260210361757</v>
      </c>
      <c r="C802" t="str">
        <f>IF(원본데이터_SK!M802="","",TEXT(원본데이터_SK!M802,"YYYY-MM-DD"))</f>
        <v>2026-02-12</v>
      </c>
      <c r="D802" t="str">
        <f>원본데이터_SK!F802</f>
        <v>58481090</v>
      </c>
      <c r="E802" t="str">
        <f>IFERROR(VLOOKUP(원본데이터_SK!F802,채널매핑!$B:$D,3,0),"미매핑")</f>
        <v>미매핑</v>
      </c>
      <c r="F802">
        <f>IFERROR(VLOOKUP(원본데이터_SK!F802,채널매핑!$B:$E,4,0),1)</f>
        <v>1</v>
      </c>
      <c r="G802">
        <f>원본데이터_SK!Q802</f>
        <v>1</v>
      </c>
      <c r="H802">
        <f>원본데이터_SK!O802</f>
        <v>119000</v>
      </c>
      <c r="I802">
        <f>원본데이터_SK!AG802</f>
        <v>119000</v>
      </c>
      <c r="J802">
        <f>원본데이터_SK!AH802</f>
        <v>80920</v>
      </c>
      <c r="K802">
        <f>IFERROR(VLOOKUP(E802,제품마스터!$A:$B,2,0),0)</f>
        <v>0</v>
      </c>
      <c r="L802">
        <f>원본데이터_SK!Q802*원본데이터_SK!P802</f>
        <v>80920</v>
      </c>
    </row>
    <row r="803" spans="1:12" x14ac:dyDescent="0.3">
      <c r="A803" t="s">
        <v>11</v>
      </c>
      <c r="B803" t="str">
        <f>원본데이터_SK!D803</f>
        <v>20260210360526</v>
      </c>
      <c r="C803" t="str">
        <f>IF(원본데이터_SK!M803="","",TEXT(원본데이터_SK!M803,"YYYY-MM-DD"))</f>
        <v>2026-02-12</v>
      </c>
      <c r="D803" t="str">
        <f>원본데이터_SK!F803</f>
        <v>58481090</v>
      </c>
      <c r="E803" t="str">
        <f>IFERROR(VLOOKUP(원본데이터_SK!F803,채널매핑!$B:$D,3,0),"미매핑")</f>
        <v>미매핑</v>
      </c>
      <c r="F803">
        <f>IFERROR(VLOOKUP(원본데이터_SK!F803,채널매핑!$B:$E,4,0),1)</f>
        <v>1</v>
      </c>
      <c r="G803">
        <f>원본데이터_SK!Q803</f>
        <v>1</v>
      </c>
      <c r="H803">
        <f>원본데이터_SK!O803</f>
        <v>119000</v>
      </c>
      <c r="I803">
        <f>원본데이터_SK!AG803</f>
        <v>119000</v>
      </c>
      <c r="J803">
        <f>원본데이터_SK!AH803</f>
        <v>80920</v>
      </c>
      <c r="K803">
        <f>IFERROR(VLOOKUP(E803,제품마스터!$A:$B,2,0),0)</f>
        <v>0</v>
      </c>
      <c r="L803">
        <f>원본데이터_SK!Q803*원본데이터_SK!P803</f>
        <v>80920</v>
      </c>
    </row>
    <row r="804" spans="1:12" x14ac:dyDescent="0.3">
      <c r="A804" t="s">
        <v>11</v>
      </c>
      <c r="B804" t="str">
        <f>원본데이터_SK!D804</f>
        <v>20260210361758</v>
      </c>
      <c r="C804" t="str">
        <f>IF(원본데이터_SK!M804="","",TEXT(원본데이터_SK!M804,"YYYY-MM-DD"))</f>
        <v>2026-02-12</v>
      </c>
      <c r="D804" t="str">
        <f>원본데이터_SK!F804</f>
        <v>58481090</v>
      </c>
      <c r="E804" t="str">
        <f>IFERROR(VLOOKUP(원본데이터_SK!F804,채널매핑!$B:$D,3,0),"미매핑")</f>
        <v>미매핑</v>
      </c>
      <c r="F804">
        <f>IFERROR(VLOOKUP(원본데이터_SK!F804,채널매핑!$B:$E,4,0),1)</f>
        <v>1</v>
      </c>
      <c r="G804">
        <f>원본데이터_SK!Q804</f>
        <v>1</v>
      </c>
      <c r="H804">
        <f>원본데이터_SK!O804</f>
        <v>119000</v>
      </c>
      <c r="I804">
        <f>원본데이터_SK!AG804</f>
        <v>119000</v>
      </c>
      <c r="J804">
        <f>원본데이터_SK!AH804</f>
        <v>80920</v>
      </c>
      <c r="K804">
        <f>IFERROR(VLOOKUP(E804,제품마스터!$A:$B,2,0),0)</f>
        <v>0</v>
      </c>
      <c r="L804">
        <f>원본데이터_SK!Q804*원본데이터_SK!P804</f>
        <v>80920</v>
      </c>
    </row>
    <row r="805" spans="1:12" x14ac:dyDescent="0.3">
      <c r="A805" t="s">
        <v>11</v>
      </c>
      <c r="B805" t="str">
        <f>원본데이터_SK!D805</f>
        <v>20260210361268</v>
      </c>
      <c r="C805" t="str">
        <f>IF(원본데이터_SK!M805="","",TEXT(원본데이터_SK!M805,"YYYY-MM-DD"))</f>
        <v>2026-02-12</v>
      </c>
      <c r="D805" t="str">
        <f>원본데이터_SK!F805</f>
        <v>58481090</v>
      </c>
      <c r="E805" t="str">
        <f>IFERROR(VLOOKUP(원본데이터_SK!F805,채널매핑!$B:$D,3,0),"미매핑")</f>
        <v>미매핑</v>
      </c>
      <c r="F805">
        <f>IFERROR(VLOOKUP(원본데이터_SK!F805,채널매핑!$B:$E,4,0),1)</f>
        <v>1</v>
      </c>
      <c r="G805">
        <f>원본데이터_SK!Q805</f>
        <v>1</v>
      </c>
      <c r="H805">
        <f>원본데이터_SK!O805</f>
        <v>119000</v>
      </c>
      <c r="I805">
        <f>원본데이터_SK!AG805</f>
        <v>119000</v>
      </c>
      <c r="J805">
        <f>원본데이터_SK!AH805</f>
        <v>80920</v>
      </c>
      <c r="K805">
        <f>IFERROR(VLOOKUP(E805,제품마스터!$A:$B,2,0),0)</f>
        <v>0</v>
      </c>
      <c r="L805">
        <f>원본데이터_SK!Q805*원본데이터_SK!P805</f>
        <v>80920</v>
      </c>
    </row>
    <row r="806" spans="1:12" x14ac:dyDescent="0.3">
      <c r="A806" t="s">
        <v>11</v>
      </c>
      <c r="B806" t="str">
        <f>원본데이터_SK!D806</f>
        <v>20260210361522</v>
      </c>
      <c r="C806" t="str">
        <f>IF(원본데이터_SK!M806="","",TEXT(원본데이터_SK!M806,"YYYY-MM-DD"))</f>
        <v>2026-02-12</v>
      </c>
      <c r="D806" t="str">
        <f>원본데이터_SK!F806</f>
        <v>58481090</v>
      </c>
      <c r="E806" t="str">
        <f>IFERROR(VLOOKUP(원본데이터_SK!F806,채널매핑!$B:$D,3,0),"미매핑")</f>
        <v>미매핑</v>
      </c>
      <c r="F806">
        <f>IFERROR(VLOOKUP(원본데이터_SK!F806,채널매핑!$B:$E,4,0),1)</f>
        <v>1</v>
      </c>
      <c r="G806">
        <f>원본데이터_SK!Q806</f>
        <v>1</v>
      </c>
      <c r="H806">
        <f>원본데이터_SK!O806</f>
        <v>119000</v>
      </c>
      <c r="I806">
        <f>원본데이터_SK!AG806</f>
        <v>119000</v>
      </c>
      <c r="J806">
        <f>원본데이터_SK!AH806</f>
        <v>80920</v>
      </c>
      <c r="K806">
        <f>IFERROR(VLOOKUP(E806,제품마스터!$A:$B,2,0),0)</f>
        <v>0</v>
      </c>
      <c r="L806">
        <f>원본데이터_SK!Q806*원본데이터_SK!P806</f>
        <v>80920</v>
      </c>
    </row>
    <row r="807" spans="1:12" x14ac:dyDescent="0.3">
      <c r="A807" t="s">
        <v>11</v>
      </c>
      <c r="B807" t="str">
        <f>원본데이터_SK!D807</f>
        <v>20260210362264</v>
      </c>
      <c r="C807" t="str">
        <f>IF(원본데이터_SK!M807="","",TEXT(원본데이터_SK!M807,"YYYY-MM-DD"))</f>
        <v>2026-02-12</v>
      </c>
      <c r="D807" t="str">
        <f>원본데이터_SK!F807</f>
        <v>58481090</v>
      </c>
      <c r="E807" t="str">
        <f>IFERROR(VLOOKUP(원본데이터_SK!F807,채널매핑!$B:$D,3,0),"미매핑")</f>
        <v>미매핑</v>
      </c>
      <c r="F807">
        <f>IFERROR(VLOOKUP(원본데이터_SK!F807,채널매핑!$B:$E,4,0),1)</f>
        <v>1</v>
      </c>
      <c r="G807">
        <f>원본데이터_SK!Q807</f>
        <v>1</v>
      </c>
      <c r="H807">
        <f>원본데이터_SK!O807</f>
        <v>119000</v>
      </c>
      <c r="I807">
        <f>원본데이터_SK!AG807</f>
        <v>113050</v>
      </c>
      <c r="J807">
        <f>원본데이터_SK!AH807</f>
        <v>80920</v>
      </c>
      <c r="K807">
        <f>IFERROR(VLOOKUP(E807,제품마스터!$A:$B,2,0),0)</f>
        <v>0</v>
      </c>
      <c r="L807">
        <f>원본데이터_SK!Q807*원본데이터_SK!P807</f>
        <v>80920</v>
      </c>
    </row>
    <row r="808" spans="1:12" x14ac:dyDescent="0.3">
      <c r="A808" t="s">
        <v>11</v>
      </c>
      <c r="B808" t="str">
        <f>원본데이터_SK!D808</f>
        <v>20260210360898</v>
      </c>
      <c r="C808" t="str">
        <f>IF(원본데이터_SK!M808="","",TEXT(원본데이터_SK!M808,"YYYY-MM-DD"))</f>
        <v>2026-02-12</v>
      </c>
      <c r="D808" t="str">
        <f>원본데이터_SK!F808</f>
        <v>58481090</v>
      </c>
      <c r="E808" t="str">
        <f>IFERROR(VLOOKUP(원본데이터_SK!F808,채널매핑!$B:$D,3,0),"미매핑")</f>
        <v>미매핑</v>
      </c>
      <c r="F808">
        <f>IFERROR(VLOOKUP(원본데이터_SK!F808,채널매핑!$B:$E,4,0),1)</f>
        <v>1</v>
      </c>
      <c r="G808">
        <f>원본데이터_SK!Q808</f>
        <v>1</v>
      </c>
      <c r="H808">
        <f>원본데이터_SK!O808</f>
        <v>119000</v>
      </c>
      <c r="I808">
        <f>원본데이터_SK!AG808</f>
        <v>119000</v>
      </c>
      <c r="J808">
        <f>원본데이터_SK!AH808</f>
        <v>80920</v>
      </c>
      <c r="K808">
        <f>IFERROR(VLOOKUP(E808,제품마스터!$A:$B,2,0),0)</f>
        <v>0</v>
      </c>
      <c r="L808">
        <f>원본데이터_SK!Q808*원본데이터_SK!P808</f>
        <v>80920</v>
      </c>
    </row>
    <row r="809" spans="1:12" x14ac:dyDescent="0.3">
      <c r="A809" t="s">
        <v>11</v>
      </c>
      <c r="B809" t="str">
        <f>원본데이터_SK!D809</f>
        <v>20260210360968</v>
      </c>
      <c r="C809" t="str">
        <f>IF(원본데이터_SK!M809="","",TEXT(원본데이터_SK!M809,"YYYY-MM-DD"))</f>
        <v>2026-02-12</v>
      </c>
      <c r="D809" t="str">
        <f>원본데이터_SK!F809</f>
        <v>58481090</v>
      </c>
      <c r="E809" t="str">
        <f>IFERROR(VLOOKUP(원본데이터_SK!F809,채널매핑!$B:$D,3,0),"미매핑")</f>
        <v>미매핑</v>
      </c>
      <c r="F809">
        <f>IFERROR(VLOOKUP(원본데이터_SK!F809,채널매핑!$B:$E,4,0),1)</f>
        <v>1</v>
      </c>
      <c r="G809">
        <f>원본데이터_SK!Q809</f>
        <v>1</v>
      </c>
      <c r="H809">
        <f>원본데이터_SK!O809</f>
        <v>119000</v>
      </c>
      <c r="I809">
        <f>원본데이터_SK!AG809</f>
        <v>119000</v>
      </c>
      <c r="J809">
        <f>원본데이터_SK!AH809</f>
        <v>80920</v>
      </c>
      <c r="K809">
        <f>IFERROR(VLOOKUP(E809,제품마스터!$A:$B,2,0),0)</f>
        <v>0</v>
      </c>
      <c r="L809">
        <f>원본데이터_SK!Q809*원본데이터_SK!P809</f>
        <v>80920</v>
      </c>
    </row>
    <row r="810" spans="1:12" x14ac:dyDescent="0.3">
      <c r="A810" t="s">
        <v>11</v>
      </c>
      <c r="B810" t="str">
        <f>원본데이터_SK!D810</f>
        <v>20260210361315</v>
      </c>
      <c r="C810" t="str">
        <f>IF(원본데이터_SK!M810="","",TEXT(원본데이터_SK!M810,"YYYY-MM-DD"))</f>
        <v>2026-02-12</v>
      </c>
      <c r="D810" t="str">
        <f>원본데이터_SK!F810</f>
        <v>58481090</v>
      </c>
      <c r="E810" t="str">
        <f>IFERROR(VLOOKUP(원본데이터_SK!F810,채널매핑!$B:$D,3,0),"미매핑")</f>
        <v>미매핑</v>
      </c>
      <c r="F810">
        <f>IFERROR(VLOOKUP(원본데이터_SK!F810,채널매핑!$B:$E,4,0),1)</f>
        <v>1</v>
      </c>
      <c r="G810">
        <f>원본데이터_SK!Q810</f>
        <v>1</v>
      </c>
      <c r="H810">
        <f>원본데이터_SK!O810</f>
        <v>119000</v>
      </c>
      <c r="I810">
        <f>원본데이터_SK!AG810</f>
        <v>119000</v>
      </c>
      <c r="J810">
        <f>원본데이터_SK!AH810</f>
        <v>80920</v>
      </c>
      <c r="K810">
        <f>IFERROR(VLOOKUP(E810,제품마스터!$A:$B,2,0),0)</f>
        <v>0</v>
      </c>
      <c r="L810">
        <f>원본데이터_SK!Q810*원본데이터_SK!P810</f>
        <v>80920</v>
      </c>
    </row>
    <row r="811" spans="1:12" x14ac:dyDescent="0.3">
      <c r="A811" t="s">
        <v>11</v>
      </c>
      <c r="B811" t="str">
        <f>원본데이터_SK!D811</f>
        <v>20260210364732</v>
      </c>
      <c r="C811" t="str">
        <f>IF(원본데이터_SK!M811="","",TEXT(원본데이터_SK!M811,"YYYY-MM-DD"))</f>
        <v>2026-02-12</v>
      </c>
      <c r="D811" t="str">
        <f>원본데이터_SK!F811</f>
        <v>58481090</v>
      </c>
      <c r="E811" t="str">
        <f>IFERROR(VLOOKUP(원본데이터_SK!F811,채널매핑!$B:$D,3,0),"미매핑")</f>
        <v>미매핑</v>
      </c>
      <c r="F811">
        <f>IFERROR(VLOOKUP(원본데이터_SK!F811,채널매핑!$B:$E,4,0),1)</f>
        <v>1</v>
      </c>
      <c r="G811">
        <f>원본데이터_SK!Q811</f>
        <v>1</v>
      </c>
      <c r="H811">
        <f>원본데이터_SK!O811</f>
        <v>119000</v>
      </c>
      <c r="I811">
        <f>원본데이터_SK!AG811</f>
        <v>113050</v>
      </c>
      <c r="J811">
        <f>원본데이터_SK!AH811</f>
        <v>80920</v>
      </c>
      <c r="K811">
        <f>IFERROR(VLOOKUP(E811,제품마스터!$A:$B,2,0),0)</f>
        <v>0</v>
      </c>
      <c r="L811">
        <f>원본데이터_SK!Q811*원본데이터_SK!P811</f>
        <v>80920</v>
      </c>
    </row>
    <row r="812" spans="1:12" x14ac:dyDescent="0.3">
      <c r="A812" t="s">
        <v>11</v>
      </c>
      <c r="B812" t="str">
        <f>원본데이터_SK!D812</f>
        <v>20260210361752</v>
      </c>
      <c r="C812" t="str">
        <f>IF(원본데이터_SK!M812="","",TEXT(원본데이터_SK!M812,"YYYY-MM-DD"))</f>
        <v>2026-02-12</v>
      </c>
      <c r="D812" t="str">
        <f>원본데이터_SK!F812</f>
        <v>58481090</v>
      </c>
      <c r="E812" t="str">
        <f>IFERROR(VLOOKUP(원본데이터_SK!F812,채널매핑!$B:$D,3,0),"미매핑")</f>
        <v>미매핑</v>
      </c>
      <c r="F812">
        <f>IFERROR(VLOOKUP(원본데이터_SK!F812,채널매핑!$B:$E,4,0),1)</f>
        <v>1</v>
      </c>
      <c r="G812">
        <f>원본데이터_SK!Q812</f>
        <v>1</v>
      </c>
      <c r="H812">
        <f>원본데이터_SK!O812</f>
        <v>119000</v>
      </c>
      <c r="I812">
        <f>원본데이터_SK!AG812</f>
        <v>119000</v>
      </c>
      <c r="J812">
        <f>원본데이터_SK!AH812</f>
        <v>80920</v>
      </c>
      <c r="K812">
        <f>IFERROR(VLOOKUP(E812,제품마스터!$A:$B,2,0),0)</f>
        <v>0</v>
      </c>
      <c r="L812">
        <f>원본데이터_SK!Q812*원본데이터_SK!P812</f>
        <v>80920</v>
      </c>
    </row>
    <row r="813" spans="1:12" x14ac:dyDescent="0.3">
      <c r="A813" t="s">
        <v>11</v>
      </c>
      <c r="B813" t="str">
        <f>원본데이터_SK!D813</f>
        <v>20260210361404</v>
      </c>
      <c r="C813" t="str">
        <f>IF(원본데이터_SK!M813="","",TEXT(원본데이터_SK!M813,"YYYY-MM-DD"))</f>
        <v>2026-02-12</v>
      </c>
      <c r="D813" t="str">
        <f>원본데이터_SK!F813</f>
        <v>58481090</v>
      </c>
      <c r="E813" t="str">
        <f>IFERROR(VLOOKUP(원본데이터_SK!F813,채널매핑!$B:$D,3,0),"미매핑")</f>
        <v>미매핑</v>
      </c>
      <c r="F813">
        <f>IFERROR(VLOOKUP(원본데이터_SK!F813,채널매핑!$B:$E,4,0),1)</f>
        <v>1</v>
      </c>
      <c r="G813">
        <f>원본데이터_SK!Q813</f>
        <v>1</v>
      </c>
      <c r="H813">
        <f>원본데이터_SK!O813</f>
        <v>119000</v>
      </c>
      <c r="I813">
        <f>원본데이터_SK!AG813</f>
        <v>119000</v>
      </c>
      <c r="J813">
        <f>원본데이터_SK!AH813</f>
        <v>80920</v>
      </c>
      <c r="K813">
        <f>IFERROR(VLOOKUP(E813,제품마스터!$A:$B,2,0),0)</f>
        <v>0</v>
      </c>
      <c r="L813">
        <f>원본데이터_SK!Q813*원본데이터_SK!P813</f>
        <v>80920</v>
      </c>
    </row>
    <row r="814" spans="1:12" x14ac:dyDescent="0.3">
      <c r="A814" t="s">
        <v>11</v>
      </c>
      <c r="B814" t="str">
        <f>원본데이터_SK!D814</f>
        <v>20260210361750</v>
      </c>
      <c r="C814" t="str">
        <f>IF(원본데이터_SK!M814="","",TEXT(원본데이터_SK!M814,"YYYY-MM-DD"))</f>
        <v>2026-02-12</v>
      </c>
      <c r="D814" t="str">
        <f>원본데이터_SK!F814</f>
        <v>58481090</v>
      </c>
      <c r="E814" t="str">
        <f>IFERROR(VLOOKUP(원본데이터_SK!F814,채널매핑!$B:$D,3,0),"미매핑")</f>
        <v>미매핑</v>
      </c>
      <c r="F814">
        <f>IFERROR(VLOOKUP(원본데이터_SK!F814,채널매핑!$B:$E,4,0),1)</f>
        <v>1</v>
      </c>
      <c r="G814">
        <f>원본데이터_SK!Q814</f>
        <v>1</v>
      </c>
      <c r="H814">
        <f>원본데이터_SK!O814</f>
        <v>119000</v>
      </c>
      <c r="I814">
        <f>원본데이터_SK!AG814</f>
        <v>119000</v>
      </c>
      <c r="J814">
        <f>원본데이터_SK!AH814</f>
        <v>80920</v>
      </c>
      <c r="K814">
        <f>IFERROR(VLOOKUP(E814,제품마스터!$A:$B,2,0),0)</f>
        <v>0</v>
      </c>
      <c r="L814">
        <f>원본데이터_SK!Q814*원본데이터_SK!P814</f>
        <v>80920</v>
      </c>
    </row>
    <row r="815" spans="1:12" x14ac:dyDescent="0.3">
      <c r="A815" t="s">
        <v>11</v>
      </c>
      <c r="B815" t="str">
        <f>원본데이터_SK!D815</f>
        <v>20260210361384</v>
      </c>
      <c r="C815" t="str">
        <f>IF(원본데이터_SK!M815="","",TEXT(원본데이터_SK!M815,"YYYY-MM-DD"))</f>
        <v>2026-02-12</v>
      </c>
      <c r="D815" t="str">
        <f>원본데이터_SK!F815</f>
        <v>58481090</v>
      </c>
      <c r="E815" t="str">
        <f>IFERROR(VLOOKUP(원본데이터_SK!F815,채널매핑!$B:$D,3,0),"미매핑")</f>
        <v>미매핑</v>
      </c>
      <c r="F815">
        <f>IFERROR(VLOOKUP(원본데이터_SK!F815,채널매핑!$B:$E,4,0),1)</f>
        <v>1</v>
      </c>
      <c r="G815">
        <f>원본데이터_SK!Q815</f>
        <v>1</v>
      </c>
      <c r="H815">
        <f>원본데이터_SK!O815</f>
        <v>119000</v>
      </c>
      <c r="I815">
        <f>원본데이터_SK!AG815</f>
        <v>113050</v>
      </c>
      <c r="J815">
        <f>원본데이터_SK!AH815</f>
        <v>80920</v>
      </c>
      <c r="K815">
        <f>IFERROR(VLOOKUP(E815,제품마스터!$A:$B,2,0),0)</f>
        <v>0</v>
      </c>
      <c r="L815">
        <f>원본데이터_SK!Q815*원본데이터_SK!P815</f>
        <v>80920</v>
      </c>
    </row>
    <row r="816" spans="1:12" x14ac:dyDescent="0.3">
      <c r="A816" t="s">
        <v>11</v>
      </c>
      <c r="B816" t="str">
        <f>원본데이터_SK!D816</f>
        <v>20260210360934</v>
      </c>
      <c r="C816" t="str">
        <f>IF(원본데이터_SK!M816="","",TEXT(원본데이터_SK!M816,"YYYY-MM-DD"))</f>
        <v>2026-02-12</v>
      </c>
      <c r="D816" t="str">
        <f>원본데이터_SK!F816</f>
        <v>58481090</v>
      </c>
      <c r="E816" t="str">
        <f>IFERROR(VLOOKUP(원본데이터_SK!F816,채널매핑!$B:$D,3,0),"미매핑")</f>
        <v>미매핑</v>
      </c>
      <c r="F816">
        <f>IFERROR(VLOOKUP(원본데이터_SK!F816,채널매핑!$B:$E,4,0),1)</f>
        <v>1</v>
      </c>
      <c r="G816">
        <f>원본데이터_SK!Q816</f>
        <v>1</v>
      </c>
      <c r="H816">
        <f>원본데이터_SK!O816</f>
        <v>119000</v>
      </c>
      <c r="I816">
        <f>원본데이터_SK!AG816</f>
        <v>119000</v>
      </c>
      <c r="J816">
        <f>원본데이터_SK!AH816</f>
        <v>80920</v>
      </c>
      <c r="K816">
        <f>IFERROR(VLOOKUP(E816,제품마스터!$A:$B,2,0),0)</f>
        <v>0</v>
      </c>
      <c r="L816">
        <f>원본데이터_SK!Q816*원본데이터_SK!P816</f>
        <v>80920</v>
      </c>
    </row>
    <row r="817" spans="1:12" x14ac:dyDescent="0.3">
      <c r="A817" t="s">
        <v>11</v>
      </c>
      <c r="B817" t="str">
        <f>원본데이터_SK!D817</f>
        <v>20260210360899</v>
      </c>
      <c r="C817" t="str">
        <f>IF(원본데이터_SK!M817="","",TEXT(원본데이터_SK!M817,"YYYY-MM-DD"))</f>
        <v>2026-02-12</v>
      </c>
      <c r="D817" t="str">
        <f>원본데이터_SK!F817</f>
        <v>58481090</v>
      </c>
      <c r="E817" t="str">
        <f>IFERROR(VLOOKUP(원본데이터_SK!F817,채널매핑!$B:$D,3,0),"미매핑")</f>
        <v>미매핑</v>
      </c>
      <c r="F817">
        <f>IFERROR(VLOOKUP(원본데이터_SK!F817,채널매핑!$B:$E,4,0),1)</f>
        <v>1</v>
      </c>
      <c r="G817">
        <f>원본데이터_SK!Q817</f>
        <v>1</v>
      </c>
      <c r="H817">
        <f>원본데이터_SK!O817</f>
        <v>119000</v>
      </c>
      <c r="I817">
        <f>원본데이터_SK!AG817</f>
        <v>119000</v>
      </c>
      <c r="J817">
        <f>원본데이터_SK!AH817</f>
        <v>80920</v>
      </c>
      <c r="K817">
        <f>IFERROR(VLOOKUP(E817,제품마스터!$A:$B,2,0),0)</f>
        <v>0</v>
      </c>
      <c r="L817">
        <f>원본데이터_SK!Q817*원본데이터_SK!P817</f>
        <v>80920</v>
      </c>
    </row>
    <row r="818" spans="1:12" x14ac:dyDescent="0.3">
      <c r="A818" t="s">
        <v>11</v>
      </c>
      <c r="B818" t="str">
        <f>원본데이터_SK!D818</f>
        <v>20260210360206</v>
      </c>
      <c r="C818" t="str">
        <f>IF(원본데이터_SK!M818="","",TEXT(원본데이터_SK!M818,"YYYY-MM-DD"))</f>
        <v>2026-02-12</v>
      </c>
      <c r="D818" t="str">
        <f>원본데이터_SK!F818</f>
        <v>58481090</v>
      </c>
      <c r="E818" t="str">
        <f>IFERROR(VLOOKUP(원본데이터_SK!F818,채널매핑!$B:$D,3,0),"미매핑")</f>
        <v>미매핑</v>
      </c>
      <c r="F818">
        <f>IFERROR(VLOOKUP(원본데이터_SK!F818,채널매핑!$B:$E,4,0),1)</f>
        <v>1</v>
      </c>
      <c r="G818">
        <f>원본데이터_SK!Q818</f>
        <v>1</v>
      </c>
      <c r="H818">
        <f>원본데이터_SK!O818</f>
        <v>119000</v>
      </c>
      <c r="I818">
        <f>원본데이터_SK!AG818</f>
        <v>119000</v>
      </c>
      <c r="J818">
        <f>원본데이터_SK!AH818</f>
        <v>80920</v>
      </c>
      <c r="K818">
        <f>IFERROR(VLOOKUP(E818,제품마스터!$A:$B,2,0),0)</f>
        <v>0</v>
      </c>
      <c r="L818">
        <f>원본데이터_SK!Q818*원본데이터_SK!P818</f>
        <v>80920</v>
      </c>
    </row>
    <row r="819" spans="1:12" x14ac:dyDescent="0.3">
      <c r="A819" t="s">
        <v>11</v>
      </c>
      <c r="B819" t="str">
        <f>원본데이터_SK!D819</f>
        <v>20260210360674</v>
      </c>
      <c r="C819" t="str">
        <f>IF(원본데이터_SK!M819="","",TEXT(원본데이터_SK!M819,"YYYY-MM-DD"))</f>
        <v>2026-02-12</v>
      </c>
      <c r="D819" t="str">
        <f>원본데이터_SK!F819</f>
        <v>58481090</v>
      </c>
      <c r="E819" t="str">
        <f>IFERROR(VLOOKUP(원본데이터_SK!F819,채널매핑!$B:$D,3,0),"미매핑")</f>
        <v>미매핑</v>
      </c>
      <c r="F819">
        <f>IFERROR(VLOOKUP(원본데이터_SK!F819,채널매핑!$B:$E,4,0),1)</f>
        <v>1</v>
      </c>
      <c r="G819">
        <f>원본데이터_SK!Q819</f>
        <v>1</v>
      </c>
      <c r="H819">
        <f>원본데이터_SK!O819</f>
        <v>119000</v>
      </c>
      <c r="I819">
        <f>원본데이터_SK!AG819</f>
        <v>119000</v>
      </c>
      <c r="J819">
        <f>원본데이터_SK!AH819</f>
        <v>80920</v>
      </c>
      <c r="K819">
        <f>IFERROR(VLOOKUP(E819,제품마스터!$A:$B,2,0),0)</f>
        <v>0</v>
      </c>
      <c r="L819">
        <f>원본데이터_SK!Q819*원본데이터_SK!P819</f>
        <v>80920</v>
      </c>
    </row>
    <row r="820" spans="1:12" x14ac:dyDescent="0.3">
      <c r="A820" t="s">
        <v>11</v>
      </c>
      <c r="B820" t="str">
        <f>원본데이터_SK!D820</f>
        <v>20260210361998</v>
      </c>
      <c r="C820" t="str">
        <f>IF(원본데이터_SK!M820="","",TEXT(원본데이터_SK!M820,"YYYY-MM-DD"))</f>
        <v>2026-02-12</v>
      </c>
      <c r="D820" t="str">
        <f>원본데이터_SK!F820</f>
        <v>58481090</v>
      </c>
      <c r="E820" t="str">
        <f>IFERROR(VLOOKUP(원본데이터_SK!F820,채널매핑!$B:$D,3,0),"미매핑")</f>
        <v>미매핑</v>
      </c>
      <c r="F820">
        <f>IFERROR(VLOOKUP(원본데이터_SK!F820,채널매핑!$B:$E,4,0),1)</f>
        <v>1</v>
      </c>
      <c r="G820">
        <f>원본데이터_SK!Q820</f>
        <v>1</v>
      </c>
      <c r="H820">
        <f>원본데이터_SK!O820</f>
        <v>119000</v>
      </c>
      <c r="I820">
        <f>원본데이터_SK!AG820</f>
        <v>109000</v>
      </c>
      <c r="J820">
        <f>원본데이터_SK!AH820</f>
        <v>80920</v>
      </c>
      <c r="K820">
        <f>IFERROR(VLOOKUP(E820,제품마스터!$A:$B,2,0),0)</f>
        <v>0</v>
      </c>
      <c r="L820">
        <f>원본데이터_SK!Q820*원본데이터_SK!P820</f>
        <v>80920</v>
      </c>
    </row>
    <row r="821" spans="1:12" x14ac:dyDescent="0.3">
      <c r="A821" t="s">
        <v>11</v>
      </c>
      <c r="B821" t="str">
        <f>원본데이터_SK!D821</f>
        <v>20260210362210</v>
      </c>
      <c r="C821" t="str">
        <f>IF(원본데이터_SK!M821="","",TEXT(원본데이터_SK!M821,"YYYY-MM-DD"))</f>
        <v>2026-02-12</v>
      </c>
      <c r="D821" t="str">
        <f>원본데이터_SK!F821</f>
        <v>58481090</v>
      </c>
      <c r="E821" t="str">
        <f>IFERROR(VLOOKUP(원본데이터_SK!F821,채널매핑!$B:$D,3,0),"미매핑")</f>
        <v>미매핑</v>
      </c>
      <c r="F821">
        <f>IFERROR(VLOOKUP(원본데이터_SK!F821,채널매핑!$B:$E,4,0),1)</f>
        <v>1</v>
      </c>
      <c r="G821">
        <f>원본데이터_SK!Q821</f>
        <v>1</v>
      </c>
      <c r="H821">
        <f>원본데이터_SK!O821</f>
        <v>119000</v>
      </c>
      <c r="I821">
        <f>원본데이터_SK!AG821</f>
        <v>113050</v>
      </c>
      <c r="J821">
        <f>원본데이터_SK!AH821</f>
        <v>80920</v>
      </c>
      <c r="K821">
        <f>IFERROR(VLOOKUP(E821,제품마스터!$A:$B,2,0),0)</f>
        <v>0</v>
      </c>
      <c r="L821">
        <f>원본데이터_SK!Q821*원본데이터_SK!P821</f>
        <v>80920</v>
      </c>
    </row>
    <row r="822" spans="1:12" x14ac:dyDescent="0.3">
      <c r="A822" t="s">
        <v>11</v>
      </c>
      <c r="B822" t="str">
        <f>원본데이터_SK!D822</f>
        <v>20260210361648</v>
      </c>
      <c r="C822" t="str">
        <f>IF(원본데이터_SK!M822="","",TEXT(원본데이터_SK!M822,"YYYY-MM-DD"))</f>
        <v>2026-02-12</v>
      </c>
      <c r="D822" t="str">
        <f>원본데이터_SK!F822</f>
        <v>58481090</v>
      </c>
      <c r="E822" t="str">
        <f>IFERROR(VLOOKUP(원본데이터_SK!F822,채널매핑!$B:$D,3,0),"미매핑")</f>
        <v>미매핑</v>
      </c>
      <c r="F822">
        <f>IFERROR(VLOOKUP(원본데이터_SK!F822,채널매핑!$B:$E,4,0),1)</f>
        <v>1</v>
      </c>
      <c r="G822">
        <f>원본데이터_SK!Q822</f>
        <v>1</v>
      </c>
      <c r="H822">
        <f>원본데이터_SK!O822</f>
        <v>119000</v>
      </c>
      <c r="I822">
        <f>원본데이터_SK!AG822</f>
        <v>113050</v>
      </c>
      <c r="J822">
        <f>원본데이터_SK!AH822</f>
        <v>80920</v>
      </c>
      <c r="K822">
        <f>IFERROR(VLOOKUP(E822,제품마스터!$A:$B,2,0),0)</f>
        <v>0</v>
      </c>
      <c r="L822">
        <f>원본데이터_SK!Q822*원본데이터_SK!P822</f>
        <v>80920</v>
      </c>
    </row>
    <row r="823" spans="1:12" x14ac:dyDescent="0.3">
      <c r="A823" t="s">
        <v>11</v>
      </c>
      <c r="B823" t="str">
        <f>원본데이터_SK!D823</f>
        <v>20260210361577</v>
      </c>
      <c r="C823" t="str">
        <f>IF(원본데이터_SK!M823="","",TEXT(원본데이터_SK!M823,"YYYY-MM-DD"))</f>
        <v>2026-02-12</v>
      </c>
      <c r="D823" t="str">
        <f>원본데이터_SK!F823</f>
        <v>58481090</v>
      </c>
      <c r="E823" t="str">
        <f>IFERROR(VLOOKUP(원본데이터_SK!F823,채널매핑!$B:$D,3,0),"미매핑")</f>
        <v>미매핑</v>
      </c>
      <c r="F823">
        <f>IFERROR(VLOOKUP(원본데이터_SK!F823,채널매핑!$B:$E,4,0),1)</f>
        <v>1</v>
      </c>
      <c r="G823">
        <f>원본데이터_SK!Q823</f>
        <v>1</v>
      </c>
      <c r="H823">
        <f>원본데이터_SK!O823</f>
        <v>119000</v>
      </c>
      <c r="I823">
        <f>원본데이터_SK!AG823</f>
        <v>119000</v>
      </c>
      <c r="J823">
        <f>원본데이터_SK!AH823</f>
        <v>80920</v>
      </c>
      <c r="K823">
        <f>IFERROR(VLOOKUP(E823,제품마스터!$A:$B,2,0),0)</f>
        <v>0</v>
      </c>
      <c r="L823">
        <f>원본데이터_SK!Q823*원본데이터_SK!P823</f>
        <v>80920</v>
      </c>
    </row>
    <row r="824" spans="1:12" x14ac:dyDescent="0.3">
      <c r="A824" t="s">
        <v>11</v>
      </c>
      <c r="B824" t="str">
        <f>원본데이터_SK!D824</f>
        <v>20260210361256</v>
      </c>
      <c r="C824" t="str">
        <f>IF(원본데이터_SK!M824="","",TEXT(원본데이터_SK!M824,"YYYY-MM-DD"))</f>
        <v>2026-02-12</v>
      </c>
      <c r="D824" t="str">
        <f>원본데이터_SK!F824</f>
        <v>58481090</v>
      </c>
      <c r="E824" t="str">
        <f>IFERROR(VLOOKUP(원본데이터_SK!F824,채널매핑!$B:$D,3,0),"미매핑")</f>
        <v>미매핑</v>
      </c>
      <c r="F824">
        <f>IFERROR(VLOOKUP(원본데이터_SK!F824,채널매핑!$B:$E,4,0),1)</f>
        <v>1</v>
      </c>
      <c r="G824">
        <f>원본데이터_SK!Q824</f>
        <v>1</v>
      </c>
      <c r="H824">
        <f>원본데이터_SK!O824</f>
        <v>119000</v>
      </c>
      <c r="I824">
        <f>원본데이터_SK!AG824</f>
        <v>113050</v>
      </c>
      <c r="J824">
        <f>원본데이터_SK!AH824</f>
        <v>80920</v>
      </c>
      <c r="K824">
        <f>IFERROR(VLOOKUP(E824,제품마스터!$A:$B,2,0),0)</f>
        <v>0</v>
      </c>
      <c r="L824">
        <f>원본데이터_SK!Q824*원본데이터_SK!P824</f>
        <v>80920</v>
      </c>
    </row>
    <row r="825" spans="1:12" x14ac:dyDescent="0.3">
      <c r="A825" t="s">
        <v>11</v>
      </c>
      <c r="B825" t="str">
        <f>원본데이터_SK!D825</f>
        <v>20260210361264</v>
      </c>
      <c r="C825" t="str">
        <f>IF(원본데이터_SK!M825="","",TEXT(원본데이터_SK!M825,"YYYY-MM-DD"))</f>
        <v>2026-02-12</v>
      </c>
      <c r="D825" t="str">
        <f>원본데이터_SK!F825</f>
        <v>58481090</v>
      </c>
      <c r="E825" t="str">
        <f>IFERROR(VLOOKUP(원본데이터_SK!F825,채널매핑!$B:$D,3,0),"미매핑")</f>
        <v>미매핑</v>
      </c>
      <c r="F825">
        <f>IFERROR(VLOOKUP(원본데이터_SK!F825,채널매핑!$B:$E,4,0),1)</f>
        <v>1</v>
      </c>
      <c r="G825">
        <f>원본데이터_SK!Q825</f>
        <v>1</v>
      </c>
      <c r="H825">
        <f>원본데이터_SK!O825</f>
        <v>119000</v>
      </c>
      <c r="I825">
        <f>원본데이터_SK!AG825</f>
        <v>119000</v>
      </c>
      <c r="J825">
        <f>원본데이터_SK!AH825</f>
        <v>80920</v>
      </c>
      <c r="K825">
        <f>IFERROR(VLOOKUP(E825,제품마스터!$A:$B,2,0),0)</f>
        <v>0</v>
      </c>
      <c r="L825">
        <f>원본데이터_SK!Q825*원본데이터_SK!P825</f>
        <v>80920</v>
      </c>
    </row>
    <row r="826" spans="1:12" x14ac:dyDescent="0.3">
      <c r="A826" t="s">
        <v>11</v>
      </c>
      <c r="B826" t="str">
        <f>원본데이터_SK!D826</f>
        <v>20260210360518</v>
      </c>
      <c r="C826" t="str">
        <f>IF(원본데이터_SK!M826="","",TEXT(원본데이터_SK!M826,"YYYY-MM-DD"))</f>
        <v>2026-02-12</v>
      </c>
      <c r="D826" t="str">
        <f>원본데이터_SK!F826</f>
        <v>58481090</v>
      </c>
      <c r="E826" t="str">
        <f>IFERROR(VLOOKUP(원본데이터_SK!F826,채널매핑!$B:$D,3,0),"미매핑")</f>
        <v>미매핑</v>
      </c>
      <c r="F826">
        <f>IFERROR(VLOOKUP(원본데이터_SK!F826,채널매핑!$B:$E,4,0),1)</f>
        <v>1</v>
      </c>
      <c r="G826">
        <f>원본데이터_SK!Q826</f>
        <v>1</v>
      </c>
      <c r="H826">
        <f>원본데이터_SK!O826</f>
        <v>119000</v>
      </c>
      <c r="I826">
        <f>원본데이터_SK!AG826</f>
        <v>119000</v>
      </c>
      <c r="J826">
        <f>원본데이터_SK!AH826</f>
        <v>80920</v>
      </c>
      <c r="K826">
        <f>IFERROR(VLOOKUP(E826,제품마스터!$A:$B,2,0),0)</f>
        <v>0</v>
      </c>
      <c r="L826">
        <f>원본데이터_SK!Q826*원본데이터_SK!P826</f>
        <v>80920</v>
      </c>
    </row>
    <row r="827" spans="1:12" x14ac:dyDescent="0.3">
      <c r="A827" t="s">
        <v>11</v>
      </c>
      <c r="B827" t="str">
        <f>원본데이터_SK!D827</f>
        <v>20260210361362</v>
      </c>
      <c r="C827" t="str">
        <f>IF(원본데이터_SK!M827="","",TEXT(원본데이터_SK!M827,"YYYY-MM-DD"))</f>
        <v>2026-02-12</v>
      </c>
      <c r="D827" t="str">
        <f>원본데이터_SK!F827</f>
        <v>58481090</v>
      </c>
      <c r="E827" t="str">
        <f>IFERROR(VLOOKUP(원본데이터_SK!F827,채널매핑!$B:$D,3,0),"미매핑")</f>
        <v>미매핑</v>
      </c>
      <c r="F827">
        <f>IFERROR(VLOOKUP(원본데이터_SK!F827,채널매핑!$B:$E,4,0),1)</f>
        <v>1</v>
      </c>
      <c r="G827">
        <f>원본데이터_SK!Q827</f>
        <v>1</v>
      </c>
      <c r="H827">
        <f>원본데이터_SK!O827</f>
        <v>119000</v>
      </c>
      <c r="I827">
        <f>원본데이터_SK!AG827</f>
        <v>98770</v>
      </c>
      <c r="J827">
        <f>원본데이터_SK!AH827</f>
        <v>80920</v>
      </c>
      <c r="K827">
        <f>IFERROR(VLOOKUP(E827,제품마스터!$A:$B,2,0),0)</f>
        <v>0</v>
      </c>
      <c r="L827">
        <f>원본데이터_SK!Q827*원본데이터_SK!P827</f>
        <v>80920</v>
      </c>
    </row>
    <row r="828" spans="1:12" x14ac:dyDescent="0.3">
      <c r="A828" t="s">
        <v>11</v>
      </c>
      <c r="B828" t="str">
        <f>원본데이터_SK!D828</f>
        <v>20260210361601</v>
      </c>
      <c r="C828" t="str">
        <f>IF(원본데이터_SK!M828="","",TEXT(원본데이터_SK!M828,"YYYY-MM-DD"))</f>
        <v>2026-02-12</v>
      </c>
      <c r="D828" t="str">
        <f>원본데이터_SK!F828</f>
        <v>58481090</v>
      </c>
      <c r="E828" t="str">
        <f>IFERROR(VLOOKUP(원본데이터_SK!F828,채널매핑!$B:$D,3,0),"미매핑")</f>
        <v>미매핑</v>
      </c>
      <c r="F828">
        <f>IFERROR(VLOOKUP(원본데이터_SK!F828,채널매핑!$B:$E,4,0),1)</f>
        <v>1</v>
      </c>
      <c r="G828">
        <f>원본데이터_SK!Q828</f>
        <v>1</v>
      </c>
      <c r="H828">
        <f>원본데이터_SK!O828</f>
        <v>119000</v>
      </c>
      <c r="I828">
        <f>원본데이터_SK!AG828</f>
        <v>109000</v>
      </c>
      <c r="J828">
        <f>원본데이터_SK!AH828</f>
        <v>80920</v>
      </c>
      <c r="K828">
        <f>IFERROR(VLOOKUP(E828,제품마스터!$A:$B,2,0),0)</f>
        <v>0</v>
      </c>
      <c r="L828">
        <f>원본데이터_SK!Q828*원본데이터_SK!P828</f>
        <v>80920</v>
      </c>
    </row>
    <row r="829" spans="1:12" x14ac:dyDescent="0.3">
      <c r="A829" t="s">
        <v>11</v>
      </c>
      <c r="B829" t="str">
        <f>원본데이터_SK!D829</f>
        <v>20260210361654</v>
      </c>
      <c r="C829" t="str">
        <f>IF(원본데이터_SK!M829="","",TEXT(원본데이터_SK!M829,"YYYY-MM-DD"))</f>
        <v>2026-02-12</v>
      </c>
      <c r="D829" t="str">
        <f>원본데이터_SK!F829</f>
        <v>58481090</v>
      </c>
      <c r="E829" t="str">
        <f>IFERROR(VLOOKUP(원본데이터_SK!F829,채널매핑!$B:$D,3,0),"미매핑")</f>
        <v>미매핑</v>
      </c>
      <c r="F829">
        <f>IFERROR(VLOOKUP(원본데이터_SK!F829,채널매핑!$B:$E,4,0),1)</f>
        <v>1</v>
      </c>
      <c r="G829">
        <f>원본데이터_SK!Q829</f>
        <v>1</v>
      </c>
      <c r="H829">
        <f>원본데이터_SK!O829</f>
        <v>119000</v>
      </c>
      <c r="I829">
        <f>원본데이터_SK!AG829</f>
        <v>113050</v>
      </c>
      <c r="J829">
        <f>원본데이터_SK!AH829</f>
        <v>80920</v>
      </c>
      <c r="K829">
        <f>IFERROR(VLOOKUP(E829,제품마스터!$A:$B,2,0),0)</f>
        <v>0</v>
      </c>
      <c r="L829">
        <f>원본데이터_SK!Q829*원본데이터_SK!P829</f>
        <v>80920</v>
      </c>
    </row>
    <row r="830" spans="1:12" x14ac:dyDescent="0.3">
      <c r="A830" t="s">
        <v>11</v>
      </c>
      <c r="B830" t="str">
        <f>원본데이터_SK!D830</f>
        <v>20260210360588</v>
      </c>
      <c r="C830" t="str">
        <f>IF(원본데이터_SK!M830="","",TEXT(원본데이터_SK!M830,"YYYY-MM-DD"))</f>
        <v>2026-02-12</v>
      </c>
      <c r="D830" t="str">
        <f>원본데이터_SK!F830</f>
        <v>58481090</v>
      </c>
      <c r="E830" t="str">
        <f>IFERROR(VLOOKUP(원본데이터_SK!F830,채널매핑!$B:$D,3,0),"미매핑")</f>
        <v>미매핑</v>
      </c>
      <c r="F830">
        <f>IFERROR(VLOOKUP(원본데이터_SK!F830,채널매핑!$B:$E,4,0),1)</f>
        <v>1</v>
      </c>
      <c r="G830">
        <f>원본데이터_SK!Q830</f>
        <v>1</v>
      </c>
      <c r="H830">
        <f>원본데이터_SK!O830</f>
        <v>119000</v>
      </c>
      <c r="I830">
        <f>원본데이터_SK!AG830</f>
        <v>119000</v>
      </c>
      <c r="J830">
        <f>원본데이터_SK!AH830</f>
        <v>80920</v>
      </c>
      <c r="K830">
        <f>IFERROR(VLOOKUP(E830,제품마스터!$A:$B,2,0),0)</f>
        <v>0</v>
      </c>
      <c r="L830">
        <f>원본데이터_SK!Q830*원본데이터_SK!P830</f>
        <v>80920</v>
      </c>
    </row>
    <row r="831" spans="1:12" x14ac:dyDescent="0.3">
      <c r="A831" t="s">
        <v>11</v>
      </c>
      <c r="B831" t="str">
        <f>원본데이터_SK!D831</f>
        <v>20260210361176</v>
      </c>
      <c r="C831" t="str">
        <f>IF(원본데이터_SK!M831="","",TEXT(원본데이터_SK!M831,"YYYY-MM-DD"))</f>
        <v>2026-02-12</v>
      </c>
      <c r="D831" t="str">
        <f>원본데이터_SK!F831</f>
        <v>58481090</v>
      </c>
      <c r="E831" t="str">
        <f>IFERROR(VLOOKUP(원본데이터_SK!F831,채널매핑!$B:$D,3,0),"미매핑")</f>
        <v>미매핑</v>
      </c>
      <c r="F831">
        <f>IFERROR(VLOOKUP(원본데이터_SK!F831,채널매핑!$B:$E,4,0),1)</f>
        <v>1</v>
      </c>
      <c r="G831">
        <f>원본데이터_SK!Q831</f>
        <v>1</v>
      </c>
      <c r="H831">
        <f>원본데이터_SK!O831</f>
        <v>119000</v>
      </c>
      <c r="I831">
        <f>원본데이터_SK!AG831</f>
        <v>119000</v>
      </c>
      <c r="J831">
        <f>원본데이터_SK!AH831</f>
        <v>80920</v>
      </c>
      <c r="K831">
        <f>IFERROR(VLOOKUP(E831,제품마스터!$A:$B,2,0),0)</f>
        <v>0</v>
      </c>
      <c r="L831">
        <f>원본데이터_SK!Q831*원본데이터_SK!P831</f>
        <v>80920</v>
      </c>
    </row>
    <row r="832" spans="1:12" x14ac:dyDescent="0.3">
      <c r="A832" t="s">
        <v>11</v>
      </c>
      <c r="B832" t="str">
        <f>원본데이터_SK!D832</f>
        <v>20260210362003</v>
      </c>
      <c r="C832" t="str">
        <f>IF(원본데이터_SK!M832="","",TEXT(원본데이터_SK!M832,"YYYY-MM-DD"))</f>
        <v>2026-02-12</v>
      </c>
      <c r="D832" t="str">
        <f>원본데이터_SK!F832</f>
        <v>58481090</v>
      </c>
      <c r="E832" t="str">
        <f>IFERROR(VLOOKUP(원본데이터_SK!F832,채널매핑!$B:$D,3,0),"미매핑")</f>
        <v>미매핑</v>
      </c>
      <c r="F832">
        <f>IFERROR(VLOOKUP(원본데이터_SK!F832,채널매핑!$B:$E,4,0),1)</f>
        <v>1</v>
      </c>
      <c r="G832">
        <f>원본데이터_SK!Q832</f>
        <v>1</v>
      </c>
      <c r="H832">
        <f>원본데이터_SK!O832</f>
        <v>119000</v>
      </c>
      <c r="I832">
        <f>원본데이터_SK!AG832</f>
        <v>119000</v>
      </c>
      <c r="J832">
        <f>원본데이터_SK!AH832</f>
        <v>80920</v>
      </c>
      <c r="K832">
        <f>IFERROR(VLOOKUP(E832,제품마스터!$A:$B,2,0),0)</f>
        <v>0</v>
      </c>
      <c r="L832">
        <f>원본데이터_SK!Q832*원본데이터_SK!P832</f>
        <v>80920</v>
      </c>
    </row>
    <row r="833" spans="1:12" x14ac:dyDescent="0.3">
      <c r="A833" t="s">
        <v>11</v>
      </c>
      <c r="B833" t="str">
        <f>원본데이터_SK!D833</f>
        <v>20260210360969</v>
      </c>
      <c r="C833" t="str">
        <f>IF(원본데이터_SK!M833="","",TEXT(원본데이터_SK!M833,"YYYY-MM-DD"))</f>
        <v>2026-02-12</v>
      </c>
      <c r="D833" t="str">
        <f>원본데이터_SK!F833</f>
        <v>58481090</v>
      </c>
      <c r="E833" t="str">
        <f>IFERROR(VLOOKUP(원본데이터_SK!F833,채널매핑!$B:$D,3,0),"미매핑")</f>
        <v>미매핑</v>
      </c>
      <c r="F833">
        <f>IFERROR(VLOOKUP(원본데이터_SK!F833,채널매핑!$B:$E,4,0),1)</f>
        <v>1</v>
      </c>
      <c r="G833">
        <f>원본데이터_SK!Q833</f>
        <v>1</v>
      </c>
      <c r="H833">
        <f>원본데이터_SK!O833</f>
        <v>119000</v>
      </c>
      <c r="I833">
        <f>원본데이터_SK!AG833</f>
        <v>119000</v>
      </c>
      <c r="J833">
        <f>원본데이터_SK!AH833</f>
        <v>80920</v>
      </c>
      <c r="K833">
        <f>IFERROR(VLOOKUP(E833,제품마스터!$A:$B,2,0),0)</f>
        <v>0</v>
      </c>
      <c r="L833">
        <f>원본데이터_SK!Q833*원본데이터_SK!P833</f>
        <v>80920</v>
      </c>
    </row>
    <row r="834" spans="1:12" x14ac:dyDescent="0.3">
      <c r="A834" t="s">
        <v>11</v>
      </c>
      <c r="B834" t="str">
        <f>원본데이터_SK!D834</f>
        <v>20260210361596</v>
      </c>
      <c r="C834" t="str">
        <f>IF(원본데이터_SK!M834="","",TEXT(원본데이터_SK!M834,"YYYY-MM-DD"))</f>
        <v>2026-02-12</v>
      </c>
      <c r="D834" t="str">
        <f>원본데이터_SK!F834</f>
        <v>58481090</v>
      </c>
      <c r="E834" t="str">
        <f>IFERROR(VLOOKUP(원본데이터_SK!F834,채널매핑!$B:$D,3,0),"미매핑")</f>
        <v>미매핑</v>
      </c>
      <c r="F834">
        <f>IFERROR(VLOOKUP(원본데이터_SK!F834,채널매핑!$B:$E,4,0),1)</f>
        <v>1</v>
      </c>
      <c r="G834">
        <f>원본데이터_SK!Q834</f>
        <v>2</v>
      </c>
      <c r="H834">
        <f>원본데이터_SK!O834</f>
        <v>119000</v>
      </c>
      <c r="I834">
        <f>원본데이터_SK!AG834</f>
        <v>238000</v>
      </c>
      <c r="J834">
        <f>원본데이터_SK!AH834</f>
        <v>161840</v>
      </c>
      <c r="K834">
        <f>IFERROR(VLOOKUP(E834,제품마스터!$A:$B,2,0),0)</f>
        <v>0</v>
      </c>
      <c r="L834">
        <f>원본데이터_SK!Q834*원본데이터_SK!P834</f>
        <v>161840</v>
      </c>
    </row>
    <row r="835" spans="1:12" x14ac:dyDescent="0.3">
      <c r="A835" t="s">
        <v>11</v>
      </c>
      <c r="B835" t="str">
        <f>원본데이터_SK!D835</f>
        <v>20260210361138</v>
      </c>
      <c r="C835" t="str">
        <f>IF(원본데이터_SK!M835="","",TEXT(원본데이터_SK!M835,"YYYY-MM-DD"))</f>
        <v>2026-02-12</v>
      </c>
      <c r="D835" t="str">
        <f>원본데이터_SK!F835</f>
        <v>58481090</v>
      </c>
      <c r="E835" t="str">
        <f>IFERROR(VLOOKUP(원본데이터_SK!F835,채널매핑!$B:$D,3,0),"미매핑")</f>
        <v>미매핑</v>
      </c>
      <c r="F835">
        <f>IFERROR(VLOOKUP(원본데이터_SK!F835,채널매핑!$B:$E,4,0),1)</f>
        <v>1</v>
      </c>
      <c r="G835">
        <f>원본데이터_SK!Q835</f>
        <v>1</v>
      </c>
      <c r="H835">
        <f>원본데이터_SK!O835</f>
        <v>119000</v>
      </c>
      <c r="I835">
        <f>원본데이터_SK!AG835</f>
        <v>119000</v>
      </c>
      <c r="J835">
        <f>원본데이터_SK!AH835</f>
        <v>80920</v>
      </c>
      <c r="K835">
        <f>IFERROR(VLOOKUP(E835,제품마스터!$A:$B,2,0),0)</f>
        <v>0</v>
      </c>
      <c r="L835">
        <f>원본데이터_SK!Q835*원본데이터_SK!P835</f>
        <v>80920</v>
      </c>
    </row>
    <row r="836" spans="1:12" x14ac:dyDescent="0.3">
      <c r="A836" t="s">
        <v>11</v>
      </c>
      <c r="B836" t="str">
        <f>원본데이터_SK!D836</f>
        <v>20260210361906</v>
      </c>
      <c r="C836" t="str">
        <f>IF(원본데이터_SK!M836="","",TEXT(원본데이터_SK!M836,"YYYY-MM-DD"))</f>
        <v>2026-02-12</v>
      </c>
      <c r="D836" t="str">
        <f>원본데이터_SK!F836</f>
        <v>58481090</v>
      </c>
      <c r="E836" t="str">
        <f>IFERROR(VLOOKUP(원본데이터_SK!F836,채널매핑!$B:$D,3,0),"미매핑")</f>
        <v>미매핑</v>
      </c>
      <c r="F836">
        <f>IFERROR(VLOOKUP(원본데이터_SK!F836,채널매핑!$B:$E,4,0),1)</f>
        <v>1</v>
      </c>
      <c r="G836">
        <f>원본데이터_SK!Q836</f>
        <v>1</v>
      </c>
      <c r="H836">
        <f>원본데이터_SK!O836</f>
        <v>119000</v>
      </c>
      <c r="I836">
        <f>원본데이터_SK!AG836</f>
        <v>119000</v>
      </c>
      <c r="J836">
        <f>원본데이터_SK!AH836</f>
        <v>80920</v>
      </c>
      <c r="K836">
        <f>IFERROR(VLOOKUP(E836,제품마스터!$A:$B,2,0),0)</f>
        <v>0</v>
      </c>
      <c r="L836">
        <f>원본데이터_SK!Q836*원본데이터_SK!P836</f>
        <v>80920</v>
      </c>
    </row>
    <row r="837" spans="1:12" x14ac:dyDescent="0.3">
      <c r="A837" t="s">
        <v>11</v>
      </c>
      <c r="B837" t="str">
        <f>원본데이터_SK!D837</f>
        <v>20260210360875</v>
      </c>
      <c r="C837" t="str">
        <f>IF(원본데이터_SK!M837="","",TEXT(원본데이터_SK!M837,"YYYY-MM-DD"))</f>
        <v>2026-02-12</v>
      </c>
      <c r="D837" t="str">
        <f>원본데이터_SK!F837</f>
        <v>58481090</v>
      </c>
      <c r="E837" t="str">
        <f>IFERROR(VLOOKUP(원본데이터_SK!F837,채널매핑!$B:$D,3,0),"미매핑")</f>
        <v>미매핑</v>
      </c>
      <c r="F837">
        <f>IFERROR(VLOOKUP(원본데이터_SK!F837,채널매핑!$B:$E,4,0),1)</f>
        <v>1</v>
      </c>
      <c r="G837">
        <f>원본데이터_SK!Q837</f>
        <v>1</v>
      </c>
      <c r="H837">
        <f>원본데이터_SK!O837</f>
        <v>119000</v>
      </c>
      <c r="I837">
        <f>원본데이터_SK!AG837</f>
        <v>119000</v>
      </c>
      <c r="J837">
        <f>원본데이터_SK!AH837</f>
        <v>80920</v>
      </c>
      <c r="K837">
        <f>IFERROR(VLOOKUP(E837,제품마스터!$A:$B,2,0),0)</f>
        <v>0</v>
      </c>
      <c r="L837">
        <f>원본데이터_SK!Q837*원본데이터_SK!P837</f>
        <v>80920</v>
      </c>
    </row>
    <row r="838" spans="1:12" x14ac:dyDescent="0.3">
      <c r="A838" t="s">
        <v>11</v>
      </c>
      <c r="B838" t="str">
        <f>원본데이터_SK!D838</f>
        <v>20260210360271</v>
      </c>
      <c r="C838" t="str">
        <f>IF(원본데이터_SK!M838="","",TEXT(원본데이터_SK!M838,"YYYY-MM-DD"))</f>
        <v>2026-02-12</v>
      </c>
      <c r="D838" t="str">
        <f>원본데이터_SK!F838</f>
        <v>58481090</v>
      </c>
      <c r="E838" t="str">
        <f>IFERROR(VLOOKUP(원본데이터_SK!F838,채널매핑!$B:$D,3,0),"미매핑")</f>
        <v>미매핑</v>
      </c>
      <c r="F838">
        <f>IFERROR(VLOOKUP(원본데이터_SK!F838,채널매핑!$B:$E,4,0),1)</f>
        <v>1</v>
      </c>
      <c r="G838">
        <f>원본데이터_SK!Q838</f>
        <v>2</v>
      </c>
      <c r="H838">
        <f>원본데이터_SK!O838</f>
        <v>119000</v>
      </c>
      <c r="I838">
        <f>원본데이터_SK!AG838</f>
        <v>238000</v>
      </c>
      <c r="J838">
        <f>원본데이터_SK!AH838</f>
        <v>161840</v>
      </c>
      <c r="K838">
        <f>IFERROR(VLOOKUP(E838,제품마스터!$A:$B,2,0),0)</f>
        <v>0</v>
      </c>
      <c r="L838">
        <f>원본데이터_SK!Q838*원본데이터_SK!P838</f>
        <v>161840</v>
      </c>
    </row>
    <row r="839" spans="1:12" x14ac:dyDescent="0.3">
      <c r="A839" t="s">
        <v>11</v>
      </c>
      <c r="B839" t="str">
        <f>원본데이터_SK!D839</f>
        <v>20260210360371</v>
      </c>
      <c r="C839" t="str">
        <f>IF(원본데이터_SK!M839="","",TEXT(원본데이터_SK!M839,"YYYY-MM-DD"))</f>
        <v>2026-02-12</v>
      </c>
      <c r="D839" t="str">
        <f>원본데이터_SK!F839</f>
        <v>58481090</v>
      </c>
      <c r="E839" t="str">
        <f>IFERROR(VLOOKUP(원본데이터_SK!F839,채널매핑!$B:$D,3,0),"미매핑")</f>
        <v>미매핑</v>
      </c>
      <c r="F839">
        <f>IFERROR(VLOOKUP(원본데이터_SK!F839,채널매핑!$B:$E,4,0),1)</f>
        <v>1</v>
      </c>
      <c r="G839">
        <f>원본데이터_SK!Q839</f>
        <v>1</v>
      </c>
      <c r="H839">
        <f>원본데이터_SK!O839</f>
        <v>119000</v>
      </c>
      <c r="I839">
        <f>원본데이터_SK!AG839</f>
        <v>113050</v>
      </c>
      <c r="J839">
        <f>원본데이터_SK!AH839</f>
        <v>80920</v>
      </c>
      <c r="K839">
        <f>IFERROR(VLOOKUP(E839,제품마스터!$A:$B,2,0),0)</f>
        <v>0</v>
      </c>
      <c r="L839">
        <f>원본데이터_SK!Q839*원본데이터_SK!P839</f>
        <v>80920</v>
      </c>
    </row>
    <row r="840" spans="1:12" x14ac:dyDescent="0.3">
      <c r="A840" t="s">
        <v>11</v>
      </c>
      <c r="B840" t="str">
        <f>원본데이터_SK!D840</f>
        <v>20260210361908</v>
      </c>
      <c r="C840" t="str">
        <f>IF(원본데이터_SK!M840="","",TEXT(원본데이터_SK!M840,"YYYY-MM-DD"))</f>
        <v>2026-02-12</v>
      </c>
      <c r="D840" t="str">
        <f>원본데이터_SK!F840</f>
        <v>58481090</v>
      </c>
      <c r="E840" t="str">
        <f>IFERROR(VLOOKUP(원본데이터_SK!F840,채널매핑!$B:$D,3,0),"미매핑")</f>
        <v>미매핑</v>
      </c>
      <c r="F840">
        <f>IFERROR(VLOOKUP(원본데이터_SK!F840,채널매핑!$B:$E,4,0),1)</f>
        <v>1</v>
      </c>
      <c r="G840">
        <f>원본데이터_SK!Q840</f>
        <v>1</v>
      </c>
      <c r="H840">
        <f>원본데이터_SK!O840</f>
        <v>119000</v>
      </c>
      <c r="I840">
        <f>원본데이터_SK!AG840</f>
        <v>119000</v>
      </c>
      <c r="J840">
        <f>원본데이터_SK!AH840</f>
        <v>80920</v>
      </c>
      <c r="K840">
        <f>IFERROR(VLOOKUP(E840,제품마스터!$A:$B,2,0),0)</f>
        <v>0</v>
      </c>
      <c r="L840">
        <f>원본데이터_SK!Q840*원본데이터_SK!P840</f>
        <v>80920</v>
      </c>
    </row>
    <row r="841" spans="1:12" x14ac:dyDescent="0.3">
      <c r="A841" t="s">
        <v>11</v>
      </c>
      <c r="B841" t="str">
        <f>원본데이터_SK!D841</f>
        <v>20260210360177</v>
      </c>
      <c r="C841" t="str">
        <f>IF(원본데이터_SK!M841="","",TEXT(원본데이터_SK!M841,"YYYY-MM-DD"))</f>
        <v>2026-02-12</v>
      </c>
      <c r="D841" t="str">
        <f>원본데이터_SK!F841</f>
        <v>58481090</v>
      </c>
      <c r="E841" t="str">
        <f>IFERROR(VLOOKUP(원본데이터_SK!F841,채널매핑!$B:$D,3,0),"미매핑")</f>
        <v>미매핑</v>
      </c>
      <c r="F841">
        <f>IFERROR(VLOOKUP(원본데이터_SK!F841,채널매핑!$B:$E,4,0),1)</f>
        <v>1</v>
      </c>
      <c r="G841">
        <f>원본데이터_SK!Q841</f>
        <v>1</v>
      </c>
      <c r="H841">
        <f>원본데이터_SK!O841</f>
        <v>119000</v>
      </c>
      <c r="I841">
        <f>원본데이터_SK!AG841</f>
        <v>119000</v>
      </c>
      <c r="J841">
        <f>원본데이터_SK!AH841</f>
        <v>80920</v>
      </c>
      <c r="K841">
        <f>IFERROR(VLOOKUP(E841,제품마스터!$A:$B,2,0),0)</f>
        <v>0</v>
      </c>
      <c r="L841">
        <f>원본데이터_SK!Q841*원본데이터_SK!P841</f>
        <v>80920</v>
      </c>
    </row>
    <row r="842" spans="1:12" x14ac:dyDescent="0.3">
      <c r="A842" t="s">
        <v>11</v>
      </c>
      <c r="B842" t="str">
        <f>원본데이터_SK!D842</f>
        <v>20260210360979</v>
      </c>
      <c r="C842" t="str">
        <f>IF(원본데이터_SK!M842="","",TEXT(원본데이터_SK!M842,"YYYY-MM-DD"))</f>
        <v>2026-02-12</v>
      </c>
      <c r="D842" t="str">
        <f>원본데이터_SK!F842</f>
        <v>58481090</v>
      </c>
      <c r="E842" t="str">
        <f>IFERROR(VLOOKUP(원본데이터_SK!F842,채널매핑!$B:$D,3,0),"미매핑")</f>
        <v>미매핑</v>
      </c>
      <c r="F842">
        <f>IFERROR(VLOOKUP(원본데이터_SK!F842,채널매핑!$B:$E,4,0),1)</f>
        <v>1</v>
      </c>
      <c r="G842">
        <f>원본데이터_SK!Q842</f>
        <v>1</v>
      </c>
      <c r="H842">
        <f>원본데이터_SK!O842</f>
        <v>119000</v>
      </c>
      <c r="I842">
        <f>원본데이터_SK!AG842</f>
        <v>119000</v>
      </c>
      <c r="J842">
        <f>원본데이터_SK!AH842</f>
        <v>80920</v>
      </c>
      <c r="K842">
        <f>IFERROR(VLOOKUP(E842,제품마스터!$A:$B,2,0),0)</f>
        <v>0</v>
      </c>
      <c r="L842">
        <f>원본데이터_SK!Q842*원본데이터_SK!P842</f>
        <v>80920</v>
      </c>
    </row>
    <row r="843" spans="1:12" x14ac:dyDescent="0.3">
      <c r="A843" t="s">
        <v>11</v>
      </c>
      <c r="B843" t="str">
        <f>원본데이터_SK!D843</f>
        <v>20260210361530</v>
      </c>
      <c r="C843" t="str">
        <f>IF(원본데이터_SK!M843="","",TEXT(원본데이터_SK!M843,"YYYY-MM-DD"))</f>
        <v>2026-02-12</v>
      </c>
      <c r="D843" t="str">
        <f>원본데이터_SK!F843</f>
        <v>58481090</v>
      </c>
      <c r="E843" t="str">
        <f>IFERROR(VLOOKUP(원본데이터_SK!F843,채널매핑!$B:$D,3,0),"미매핑")</f>
        <v>미매핑</v>
      </c>
      <c r="F843">
        <f>IFERROR(VLOOKUP(원본데이터_SK!F843,채널매핑!$B:$E,4,0),1)</f>
        <v>1</v>
      </c>
      <c r="G843">
        <f>원본데이터_SK!Q843</f>
        <v>1</v>
      </c>
      <c r="H843">
        <f>원본데이터_SK!O843</f>
        <v>119000</v>
      </c>
      <c r="I843">
        <f>원본데이터_SK!AG843</f>
        <v>119000</v>
      </c>
      <c r="J843">
        <f>원본데이터_SK!AH843</f>
        <v>80920</v>
      </c>
      <c r="K843">
        <f>IFERROR(VLOOKUP(E843,제품마스터!$A:$B,2,0),0)</f>
        <v>0</v>
      </c>
      <c r="L843">
        <f>원본데이터_SK!Q843*원본데이터_SK!P843</f>
        <v>80920</v>
      </c>
    </row>
    <row r="844" spans="1:12" x14ac:dyDescent="0.3">
      <c r="A844" t="s">
        <v>11</v>
      </c>
      <c r="B844" t="str">
        <f>원본데이터_SK!D844</f>
        <v>20260210361628</v>
      </c>
      <c r="C844" t="str">
        <f>IF(원본데이터_SK!M844="","",TEXT(원본데이터_SK!M844,"YYYY-MM-DD"))</f>
        <v>2026-02-12</v>
      </c>
      <c r="D844" t="str">
        <f>원본데이터_SK!F844</f>
        <v>58481090</v>
      </c>
      <c r="E844" t="str">
        <f>IFERROR(VLOOKUP(원본데이터_SK!F844,채널매핑!$B:$D,3,0),"미매핑")</f>
        <v>미매핑</v>
      </c>
      <c r="F844">
        <f>IFERROR(VLOOKUP(원본데이터_SK!F844,채널매핑!$B:$E,4,0),1)</f>
        <v>1</v>
      </c>
      <c r="G844">
        <f>원본데이터_SK!Q844</f>
        <v>1</v>
      </c>
      <c r="H844">
        <f>원본데이터_SK!O844</f>
        <v>119000</v>
      </c>
      <c r="I844">
        <f>원본데이터_SK!AG844</f>
        <v>119000</v>
      </c>
      <c r="J844">
        <f>원본데이터_SK!AH844</f>
        <v>80920</v>
      </c>
      <c r="K844">
        <f>IFERROR(VLOOKUP(E844,제품마스터!$A:$B,2,0),0)</f>
        <v>0</v>
      </c>
      <c r="L844">
        <f>원본데이터_SK!Q844*원본데이터_SK!P844</f>
        <v>80920</v>
      </c>
    </row>
    <row r="845" spans="1:12" x14ac:dyDescent="0.3">
      <c r="A845" t="s">
        <v>11</v>
      </c>
      <c r="B845" t="str">
        <f>원본데이터_SK!D845</f>
        <v>20260210360293</v>
      </c>
      <c r="C845" t="str">
        <f>IF(원본데이터_SK!M845="","",TEXT(원본데이터_SK!M845,"YYYY-MM-DD"))</f>
        <v>2026-02-12</v>
      </c>
      <c r="D845" t="str">
        <f>원본데이터_SK!F845</f>
        <v>58481090</v>
      </c>
      <c r="E845" t="str">
        <f>IFERROR(VLOOKUP(원본데이터_SK!F845,채널매핑!$B:$D,3,0),"미매핑")</f>
        <v>미매핑</v>
      </c>
      <c r="F845">
        <f>IFERROR(VLOOKUP(원본데이터_SK!F845,채널매핑!$B:$E,4,0),1)</f>
        <v>1</v>
      </c>
      <c r="G845">
        <f>원본데이터_SK!Q845</f>
        <v>1</v>
      </c>
      <c r="H845">
        <f>원본데이터_SK!O845</f>
        <v>119000</v>
      </c>
      <c r="I845">
        <f>원본데이터_SK!AG845</f>
        <v>119000</v>
      </c>
      <c r="J845">
        <f>원본데이터_SK!AH845</f>
        <v>80920</v>
      </c>
      <c r="K845">
        <f>IFERROR(VLOOKUP(E845,제품마스터!$A:$B,2,0),0)</f>
        <v>0</v>
      </c>
      <c r="L845">
        <f>원본데이터_SK!Q845*원본데이터_SK!P845</f>
        <v>80920</v>
      </c>
    </row>
    <row r="846" spans="1:12" x14ac:dyDescent="0.3">
      <c r="A846" t="s">
        <v>11</v>
      </c>
      <c r="B846" t="str">
        <f>원본데이터_SK!D846</f>
        <v>20260210361554</v>
      </c>
      <c r="C846" t="str">
        <f>IF(원본데이터_SK!M846="","",TEXT(원본데이터_SK!M846,"YYYY-MM-DD"))</f>
        <v>2026-02-12</v>
      </c>
      <c r="D846" t="str">
        <f>원본데이터_SK!F846</f>
        <v>58481090</v>
      </c>
      <c r="E846" t="str">
        <f>IFERROR(VLOOKUP(원본데이터_SK!F846,채널매핑!$B:$D,3,0),"미매핑")</f>
        <v>미매핑</v>
      </c>
      <c r="F846">
        <f>IFERROR(VLOOKUP(원본데이터_SK!F846,채널매핑!$B:$E,4,0),1)</f>
        <v>1</v>
      </c>
      <c r="G846">
        <f>원본데이터_SK!Q846</f>
        <v>1</v>
      </c>
      <c r="H846">
        <f>원본데이터_SK!O846</f>
        <v>119000</v>
      </c>
      <c r="I846">
        <f>원본데이터_SK!AG846</f>
        <v>95200</v>
      </c>
      <c r="J846">
        <f>원본데이터_SK!AH846</f>
        <v>80920</v>
      </c>
      <c r="K846">
        <f>IFERROR(VLOOKUP(E846,제품마스터!$A:$B,2,0),0)</f>
        <v>0</v>
      </c>
      <c r="L846">
        <f>원본데이터_SK!Q846*원본데이터_SK!P846</f>
        <v>80920</v>
      </c>
    </row>
    <row r="847" spans="1:12" x14ac:dyDescent="0.3">
      <c r="A847" t="s">
        <v>11</v>
      </c>
      <c r="B847" t="str">
        <f>원본데이터_SK!D847</f>
        <v>20260210360720</v>
      </c>
      <c r="C847" t="str">
        <f>IF(원본데이터_SK!M847="","",TEXT(원본데이터_SK!M847,"YYYY-MM-DD"))</f>
        <v>2026-02-12</v>
      </c>
      <c r="D847" t="str">
        <f>원본데이터_SK!F847</f>
        <v>58481090</v>
      </c>
      <c r="E847" t="str">
        <f>IFERROR(VLOOKUP(원본데이터_SK!F847,채널매핑!$B:$D,3,0),"미매핑")</f>
        <v>미매핑</v>
      </c>
      <c r="F847">
        <f>IFERROR(VLOOKUP(원본데이터_SK!F847,채널매핑!$B:$E,4,0),1)</f>
        <v>1</v>
      </c>
      <c r="G847">
        <f>원본데이터_SK!Q847</f>
        <v>1</v>
      </c>
      <c r="H847">
        <f>원본데이터_SK!O847</f>
        <v>119000</v>
      </c>
      <c r="I847">
        <f>원본데이터_SK!AG847</f>
        <v>119000</v>
      </c>
      <c r="J847">
        <f>원본데이터_SK!AH847</f>
        <v>80920</v>
      </c>
      <c r="K847">
        <f>IFERROR(VLOOKUP(E847,제품마스터!$A:$B,2,0),0)</f>
        <v>0</v>
      </c>
      <c r="L847">
        <f>원본데이터_SK!Q847*원본데이터_SK!P847</f>
        <v>80920</v>
      </c>
    </row>
    <row r="848" spans="1:12" x14ac:dyDescent="0.3">
      <c r="A848" t="s">
        <v>11</v>
      </c>
      <c r="B848" t="str">
        <f>원본데이터_SK!D848</f>
        <v>20260210360283</v>
      </c>
      <c r="C848" t="str">
        <f>IF(원본데이터_SK!M848="","",TEXT(원본데이터_SK!M848,"YYYY-MM-DD"))</f>
        <v>2026-02-12</v>
      </c>
      <c r="D848" t="str">
        <f>원본데이터_SK!F848</f>
        <v>58481090</v>
      </c>
      <c r="E848" t="str">
        <f>IFERROR(VLOOKUP(원본데이터_SK!F848,채널매핑!$B:$D,3,0),"미매핑")</f>
        <v>미매핑</v>
      </c>
      <c r="F848">
        <f>IFERROR(VLOOKUP(원본데이터_SK!F848,채널매핑!$B:$E,4,0),1)</f>
        <v>1</v>
      </c>
      <c r="G848">
        <f>원본데이터_SK!Q848</f>
        <v>2</v>
      </c>
      <c r="H848">
        <f>원본데이터_SK!O848</f>
        <v>119000</v>
      </c>
      <c r="I848">
        <f>원본데이터_SK!AG848</f>
        <v>238000</v>
      </c>
      <c r="J848">
        <f>원본데이터_SK!AH848</f>
        <v>161840</v>
      </c>
      <c r="K848">
        <f>IFERROR(VLOOKUP(E848,제품마스터!$A:$B,2,0),0)</f>
        <v>0</v>
      </c>
      <c r="L848">
        <f>원본데이터_SK!Q848*원본데이터_SK!P848</f>
        <v>161840</v>
      </c>
    </row>
    <row r="849" spans="1:12" x14ac:dyDescent="0.3">
      <c r="A849" t="s">
        <v>11</v>
      </c>
      <c r="B849" t="str">
        <f>원본데이터_SK!D849</f>
        <v>20260210361227</v>
      </c>
      <c r="C849" t="str">
        <f>IF(원본데이터_SK!M849="","",TEXT(원본데이터_SK!M849,"YYYY-MM-DD"))</f>
        <v>2026-02-12</v>
      </c>
      <c r="D849" t="str">
        <f>원본데이터_SK!F849</f>
        <v>58481090</v>
      </c>
      <c r="E849" t="str">
        <f>IFERROR(VLOOKUP(원본데이터_SK!F849,채널매핑!$B:$D,3,0),"미매핑")</f>
        <v>미매핑</v>
      </c>
      <c r="F849">
        <f>IFERROR(VLOOKUP(원본데이터_SK!F849,채널매핑!$B:$E,4,0),1)</f>
        <v>1</v>
      </c>
      <c r="G849">
        <f>원본데이터_SK!Q849</f>
        <v>2</v>
      </c>
      <c r="H849">
        <f>원본데이터_SK!O849</f>
        <v>119000</v>
      </c>
      <c r="I849">
        <f>원본데이터_SK!AG849</f>
        <v>238000</v>
      </c>
      <c r="J849">
        <f>원본데이터_SK!AH849</f>
        <v>161840</v>
      </c>
      <c r="K849">
        <f>IFERROR(VLOOKUP(E849,제품마스터!$A:$B,2,0),0)</f>
        <v>0</v>
      </c>
      <c r="L849">
        <f>원본데이터_SK!Q849*원본데이터_SK!P849</f>
        <v>161840</v>
      </c>
    </row>
    <row r="850" spans="1:12" x14ac:dyDescent="0.3">
      <c r="A850" t="s">
        <v>11</v>
      </c>
      <c r="B850" t="str">
        <f>원본데이터_SK!D850</f>
        <v>20260210367975</v>
      </c>
      <c r="C850" t="str">
        <f>IF(원본데이터_SK!M850="","",TEXT(원본데이터_SK!M850,"YYYY-MM-DD"))</f>
        <v>2026-02-12</v>
      </c>
      <c r="D850" t="str">
        <f>원본데이터_SK!F850</f>
        <v>58481090</v>
      </c>
      <c r="E850" t="str">
        <f>IFERROR(VLOOKUP(원본데이터_SK!F850,채널매핑!$B:$D,3,0),"미매핑")</f>
        <v>미매핑</v>
      </c>
      <c r="F850">
        <f>IFERROR(VLOOKUP(원본데이터_SK!F850,채널매핑!$B:$E,4,0),1)</f>
        <v>1</v>
      </c>
      <c r="G850">
        <f>원본데이터_SK!Q850</f>
        <v>1</v>
      </c>
      <c r="H850">
        <f>원본데이터_SK!O850</f>
        <v>119000</v>
      </c>
      <c r="I850">
        <f>원본데이터_SK!AG850</f>
        <v>113050</v>
      </c>
      <c r="J850">
        <f>원본데이터_SK!AH850</f>
        <v>80920</v>
      </c>
      <c r="K850">
        <f>IFERROR(VLOOKUP(E850,제품마스터!$A:$B,2,0),0)</f>
        <v>0</v>
      </c>
      <c r="L850">
        <f>원본데이터_SK!Q850*원본데이터_SK!P850</f>
        <v>80920</v>
      </c>
    </row>
    <row r="851" spans="1:12" x14ac:dyDescent="0.3">
      <c r="A851" t="s">
        <v>11</v>
      </c>
      <c r="B851" t="str">
        <f>원본데이터_SK!D851</f>
        <v>20260205994463</v>
      </c>
      <c r="C851" t="str">
        <f>IF(원본데이터_SK!M851="","",TEXT(원본데이터_SK!M851,"YYYY-MM-DD"))</f>
        <v>2026-02-12</v>
      </c>
      <c r="D851" t="str">
        <f>원본데이터_SK!F851</f>
        <v>58481090</v>
      </c>
      <c r="E851" t="str">
        <f>IFERROR(VLOOKUP(원본데이터_SK!F851,채널매핑!$B:$D,3,0),"미매핑")</f>
        <v>미매핑</v>
      </c>
      <c r="F851">
        <f>IFERROR(VLOOKUP(원본데이터_SK!F851,채널매핑!$B:$E,4,0),1)</f>
        <v>1</v>
      </c>
      <c r="G851">
        <f>원본데이터_SK!Q851</f>
        <v>1</v>
      </c>
      <c r="H851">
        <f>원본데이터_SK!O851</f>
        <v>119000</v>
      </c>
      <c r="I851">
        <f>원본데이터_SK!AG851</f>
        <v>119000</v>
      </c>
      <c r="J851">
        <f>원본데이터_SK!AH851</f>
        <v>82110</v>
      </c>
      <c r="K851">
        <f>IFERROR(VLOOKUP(E851,제품마스터!$A:$B,2,0),0)</f>
        <v>0</v>
      </c>
      <c r="L851">
        <f>원본데이터_SK!Q851*원본데이터_SK!P851</f>
        <v>82110</v>
      </c>
    </row>
    <row r="852" spans="1:12" x14ac:dyDescent="0.3">
      <c r="A852" t="s">
        <v>11</v>
      </c>
      <c r="B852" t="str">
        <f>원본데이터_SK!D852</f>
        <v>20260210360499</v>
      </c>
      <c r="C852" t="str">
        <f>IF(원본데이터_SK!M852="","",TEXT(원본데이터_SK!M852,"YYYY-MM-DD"))</f>
        <v>2026-02-12</v>
      </c>
      <c r="D852" t="str">
        <f>원본데이터_SK!F852</f>
        <v>58481090</v>
      </c>
      <c r="E852" t="str">
        <f>IFERROR(VLOOKUP(원본데이터_SK!F852,채널매핑!$B:$D,3,0),"미매핑")</f>
        <v>미매핑</v>
      </c>
      <c r="F852">
        <f>IFERROR(VLOOKUP(원본데이터_SK!F852,채널매핑!$B:$E,4,0),1)</f>
        <v>1</v>
      </c>
      <c r="G852">
        <f>원본데이터_SK!Q852</f>
        <v>1</v>
      </c>
      <c r="H852">
        <f>원본데이터_SK!O852</f>
        <v>119000</v>
      </c>
      <c r="I852">
        <f>원본데이터_SK!AG852</f>
        <v>113050</v>
      </c>
      <c r="J852">
        <f>원본데이터_SK!AH852</f>
        <v>80920</v>
      </c>
      <c r="K852">
        <f>IFERROR(VLOOKUP(E852,제품마스터!$A:$B,2,0),0)</f>
        <v>0</v>
      </c>
      <c r="L852">
        <f>원본데이터_SK!Q852*원본데이터_SK!P852</f>
        <v>80920</v>
      </c>
    </row>
    <row r="853" spans="1:12" x14ac:dyDescent="0.3">
      <c r="A853" t="s">
        <v>11</v>
      </c>
      <c r="B853" t="str">
        <f>원본데이터_SK!D853</f>
        <v>20260210361304</v>
      </c>
      <c r="C853" t="str">
        <f>IF(원본데이터_SK!M853="","",TEXT(원본데이터_SK!M853,"YYYY-MM-DD"))</f>
        <v>2026-02-12</v>
      </c>
      <c r="D853" t="str">
        <f>원본데이터_SK!F853</f>
        <v>58481090</v>
      </c>
      <c r="E853" t="str">
        <f>IFERROR(VLOOKUP(원본데이터_SK!F853,채널매핑!$B:$D,3,0),"미매핑")</f>
        <v>미매핑</v>
      </c>
      <c r="F853">
        <f>IFERROR(VLOOKUP(원본데이터_SK!F853,채널매핑!$B:$E,4,0),1)</f>
        <v>1</v>
      </c>
      <c r="G853">
        <f>원본데이터_SK!Q853</f>
        <v>1</v>
      </c>
      <c r="H853">
        <f>원본데이터_SK!O853</f>
        <v>119000</v>
      </c>
      <c r="I853">
        <f>원본데이터_SK!AG853</f>
        <v>119000</v>
      </c>
      <c r="J853">
        <f>원본데이터_SK!AH853</f>
        <v>80920</v>
      </c>
      <c r="K853">
        <f>IFERROR(VLOOKUP(E853,제품마스터!$A:$B,2,0),0)</f>
        <v>0</v>
      </c>
      <c r="L853">
        <f>원본데이터_SK!Q853*원본데이터_SK!P853</f>
        <v>80920</v>
      </c>
    </row>
    <row r="854" spans="1:12" x14ac:dyDescent="0.3">
      <c r="A854" t="s">
        <v>11</v>
      </c>
      <c r="B854" t="str">
        <f>원본데이터_SK!D854</f>
        <v>20260210361296</v>
      </c>
      <c r="C854" t="str">
        <f>IF(원본데이터_SK!M854="","",TEXT(원본데이터_SK!M854,"YYYY-MM-DD"))</f>
        <v>2026-02-12</v>
      </c>
      <c r="D854" t="str">
        <f>원본데이터_SK!F854</f>
        <v>58481090</v>
      </c>
      <c r="E854" t="str">
        <f>IFERROR(VLOOKUP(원본데이터_SK!F854,채널매핑!$B:$D,3,0),"미매핑")</f>
        <v>미매핑</v>
      </c>
      <c r="F854">
        <f>IFERROR(VLOOKUP(원본데이터_SK!F854,채널매핑!$B:$E,4,0),1)</f>
        <v>1</v>
      </c>
      <c r="G854">
        <f>원본데이터_SK!Q854</f>
        <v>1</v>
      </c>
      <c r="H854">
        <f>원본데이터_SK!O854</f>
        <v>119000</v>
      </c>
      <c r="I854">
        <f>원본데이터_SK!AG854</f>
        <v>109000</v>
      </c>
      <c r="J854">
        <f>원본데이터_SK!AH854</f>
        <v>80920</v>
      </c>
      <c r="K854">
        <f>IFERROR(VLOOKUP(E854,제품마스터!$A:$B,2,0),0)</f>
        <v>0</v>
      </c>
      <c r="L854">
        <f>원본데이터_SK!Q854*원본데이터_SK!P854</f>
        <v>80920</v>
      </c>
    </row>
    <row r="855" spans="1:12" x14ac:dyDescent="0.3">
      <c r="A855" t="s">
        <v>11</v>
      </c>
      <c r="B855" t="str">
        <f>원본데이터_SK!D855</f>
        <v>20260210361578</v>
      </c>
      <c r="C855" t="str">
        <f>IF(원본데이터_SK!M855="","",TEXT(원본데이터_SK!M855,"YYYY-MM-DD"))</f>
        <v>2026-02-12</v>
      </c>
      <c r="D855" t="str">
        <f>원본데이터_SK!F855</f>
        <v>58481090</v>
      </c>
      <c r="E855" t="str">
        <f>IFERROR(VLOOKUP(원본데이터_SK!F855,채널매핑!$B:$D,3,0),"미매핑")</f>
        <v>미매핑</v>
      </c>
      <c r="F855">
        <f>IFERROR(VLOOKUP(원본데이터_SK!F855,채널매핑!$B:$E,4,0),1)</f>
        <v>1</v>
      </c>
      <c r="G855">
        <f>원본데이터_SK!Q855</f>
        <v>1</v>
      </c>
      <c r="H855">
        <f>원본데이터_SK!O855</f>
        <v>119000</v>
      </c>
      <c r="I855">
        <f>원본데이터_SK!AG855</f>
        <v>119000</v>
      </c>
      <c r="J855">
        <f>원본데이터_SK!AH855</f>
        <v>80920</v>
      </c>
      <c r="K855">
        <f>IFERROR(VLOOKUP(E855,제품마스터!$A:$B,2,0),0)</f>
        <v>0</v>
      </c>
      <c r="L855">
        <f>원본데이터_SK!Q855*원본데이터_SK!P855</f>
        <v>80920</v>
      </c>
    </row>
    <row r="856" spans="1:12" x14ac:dyDescent="0.3">
      <c r="A856" t="s">
        <v>11</v>
      </c>
      <c r="B856" t="str">
        <f>원본데이터_SK!D856</f>
        <v>20260210360604</v>
      </c>
      <c r="C856" t="str">
        <f>IF(원본데이터_SK!M856="","",TEXT(원본데이터_SK!M856,"YYYY-MM-DD"))</f>
        <v>2026-02-12</v>
      </c>
      <c r="D856" t="str">
        <f>원본데이터_SK!F856</f>
        <v>58481090</v>
      </c>
      <c r="E856" t="str">
        <f>IFERROR(VLOOKUP(원본데이터_SK!F856,채널매핑!$B:$D,3,0),"미매핑")</f>
        <v>미매핑</v>
      </c>
      <c r="F856">
        <f>IFERROR(VLOOKUP(원본데이터_SK!F856,채널매핑!$B:$E,4,0),1)</f>
        <v>1</v>
      </c>
      <c r="G856">
        <f>원본데이터_SK!Q856</f>
        <v>1</v>
      </c>
      <c r="H856">
        <f>원본데이터_SK!O856</f>
        <v>119000</v>
      </c>
      <c r="I856">
        <f>원본데이터_SK!AG856</f>
        <v>119000</v>
      </c>
      <c r="J856">
        <f>원본데이터_SK!AH856</f>
        <v>80920</v>
      </c>
      <c r="K856">
        <f>IFERROR(VLOOKUP(E856,제품마스터!$A:$B,2,0),0)</f>
        <v>0</v>
      </c>
      <c r="L856">
        <f>원본데이터_SK!Q856*원본데이터_SK!P856</f>
        <v>80920</v>
      </c>
    </row>
    <row r="857" spans="1:12" x14ac:dyDescent="0.3">
      <c r="A857" t="s">
        <v>11</v>
      </c>
      <c r="B857" t="str">
        <f>원본데이터_SK!D857</f>
        <v>20260210361837</v>
      </c>
      <c r="C857" t="str">
        <f>IF(원본데이터_SK!M857="","",TEXT(원본데이터_SK!M857,"YYYY-MM-DD"))</f>
        <v>2026-02-12</v>
      </c>
      <c r="D857" t="str">
        <f>원본데이터_SK!F857</f>
        <v>58481090</v>
      </c>
      <c r="E857" t="str">
        <f>IFERROR(VLOOKUP(원본데이터_SK!F857,채널매핑!$B:$D,3,0),"미매핑")</f>
        <v>미매핑</v>
      </c>
      <c r="F857">
        <f>IFERROR(VLOOKUP(원본데이터_SK!F857,채널매핑!$B:$E,4,0),1)</f>
        <v>1</v>
      </c>
      <c r="G857">
        <f>원본데이터_SK!Q857</f>
        <v>1</v>
      </c>
      <c r="H857">
        <f>원본데이터_SK!O857</f>
        <v>119000</v>
      </c>
      <c r="I857">
        <f>원본데이터_SK!AG857</f>
        <v>113050</v>
      </c>
      <c r="J857">
        <f>원본데이터_SK!AH857</f>
        <v>80920</v>
      </c>
      <c r="K857">
        <f>IFERROR(VLOOKUP(E857,제품마스터!$A:$B,2,0),0)</f>
        <v>0</v>
      </c>
      <c r="L857">
        <f>원본데이터_SK!Q857*원본데이터_SK!P857</f>
        <v>80920</v>
      </c>
    </row>
    <row r="858" spans="1:12" x14ac:dyDescent="0.3">
      <c r="A858" t="s">
        <v>11</v>
      </c>
      <c r="B858" t="str">
        <f>원본데이터_SK!D858</f>
        <v>20260210361837</v>
      </c>
      <c r="C858" t="str">
        <f>IF(원본데이터_SK!M858="","",TEXT(원본데이터_SK!M858,"YYYY-MM-DD"))</f>
        <v>2026-02-12</v>
      </c>
      <c r="D858" t="str">
        <f>원본데이터_SK!F858</f>
        <v>58481090</v>
      </c>
      <c r="E858" t="str">
        <f>IFERROR(VLOOKUP(원본데이터_SK!F858,채널매핑!$B:$D,3,0),"미매핑")</f>
        <v>미매핑</v>
      </c>
      <c r="F858">
        <f>IFERROR(VLOOKUP(원본데이터_SK!F858,채널매핑!$B:$E,4,0),1)</f>
        <v>1</v>
      </c>
      <c r="G858">
        <f>원본데이터_SK!Q858</f>
        <v>1</v>
      </c>
      <c r="H858">
        <f>원본데이터_SK!O858</f>
        <v>119000</v>
      </c>
      <c r="I858">
        <f>원본데이터_SK!AG858</f>
        <v>113050</v>
      </c>
      <c r="J858">
        <f>원본데이터_SK!AH858</f>
        <v>80920</v>
      </c>
      <c r="K858">
        <f>IFERROR(VLOOKUP(E858,제품마스터!$A:$B,2,0),0)</f>
        <v>0</v>
      </c>
      <c r="L858">
        <f>원본데이터_SK!Q858*원본데이터_SK!P858</f>
        <v>80920</v>
      </c>
    </row>
    <row r="859" spans="1:12" x14ac:dyDescent="0.3">
      <c r="A859" t="s">
        <v>11</v>
      </c>
      <c r="B859" t="str">
        <f>원본데이터_SK!D859</f>
        <v>20260210360558</v>
      </c>
      <c r="C859" t="str">
        <f>IF(원본데이터_SK!M859="","",TEXT(원본데이터_SK!M859,"YYYY-MM-DD"))</f>
        <v>2026-02-12</v>
      </c>
      <c r="D859" t="str">
        <f>원본데이터_SK!F859</f>
        <v>58481090</v>
      </c>
      <c r="E859" t="str">
        <f>IFERROR(VLOOKUP(원본데이터_SK!F859,채널매핑!$B:$D,3,0),"미매핑")</f>
        <v>미매핑</v>
      </c>
      <c r="F859">
        <f>IFERROR(VLOOKUP(원본데이터_SK!F859,채널매핑!$B:$E,4,0),1)</f>
        <v>1</v>
      </c>
      <c r="G859">
        <f>원본데이터_SK!Q859</f>
        <v>1</v>
      </c>
      <c r="H859">
        <f>원본데이터_SK!O859</f>
        <v>119000</v>
      </c>
      <c r="I859">
        <f>원본데이터_SK!AG859</f>
        <v>119000</v>
      </c>
      <c r="J859">
        <f>원본데이터_SK!AH859</f>
        <v>80920</v>
      </c>
      <c r="K859">
        <f>IFERROR(VLOOKUP(E859,제품마스터!$A:$B,2,0),0)</f>
        <v>0</v>
      </c>
      <c r="L859">
        <f>원본데이터_SK!Q859*원본데이터_SK!P859</f>
        <v>80920</v>
      </c>
    </row>
    <row r="860" spans="1:12" x14ac:dyDescent="0.3">
      <c r="A860" t="s">
        <v>11</v>
      </c>
      <c r="B860" t="str">
        <f>원본데이터_SK!D860</f>
        <v>20260210360940</v>
      </c>
      <c r="C860" t="str">
        <f>IF(원본데이터_SK!M860="","",TEXT(원본데이터_SK!M860,"YYYY-MM-DD"))</f>
        <v>2026-02-12</v>
      </c>
      <c r="D860" t="str">
        <f>원본데이터_SK!F860</f>
        <v>58481090</v>
      </c>
      <c r="E860" t="str">
        <f>IFERROR(VLOOKUP(원본데이터_SK!F860,채널매핑!$B:$D,3,0),"미매핑")</f>
        <v>미매핑</v>
      </c>
      <c r="F860">
        <f>IFERROR(VLOOKUP(원본데이터_SK!F860,채널매핑!$B:$E,4,0),1)</f>
        <v>1</v>
      </c>
      <c r="G860">
        <f>원본데이터_SK!Q860</f>
        <v>1</v>
      </c>
      <c r="H860">
        <f>원본데이터_SK!O860</f>
        <v>119000</v>
      </c>
      <c r="I860">
        <f>원본데이터_SK!AG860</f>
        <v>119000</v>
      </c>
      <c r="J860">
        <f>원본데이터_SK!AH860</f>
        <v>80920</v>
      </c>
      <c r="K860">
        <f>IFERROR(VLOOKUP(E860,제품마스터!$A:$B,2,0),0)</f>
        <v>0</v>
      </c>
      <c r="L860">
        <f>원본데이터_SK!Q860*원본데이터_SK!P860</f>
        <v>80920</v>
      </c>
    </row>
    <row r="861" spans="1:12" x14ac:dyDescent="0.3">
      <c r="A861" t="s">
        <v>11</v>
      </c>
      <c r="B861" t="str">
        <f>원본데이터_SK!D861</f>
        <v>20260210360934</v>
      </c>
      <c r="C861" t="str">
        <f>IF(원본데이터_SK!M861="","",TEXT(원본데이터_SK!M861,"YYYY-MM-DD"))</f>
        <v>2026-02-12</v>
      </c>
      <c r="D861" t="str">
        <f>원본데이터_SK!F861</f>
        <v>58481090</v>
      </c>
      <c r="E861" t="str">
        <f>IFERROR(VLOOKUP(원본데이터_SK!F861,채널매핑!$B:$D,3,0),"미매핑")</f>
        <v>미매핑</v>
      </c>
      <c r="F861">
        <f>IFERROR(VLOOKUP(원본데이터_SK!F861,채널매핑!$B:$E,4,0),1)</f>
        <v>1</v>
      </c>
      <c r="G861">
        <f>원본데이터_SK!Q861</f>
        <v>1</v>
      </c>
      <c r="H861">
        <f>원본데이터_SK!O861</f>
        <v>119000</v>
      </c>
      <c r="I861">
        <f>원본데이터_SK!AG861</f>
        <v>119000</v>
      </c>
      <c r="J861">
        <f>원본데이터_SK!AH861</f>
        <v>80920</v>
      </c>
      <c r="K861">
        <f>IFERROR(VLOOKUP(E861,제품마스터!$A:$B,2,0),0)</f>
        <v>0</v>
      </c>
      <c r="L861">
        <f>원본데이터_SK!Q861*원본데이터_SK!P861</f>
        <v>80920</v>
      </c>
    </row>
    <row r="862" spans="1:12" x14ac:dyDescent="0.3">
      <c r="A862" t="s">
        <v>11</v>
      </c>
      <c r="B862" t="str">
        <f>원본데이터_SK!D862</f>
        <v>20260210360612</v>
      </c>
      <c r="C862" t="str">
        <f>IF(원본데이터_SK!M862="","",TEXT(원본데이터_SK!M862,"YYYY-MM-DD"))</f>
        <v>2026-02-12</v>
      </c>
      <c r="D862" t="str">
        <f>원본데이터_SK!F862</f>
        <v>58481090</v>
      </c>
      <c r="E862" t="str">
        <f>IFERROR(VLOOKUP(원본데이터_SK!F862,채널매핑!$B:$D,3,0),"미매핑")</f>
        <v>미매핑</v>
      </c>
      <c r="F862">
        <f>IFERROR(VLOOKUP(원본데이터_SK!F862,채널매핑!$B:$E,4,0),1)</f>
        <v>1</v>
      </c>
      <c r="G862">
        <f>원본데이터_SK!Q862</f>
        <v>1</v>
      </c>
      <c r="H862">
        <f>원본데이터_SK!O862</f>
        <v>119000</v>
      </c>
      <c r="I862">
        <f>원본데이터_SK!AG862</f>
        <v>113050</v>
      </c>
      <c r="J862">
        <f>원본데이터_SK!AH862</f>
        <v>80920</v>
      </c>
      <c r="K862">
        <f>IFERROR(VLOOKUP(E862,제품마스터!$A:$B,2,0),0)</f>
        <v>0</v>
      </c>
      <c r="L862">
        <f>원본데이터_SK!Q862*원본데이터_SK!P862</f>
        <v>80920</v>
      </c>
    </row>
    <row r="863" spans="1:12" x14ac:dyDescent="0.3">
      <c r="A863" t="s">
        <v>11</v>
      </c>
      <c r="B863" t="str">
        <f>원본데이터_SK!D863</f>
        <v>20260210361645</v>
      </c>
      <c r="C863" t="str">
        <f>IF(원본데이터_SK!M863="","",TEXT(원본데이터_SK!M863,"YYYY-MM-DD"))</f>
        <v>2026-02-12</v>
      </c>
      <c r="D863" t="str">
        <f>원본데이터_SK!F863</f>
        <v>58481090</v>
      </c>
      <c r="E863" t="str">
        <f>IFERROR(VLOOKUP(원본데이터_SK!F863,채널매핑!$B:$D,3,0),"미매핑")</f>
        <v>미매핑</v>
      </c>
      <c r="F863">
        <f>IFERROR(VLOOKUP(원본데이터_SK!F863,채널매핑!$B:$E,4,0),1)</f>
        <v>1</v>
      </c>
      <c r="G863">
        <f>원본데이터_SK!Q863</f>
        <v>1</v>
      </c>
      <c r="H863">
        <f>원본데이터_SK!O863</f>
        <v>119000</v>
      </c>
      <c r="I863">
        <f>원본데이터_SK!AG863</f>
        <v>119000</v>
      </c>
      <c r="J863">
        <f>원본데이터_SK!AH863</f>
        <v>80920</v>
      </c>
      <c r="K863">
        <f>IFERROR(VLOOKUP(E863,제품마스터!$A:$B,2,0),0)</f>
        <v>0</v>
      </c>
      <c r="L863">
        <f>원본데이터_SK!Q863*원본데이터_SK!P863</f>
        <v>80920</v>
      </c>
    </row>
    <row r="864" spans="1:12" x14ac:dyDescent="0.3">
      <c r="A864" t="s">
        <v>11</v>
      </c>
      <c r="B864" t="str">
        <f>원본데이터_SK!D864</f>
        <v>20260210362008</v>
      </c>
      <c r="C864" t="str">
        <f>IF(원본데이터_SK!M864="","",TEXT(원본데이터_SK!M864,"YYYY-MM-DD"))</f>
        <v>2026-02-12</v>
      </c>
      <c r="D864" t="str">
        <f>원본데이터_SK!F864</f>
        <v>58481090</v>
      </c>
      <c r="E864" t="str">
        <f>IFERROR(VLOOKUP(원본데이터_SK!F864,채널매핑!$B:$D,3,0),"미매핑")</f>
        <v>미매핑</v>
      </c>
      <c r="F864">
        <f>IFERROR(VLOOKUP(원본데이터_SK!F864,채널매핑!$B:$E,4,0),1)</f>
        <v>1</v>
      </c>
      <c r="G864">
        <f>원본데이터_SK!Q864</f>
        <v>1</v>
      </c>
      <c r="H864">
        <f>원본데이터_SK!O864</f>
        <v>119000</v>
      </c>
      <c r="I864">
        <f>원본데이터_SK!AG864</f>
        <v>119000</v>
      </c>
      <c r="J864">
        <f>원본데이터_SK!AH864</f>
        <v>80920</v>
      </c>
      <c r="K864">
        <f>IFERROR(VLOOKUP(E864,제품마스터!$A:$B,2,0),0)</f>
        <v>0</v>
      </c>
      <c r="L864">
        <f>원본데이터_SK!Q864*원본데이터_SK!P864</f>
        <v>80920</v>
      </c>
    </row>
    <row r="865" spans="1:12" x14ac:dyDescent="0.3">
      <c r="A865" t="s">
        <v>11</v>
      </c>
      <c r="B865" t="str">
        <f>원본데이터_SK!D865</f>
        <v>20260210360697</v>
      </c>
      <c r="C865" t="str">
        <f>IF(원본데이터_SK!M865="","",TEXT(원본데이터_SK!M865,"YYYY-MM-DD"))</f>
        <v>2026-02-12</v>
      </c>
      <c r="D865" t="str">
        <f>원본데이터_SK!F865</f>
        <v>58481090</v>
      </c>
      <c r="E865" t="str">
        <f>IFERROR(VLOOKUP(원본데이터_SK!F865,채널매핑!$B:$D,3,0),"미매핑")</f>
        <v>미매핑</v>
      </c>
      <c r="F865">
        <f>IFERROR(VLOOKUP(원본데이터_SK!F865,채널매핑!$B:$E,4,0),1)</f>
        <v>1</v>
      </c>
      <c r="G865">
        <f>원본데이터_SK!Q865</f>
        <v>1</v>
      </c>
      <c r="H865">
        <f>원본데이터_SK!O865</f>
        <v>119000</v>
      </c>
      <c r="I865">
        <f>원본데이터_SK!AG865</f>
        <v>101150</v>
      </c>
      <c r="J865">
        <f>원본데이터_SK!AH865</f>
        <v>80920</v>
      </c>
      <c r="K865">
        <f>IFERROR(VLOOKUP(E865,제품마스터!$A:$B,2,0),0)</f>
        <v>0</v>
      </c>
      <c r="L865">
        <f>원본데이터_SK!Q865*원본데이터_SK!P865</f>
        <v>80920</v>
      </c>
    </row>
    <row r="866" spans="1:12" x14ac:dyDescent="0.3">
      <c r="A866" t="s">
        <v>11</v>
      </c>
      <c r="B866" t="str">
        <f>원본데이터_SK!D866</f>
        <v>20260210362079</v>
      </c>
      <c r="C866" t="str">
        <f>IF(원본데이터_SK!M866="","",TEXT(원본데이터_SK!M866,"YYYY-MM-DD"))</f>
        <v>2026-02-12</v>
      </c>
      <c r="D866" t="str">
        <f>원본데이터_SK!F866</f>
        <v>58481090</v>
      </c>
      <c r="E866" t="str">
        <f>IFERROR(VLOOKUP(원본데이터_SK!F866,채널매핑!$B:$D,3,0),"미매핑")</f>
        <v>미매핑</v>
      </c>
      <c r="F866">
        <f>IFERROR(VLOOKUP(원본데이터_SK!F866,채널매핑!$B:$E,4,0),1)</f>
        <v>1</v>
      </c>
      <c r="G866">
        <f>원본데이터_SK!Q866</f>
        <v>1</v>
      </c>
      <c r="H866">
        <f>원본데이터_SK!O866</f>
        <v>119000</v>
      </c>
      <c r="I866">
        <f>원본데이터_SK!AG866</f>
        <v>119000</v>
      </c>
      <c r="J866">
        <f>원본데이터_SK!AH866</f>
        <v>80920</v>
      </c>
      <c r="K866">
        <f>IFERROR(VLOOKUP(E866,제품마스터!$A:$B,2,0),0)</f>
        <v>0</v>
      </c>
      <c r="L866">
        <f>원본데이터_SK!Q866*원본데이터_SK!P866</f>
        <v>80920</v>
      </c>
    </row>
    <row r="867" spans="1:12" x14ac:dyDescent="0.3">
      <c r="A867" t="s">
        <v>11</v>
      </c>
      <c r="B867" t="str">
        <f>원본데이터_SK!D867</f>
        <v>20260210361307</v>
      </c>
      <c r="C867" t="str">
        <f>IF(원본데이터_SK!M867="","",TEXT(원본데이터_SK!M867,"YYYY-MM-DD"))</f>
        <v>2026-02-12</v>
      </c>
      <c r="D867" t="str">
        <f>원본데이터_SK!F867</f>
        <v>58481090</v>
      </c>
      <c r="E867" t="str">
        <f>IFERROR(VLOOKUP(원본데이터_SK!F867,채널매핑!$B:$D,3,0),"미매핑")</f>
        <v>미매핑</v>
      </c>
      <c r="F867">
        <f>IFERROR(VLOOKUP(원본데이터_SK!F867,채널매핑!$B:$E,4,0),1)</f>
        <v>1</v>
      </c>
      <c r="G867">
        <f>원본데이터_SK!Q867</f>
        <v>1</v>
      </c>
      <c r="H867">
        <f>원본데이터_SK!O867</f>
        <v>119000</v>
      </c>
      <c r="I867">
        <f>원본데이터_SK!AG867</f>
        <v>119000</v>
      </c>
      <c r="J867">
        <f>원본데이터_SK!AH867</f>
        <v>80920</v>
      </c>
      <c r="K867">
        <f>IFERROR(VLOOKUP(E867,제품마스터!$A:$B,2,0),0)</f>
        <v>0</v>
      </c>
      <c r="L867">
        <f>원본데이터_SK!Q867*원본데이터_SK!P867</f>
        <v>80920</v>
      </c>
    </row>
    <row r="868" spans="1:12" x14ac:dyDescent="0.3">
      <c r="A868" t="s">
        <v>11</v>
      </c>
      <c r="B868" t="str">
        <f>원본데이터_SK!D868</f>
        <v>20260210360709</v>
      </c>
      <c r="C868" t="str">
        <f>IF(원본데이터_SK!M868="","",TEXT(원본데이터_SK!M868,"YYYY-MM-DD"))</f>
        <v>2026-02-12</v>
      </c>
      <c r="D868" t="str">
        <f>원본데이터_SK!F868</f>
        <v>58481090</v>
      </c>
      <c r="E868" t="str">
        <f>IFERROR(VLOOKUP(원본데이터_SK!F868,채널매핑!$B:$D,3,0),"미매핑")</f>
        <v>미매핑</v>
      </c>
      <c r="F868">
        <f>IFERROR(VLOOKUP(원본데이터_SK!F868,채널매핑!$B:$E,4,0),1)</f>
        <v>1</v>
      </c>
      <c r="G868">
        <f>원본데이터_SK!Q868</f>
        <v>1</v>
      </c>
      <c r="H868">
        <f>원본데이터_SK!O868</f>
        <v>119000</v>
      </c>
      <c r="I868">
        <f>원본데이터_SK!AG868</f>
        <v>119000</v>
      </c>
      <c r="J868">
        <f>원본데이터_SK!AH868</f>
        <v>80920</v>
      </c>
      <c r="K868">
        <f>IFERROR(VLOOKUP(E868,제품마스터!$A:$B,2,0),0)</f>
        <v>0</v>
      </c>
      <c r="L868">
        <f>원본데이터_SK!Q868*원본데이터_SK!P868</f>
        <v>80920</v>
      </c>
    </row>
    <row r="869" spans="1:12" x14ac:dyDescent="0.3">
      <c r="A869" t="s">
        <v>11</v>
      </c>
      <c r="B869" t="str">
        <f>원본데이터_SK!D869</f>
        <v>20260210361913</v>
      </c>
      <c r="C869" t="str">
        <f>IF(원본데이터_SK!M869="","",TEXT(원본데이터_SK!M869,"YYYY-MM-DD"))</f>
        <v>2026-02-12</v>
      </c>
      <c r="D869" t="str">
        <f>원본데이터_SK!F869</f>
        <v>58481090</v>
      </c>
      <c r="E869" t="str">
        <f>IFERROR(VLOOKUP(원본데이터_SK!F869,채널매핑!$B:$D,3,0),"미매핑")</f>
        <v>미매핑</v>
      </c>
      <c r="F869">
        <f>IFERROR(VLOOKUP(원본데이터_SK!F869,채널매핑!$B:$E,4,0),1)</f>
        <v>1</v>
      </c>
      <c r="G869">
        <f>원본데이터_SK!Q869</f>
        <v>1</v>
      </c>
      <c r="H869">
        <f>원본데이터_SK!O869</f>
        <v>119000</v>
      </c>
      <c r="I869">
        <f>원본데이터_SK!AG869</f>
        <v>119000</v>
      </c>
      <c r="J869">
        <f>원본데이터_SK!AH869</f>
        <v>80920</v>
      </c>
      <c r="K869">
        <f>IFERROR(VLOOKUP(E869,제품마스터!$A:$B,2,0),0)</f>
        <v>0</v>
      </c>
      <c r="L869">
        <f>원본데이터_SK!Q869*원본데이터_SK!P869</f>
        <v>80920</v>
      </c>
    </row>
    <row r="870" spans="1:12" x14ac:dyDescent="0.3">
      <c r="A870" t="s">
        <v>11</v>
      </c>
      <c r="B870" t="str">
        <f>원본데이터_SK!D870</f>
        <v>20260210360756</v>
      </c>
      <c r="C870" t="str">
        <f>IF(원본데이터_SK!M870="","",TEXT(원본데이터_SK!M870,"YYYY-MM-DD"))</f>
        <v>2026-02-12</v>
      </c>
      <c r="D870" t="str">
        <f>원본데이터_SK!F870</f>
        <v>58481090</v>
      </c>
      <c r="E870" t="str">
        <f>IFERROR(VLOOKUP(원본데이터_SK!F870,채널매핑!$B:$D,3,0),"미매핑")</f>
        <v>미매핑</v>
      </c>
      <c r="F870">
        <f>IFERROR(VLOOKUP(원본데이터_SK!F870,채널매핑!$B:$E,4,0),1)</f>
        <v>1</v>
      </c>
      <c r="G870">
        <f>원본데이터_SK!Q870</f>
        <v>1</v>
      </c>
      <c r="H870">
        <f>원본데이터_SK!O870</f>
        <v>119000</v>
      </c>
      <c r="I870">
        <f>원본데이터_SK!AG870</f>
        <v>119000</v>
      </c>
      <c r="J870">
        <f>원본데이터_SK!AH870</f>
        <v>80920</v>
      </c>
      <c r="K870">
        <f>IFERROR(VLOOKUP(E870,제품마스터!$A:$B,2,0),0)</f>
        <v>0</v>
      </c>
      <c r="L870">
        <f>원본데이터_SK!Q870*원본데이터_SK!P870</f>
        <v>80920</v>
      </c>
    </row>
    <row r="871" spans="1:12" x14ac:dyDescent="0.3">
      <c r="A871" t="s">
        <v>11</v>
      </c>
      <c r="B871" t="str">
        <f>원본데이터_SK!D871</f>
        <v>20260210361263</v>
      </c>
      <c r="C871" t="str">
        <f>IF(원본데이터_SK!M871="","",TEXT(원본데이터_SK!M871,"YYYY-MM-DD"))</f>
        <v>2026-02-12</v>
      </c>
      <c r="D871" t="str">
        <f>원본데이터_SK!F871</f>
        <v>58481090</v>
      </c>
      <c r="E871" t="str">
        <f>IFERROR(VLOOKUP(원본데이터_SK!F871,채널매핑!$B:$D,3,0),"미매핑")</f>
        <v>미매핑</v>
      </c>
      <c r="F871">
        <f>IFERROR(VLOOKUP(원본데이터_SK!F871,채널매핑!$B:$E,4,0),1)</f>
        <v>1</v>
      </c>
      <c r="G871">
        <f>원본데이터_SK!Q871</f>
        <v>1</v>
      </c>
      <c r="H871">
        <f>원본데이터_SK!O871</f>
        <v>119000</v>
      </c>
      <c r="I871">
        <f>원본데이터_SK!AG871</f>
        <v>119000</v>
      </c>
      <c r="J871">
        <f>원본데이터_SK!AH871</f>
        <v>80920</v>
      </c>
      <c r="K871">
        <f>IFERROR(VLOOKUP(E871,제품마스터!$A:$B,2,0),0)</f>
        <v>0</v>
      </c>
      <c r="L871">
        <f>원본데이터_SK!Q871*원본데이터_SK!P871</f>
        <v>80920</v>
      </c>
    </row>
    <row r="872" spans="1:12" x14ac:dyDescent="0.3">
      <c r="A872" t="s">
        <v>11</v>
      </c>
      <c r="B872" t="str">
        <f>원본데이터_SK!D872</f>
        <v>20260210361539</v>
      </c>
      <c r="C872" t="str">
        <f>IF(원본데이터_SK!M872="","",TEXT(원본데이터_SK!M872,"YYYY-MM-DD"))</f>
        <v>2026-02-12</v>
      </c>
      <c r="D872" t="str">
        <f>원본데이터_SK!F872</f>
        <v>58481090</v>
      </c>
      <c r="E872" t="str">
        <f>IFERROR(VLOOKUP(원본데이터_SK!F872,채널매핑!$B:$D,3,0),"미매핑")</f>
        <v>미매핑</v>
      </c>
      <c r="F872">
        <f>IFERROR(VLOOKUP(원본데이터_SK!F872,채널매핑!$B:$E,4,0),1)</f>
        <v>1</v>
      </c>
      <c r="G872">
        <f>원본데이터_SK!Q872</f>
        <v>1</v>
      </c>
      <c r="H872">
        <f>원본데이터_SK!O872</f>
        <v>119000</v>
      </c>
      <c r="I872">
        <f>원본데이터_SK!AG872</f>
        <v>119000</v>
      </c>
      <c r="J872">
        <f>원본데이터_SK!AH872</f>
        <v>80920</v>
      </c>
      <c r="K872">
        <f>IFERROR(VLOOKUP(E872,제품마스터!$A:$B,2,0),0)</f>
        <v>0</v>
      </c>
      <c r="L872">
        <f>원본데이터_SK!Q872*원본데이터_SK!P872</f>
        <v>80920</v>
      </c>
    </row>
    <row r="873" spans="1:12" x14ac:dyDescent="0.3">
      <c r="A873" t="s">
        <v>11</v>
      </c>
      <c r="B873" t="str">
        <f>원본데이터_SK!D873</f>
        <v>20260210361940</v>
      </c>
      <c r="C873" t="str">
        <f>IF(원본데이터_SK!M873="","",TEXT(원본데이터_SK!M873,"YYYY-MM-DD"))</f>
        <v>2026-02-12</v>
      </c>
      <c r="D873" t="str">
        <f>원본데이터_SK!F873</f>
        <v>58481090</v>
      </c>
      <c r="E873" t="str">
        <f>IFERROR(VLOOKUP(원본데이터_SK!F873,채널매핑!$B:$D,3,0),"미매핑")</f>
        <v>미매핑</v>
      </c>
      <c r="F873">
        <f>IFERROR(VLOOKUP(원본데이터_SK!F873,채널매핑!$B:$E,4,0),1)</f>
        <v>1</v>
      </c>
      <c r="G873">
        <f>원본데이터_SK!Q873</f>
        <v>1</v>
      </c>
      <c r="H873">
        <f>원본데이터_SK!O873</f>
        <v>119000</v>
      </c>
      <c r="I873">
        <f>원본데이터_SK!AG873</f>
        <v>119000</v>
      </c>
      <c r="J873">
        <f>원본데이터_SK!AH873</f>
        <v>80920</v>
      </c>
      <c r="K873">
        <f>IFERROR(VLOOKUP(E873,제품마스터!$A:$B,2,0),0)</f>
        <v>0</v>
      </c>
      <c r="L873">
        <f>원본데이터_SK!Q873*원본데이터_SK!P873</f>
        <v>80920</v>
      </c>
    </row>
    <row r="874" spans="1:12" x14ac:dyDescent="0.3">
      <c r="A874" t="s">
        <v>11</v>
      </c>
      <c r="B874" t="str">
        <f>원본데이터_SK!D874</f>
        <v>20260210362078</v>
      </c>
      <c r="C874" t="str">
        <f>IF(원본데이터_SK!M874="","",TEXT(원본데이터_SK!M874,"YYYY-MM-DD"))</f>
        <v>2026-02-12</v>
      </c>
      <c r="D874" t="str">
        <f>원본데이터_SK!F874</f>
        <v>58481090</v>
      </c>
      <c r="E874" t="str">
        <f>IFERROR(VLOOKUP(원본데이터_SK!F874,채널매핑!$B:$D,3,0),"미매핑")</f>
        <v>미매핑</v>
      </c>
      <c r="F874">
        <f>IFERROR(VLOOKUP(원본데이터_SK!F874,채널매핑!$B:$E,4,0),1)</f>
        <v>1</v>
      </c>
      <c r="G874">
        <f>원본데이터_SK!Q874</f>
        <v>1</v>
      </c>
      <c r="H874">
        <f>원본데이터_SK!O874</f>
        <v>119000</v>
      </c>
      <c r="I874">
        <f>원본데이터_SK!AG874</f>
        <v>119000</v>
      </c>
      <c r="J874">
        <f>원본데이터_SK!AH874</f>
        <v>80920</v>
      </c>
      <c r="K874">
        <f>IFERROR(VLOOKUP(E874,제품마스터!$A:$B,2,0),0)</f>
        <v>0</v>
      </c>
      <c r="L874">
        <f>원본데이터_SK!Q874*원본데이터_SK!P874</f>
        <v>80920</v>
      </c>
    </row>
    <row r="875" spans="1:12" x14ac:dyDescent="0.3">
      <c r="A875" t="s">
        <v>11</v>
      </c>
      <c r="B875" t="str">
        <f>원본데이터_SK!D875</f>
        <v>20260210361721</v>
      </c>
      <c r="C875" t="str">
        <f>IF(원본데이터_SK!M875="","",TEXT(원본데이터_SK!M875,"YYYY-MM-DD"))</f>
        <v>2026-02-12</v>
      </c>
      <c r="D875" t="str">
        <f>원본데이터_SK!F875</f>
        <v>58481090</v>
      </c>
      <c r="E875" t="str">
        <f>IFERROR(VLOOKUP(원본데이터_SK!F875,채널매핑!$B:$D,3,0),"미매핑")</f>
        <v>미매핑</v>
      </c>
      <c r="F875">
        <f>IFERROR(VLOOKUP(원본데이터_SK!F875,채널매핑!$B:$E,4,0),1)</f>
        <v>1</v>
      </c>
      <c r="G875">
        <f>원본데이터_SK!Q875</f>
        <v>1</v>
      </c>
      <c r="H875">
        <f>원본데이터_SK!O875</f>
        <v>119000</v>
      </c>
      <c r="I875">
        <f>원본데이터_SK!AG875</f>
        <v>119000</v>
      </c>
      <c r="J875">
        <f>원본데이터_SK!AH875</f>
        <v>80920</v>
      </c>
      <c r="K875">
        <f>IFERROR(VLOOKUP(E875,제품마스터!$A:$B,2,0),0)</f>
        <v>0</v>
      </c>
      <c r="L875">
        <f>원본데이터_SK!Q875*원본데이터_SK!P875</f>
        <v>80920</v>
      </c>
    </row>
    <row r="876" spans="1:12" x14ac:dyDescent="0.3">
      <c r="A876" t="s">
        <v>11</v>
      </c>
      <c r="B876" t="str">
        <f>원본데이터_SK!D876</f>
        <v>20260210361178</v>
      </c>
      <c r="C876" t="str">
        <f>IF(원본데이터_SK!M876="","",TEXT(원본데이터_SK!M876,"YYYY-MM-DD"))</f>
        <v>2026-02-12</v>
      </c>
      <c r="D876" t="str">
        <f>원본데이터_SK!F876</f>
        <v>58481090</v>
      </c>
      <c r="E876" t="str">
        <f>IFERROR(VLOOKUP(원본데이터_SK!F876,채널매핑!$B:$D,3,0),"미매핑")</f>
        <v>미매핑</v>
      </c>
      <c r="F876">
        <f>IFERROR(VLOOKUP(원본데이터_SK!F876,채널매핑!$B:$E,4,0),1)</f>
        <v>1</v>
      </c>
      <c r="G876">
        <f>원본데이터_SK!Q876</f>
        <v>1</v>
      </c>
      <c r="H876">
        <f>원본데이터_SK!O876</f>
        <v>119000</v>
      </c>
      <c r="I876">
        <f>원본데이터_SK!AG876</f>
        <v>119000</v>
      </c>
      <c r="J876">
        <f>원본데이터_SK!AH876</f>
        <v>80920</v>
      </c>
      <c r="K876">
        <f>IFERROR(VLOOKUP(E876,제품마스터!$A:$B,2,0),0)</f>
        <v>0</v>
      </c>
      <c r="L876">
        <f>원본데이터_SK!Q876*원본데이터_SK!P876</f>
        <v>80920</v>
      </c>
    </row>
    <row r="877" spans="1:12" x14ac:dyDescent="0.3">
      <c r="A877" t="s">
        <v>11</v>
      </c>
      <c r="B877" t="str">
        <f>원본데이터_SK!D877</f>
        <v>20260210360216</v>
      </c>
      <c r="C877" t="str">
        <f>IF(원본데이터_SK!M877="","",TEXT(원본데이터_SK!M877,"YYYY-MM-DD"))</f>
        <v>2026-02-12</v>
      </c>
      <c r="D877" t="str">
        <f>원본데이터_SK!F877</f>
        <v>58481090</v>
      </c>
      <c r="E877" t="str">
        <f>IFERROR(VLOOKUP(원본데이터_SK!F877,채널매핑!$B:$D,3,0),"미매핑")</f>
        <v>미매핑</v>
      </c>
      <c r="F877">
        <f>IFERROR(VLOOKUP(원본데이터_SK!F877,채널매핑!$B:$E,4,0),1)</f>
        <v>1</v>
      </c>
      <c r="G877">
        <f>원본데이터_SK!Q877</f>
        <v>1</v>
      </c>
      <c r="H877">
        <f>원본데이터_SK!O877</f>
        <v>119000</v>
      </c>
      <c r="I877">
        <f>원본데이터_SK!AG877</f>
        <v>119000</v>
      </c>
      <c r="J877">
        <f>원본데이터_SK!AH877</f>
        <v>80920</v>
      </c>
      <c r="K877">
        <f>IFERROR(VLOOKUP(E877,제품마스터!$A:$B,2,0),0)</f>
        <v>0</v>
      </c>
      <c r="L877">
        <f>원본데이터_SK!Q877*원본데이터_SK!P877</f>
        <v>80920</v>
      </c>
    </row>
    <row r="878" spans="1:12" x14ac:dyDescent="0.3">
      <c r="A878" t="s">
        <v>11</v>
      </c>
      <c r="B878" t="str">
        <f>원본데이터_SK!D878</f>
        <v>20260210360543</v>
      </c>
      <c r="C878" t="str">
        <f>IF(원본데이터_SK!M878="","",TEXT(원본데이터_SK!M878,"YYYY-MM-DD"))</f>
        <v>2026-02-12</v>
      </c>
      <c r="D878" t="str">
        <f>원본데이터_SK!F878</f>
        <v>58481090</v>
      </c>
      <c r="E878" t="str">
        <f>IFERROR(VLOOKUP(원본데이터_SK!F878,채널매핑!$B:$D,3,0),"미매핑")</f>
        <v>미매핑</v>
      </c>
      <c r="F878">
        <f>IFERROR(VLOOKUP(원본데이터_SK!F878,채널매핑!$B:$E,4,0),1)</f>
        <v>1</v>
      </c>
      <c r="G878">
        <f>원본데이터_SK!Q878</f>
        <v>1</v>
      </c>
      <c r="H878">
        <f>원본데이터_SK!O878</f>
        <v>119000</v>
      </c>
      <c r="I878">
        <f>원본데이터_SK!AG878</f>
        <v>119000</v>
      </c>
      <c r="J878">
        <f>원본데이터_SK!AH878</f>
        <v>80920</v>
      </c>
      <c r="K878">
        <f>IFERROR(VLOOKUP(E878,제품마스터!$A:$B,2,0),0)</f>
        <v>0</v>
      </c>
      <c r="L878">
        <f>원본데이터_SK!Q878*원본데이터_SK!P878</f>
        <v>80920</v>
      </c>
    </row>
    <row r="879" spans="1:12" x14ac:dyDescent="0.3">
      <c r="A879" t="s">
        <v>11</v>
      </c>
      <c r="B879" t="str">
        <f>원본데이터_SK!D879</f>
        <v>20260210361735</v>
      </c>
      <c r="C879" t="str">
        <f>IF(원본데이터_SK!M879="","",TEXT(원본데이터_SK!M879,"YYYY-MM-DD"))</f>
        <v>2026-02-12</v>
      </c>
      <c r="D879" t="str">
        <f>원본데이터_SK!F879</f>
        <v>58481090</v>
      </c>
      <c r="E879" t="str">
        <f>IFERROR(VLOOKUP(원본데이터_SK!F879,채널매핑!$B:$D,3,0),"미매핑")</f>
        <v>미매핑</v>
      </c>
      <c r="F879">
        <f>IFERROR(VLOOKUP(원본데이터_SK!F879,채널매핑!$B:$E,4,0),1)</f>
        <v>1</v>
      </c>
      <c r="G879">
        <f>원본데이터_SK!Q879</f>
        <v>1</v>
      </c>
      <c r="H879">
        <f>원본데이터_SK!O879</f>
        <v>119000</v>
      </c>
      <c r="I879">
        <f>원본데이터_SK!AG879</f>
        <v>113050</v>
      </c>
      <c r="J879">
        <f>원본데이터_SK!AH879</f>
        <v>80920</v>
      </c>
      <c r="K879">
        <f>IFERROR(VLOOKUP(E879,제품마스터!$A:$B,2,0),0)</f>
        <v>0</v>
      </c>
      <c r="L879">
        <f>원본데이터_SK!Q879*원본데이터_SK!P879</f>
        <v>80920</v>
      </c>
    </row>
    <row r="880" spans="1:12" x14ac:dyDescent="0.3">
      <c r="A880" t="s">
        <v>11</v>
      </c>
      <c r="B880" t="str">
        <f>원본데이터_SK!D880</f>
        <v>20260210360908</v>
      </c>
      <c r="C880" t="str">
        <f>IF(원본데이터_SK!M880="","",TEXT(원본데이터_SK!M880,"YYYY-MM-DD"))</f>
        <v>2026-02-13</v>
      </c>
      <c r="D880" t="str">
        <f>원본데이터_SK!F880</f>
        <v>58481090</v>
      </c>
      <c r="E880" t="str">
        <f>IFERROR(VLOOKUP(원본데이터_SK!F880,채널매핑!$B:$D,3,0),"미매핑")</f>
        <v>미매핑</v>
      </c>
      <c r="F880">
        <f>IFERROR(VLOOKUP(원본데이터_SK!F880,채널매핑!$B:$E,4,0),1)</f>
        <v>1</v>
      </c>
      <c r="G880">
        <f>원본데이터_SK!Q880</f>
        <v>1</v>
      </c>
      <c r="H880">
        <f>원본데이터_SK!O880</f>
        <v>119000</v>
      </c>
      <c r="I880">
        <f>원본데이터_SK!AG880</f>
        <v>113050</v>
      </c>
      <c r="J880">
        <f>원본데이터_SK!AH880</f>
        <v>80920</v>
      </c>
      <c r="K880">
        <f>IFERROR(VLOOKUP(E880,제품마스터!$A:$B,2,0),0)</f>
        <v>0</v>
      </c>
      <c r="L880">
        <f>원본데이터_SK!Q880*원본데이터_SK!P880</f>
        <v>80920</v>
      </c>
    </row>
    <row r="881" spans="1:12" x14ac:dyDescent="0.3">
      <c r="A881" t="s">
        <v>11</v>
      </c>
      <c r="B881" t="str">
        <f>원본데이터_SK!D881</f>
        <v>20260210342835</v>
      </c>
      <c r="C881" t="str">
        <f>IF(원본데이터_SK!M881="","",TEXT(원본데이터_SK!M881,"YYYY-MM-DD"))</f>
        <v>2026-02-13</v>
      </c>
      <c r="D881" t="str">
        <f>원본데이터_SK!F881</f>
        <v>58481090</v>
      </c>
      <c r="E881" t="str">
        <f>IFERROR(VLOOKUP(원본데이터_SK!F881,채널매핑!$B:$D,3,0),"미매핑")</f>
        <v>미매핑</v>
      </c>
      <c r="F881">
        <f>IFERROR(VLOOKUP(원본데이터_SK!F881,채널매핑!$B:$E,4,0),1)</f>
        <v>1</v>
      </c>
      <c r="G881">
        <f>원본데이터_SK!Q881</f>
        <v>1</v>
      </c>
      <c r="H881">
        <f>원본데이터_SK!O881</f>
        <v>119000</v>
      </c>
      <c r="I881">
        <f>원본데이터_SK!AG881</f>
        <v>119000</v>
      </c>
      <c r="J881">
        <f>원본데이터_SK!AH881</f>
        <v>80920</v>
      </c>
      <c r="K881">
        <f>IFERROR(VLOOKUP(E881,제품마스터!$A:$B,2,0),0)</f>
        <v>0</v>
      </c>
      <c r="L881">
        <f>원본데이터_SK!Q881*원본데이터_SK!P881</f>
        <v>80920</v>
      </c>
    </row>
    <row r="882" spans="1:12" x14ac:dyDescent="0.3">
      <c r="A882" t="s">
        <v>15</v>
      </c>
      <c r="B882">
        <f>원본데이터_쿠팡!C2</f>
        <v>12100169248866</v>
      </c>
      <c r="C882" t="str">
        <f>IF(원본데이터_쿠팡!J2="","",TEXT(원본데이터_쿠팡!J2,"YYYY-MM-DD"))</f>
        <v>2026-02-04</v>
      </c>
      <c r="D882">
        <f>원본데이터_쿠팡!N2</f>
        <v>9354612220</v>
      </c>
      <c r="E882" t="str">
        <f>IFERROR(VLOOKUP(원본데이터_쿠팡!N2,채널매핑!$B:$D,3,0),"미매핑")</f>
        <v>미매핑</v>
      </c>
      <c r="F882">
        <f>IFERROR(VLOOKUP(원본데이터_쿠팡!N2,채널매핑!$B:$E,4,0),1)</f>
        <v>1</v>
      </c>
      <c r="G882">
        <f>원본데이터_쿠팡!W2</f>
        <v>1</v>
      </c>
      <c r="H882">
        <f>원본데이터_쿠팡!X2</f>
        <v>20900</v>
      </c>
      <c r="I882">
        <f>원본데이터_쿠팡!S2</f>
        <v>20900</v>
      </c>
      <c r="J882">
        <f>원본데이터_쿠팡!S2</f>
        <v>20900</v>
      </c>
      <c r="K882">
        <f>IFERROR(VLOOKUP(E882,제품마스터!$A:$B,2,0),0)</f>
        <v>0</v>
      </c>
      <c r="L882" t="str">
        <f ca="1">원본데이터_쿠팡!W2*L882/원본데이터_쿠팡!W2</f>
        <v/>
      </c>
    </row>
    <row r="883" spans="1:12" x14ac:dyDescent="0.3">
      <c r="A883" t="s">
        <v>15</v>
      </c>
      <c r="B883">
        <f>원본데이터_쿠팡!C3</f>
        <v>28100169339326</v>
      </c>
      <c r="C883" t="str">
        <f>IF(원본데이터_쿠팡!J3="","",TEXT(원본데이터_쿠팡!J3,"YYYY-MM-DD"))</f>
        <v>2026-02-04</v>
      </c>
      <c r="D883">
        <f>원본데이터_쿠팡!N3</f>
        <v>9354612220</v>
      </c>
      <c r="E883" t="str">
        <f>IFERROR(VLOOKUP(원본데이터_쿠팡!N3,채널매핑!$B:$D,3,0),"미매핑")</f>
        <v>미매핑</v>
      </c>
      <c r="F883">
        <f>IFERROR(VLOOKUP(원본데이터_쿠팡!N3,채널매핑!$B:$E,4,0),1)</f>
        <v>1</v>
      </c>
      <c r="G883">
        <f>원본데이터_쿠팡!W3</f>
        <v>1</v>
      </c>
      <c r="H883">
        <f>원본데이터_쿠팡!X3</f>
        <v>20900</v>
      </c>
      <c r="I883">
        <f>원본데이터_쿠팡!S3</f>
        <v>20900</v>
      </c>
      <c r="J883">
        <f>원본데이터_쿠팡!S3</f>
        <v>20900</v>
      </c>
      <c r="K883">
        <f>IFERROR(VLOOKUP(E883,제품마스터!$A:$B,2,0),0)</f>
        <v>0</v>
      </c>
      <c r="L883" t="str">
        <f ca="1">원본데이터_쿠팡!W3*L883/원본데이터_쿠팡!W3</f>
        <v/>
      </c>
    </row>
    <row r="884" spans="1:12" x14ac:dyDescent="0.3">
      <c r="A884" t="s">
        <v>15</v>
      </c>
      <c r="B884">
        <f>원본데이터_쿠팡!C4</f>
        <v>30100169868577</v>
      </c>
      <c r="C884" t="str">
        <f>IF(원본데이터_쿠팡!J4="","",TEXT(원본데이터_쿠팡!J4,"YYYY-MM-DD"))</f>
        <v>2026-02-05</v>
      </c>
      <c r="D884">
        <f>원본데이터_쿠팡!N4</f>
        <v>9354612220</v>
      </c>
      <c r="E884" t="str">
        <f>IFERROR(VLOOKUP(원본데이터_쿠팡!N4,채널매핑!$B:$D,3,0),"미매핑")</f>
        <v>미매핑</v>
      </c>
      <c r="F884">
        <f>IFERROR(VLOOKUP(원본데이터_쿠팡!N4,채널매핑!$B:$E,4,0),1)</f>
        <v>1</v>
      </c>
      <c r="G884">
        <f>원본데이터_쿠팡!W4</f>
        <v>3</v>
      </c>
      <c r="H884">
        <f>원본데이터_쿠팡!X4</f>
        <v>20900</v>
      </c>
      <c r="I884">
        <f>원본데이터_쿠팡!S4</f>
        <v>62700</v>
      </c>
      <c r="J884">
        <f>원본데이터_쿠팡!S4</f>
        <v>62700</v>
      </c>
      <c r="K884">
        <f>IFERROR(VLOOKUP(E884,제품마스터!$A:$B,2,0),0)</f>
        <v>0</v>
      </c>
      <c r="L884" t="str">
        <f ca="1">원본데이터_쿠팡!W4*L884/원본데이터_쿠팡!W4</f>
        <v/>
      </c>
    </row>
    <row r="885" spans="1:12" x14ac:dyDescent="0.3">
      <c r="A885" t="s">
        <v>15</v>
      </c>
      <c r="B885">
        <f>원본데이터_쿠팡!C5</f>
        <v>19100169693948</v>
      </c>
      <c r="C885" t="str">
        <f>IF(원본데이터_쿠팡!J5="","",TEXT(원본데이터_쿠팡!J5,"YYYY-MM-DD"))</f>
        <v>2026-02-05</v>
      </c>
      <c r="D885">
        <f>원본데이터_쿠팡!N5</f>
        <v>9354612220</v>
      </c>
      <c r="E885" t="str">
        <f>IFERROR(VLOOKUP(원본데이터_쿠팡!N5,채널매핑!$B:$D,3,0),"미매핑")</f>
        <v>미매핑</v>
      </c>
      <c r="F885">
        <f>IFERROR(VLOOKUP(원본데이터_쿠팡!N5,채널매핑!$B:$E,4,0),1)</f>
        <v>1</v>
      </c>
      <c r="G885">
        <f>원본데이터_쿠팡!W5</f>
        <v>1</v>
      </c>
      <c r="H885">
        <f>원본데이터_쿠팡!X5</f>
        <v>20900</v>
      </c>
      <c r="I885">
        <f>원본데이터_쿠팡!S5</f>
        <v>20900</v>
      </c>
      <c r="J885">
        <f>원본데이터_쿠팡!S5</f>
        <v>20900</v>
      </c>
      <c r="K885">
        <f>IFERROR(VLOOKUP(E885,제품마스터!$A:$B,2,0),0)</f>
        <v>0</v>
      </c>
      <c r="L885" t="str">
        <f ca="1">원본데이터_쿠팡!W5*L885/원본데이터_쿠팡!W5</f>
        <v/>
      </c>
    </row>
    <row r="886" spans="1:12" x14ac:dyDescent="0.3">
      <c r="A886" t="s">
        <v>15</v>
      </c>
      <c r="B886">
        <f>원본데이터_쿠팡!C6</f>
        <v>26100169614931</v>
      </c>
      <c r="C886" t="str">
        <f>IF(원본데이터_쿠팡!J6="","",TEXT(원본데이터_쿠팡!J6,"YYYY-MM-DD"))</f>
        <v>2026-02-05</v>
      </c>
      <c r="D886">
        <f>원본데이터_쿠팡!N6</f>
        <v>9354612220</v>
      </c>
      <c r="E886" t="str">
        <f>IFERROR(VLOOKUP(원본데이터_쿠팡!N6,채널매핑!$B:$D,3,0),"미매핑")</f>
        <v>미매핑</v>
      </c>
      <c r="F886">
        <f>IFERROR(VLOOKUP(원본데이터_쿠팡!N6,채널매핑!$B:$E,4,0),1)</f>
        <v>1</v>
      </c>
      <c r="G886">
        <f>원본데이터_쿠팡!W6</f>
        <v>1</v>
      </c>
      <c r="H886">
        <f>원본데이터_쿠팡!X6</f>
        <v>40000</v>
      </c>
      <c r="I886">
        <f>원본데이터_쿠팡!S6</f>
        <v>40000</v>
      </c>
      <c r="J886">
        <f>원본데이터_쿠팡!S6</f>
        <v>40000</v>
      </c>
      <c r="K886">
        <f>IFERROR(VLOOKUP(E886,제품마스터!$A:$B,2,0),0)</f>
        <v>0</v>
      </c>
      <c r="L886" t="str">
        <f ca="1">원본데이터_쿠팡!W6*L886/원본데이터_쿠팡!W6</f>
        <v/>
      </c>
    </row>
    <row r="887" spans="1:12" x14ac:dyDescent="0.3">
      <c r="A887" t="s">
        <v>15</v>
      </c>
      <c r="B887">
        <f>원본데이터_쿠팡!C7</f>
        <v>7100170513612</v>
      </c>
      <c r="C887" t="str">
        <f>IF(원본데이터_쿠팡!J7="","",TEXT(원본데이터_쿠팡!J7,"YYYY-MM-DD"))</f>
        <v>2026-02-07</v>
      </c>
      <c r="D887">
        <f>원본데이터_쿠팡!N7</f>
        <v>9361402632</v>
      </c>
      <c r="E887" t="str">
        <f>IFERROR(VLOOKUP(원본데이터_쿠팡!N7,채널매핑!$B:$D,3,0),"미매핑")</f>
        <v>미매핑</v>
      </c>
      <c r="F887">
        <f>IFERROR(VLOOKUP(원본데이터_쿠팡!N7,채널매핑!$B:$E,4,0),1)</f>
        <v>1</v>
      </c>
      <c r="G887">
        <f>원본데이터_쿠팡!W7</f>
        <v>1</v>
      </c>
      <c r="H887">
        <f>원본데이터_쿠팡!X7</f>
        <v>78000</v>
      </c>
      <c r="I887">
        <f>원본데이터_쿠팡!S7</f>
        <v>78000</v>
      </c>
      <c r="J887">
        <f>원본데이터_쿠팡!S7</f>
        <v>78000</v>
      </c>
      <c r="K887">
        <f>IFERROR(VLOOKUP(E887,제품마스터!$A:$B,2,0),0)</f>
        <v>0</v>
      </c>
      <c r="L887" t="str">
        <f ca="1">원본데이터_쿠팡!W7*L887/원본데이터_쿠팡!W7</f>
        <v/>
      </c>
    </row>
    <row r="888" spans="1:12" x14ac:dyDescent="0.3">
      <c r="A888" t="s">
        <v>15</v>
      </c>
      <c r="B888">
        <f>원본데이터_쿠팡!C8</f>
        <v>32100170207333</v>
      </c>
      <c r="C888" t="str">
        <f>IF(원본데이터_쿠팡!J8="","",TEXT(원본데이터_쿠팡!J8,"YYYY-MM-DD"))</f>
        <v>2026-02-08</v>
      </c>
      <c r="D888">
        <f>원본데이터_쿠팡!N8</f>
        <v>9361402632</v>
      </c>
      <c r="E888" t="str">
        <f>IFERROR(VLOOKUP(원본데이터_쿠팡!N8,채널매핑!$B:$D,3,0),"미매핑")</f>
        <v>미매핑</v>
      </c>
      <c r="F888">
        <f>IFERROR(VLOOKUP(원본데이터_쿠팡!N8,채널매핑!$B:$E,4,0),1)</f>
        <v>1</v>
      </c>
      <c r="G888">
        <f>원본데이터_쿠팡!W8</f>
        <v>1</v>
      </c>
      <c r="H888">
        <f>원본데이터_쿠팡!X8</f>
        <v>78000</v>
      </c>
      <c r="I888">
        <f>원본데이터_쿠팡!S8</f>
        <v>78000</v>
      </c>
      <c r="J888">
        <f>원본데이터_쿠팡!S8</f>
        <v>78000</v>
      </c>
      <c r="K888">
        <f>IFERROR(VLOOKUP(E888,제품마스터!$A:$B,2,0),0)</f>
        <v>0</v>
      </c>
      <c r="L888" t="str">
        <f ca="1">원본데이터_쿠팡!W8*L888/원본데이터_쿠팡!W8</f>
        <v/>
      </c>
    </row>
    <row r="889" spans="1:12" x14ac:dyDescent="0.3">
      <c r="A889" t="s">
        <v>15</v>
      </c>
      <c r="B889">
        <f>원본데이터_쿠팡!C9</f>
        <v>18100170248996</v>
      </c>
      <c r="C889" t="str">
        <f>IF(원본데이터_쿠팡!J9="","",TEXT(원본데이터_쿠팡!J9,"YYYY-MM-DD"))</f>
        <v>2026-02-09</v>
      </c>
      <c r="D889">
        <f>원본데이터_쿠팡!N9</f>
        <v>9354612220</v>
      </c>
      <c r="E889" t="str">
        <f>IFERROR(VLOOKUP(원본데이터_쿠팡!N9,채널매핑!$B:$D,3,0),"미매핑")</f>
        <v>미매핑</v>
      </c>
      <c r="F889">
        <f>IFERROR(VLOOKUP(원본데이터_쿠팡!N9,채널매핑!$B:$E,4,0),1)</f>
        <v>1</v>
      </c>
      <c r="G889">
        <f>원본데이터_쿠팡!W9</f>
        <v>1</v>
      </c>
      <c r="H889">
        <f>원본데이터_쿠팡!X9</f>
        <v>40000</v>
      </c>
      <c r="I889">
        <f>원본데이터_쿠팡!S9</f>
        <v>40000</v>
      </c>
      <c r="J889">
        <f>원본데이터_쿠팡!S9</f>
        <v>40000</v>
      </c>
      <c r="K889">
        <f>IFERROR(VLOOKUP(E889,제품마스터!$A:$B,2,0),0)</f>
        <v>0</v>
      </c>
      <c r="L889" t="str">
        <f ca="1">원본데이터_쿠팡!W9*L889/원본데이터_쿠팡!W9</f>
        <v/>
      </c>
    </row>
    <row r="890" spans="1:12" x14ac:dyDescent="0.3">
      <c r="A890" t="s">
        <v>15</v>
      </c>
      <c r="B890">
        <f>원본데이터_쿠팡!C10</f>
        <v>9100170443201</v>
      </c>
      <c r="C890" t="str">
        <f>IF(원본데이터_쿠팡!J10="","",TEXT(원본데이터_쿠팡!J10,"YYYY-MM-DD"))</f>
        <v>2026-02-10</v>
      </c>
      <c r="D890">
        <f>원본데이터_쿠팡!N10</f>
        <v>9361402632</v>
      </c>
      <c r="E890" t="str">
        <f>IFERROR(VLOOKUP(원본데이터_쿠팡!N10,채널매핑!$B:$D,3,0),"미매핑")</f>
        <v>미매핑</v>
      </c>
      <c r="F890">
        <f>IFERROR(VLOOKUP(원본데이터_쿠팡!N10,채널매핑!$B:$E,4,0),1)</f>
        <v>1</v>
      </c>
      <c r="G890">
        <f>원본데이터_쿠팡!W10</f>
        <v>1</v>
      </c>
      <c r="H890">
        <f>원본데이터_쿠팡!X10</f>
        <v>78000</v>
      </c>
      <c r="I890">
        <f>원본데이터_쿠팡!S10</f>
        <v>78000</v>
      </c>
      <c r="J890">
        <f>원본데이터_쿠팡!S10</f>
        <v>78000</v>
      </c>
      <c r="K890">
        <f>IFERROR(VLOOKUP(E890,제품마스터!$A:$B,2,0),0)</f>
        <v>0</v>
      </c>
      <c r="L890" t="str">
        <f ca="1">원본데이터_쿠팡!W10*L890/원본데이터_쿠팡!W10</f>
        <v/>
      </c>
    </row>
    <row r="891" spans="1:12" x14ac:dyDescent="0.3">
      <c r="A891" t="s">
        <v>15</v>
      </c>
      <c r="B891">
        <f>원본데이터_쿠팡!C11</f>
        <v>9100170453124</v>
      </c>
      <c r="C891" t="str">
        <f>IF(원본데이터_쿠팡!J11="","",TEXT(원본데이터_쿠팡!J11,"YYYY-MM-DD"))</f>
        <v>2026-02-10</v>
      </c>
      <c r="D891">
        <f>원본데이터_쿠팡!N11</f>
        <v>9361402632</v>
      </c>
      <c r="E891" t="str">
        <f>IFERROR(VLOOKUP(원본데이터_쿠팡!N11,채널매핑!$B:$D,3,0),"미매핑")</f>
        <v>미매핑</v>
      </c>
      <c r="F891">
        <f>IFERROR(VLOOKUP(원본데이터_쿠팡!N11,채널매핑!$B:$E,4,0),1)</f>
        <v>1</v>
      </c>
      <c r="G891">
        <f>원본데이터_쿠팡!W11</f>
        <v>1</v>
      </c>
      <c r="H891">
        <f>원본데이터_쿠팡!X11</f>
        <v>78000</v>
      </c>
      <c r="I891">
        <f>원본데이터_쿠팡!S11</f>
        <v>78000</v>
      </c>
      <c r="J891">
        <f>원본데이터_쿠팡!S11</f>
        <v>78000</v>
      </c>
      <c r="K891">
        <f>IFERROR(VLOOKUP(E891,제품마스터!$A:$B,2,0),0)</f>
        <v>0</v>
      </c>
      <c r="L891" t="str">
        <f ca="1">원본데이터_쿠팡!W11*L891/원본데이터_쿠팡!W11</f>
        <v/>
      </c>
    </row>
    <row r="892" spans="1:12" x14ac:dyDescent="0.3">
      <c r="A892" t="s">
        <v>15</v>
      </c>
      <c r="B892">
        <f>원본데이터_쿠팡!C12</f>
        <v>16100171241527</v>
      </c>
      <c r="C892" t="str">
        <f>IF(원본데이터_쿠팡!J12="","",TEXT(원본데이터_쿠팡!J12,"YYYY-MM-DD"))</f>
        <v>2026-02-10</v>
      </c>
      <c r="D892">
        <f>원본데이터_쿠팡!N12</f>
        <v>9354612220</v>
      </c>
      <c r="E892" t="str">
        <f>IFERROR(VLOOKUP(원본데이터_쿠팡!N12,채널매핑!$B:$D,3,0),"미매핑")</f>
        <v>미매핑</v>
      </c>
      <c r="F892">
        <f>IFERROR(VLOOKUP(원본데이터_쿠팡!N12,채널매핑!$B:$E,4,0),1)</f>
        <v>1</v>
      </c>
      <c r="G892">
        <f>원본데이터_쿠팡!W12</f>
        <v>1</v>
      </c>
      <c r="H892">
        <f>원본데이터_쿠팡!X12</f>
        <v>40000</v>
      </c>
      <c r="I892">
        <f>원본데이터_쿠팡!S12</f>
        <v>40000</v>
      </c>
      <c r="J892">
        <f>원본데이터_쿠팡!S12</f>
        <v>40000</v>
      </c>
      <c r="K892">
        <f>IFERROR(VLOOKUP(E892,제품마스터!$A:$B,2,0),0)</f>
        <v>0</v>
      </c>
      <c r="L892" t="str">
        <f ca="1">원본데이터_쿠팡!W12*L892/원본데이터_쿠팡!W12</f>
        <v/>
      </c>
    </row>
    <row r="893" spans="1:12" x14ac:dyDescent="0.3">
      <c r="A893" t="s">
        <v>15</v>
      </c>
      <c r="B893">
        <f>원본데이터_쿠팡!C13</f>
        <v>32100170791524</v>
      </c>
      <c r="C893" t="str">
        <f>IF(원본데이터_쿠팡!J13="","",TEXT(원본데이터_쿠팡!J13,"YYYY-MM-DD"))</f>
        <v>2026-02-11</v>
      </c>
      <c r="D893">
        <f>원본데이터_쿠팡!N13</f>
        <v>9361402632</v>
      </c>
      <c r="E893" t="str">
        <f>IFERROR(VLOOKUP(원본데이터_쿠팡!N13,채널매핑!$B:$D,3,0),"미매핑")</f>
        <v>미매핑</v>
      </c>
      <c r="F893">
        <f>IFERROR(VLOOKUP(원본데이터_쿠팡!N13,채널매핑!$B:$E,4,0),1)</f>
        <v>1</v>
      </c>
      <c r="G893">
        <f>원본데이터_쿠팡!W13</f>
        <v>1</v>
      </c>
      <c r="H893">
        <f>원본데이터_쿠팡!X13</f>
        <v>78000</v>
      </c>
      <c r="I893">
        <f>원본데이터_쿠팡!S13</f>
        <v>78000</v>
      </c>
      <c r="J893">
        <f>원본데이터_쿠팡!S13</f>
        <v>78000</v>
      </c>
      <c r="K893">
        <f>IFERROR(VLOOKUP(E893,제품마스터!$A:$B,2,0),0)</f>
        <v>0</v>
      </c>
      <c r="L893" t="str">
        <f ca="1">원본데이터_쿠팡!W13*L893/원본데이터_쿠팡!W13</f>
        <v/>
      </c>
    </row>
    <row r="894" spans="1:12" x14ac:dyDescent="0.3">
      <c r="A894" t="s">
        <v>15</v>
      </c>
      <c r="B894">
        <f>원본데이터_쿠팡!C14</f>
        <v>6100170728171</v>
      </c>
      <c r="C894" t="str">
        <f>IF(원본데이터_쿠팡!J14="","",TEXT(원본데이터_쿠팡!J14,"YYYY-MM-DD"))</f>
        <v>2026-02-11</v>
      </c>
      <c r="D894">
        <f>원본데이터_쿠팡!N14</f>
        <v>9354612220</v>
      </c>
      <c r="E894" t="str">
        <f>IFERROR(VLOOKUP(원본데이터_쿠팡!N14,채널매핑!$B:$D,3,0),"미매핑")</f>
        <v>미매핑</v>
      </c>
      <c r="F894">
        <f>IFERROR(VLOOKUP(원본데이터_쿠팡!N14,채널매핑!$B:$E,4,0),1)</f>
        <v>1</v>
      </c>
      <c r="G894">
        <f>원본데이터_쿠팡!W14</f>
        <v>1</v>
      </c>
      <c r="H894">
        <f>원본데이터_쿠팡!X14</f>
        <v>40000</v>
      </c>
      <c r="I894">
        <f>원본데이터_쿠팡!S14</f>
        <v>40000</v>
      </c>
      <c r="J894">
        <f>원본데이터_쿠팡!S14</f>
        <v>40000</v>
      </c>
      <c r="K894">
        <f>IFERROR(VLOOKUP(E894,제품마스터!$A:$B,2,0),0)</f>
        <v>0</v>
      </c>
      <c r="L894" t="str">
        <f ca="1">원본데이터_쿠팡!W14*L894/원본데이터_쿠팡!W14</f>
        <v/>
      </c>
    </row>
    <row r="895" spans="1:12" x14ac:dyDescent="0.3">
      <c r="A895" t="s">
        <v>15</v>
      </c>
      <c r="B895">
        <f>원본데이터_쿠팡!C15</f>
        <v>17100170827220</v>
      </c>
      <c r="C895" t="str">
        <f>IF(원본데이터_쿠팡!J15="","",TEXT(원본데이터_쿠팡!J15,"YYYY-MM-DD"))</f>
        <v>2026-02-11</v>
      </c>
      <c r="D895">
        <f>원본데이터_쿠팡!N15</f>
        <v>9354612220</v>
      </c>
      <c r="E895" t="str">
        <f>IFERROR(VLOOKUP(원본데이터_쿠팡!N15,채널매핑!$B:$D,3,0),"미매핑")</f>
        <v>미매핑</v>
      </c>
      <c r="F895">
        <f>IFERROR(VLOOKUP(원본데이터_쿠팡!N15,채널매핑!$B:$E,4,0),1)</f>
        <v>1</v>
      </c>
      <c r="G895">
        <f>원본데이터_쿠팡!W15</f>
        <v>2</v>
      </c>
      <c r="H895">
        <f>원본데이터_쿠팡!X15</f>
        <v>40000</v>
      </c>
      <c r="I895">
        <f>원본데이터_쿠팡!S15</f>
        <v>80000</v>
      </c>
      <c r="J895">
        <f>원본데이터_쿠팡!S15</f>
        <v>80000</v>
      </c>
      <c r="K895">
        <f>IFERROR(VLOOKUP(E895,제품마스터!$A:$B,2,0),0)</f>
        <v>0</v>
      </c>
      <c r="L895" t="str">
        <f ca="1">원본데이터_쿠팡!W15*L895/원본데이터_쿠팡!W15</f>
        <v/>
      </c>
    </row>
    <row r="896" spans="1:12" x14ac:dyDescent="0.3">
      <c r="A896" t="s">
        <v>15</v>
      </c>
      <c r="B896">
        <f>원본데이터_쿠팡!C16</f>
        <v>20100171016693</v>
      </c>
      <c r="C896" t="str">
        <f>IF(원본데이터_쿠팡!J16="","",TEXT(원본데이터_쿠팡!J16,"YYYY-MM-DD"))</f>
        <v>2026-02-11</v>
      </c>
      <c r="D896">
        <f>원본데이터_쿠팡!N16</f>
        <v>9361402619</v>
      </c>
      <c r="E896" t="str">
        <f>IFERROR(VLOOKUP(원본데이터_쿠팡!N16,채널매핑!$B:$D,3,0),"미매핑")</f>
        <v>미매핑</v>
      </c>
      <c r="F896">
        <f>IFERROR(VLOOKUP(원본데이터_쿠팡!N16,채널매핑!$B:$E,4,0),1)</f>
        <v>1</v>
      </c>
      <c r="G896">
        <f>원본데이터_쿠팡!W16</f>
        <v>1</v>
      </c>
      <c r="H896">
        <f>원본데이터_쿠팡!X16</f>
        <v>20900</v>
      </c>
      <c r="I896">
        <f>원본데이터_쿠팡!S16</f>
        <v>20900</v>
      </c>
      <c r="J896">
        <f>원본데이터_쿠팡!S16</f>
        <v>20900</v>
      </c>
      <c r="K896">
        <f>IFERROR(VLOOKUP(E896,제품마스터!$A:$B,2,0),0)</f>
        <v>0</v>
      </c>
      <c r="L896" t="str">
        <f ca="1">원본데이터_쿠팡!W16*L896/원본데이터_쿠팡!W16</f>
        <v/>
      </c>
    </row>
    <row r="897" spans="1:12" x14ac:dyDescent="0.3">
      <c r="A897" t="s">
        <v>13</v>
      </c>
      <c r="B897">
        <f>원본데이터_네이버!A2</f>
        <v>2026020586412210</v>
      </c>
      <c r="C897" t="str">
        <f>IF(원본데이터_네이버!BK2="","",TEXT(원본데이터_네이버!BK2,"YYYY-MM-DD"))</f>
        <v>2026-02-05</v>
      </c>
      <c r="D897">
        <f>원본데이터_네이버!T2</f>
        <v>13026511254</v>
      </c>
      <c r="E897" t="str">
        <f>IFERROR(VLOOKUP(원본데이터_네이버!T2,채널매핑!$B:$D,3,0),"미매핑")</f>
        <v>미매핑</v>
      </c>
      <c r="F897">
        <f>IFERROR(VLOOKUP(원본데이터_네이버!T2,채널매핑!$B:$E,4,0),1)</f>
        <v>1</v>
      </c>
      <c r="G897">
        <f>원본데이터_네이버!AA2</f>
        <v>1</v>
      </c>
      <c r="H897">
        <f>원본데이터_네이버!AC2</f>
        <v>45800</v>
      </c>
      <c r="I897">
        <f>원본데이터_네이버!AG2</f>
        <v>33900</v>
      </c>
      <c r="J897">
        <f>원본데이터_네이버!BI2</f>
        <v>31653</v>
      </c>
      <c r="K897">
        <f>IFERROR(VLOOKUP(E897,제품마스터!$A:$B,2,0),0)</f>
        <v>0</v>
      </c>
      <c r="L897">
        <f>원본데이터_네이버!AA2*K897*F897</f>
        <v>0</v>
      </c>
    </row>
    <row r="898" spans="1:12" x14ac:dyDescent="0.3">
      <c r="A898" t="s">
        <v>13</v>
      </c>
      <c r="B898">
        <f>원본데이터_네이버!A3</f>
        <v>2026020586046790</v>
      </c>
      <c r="C898" t="str">
        <f>IF(원본데이터_네이버!BK3="","",TEXT(원본데이터_네이버!BK3,"YYYY-MM-DD"))</f>
        <v>2026-02-05</v>
      </c>
      <c r="D898">
        <f>원본데이터_네이버!T3</f>
        <v>13026511253</v>
      </c>
      <c r="E898" t="str">
        <f>IFERROR(VLOOKUP(원본데이터_네이버!T3,채널매핑!$B:$D,3,0),"미매핑")</f>
        <v>미매핑</v>
      </c>
      <c r="F898">
        <f>IFERROR(VLOOKUP(원본데이터_네이버!T3,채널매핑!$B:$E,4,0),1)</f>
        <v>1</v>
      </c>
      <c r="G898">
        <f>원본데이터_네이버!AA3</f>
        <v>1</v>
      </c>
      <c r="H898">
        <f>원본데이터_네이버!AC3</f>
        <v>22900</v>
      </c>
      <c r="I898">
        <f>원본데이터_네이버!AG3</f>
        <v>17800</v>
      </c>
      <c r="J898">
        <f>원본데이터_네이버!BI3</f>
        <v>16620</v>
      </c>
      <c r="K898">
        <f>IFERROR(VLOOKUP(E898,제품마스터!$A:$B,2,0),0)</f>
        <v>0</v>
      </c>
      <c r="L898">
        <f>원본데이터_네이버!AA3*K898*F898</f>
        <v>0</v>
      </c>
    </row>
    <row r="899" spans="1:12" x14ac:dyDescent="0.3">
      <c r="A899" t="s">
        <v>13</v>
      </c>
      <c r="B899">
        <f>원본데이터_네이버!A4</f>
        <v>2026020477087660</v>
      </c>
      <c r="C899" t="str">
        <f>IF(원본데이터_네이버!BK4="","",TEXT(원본데이터_네이버!BK4,"YYYY-MM-DD"))</f>
        <v>2026-02-04</v>
      </c>
      <c r="D899">
        <f>원본데이터_네이버!T4</f>
        <v>13026511253</v>
      </c>
      <c r="E899" t="str">
        <f>IFERROR(VLOOKUP(원본데이터_네이버!T4,채널매핑!$B:$D,3,0),"미매핑")</f>
        <v>미매핑</v>
      </c>
      <c r="F899">
        <f>IFERROR(VLOOKUP(원본데이터_네이버!T4,채널매핑!$B:$E,4,0),1)</f>
        <v>1</v>
      </c>
      <c r="G899">
        <f>원본데이터_네이버!AA4</f>
        <v>1</v>
      </c>
      <c r="H899">
        <f>원본데이터_네이버!AC4</f>
        <v>22900</v>
      </c>
      <c r="I899">
        <f>원본데이터_네이버!AG4</f>
        <v>17800</v>
      </c>
      <c r="J899">
        <f>원본데이터_네이버!BI4</f>
        <v>16620</v>
      </c>
      <c r="K899">
        <f>IFERROR(VLOOKUP(E899,제품마스터!$A:$B,2,0),0)</f>
        <v>0</v>
      </c>
      <c r="L899">
        <f>원본데이터_네이버!AA4*K899*F899</f>
        <v>0</v>
      </c>
    </row>
    <row r="900" spans="1:12" x14ac:dyDescent="0.3">
      <c r="A900" t="s">
        <v>13</v>
      </c>
      <c r="B900">
        <f>원본데이터_네이버!A5</f>
        <v>2026020662700250</v>
      </c>
      <c r="C900" t="str">
        <f>IF(원본데이터_네이버!BK5="","",TEXT(원본데이터_네이버!BK5,"YYYY-MM-DD"))</f>
        <v>2026-02-06</v>
      </c>
      <c r="D900">
        <f>원본데이터_네이버!T5</f>
        <v>13026511254</v>
      </c>
      <c r="E900" t="str">
        <f>IFERROR(VLOOKUP(원본데이터_네이버!T5,채널매핑!$B:$D,3,0),"미매핑")</f>
        <v>미매핑</v>
      </c>
      <c r="F900">
        <f>IFERROR(VLOOKUP(원본데이터_네이버!T5,채널매핑!$B:$E,4,0),1)</f>
        <v>1</v>
      </c>
      <c r="G900">
        <f>원본데이터_네이버!AA5</f>
        <v>1</v>
      </c>
      <c r="H900">
        <f>원본데이터_네이버!AC5</f>
        <v>45800</v>
      </c>
      <c r="I900">
        <f>원본데이터_네이버!AG5</f>
        <v>33900</v>
      </c>
      <c r="J900">
        <f>원본데이터_네이버!BI5</f>
        <v>31653</v>
      </c>
      <c r="K900">
        <f>IFERROR(VLOOKUP(E900,제품마스터!$A:$B,2,0),0)</f>
        <v>0</v>
      </c>
      <c r="L900">
        <f>원본데이터_네이버!AA5*K900*F900</f>
        <v>0</v>
      </c>
    </row>
    <row r="901" spans="1:12" x14ac:dyDescent="0.3">
      <c r="A901" t="s">
        <v>193</v>
      </c>
      <c r="B901">
        <f>원본데이터_카카오!D2</f>
        <v>3242789909</v>
      </c>
      <c r="C901" t="str">
        <f>IF(원본데이터_카카오!X2="","",TEXT(원본데이터_카카오!X2,"YYYY-MM-DD"))</f>
        <v>2026-02-11</v>
      </c>
      <c r="D901">
        <f>원본데이터_카카오!F2</f>
        <v>691542495</v>
      </c>
      <c r="E901" t="str">
        <f>IFERROR(VLOOKUP(원본데이터_카카오!F2,채널매핑!$B:$D,3,0),"미매핑")</f>
        <v>미매핑</v>
      </c>
      <c r="F901">
        <f>IFERROR(VLOOKUP(원본데이터_카카오!F2,채널매핑!$B:$E,4,0),1)</f>
        <v>1</v>
      </c>
      <c r="G901">
        <f>원본데이터_카카오!I2</f>
        <v>1</v>
      </c>
      <c r="H901">
        <f>원본데이터_카카오!Y2</f>
        <v>22900</v>
      </c>
      <c r="I901">
        <f>원본데이터_카카오!Y2</f>
        <v>22900</v>
      </c>
      <c r="J901">
        <f>원본데이터_카카오!AC2</f>
        <v>18400</v>
      </c>
      <c r="K901">
        <f>IFERROR(VLOOKUP(E901,제품마스터!$A:$B,2,0),0)</f>
        <v>0</v>
      </c>
      <c r="L901">
        <f>원본데이터_카카오!I2*K901*F901</f>
        <v>0</v>
      </c>
    </row>
    <row r="902" spans="1:12" x14ac:dyDescent="0.3">
      <c r="A902" t="s">
        <v>193</v>
      </c>
      <c r="B902">
        <f>원본데이터_카카오!D3</f>
        <v>3242866950</v>
      </c>
      <c r="C902" t="str">
        <f>IF(원본데이터_카카오!X3="","",TEXT(원본데이터_카카오!X3,"YYYY-MM-DD"))</f>
        <v>2026-02-11</v>
      </c>
      <c r="D902">
        <f>원본데이터_카카오!F3</f>
        <v>691542495</v>
      </c>
      <c r="E902" t="str">
        <f>IFERROR(VLOOKUP(원본데이터_카카오!F3,채널매핑!$B:$D,3,0),"미매핑")</f>
        <v>미매핑</v>
      </c>
      <c r="F902">
        <f>IFERROR(VLOOKUP(원본데이터_카카오!F3,채널매핑!$B:$E,4,0),1)</f>
        <v>1</v>
      </c>
      <c r="G902">
        <f>원본데이터_카카오!I3</f>
        <v>2</v>
      </c>
      <c r="H902">
        <f>원본데이터_카카오!Y3</f>
        <v>45800</v>
      </c>
      <c r="I902">
        <f>원본데이터_카카오!Y3</f>
        <v>45800</v>
      </c>
      <c r="J902">
        <f>원본데이터_카카오!AC3</f>
        <v>37800</v>
      </c>
      <c r="K902">
        <f>IFERROR(VLOOKUP(E902,제품마스터!$A:$B,2,0),0)</f>
        <v>0</v>
      </c>
      <c r="L902">
        <f>원본데이터_카카오!I3*K902*F902</f>
        <v>0</v>
      </c>
    </row>
    <row r="903" spans="1:12" x14ac:dyDescent="0.3">
      <c r="A903" t="s">
        <v>193</v>
      </c>
      <c r="B903">
        <f>원본데이터_카카오!D4</f>
        <v>3242952358</v>
      </c>
      <c r="C903" t="str">
        <f>IF(원본데이터_카카오!X4="","",TEXT(원본데이터_카카오!X4,"YYYY-MM-DD"))</f>
        <v>2026-02-11</v>
      </c>
      <c r="D903">
        <f>원본데이터_카카오!F4</f>
        <v>691542495</v>
      </c>
      <c r="E903" t="str">
        <f>IFERROR(VLOOKUP(원본데이터_카카오!F4,채널매핑!$B:$D,3,0),"미매핑")</f>
        <v>미매핑</v>
      </c>
      <c r="F903">
        <f>IFERROR(VLOOKUP(원본데이터_카카오!F4,채널매핑!$B:$E,4,0),1)</f>
        <v>1</v>
      </c>
      <c r="G903">
        <f>원본데이터_카카오!I4</f>
        <v>1</v>
      </c>
      <c r="H903">
        <f>원본데이터_카카오!Y4</f>
        <v>22900</v>
      </c>
      <c r="I903">
        <f>원본데이터_카카오!Y4</f>
        <v>22900</v>
      </c>
      <c r="J903">
        <f>원본데이터_카카오!AC4</f>
        <v>18900</v>
      </c>
      <c r="K903">
        <f>IFERROR(VLOOKUP(E903,제품마스터!$A:$B,2,0),0)</f>
        <v>0</v>
      </c>
      <c r="L903">
        <f>원본데이터_카카오!I4*K903*F903</f>
        <v>0</v>
      </c>
    </row>
    <row r="904" spans="1:12" x14ac:dyDescent="0.3">
      <c r="A904" t="s">
        <v>193</v>
      </c>
      <c r="B904">
        <f>원본데이터_카카오!D5</f>
        <v>3242962470</v>
      </c>
      <c r="C904" t="str">
        <f>IF(원본데이터_카카오!X5="","",TEXT(원본데이터_카카오!X5,"YYYY-MM-DD"))</f>
        <v>2026-02-11</v>
      </c>
      <c r="D904">
        <f>원본데이터_카카오!F5</f>
        <v>691542495</v>
      </c>
      <c r="E904" t="str">
        <f>IFERROR(VLOOKUP(원본데이터_카카오!F5,채널매핑!$B:$D,3,0),"미매핑")</f>
        <v>미매핑</v>
      </c>
      <c r="F904">
        <f>IFERROR(VLOOKUP(원본데이터_카카오!F5,채널매핑!$B:$E,4,0),1)</f>
        <v>1</v>
      </c>
      <c r="G904">
        <f>원본데이터_카카오!I5</f>
        <v>2</v>
      </c>
      <c r="H904">
        <f>원본데이터_카카오!Y5</f>
        <v>45800</v>
      </c>
      <c r="I904">
        <f>원본데이터_카카오!Y5</f>
        <v>45800</v>
      </c>
      <c r="J904">
        <f>원본데이터_카카오!AC5</f>
        <v>37800</v>
      </c>
      <c r="K904">
        <f>IFERROR(VLOOKUP(E904,제품마스터!$A:$B,2,0),0)</f>
        <v>0</v>
      </c>
      <c r="L904">
        <f>원본데이터_카카오!I5*K904*F904</f>
        <v>0</v>
      </c>
    </row>
    <row r="905" spans="1:12" x14ac:dyDescent="0.3">
      <c r="A905" t="s">
        <v>193</v>
      </c>
      <c r="B905">
        <f>원본데이터_카카오!D6</f>
        <v>3242973875</v>
      </c>
      <c r="C905" t="str">
        <f>IF(원본데이터_카카오!X6="","",TEXT(원본데이터_카카오!X6,"YYYY-MM-DD"))</f>
        <v>2026-02-11</v>
      </c>
      <c r="D905">
        <f>원본데이터_카카오!F6</f>
        <v>691542495</v>
      </c>
      <c r="E905" t="str">
        <f>IFERROR(VLOOKUP(원본데이터_카카오!F6,채널매핑!$B:$D,3,0),"미매핑")</f>
        <v>미매핑</v>
      </c>
      <c r="F905">
        <f>IFERROR(VLOOKUP(원본데이터_카카오!F6,채널매핑!$B:$E,4,0),1)</f>
        <v>1</v>
      </c>
      <c r="G905">
        <f>원본데이터_카카오!I6</f>
        <v>2</v>
      </c>
      <c r="H905">
        <f>원본데이터_카카오!Y6</f>
        <v>45800</v>
      </c>
      <c r="I905">
        <f>원본데이터_카카오!Y6</f>
        <v>45800</v>
      </c>
      <c r="J905">
        <f>원본데이터_카카오!AC6</f>
        <v>39800</v>
      </c>
      <c r="K905">
        <f>IFERROR(VLOOKUP(E905,제품마스터!$A:$B,2,0),0)</f>
        <v>0</v>
      </c>
      <c r="L905">
        <f>원본데이터_카카오!I6*K905*F905</f>
        <v>0</v>
      </c>
    </row>
    <row r="906" spans="1:12" x14ac:dyDescent="0.3">
      <c r="A906" t="s">
        <v>196</v>
      </c>
      <c r="B906" t="str">
        <f>TEXT(원본데이터_리씽크!B2,"0")</f>
        <v>2026020510583150000</v>
      </c>
      <c r="C906" t="str">
        <f>IF(원본데이터_리씽크!A2="","",TEXT(원본데이터_리씽크!A2,"YYYY-MM-DD"))</f>
        <v>2026-02-05</v>
      </c>
      <c r="D906">
        <f>원본데이터_리씽크!S2</f>
        <v>143790</v>
      </c>
      <c r="E906" t="str">
        <f>IFERROR(VLOOKUP(원본데이터_리씽크!S2,채널매핑!$B:$D,3,0),"미매핑")</f>
        <v>SKU001</v>
      </c>
      <c r="F906">
        <f>IFERROR(VLOOKUP(원본데이터_리씽크!S2,채널매핑!$B:$E,4,0),1)</f>
        <v>4</v>
      </c>
      <c r="G906">
        <f>원본데이터_리씽크!P2</f>
        <v>1</v>
      </c>
      <c r="H906">
        <f>원본데이터_리씽크!O2</f>
        <v>45500</v>
      </c>
      <c r="I906">
        <f>원본데이터_리씽크!X2</f>
        <v>45500</v>
      </c>
      <c r="J906">
        <f>원본데이터_리씽크!X2</f>
        <v>45500</v>
      </c>
      <c r="K906" t="str">
        <f>IFERROR(VLOOKUP(E906,제품마스터!$A:$B,2,0),0)</f>
        <v>[워커힐] 시그니처 양념갈비 300G</v>
      </c>
      <c r="L906">
        <f>원본데이터_리씽크!P2*원본데이터_리씽크!Q2*F906</f>
        <v>0</v>
      </c>
    </row>
    <row r="907" spans="1:12" x14ac:dyDescent="0.3">
      <c r="A907" t="s">
        <v>196</v>
      </c>
      <c r="B907" t="str">
        <f>TEXT(원본데이터_리씽크!B3,"0")</f>
        <v>2026020510393950000</v>
      </c>
      <c r="C907" t="str">
        <f>IF(원본데이터_리씽크!A3="","",TEXT(원본데이터_리씽크!A3,"YYYY-MM-DD"))</f>
        <v>2026-02-05</v>
      </c>
      <c r="D907">
        <f>원본데이터_리씽크!S3</f>
        <v>143790</v>
      </c>
      <c r="E907" t="str">
        <f>IFERROR(VLOOKUP(원본데이터_리씽크!S3,채널매핑!$B:$D,3,0),"미매핑")</f>
        <v>SKU001</v>
      </c>
      <c r="F907">
        <f>IFERROR(VLOOKUP(원본데이터_리씽크!S3,채널매핑!$B:$E,4,0),1)</f>
        <v>4</v>
      </c>
      <c r="G907">
        <f>원본데이터_리씽크!P3</f>
        <v>1</v>
      </c>
      <c r="H907">
        <f>원본데이터_리씽크!O3</f>
        <v>45500</v>
      </c>
      <c r="I907">
        <f>원본데이터_리씽크!X3</f>
        <v>45500</v>
      </c>
      <c r="J907">
        <f>원본데이터_리씽크!X3</f>
        <v>45500</v>
      </c>
      <c r="K907" t="str">
        <f>IFERROR(VLOOKUP(E907,제품마스터!$A:$B,2,0),0)</f>
        <v>[워커힐] 시그니처 양념갈비 300G</v>
      </c>
      <c r="L907">
        <f>원본데이터_리씽크!P3*원본데이터_리씽크!Q3*F907</f>
        <v>0</v>
      </c>
    </row>
    <row r="908" spans="1:12" x14ac:dyDescent="0.3">
      <c r="A908" t="s">
        <v>196</v>
      </c>
      <c r="B908" t="str">
        <f>TEXT(원본데이터_리씽크!B4,"0")</f>
        <v>2026020510385530000</v>
      </c>
      <c r="C908" t="str">
        <f>IF(원본데이터_리씽크!A4="","",TEXT(원본데이터_리씽크!A4,"YYYY-MM-DD"))</f>
        <v>2026-02-05</v>
      </c>
      <c r="D908">
        <f>원본데이터_리씽크!S4</f>
        <v>143790</v>
      </c>
      <c r="E908" t="str">
        <f>IFERROR(VLOOKUP(원본데이터_리씽크!S4,채널매핑!$B:$D,3,0),"미매핑")</f>
        <v>SKU001</v>
      </c>
      <c r="F908">
        <f>IFERROR(VLOOKUP(원본데이터_리씽크!S4,채널매핑!$B:$E,4,0),1)</f>
        <v>4</v>
      </c>
      <c r="G908">
        <f>원본데이터_리씽크!P4</f>
        <v>1</v>
      </c>
      <c r="H908">
        <f>원본데이터_리씽크!O4</f>
        <v>45500</v>
      </c>
      <c r="I908">
        <f>원본데이터_리씽크!X4</f>
        <v>45500</v>
      </c>
      <c r="J908">
        <f>원본데이터_리씽크!X4</f>
        <v>45500</v>
      </c>
      <c r="K908" t="str">
        <f>IFERROR(VLOOKUP(E908,제품마스터!$A:$B,2,0),0)</f>
        <v>[워커힐] 시그니처 양념갈비 300G</v>
      </c>
      <c r="L908">
        <f>원본데이터_리씽크!P4*원본데이터_리씽크!Q4*F908</f>
        <v>0</v>
      </c>
    </row>
    <row r="909" spans="1:12" x14ac:dyDescent="0.3">
      <c r="A909" t="s">
        <v>196</v>
      </c>
      <c r="B909" t="str">
        <f>TEXT(원본데이터_리씽크!B5,"0")</f>
        <v>2026020510243000000</v>
      </c>
      <c r="C909" t="str">
        <f>IF(원본데이터_리씽크!A5="","",TEXT(원본데이터_리씽크!A5,"YYYY-MM-DD"))</f>
        <v>2026-02-05</v>
      </c>
      <c r="D909">
        <f>원본데이터_리씽크!S5</f>
        <v>143790</v>
      </c>
      <c r="E909" t="str">
        <f>IFERROR(VLOOKUP(원본데이터_리씽크!S5,채널매핑!$B:$D,3,0),"미매핑")</f>
        <v>SKU001</v>
      </c>
      <c r="F909">
        <f>IFERROR(VLOOKUP(원본데이터_리씽크!S5,채널매핑!$B:$E,4,0),1)</f>
        <v>4</v>
      </c>
      <c r="G909">
        <f>원본데이터_리씽크!P5</f>
        <v>1</v>
      </c>
      <c r="H909">
        <f>원본데이터_리씽크!O5</f>
        <v>45500</v>
      </c>
      <c r="I909">
        <f>원본데이터_리씽크!X5</f>
        <v>45500</v>
      </c>
      <c r="J909">
        <f>원본데이터_리씽크!X5</f>
        <v>45500</v>
      </c>
      <c r="K909" t="str">
        <f>IFERROR(VLOOKUP(E909,제품마스터!$A:$B,2,0),0)</f>
        <v>[워커힐] 시그니처 양념갈비 300G</v>
      </c>
      <c r="L909">
        <f>원본데이터_리씽크!P5*원본데이터_리씽크!Q5*F909</f>
        <v>0</v>
      </c>
    </row>
    <row r="910" spans="1:12" x14ac:dyDescent="0.3">
      <c r="A910" t="s">
        <v>196</v>
      </c>
      <c r="B910" t="str">
        <f>TEXT(원본데이터_리씽크!B6,"0")</f>
        <v>2026020510241500000</v>
      </c>
      <c r="C910" t="str">
        <f>IF(원본데이터_리씽크!A6="","",TEXT(원본데이터_리씽크!A6,"YYYY-MM-DD"))</f>
        <v>2026-02-05</v>
      </c>
      <c r="D910">
        <f>원본데이터_리씽크!S6</f>
        <v>143790</v>
      </c>
      <c r="E910" t="str">
        <f>IFERROR(VLOOKUP(원본데이터_리씽크!S6,채널매핑!$B:$D,3,0),"미매핑")</f>
        <v>SKU001</v>
      </c>
      <c r="F910">
        <f>IFERROR(VLOOKUP(원본데이터_리씽크!S6,채널매핑!$B:$E,4,0),1)</f>
        <v>4</v>
      </c>
      <c r="G910">
        <f>원본데이터_리씽크!P6</f>
        <v>1</v>
      </c>
      <c r="H910">
        <f>원본데이터_리씽크!O6</f>
        <v>45500</v>
      </c>
      <c r="I910">
        <f>원본데이터_리씽크!X6</f>
        <v>45500</v>
      </c>
      <c r="J910">
        <f>원본데이터_리씽크!X6</f>
        <v>45500</v>
      </c>
      <c r="K910" t="str">
        <f>IFERROR(VLOOKUP(E910,제품마스터!$A:$B,2,0),0)</f>
        <v>[워커힐] 시그니처 양념갈비 300G</v>
      </c>
      <c r="L910">
        <f>원본데이터_리씽크!P6*원본데이터_리씽크!Q6*F910</f>
        <v>0</v>
      </c>
    </row>
    <row r="911" spans="1:12" x14ac:dyDescent="0.3">
      <c r="A911" t="s">
        <v>196</v>
      </c>
      <c r="B911" t="str">
        <f>TEXT(원본데이터_리씽크!B7,"0")</f>
        <v>2026020510233250000</v>
      </c>
      <c r="C911" t="str">
        <f>IF(원본데이터_리씽크!A7="","",TEXT(원본데이터_리씽크!A7,"YYYY-MM-DD"))</f>
        <v>2026-02-05</v>
      </c>
      <c r="D911">
        <f>원본데이터_리씽크!S7</f>
        <v>143790</v>
      </c>
      <c r="E911" t="str">
        <f>IFERROR(VLOOKUP(원본데이터_리씽크!S7,채널매핑!$B:$D,3,0),"미매핑")</f>
        <v>SKU001</v>
      </c>
      <c r="F911">
        <f>IFERROR(VLOOKUP(원본데이터_리씽크!S7,채널매핑!$B:$E,4,0),1)</f>
        <v>4</v>
      </c>
      <c r="G911">
        <f>원본데이터_리씽크!P7</f>
        <v>1</v>
      </c>
      <c r="H911">
        <f>원본데이터_리씽크!O7</f>
        <v>45500</v>
      </c>
      <c r="I911">
        <f>원본데이터_리씽크!X7</f>
        <v>45500</v>
      </c>
      <c r="J911">
        <f>원본데이터_리씽크!X7</f>
        <v>45500</v>
      </c>
      <c r="K911" t="str">
        <f>IFERROR(VLOOKUP(E911,제품마스터!$A:$B,2,0),0)</f>
        <v>[워커힐] 시그니처 양념갈비 300G</v>
      </c>
      <c r="L911">
        <f>원본데이터_리씽크!P7*원본데이터_리씽크!Q7*F911</f>
        <v>0</v>
      </c>
    </row>
    <row r="912" spans="1:12" x14ac:dyDescent="0.3">
      <c r="A912" t="s">
        <v>196</v>
      </c>
      <c r="B912" t="str">
        <f>TEXT(원본데이터_리씽크!B8,"0")</f>
        <v>2026020510194340000</v>
      </c>
      <c r="C912" t="str">
        <f>IF(원본데이터_리씽크!A8="","",TEXT(원본데이터_리씽크!A8,"YYYY-MM-DD"))</f>
        <v>2026-02-05</v>
      </c>
      <c r="D912">
        <f>원본데이터_리씽크!S8</f>
        <v>143790</v>
      </c>
      <c r="E912" t="str">
        <f>IFERROR(VLOOKUP(원본데이터_리씽크!S8,채널매핑!$B:$D,3,0),"미매핑")</f>
        <v>SKU001</v>
      </c>
      <c r="F912">
        <f>IFERROR(VLOOKUP(원본데이터_리씽크!S8,채널매핑!$B:$E,4,0),1)</f>
        <v>4</v>
      </c>
      <c r="G912">
        <f>원본데이터_리씽크!P8</f>
        <v>2</v>
      </c>
      <c r="H912">
        <f>원본데이터_리씽크!O8</f>
        <v>45500</v>
      </c>
      <c r="I912">
        <f>원본데이터_리씽크!X8</f>
        <v>91000</v>
      </c>
      <c r="J912">
        <f>원본데이터_리씽크!X8</f>
        <v>91000</v>
      </c>
      <c r="K912" t="str">
        <f>IFERROR(VLOOKUP(E912,제품마스터!$A:$B,2,0),0)</f>
        <v>[워커힐] 시그니처 양념갈비 300G</v>
      </c>
      <c r="L912">
        <f>원본데이터_리씽크!P8*원본데이터_리씽크!Q8*F912</f>
        <v>0</v>
      </c>
    </row>
    <row r="913" spans="1:12" x14ac:dyDescent="0.3">
      <c r="A913" t="s">
        <v>196</v>
      </c>
      <c r="B913" t="str">
        <f>TEXT(원본데이터_리씽크!B9,"0")</f>
        <v>2026020510081620000</v>
      </c>
      <c r="C913" t="str">
        <f>IF(원본데이터_리씽크!A9="","",TEXT(원본데이터_리씽크!A9,"YYYY-MM-DD"))</f>
        <v>2026-02-05</v>
      </c>
      <c r="D913">
        <f>원본데이터_리씽크!S9</f>
        <v>143790</v>
      </c>
      <c r="E913" t="str">
        <f>IFERROR(VLOOKUP(원본데이터_리씽크!S9,채널매핑!$B:$D,3,0),"미매핑")</f>
        <v>SKU001</v>
      </c>
      <c r="F913">
        <f>IFERROR(VLOOKUP(원본데이터_리씽크!S9,채널매핑!$B:$E,4,0),1)</f>
        <v>4</v>
      </c>
      <c r="G913">
        <f>원본데이터_리씽크!P9</f>
        <v>1</v>
      </c>
      <c r="H913">
        <f>원본데이터_리씽크!O9</f>
        <v>45500</v>
      </c>
      <c r="I913">
        <f>원본데이터_리씽크!X9</f>
        <v>45500</v>
      </c>
      <c r="J913">
        <f>원본데이터_리씽크!X9</f>
        <v>45500</v>
      </c>
      <c r="K913" t="str">
        <f>IFERROR(VLOOKUP(E913,제품마스터!$A:$B,2,0),0)</f>
        <v>[워커힐] 시그니처 양념갈비 300G</v>
      </c>
      <c r="L913">
        <f>원본데이터_리씽크!P9*원본데이터_리씽크!Q9*F913</f>
        <v>0</v>
      </c>
    </row>
    <row r="914" spans="1:12" x14ac:dyDescent="0.3">
      <c r="A914" t="s">
        <v>196</v>
      </c>
      <c r="B914" t="str">
        <f>TEXT(원본데이터_리씽크!B10,"0")</f>
        <v>2026020510024740000</v>
      </c>
      <c r="C914" t="str">
        <f>IF(원본데이터_리씽크!A10="","",TEXT(원본데이터_리씽크!A10,"YYYY-MM-DD"))</f>
        <v>2026-02-05</v>
      </c>
      <c r="D914">
        <f>원본데이터_리씽크!S10</f>
        <v>143790</v>
      </c>
      <c r="E914" t="str">
        <f>IFERROR(VLOOKUP(원본데이터_리씽크!S10,채널매핑!$B:$D,3,0),"미매핑")</f>
        <v>SKU001</v>
      </c>
      <c r="F914">
        <f>IFERROR(VLOOKUP(원본데이터_리씽크!S10,채널매핑!$B:$E,4,0),1)</f>
        <v>4</v>
      </c>
      <c r="G914">
        <f>원본데이터_리씽크!P10</f>
        <v>1</v>
      </c>
      <c r="H914">
        <f>원본데이터_리씽크!O10</f>
        <v>45500</v>
      </c>
      <c r="I914">
        <f>원본데이터_리씽크!X10</f>
        <v>45500</v>
      </c>
      <c r="J914">
        <f>원본데이터_리씽크!X10</f>
        <v>45500</v>
      </c>
      <c r="K914" t="str">
        <f>IFERROR(VLOOKUP(E914,제품마스터!$A:$B,2,0),0)</f>
        <v>[워커힐] 시그니처 양념갈비 300G</v>
      </c>
      <c r="L914">
        <f>원본데이터_리씽크!P10*원본데이터_리씽크!Q10*F914</f>
        <v>0</v>
      </c>
    </row>
    <row r="915" spans="1:12" x14ac:dyDescent="0.3">
      <c r="A915" t="s">
        <v>196</v>
      </c>
      <c r="B915" t="str">
        <f>TEXT(원본데이터_리씽크!B11,"0")</f>
        <v>2026020509505650000</v>
      </c>
      <c r="C915" t="str">
        <f>IF(원본데이터_리씽크!A11="","",TEXT(원본데이터_리씽크!A11,"YYYY-MM-DD"))</f>
        <v>2026-02-05</v>
      </c>
      <c r="D915">
        <f>원본데이터_리씽크!S11</f>
        <v>143790</v>
      </c>
      <c r="E915" t="str">
        <f>IFERROR(VLOOKUP(원본데이터_리씽크!S11,채널매핑!$B:$D,3,0),"미매핑")</f>
        <v>SKU001</v>
      </c>
      <c r="F915">
        <f>IFERROR(VLOOKUP(원본데이터_리씽크!S11,채널매핑!$B:$E,4,0),1)</f>
        <v>4</v>
      </c>
      <c r="G915">
        <f>원본데이터_리씽크!P11</f>
        <v>1</v>
      </c>
      <c r="H915">
        <f>원본데이터_리씽크!O11</f>
        <v>45500</v>
      </c>
      <c r="I915">
        <f>원본데이터_리씽크!X11</f>
        <v>45500</v>
      </c>
      <c r="J915">
        <f>원본데이터_리씽크!X11</f>
        <v>45500</v>
      </c>
      <c r="K915" t="str">
        <f>IFERROR(VLOOKUP(E915,제품마스터!$A:$B,2,0),0)</f>
        <v>[워커힐] 시그니처 양념갈비 300G</v>
      </c>
      <c r="L915">
        <f>원본데이터_리씽크!P11*원본데이터_리씽크!Q11*F915</f>
        <v>0</v>
      </c>
    </row>
    <row r="916" spans="1:12" x14ac:dyDescent="0.3">
      <c r="A916" t="s">
        <v>196</v>
      </c>
      <c r="B916" t="str">
        <f>TEXT(원본데이터_리씽크!B12,"0")</f>
        <v>2026020509473560000</v>
      </c>
      <c r="C916" t="str">
        <f>IF(원본데이터_리씽크!A12="","",TEXT(원본데이터_리씽크!A12,"YYYY-MM-DD"))</f>
        <v>2026-02-05</v>
      </c>
      <c r="D916">
        <f>원본데이터_리씽크!S12</f>
        <v>143790</v>
      </c>
      <c r="E916" t="str">
        <f>IFERROR(VLOOKUP(원본데이터_리씽크!S12,채널매핑!$B:$D,3,0),"미매핑")</f>
        <v>SKU001</v>
      </c>
      <c r="F916">
        <f>IFERROR(VLOOKUP(원본데이터_리씽크!S12,채널매핑!$B:$E,4,0),1)</f>
        <v>4</v>
      </c>
      <c r="G916">
        <f>원본데이터_리씽크!P12</f>
        <v>1</v>
      </c>
      <c r="H916">
        <f>원본데이터_리씽크!O12</f>
        <v>45500</v>
      </c>
      <c r="I916">
        <f>원본데이터_리씽크!X12</f>
        <v>45500</v>
      </c>
      <c r="J916">
        <f>원본데이터_리씽크!X12</f>
        <v>45500</v>
      </c>
      <c r="K916" t="str">
        <f>IFERROR(VLOOKUP(E916,제품마스터!$A:$B,2,0),0)</f>
        <v>[워커힐] 시그니처 양념갈비 300G</v>
      </c>
      <c r="L916">
        <f>원본데이터_리씽크!P12*원본데이터_리씽크!Q12*F916</f>
        <v>0</v>
      </c>
    </row>
    <row r="917" spans="1:12" x14ac:dyDescent="0.3">
      <c r="A917" t="s">
        <v>196</v>
      </c>
      <c r="B917" t="str">
        <f>TEXT(원본데이터_리씽크!B13,"0")</f>
        <v>2026020509430600000</v>
      </c>
      <c r="C917" t="str">
        <f>IF(원본데이터_리씽크!A13="","",TEXT(원본데이터_리씽크!A13,"YYYY-MM-DD"))</f>
        <v>2026-02-05</v>
      </c>
      <c r="D917">
        <f>원본데이터_리씽크!S13</f>
        <v>143790</v>
      </c>
      <c r="E917" t="str">
        <f>IFERROR(VLOOKUP(원본데이터_리씽크!S13,채널매핑!$B:$D,3,0),"미매핑")</f>
        <v>SKU001</v>
      </c>
      <c r="F917">
        <f>IFERROR(VLOOKUP(원본데이터_리씽크!S13,채널매핑!$B:$E,4,0),1)</f>
        <v>4</v>
      </c>
      <c r="G917">
        <f>원본데이터_리씽크!P13</f>
        <v>1</v>
      </c>
      <c r="H917">
        <f>원본데이터_리씽크!O13</f>
        <v>45500</v>
      </c>
      <c r="I917">
        <f>원본데이터_리씽크!X13</f>
        <v>45500</v>
      </c>
      <c r="J917">
        <f>원본데이터_리씽크!X13</f>
        <v>45500</v>
      </c>
      <c r="K917" t="str">
        <f>IFERROR(VLOOKUP(E917,제품마스터!$A:$B,2,0),0)</f>
        <v>[워커힐] 시그니처 양념갈비 300G</v>
      </c>
      <c r="L917">
        <f>원본데이터_리씽크!P13*원본데이터_리씽크!Q13*F917</f>
        <v>0</v>
      </c>
    </row>
    <row r="918" spans="1:12" x14ac:dyDescent="0.3">
      <c r="A918" t="s">
        <v>196</v>
      </c>
      <c r="B918" t="str">
        <f>TEXT(원본데이터_리씽크!B14,"0")</f>
        <v>2026020509433700000</v>
      </c>
      <c r="C918" t="str">
        <f>IF(원본데이터_리씽크!A14="","",TEXT(원본데이터_리씽크!A14,"YYYY-MM-DD"))</f>
        <v>2026-02-05</v>
      </c>
      <c r="D918">
        <f>원본데이터_리씽크!S14</f>
        <v>143790</v>
      </c>
      <c r="E918" t="str">
        <f>IFERROR(VLOOKUP(원본데이터_리씽크!S14,채널매핑!$B:$D,3,0),"미매핑")</f>
        <v>SKU001</v>
      </c>
      <c r="F918">
        <f>IFERROR(VLOOKUP(원본데이터_리씽크!S14,채널매핑!$B:$E,4,0),1)</f>
        <v>4</v>
      </c>
      <c r="G918">
        <f>원본데이터_리씽크!P14</f>
        <v>1</v>
      </c>
      <c r="H918">
        <f>원본데이터_리씽크!O14</f>
        <v>45500</v>
      </c>
      <c r="I918">
        <f>원본데이터_리씽크!X14</f>
        <v>45500</v>
      </c>
      <c r="J918">
        <f>원본데이터_리씽크!X14</f>
        <v>45500</v>
      </c>
      <c r="K918" t="str">
        <f>IFERROR(VLOOKUP(E918,제품마스터!$A:$B,2,0),0)</f>
        <v>[워커힐] 시그니처 양념갈비 300G</v>
      </c>
      <c r="L918">
        <f>원본데이터_리씽크!P14*원본데이터_리씽크!Q14*F918</f>
        <v>0</v>
      </c>
    </row>
    <row r="919" spans="1:12" x14ac:dyDescent="0.3">
      <c r="A919" t="s">
        <v>196</v>
      </c>
      <c r="B919" t="str">
        <f>TEXT(원본데이터_리씽크!B15,"0")</f>
        <v>2026020509423090000</v>
      </c>
      <c r="C919" t="str">
        <f>IF(원본데이터_리씽크!A15="","",TEXT(원본데이터_리씽크!A15,"YYYY-MM-DD"))</f>
        <v>2026-02-05</v>
      </c>
      <c r="D919">
        <f>원본데이터_리씽크!S15</f>
        <v>143790</v>
      </c>
      <c r="E919" t="str">
        <f>IFERROR(VLOOKUP(원본데이터_리씽크!S15,채널매핑!$B:$D,3,0),"미매핑")</f>
        <v>SKU001</v>
      </c>
      <c r="F919">
        <f>IFERROR(VLOOKUP(원본데이터_리씽크!S15,채널매핑!$B:$E,4,0),1)</f>
        <v>4</v>
      </c>
      <c r="G919">
        <f>원본데이터_리씽크!P15</f>
        <v>1</v>
      </c>
      <c r="H919">
        <f>원본데이터_리씽크!O15</f>
        <v>45500</v>
      </c>
      <c r="I919">
        <f>원본데이터_리씽크!X15</f>
        <v>45500</v>
      </c>
      <c r="J919">
        <f>원본데이터_리씽크!X15</f>
        <v>45500</v>
      </c>
      <c r="K919" t="str">
        <f>IFERROR(VLOOKUP(E919,제품마스터!$A:$B,2,0),0)</f>
        <v>[워커힐] 시그니처 양념갈비 300G</v>
      </c>
      <c r="L919">
        <f>원본데이터_리씽크!P15*원본데이터_리씽크!Q15*F919</f>
        <v>0</v>
      </c>
    </row>
    <row r="920" spans="1:12" x14ac:dyDescent="0.3">
      <c r="A920" t="s">
        <v>196</v>
      </c>
      <c r="B920" t="str">
        <f>TEXT(원본데이터_리씽크!B16,"0")</f>
        <v>2026020509383150000</v>
      </c>
      <c r="C920" t="str">
        <f>IF(원본데이터_리씽크!A16="","",TEXT(원본데이터_리씽크!A16,"YYYY-MM-DD"))</f>
        <v>2026-02-05</v>
      </c>
      <c r="D920">
        <f>원본데이터_리씽크!S16</f>
        <v>143790</v>
      </c>
      <c r="E920" t="str">
        <f>IFERROR(VLOOKUP(원본데이터_리씽크!S16,채널매핑!$B:$D,3,0),"미매핑")</f>
        <v>SKU001</v>
      </c>
      <c r="F920">
        <f>IFERROR(VLOOKUP(원본데이터_리씽크!S16,채널매핑!$B:$E,4,0),1)</f>
        <v>4</v>
      </c>
      <c r="G920">
        <f>원본데이터_리씽크!P16</f>
        <v>2</v>
      </c>
      <c r="H920">
        <f>원본데이터_리씽크!O16</f>
        <v>45500</v>
      </c>
      <c r="I920">
        <f>원본데이터_리씽크!X16</f>
        <v>91000</v>
      </c>
      <c r="J920">
        <f>원본데이터_리씽크!X16</f>
        <v>91000</v>
      </c>
      <c r="K920" t="str">
        <f>IFERROR(VLOOKUP(E920,제품마스터!$A:$B,2,0),0)</f>
        <v>[워커힐] 시그니처 양념갈비 300G</v>
      </c>
      <c r="L920">
        <f>원본데이터_리씽크!P16*원본데이터_리씽크!Q16*F920</f>
        <v>0</v>
      </c>
    </row>
    <row r="921" spans="1:12" x14ac:dyDescent="0.3">
      <c r="A921" t="s">
        <v>196</v>
      </c>
      <c r="B921" t="str">
        <f>TEXT(원본데이터_리씽크!B17,"0")</f>
        <v>2026020509332860000</v>
      </c>
      <c r="C921" t="str">
        <f>IF(원본데이터_리씽크!A17="","",TEXT(원본데이터_리씽크!A17,"YYYY-MM-DD"))</f>
        <v>2026-02-05</v>
      </c>
      <c r="D921">
        <f>원본데이터_리씽크!S17</f>
        <v>143790</v>
      </c>
      <c r="E921" t="str">
        <f>IFERROR(VLOOKUP(원본데이터_리씽크!S17,채널매핑!$B:$D,3,0),"미매핑")</f>
        <v>SKU001</v>
      </c>
      <c r="F921">
        <f>IFERROR(VLOOKUP(원본데이터_리씽크!S17,채널매핑!$B:$E,4,0),1)</f>
        <v>4</v>
      </c>
      <c r="G921">
        <f>원본데이터_리씽크!P17</f>
        <v>1</v>
      </c>
      <c r="H921">
        <f>원본데이터_리씽크!O17</f>
        <v>45500</v>
      </c>
      <c r="I921">
        <f>원본데이터_리씽크!X17</f>
        <v>45500</v>
      </c>
      <c r="J921">
        <f>원본데이터_리씽크!X17</f>
        <v>45500</v>
      </c>
      <c r="K921" t="str">
        <f>IFERROR(VLOOKUP(E921,제품마스터!$A:$B,2,0),0)</f>
        <v>[워커힐] 시그니처 양념갈비 300G</v>
      </c>
      <c r="L921">
        <f>원본데이터_리씽크!P17*원본데이터_리씽크!Q17*F921</f>
        <v>0</v>
      </c>
    </row>
    <row r="922" spans="1:12" x14ac:dyDescent="0.3">
      <c r="A922" t="s">
        <v>196</v>
      </c>
      <c r="B922" t="str">
        <f>TEXT(원본데이터_리씽크!B18,"0")</f>
        <v>2026020509301060000</v>
      </c>
      <c r="C922" t="str">
        <f>IF(원본데이터_리씽크!A18="","",TEXT(원본데이터_리씽크!A18,"YYYY-MM-DD"))</f>
        <v>2026-02-05</v>
      </c>
      <c r="D922">
        <f>원본데이터_리씽크!S18</f>
        <v>143790</v>
      </c>
      <c r="E922" t="str">
        <f>IFERROR(VLOOKUP(원본데이터_리씽크!S18,채널매핑!$B:$D,3,0),"미매핑")</f>
        <v>SKU001</v>
      </c>
      <c r="F922">
        <f>IFERROR(VLOOKUP(원본데이터_리씽크!S18,채널매핑!$B:$E,4,0),1)</f>
        <v>4</v>
      </c>
      <c r="G922">
        <f>원본데이터_리씽크!P18</f>
        <v>1</v>
      </c>
      <c r="H922">
        <f>원본데이터_리씽크!O18</f>
        <v>45500</v>
      </c>
      <c r="I922">
        <f>원본데이터_리씽크!X18</f>
        <v>45500</v>
      </c>
      <c r="J922">
        <f>원본데이터_리씽크!X18</f>
        <v>45500</v>
      </c>
      <c r="K922" t="str">
        <f>IFERROR(VLOOKUP(E922,제품마스터!$A:$B,2,0),0)</f>
        <v>[워커힐] 시그니처 양념갈비 300G</v>
      </c>
      <c r="L922">
        <f>원본데이터_리씽크!P18*원본데이터_리씽크!Q18*F922</f>
        <v>0</v>
      </c>
    </row>
    <row r="923" spans="1:12" x14ac:dyDescent="0.3">
      <c r="A923" t="s">
        <v>196</v>
      </c>
      <c r="B923" t="str">
        <f>TEXT(원본데이터_리씽크!B19,"0")</f>
        <v>2026020509252640000</v>
      </c>
      <c r="C923" t="str">
        <f>IF(원본데이터_리씽크!A19="","",TEXT(원본데이터_리씽크!A19,"YYYY-MM-DD"))</f>
        <v>2026-02-05</v>
      </c>
      <c r="D923">
        <f>원본데이터_리씽크!S19</f>
        <v>143790</v>
      </c>
      <c r="E923" t="str">
        <f>IFERROR(VLOOKUP(원본데이터_리씽크!S19,채널매핑!$B:$D,3,0),"미매핑")</f>
        <v>SKU001</v>
      </c>
      <c r="F923">
        <f>IFERROR(VLOOKUP(원본데이터_리씽크!S19,채널매핑!$B:$E,4,0),1)</f>
        <v>4</v>
      </c>
      <c r="G923">
        <f>원본데이터_리씽크!P19</f>
        <v>1</v>
      </c>
      <c r="H923">
        <f>원본데이터_리씽크!O19</f>
        <v>45500</v>
      </c>
      <c r="I923">
        <f>원본데이터_리씽크!X19</f>
        <v>45500</v>
      </c>
      <c r="J923">
        <f>원본데이터_리씽크!X19</f>
        <v>45500</v>
      </c>
      <c r="K923" t="str">
        <f>IFERROR(VLOOKUP(E923,제품마스터!$A:$B,2,0),0)</f>
        <v>[워커힐] 시그니처 양념갈비 300G</v>
      </c>
      <c r="L923">
        <f>원본데이터_리씽크!P19*원본데이터_리씽크!Q19*F923</f>
        <v>0</v>
      </c>
    </row>
    <row r="924" spans="1:12" x14ac:dyDescent="0.3">
      <c r="A924" t="s">
        <v>196</v>
      </c>
      <c r="B924" t="str">
        <f>TEXT(원본데이터_리씽크!B20,"0")</f>
        <v>2026020509193270000</v>
      </c>
      <c r="C924" t="str">
        <f>IF(원본데이터_리씽크!A20="","",TEXT(원본데이터_리씽크!A20,"YYYY-MM-DD"))</f>
        <v>2026-02-05</v>
      </c>
      <c r="D924">
        <f>원본데이터_리씽크!S20</f>
        <v>143790</v>
      </c>
      <c r="E924" t="str">
        <f>IFERROR(VLOOKUP(원본데이터_리씽크!S20,채널매핑!$B:$D,3,0),"미매핑")</f>
        <v>SKU001</v>
      </c>
      <c r="F924">
        <f>IFERROR(VLOOKUP(원본데이터_리씽크!S20,채널매핑!$B:$E,4,0),1)</f>
        <v>4</v>
      </c>
      <c r="G924">
        <f>원본데이터_리씽크!P20</f>
        <v>1</v>
      </c>
      <c r="H924">
        <f>원본데이터_리씽크!O20</f>
        <v>45500</v>
      </c>
      <c r="I924">
        <f>원본데이터_리씽크!X20</f>
        <v>45500</v>
      </c>
      <c r="J924">
        <f>원본데이터_리씽크!X20</f>
        <v>45500</v>
      </c>
      <c r="K924" t="str">
        <f>IFERROR(VLOOKUP(E924,제품마스터!$A:$B,2,0),0)</f>
        <v>[워커힐] 시그니처 양념갈비 300G</v>
      </c>
      <c r="L924">
        <f>원본데이터_리씽크!P20*원본데이터_리씽크!Q20*F924</f>
        <v>0</v>
      </c>
    </row>
    <row r="925" spans="1:12" x14ac:dyDescent="0.3">
      <c r="A925" t="s">
        <v>196</v>
      </c>
      <c r="B925" t="str">
        <f>TEXT(원본데이터_리씽크!B21,"0")</f>
        <v>2026020509162630000</v>
      </c>
      <c r="C925" t="str">
        <f>IF(원본데이터_리씽크!A21="","",TEXT(원본데이터_리씽크!A21,"YYYY-MM-DD"))</f>
        <v>2026-02-05</v>
      </c>
      <c r="D925">
        <f>원본데이터_리씽크!S21</f>
        <v>143790</v>
      </c>
      <c r="E925" t="str">
        <f>IFERROR(VLOOKUP(원본데이터_리씽크!S21,채널매핑!$B:$D,3,0),"미매핑")</f>
        <v>SKU001</v>
      </c>
      <c r="F925">
        <f>IFERROR(VLOOKUP(원본데이터_리씽크!S21,채널매핑!$B:$E,4,0),1)</f>
        <v>4</v>
      </c>
      <c r="G925">
        <f>원본데이터_리씽크!P21</f>
        <v>1</v>
      </c>
      <c r="H925">
        <f>원본데이터_리씽크!O21</f>
        <v>45500</v>
      </c>
      <c r="I925">
        <f>원본데이터_리씽크!X21</f>
        <v>45500</v>
      </c>
      <c r="J925">
        <f>원본데이터_리씽크!X21</f>
        <v>45500</v>
      </c>
      <c r="K925" t="str">
        <f>IFERROR(VLOOKUP(E925,제품마스터!$A:$B,2,0),0)</f>
        <v>[워커힐] 시그니처 양념갈비 300G</v>
      </c>
      <c r="L925">
        <f>원본데이터_리씽크!P21*원본데이터_리씽크!Q21*F925</f>
        <v>0</v>
      </c>
    </row>
    <row r="926" spans="1:12" x14ac:dyDescent="0.3">
      <c r="A926" t="s">
        <v>196</v>
      </c>
      <c r="B926" t="str">
        <f>TEXT(원본데이터_리씽크!B22,"0")</f>
        <v>2026020509130320000</v>
      </c>
      <c r="C926" t="str">
        <f>IF(원본데이터_리씽크!A22="","",TEXT(원본데이터_리씽크!A22,"YYYY-MM-DD"))</f>
        <v>2026-02-05</v>
      </c>
      <c r="D926">
        <f>원본데이터_리씽크!S22</f>
        <v>143790</v>
      </c>
      <c r="E926" t="str">
        <f>IFERROR(VLOOKUP(원본데이터_리씽크!S22,채널매핑!$B:$D,3,0),"미매핑")</f>
        <v>SKU001</v>
      </c>
      <c r="F926">
        <f>IFERROR(VLOOKUP(원본데이터_리씽크!S22,채널매핑!$B:$E,4,0),1)</f>
        <v>4</v>
      </c>
      <c r="G926">
        <f>원본데이터_리씽크!P22</f>
        <v>1</v>
      </c>
      <c r="H926">
        <f>원본데이터_리씽크!O22</f>
        <v>45500</v>
      </c>
      <c r="I926">
        <f>원본데이터_리씽크!X22</f>
        <v>45500</v>
      </c>
      <c r="J926">
        <f>원본데이터_리씽크!X22</f>
        <v>45500</v>
      </c>
      <c r="K926" t="str">
        <f>IFERROR(VLOOKUP(E926,제품마스터!$A:$B,2,0),0)</f>
        <v>[워커힐] 시그니처 양념갈비 300G</v>
      </c>
      <c r="L926">
        <f>원본데이터_리씽크!P22*원본데이터_리씽크!Q22*F926</f>
        <v>0</v>
      </c>
    </row>
    <row r="927" spans="1:12" x14ac:dyDescent="0.3">
      <c r="A927" t="s">
        <v>196</v>
      </c>
      <c r="B927" t="str">
        <f>TEXT(원본데이터_리씽크!B23,"0")</f>
        <v>2026020509125200000</v>
      </c>
      <c r="C927" t="str">
        <f>IF(원본데이터_리씽크!A23="","",TEXT(원본데이터_리씽크!A23,"YYYY-MM-DD"))</f>
        <v>2026-02-05</v>
      </c>
      <c r="D927">
        <f>원본데이터_리씽크!S23</f>
        <v>143790</v>
      </c>
      <c r="E927" t="str">
        <f>IFERROR(VLOOKUP(원본데이터_리씽크!S23,채널매핑!$B:$D,3,0),"미매핑")</f>
        <v>SKU001</v>
      </c>
      <c r="F927">
        <f>IFERROR(VLOOKUP(원본데이터_리씽크!S23,채널매핑!$B:$E,4,0),1)</f>
        <v>4</v>
      </c>
      <c r="G927">
        <f>원본데이터_리씽크!P23</f>
        <v>1</v>
      </c>
      <c r="H927">
        <f>원본데이터_리씽크!O23</f>
        <v>45500</v>
      </c>
      <c r="I927">
        <f>원본데이터_리씽크!X23</f>
        <v>45500</v>
      </c>
      <c r="J927">
        <f>원본데이터_리씽크!X23</f>
        <v>45500</v>
      </c>
      <c r="K927" t="str">
        <f>IFERROR(VLOOKUP(E927,제품마스터!$A:$B,2,0),0)</f>
        <v>[워커힐] 시그니처 양념갈비 300G</v>
      </c>
      <c r="L927">
        <f>원본데이터_리씽크!P23*원본데이터_리씽크!Q23*F927</f>
        <v>0</v>
      </c>
    </row>
    <row r="928" spans="1:12" x14ac:dyDescent="0.3">
      <c r="A928" t="s">
        <v>196</v>
      </c>
      <c r="B928" t="str">
        <f>TEXT(원본데이터_리씽크!B24,"0")</f>
        <v>2026020509084270000</v>
      </c>
      <c r="C928" t="str">
        <f>IF(원본데이터_리씽크!A24="","",TEXT(원본데이터_리씽크!A24,"YYYY-MM-DD"))</f>
        <v>2026-02-05</v>
      </c>
      <c r="D928">
        <f>원본데이터_리씽크!S24</f>
        <v>143790</v>
      </c>
      <c r="E928" t="str">
        <f>IFERROR(VLOOKUP(원본데이터_리씽크!S24,채널매핑!$B:$D,3,0),"미매핑")</f>
        <v>SKU001</v>
      </c>
      <c r="F928">
        <f>IFERROR(VLOOKUP(원본데이터_리씽크!S24,채널매핑!$B:$E,4,0),1)</f>
        <v>4</v>
      </c>
      <c r="G928">
        <f>원본데이터_리씽크!P24</f>
        <v>1</v>
      </c>
      <c r="H928">
        <f>원본데이터_리씽크!O24</f>
        <v>45500</v>
      </c>
      <c r="I928">
        <f>원본데이터_리씽크!X24</f>
        <v>45500</v>
      </c>
      <c r="J928">
        <f>원본데이터_리씽크!X24</f>
        <v>45500</v>
      </c>
      <c r="K928" t="str">
        <f>IFERROR(VLOOKUP(E928,제품마스터!$A:$B,2,0),0)</f>
        <v>[워커힐] 시그니처 양념갈비 300G</v>
      </c>
      <c r="L928">
        <f>원본데이터_리씽크!P24*원본데이터_리씽크!Q24*F928</f>
        <v>0</v>
      </c>
    </row>
    <row r="929" spans="1:12" x14ac:dyDescent="0.3">
      <c r="A929" t="s">
        <v>196</v>
      </c>
      <c r="B929" t="str">
        <f>TEXT(원본데이터_리씽크!B25,"0")</f>
        <v>2026020509074030000</v>
      </c>
      <c r="C929" t="str">
        <f>IF(원본데이터_리씽크!A25="","",TEXT(원본데이터_리씽크!A25,"YYYY-MM-DD"))</f>
        <v>2026-02-05</v>
      </c>
      <c r="D929">
        <f>원본데이터_리씽크!S25</f>
        <v>143790</v>
      </c>
      <c r="E929" t="str">
        <f>IFERROR(VLOOKUP(원본데이터_리씽크!S25,채널매핑!$B:$D,3,0),"미매핑")</f>
        <v>SKU001</v>
      </c>
      <c r="F929">
        <f>IFERROR(VLOOKUP(원본데이터_리씽크!S25,채널매핑!$B:$E,4,0),1)</f>
        <v>4</v>
      </c>
      <c r="G929">
        <f>원본데이터_리씽크!P25</f>
        <v>1</v>
      </c>
      <c r="H929">
        <f>원본데이터_리씽크!O25</f>
        <v>45500</v>
      </c>
      <c r="I929">
        <f>원본데이터_리씽크!X25</f>
        <v>45500</v>
      </c>
      <c r="J929">
        <f>원본데이터_리씽크!X25</f>
        <v>45500</v>
      </c>
      <c r="K929" t="str">
        <f>IFERROR(VLOOKUP(E929,제품마스터!$A:$B,2,0),0)</f>
        <v>[워커힐] 시그니처 양념갈비 300G</v>
      </c>
      <c r="L929">
        <f>원본데이터_리씽크!P25*원본데이터_리씽크!Q25*F929</f>
        <v>0</v>
      </c>
    </row>
    <row r="930" spans="1:12" x14ac:dyDescent="0.3">
      <c r="A930" t="s">
        <v>196</v>
      </c>
      <c r="B930" t="str">
        <f>TEXT(원본데이터_리씽크!B26,"0")</f>
        <v>2026020509034770000</v>
      </c>
      <c r="C930" t="str">
        <f>IF(원본데이터_리씽크!A26="","",TEXT(원본데이터_리씽크!A26,"YYYY-MM-DD"))</f>
        <v>2026-02-05</v>
      </c>
      <c r="D930">
        <f>원본데이터_리씽크!S26</f>
        <v>143790</v>
      </c>
      <c r="E930" t="str">
        <f>IFERROR(VLOOKUP(원본데이터_리씽크!S26,채널매핑!$B:$D,3,0),"미매핑")</f>
        <v>SKU001</v>
      </c>
      <c r="F930">
        <f>IFERROR(VLOOKUP(원본데이터_리씽크!S26,채널매핑!$B:$E,4,0),1)</f>
        <v>4</v>
      </c>
      <c r="G930">
        <f>원본데이터_리씽크!P26</f>
        <v>1</v>
      </c>
      <c r="H930">
        <f>원본데이터_리씽크!O26</f>
        <v>45500</v>
      </c>
      <c r="I930">
        <f>원본데이터_리씽크!X26</f>
        <v>45500</v>
      </c>
      <c r="J930">
        <f>원본데이터_리씽크!X26</f>
        <v>45500</v>
      </c>
      <c r="K930" t="str">
        <f>IFERROR(VLOOKUP(E930,제품마스터!$A:$B,2,0),0)</f>
        <v>[워커힐] 시그니처 양념갈비 300G</v>
      </c>
      <c r="L930">
        <f>원본데이터_리씽크!P26*원본데이터_리씽크!Q26*F930</f>
        <v>0</v>
      </c>
    </row>
    <row r="931" spans="1:12" x14ac:dyDescent="0.3">
      <c r="A931" t="s">
        <v>196</v>
      </c>
      <c r="B931" t="str">
        <f>TEXT(원본데이터_리씽크!B27,"0")</f>
        <v>2026020509005460000</v>
      </c>
      <c r="C931" t="str">
        <f>IF(원본데이터_리씽크!A27="","",TEXT(원본데이터_리씽크!A27,"YYYY-MM-DD"))</f>
        <v>2026-02-05</v>
      </c>
      <c r="D931">
        <f>원본데이터_리씽크!S27</f>
        <v>143790</v>
      </c>
      <c r="E931" t="str">
        <f>IFERROR(VLOOKUP(원본데이터_리씽크!S27,채널매핑!$B:$D,3,0),"미매핑")</f>
        <v>SKU001</v>
      </c>
      <c r="F931">
        <f>IFERROR(VLOOKUP(원본데이터_리씽크!S27,채널매핑!$B:$E,4,0),1)</f>
        <v>4</v>
      </c>
      <c r="G931">
        <f>원본데이터_리씽크!P27</f>
        <v>2</v>
      </c>
      <c r="H931">
        <f>원본데이터_리씽크!O27</f>
        <v>45500</v>
      </c>
      <c r="I931">
        <f>원본데이터_리씽크!X27</f>
        <v>91000</v>
      </c>
      <c r="J931">
        <f>원본데이터_리씽크!X27</f>
        <v>91000</v>
      </c>
      <c r="K931" t="str">
        <f>IFERROR(VLOOKUP(E931,제품마스터!$A:$B,2,0),0)</f>
        <v>[워커힐] 시그니처 양념갈비 300G</v>
      </c>
      <c r="L931">
        <f>원본데이터_리씽크!P27*원본데이터_리씽크!Q27*F931</f>
        <v>0</v>
      </c>
    </row>
    <row r="932" spans="1:12" x14ac:dyDescent="0.3">
      <c r="A932" t="s">
        <v>196</v>
      </c>
      <c r="B932" t="str">
        <f>TEXT(원본데이터_리씽크!B28,"0")</f>
        <v>2026020509001650000</v>
      </c>
      <c r="C932" t="str">
        <f>IF(원본데이터_리씽크!A28="","",TEXT(원본데이터_리씽크!A28,"YYYY-MM-DD"))</f>
        <v>2026-02-05</v>
      </c>
      <c r="D932">
        <f>원본데이터_리씽크!S28</f>
        <v>143790</v>
      </c>
      <c r="E932" t="str">
        <f>IFERROR(VLOOKUP(원본데이터_리씽크!S28,채널매핑!$B:$D,3,0),"미매핑")</f>
        <v>SKU001</v>
      </c>
      <c r="F932">
        <f>IFERROR(VLOOKUP(원본데이터_리씽크!S28,채널매핑!$B:$E,4,0),1)</f>
        <v>4</v>
      </c>
      <c r="G932">
        <f>원본데이터_리씽크!P28</f>
        <v>1</v>
      </c>
      <c r="H932">
        <f>원본데이터_리씽크!O28</f>
        <v>45500</v>
      </c>
      <c r="I932">
        <f>원본데이터_리씽크!X28</f>
        <v>45500</v>
      </c>
      <c r="J932">
        <f>원본데이터_리씽크!X28</f>
        <v>45500</v>
      </c>
      <c r="K932" t="str">
        <f>IFERROR(VLOOKUP(E932,제품마스터!$A:$B,2,0),0)</f>
        <v>[워커힐] 시그니처 양념갈비 300G</v>
      </c>
      <c r="L932">
        <f>원본데이터_리씽크!P28*원본데이터_리씽크!Q28*F932</f>
        <v>0</v>
      </c>
    </row>
    <row r="933" spans="1:12" x14ac:dyDescent="0.3">
      <c r="A933" t="s">
        <v>196</v>
      </c>
      <c r="B933" t="str">
        <f>TEXT(원본데이터_리씽크!B29,"0")</f>
        <v>2026020508372780000</v>
      </c>
      <c r="C933" t="str">
        <f>IF(원본데이터_리씽크!A29="","",TEXT(원본데이터_리씽크!A29,"YYYY-MM-DD"))</f>
        <v>2026-02-05</v>
      </c>
      <c r="D933">
        <f>원본데이터_리씽크!S29</f>
        <v>143790</v>
      </c>
      <c r="E933" t="str">
        <f>IFERROR(VLOOKUP(원본데이터_리씽크!S29,채널매핑!$B:$D,3,0),"미매핑")</f>
        <v>SKU001</v>
      </c>
      <c r="F933">
        <f>IFERROR(VLOOKUP(원본데이터_리씽크!S29,채널매핑!$B:$E,4,0),1)</f>
        <v>4</v>
      </c>
      <c r="G933">
        <f>원본데이터_리씽크!P29</f>
        <v>3</v>
      </c>
      <c r="H933">
        <f>원본데이터_리씽크!O29</f>
        <v>45500</v>
      </c>
      <c r="I933">
        <f>원본데이터_리씽크!X29</f>
        <v>136500</v>
      </c>
      <c r="J933">
        <f>원본데이터_리씽크!X29</f>
        <v>136500</v>
      </c>
      <c r="K933" t="str">
        <f>IFERROR(VLOOKUP(E933,제품마스터!$A:$B,2,0),0)</f>
        <v>[워커힐] 시그니처 양념갈비 300G</v>
      </c>
      <c r="L933">
        <f>원본데이터_리씽크!P29*원본데이터_리씽크!Q29*F933</f>
        <v>0</v>
      </c>
    </row>
    <row r="934" spans="1:12" x14ac:dyDescent="0.3">
      <c r="A934" t="s">
        <v>196</v>
      </c>
      <c r="B934" t="str">
        <f>TEXT(원본데이터_리씽크!B30,"0")</f>
        <v>2026020508542720000</v>
      </c>
      <c r="C934" t="str">
        <f>IF(원본데이터_리씽크!A30="","",TEXT(원본데이터_리씽크!A30,"YYYY-MM-DD"))</f>
        <v>2026-02-05</v>
      </c>
      <c r="D934">
        <f>원본데이터_리씽크!S30</f>
        <v>143790</v>
      </c>
      <c r="E934" t="str">
        <f>IFERROR(VLOOKUP(원본데이터_리씽크!S30,채널매핑!$B:$D,3,0),"미매핑")</f>
        <v>SKU001</v>
      </c>
      <c r="F934">
        <f>IFERROR(VLOOKUP(원본데이터_리씽크!S30,채널매핑!$B:$E,4,0),1)</f>
        <v>4</v>
      </c>
      <c r="G934">
        <f>원본데이터_리씽크!P30</f>
        <v>1</v>
      </c>
      <c r="H934">
        <f>원본데이터_리씽크!O30</f>
        <v>45500</v>
      </c>
      <c r="I934">
        <f>원본데이터_리씽크!X30</f>
        <v>45500</v>
      </c>
      <c r="J934">
        <f>원본데이터_리씽크!X30</f>
        <v>45500</v>
      </c>
      <c r="K934" t="str">
        <f>IFERROR(VLOOKUP(E934,제품마스터!$A:$B,2,0),0)</f>
        <v>[워커힐] 시그니처 양념갈비 300G</v>
      </c>
      <c r="L934">
        <f>원본데이터_리씽크!P30*원본데이터_리씽크!Q30*F934</f>
        <v>0</v>
      </c>
    </row>
    <row r="935" spans="1:12" x14ac:dyDescent="0.3">
      <c r="A935" t="s">
        <v>196</v>
      </c>
      <c r="B935" t="str">
        <f>TEXT(원본데이터_리씽크!B31,"0")</f>
        <v>2026020508544750000</v>
      </c>
      <c r="C935" t="str">
        <f>IF(원본데이터_리씽크!A31="","",TEXT(원본데이터_리씽크!A31,"YYYY-MM-DD"))</f>
        <v>2026-02-05</v>
      </c>
      <c r="D935">
        <f>원본데이터_리씽크!S31</f>
        <v>143790</v>
      </c>
      <c r="E935" t="str">
        <f>IFERROR(VLOOKUP(원본데이터_리씽크!S31,채널매핑!$B:$D,3,0),"미매핑")</f>
        <v>SKU001</v>
      </c>
      <c r="F935">
        <f>IFERROR(VLOOKUP(원본데이터_리씽크!S31,채널매핑!$B:$E,4,0),1)</f>
        <v>4</v>
      </c>
      <c r="G935">
        <f>원본데이터_리씽크!P31</f>
        <v>1</v>
      </c>
      <c r="H935">
        <f>원본데이터_리씽크!O31</f>
        <v>45500</v>
      </c>
      <c r="I935">
        <f>원본데이터_리씽크!X31</f>
        <v>45500</v>
      </c>
      <c r="J935">
        <f>원본데이터_리씽크!X31</f>
        <v>45500</v>
      </c>
      <c r="K935" t="str">
        <f>IFERROR(VLOOKUP(E935,제품마스터!$A:$B,2,0),0)</f>
        <v>[워커힐] 시그니처 양념갈비 300G</v>
      </c>
      <c r="L935">
        <f>원본데이터_리씽크!P31*원본데이터_리씽크!Q31*F935</f>
        <v>0</v>
      </c>
    </row>
    <row r="936" spans="1:12" x14ac:dyDescent="0.3">
      <c r="A936" t="s">
        <v>196</v>
      </c>
      <c r="B936" t="str">
        <f>TEXT(원본데이터_리씽크!B32,"0")</f>
        <v>2026020508471370000</v>
      </c>
      <c r="C936" t="str">
        <f>IF(원본데이터_리씽크!A32="","",TEXT(원본데이터_리씽크!A32,"YYYY-MM-DD"))</f>
        <v>2026-02-05</v>
      </c>
      <c r="D936">
        <f>원본데이터_리씽크!S32</f>
        <v>143790</v>
      </c>
      <c r="E936" t="str">
        <f>IFERROR(VLOOKUP(원본데이터_리씽크!S32,채널매핑!$B:$D,3,0),"미매핑")</f>
        <v>SKU001</v>
      </c>
      <c r="F936">
        <f>IFERROR(VLOOKUP(원본데이터_리씽크!S32,채널매핑!$B:$E,4,0),1)</f>
        <v>4</v>
      </c>
      <c r="G936">
        <f>원본데이터_리씽크!P32</f>
        <v>1</v>
      </c>
      <c r="H936">
        <f>원본데이터_리씽크!O32</f>
        <v>45500</v>
      </c>
      <c r="I936">
        <f>원본데이터_리씽크!X32</f>
        <v>45500</v>
      </c>
      <c r="J936">
        <f>원본데이터_리씽크!X32</f>
        <v>45500</v>
      </c>
      <c r="K936" t="str">
        <f>IFERROR(VLOOKUP(E936,제품마스터!$A:$B,2,0),0)</f>
        <v>[워커힐] 시그니처 양념갈비 300G</v>
      </c>
      <c r="L936">
        <f>원본데이터_리씽크!P32*원본데이터_리씽크!Q32*F936</f>
        <v>0</v>
      </c>
    </row>
    <row r="937" spans="1:12" x14ac:dyDescent="0.3">
      <c r="A937" t="s">
        <v>196</v>
      </c>
      <c r="B937" t="str">
        <f>TEXT(원본데이터_리씽크!B33,"0")</f>
        <v>2026020508493890000</v>
      </c>
      <c r="C937" t="str">
        <f>IF(원본데이터_리씽크!A33="","",TEXT(원본데이터_리씽크!A33,"YYYY-MM-DD"))</f>
        <v>2026-02-05</v>
      </c>
      <c r="D937">
        <f>원본데이터_리씽크!S33</f>
        <v>143790</v>
      </c>
      <c r="E937" t="str">
        <f>IFERROR(VLOOKUP(원본데이터_리씽크!S33,채널매핑!$B:$D,3,0),"미매핑")</f>
        <v>SKU001</v>
      </c>
      <c r="F937">
        <f>IFERROR(VLOOKUP(원본데이터_리씽크!S33,채널매핑!$B:$E,4,0),1)</f>
        <v>4</v>
      </c>
      <c r="G937">
        <f>원본데이터_리씽크!P33</f>
        <v>1</v>
      </c>
      <c r="H937">
        <f>원본데이터_리씽크!O33</f>
        <v>45500</v>
      </c>
      <c r="I937">
        <f>원본데이터_리씽크!X33</f>
        <v>45500</v>
      </c>
      <c r="J937">
        <f>원본데이터_리씽크!X33</f>
        <v>45500</v>
      </c>
      <c r="K937" t="str">
        <f>IFERROR(VLOOKUP(E937,제품마스터!$A:$B,2,0),0)</f>
        <v>[워커힐] 시그니처 양념갈비 300G</v>
      </c>
      <c r="L937">
        <f>원본데이터_리씽크!P33*원본데이터_리씽크!Q33*F937</f>
        <v>0</v>
      </c>
    </row>
    <row r="938" spans="1:12" x14ac:dyDescent="0.3">
      <c r="A938" t="s">
        <v>196</v>
      </c>
      <c r="B938" t="str">
        <f>TEXT(원본데이터_리씽크!B34,"0")</f>
        <v>2026020508483490000</v>
      </c>
      <c r="C938" t="str">
        <f>IF(원본데이터_리씽크!A34="","",TEXT(원본데이터_리씽크!A34,"YYYY-MM-DD"))</f>
        <v>2026-02-05</v>
      </c>
      <c r="D938">
        <f>원본데이터_리씽크!S34</f>
        <v>143790</v>
      </c>
      <c r="E938" t="str">
        <f>IFERROR(VLOOKUP(원본데이터_리씽크!S34,채널매핑!$B:$D,3,0),"미매핑")</f>
        <v>SKU001</v>
      </c>
      <c r="F938">
        <f>IFERROR(VLOOKUP(원본데이터_리씽크!S34,채널매핑!$B:$E,4,0),1)</f>
        <v>4</v>
      </c>
      <c r="G938">
        <f>원본데이터_리씽크!P34</f>
        <v>1</v>
      </c>
      <c r="H938">
        <f>원본데이터_리씽크!O34</f>
        <v>45500</v>
      </c>
      <c r="I938">
        <f>원본데이터_리씽크!X34</f>
        <v>45500</v>
      </c>
      <c r="J938">
        <f>원본데이터_리씽크!X34</f>
        <v>45500</v>
      </c>
      <c r="K938" t="str">
        <f>IFERROR(VLOOKUP(E938,제품마스터!$A:$B,2,0),0)</f>
        <v>[워커힐] 시그니처 양념갈비 300G</v>
      </c>
      <c r="L938">
        <f>원본데이터_리씽크!P34*원본데이터_리씽크!Q34*F938</f>
        <v>0</v>
      </c>
    </row>
    <row r="939" spans="1:12" x14ac:dyDescent="0.3">
      <c r="A939" t="s">
        <v>196</v>
      </c>
      <c r="B939" t="str">
        <f>TEXT(원본데이터_리씽크!B35,"0")</f>
        <v>2026020508450990000</v>
      </c>
      <c r="C939" t="str">
        <f>IF(원본데이터_리씽크!A35="","",TEXT(원본데이터_리씽크!A35,"YYYY-MM-DD"))</f>
        <v>2026-02-05</v>
      </c>
      <c r="D939">
        <f>원본데이터_리씽크!S35</f>
        <v>143790</v>
      </c>
      <c r="E939" t="str">
        <f>IFERROR(VLOOKUP(원본데이터_리씽크!S35,채널매핑!$B:$D,3,0),"미매핑")</f>
        <v>SKU001</v>
      </c>
      <c r="F939">
        <f>IFERROR(VLOOKUP(원본데이터_리씽크!S35,채널매핑!$B:$E,4,0),1)</f>
        <v>4</v>
      </c>
      <c r="G939">
        <f>원본데이터_리씽크!P35</f>
        <v>1</v>
      </c>
      <c r="H939">
        <f>원본데이터_리씽크!O35</f>
        <v>45500</v>
      </c>
      <c r="I939">
        <f>원본데이터_리씽크!X35</f>
        <v>45500</v>
      </c>
      <c r="J939">
        <f>원본데이터_리씽크!X35</f>
        <v>45500</v>
      </c>
      <c r="K939" t="str">
        <f>IFERROR(VLOOKUP(E939,제품마스터!$A:$B,2,0),0)</f>
        <v>[워커힐] 시그니처 양념갈비 300G</v>
      </c>
      <c r="L939">
        <f>원본데이터_리씽크!P35*원본데이터_리씽크!Q35*F939</f>
        <v>0</v>
      </c>
    </row>
    <row r="940" spans="1:12" x14ac:dyDescent="0.3">
      <c r="A940" t="s">
        <v>196</v>
      </c>
      <c r="B940" t="str">
        <f>TEXT(원본데이터_리씽크!B36,"0")</f>
        <v>2026020508421250000</v>
      </c>
      <c r="C940" t="str">
        <f>IF(원본데이터_리씽크!A36="","",TEXT(원본데이터_리씽크!A36,"YYYY-MM-DD"))</f>
        <v>2026-02-05</v>
      </c>
      <c r="D940">
        <f>원본데이터_리씽크!S36</f>
        <v>143790</v>
      </c>
      <c r="E940" t="str">
        <f>IFERROR(VLOOKUP(원본데이터_리씽크!S36,채널매핑!$B:$D,3,0),"미매핑")</f>
        <v>SKU001</v>
      </c>
      <c r="F940">
        <f>IFERROR(VLOOKUP(원본데이터_리씽크!S36,채널매핑!$B:$E,4,0),1)</f>
        <v>4</v>
      </c>
      <c r="G940">
        <f>원본데이터_리씽크!P36</f>
        <v>1</v>
      </c>
      <c r="H940">
        <f>원본데이터_리씽크!O36</f>
        <v>45500</v>
      </c>
      <c r="I940">
        <f>원본데이터_리씽크!X36</f>
        <v>45500</v>
      </c>
      <c r="J940">
        <f>원본데이터_리씽크!X36</f>
        <v>45500</v>
      </c>
      <c r="K940" t="str">
        <f>IFERROR(VLOOKUP(E940,제품마스터!$A:$B,2,0),0)</f>
        <v>[워커힐] 시그니처 양념갈비 300G</v>
      </c>
      <c r="L940">
        <f>원본데이터_리씽크!P36*원본데이터_리씽크!Q36*F940</f>
        <v>0</v>
      </c>
    </row>
    <row r="941" spans="1:12" x14ac:dyDescent="0.3">
      <c r="A941" t="s">
        <v>196</v>
      </c>
      <c r="B941" t="str">
        <f>TEXT(원본데이터_리씽크!B37,"0")</f>
        <v>2026020508432630000</v>
      </c>
      <c r="C941" t="str">
        <f>IF(원본데이터_리씽크!A37="","",TEXT(원본데이터_리씽크!A37,"YYYY-MM-DD"))</f>
        <v>2026-02-05</v>
      </c>
      <c r="D941">
        <f>원본데이터_리씽크!S37</f>
        <v>143790</v>
      </c>
      <c r="E941" t="str">
        <f>IFERROR(VLOOKUP(원본데이터_리씽크!S37,채널매핑!$B:$D,3,0),"미매핑")</f>
        <v>SKU001</v>
      </c>
      <c r="F941">
        <f>IFERROR(VLOOKUP(원본데이터_리씽크!S37,채널매핑!$B:$E,4,0),1)</f>
        <v>4</v>
      </c>
      <c r="G941">
        <f>원본데이터_리씽크!P37</f>
        <v>1</v>
      </c>
      <c r="H941">
        <f>원본데이터_리씽크!O37</f>
        <v>45500</v>
      </c>
      <c r="I941">
        <f>원본데이터_리씽크!X37</f>
        <v>45500</v>
      </c>
      <c r="J941">
        <f>원본데이터_리씽크!X37</f>
        <v>45500</v>
      </c>
      <c r="K941" t="str">
        <f>IFERROR(VLOOKUP(E941,제품마스터!$A:$B,2,0),0)</f>
        <v>[워커힐] 시그니처 양념갈비 300G</v>
      </c>
      <c r="L941">
        <f>원본데이터_리씽크!P37*원본데이터_리씽크!Q37*F941</f>
        <v>0</v>
      </c>
    </row>
    <row r="942" spans="1:12" x14ac:dyDescent="0.3">
      <c r="A942" t="s">
        <v>196</v>
      </c>
      <c r="B942" t="str">
        <f>TEXT(원본데이터_리씽크!B38,"0")</f>
        <v>2026020508334800000</v>
      </c>
      <c r="C942" t="str">
        <f>IF(원본데이터_리씽크!A38="","",TEXT(원본데이터_리씽크!A38,"YYYY-MM-DD"))</f>
        <v>2026-02-05</v>
      </c>
      <c r="D942">
        <f>원본데이터_리씽크!S38</f>
        <v>143790</v>
      </c>
      <c r="E942" t="str">
        <f>IFERROR(VLOOKUP(원본데이터_리씽크!S38,채널매핑!$B:$D,3,0),"미매핑")</f>
        <v>SKU001</v>
      </c>
      <c r="F942">
        <f>IFERROR(VLOOKUP(원본데이터_리씽크!S38,채널매핑!$B:$E,4,0),1)</f>
        <v>4</v>
      </c>
      <c r="G942">
        <f>원본데이터_리씽크!P38</f>
        <v>1</v>
      </c>
      <c r="H942">
        <f>원본데이터_리씽크!O38</f>
        <v>45500</v>
      </c>
      <c r="I942">
        <f>원본데이터_리씽크!X38</f>
        <v>45500</v>
      </c>
      <c r="J942">
        <f>원본데이터_리씽크!X38</f>
        <v>45500</v>
      </c>
      <c r="K942" t="str">
        <f>IFERROR(VLOOKUP(E942,제품마스터!$A:$B,2,0),0)</f>
        <v>[워커힐] 시그니처 양념갈비 300G</v>
      </c>
      <c r="L942">
        <f>원본데이터_리씽크!P38*원본데이터_리씽크!Q38*F942</f>
        <v>0</v>
      </c>
    </row>
    <row r="943" spans="1:12" x14ac:dyDescent="0.3">
      <c r="A943" t="s">
        <v>196</v>
      </c>
      <c r="B943" t="str">
        <f>TEXT(원본데이터_리씽크!B39,"0")</f>
        <v>2026020508392550000</v>
      </c>
      <c r="C943" t="str">
        <f>IF(원본데이터_리씽크!A39="","",TEXT(원본데이터_리씽크!A39,"YYYY-MM-DD"))</f>
        <v>2026-02-05</v>
      </c>
      <c r="D943">
        <f>원본데이터_리씽크!S39</f>
        <v>143790</v>
      </c>
      <c r="E943" t="str">
        <f>IFERROR(VLOOKUP(원본데이터_리씽크!S39,채널매핑!$B:$D,3,0),"미매핑")</f>
        <v>SKU001</v>
      </c>
      <c r="F943">
        <f>IFERROR(VLOOKUP(원본데이터_리씽크!S39,채널매핑!$B:$E,4,0),1)</f>
        <v>4</v>
      </c>
      <c r="G943">
        <f>원본데이터_리씽크!P39</f>
        <v>1</v>
      </c>
      <c r="H943">
        <f>원본데이터_리씽크!O39</f>
        <v>45500</v>
      </c>
      <c r="I943">
        <f>원본데이터_리씽크!X39</f>
        <v>45500</v>
      </c>
      <c r="J943">
        <f>원본데이터_리씽크!X39</f>
        <v>45500</v>
      </c>
      <c r="K943" t="str">
        <f>IFERROR(VLOOKUP(E943,제품마스터!$A:$B,2,0),0)</f>
        <v>[워커힐] 시그니처 양념갈비 300G</v>
      </c>
      <c r="L943">
        <f>원본데이터_리씽크!P39*원본데이터_리씽크!Q39*F943</f>
        <v>0</v>
      </c>
    </row>
    <row r="944" spans="1:12" x14ac:dyDescent="0.3">
      <c r="A944" t="s">
        <v>196</v>
      </c>
      <c r="B944" t="str">
        <f>TEXT(원본데이터_리씽크!B40,"0")</f>
        <v>2026020508351650000</v>
      </c>
      <c r="C944" t="str">
        <f>IF(원본데이터_리씽크!A40="","",TEXT(원본데이터_리씽크!A40,"YYYY-MM-DD"))</f>
        <v>2026-02-05</v>
      </c>
      <c r="D944">
        <f>원본데이터_리씽크!S40</f>
        <v>143790</v>
      </c>
      <c r="E944" t="str">
        <f>IFERROR(VLOOKUP(원본데이터_리씽크!S40,채널매핑!$B:$D,3,0),"미매핑")</f>
        <v>SKU001</v>
      </c>
      <c r="F944">
        <f>IFERROR(VLOOKUP(원본데이터_리씽크!S40,채널매핑!$B:$E,4,0),1)</f>
        <v>4</v>
      </c>
      <c r="G944">
        <f>원본데이터_리씽크!P40</f>
        <v>2</v>
      </c>
      <c r="H944">
        <f>원본데이터_리씽크!O40</f>
        <v>45500</v>
      </c>
      <c r="I944">
        <f>원본데이터_리씽크!X40</f>
        <v>91000</v>
      </c>
      <c r="J944">
        <f>원본데이터_리씽크!X40</f>
        <v>91000</v>
      </c>
      <c r="K944" t="str">
        <f>IFERROR(VLOOKUP(E944,제품마스터!$A:$B,2,0),0)</f>
        <v>[워커힐] 시그니처 양념갈비 300G</v>
      </c>
      <c r="L944">
        <f>원본데이터_리씽크!P40*원본데이터_리씽크!Q40*F944</f>
        <v>0</v>
      </c>
    </row>
    <row r="945" spans="1:12" x14ac:dyDescent="0.3">
      <c r="A945" t="s">
        <v>196</v>
      </c>
      <c r="B945" t="str">
        <f>TEXT(원본데이터_리씽크!B41,"0")</f>
        <v>2026020508363370000</v>
      </c>
      <c r="C945" t="str">
        <f>IF(원본데이터_리씽크!A41="","",TEXT(원본데이터_리씽크!A41,"YYYY-MM-DD"))</f>
        <v>2026-02-05</v>
      </c>
      <c r="D945">
        <f>원본데이터_리씽크!S41</f>
        <v>143790</v>
      </c>
      <c r="E945" t="str">
        <f>IFERROR(VLOOKUP(원본데이터_리씽크!S41,채널매핑!$B:$D,3,0),"미매핑")</f>
        <v>SKU001</v>
      </c>
      <c r="F945">
        <f>IFERROR(VLOOKUP(원본데이터_리씽크!S41,채널매핑!$B:$E,4,0),1)</f>
        <v>4</v>
      </c>
      <c r="G945">
        <f>원본데이터_리씽크!P41</f>
        <v>1</v>
      </c>
      <c r="H945">
        <f>원본데이터_리씽크!O41</f>
        <v>45500</v>
      </c>
      <c r="I945">
        <f>원본데이터_리씽크!X41</f>
        <v>45500</v>
      </c>
      <c r="J945">
        <f>원본데이터_리씽크!X41</f>
        <v>45500</v>
      </c>
      <c r="K945" t="str">
        <f>IFERROR(VLOOKUP(E945,제품마스터!$A:$B,2,0),0)</f>
        <v>[워커힐] 시그니처 양념갈비 300G</v>
      </c>
      <c r="L945">
        <f>원본데이터_리씽크!P41*원본데이터_리씽크!Q41*F945</f>
        <v>0</v>
      </c>
    </row>
    <row r="946" spans="1:12" x14ac:dyDescent="0.3">
      <c r="A946" t="s">
        <v>196</v>
      </c>
      <c r="B946" t="str">
        <f>TEXT(원본데이터_리씽크!B42,"0")</f>
        <v>2026020508331060000</v>
      </c>
      <c r="C946" t="str">
        <f>IF(원본데이터_리씽크!A42="","",TEXT(원본데이터_리씽크!A42,"YYYY-MM-DD"))</f>
        <v>2026-02-05</v>
      </c>
      <c r="D946">
        <f>원본데이터_리씽크!S42</f>
        <v>143790</v>
      </c>
      <c r="E946" t="str">
        <f>IFERROR(VLOOKUP(원본데이터_리씽크!S42,채널매핑!$B:$D,3,0),"미매핑")</f>
        <v>SKU001</v>
      </c>
      <c r="F946">
        <f>IFERROR(VLOOKUP(원본데이터_리씽크!S42,채널매핑!$B:$E,4,0),1)</f>
        <v>4</v>
      </c>
      <c r="G946">
        <f>원본데이터_리씽크!P42</f>
        <v>1</v>
      </c>
      <c r="H946">
        <f>원본데이터_리씽크!O42</f>
        <v>45500</v>
      </c>
      <c r="I946">
        <f>원본데이터_리씽크!X42</f>
        <v>45500</v>
      </c>
      <c r="J946">
        <f>원본데이터_리씽크!X42</f>
        <v>45500</v>
      </c>
      <c r="K946" t="str">
        <f>IFERROR(VLOOKUP(E946,제품마스터!$A:$B,2,0),0)</f>
        <v>[워커힐] 시그니처 양념갈비 300G</v>
      </c>
      <c r="L946">
        <f>원본데이터_리씽크!P42*원본데이터_리씽크!Q42*F946</f>
        <v>0</v>
      </c>
    </row>
    <row r="947" spans="1:12" x14ac:dyDescent="0.3">
      <c r="A947" t="s">
        <v>196</v>
      </c>
      <c r="B947" t="str">
        <f>TEXT(원본데이터_리씽크!B43,"0")</f>
        <v>2026020508321900000</v>
      </c>
      <c r="C947" t="str">
        <f>IF(원본데이터_리씽크!A43="","",TEXT(원본데이터_리씽크!A43,"YYYY-MM-DD"))</f>
        <v>2026-02-05</v>
      </c>
      <c r="D947">
        <f>원본데이터_리씽크!S43</f>
        <v>143790</v>
      </c>
      <c r="E947" t="str">
        <f>IFERROR(VLOOKUP(원본데이터_리씽크!S43,채널매핑!$B:$D,3,0),"미매핑")</f>
        <v>SKU001</v>
      </c>
      <c r="F947">
        <f>IFERROR(VLOOKUP(원본데이터_리씽크!S43,채널매핑!$B:$E,4,0),1)</f>
        <v>4</v>
      </c>
      <c r="G947">
        <f>원본데이터_리씽크!P43</f>
        <v>1</v>
      </c>
      <c r="H947">
        <f>원본데이터_리씽크!O43</f>
        <v>45500</v>
      </c>
      <c r="I947">
        <f>원본데이터_리씽크!X43</f>
        <v>45500</v>
      </c>
      <c r="J947">
        <f>원본데이터_리씽크!X43</f>
        <v>45500</v>
      </c>
      <c r="K947" t="str">
        <f>IFERROR(VLOOKUP(E947,제품마스터!$A:$B,2,0),0)</f>
        <v>[워커힐] 시그니처 양념갈비 300G</v>
      </c>
      <c r="L947">
        <f>원본데이터_리씽크!P43*원본데이터_리씽크!Q43*F947</f>
        <v>0</v>
      </c>
    </row>
    <row r="948" spans="1:12" x14ac:dyDescent="0.3">
      <c r="A948" t="s">
        <v>196</v>
      </c>
      <c r="B948" t="str">
        <f>TEXT(원본데이터_리씽크!B44,"0")</f>
        <v>2026020508330260000</v>
      </c>
      <c r="C948" t="str">
        <f>IF(원본데이터_리씽크!A44="","",TEXT(원본데이터_리씽크!A44,"YYYY-MM-DD"))</f>
        <v>2026-02-05</v>
      </c>
      <c r="D948">
        <f>원본데이터_리씽크!S44</f>
        <v>143790</v>
      </c>
      <c r="E948" t="str">
        <f>IFERROR(VLOOKUP(원본데이터_리씽크!S44,채널매핑!$B:$D,3,0),"미매핑")</f>
        <v>SKU001</v>
      </c>
      <c r="F948">
        <f>IFERROR(VLOOKUP(원본데이터_리씽크!S44,채널매핑!$B:$E,4,0),1)</f>
        <v>4</v>
      </c>
      <c r="G948">
        <f>원본데이터_리씽크!P44</f>
        <v>1</v>
      </c>
      <c r="H948">
        <f>원본데이터_리씽크!O44</f>
        <v>45500</v>
      </c>
      <c r="I948">
        <f>원본데이터_리씽크!X44</f>
        <v>45500</v>
      </c>
      <c r="J948">
        <f>원본데이터_리씽크!X44</f>
        <v>45500</v>
      </c>
      <c r="K948" t="str">
        <f>IFERROR(VLOOKUP(E948,제품마스터!$A:$B,2,0),0)</f>
        <v>[워커힐] 시그니처 양념갈비 300G</v>
      </c>
      <c r="L948">
        <f>원본데이터_리씽크!P44*원본데이터_리씽크!Q44*F948</f>
        <v>0</v>
      </c>
    </row>
    <row r="949" spans="1:12" x14ac:dyDescent="0.3">
      <c r="A949" t="s">
        <v>196</v>
      </c>
      <c r="B949" t="str">
        <f>TEXT(원본데이터_리씽크!B45,"0")</f>
        <v>2026020508301250000</v>
      </c>
      <c r="C949" t="str">
        <f>IF(원본데이터_리씽크!A45="","",TEXT(원본데이터_리씽크!A45,"YYYY-MM-DD"))</f>
        <v>2026-02-05</v>
      </c>
      <c r="D949">
        <f>원본데이터_리씽크!S45</f>
        <v>143790</v>
      </c>
      <c r="E949" t="str">
        <f>IFERROR(VLOOKUP(원본데이터_리씽크!S45,채널매핑!$B:$D,3,0),"미매핑")</f>
        <v>SKU001</v>
      </c>
      <c r="F949">
        <f>IFERROR(VLOOKUP(원본데이터_리씽크!S45,채널매핑!$B:$E,4,0),1)</f>
        <v>4</v>
      </c>
      <c r="G949">
        <f>원본데이터_리씽크!P45</f>
        <v>1</v>
      </c>
      <c r="H949">
        <f>원본데이터_리씽크!O45</f>
        <v>45500</v>
      </c>
      <c r="I949">
        <f>원본데이터_리씽크!X45</f>
        <v>45500</v>
      </c>
      <c r="J949">
        <f>원본데이터_리씽크!X45</f>
        <v>45500</v>
      </c>
      <c r="K949" t="str">
        <f>IFERROR(VLOOKUP(E949,제품마스터!$A:$B,2,0),0)</f>
        <v>[워커힐] 시그니처 양념갈비 300G</v>
      </c>
      <c r="L949">
        <f>원본데이터_리씽크!P45*원본데이터_리씽크!Q45*F949</f>
        <v>0</v>
      </c>
    </row>
    <row r="950" spans="1:12" x14ac:dyDescent="0.3">
      <c r="A950" t="s">
        <v>196</v>
      </c>
      <c r="B950" t="str">
        <f>TEXT(원본데이터_리씽크!B46,"0")</f>
        <v>2026020508294670000</v>
      </c>
      <c r="C950" t="str">
        <f>IF(원본데이터_리씽크!A46="","",TEXT(원본데이터_리씽크!A46,"YYYY-MM-DD"))</f>
        <v>2026-02-05</v>
      </c>
      <c r="D950">
        <f>원본데이터_리씽크!S46</f>
        <v>143790</v>
      </c>
      <c r="E950" t="str">
        <f>IFERROR(VLOOKUP(원본데이터_리씽크!S46,채널매핑!$B:$D,3,0),"미매핑")</f>
        <v>SKU001</v>
      </c>
      <c r="F950">
        <f>IFERROR(VLOOKUP(원본데이터_리씽크!S46,채널매핑!$B:$E,4,0),1)</f>
        <v>4</v>
      </c>
      <c r="G950">
        <f>원본데이터_리씽크!P46</f>
        <v>1</v>
      </c>
      <c r="H950">
        <f>원본데이터_리씽크!O46</f>
        <v>45500</v>
      </c>
      <c r="I950">
        <f>원본데이터_리씽크!X46</f>
        <v>45500</v>
      </c>
      <c r="J950">
        <f>원본데이터_리씽크!X46</f>
        <v>45500</v>
      </c>
      <c r="K950" t="str">
        <f>IFERROR(VLOOKUP(E950,제품마스터!$A:$B,2,0),0)</f>
        <v>[워커힐] 시그니처 양념갈비 300G</v>
      </c>
      <c r="L950">
        <f>원본데이터_리씽크!P46*원본데이터_리씽크!Q46*F950</f>
        <v>0</v>
      </c>
    </row>
    <row r="951" spans="1:12" x14ac:dyDescent="0.3">
      <c r="A951" t="s">
        <v>196</v>
      </c>
      <c r="B951" t="str">
        <f>TEXT(원본데이터_리씽크!B47,"0")</f>
        <v>2026020508254500000</v>
      </c>
      <c r="C951" t="str">
        <f>IF(원본데이터_리씽크!A47="","",TEXT(원본데이터_리씽크!A47,"YYYY-MM-DD"))</f>
        <v>2026-02-05</v>
      </c>
      <c r="D951">
        <f>원본데이터_리씽크!S47</f>
        <v>143790</v>
      </c>
      <c r="E951" t="str">
        <f>IFERROR(VLOOKUP(원본데이터_리씽크!S47,채널매핑!$B:$D,3,0),"미매핑")</f>
        <v>SKU001</v>
      </c>
      <c r="F951">
        <f>IFERROR(VLOOKUP(원본데이터_리씽크!S47,채널매핑!$B:$E,4,0),1)</f>
        <v>4</v>
      </c>
      <c r="G951">
        <f>원본데이터_리씽크!P47</f>
        <v>1</v>
      </c>
      <c r="H951">
        <f>원본데이터_리씽크!O47</f>
        <v>45500</v>
      </c>
      <c r="I951">
        <f>원본데이터_리씽크!X47</f>
        <v>45500</v>
      </c>
      <c r="J951">
        <f>원본데이터_리씽크!X47</f>
        <v>45500</v>
      </c>
      <c r="K951" t="str">
        <f>IFERROR(VLOOKUP(E951,제품마스터!$A:$B,2,0),0)</f>
        <v>[워커힐] 시그니처 양념갈비 300G</v>
      </c>
      <c r="L951">
        <f>원본데이터_리씽크!P47*원본데이터_리씽크!Q47*F951</f>
        <v>0</v>
      </c>
    </row>
    <row r="952" spans="1:12" x14ac:dyDescent="0.3">
      <c r="A952" t="s">
        <v>196</v>
      </c>
      <c r="B952" t="str">
        <f>TEXT(원본데이터_리씽크!B48,"0")</f>
        <v>2026020508284140000</v>
      </c>
      <c r="C952" t="str">
        <f>IF(원본데이터_리씽크!A48="","",TEXT(원본데이터_리씽크!A48,"YYYY-MM-DD"))</f>
        <v>2026-02-05</v>
      </c>
      <c r="D952">
        <f>원본데이터_리씽크!S48</f>
        <v>143790</v>
      </c>
      <c r="E952" t="str">
        <f>IFERROR(VLOOKUP(원본데이터_리씽크!S48,채널매핑!$B:$D,3,0),"미매핑")</f>
        <v>SKU001</v>
      </c>
      <c r="F952">
        <f>IFERROR(VLOOKUP(원본데이터_리씽크!S48,채널매핑!$B:$E,4,0),1)</f>
        <v>4</v>
      </c>
      <c r="G952">
        <f>원본데이터_리씽크!P48</f>
        <v>1</v>
      </c>
      <c r="H952">
        <f>원본데이터_리씽크!O48</f>
        <v>45500</v>
      </c>
      <c r="I952">
        <f>원본데이터_리씽크!X48</f>
        <v>45500</v>
      </c>
      <c r="J952">
        <f>원본데이터_리씽크!X48</f>
        <v>45500</v>
      </c>
      <c r="K952" t="str">
        <f>IFERROR(VLOOKUP(E952,제품마스터!$A:$B,2,0),0)</f>
        <v>[워커힐] 시그니처 양념갈비 300G</v>
      </c>
      <c r="L952">
        <f>원본데이터_리씽크!P48*원본데이터_리씽크!Q48*F952</f>
        <v>0</v>
      </c>
    </row>
    <row r="953" spans="1:12" x14ac:dyDescent="0.3">
      <c r="A953" t="s">
        <v>196</v>
      </c>
      <c r="B953" t="str">
        <f>TEXT(원본데이터_리씽크!B49,"0")</f>
        <v>2026020508235190000</v>
      </c>
      <c r="C953" t="str">
        <f>IF(원본데이터_리씽크!A49="","",TEXT(원본데이터_리씽크!A49,"YYYY-MM-DD"))</f>
        <v>2026-02-05</v>
      </c>
      <c r="D953">
        <f>원본데이터_리씽크!S49</f>
        <v>143790</v>
      </c>
      <c r="E953" t="str">
        <f>IFERROR(VLOOKUP(원본데이터_리씽크!S49,채널매핑!$B:$D,3,0),"미매핑")</f>
        <v>SKU001</v>
      </c>
      <c r="F953">
        <f>IFERROR(VLOOKUP(원본데이터_리씽크!S49,채널매핑!$B:$E,4,0),1)</f>
        <v>4</v>
      </c>
      <c r="G953">
        <f>원본데이터_리씽크!P49</f>
        <v>1</v>
      </c>
      <c r="H953">
        <f>원본데이터_리씽크!O49</f>
        <v>45500</v>
      </c>
      <c r="I953">
        <f>원본데이터_리씽크!X49</f>
        <v>45500</v>
      </c>
      <c r="J953">
        <f>원본데이터_리씽크!X49</f>
        <v>45500</v>
      </c>
      <c r="K953" t="str">
        <f>IFERROR(VLOOKUP(E953,제품마스터!$A:$B,2,0),0)</f>
        <v>[워커힐] 시그니처 양념갈비 300G</v>
      </c>
      <c r="L953">
        <f>원본데이터_리씽크!P49*원본데이터_리씽크!Q49*F953</f>
        <v>0</v>
      </c>
    </row>
    <row r="954" spans="1:12" x14ac:dyDescent="0.3">
      <c r="A954" t="s">
        <v>196</v>
      </c>
      <c r="B954" t="str">
        <f>TEXT(원본데이터_리씽크!B50,"0")</f>
        <v>2026020508195910000</v>
      </c>
      <c r="C954" t="str">
        <f>IF(원본데이터_리씽크!A50="","",TEXT(원본데이터_리씽크!A50,"YYYY-MM-DD"))</f>
        <v>2026-02-05</v>
      </c>
      <c r="D954">
        <f>원본데이터_리씽크!S50</f>
        <v>143790</v>
      </c>
      <c r="E954" t="str">
        <f>IFERROR(VLOOKUP(원본데이터_리씽크!S50,채널매핑!$B:$D,3,0),"미매핑")</f>
        <v>SKU001</v>
      </c>
      <c r="F954">
        <f>IFERROR(VLOOKUP(원본데이터_리씽크!S50,채널매핑!$B:$E,4,0),1)</f>
        <v>4</v>
      </c>
      <c r="G954">
        <f>원본데이터_리씽크!P50</f>
        <v>1</v>
      </c>
      <c r="H954">
        <f>원본데이터_리씽크!O50</f>
        <v>45500</v>
      </c>
      <c r="I954">
        <f>원본데이터_리씽크!X50</f>
        <v>45500</v>
      </c>
      <c r="J954">
        <f>원본데이터_리씽크!X50</f>
        <v>45500</v>
      </c>
      <c r="K954" t="str">
        <f>IFERROR(VLOOKUP(E954,제품마스터!$A:$B,2,0),0)</f>
        <v>[워커힐] 시그니처 양념갈비 300G</v>
      </c>
      <c r="L954">
        <f>원본데이터_리씽크!P50*원본데이터_리씽크!Q50*F954</f>
        <v>0</v>
      </c>
    </row>
    <row r="955" spans="1:12" x14ac:dyDescent="0.3">
      <c r="A955" t="s">
        <v>196</v>
      </c>
      <c r="B955" t="str">
        <f>TEXT(원본데이터_리씽크!B51,"0")</f>
        <v>2026020508195600000</v>
      </c>
      <c r="C955" t="str">
        <f>IF(원본데이터_리씽크!A51="","",TEXT(원본데이터_리씽크!A51,"YYYY-MM-DD"))</f>
        <v>2026-02-05</v>
      </c>
      <c r="D955">
        <f>원본데이터_리씽크!S51</f>
        <v>143790</v>
      </c>
      <c r="E955" t="str">
        <f>IFERROR(VLOOKUP(원본데이터_리씽크!S51,채널매핑!$B:$D,3,0),"미매핑")</f>
        <v>SKU001</v>
      </c>
      <c r="F955">
        <f>IFERROR(VLOOKUP(원본데이터_리씽크!S51,채널매핑!$B:$E,4,0),1)</f>
        <v>4</v>
      </c>
      <c r="G955">
        <f>원본데이터_리씽크!P51</f>
        <v>1</v>
      </c>
      <c r="H955">
        <f>원본데이터_리씽크!O51</f>
        <v>45500</v>
      </c>
      <c r="I955">
        <f>원본데이터_리씽크!X51</f>
        <v>45500</v>
      </c>
      <c r="J955">
        <f>원본데이터_리씽크!X51</f>
        <v>45500</v>
      </c>
      <c r="K955" t="str">
        <f>IFERROR(VLOOKUP(E955,제품마스터!$A:$B,2,0),0)</f>
        <v>[워커힐] 시그니처 양념갈비 300G</v>
      </c>
      <c r="L955">
        <f>원본데이터_리씽크!P51*원본데이터_리씽크!Q51*F955</f>
        <v>0</v>
      </c>
    </row>
    <row r="956" spans="1:12" x14ac:dyDescent="0.3">
      <c r="A956" t="s">
        <v>196</v>
      </c>
      <c r="B956" t="str">
        <f>TEXT(원본데이터_리씽크!B52,"0")</f>
        <v>2026020508201600000</v>
      </c>
      <c r="C956" t="str">
        <f>IF(원본데이터_리씽크!A52="","",TEXT(원본데이터_리씽크!A52,"YYYY-MM-DD"))</f>
        <v>2026-02-05</v>
      </c>
      <c r="D956">
        <f>원본데이터_리씽크!S52</f>
        <v>143790</v>
      </c>
      <c r="E956" t="str">
        <f>IFERROR(VLOOKUP(원본데이터_리씽크!S52,채널매핑!$B:$D,3,0),"미매핑")</f>
        <v>SKU001</v>
      </c>
      <c r="F956">
        <f>IFERROR(VLOOKUP(원본데이터_리씽크!S52,채널매핑!$B:$E,4,0),1)</f>
        <v>4</v>
      </c>
      <c r="G956">
        <f>원본데이터_리씽크!P52</f>
        <v>2</v>
      </c>
      <c r="H956">
        <f>원본데이터_리씽크!O52</f>
        <v>45500</v>
      </c>
      <c r="I956">
        <f>원본데이터_리씽크!X52</f>
        <v>91000</v>
      </c>
      <c r="J956">
        <f>원본데이터_리씽크!X52</f>
        <v>91000</v>
      </c>
      <c r="K956" t="str">
        <f>IFERROR(VLOOKUP(E956,제품마스터!$A:$B,2,0),0)</f>
        <v>[워커힐] 시그니처 양념갈비 300G</v>
      </c>
      <c r="L956">
        <f>원본데이터_리씽크!P52*원본데이터_리씽크!Q52*F956</f>
        <v>0</v>
      </c>
    </row>
    <row r="957" spans="1:12" x14ac:dyDescent="0.3">
      <c r="A957" t="s">
        <v>196</v>
      </c>
      <c r="B957" t="str">
        <f>TEXT(원본데이터_리씽크!B53,"0")</f>
        <v>2026020508163790000</v>
      </c>
      <c r="C957" t="str">
        <f>IF(원본데이터_리씽크!A53="","",TEXT(원본데이터_리씽크!A53,"YYYY-MM-DD"))</f>
        <v>2026-02-05</v>
      </c>
      <c r="D957">
        <f>원본데이터_리씽크!S53</f>
        <v>143790</v>
      </c>
      <c r="E957" t="str">
        <f>IFERROR(VLOOKUP(원본데이터_리씽크!S53,채널매핑!$B:$D,3,0),"미매핑")</f>
        <v>SKU001</v>
      </c>
      <c r="F957">
        <f>IFERROR(VLOOKUP(원본데이터_리씽크!S53,채널매핑!$B:$E,4,0),1)</f>
        <v>4</v>
      </c>
      <c r="G957">
        <f>원본데이터_리씽크!P53</f>
        <v>1</v>
      </c>
      <c r="H957">
        <f>원본데이터_리씽크!O53</f>
        <v>45500</v>
      </c>
      <c r="I957">
        <f>원본데이터_리씽크!X53</f>
        <v>45500</v>
      </c>
      <c r="J957">
        <f>원본데이터_리씽크!X53</f>
        <v>45500</v>
      </c>
      <c r="K957" t="str">
        <f>IFERROR(VLOOKUP(E957,제품마스터!$A:$B,2,0),0)</f>
        <v>[워커힐] 시그니처 양념갈비 300G</v>
      </c>
      <c r="L957">
        <f>원본데이터_리씽크!P53*원본데이터_리씽크!Q53*F957</f>
        <v>0</v>
      </c>
    </row>
    <row r="958" spans="1:12" x14ac:dyDescent="0.3">
      <c r="A958" t="s">
        <v>196</v>
      </c>
      <c r="B958" t="str">
        <f>TEXT(원본데이터_리씽크!B54,"0")</f>
        <v>2026020508174390000</v>
      </c>
      <c r="C958" t="str">
        <f>IF(원본데이터_리씽크!A54="","",TEXT(원본데이터_리씽크!A54,"YYYY-MM-DD"))</f>
        <v>2026-02-05</v>
      </c>
      <c r="D958">
        <f>원본데이터_리씽크!S54</f>
        <v>143790</v>
      </c>
      <c r="E958" t="str">
        <f>IFERROR(VLOOKUP(원본데이터_리씽크!S54,채널매핑!$B:$D,3,0),"미매핑")</f>
        <v>SKU001</v>
      </c>
      <c r="F958">
        <f>IFERROR(VLOOKUP(원본데이터_리씽크!S54,채널매핑!$B:$E,4,0),1)</f>
        <v>4</v>
      </c>
      <c r="G958">
        <f>원본데이터_리씽크!P54</f>
        <v>1</v>
      </c>
      <c r="H958">
        <f>원본데이터_리씽크!O54</f>
        <v>45500</v>
      </c>
      <c r="I958">
        <f>원본데이터_리씽크!X54</f>
        <v>45500</v>
      </c>
      <c r="J958">
        <f>원본데이터_리씽크!X54</f>
        <v>45500</v>
      </c>
      <c r="K958" t="str">
        <f>IFERROR(VLOOKUP(E958,제품마스터!$A:$B,2,0),0)</f>
        <v>[워커힐] 시그니처 양념갈비 300G</v>
      </c>
      <c r="L958">
        <f>원본데이터_리씽크!P54*원본데이터_리씽크!Q54*F958</f>
        <v>0</v>
      </c>
    </row>
    <row r="959" spans="1:12" x14ac:dyDescent="0.3">
      <c r="A959" t="s">
        <v>196</v>
      </c>
      <c r="B959" t="str">
        <f>TEXT(원본데이터_리씽크!B55,"0")</f>
        <v>2026020508131620000</v>
      </c>
      <c r="C959" t="str">
        <f>IF(원본데이터_리씽크!A55="","",TEXT(원본데이터_리씽크!A55,"YYYY-MM-DD"))</f>
        <v>2026-02-05</v>
      </c>
      <c r="D959">
        <f>원본데이터_리씽크!S55</f>
        <v>143790</v>
      </c>
      <c r="E959" t="str">
        <f>IFERROR(VLOOKUP(원본데이터_리씽크!S55,채널매핑!$B:$D,3,0),"미매핑")</f>
        <v>SKU001</v>
      </c>
      <c r="F959">
        <f>IFERROR(VLOOKUP(원본데이터_리씽크!S55,채널매핑!$B:$E,4,0),1)</f>
        <v>4</v>
      </c>
      <c r="G959">
        <f>원본데이터_리씽크!P55</f>
        <v>1</v>
      </c>
      <c r="H959">
        <f>원본데이터_리씽크!O55</f>
        <v>45500</v>
      </c>
      <c r="I959">
        <f>원본데이터_리씽크!X55</f>
        <v>45500</v>
      </c>
      <c r="J959">
        <f>원본데이터_리씽크!X55</f>
        <v>45500</v>
      </c>
      <c r="K959" t="str">
        <f>IFERROR(VLOOKUP(E959,제품마스터!$A:$B,2,0),0)</f>
        <v>[워커힐] 시그니처 양념갈비 300G</v>
      </c>
      <c r="L959">
        <f>원본데이터_리씽크!P55*원본데이터_리씽크!Q55*F959</f>
        <v>0</v>
      </c>
    </row>
    <row r="960" spans="1:12" x14ac:dyDescent="0.3">
      <c r="A960" t="s">
        <v>196</v>
      </c>
      <c r="B960" t="str">
        <f>TEXT(원본데이터_리씽크!B56,"0")</f>
        <v>2026020508155090000</v>
      </c>
      <c r="C960" t="str">
        <f>IF(원본데이터_리씽크!A56="","",TEXT(원본데이터_리씽크!A56,"YYYY-MM-DD"))</f>
        <v>2026-02-05</v>
      </c>
      <c r="D960">
        <f>원본데이터_리씽크!S56</f>
        <v>143790</v>
      </c>
      <c r="E960" t="str">
        <f>IFERROR(VLOOKUP(원본데이터_리씽크!S56,채널매핑!$B:$D,3,0),"미매핑")</f>
        <v>SKU001</v>
      </c>
      <c r="F960">
        <f>IFERROR(VLOOKUP(원본데이터_리씽크!S56,채널매핑!$B:$E,4,0),1)</f>
        <v>4</v>
      </c>
      <c r="G960">
        <f>원본데이터_리씽크!P56</f>
        <v>1</v>
      </c>
      <c r="H960">
        <f>원본데이터_리씽크!O56</f>
        <v>45500</v>
      </c>
      <c r="I960">
        <f>원본데이터_리씽크!X56</f>
        <v>45500</v>
      </c>
      <c r="J960">
        <f>원본데이터_리씽크!X56</f>
        <v>45500</v>
      </c>
      <c r="K960" t="str">
        <f>IFERROR(VLOOKUP(E960,제품마스터!$A:$B,2,0),0)</f>
        <v>[워커힐] 시그니처 양념갈비 300G</v>
      </c>
      <c r="L960">
        <f>원본데이터_리씽크!P56*원본데이터_리씽크!Q56*F960</f>
        <v>0</v>
      </c>
    </row>
    <row r="961" spans="1:12" x14ac:dyDescent="0.3">
      <c r="A961" t="s">
        <v>196</v>
      </c>
      <c r="B961" t="str">
        <f>TEXT(원본데이터_리씽크!B57,"0")</f>
        <v>2026020508142540000</v>
      </c>
      <c r="C961" t="str">
        <f>IF(원본데이터_리씽크!A57="","",TEXT(원본데이터_리씽크!A57,"YYYY-MM-DD"))</f>
        <v>2026-02-05</v>
      </c>
      <c r="D961">
        <f>원본데이터_리씽크!S57</f>
        <v>143790</v>
      </c>
      <c r="E961" t="str">
        <f>IFERROR(VLOOKUP(원본데이터_리씽크!S57,채널매핑!$B:$D,3,0),"미매핑")</f>
        <v>SKU001</v>
      </c>
      <c r="F961">
        <f>IFERROR(VLOOKUP(원본데이터_리씽크!S57,채널매핑!$B:$E,4,0),1)</f>
        <v>4</v>
      </c>
      <c r="G961">
        <f>원본데이터_리씽크!P57</f>
        <v>1</v>
      </c>
      <c r="H961">
        <f>원본데이터_리씽크!O57</f>
        <v>45500</v>
      </c>
      <c r="I961">
        <f>원본데이터_리씽크!X57</f>
        <v>45500</v>
      </c>
      <c r="J961">
        <f>원본데이터_리씽크!X57</f>
        <v>45500</v>
      </c>
      <c r="K961" t="str">
        <f>IFERROR(VLOOKUP(E961,제품마스터!$A:$B,2,0),0)</f>
        <v>[워커힐] 시그니처 양념갈비 300G</v>
      </c>
      <c r="L961">
        <f>원본데이터_리씽크!P57*원본데이터_리씽크!Q57*F961</f>
        <v>0</v>
      </c>
    </row>
    <row r="962" spans="1:12" x14ac:dyDescent="0.3">
      <c r="A962" t="s">
        <v>196</v>
      </c>
      <c r="B962" t="str">
        <f>TEXT(원본데이터_리씽크!B58,"0")</f>
        <v>2026020508142710000</v>
      </c>
      <c r="C962" t="str">
        <f>IF(원본데이터_리씽크!A58="","",TEXT(원본데이터_리씽크!A58,"YYYY-MM-DD"))</f>
        <v>2026-02-05</v>
      </c>
      <c r="D962">
        <f>원본데이터_리씽크!S58</f>
        <v>143790</v>
      </c>
      <c r="E962" t="str">
        <f>IFERROR(VLOOKUP(원본데이터_리씽크!S58,채널매핑!$B:$D,3,0),"미매핑")</f>
        <v>SKU001</v>
      </c>
      <c r="F962">
        <f>IFERROR(VLOOKUP(원본데이터_리씽크!S58,채널매핑!$B:$E,4,0),1)</f>
        <v>4</v>
      </c>
      <c r="G962">
        <f>원본데이터_리씽크!P58</f>
        <v>1</v>
      </c>
      <c r="H962">
        <f>원본데이터_리씽크!O58</f>
        <v>45500</v>
      </c>
      <c r="I962">
        <f>원본데이터_리씽크!X58</f>
        <v>45500</v>
      </c>
      <c r="J962">
        <f>원본데이터_리씽크!X58</f>
        <v>45500</v>
      </c>
      <c r="K962" t="str">
        <f>IFERROR(VLOOKUP(E962,제품마스터!$A:$B,2,0),0)</f>
        <v>[워커힐] 시그니처 양념갈비 300G</v>
      </c>
      <c r="L962">
        <f>원본데이터_리씽크!P58*원본데이터_리씽크!Q58*F962</f>
        <v>0</v>
      </c>
    </row>
    <row r="963" spans="1:12" x14ac:dyDescent="0.3">
      <c r="A963" t="s">
        <v>196</v>
      </c>
      <c r="B963" t="str">
        <f>TEXT(원본데이터_리씽크!B59,"0")</f>
        <v>2026020508133650000</v>
      </c>
      <c r="C963" t="str">
        <f>IF(원본데이터_리씽크!A59="","",TEXT(원본데이터_리씽크!A59,"YYYY-MM-DD"))</f>
        <v>2026-02-05</v>
      </c>
      <c r="D963">
        <f>원본데이터_리씽크!S59</f>
        <v>143790</v>
      </c>
      <c r="E963" t="str">
        <f>IFERROR(VLOOKUP(원본데이터_리씽크!S59,채널매핑!$B:$D,3,0),"미매핑")</f>
        <v>SKU001</v>
      </c>
      <c r="F963">
        <f>IFERROR(VLOOKUP(원본데이터_리씽크!S59,채널매핑!$B:$E,4,0),1)</f>
        <v>4</v>
      </c>
      <c r="G963">
        <f>원본데이터_리씽크!P59</f>
        <v>1</v>
      </c>
      <c r="H963">
        <f>원본데이터_리씽크!O59</f>
        <v>45500</v>
      </c>
      <c r="I963">
        <f>원본데이터_리씽크!X59</f>
        <v>45500</v>
      </c>
      <c r="J963">
        <f>원본데이터_리씽크!X59</f>
        <v>45500</v>
      </c>
      <c r="K963" t="str">
        <f>IFERROR(VLOOKUP(E963,제품마스터!$A:$B,2,0),0)</f>
        <v>[워커힐] 시그니처 양념갈비 300G</v>
      </c>
      <c r="L963">
        <f>원본데이터_리씽크!P59*원본데이터_리씽크!Q59*F963</f>
        <v>0</v>
      </c>
    </row>
    <row r="964" spans="1:12" x14ac:dyDescent="0.3">
      <c r="A964" t="s">
        <v>196</v>
      </c>
      <c r="B964" t="str">
        <f>TEXT(원본데이터_리씽크!B60,"0")</f>
        <v>2026020508133420000</v>
      </c>
      <c r="C964" t="str">
        <f>IF(원본데이터_리씽크!A60="","",TEXT(원본데이터_리씽크!A60,"YYYY-MM-DD"))</f>
        <v>2026-02-05</v>
      </c>
      <c r="D964">
        <f>원본데이터_리씽크!S60</f>
        <v>143790</v>
      </c>
      <c r="E964" t="str">
        <f>IFERROR(VLOOKUP(원본데이터_리씽크!S60,채널매핑!$B:$D,3,0),"미매핑")</f>
        <v>SKU001</v>
      </c>
      <c r="F964">
        <f>IFERROR(VLOOKUP(원본데이터_리씽크!S60,채널매핑!$B:$E,4,0),1)</f>
        <v>4</v>
      </c>
      <c r="G964">
        <f>원본데이터_리씽크!P60</f>
        <v>1</v>
      </c>
      <c r="H964">
        <f>원본데이터_리씽크!O60</f>
        <v>45500</v>
      </c>
      <c r="I964">
        <f>원본데이터_리씽크!X60</f>
        <v>45500</v>
      </c>
      <c r="J964">
        <f>원본데이터_리씽크!X60</f>
        <v>45500</v>
      </c>
      <c r="K964" t="str">
        <f>IFERROR(VLOOKUP(E964,제품마스터!$A:$B,2,0),0)</f>
        <v>[워커힐] 시그니처 양념갈비 300G</v>
      </c>
      <c r="L964">
        <f>원본데이터_리씽크!P60*원본데이터_리씽크!Q60*F964</f>
        <v>0</v>
      </c>
    </row>
    <row r="965" spans="1:12" x14ac:dyDescent="0.3">
      <c r="A965" t="s">
        <v>196</v>
      </c>
      <c r="B965" t="str">
        <f>TEXT(원본데이터_리씽크!B61,"0")</f>
        <v>2026020508095340000</v>
      </c>
      <c r="C965" t="str">
        <f>IF(원본데이터_리씽크!A61="","",TEXT(원본데이터_리씽크!A61,"YYYY-MM-DD"))</f>
        <v>2026-02-05</v>
      </c>
      <c r="D965">
        <f>원본데이터_리씽크!S61</f>
        <v>143790</v>
      </c>
      <c r="E965" t="str">
        <f>IFERROR(VLOOKUP(원본데이터_리씽크!S61,채널매핑!$B:$D,3,0),"미매핑")</f>
        <v>SKU001</v>
      </c>
      <c r="F965">
        <f>IFERROR(VLOOKUP(원본데이터_리씽크!S61,채널매핑!$B:$E,4,0),1)</f>
        <v>4</v>
      </c>
      <c r="G965">
        <f>원본데이터_리씽크!P61</f>
        <v>1</v>
      </c>
      <c r="H965">
        <f>원본데이터_리씽크!O61</f>
        <v>45500</v>
      </c>
      <c r="I965">
        <f>원본데이터_리씽크!X61</f>
        <v>45500</v>
      </c>
      <c r="J965">
        <f>원본데이터_리씽크!X61</f>
        <v>45500</v>
      </c>
      <c r="K965" t="str">
        <f>IFERROR(VLOOKUP(E965,제품마스터!$A:$B,2,0),0)</f>
        <v>[워커힐] 시그니처 양념갈비 300G</v>
      </c>
      <c r="L965">
        <f>원본데이터_리씽크!P61*원본데이터_리씽크!Q61*F965</f>
        <v>0</v>
      </c>
    </row>
    <row r="966" spans="1:12" x14ac:dyDescent="0.3">
      <c r="A966" t="s">
        <v>196</v>
      </c>
      <c r="B966" t="str">
        <f>TEXT(원본데이터_리씽크!B62,"0")</f>
        <v>2026020508110370000</v>
      </c>
      <c r="C966" t="str">
        <f>IF(원본데이터_리씽크!A62="","",TEXT(원본데이터_리씽크!A62,"YYYY-MM-DD"))</f>
        <v>2026-02-05</v>
      </c>
      <c r="D966">
        <f>원본데이터_리씽크!S62</f>
        <v>143790</v>
      </c>
      <c r="E966" t="str">
        <f>IFERROR(VLOOKUP(원본데이터_리씽크!S62,채널매핑!$B:$D,3,0),"미매핑")</f>
        <v>SKU001</v>
      </c>
      <c r="F966">
        <f>IFERROR(VLOOKUP(원본데이터_리씽크!S62,채널매핑!$B:$E,4,0),1)</f>
        <v>4</v>
      </c>
      <c r="G966">
        <f>원본데이터_리씽크!P62</f>
        <v>1</v>
      </c>
      <c r="H966">
        <f>원본데이터_리씽크!O62</f>
        <v>45500</v>
      </c>
      <c r="I966">
        <f>원본데이터_리씽크!X62</f>
        <v>45500</v>
      </c>
      <c r="J966">
        <f>원본데이터_리씽크!X62</f>
        <v>45500</v>
      </c>
      <c r="K966" t="str">
        <f>IFERROR(VLOOKUP(E966,제품마스터!$A:$B,2,0),0)</f>
        <v>[워커힐] 시그니처 양념갈비 300G</v>
      </c>
      <c r="L966">
        <f>원본데이터_리씽크!P62*원본데이터_리씽크!Q62*F966</f>
        <v>0</v>
      </c>
    </row>
    <row r="967" spans="1:12" x14ac:dyDescent="0.3">
      <c r="A967" t="s">
        <v>196</v>
      </c>
      <c r="B967" t="str">
        <f>TEXT(원본데이터_리씽크!B63,"0")</f>
        <v>2026020508113150000</v>
      </c>
      <c r="C967" t="str">
        <f>IF(원본데이터_리씽크!A63="","",TEXT(원본데이터_리씽크!A63,"YYYY-MM-DD"))</f>
        <v>2026-02-05</v>
      </c>
      <c r="D967">
        <f>원본데이터_리씽크!S63</f>
        <v>143790</v>
      </c>
      <c r="E967" t="str">
        <f>IFERROR(VLOOKUP(원본데이터_리씽크!S63,채널매핑!$B:$D,3,0),"미매핑")</f>
        <v>SKU001</v>
      </c>
      <c r="F967">
        <f>IFERROR(VLOOKUP(원본데이터_리씽크!S63,채널매핑!$B:$E,4,0),1)</f>
        <v>4</v>
      </c>
      <c r="G967">
        <f>원본데이터_리씽크!P63</f>
        <v>1</v>
      </c>
      <c r="H967">
        <f>원본데이터_리씽크!O63</f>
        <v>45500</v>
      </c>
      <c r="I967">
        <f>원본데이터_리씽크!X63</f>
        <v>45500</v>
      </c>
      <c r="J967">
        <f>원본데이터_리씽크!X63</f>
        <v>45500</v>
      </c>
      <c r="K967" t="str">
        <f>IFERROR(VLOOKUP(E967,제품마스터!$A:$B,2,0),0)</f>
        <v>[워커힐] 시그니처 양념갈비 300G</v>
      </c>
      <c r="L967">
        <f>원본데이터_리씽크!P63*원본데이터_리씽크!Q63*F967</f>
        <v>0</v>
      </c>
    </row>
    <row r="968" spans="1:12" x14ac:dyDescent="0.3">
      <c r="A968" t="s">
        <v>196</v>
      </c>
      <c r="B968" t="str">
        <f>TEXT(원본데이터_리씽크!B64,"0")</f>
        <v>2026020508094030000</v>
      </c>
      <c r="C968" t="str">
        <f>IF(원본데이터_리씽크!A64="","",TEXT(원본데이터_리씽크!A64,"YYYY-MM-DD"))</f>
        <v>2026-02-05</v>
      </c>
      <c r="D968">
        <f>원본데이터_리씽크!S64</f>
        <v>143790</v>
      </c>
      <c r="E968" t="str">
        <f>IFERROR(VLOOKUP(원본데이터_리씽크!S64,채널매핑!$B:$D,3,0),"미매핑")</f>
        <v>SKU001</v>
      </c>
      <c r="F968">
        <f>IFERROR(VLOOKUP(원본데이터_리씽크!S64,채널매핑!$B:$E,4,0),1)</f>
        <v>4</v>
      </c>
      <c r="G968">
        <f>원본데이터_리씽크!P64</f>
        <v>1</v>
      </c>
      <c r="H968">
        <f>원본데이터_리씽크!O64</f>
        <v>45500</v>
      </c>
      <c r="I968">
        <f>원본데이터_리씽크!X64</f>
        <v>45500</v>
      </c>
      <c r="J968">
        <f>원본데이터_리씽크!X64</f>
        <v>45500</v>
      </c>
      <c r="K968" t="str">
        <f>IFERROR(VLOOKUP(E968,제품마스터!$A:$B,2,0),0)</f>
        <v>[워커힐] 시그니처 양념갈비 300G</v>
      </c>
      <c r="L968">
        <f>원본데이터_리씽크!P64*원본데이터_리씽크!Q64*F968</f>
        <v>0</v>
      </c>
    </row>
    <row r="969" spans="1:12" x14ac:dyDescent="0.3">
      <c r="A969" t="s">
        <v>196</v>
      </c>
      <c r="B969" t="str">
        <f>TEXT(원본데이터_리씽크!B65,"0")</f>
        <v>2026020507584280000</v>
      </c>
      <c r="C969" t="str">
        <f>IF(원본데이터_리씽크!A65="","",TEXT(원본데이터_리씽크!A65,"YYYY-MM-DD"))</f>
        <v>2026-02-05</v>
      </c>
      <c r="D969">
        <f>원본데이터_리씽크!S65</f>
        <v>143790</v>
      </c>
      <c r="E969" t="str">
        <f>IFERROR(VLOOKUP(원본데이터_리씽크!S65,채널매핑!$B:$D,3,0),"미매핑")</f>
        <v>SKU001</v>
      </c>
      <c r="F969">
        <f>IFERROR(VLOOKUP(원본데이터_리씽크!S65,채널매핑!$B:$E,4,0),1)</f>
        <v>4</v>
      </c>
      <c r="G969">
        <f>원본데이터_리씽크!P65</f>
        <v>1</v>
      </c>
      <c r="H969">
        <f>원본데이터_리씽크!O65</f>
        <v>45500</v>
      </c>
      <c r="I969">
        <f>원본데이터_리씽크!X65</f>
        <v>45500</v>
      </c>
      <c r="J969">
        <f>원본데이터_리씽크!X65</f>
        <v>45500</v>
      </c>
      <c r="K969" t="str">
        <f>IFERROR(VLOOKUP(E969,제품마스터!$A:$B,2,0),0)</f>
        <v>[워커힐] 시그니처 양념갈비 300G</v>
      </c>
      <c r="L969">
        <f>원본데이터_리씽크!P65*원본데이터_리씽크!Q65*F969</f>
        <v>0</v>
      </c>
    </row>
    <row r="970" spans="1:12" x14ac:dyDescent="0.3">
      <c r="A970" t="s">
        <v>196</v>
      </c>
      <c r="B970" t="str">
        <f>TEXT(원본데이터_리씽크!B66,"0")</f>
        <v>2026020508062240000</v>
      </c>
      <c r="C970" t="str">
        <f>IF(원본데이터_리씽크!A66="","",TEXT(원본데이터_리씽크!A66,"YYYY-MM-DD"))</f>
        <v>2026-02-05</v>
      </c>
      <c r="D970">
        <f>원본데이터_리씽크!S66</f>
        <v>143790</v>
      </c>
      <c r="E970" t="str">
        <f>IFERROR(VLOOKUP(원본데이터_리씽크!S66,채널매핑!$B:$D,3,0),"미매핑")</f>
        <v>SKU001</v>
      </c>
      <c r="F970">
        <f>IFERROR(VLOOKUP(원본데이터_리씽크!S66,채널매핑!$B:$E,4,0),1)</f>
        <v>4</v>
      </c>
      <c r="G970">
        <f>원본데이터_리씽크!P66</f>
        <v>1</v>
      </c>
      <c r="H970">
        <f>원본데이터_리씽크!O66</f>
        <v>45500</v>
      </c>
      <c r="I970">
        <f>원본데이터_리씽크!X66</f>
        <v>45500</v>
      </c>
      <c r="J970">
        <f>원본데이터_리씽크!X66</f>
        <v>45500</v>
      </c>
      <c r="K970" t="str">
        <f>IFERROR(VLOOKUP(E970,제품마스터!$A:$B,2,0),0)</f>
        <v>[워커힐] 시그니처 양념갈비 300G</v>
      </c>
      <c r="L970">
        <f>원본데이터_리씽크!P66*원본데이터_리씽크!Q66*F970</f>
        <v>0</v>
      </c>
    </row>
    <row r="971" spans="1:12" x14ac:dyDescent="0.3">
      <c r="A971" t="s">
        <v>196</v>
      </c>
      <c r="B971" t="str">
        <f>TEXT(원본데이터_리씽크!B67,"0")</f>
        <v>2026020508082160000</v>
      </c>
      <c r="C971" t="str">
        <f>IF(원본데이터_리씽크!A67="","",TEXT(원본데이터_리씽크!A67,"YYYY-MM-DD"))</f>
        <v>2026-02-05</v>
      </c>
      <c r="D971">
        <f>원본데이터_리씽크!S67</f>
        <v>143790</v>
      </c>
      <c r="E971" t="str">
        <f>IFERROR(VLOOKUP(원본데이터_리씽크!S67,채널매핑!$B:$D,3,0),"미매핑")</f>
        <v>SKU001</v>
      </c>
      <c r="F971">
        <f>IFERROR(VLOOKUP(원본데이터_리씽크!S67,채널매핑!$B:$E,4,0),1)</f>
        <v>4</v>
      </c>
      <c r="G971">
        <f>원본데이터_리씽크!P67</f>
        <v>1</v>
      </c>
      <c r="H971">
        <f>원본데이터_리씽크!O67</f>
        <v>45500</v>
      </c>
      <c r="I971">
        <f>원본데이터_리씽크!X67</f>
        <v>45500</v>
      </c>
      <c r="J971">
        <f>원본데이터_리씽크!X67</f>
        <v>45500</v>
      </c>
      <c r="K971" t="str">
        <f>IFERROR(VLOOKUP(E971,제품마스터!$A:$B,2,0),0)</f>
        <v>[워커힐] 시그니처 양념갈비 300G</v>
      </c>
      <c r="L971">
        <f>원본데이터_리씽크!P67*원본데이터_리씽크!Q67*F971</f>
        <v>0</v>
      </c>
    </row>
    <row r="972" spans="1:12" x14ac:dyDescent="0.3">
      <c r="A972" t="s">
        <v>196</v>
      </c>
      <c r="B972" t="str">
        <f>TEXT(원본데이터_리씽크!B68,"0")</f>
        <v>2026020508085880000</v>
      </c>
      <c r="C972" t="str">
        <f>IF(원본데이터_리씽크!A68="","",TEXT(원본데이터_리씽크!A68,"YYYY-MM-DD"))</f>
        <v>2026-02-05</v>
      </c>
      <c r="D972">
        <f>원본데이터_리씽크!S68</f>
        <v>143790</v>
      </c>
      <c r="E972" t="str">
        <f>IFERROR(VLOOKUP(원본데이터_리씽크!S68,채널매핑!$B:$D,3,0),"미매핑")</f>
        <v>SKU001</v>
      </c>
      <c r="F972">
        <f>IFERROR(VLOOKUP(원본데이터_리씽크!S68,채널매핑!$B:$E,4,0),1)</f>
        <v>4</v>
      </c>
      <c r="G972">
        <f>원본데이터_리씽크!P68</f>
        <v>1</v>
      </c>
      <c r="H972">
        <f>원본데이터_리씽크!O68</f>
        <v>45500</v>
      </c>
      <c r="I972">
        <f>원본데이터_리씽크!X68</f>
        <v>45500</v>
      </c>
      <c r="J972">
        <f>원본데이터_리씽크!X68</f>
        <v>45500</v>
      </c>
      <c r="K972" t="str">
        <f>IFERROR(VLOOKUP(E972,제품마스터!$A:$B,2,0),0)</f>
        <v>[워커힐] 시그니처 양념갈비 300G</v>
      </c>
      <c r="L972">
        <f>원본데이터_리씽크!P68*원본데이터_리씽크!Q68*F972</f>
        <v>0</v>
      </c>
    </row>
    <row r="973" spans="1:12" x14ac:dyDescent="0.3">
      <c r="A973" t="s">
        <v>196</v>
      </c>
      <c r="B973" t="str">
        <f>TEXT(원본데이터_리씽크!B69,"0")</f>
        <v>2026020508003890000</v>
      </c>
      <c r="C973" t="str">
        <f>IF(원본데이터_리씽크!A69="","",TEXT(원본데이터_리씽크!A69,"YYYY-MM-DD"))</f>
        <v>2026-02-05</v>
      </c>
      <c r="D973">
        <f>원본데이터_리씽크!S69</f>
        <v>143790</v>
      </c>
      <c r="E973" t="str">
        <f>IFERROR(VLOOKUP(원본데이터_리씽크!S69,채널매핑!$B:$D,3,0),"미매핑")</f>
        <v>SKU001</v>
      </c>
      <c r="F973">
        <f>IFERROR(VLOOKUP(원본데이터_리씽크!S69,채널매핑!$B:$E,4,0),1)</f>
        <v>4</v>
      </c>
      <c r="G973">
        <f>원본데이터_리씽크!P69</f>
        <v>1</v>
      </c>
      <c r="H973">
        <f>원본데이터_리씽크!O69</f>
        <v>45500</v>
      </c>
      <c r="I973">
        <f>원본데이터_리씽크!X69</f>
        <v>45500</v>
      </c>
      <c r="J973">
        <f>원본데이터_리씽크!X69</f>
        <v>45500</v>
      </c>
      <c r="K973" t="str">
        <f>IFERROR(VLOOKUP(E973,제품마스터!$A:$B,2,0),0)</f>
        <v>[워커힐] 시그니처 양념갈비 300G</v>
      </c>
      <c r="L973">
        <f>원본데이터_리씽크!P69*원본데이터_리씽크!Q69*F973</f>
        <v>0</v>
      </c>
    </row>
    <row r="974" spans="1:12" x14ac:dyDescent="0.3">
      <c r="A974" t="s">
        <v>196</v>
      </c>
      <c r="B974" t="str">
        <f>TEXT(원본데이터_리씽크!B70,"0")</f>
        <v>2026020508084820000</v>
      </c>
      <c r="C974" t="str">
        <f>IF(원본데이터_리씽크!A70="","",TEXT(원본데이터_리씽크!A70,"YYYY-MM-DD"))</f>
        <v>2026-02-05</v>
      </c>
      <c r="D974">
        <f>원본데이터_리씽크!S70</f>
        <v>143790</v>
      </c>
      <c r="E974" t="str">
        <f>IFERROR(VLOOKUP(원본데이터_리씽크!S70,채널매핑!$B:$D,3,0),"미매핑")</f>
        <v>SKU001</v>
      </c>
      <c r="F974">
        <f>IFERROR(VLOOKUP(원본데이터_리씽크!S70,채널매핑!$B:$E,4,0),1)</f>
        <v>4</v>
      </c>
      <c r="G974">
        <f>원본데이터_리씽크!P70</f>
        <v>1</v>
      </c>
      <c r="H974">
        <f>원본데이터_리씽크!O70</f>
        <v>45500</v>
      </c>
      <c r="I974">
        <f>원본데이터_리씽크!X70</f>
        <v>45500</v>
      </c>
      <c r="J974">
        <f>원본데이터_리씽크!X70</f>
        <v>45500</v>
      </c>
      <c r="K974" t="str">
        <f>IFERROR(VLOOKUP(E974,제품마스터!$A:$B,2,0),0)</f>
        <v>[워커힐] 시그니처 양념갈비 300G</v>
      </c>
      <c r="L974">
        <f>원본데이터_리씽크!P70*원본데이터_리씽크!Q70*F974</f>
        <v>0</v>
      </c>
    </row>
    <row r="975" spans="1:12" x14ac:dyDescent="0.3">
      <c r="A975" t="s">
        <v>196</v>
      </c>
      <c r="B975" t="str">
        <f>TEXT(원본데이터_리씽크!B71,"0")</f>
        <v>2026020507595200000</v>
      </c>
      <c r="C975" t="str">
        <f>IF(원본데이터_리씽크!A71="","",TEXT(원본데이터_리씽크!A71,"YYYY-MM-DD"))</f>
        <v>2026-02-05</v>
      </c>
      <c r="D975">
        <f>원본데이터_리씽크!S71</f>
        <v>143790</v>
      </c>
      <c r="E975" t="str">
        <f>IFERROR(VLOOKUP(원본데이터_리씽크!S71,채널매핑!$B:$D,3,0),"미매핑")</f>
        <v>SKU001</v>
      </c>
      <c r="F975">
        <f>IFERROR(VLOOKUP(원본데이터_리씽크!S71,채널매핑!$B:$E,4,0),1)</f>
        <v>4</v>
      </c>
      <c r="G975">
        <f>원본데이터_리씽크!P71</f>
        <v>1</v>
      </c>
      <c r="H975">
        <f>원본데이터_리씽크!O71</f>
        <v>45500</v>
      </c>
      <c r="I975">
        <f>원본데이터_리씽크!X71</f>
        <v>45500</v>
      </c>
      <c r="J975">
        <f>원본데이터_리씽크!X71</f>
        <v>45500</v>
      </c>
      <c r="K975" t="str">
        <f>IFERROR(VLOOKUP(E975,제품마스터!$A:$B,2,0),0)</f>
        <v>[워커힐] 시그니처 양념갈비 300G</v>
      </c>
      <c r="L975">
        <f>원본데이터_리씽크!P71*원본데이터_리씽크!Q71*F975</f>
        <v>0</v>
      </c>
    </row>
    <row r="976" spans="1:12" x14ac:dyDescent="0.3">
      <c r="A976" t="s">
        <v>196</v>
      </c>
      <c r="B976" t="str">
        <f>TEXT(원본데이터_리씽크!B72,"0")</f>
        <v>2026020508081490000</v>
      </c>
      <c r="C976" t="str">
        <f>IF(원본데이터_리씽크!A72="","",TEXT(원본데이터_리씽크!A72,"YYYY-MM-DD"))</f>
        <v>2026-02-05</v>
      </c>
      <c r="D976">
        <f>원본데이터_리씽크!S72</f>
        <v>143790</v>
      </c>
      <c r="E976" t="str">
        <f>IFERROR(VLOOKUP(원본데이터_리씽크!S72,채널매핑!$B:$D,3,0),"미매핑")</f>
        <v>SKU001</v>
      </c>
      <c r="F976">
        <f>IFERROR(VLOOKUP(원본데이터_리씽크!S72,채널매핑!$B:$E,4,0),1)</f>
        <v>4</v>
      </c>
      <c r="G976">
        <f>원본데이터_리씽크!P72</f>
        <v>1</v>
      </c>
      <c r="H976">
        <f>원본데이터_리씽크!O72</f>
        <v>45500</v>
      </c>
      <c r="I976">
        <f>원본데이터_리씽크!X72</f>
        <v>45500</v>
      </c>
      <c r="J976">
        <f>원본데이터_리씽크!X72</f>
        <v>45500</v>
      </c>
      <c r="K976" t="str">
        <f>IFERROR(VLOOKUP(E976,제품마스터!$A:$B,2,0),0)</f>
        <v>[워커힐] 시그니처 양념갈비 300G</v>
      </c>
      <c r="L976">
        <f>원본데이터_리씽크!P72*원본데이터_리씽크!Q72*F976</f>
        <v>0</v>
      </c>
    </row>
    <row r="977" spans="1:12" x14ac:dyDescent="0.3">
      <c r="A977" t="s">
        <v>196</v>
      </c>
      <c r="B977" t="str">
        <f>TEXT(원본데이터_리씽크!B73,"0")</f>
        <v>2026020508072470000</v>
      </c>
      <c r="C977" t="str">
        <f>IF(원본데이터_리씽크!A73="","",TEXT(원본데이터_리씽크!A73,"YYYY-MM-DD"))</f>
        <v>2026-02-05</v>
      </c>
      <c r="D977">
        <f>원본데이터_리씽크!S73</f>
        <v>143790</v>
      </c>
      <c r="E977" t="str">
        <f>IFERROR(VLOOKUP(원본데이터_리씽크!S73,채널매핑!$B:$D,3,0),"미매핑")</f>
        <v>SKU001</v>
      </c>
      <c r="F977">
        <f>IFERROR(VLOOKUP(원본데이터_리씽크!S73,채널매핑!$B:$E,4,0),1)</f>
        <v>4</v>
      </c>
      <c r="G977">
        <f>원본데이터_리씽크!P73</f>
        <v>1</v>
      </c>
      <c r="H977">
        <f>원본데이터_리씽크!O73</f>
        <v>45500</v>
      </c>
      <c r="I977">
        <f>원본데이터_리씽크!X73</f>
        <v>45500</v>
      </c>
      <c r="J977">
        <f>원본데이터_리씽크!X73</f>
        <v>45500</v>
      </c>
      <c r="K977" t="str">
        <f>IFERROR(VLOOKUP(E977,제품마스터!$A:$B,2,0),0)</f>
        <v>[워커힐] 시그니처 양념갈비 300G</v>
      </c>
      <c r="L977">
        <f>원본데이터_리씽크!P73*원본데이터_리씽크!Q73*F977</f>
        <v>0</v>
      </c>
    </row>
    <row r="978" spans="1:12" x14ac:dyDescent="0.3">
      <c r="A978" t="s">
        <v>196</v>
      </c>
      <c r="B978" t="str">
        <f>TEXT(원본데이터_리씽크!B74,"0")</f>
        <v>2026020508052930000</v>
      </c>
      <c r="C978" t="str">
        <f>IF(원본데이터_리씽크!A74="","",TEXT(원본데이터_리씽크!A74,"YYYY-MM-DD"))</f>
        <v>2026-02-05</v>
      </c>
      <c r="D978">
        <f>원본데이터_리씽크!S74</f>
        <v>143790</v>
      </c>
      <c r="E978" t="str">
        <f>IFERROR(VLOOKUP(원본데이터_리씽크!S74,채널매핑!$B:$D,3,0),"미매핑")</f>
        <v>SKU001</v>
      </c>
      <c r="F978">
        <f>IFERROR(VLOOKUP(원본데이터_리씽크!S74,채널매핑!$B:$E,4,0),1)</f>
        <v>4</v>
      </c>
      <c r="G978">
        <f>원본데이터_리씽크!P74</f>
        <v>1</v>
      </c>
      <c r="H978">
        <f>원본데이터_리씽크!O74</f>
        <v>45500</v>
      </c>
      <c r="I978">
        <f>원본데이터_리씽크!X74</f>
        <v>45500</v>
      </c>
      <c r="J978">
        <f>원본데이터_리씽크!X74</f>
        <v>45500</v>
      </c>
      <c r="K978" t="str">
        <f>IFERROR(VLOOKUP(E978,제품마스터!$A:$B,2,0),0)</f>
        <v>[워커힐] 시그니처 양념갈비 300G</v>
      </c>
      <c r="L978">
        <f>원본데이터_리씽크!P74*원본데이터_리씽크!Q74*F978</f>
        <v>0</v>
      </c>
    </row>
    <row r="979" spans="1:12" x14ac:dyDescent="0.3">
      <c r="A979" t="s">
        <v>196</v>
      </c>
      <c r="B979" t="str">
        <f>TEXT(원본데이터_리씽크!B75,"0")</f>
        <v>2026020508043780000</v>
      </c>
      <c r="C979" t="str">
        <f>IF(원본데이터_리씽크!A75="","",TEXT(원본데이터_리씽크!A75,"YYYY-MM-DD"))</f>
        <v>2026-02-05</v>
      </c>
      <c r="D979">
        <f>원본데이터_리씽크!S75</f>
        <v>143790</v>
      </c>
      <c r="E979" t="str">
        <f>IFERROR(VLOOKUP(원본데이터_리씽크!S75,채널매핑!$B:$D,3,0),"미매핑")</f>
        <v>SKU001</v>
      </c>
      <c r="F979">
        <f>IFERROR(VLOOKUP(원본데이터_리씽크!S75,채널매핑!$B:$E,4,0),1)</f>
        <v>4</v>
      </c>
      <c r="G979">
        <f>원본데이터_리씽크!P75</f>
        <v>1</v>
      </c>
      <c r="H979">
        <f>원본데이터_리씽크!O75</f>
        <v>45500</v>
      </c>
      <c r="I979">
        <f>원본데이터_리씽크!X75</f>
        <v>45500</v>
      </c>
      <c r="J979">
        <f>원본데이터_리씽크!X75</f>
        <v>45500</v>
      </c>
      <c r="K979" t="str">
        <f>IFERROR(VLOOKUP(E979,제품마스터!$A:$B,2,0),0)</f>
        <v>[워커힐] 시그니처 양념갈비 300G</v>
      </c>
      <c r="L979">
        <f>원본데이터_리씽크!P75*원본데이터_리씽크!Q75*F979</f>
        <v>0</v>
      </c>
    </row>
    <row r="980" spans="1:12" x14ac:dyDescent="0.3">
      <c r="A980" t="s">
        <v>196</v>
      </c>
      <c r="B980" t="str">
        <f>TEXT(원본데이터_리씽크!B76,"0")</f>
        <v>2026020508033570000</v>
      </c>
      <c r="C980" t="str">
        <f>IF(원본데이터_리씽크!A76="","",TEXT(원본데이터_리씽크!A76,"YYYY-MM-DD"))</f>
        <v>2026-02-05</v>
      </c>
      <c r="D980">
        <f>원본데이터_리씽크!S76</f>
        <v>143790</v>
      </c>
      <c r="E980" t="str">
        <f>IFERROR(VLOOKUP(원본데이터_리씽크!S76,채널매핑!$B:$D,3,0),"미매핑")</f>
        <v>SKU001</v>
      </c>
      <c r="F980">
        <f>IFERROR(VLOOKUP(원본데이터_리씽크!S76,채널매핑!$B:$E,4,0),1)</f>
        <v>4</v>
      </c>
      <c r="G980">
        <f>원본데이터_리씽크!P76</f>
        <v>1</v>
      </c>
      <c r="H980">
        <f>원본데이터_리씽크!O76</f>
        <v>45500</v>
      </c>
      <c r="I980">
        <f>원본데이터_리씽크!X76</f>
        <v>45500</v>
      </c>
      <c r="J980">
        <f>원본데이터_리씽크!X76</f>
        <v>45500</v>
      </c>
      <c r="K980" t="str">
        <f>IFERROR(VLOOKUP(E980,제품마스터!$A:$B,2,0),0)</f>
        <v>[워커힐] 시그니처 양념갈비 300G</v>
      </c>
      <c r="L980">
        <f>원본데이터_리씽크!P76*원본데이터_리씽크!Q76*F980</f>
        <v>0</v>
      </c>
    </row>
    <row r="981" spans="1:12" x14ac:dyDescent="0.3">
      <c r="A981" t="s">
        <v>196</v>
      </c>
      <c r="B981" t="str">
        <f>TEXT(원본데이터_리씽크!B77,"0")</f>
        <v>2026020508032560000</v>
      </c>
      <c r="C981" t="str">
        <f>IF(원본데이터_리씽크!A77="","",TEXT(원본데이터_리씽크!A77,"YYYY-MM-DD"))</f>
        <v>2026-02-05</v>
      </c>
      <c r="D981">
        <f>원본데이터_리씽크!S77</f>
        <v>143790</v>
      </c>
      <c r="E981" t="str">
        <f>IFERROR(VLOOKUP(원본데이터_리씽크!S77,채널매핑!$B:$D,3,0),"미매핑")</f>
        <v>SKU001</v>
      </c>
      <c r="F981">
        <f>IFERROR(VLOOKUP(원본데이터_리씽크!S77,채널매핑!$B:$E,4,0),1)</f>
        <v>4</v>
      </c>
      <c r="G981">
        <f>원본데이터_리씽크!P77</f>
        <v>1</v>
      </c>
      <c r="H981">
        <f>원본데이터_리씽크!O77</f>
        <v>45500</v>
      </c>
      <c r="I981">
        <f>원본데이터_리씽크!X77</f>
        <v>45500</v>
      </c>
      <c r="J981">
        <f>원본데이터_리씽크!X77</f>
        <v>45500</v>
      </c>
      <c r="K981" t="str">
        <f>IFERROR(VLOOKUP(E981,제품마스터!$A:$B,2,0),0)</f>
        <v>[워커힐] 시그니처 양념갈비 300G</v>
      </c>
      <c r="L981">
        <f>원본데이터_리씽크!P77*원본데이터_리씽크!Q77*F981</f>
        <v>0</v>
      </c>
    </row>
    <row r="982" spans="1:12" x14ac:dyDescent="0.3">
      <c r="A982" t="s">
        <v>196</v>
      </c>
      <c r="B982" t="str">
        <f>TEXT(원본데이터_리씽크!B78,"0")</f>
        <v>2026020508050960000</v>
      </c>
      <c r="C982" t="str">
        <f>IF(원본데이터_리씽크!A78="","",TEXT(원본데이터_리씽크!A78,"YYYY-MM-DD"))</f>
        <v>2026-02-05</v>
      </c>
      <c r="D982">
        <f>원본데이터_리씽크!S78</f>
        <v>143790</v>
      </c>
      <c r="E982" t="str">
        <f>IFERROR(VLOOKUP(원본데이터_리씽크!S78,채널매핑!$B:$D,3,0),"미매핑")</f>
        <v>SKU001</v>
      </c>
      <c r="F982">
        <f>IFERROR(VLOOKUP(원본데이터_리씽크!S78,채널매핑!$B:$E,4,0),1)</f>
        <v>4</v>
      </c>
      <c r="G982">
        <f>원본데이터_리씽크!P78</f>
        <v>1</v>
      </c>
      <c r="H982">
        <f>원본데이터_리씽크!O78</f>
        <v>45500</v>
      </c>
      <c r="I982">
        <f>원본데이터_리씽크!X78</f>
        <v>45500</v>
      </c>
      <c r="J982">
        <f>원본데이터_리씽크!X78</f>
        <v>45500</v>
      </c>
      <c r="K982" t="str">
        <f>IFERROR(VLOOKUP(E982,제품마스터!$A:$B,2,0),0)</f>
        <v>[워커힐] 시그니처 양념갈비 300G</v>
      </c>
      <c r="L982">
        <f>원본데이터_리씽크!P78*원본데이터_리씽크!Q78*F982</f>
        <v>0</v>
      </c>
    </row>
    <row r="983" spans="1:12" x14ac:dyDescent="0.3">
      <c r="A983" t="s">
        <v>196</v>
      </c>
      <c r="B983" t="str">
        <f>TEXT(원본데이터_리씽크!B79,"0")</f>
        <v>2026020507593910000</v>
      </c>
      <c r="C983" t="str">
        <f>IF(원본데이터_리씽크!A79="","",TEXT(원본데이터_리씽크!A79,"YYYY-MM-DD"))</f>
        <v>2026-02-05</v>
      </c>
      <c r="D983">
        <f>원본데이터_리씽크!S79</f>
        <v>143790</v>
      </c>
      <c r="E983" t="str">
        <f>IFERROR(VLOOKUP(원본데이터_리씽크!S79,채널매핑!$B:$D,3,0),"미매핑")</f>
        <v>SKU001</v>
      </c>
      <c r="F983">
        <f>IFERROR(VLOOKUP(원본데이터_리씽크!S79,채널매핑!$B:$E,4,0),1)</f>
        <v>4</v>
      </c>
      <c r="G983">
        <f>원본데이터_리씽크!P79</f>
        <v>1</v>
      </c>
      <c r="H983">
        <f>원본데이터_리씽크!O79</f>
        <v>45500</v>
      </c>
      <c r="I983">
        <f>원본데이터_리씽크!X79</f>
        <v>45500</v>
      </c>
      <c r="J983">
        <f>원본데이터_리씽크!X79</f>
        <v>45500</v>
      </c>
      <c r="K983" t="str">
        <f>IFERROR(VLOOKUP(E983,제품마스터!$A:$B,2,0),0)</f>
        <v>[워커힐] 시그니처 양념갈비 300G</v>
      </c>
      <c r="L983">
        <f>원본데이터_리씽크!P79*원본데이터_리씽크!Q79*F983</f>
        <v>0</v>
      </c>
    </row>
    <row r="984" spans="1:12" x14ac:dyDescent="0.3">
      <c r="A984" t="s">
        <v>196</v>
      </c>
      <c r="B984" t="str">
        <f>TEXT(원본데이터_리씽크!B80,"0")</f>
        <v>2026020508051210000</v>
      </c>
      <c r="C984" t="str">
        <f>IF(원본데이터_리씽크!A80="","",TEXT(원본데이터_리씽크!A80,"YYYY-MM-DD"))</f>
        <v>2026-02-05</v>
      </c>
      <c r="D984">
        <f>원본데이터_리씽크!S80</f>
        <v>143790</v>
      </c>
      <c r="E984" t="str">
        <f>IFERROR(VLOOKUP(원본데이터_리씽크!S80,채널매핑!$B:$D,3,0),"미매핑")</f>
        <v>SKU001</v>
      </c>
      <c r="F984">
        <f>IFERROR(VLOOKUP(원본데이터_리씽크!S80,채널매핑!$B:$E,4,0),1)</f>
        <v>4</v>
      </c>
      <c r="G984">
        <f>원본데이터_리씽크!P80</f>
        <v>2</v>
      </c>
      <c r="H984">
        <f>원본데이터_리씽크!O80</f>
        <v>45500</v>
      </c>
      <c r="I984">
        <f>원본데이터_리씽크!X80</f>
        <v>91000</v>
      </c>
      <c r="J984">
        <f>원본데이터_리씽크!X80</f>
        <v>91000</v>
      </c>
      <c r="K984" t="str">
        <f>IFERROR(VLOOKUP(E984,제품마스터!$A:$B,2,0),0)</f>
        <v>[워커힐] 시그니처 양념갈비 300G</v>
      </c>
      <c r="L984">
        <f>원본데이터_리씽크!P80*원본데이터_리씽크!Q80*F984</f>
        <v>0</v>
      </c>
    </row>
    <row r="985" spans="1:12" x14ac:dyDescent="0.3">
      <c r="A985" t="s">
        <v>196</v>
      </c>
      <c r="B985" t="str">
        <f>TEXT(원본데이터_리씽크!B81,"0")</f>
        <v>2026020508042730000</v>
      </c>
      <c r="C985" t="str">
        <f>IF(원본데이터_리씽크!A81="","",TEXT(원본데이터_리씽크!A81,"YYYY-MM-DD"))</f>
        <v>2026-02-05</v>
      </c>
      <c r="D985">
        <f>원본데이터_리씽크!S81</f>
        <v>143790</v>
      </c>
      <c r="E985" t="str">
        <f>IFERROR(VLOOKUP(원본데이터_리씽크!S81,채널매핑!$B:$D,3,0),"미매핑")</f>
        <v>SKU001</v>
      </c>
      <c r="F985">
        <f>IFERROR(VLOOKUP(원본데이터_리씽크!S81,채널매핑!$B:$E,4,0),1)</f>
        <v>4</v>
      </c>
      <c r="G985">
        <f>원본데이터_리씽크!P81</f>
        <v>1</v>
      </c>
      <c r="H985">
        <f>원본데이터_리씽크!O81</f>
        <v>45500</v>
      </c>
      <c r="I985">
        <f>원본데이터_리씽크!X81</f>
        <v>45500</v>
      </c>
      <c r="J985">
        <f>원본데이터_리씽크!X81</f>
        <v>45500</v>
      </c>
      <c r="K985" t="str">
        <f>IFERROR(VLOOKUP(E985,제품마스터!$A:$B,2,0),0)</f>
        <v>[워커힐] 시그니처 양념갈비 300G</v>
      </c>
      <c r="L985">
        <f>원본데이터_리씽크!P81*원본데이터_리씽크!Q81*F985</f>
        <v>0</v>
      </c>
    </row>
    <row r="986" spans="1:12" x14ac:dyDescent="0.3">
      <c r="A986" t="s">
        <v>196</v>
      </c>
      <c r="B986" t="str">
        <f>TEXT(원본데이터_리씽크!B82,"0")</f>
        <v>2026020508013660000</v>
      </c>
      <c r="C986" t="str">
        <f>IF(원본데이터_리씽크!A82="","",TEXT(원본데이터_리씽크!A82,"YYYY-MM-DD"))</f>
        <v>2026-02-05</v>
      </c>
      <c r="D986">
        <f>원본데이터_리씽크!S82</f>
        <v>143790</v>
      </c>
      <c r="E986" t="str">
        <f>IFERROR(VLOOKUP(원본데이터_리씽크!S82,채널매핑!$B:$D,3,0),"미매핑")</f>
        <v>SKU001</v>
      </c>
      <c r="F986">
        <f>IFERROR(VLOOKUP(원본데이터_리씽크!S82,채널매핑!$B:$E,4,0),1)</f>
        <v>4</v>
      </c>
      <c r="G986">
        <f>원본데이터_리씽크!P82</f>
        <v>1</v>
      </c>
      <c r="H986">
        <f>원본데이터_리씽크!O82</f>
        <v>45500</v>
      </c>
      <c r="I986">
        <f>원본데이터_리씽크!X82</f>
        <v>45500</v>
      </c>
      <c r="J986">
        <f>원본데이터_리씽크!X82</f>
        <v>45500</v>
      </c>
      <c r="K986" t="str">
        <f>IFERROR(VLOOKUP(E986,제품마스터!$A:$B,2,0),0)</f>
        <v>[워커힐] 시그니처 양념갈비 300G</v>
      </c>
      <c r="L986">
        <f>원본데이터_리씽크!P82*원본데이터_리씽크!Q82*F986</f>
        <v>0</v>
      </c>
    </row>
    <row r="987" spans="1:12" x14ac:dyDescent="0.3">
      <c r="A987" t="s">
        <v>196</v>
      </c>
      <c r="B987" t="str">
        <f>TEXT(원본데이터_리씽크!B83,"0")</f>
        <v>2026020507561960000</v>
      </c>
      <c r="C987" t="str">
        <f>IF(원본데이터_리씽크!A83="","",TEXT(원본데이터_리씽크!A83,"YYYY-MM-DD"))</f>
        <v>2026-02-05</v>
      </c>
      <c r="D987">
        <f>원본데이터_리씽크!S83</f>
        <v>143790</v>
      </c>
      <c r="E987" t="str">
        <f>IFERROR(VLOOKUP(원본데이터_리씽크!S83,채널매핑!$B:$D,3,0),"미매핑")</f>
        <v>SKU001</v>
      </c>
      <c r="F987">
        <f>IFERROR(VLOOKUP(원본데이터_리씽크!S83,채널매핑!$B:$E,4,0),1)</f>
        <v>4</v>
      </c>
      <c r="G987">
        <f>원본데이터_리씽크!P83</f>
        <v>1</v>
      </c>
      <c r="H987">
        <f>원본데이터_리씽크!O83</f>
        <v>45500</v>
      </c>
      <c r="I987">
        <f>원본데이터_리씽크!X83</f>
        <v>45500</v>
      </c>
      <c r="J987">
        <f>원본데이터_리씽크!X83</f>
        <v>45500</v>
      </c>
      <c r="K987" t="str">
        <f>IFERROR(VLOOKUP(E987,제품마스터!$A:$B,2,0),0)</f>
        <v>[워커힐] 시그니처 양념갈비 300G</v>
      </c>
      <c r="L987">
        <f>원본데이터_리씽크!P83*원본데이터_리씽크!Q83*F987</f>
        <v>0</v>
      </c>
    </row>
    <row r="988" spans="1:12" x14ac:dyDescent="0.3">
      <c r="A988" t="s">
        <v>196</v>
      </c>
      <c r="B988" t="str">
        <f>TEXT(원본데이터_리씽크!B84,"0")</f>
        <v>2026020508025940000</v>
      </c>
      <c r="C988" t="str">
        <f>IF(원본데이터_리씽크!A84="","",TEXT(원본데이터_리씽크!A84,"YYYY-MM-DD"))</f>
        <v>2026-02-05</v>
      </c>
      <c r="D988">
        <f>원본데이터_리씽크!S84</f>
        <v>143790</v>
      </c>
      <c r="E988" t="str">
        <f>IFERROR(VLOOKUP(원본데이터_리씽크!S84,채널매핑!$B:$D,3,0),"미매핑")</f>
        <v>SKU001</v>
      </c>
      <c r="F988">
        <f>IFERROR(VLOOKUP(원본데이터_리씽크!S84,채널매핑!$B:$E,4,0),1)</f>
        <v>4</v>
      </c>
      <c r="G988">
        <f>원본데이터_리씽크!P84</f>
        <v>1</v>
      </c>
      <c r="H988">
        <f>원본데이터_리씽크!O84</f>
        <v>45500</v>
      </c>
      <c r="I988">
        <f>원본데이터_리씽크!X84</f>
        <v>45500</v>
      </c>
      <c r="J988">
        <f>원본데이터_리씽크!X84</f>
        <v>45500</v>
      </c>
      <c r="K988" t="str">
        <f>IFERROR(VLOOKUP(E988,제품마스터!$A:$B,2,0),0)</f>
        <v>[워커힐] 시그니처 양념갈비 300G</v>
      </c>
      <c r="L988">
        <f>원본데이터_리씽크!P84*원본데이터_리씽크!Q84*F988</f>
        <v>0</v>
      </c>
    </row>
    <row r="989" spans="1:12" x14ac:dyDescent="0.3">
      <c r="A989" t="s">
        <v>196</v>
      </c>
      <c r="B989" t="str">
        <f>TEXT(원본데이터_리씽크!B85,"0")</f>
        <v>2026020508000550000</v>
      </c>
      <c r="C989" t="str">
        <f>IF(원본데이터_리씽크!A85="","",TEXT(원본데이터_리씽크!A85,"YYYY-MM-DD"))</f>
        <v>2026-02-05</v>
      </c>
      <c r="D989">
        <f>원본데이터_리씽크!S85</f>
        <v>143790</v>
      </c>
      <c r="E989" t="str">
        <f>IFERROR(VLOOKUP(원본데이터_리씽크!S85,채널매핑!$B:$D,3,0),"미매핑")</f>
        <v>SKU001</v>
      </c>
      <c r="F989">
        <f>IFERROR(VLOOKUP(원본데이터_리씽크!S85,채널매핑!$B:$E,4,0),1)</f>
        <v>4</v>
      </c>
      <c r="G989">
        <f>원본데이터_리씽크!P85</f>
        <v>1</v>
      </c>
      <c r="H989">
        <f>원본데이터_리씽크!O85</f>
        <v>45500</v>
      </c>
      <c r="I989">
        <f>원본데이터_리씽크!X85</f>
        <v>45500</v>
      </c>
      <c r="J989">
        <f>원본데이터_리씽크!X85</f>
        <v>45500</v>
      </c>
      <c r="K989" t="str">
        <f>IFERROR(VLOOKUP(E989,제품마스터!$A:$B,2,0),0)</f>
        <v>[워커힐] 시그니처 양념갈비 300G</v>
      </c>
      <c r="L989">
        <f>원본데이터_리씽크!P85*원본데이터_리씽크!Q85*F989</f>
        <v>0</v>
      </c>
    </row>
    <row r="990" spans="1:12" x14ac:dyDescent="0.3">
      <c r="A990" t="s">
        <v>196</v>
      </c>
      <c r="B990" t="str">
        <f>TEXT(원본데이터_리씽크!B86,"0")</f>
        <v>2026020508025510000</v>
      </c>
      <c r="C990" t="str">
        <f>IF(원본데이터_리씽크!A86="","",TEXT(원본데이터_리씽크!A86,"YYYY-MM-DD"))</f>
        <v>2026-02-05</v>
      </c>
      <c r="D990">
        <f>원본데이터_리씽크!S86</f>
        <v>143790</v>
      </c>
      <c r="E990" t="str">
        <f>IFERROR(VLOOKUP(원본데이터_리씽크!S86,채널매핑!$B:$D,3,0),"미매핑")</f>
        <v>SKU001</v>
      </c>
      <c r="F990">
        <f>IFERROR(VLOOKUP(원본데이터_리씽크!S86,채널매핑!$B:$E,4,0),1)</f>
        <v>4</v>
      </c>
      <c r="G990">
        <f>원본데이터_리씽크!P86</f>
        <v>1</v>
      </c>
      <c r="H990">
        <f>원본데이터_리씽크!O86</f>
        <v>45500</v>
      </c>
      <c r="I990">
        <f>원본데이터_리씽크!X86</f>
        <v>45500</v>
      </c>
      <c r="J990">
        <f>원본데이터_리씽크!X86</f>
        <v>45500</v>
      </c>
      <c r="K990" t="str">
        <f>IFERROR(VLOOKUP(E990,제품마스터!$A:$B,2,0),0)</f>
        <v>[워커힐] 시그니처 양념갈비 300G</v>
      </c>
      <c r="L990">
        <f>원본데이터_리씽크!P86*원본데이터_리씽크!Q86*F990</f>
        <v>0</v>
      </c>
    </row>
    <row r="991" spans="1:12" x14ac:dyDescent="0.3">
      <c r="A991" t="s">
        <v>196</v>
      </c>
      <c r="B991" t="str">
        <f>TEXT(원본데이터_리씽크!B87,"0")</f>
        <v>2026020508011960000</v>
      </c>
      <c r="C991" t="str">
        <f>IF(원본데이터_리씽크!A87="","",TEXT(원본데이터_리씽크!A87,"YYYY-MM-DD"))</f>
        <v>2026-02-05</v>
      </c>
      <c r="D991">
        <f>원본데이터_리씽크!S87</f>
        <v>143790</v>
      </c>
      <c r="E991" t="str">
        <f>IFERROR(VLOOKUP(원본데이터_리씽크!S87,채널매핑!$B:$D,3,0),"미매핑")</f>
        <v>SKU001</v>
      </c>
      <c r="F991">
        <f>IFERROR(VLOOKUP(원본데이터_리씽크!S87,채널매핑!$B:$E,4,0),1)</f>
        <v>4</v>
      </c>
      <c r="G991">
        <f>원본데이터_리씽크!P87</f>
        <v>1</v>
      </c>
      <c r="H991">
        <f>원본데이터_리씽크!O87</f>
        <v>45500</v>
      </c>
      <c r="I991">
        <f>원본데이터_리씽크!X87</f>
        <v>45500</v>
      </c>
      <c r="J991">
        <f>원본데이터_리씽크!X87</f>
        <v>45500</v>
      </c>
      <c r="K991" t="str">
        <f>IFERROR(VLOOKUP(E991,제품마스터!$A:$B,2,0),0)</f>
        <v>[워커힐] 시그니처 양념갈비 300G</v>
      </c>
      <c r="L991">
        <f>원본데이터_리씽크!P87*원본데이터_리씽크!Q87*F991</f>
        <v>0</v>
      </c>
    </row>
    <row r="992" spans="1:12" x14ac:dyDescent="0.3">
      <c r="A992" t="s">
        <v>196</v>
      </c>
      <c r="B992" t="str">
        <f>TEXT(원본데이터_리씽크!B88,"0")</f>
        <v>2026020508012630000</v>
      </c>
      <c r="C992" t="str">
        <f>IF(원본데이터_리씽크!A88="","",TEXT(원본데이터_리씽크!A88,"YYYY-MM-DD"))</f>
        <v>2026-02-05</v>
      </c>
      <c r="D992">
        <f>원본데이터_리씽크!S88</f>
        <v>143790</v>
      </c>
      <c r="E992" t="str">
        <f>IFERROR(VLOOKUP(원본데이터_리씽크!S88,채널매핑!$B:$D,3,0),"미매핑")</f>
        <v>SKU001</v>
      </c>
      <c r="F992">
        <f>IFERROR(VLOOKUP(원본데이터_리씽크!S88,채널매핑!$B:$E,4,0),1)</f>
        <v>4</v>
      </c>
      <c r="G992">
        <f>원본데이터_리씽크!P88</f>
        <v>1</v>
      </c>
      <c r="H992">
        <f>원본데이터_리씽크!O88</f>
        <v>45500</v>
      </c>
      <c r="I992">
        <f>원본데이터_리씽크!X88</f>
        <v>45500</v>
      </c>
      <c r="J992">
        <f>원본데이터_리씽크!X88</f>
        <v>45500</v>
      </c>
      <c r="K992" t="str">
        <f>IFERROR(VLOOKUP(E992,제품마스터!$A:$B,2,0),0)</f>
        <v>[워커힐] 시그니처 양념갈비 300G</v>
      </c>
      <c r="L992">
        <f>원본데이터_리씽크!P88*원본데이터_리씽크!Q88*F992</f>
        <v>0</v>
      </c>
    </row>
    <row r="993" spans="1:12" x14ac:dyDescent="0.3">
      <c r="A993" t="s">
        <v>196</v>
      </c>
      <c r="B993" t="str">
        <f>TEXT(원본데이터_리씽크!B89,"0")</f>
        <v>2026020507572800000</v>
      </c>
      <c r="C993" t="str">
        <f>IF(원본데이터_리씽크!A89="","",TEXT(원본데이터_리씽크!A89,"YYYY-MM-DD"))</f>
        <v>2026-02-05</v>
      </c>
      <c r="D993">
        <f>원본데이터_리씽크!S89</f>
        <v>143790</v>
      </c>
      <c r="E993" t="str">
        <f>IFERROR(VLOOKUP(원본데이터_리씽크!S89,채널매핑!$B:$D,3,0),"미매핑")</f>
        <v>SKU001</v>
      </c>
      <c r="F993">
        <f>IFERROR(VLOOKUP(원본데이터_리씽크!S89,채널매핑!$B:$E,4,0),1)</f>
        <v>4</v>
      </c>
      <c r="G993">
        <f>원본데이터_리씽크!P89</f>
        <v>1</v>
      </c>
      <c r="H993">
        <f>원본데이터_리씽크!O89</f>
        <v>45500</v>
      </c>
      <c r="I993">
        <f>원본데이터_리씽크!X89</f>
        <v>45500</v>
      </c>
      <c r="J993">
        <f>원본데이터_리씽크!X89</f>
        <v>45500</v>
      </c>
      <c r="K993" t="str">
        <f>IFERROR(VLOOKUP(E993,제품마스터!$A:$B,2,0),0)</f>
        <v>[워커힐] 시그니처 양념갈비 300G</v>
      </c>
      <c r="L993">
        <f>원본데이터_리씽크!P89*원본데이터_리씽크!Q89*F993</f>
        <v>0</v>
      </c>
    </row>
    <row r="994" spans="1:12" x14ac:dyDescent="0.3">
      <c r="A994" t="s">
        <v>196</v>
      </c>
      <c r="B994" t="str">
        <f>TEXT(원본데이터_리씽크!B90,"0")</f>
        <v>2026020508012310000</v>
      </c>
      <c r="C994" t="str">
        <f>IF(원본데이터_리씽크!A90="","",TEXT(원본데이터_리씽크!A90,"YYYY-MM-DD"))</f>
        <v>2026-02-05</v>
      </c>
      <c r="D994">
        <f>원본데이터_리씽크!S90</f>
        <v>143790</v>
      </c>
      <c r="E994" t="str">
        <f>IFERROR(VLOOKUP(원본데이터_리씽크!S90,채널매핑!$B:$D,3,0),"미매핑")</f>
        <v>SKU001</v>
      </c>
      <c r="F994">
        <f>IFERROR(VLOOKUP(원본데이터_리씽크!S90,채널매핑!$B:$E,4,0),1)</f>
        <v>4</v>
      </c>
      <c r="G994">
        <f>원본데이터_리씽크!P90</f>
        <v>1</v>
      </c>
      <c r="H994">
        <f>원본데이터_리씽크!O90</f>
        <v>45500</v>
      </c>
      <c r="I994">
        <f>원본데이터_리씽크!X90</f>
        <v>45500</v>
      </c>
      <c r="J994">
        <f>원본데이터_리씽크!X90</f>
        <v>45500</v>
      </c>
      <c r="K994" t="str">
        <f>IFERROR(VLOOKUP(E994,제품마스터!$A:$B,2,0),0)</f>
        <v>[워커힐] 시그니처 양념갈비 300G</v>
      </c>
      <c r="L994">
        <f>원본데이터_리씽크!P90*원본데이터_리씽크!Q90*F994</f>
        <v>0</v>
      </c>
    </row>
    <row r="995" spans="1:12" x14ac:dyDescent="0.3">
      <c r="A995" t="s">
        <v>196</v>
      </c>
      <c r="B995" t="str">
        <f>TEXT(원본데이터_리씽크!B91,"0")</f>
        <v>2026020508002840000</v>
      </c>
      <c r="C995" t="str">
        <f>IF(원본데이터_리씽크!A91="","",TEXT(원본데이터_리씽크!A91,"YYYY-MM-DD"))</f>
        <v>2026-02-05</v>
      </c>
      <c r="D995">
        <f>원본데이터_리씽크!S91</f>
        <v>143790</v>
      </c>
      <c r="E995" t="str">
        <f>IFERROR(VLOOKUP(원본데이터_리씽크!S91,채널매핑!$B:$D,3,0),"미매핑")</f>
        <v>SKU001</v>
      </c>
      <c r="F995">
        <f>IFERROR(VLOOKUP(원본데이터_리씽크!S91,채널매핑!$B:$E,4,0),1)</f>
        <v>4</v>
      </c>
      <c r="G995">
        <f>원본데이터_리씽크!P91</f>
        <v>1</v>
      </c>
      <c r="H995">
        <f>원본데이터_리씽크!O91</f>
        <v>45500</v>
      </c>
      <c r="I995">
        <f>원본데이터_리씽크!X91</f>
        <v>45500</v>
      </c>
      <c r="J995">
        <f>원본데이터_리씽크!X91</f>
        <v>45500</v>
      </c>
      <c r="K995" t="str">
        <f>IFERROR(VLOOKUP(E995,제품마스터!$A:$B,2,0),0)</f>
        <v>[워커힐] 시그니처 양념갈비 300G</v>
      </c>
      <c r="L995">
        <f>원본데이터_리씽크!P91*원본데이터_리씽크!Q91*F995</f>
        <v>0</v>
      </c>
    </row>
    <row r="996" spans="1:12" x14ac:dyDescent="0.3">
      <c r="A996" t="s">
        <v>196</v>
      </c>
      <c r="B996" t="str">
        <f>TEXT(원본데이터_리씽크!B92,"0")</f>
        <v>2026020507595840000</v>
      </c>
      <c r="C996" t="str">
        <f>IF(원본데이터_리씽크!A92="","",TEXT(원본데이터_리씽크!A92,"YYYY-MM-DD"))</f>
        <v>2026-02-05</v>
      </c>
      <c r="D996">
        <f>원본데이터_리씽크!S92</f>
        <v>143790</v>
      </c>
      <c r="E996" t="str">
        <f>IFERROR(VLOOKUP(원본데이터_리씽크!S92,채널매핑!$B:$D,3,0),"미매핑")</f>
        <v>SKU001</v>
      </c>
      <c r="F996">
        <f>IFERROR(VLOOKUP(원본데이터_리씽크!S92,채널매핑!$B:$E,4,0),1)</f>
        <v>4</v>
      </c>
      <c r="G996">
        <f>원본데이터_리씽크!P92</f>
        <v>1</v>
      </c>
      <c r="H996">
        <f>원본데이터_리씽크!O92</f>
        <v>45500</v>
      </c>
      <c r="I996">
        <f>원본데이터_리씽크!X92</f>
        <v>45500</v>
      </c>
      <c r="J996">
        <f>원본데이터_리씽크!X92</f>
        <v>45500</v>
      </c>
      <c r="K996" t="str">
        <f>IFERROR(VLOOKUP(E996,제품마스터!$A:$B,2,0),0)</f>
        <v>[워커힐] 시그니처 양념갈비 300G</v>
      </c>
      <c r="L996">
        <f>원본데이터_리씽크!P92*원본데이터_리씽크!Q92*F996</f>
        <v>0</v>
      </c>
    </row>
    <row r="997" spans="1:12" x14ac:dyDescent="0.3">
      <c r="A997" t="s">
        <v>196</v>
      </c>
      <c r="B997" t="str">
        <f>TEXT(원본데이터_리씽크!B93,"0")</f>
        <v>2026020508005700000</v>
      </c>
      <c r="C997" t="str">
        <f>IF(원본데이터_리씽크!A93="","",TEXT(원본데이터_리씽크!A93,"YYYY-MM-DD"))</f>
        <v>2026-02-05</v>
      </c>
      <c r="D997">
        <f>원본데이터_리씽크!S93</f>
        <v>143790</v>
      </c>
      <c r="E997" t="str">
        <f>IFERROR(VLOOKUP(원본데이터_리씽크!S93,채널매핑!$B:$D,3,0),"미매핑")</f>
        <v>SKU001</v>
      </c>
      <c r="F997">
        <f>IFERROR(VLOOKUP(원본데이터_리씽크!S93,채널매핑!$B:$E,4,0),1)</f>
        <v>4</v>
      </c>
      <c r="G997">
        <f>원본데이터_리씽크!P93</f>
        <v>1</v>
      </c>
      <c r="H997">
        <f>원본데이터_리씽크!O93</f>
        <v>45500</v>
      </c>
      <c r="I997">
        <f>원본데이터_리씽크!X93</f>
        <v>45500</v>
      </c>
      <c r="J997">
        <f>원본데이터_리씽크!X93</f>
        <v>45500</v>
      </c>
      <c r="K997" t="str">
        <f>IFERROR(VLOOKUP(E997,제품마스터!$A:$B,2,0),0)</f>
        <v>[워커힐] 시그니처 양념갈비 300G</v>
      </c>
      <c r="L997">
        <f>원본데이터_리씽크!P93*원본데이터_리씽크!Q93*F997</f>
        <v>0</v>
      </c>
    </row>
    <row r="998" spans="1:12" x14ac:dyDescent="0.3">
      <c r="A998" t="s">
        <v>196</v>
      </c>
      <c r="B998" t="str">
        <f>TEXT(원본데이터_리씽크!B94,"0")</f>
        <v>2026020507575190000</v>
      </c>
      <c r="C998" t="str">
        <f>IF(원본데이터_리씽크!A94="","",TEXT(원본데이터_리씽크!A94,"YYYY-MM-DD"))</f>
        <v>2026-02-05</v>
      </c>
      <c r="D998">
        <f>원본데이터_리씽크!S94</f>
        <v>143790</v>
      </c>
      <c r="E998" t="str">
        <f>IFERROR(VLOOKUP(원본데이터_리씽크!S94,채널매핑!$B:$D,3,0),"미매핑")</f>
        <v>SKU001</v>
      </c>
      <c r="F998">
        <f>IFERROR(VLOOKUP(원본데이터_리씽크!S94,채널매핑!$B:$E,4,0),1)</f>
        <v>4</v>
      </c>
      <c r="G998">
        <f>원본데이터_리씽크!P94</f>
        <v>1</v>
      </c>
      <c r="H998">
        <f>원본데이터_리씽크!O94</f>
        <v>45500</v>
      </c>
      <c r="I998">
        <f>원본데이터_리씽크!X94</f>
        <v>45500</v>
      </c>
      <c r="J998">
        <f>원본데이터_리씽크!X94</f>
        <v>45500</v>
      </c>
      <c r="K998" t="str">
        <f>IFERROR(VLOOKUP(E998,제품마스터!$A:$B,2,0),0)</f>
        <v>[워커힐] 시그니처 양념갈비 300G</v>
      </c>
      <c r="L998">
        <f>원본데이터_리씽크!P94*원본데이터_리씽크!Q94*F998</f>
        <v>0</v>
      </c>
    </row>
    <row r="999" spans="1:12" x14ac:dyDescent="0.3">
      <c r="A999" t="s">
        <v>196</v>
      </c>
      <c r="B999" t="str">
        <f>TEXT(원본데이터_리씽크!B95,"0")</f>
        <v>2026020508005390000</v>
      </c>
      <c r="C999" t="str">
        <f>IF(원본데이터_리씽크!A95="","",TEXT(원본데이터_리씽크!A95,"YYYY-MM-DD"))</f>
        <v>2026-02-05</v>
      </c>
      <c r="D999">
        <f>원본데이터_리씽크!S95</f>
        <v>143790</v>
      </c>
      <c r="E999" t="str">
        <f>IFERROR(VLOOKUP(원본데이터_리씽크!S95,채널매핑!$B:$D,3,0),"미매핑")</f>
        <v>SKU001</v>
      </c>
      <c r="F999">
        <f>IFERROR(VLOOKUP(원본데이터_리씽크!S95,채널매핑!$B:$E,4,0),1)</f>
        <v>4</v>
      </c>
      <c r="G999">
        <f>원본데이터_리씽크!P95</f>
        <v>1</v>
      </c>
      <c r="H999">
        <f>원본데이터_리씽크!O95</f>
        <v>45500</v>
      </c>
      <c r="I999">
        <f>원본데이터_리씽크!X95</f>
        <v>45500</v>
      </c>
      <c r="J999">
        <f>원본데이터_리씽크!X95</f>
        <v>45500</v>
      </c>
      <c r="K999" t="str">
        <f>IFERROR(VLOOKUP(E999,제품마스터!$A:$B,2,0),0)</f>
        <v>[워커힐] 시그니처 양념갈비 300G</v>
      </c>
      <c r="L999">
        <f>원본데이터_리씽크!P95*원본데이터_리씽크!Q95*F999</f>
        <v>0</v>
      </c>
    </row>
    <row r="1000" spans="1:12" x14ac:dyDescent="0.3">
      <c r="A1000" t="s">
        <v>196</v>
      </c>
      <c r="B1000" t="str">
        <f>TEXT(원본데이터_리씽크!B96,"0")</f>
        <v>2026020507590050000</v>
      </c>
      <c r="C1000" t="str">
        <f>IF(원본데이터_리씽크!A96="","",TEXT(원본데이터_리씽크!A96,"YYYY-MM-DD"))</f>
        <v>2026-02-05</v>
      </c>
      <c r="D1000">
        <f>원본데이터_리씽크!S96</f>
        <v>143790</v>
      </c>
      <c r="E1000" t="str">
        <f>IFERROR(VLOOKUP(원본데이터_리씽크!S96,채널매핑!$B:$D,3,0),"미매핑")</f>
        <v>SKU001</v>
      </c>
      <c r="F1000">
        <f>IFERROR(VLOOKUP(원본데이터_리씽크!S96,채널매핑!$B:$E,4,0),1)</f>
        <v>4</v>
      </c>
      <c r="G1000">
        <f>원본데이터_리씽크!P96</f>
        <v>1</v>
      </c>
      <c r="H1000">
        <f>원본데이터_리씽크!O96</f>
        <v>45500</v>
      </c>
      <c r="I1000">
        <f>원본데이터_리씽크!X96</f>
        <v>45500</v>
      </c>
      <c r="J1000">
        <f>원본데이터_리씽크!X96</f>
        <v>45500</v>
      </c>
      <c r="K1000" t="str">
        <f>IFERROR(VLOOKUP(E1000,제품마스터!$A:$B,2,0),0)</f>
        <v>[워커힐] 시그니처 양념갈비 300G</v>
      </c>
      <c r="L1000">
        <f>원본데이터_리씽크!P96*원본데이터_리씽크!Q96*F1000</f>
        <v>0</v>
      </c>
    </row>
    <row r="1001" spans="1:12" x14ac:dyDescent="0.3">
      <c r="A1001" t="s">
        <v>196</v>
      </c>
      <c r="B1001" t="str">
        <f>TEXT(원본데이터_리씽크!B97,"0")</f>
        <v>2026020507573810000</v>
      </c>
      <c r="C1001" t="str">
        <f>IF(원본데이터_리씽크!A97="","",TEXT(원본데이터_리씽크!A97,"YYYY-MM-DD"))</f>
        <v>2026-02-05</v>
      </c>
      <c r="D1001">
        <f>원본데이터_리씽크!S97</f>
        <v>143790</v>
      </c>
      <c r="E1001" t="str">
        <f>IFERROR(VLOOKUP(원본데이터_리씽크!S97,채널매핑!$B:$D,3,0),"미매핑")</f>
        <v>SKU001</v>
      </c>
      <c r="F1001">
        <f>IFERROR(VLOOKUP(원본데이터_리씽크!S97,채널매핑!$B:$E,4,0),1)</f>
        <v>4</v>
      </c>
      <c r="G1001">
        <f>원본데이터_리씽크!P97</f>
        <v>1</v>
      </c>
      <c r="H1001">
        <f>원본데이터_리씽크!O97</f>
        <v>45500</v>
      </c>
      <c r="I1001">
        <f>원본데이터_리씽크!X97</f>
        <v>45500</v>
      </c>
      <c r="J1001">
        <f>원본데이터_리씽크!X97</f>
        <v>45500</v>
      </c>
      <c r="K1001" t="str">
        <f>IFERROR(VLOOKUP(E1001,제품마스터!$A:$B,2,0),0)</f>
        <v>[워커힐] 시그니처 양념갈비 300G</v>
      </c>
      <c r="L1001">
        <f>원본데이터_리씽크!P97*원본데이터_리씽크!Q97*F1001</f>
        <v>0</v>
      </c>
    </row>
    <row r="1002" spans="1:12" x14ac:dyDescent="0.3">
      <c r="A1002" t="s">
        <v>196</v>
      </c>
      <c r="B1002" t="str">
        <f>TEXT(원본데이터_리씽크!B98,"0")</f>
        <v>2026020508003560000</v>
      </c>
      <c r="C1002" t="str">
        <f>IF(원본데이터_리씽크!A98="","",TEXT(원본데이터_리씽크!A98,"YYYY-MM-DD"))</f>
        <v>2026-02-05</v>
      </c>
      <c r="D1002">
        <f>원본데이터_리씽크!S98</f>
        <v>143790</v>
      </c>
      <c r="E1002" t="str">
        <f>IFERROR(VLOOKUP(원본데이터_리씽크!S98,채널매핑!$B:$D,3,0),"미매핑")</f>
        <v>SKU001</v>
      </c>
      <c r="F1002">
        <f>IFERROR(VLOOKUP(원본데이터_리씽크!S98,채널매핑!$B:$E,4,0),1)</f>
        <v>4</v>
      </c>
      <c r="G1002">
        <f>원본데이터_리씽크!P98</f>
        <v>1</v>
      </c>
      <c r="H1002">
        <f>원본데이터_리씽크!O98</f>
        <v>45500</v>
      </c>
      <c r="I1002">
        <f>원본데이터_리씽크!X98</f>
        <v>45500</v>
      </c>
      <c r="J1002">
        <f>원본데이터_리씽크!X98</f>
        <v>45500</v>
      </c>
      <c r="K1002" t="str">
        <f>IFERROR(VLOOKUP(E1002,제품마스터!$A:$B,2,0),0)</f>
        <v>[워커힐] 시그니처 양념갈비 300G</v>
      </c>
      <c r="L1002">
        <f>원본데이터_리씽크!P98*원본데이터_리씽크!Q98*F1002</f>
        <v>0</v>
      </c>
    </row>
    <row r="1003" spans="1:12" x14ac:dyDescent="0.3">
      <c r="A1003" t="s">
        <v>196</v>
      </c>
      <c r="B1003" t="str">
        <f>TEXT(원본데이터_리씽크!B99,"0")</f>
        <v>2026020507591000000</v>
      </c>
      <c r="C1003" t="str">
        <f>IF(원본데이터_리씽크!A99="","",TEXT(원본데이터_리씽크!A99,"YYYY-MM-DD"))</f>
        <v>2026-02-05</v>
      </c>
      <c r="D1003">
        <f>원본데이터_리씽크!S99</f>
        <v>143790</v>
      </c>
      <c r="E1003" t="str">
        <f>IFERROR(VLOOKUP(원본데이터_리씽크!S99,채널매핑!$B:$D,3,0),"미매핑")</f>
        <v>SKU001</v>
      </c>
      <c r="F1003">
        <f>IFERROR(VLOOKUP(원본데이터_리씽크!S99,채널매핑!$B:$E,4,0),1)</f>
        <v>4</v>
      </c>
      <c r="G1003">
        <f>원본데이터_리씽크!P99</f>
        <v>1</v>
      </c>
      <c r="H1003">
        <f>원본데이터_리씽크!O99</f>
        <v>45500</v>
      </c>
      <c r="I1003">
        <f>원본데이터_리씽크!X99</f>
        <v>45500</v>
      </c>
      <c r="J1003">
        <f>원본데이터_리씽크!X99</f>
        <v>45500</v>
      </c>
      <c r="K1003" t="str">
        <f>IFERROR(VLOOKUP(E1003,제품마스터!$A:$B,2,0),0)</f>
        <v>[워커힐] 시그니처 양념갈비 300G</v>
      </c>
      <c r="L1003">
        <f>원본데이터_리씽크!P99*원본데이터_리씽크!Q99*F1003</f>
        <v>0</v>
      </c>
    </row>
    <row r="1004" spans="1:12" x14ac:dyDescent="0.3">
      <c r="A1004" t="s">
        <v>196</v>
      </c>
      <c r="B1004" t="str">
        <f>TEXT(원본데이터_리씽크!B100,"0")</f>
        <v>2026020507595980000</v>
      </c>
      <c r="C1004" t="str">
        <f>IF(원본데이터_리씽크!A100="","",TEXT(원본데이터_리씽크!A100,"YYYY-MM-DD"))</f>
        <v>2026-02-05</v>
      </c>
      <c r="D1004">
        <f>원본데이터_리씽크!S100</f>
        <v>143790</v>
      </c>
      <c r="E1004" t="str">
        <f>IFERROR(VLOOKUP(원본데이터_리씽크!S100,채널매핑!$B:$D,3,0),"미매핑")</f>
        <v>SKU001</v>
      </c>
      <c r="F1004">
        <f>IFERROR(VLOOKUP(원본데이터_리씽크!S100,채널매핑!$B:$E,4,0),1)</f>
        <v>4</v>
      </c>
      <c r="G1004">
        <f>원본데이터_리씽크!P100</f>
        <v>1</v>
      </c>
      <c r="H1004">
        <f>원본데이터_리씽크!O100</f>
        <v>45500</v>
      </c>
      <c r="I1004">
        <f>원본데이터_리씽크!X100</f>
        <v>45500</v>
      </c>
      <c r="J1004">
        <f>원본데이터_리씽크!X100</f>
        <v>45500</v>
      </c>
      <c r="K1004" t="str">
        <f>IFERROR(VLOOKUP(E1004,제품마스터!$A:$B,2,0),0)</f>
        <v>[워커힐] 시그니처 양념갈비 300G</v>
      </c>
      <c r="L1004">
        <f>원본데이터_리씽크!P100*원본데이터_리씽크!Q100*F1004</f>
        <v>0</v>
      </c>
    </row>
    <row r="1005" spans="1:12" x14ac:dyDescent="0.3">
      <c r="A1005" t="s">
        <v>196</v>
      </c>
      <c r="B1005" t="str">
        <f>TEXT(원본데이터_리씽크!B101,"0")</f>
        <v>2026020507581490000</v>
      </c>
      <c r="C1005" t="str">
        <f>IF(원본데이터_리씽크!A101="","",TEXT(원본데이터_리씽크!A101,"YYYY-MM-DD"))</f>
        <v>2026-02-05</v>
      </c>
      <c r="D1005">
        <f>원본데이터_리씽크!S101</f>
        <v>143790</v>
      </c>
      <c r="E1005" t="str">
        <f>IFERROR(VLOOKUP(원본데이터_리씽크!S101,채널매핑!$B:$D,3,0),"미매핑")</f>
        <v>SKU001</v>
      </c>
      <c r="F1005">
        <f>IFERROR(VLOOKUP(원본데이터_리씽크!S101,채널매핑!$B:$E,4,0),1)</f>
        <v>4</v>
      </c>
      <c r="G1005">
        <f>원본데이터_리씽크!P101</f>
        <v>1</v>
      </c>
      <c r="H1005">
        <f>원본데이터_리씽크!O101</f>
        <v>45500</v>
      </c>
      <c r="I1005">
        <f>원본데이터_리씽크!X101</f>
        <v>45500</v>
      </c>
      <c r="J1005">
        <f>원본데이터_리씽크!X101</f>
        <v>45500</v>
      </c>
      <c r="K1005" t="str">
        <f>IFERROR(VLOOKUP(E1005,제품마스터!$A:$B,2,0),0)</f>
        <v>[워커힐] 시그니처 양념갈비 300G</v>
      </c>
      <c r="L1005">
        <f>원본데이터_리씽크!P101*원본데이터_리씽크!Q101*F1005</f>
        <v>0</v>
      </c>
    </row>
    <row r="1006" spans="1:12" x14ac:dyDescent="0.3">
      <c r="A1006" t="s">
        <v>196</v>
      </c>
      <c r="B1006" t="str">
        <f>TEXT(원본데이터_리씽크!B102,"0")</f>
        <v>2026020507584800000</v>
      </c>
      <c r="C1006" t="str">
        <f>IF(원본데이터_리씽크!A102="","",TEXT(원본데이터_리씽크!A102,"YYYY-MM-DD"))</f>
        <v>2026-02-05</v>
      </c>
      <c r="D1006">
        <f>원본데이터_리씽크!S102</f>
        <v>143790</v>
      </c>
      <c r="E1006" t="str">
        <f>IFERROR(VLOOKUP(원본데이터_리씽크!S102,채널매핑!$B:$D,3,0),"미매핑")</f>
        <v>SKU001</v>
      </c>
      <c r="F1006">
        <f>IFERROR(VLOOKUP(원본데이터_리씽크!S102,채널매핑!$B:$E,4,0),1)</f>
        <v>4</v>
      </c>
      <c r="G1006">
        <f>원본데이터_리씽크!P102</f>
        <v>1</v>
      </c>
      <c r="H1006">
        <f>원본데이터_리씽크!O102</f>
        <v>45500</v>
      </c>
      <c r="I1006">
        <f>원본데이터_리씽크!X102</f>
        <v>45500</v>
      </c>
      <c r="J1006">
        <f>원본데이터_리씽크!X102</f>
        <v>45500</v>
      </c>
      <c r="K1006" t="str">
        <f>IFERROR(VLOOKUP(E1006,제품마스터!$A:$B,2,0),0)</f>
        <v>[워커힐] 시그니처 양념갈비 300G</v>
      </c>
      <c r="L1006">
        <f>원본데이터_리씽크!P102*원본데이터_리씽크!Q102*F1006</f>
        <v>0</v>
      </c>
    </row>
    <row r="1007" spans="1:12" x14ac:dyDescent="0.3">
      <c r="A1007" t="s">
        <v>196</v>
      </c>
      <c r="B1007" t="str">
        <f>TEXT(원본데이터_리씽크!B103,"0")</f>
        <v>2026020507572900000</v>
      </c>
      <c r="C1007" t="str">
        <f>IF(원본데이터_리씽크!A103="","",TEXT(원본데이터_리씽크!A103,"YYYY-MM-DD"))</f>
        <v>2026-02-05</v>
      </c>
      <c r="D1007">
        <f>원본데이터_리씽크!S103</f>
        <v>143790</v>
      </c>
      <c r="E1007" t="str">
        <f>IFERROR(VLOOKUP(원본데이터_리씽크!S103,채널매핑!$B:$D,3,0),"미매핑")</f>
        <v>SKU001</v>
      </c>
      <c r="F1007">
        <f>IFERROR(VLOOKUP(원본데이터_리씽크!S103,채널매핑!$B:$E,4,0),1)</f>
        <v>4</v>
      </c>
      <c r="G1007">
        <f>원본데이터_리씽크!P103</f>
        <v>1</v>
      </c>
      <c r="H1007">
        <f>원본데이터_리씽크!O103</f>
        <v>45500</v>
      </c>
      <c r="I1007">
        <f>원본데이터_리씽크!X103</f>
        <v>45500</v>
      </c>
      <c r="J1007">
        <f>원본데이터_리씽크!X103</f>
        <v>45500</v>
      </c>
      <c r="K1007" t="str">
        <f>IFERROR(VLOOKUP(E1007,제품마스터!$A:$B,2,0),0)</f>
        <v>[워커힐] 시그니처 양념갈비 300G</v>
      </c>
      <c r="L1007">
        <f>원본데이터_리씽크!P103*원본데이터_리씽크!Q103*F1007</f>
        <v>0</v>
      </c>
    </row>
    <row r="1008" spans="1:12" x14ac:dyDescent="0.3">
      <c r="A1008" t="s">
        <v>196</v>
      </c>
      <c r="B1008" t="str">
        <f>TEXT(원본데이터_리씽크!B104,"0")</f>
        <v>2026020507580320000</v>
      </c>
      <c r="C1008" t="str">
        <f>IF(원본데이터_리씽크!A104="","",TEXT(원본데이터_리씽크!A104,"YYYY-MM-DD"))</f>
        <v>2026-02-05</v>
      </c>
      <c r="D1008">
        <f>원본데이터_리씽크!S104</f>
        <v>143790</v>
      </c>
      <c r="E1008" t="str">
        <f>IFERROR(VLOOKUP(원본데이터_리씽크!S104,채널매핑!$B:$D,3,0),"미매핑")</f>
        <v>SKU001</v>
      </c>
      <c r="F1008">
        <f>IFERROR(VLOOKUP(원본데이터_리씽크!S104,채널매핑!$B:$E,4,0),1)</f>
        <v>4</v>
      </c>
      <c r="G1008">
        <f>원본데이터_리씽크!P104</f>
        <v>1</v>
      </c>
      <c r="H1008">
        <f>원본데이터_리씽크!O104</f>
        <v>45500</v>
      </c>
      <c r="I1008">
        <f>원본데이터_리씽크!X104</f>
        <v>45500</v>
      </c>
      <c r="J1008">
        <f>원본데이터_리씽크!X104</f>
        <v>45500</v>
      </c>
      <c r="K1008" t="str">
        <f>IFERROR(VLOOKUP(E1008,제품마스터!$A:$B,2,0),0)</f>
        <v>[워커힐] 시그니처 양념갈비 300G</v>
      </c>
      <c r="L1008">
        <f>원본데이터_리씽크!P104*원본데이터_리씽크!Q104*F1008</f>
        <v>0</v>
      </c>
    </row>
    <row r="1009" spans="1:12" x14ac:dyDescent="0.3">
      <c r="A1009" t="s">
        <v>196</v>
      </c>
      <c r="B1009" t="str">
        <f>TEXT(원본데이터_리씽크!B105,"0")</f>
        <v>2026020507585600000</v>
      </c>
      <c r="C1009" t="str">
        <f>IF(원본데이터_리씽크!A105="","",TEXT(원본데이터_리씽크!A105,"YYYY-MM-DD"))</f>
        <v>2026-02-05</v>
      </c>
      <c r="D1009">
        <f>원본데이터_리씽크!S105</f>
        <v>143790</v>
      </c>
      <c r="E1009" t="str">
        <f>IFERROR(VLOOKUP(원본데이터_리씽크!S105,채널매핑!$B:$D,3,0),"미매핑")</f>
        <v>SKU001</v>
      </c>
      <c r="F1009">
        <f>IFERROR(VLOOKUP(원본데이터_리씽크!S105,채널매핑!$B:$E,4,0),1)</f>
        <v>4</v>
      </c>
      <c r="G1009">
        <f>원본데이터_리씽크!P105</f>
        <v>1</v>
      </c>
      <c r="H1009">
        <f>원본데이터_리씽크!O105</f>
        <v>45500</v>
      </c>
      <c r="I1009">
        <f>원본데이터_리씽크!X105</f>
        <v>45500</v>
      </c>
      <c r="J1009">
        <f>원본데이터_리씽크!X105</f>
        <v>45500</v>
      </c>
      <c r="K1009" t="str">
        <f>IFERROR(VLOOKUP(E1009,제품마스터!$A:$B,2,0),0)</f>
        <v>[워커힐] 시그니처 양념갈비 300G</v>
      </c>
      <c r="L1009">
        <f>원본데이터_리씽크!P105*원본데이터_리씽크!Q105*F1009</f>
        <v>0</v>
      </c>
    </row>
    <row r="1010" spans="1:12" x14ac:dyDescent="0.3">
      <c r="A1010" t="s">
        <v>196</v>
      </c>
      <c r="B1010" t="str">
        <f>TEXT(원본데이터_리씽크!B106,"0")</f>
        <v>2026020507571250000</v>
      </c>
      <c r="C1010" t="str">
        <f>IF(원본데이터_리씽크!A106="","",TEXT(원본데이터_리씽크!A106,"YYYY-MM-DD"))</f>
        <v>2026-02-05</v>
      </c>
      <c r="D1010">
        <f>원본데이터_리씽크!S106</f>
        <v>143790</v>
      </c>
      <c r="E1010" t="str">
        <f>IFERROR(VLOOKUP(원본데이터_리씽크!S106,채널매핑!$B:$D,3,0),"미매핑")</f>
        <v>SKU001</v>
      </c>
      <c r="F1010">
        <f>IFERROR(VLOOKUP(원본데이터_리씽크!S106,채널매핑!$B:$E,4,0),1)</f>
        <v>4</v>
      </c>
      <c r="G1010">
        <f>원본데이터_리씽크!P106</f>
        <v>2</v>
      </c>
      <c r="H1010">
        <f>원본데이터_리씽크!O106</f>
        <v>45500</v>
      </c>
      <c r="I1010">
        <f>원본데이터_리씽크!X106</f>
        <v>91000</v>
      </c>
      <c r="J1010">
        <f>원본데이터_리씽크!X106</f>
        <v>91000</v>
      </c>
      <c r="K1010" t="str">
        <f>IFERROR(VLOOKUP(E1010,제품마스터!$A:$B,2,0),0)</f>
        <v>[워커힐] 시그니처 양념갈비 300G</v>
      </c>
      <c r="L1010">
        <f>원본데이터_리씽크!P106*원본데이터_리씽크!Q106*F1010</f>
        <v>0</v>
      </c>
    </row>
    <row r="1011" spans="1:12" x14ac:dyDescent="0.3">
      <c r="A1011" t="s">
        <v>196</v>
      </c>
      <c r="B1011" t="str">
        <f>TEXT(원본데이터_리씽크!B107,"0")</f>
        <v>2026020507575500000</v>
      </c>
      <c r="C1011" t="str">
        <f>IF(원본데이터_리씽크!A107="","",TEXT(원본데이터_리씽크!A107,"YYYY-MM-DD"))</f>
        <v>2026-02-05</v>
      </c>
      <c r="D1011">
        <f>원본데이터_리씽크!S107</f>
        <v>143790</v>
      </c>
      <c r="E1011" t="str">
        <f>IFERROR(VLOOKUP(원본데이터_리씽크!S107,채널매핑!$B:$D,3,0),"미매핑")</f>
        <v>SKU001</v>
      </c>
      <c r="F1011">
        <f>IFERROR(VLOOKUP(원본데이터_리씽크!S107,채널매핑!$B:$E,4,0),1)</f>
        <v>4</v>
      </c>
      <c r="G1011">
        <f>원본데이터_리씽크!P107</f>
        <v>1</v>
      </c>
      <c r="H1011">
        <f>원본데이터_리씽크!O107</f>
        <v>45500</v>
      </c>
      <c r="I1011">
        <f>원본데이터_리씽크!X107</f>
        <v>45500</v>
      </c>
      <c r="J1011">
        <f>원본데이터_리씽크!X107</f>
        <v>45500</v>
      </c>
      <c r="K1011" t="str">
        <f>IFERROR(VLOOKUP(E1011,제품마스터!$A:$B,2,0),0)</f>
        <v>[워커힐] 시그니처 양념갈비 300G</v>
      </c>
      <c r="L1011">
        <f>원본데이터_리씽크!P107*원본데이터_리씽크!Q107*F1011</f>
        <v>0</v>
      </c>
    </row>
    <row r="1012" spans="1:12" x14ac:dyDescent="0.3">
      <c r="A1012" t="s">
        <v>196</v>
      </c>
      <c r="B1012" t="str">
        <f>TEXT(원본데이터_리씽크!B108,"0")</f>
        <v>2026020507591350000</v>
      </c>
      <c r="C1012" t="str">
        <f>IF(원본데이터_리씽크!A108="","",TEXT(원본데이터_리씽크!A108,"YYYY-MM-DD"))</f>
        <v>2026-02-05</v>
      </c>
      <c r="D1012">
        <f>원본데이터_리씽크!S108</f>
        <v>143790</v>
      </c>
      <c r="E1012" t="str">
        <f>IFERROR(VLOOKUP(원본데이터_리씽크!S108,채널매핑!$B:$D,3,0),"미매핑")</f>
        <v>SKU001</v>
      </c>
      <c r="F1012">
        <f>IFERROR(VLOOKUP(원본데이터_리씽크!S108,채널매핑!$B:$E,4,0),1)</f>
        <v>4</v>
      </c>
      <c r="G1012">
        <f>원본데이터_리씽크!P108</f>
        <v>1</v>
      </c>
      <c r="H1012">
        <f>원본데이터_리씽크!O108</f>
        <v>45500</v>
      </c>
      <c r="I1012">
        <f>원본데이터_리씽크!X108</f>
        <v>45500</v>
      </c>
      <c r="J1012">
        <f>원본데이터_리씽크!X108</f>
        <v>45500</v>
      </c>
      <c r="K1012" t="str">
        <f>IFERROR(VLOOKUP(E1012,제품마스터!$A:$B,2,0),0)</f>
        <v>[워커힐] 시그니처 양념갈비 300G</v>
      </c>
      <c r="L1012">
        <f>원본데이터_리씽크!P108*원본데이터_리씽크!Q108*F1012</f>
        <v>0</v>
      </c>
    </row>
    <row r="1013" spans="1:12" x14ac:dyDescent="0.3">
      <c r="A1013" t="s">
        <v>196</v>
      </c>
      <c r="B1013" t="str">
        <f>TEXT(원본데이터_리씽크!B109,"0")</f>
        <v>2026020507561740000</v>
      </c>
      <c r="C1013" t="str">
        <f>IF(원본데이터_리씽크!A109="","",TEXT(원본데이터_리씽크!A109,"YYYY-MM-DD"))</f>
        <v>2026-02-05</v>
      </c>
      <c r="D1013">
        <f>원본데이터_리씽크!S109</f>
        <v>143790</v>
      </c>
      <c r="E1013" t="str">
        <f>IFERROR(VLOOKUP(원본데이터_리씽크!S109,채널매핑!$B:$D,3,0),"미매핑")</f>
        <v>SKU001</v>
      </c>
      <c r="F1013">
        <f>IFERROR(VLOOKUP(원본데이터_리씽크!S109,채널매핑!$B:$E,4,0),1)</f>
        <v>4</v>
      </c>
      <c r="G1013">
        <f>원본데이터_리씽크!P109</f>
        <v>2</v>
      </c>
      <c r="H1013">
        <f>원본데이터_리씽크!O109</f>
        <v>45500</v>
      </c>
      <c r="I1013">
        <f>원본데이터_리씽크!X109</f>
        <v>91000</v>
      </c>
      <c r="J1013">
        <f>원본데이터_리씽크!X109</f>
        <v>91000</v>
      </c>
      <c r="K1013" t="str">
        <f>IFERROR(VLOOKUP(E1013,제품마스터!$A:$B,2,0),0)</f>
        <v>[워커힐] 시그니처 양념갈비 300G</v>
      </c>
      <c r="L1013">
        <f>원본데이터_리씽크!P109*원본데이터_리씽크!Q109*F1013</f>
        <v>0</v>
      </c>
    </row>
    <row r="1014" spans="1:12" x14ac:dyDescent="0.3">
      <c r="A1014" t="s">
        <v>196</v>
      </c>
      <c r="B1014" t="str">
        <f>TEXT(원본데이터_리씽크!B110,"0")</f>
        <v>2026020507584610000</v>
      </c>
      <c r="C1014" t="str">
        <f>IF(원본데이터_리씽크!A110="","",TEXT(원본데이터_리씽크!A110,"YYYY-MM-DD"))</f>
        <v>2026-02-05</v>
      </c>
      <c r="D1014">
        <f>원본데이터_리씽크!S110</f>
        <v>143790</v>
      </c>
      <c r="E1014" t="str">
        <f>IFERROR(VLOOKUP(원본데이터_리씽크!S110,채널매핑!$B:$D,3,0),"미매핑")</f>
        <v>SKU001</v>
      </c>
      <c r="F1014">
        <f>IFERROR(VLOOKUP(원본데이터_리씽크!S110,채널매핑!$B:$E,4,0),1)</f>
        <v>4</v>
      </c>
      <c r="G1014">
        <f>원본데이터_리씽크!P110</f>
        <v>1</v>
      </c>
      <c r="H1014">
        <f>원본데이터_리씽크!O110</f>
        <v>45500</v>
      </c>
      <c r="I1014">
        <f>원본데이터_리씽크!X110</f>
        <v>45500</v>
      </c>
      <c r="J1014">
        <f>원본데이터_리씽크!X110</f>
        <v>45500</v>
      </c>
      <c r="K1014" t="str">
        <f>IFERROR(VLOOKUP(E1014,제품마스터!$A:$B,2,0),0)</f>
        <v>[워커힐] 시그니처 양념갈비 300G</v>
      </c>
      <c r="L1014">
        <f>원본데이터_리씽크!P110*원본데이터_리씽크!Q110*F1014</f>
        <v>0</v>
      </c>
    </row>
    <row r="1015" spans="1:12" x14ac:dyDescent="0.3">
      <c r="A1015" t="s">
        <v>196</v>
      </c>
      <c r="B1015" t="str">
        <f>TEXT(원본데이터_리씽크!B111,"0")</f>
        <v>2026020507573010000</v>
      </c>
      <c r="C1015" t="str">
        <f>IF(원본데이터_리씽크!A111="","",TEXT(원본데이터_리씽크!A111,"YYYY-MM-DD"))</f>
        <v>2026-02-05</v>
      </c>
      <c r="D1015">
        <f>원본데이터_리씽크!S111</f>
        <v>143790</v>
      </c>
      <c r="E1015" t="str">
        <f>IFERROR(VLOOKUP(원본데이터_리씽크!S111,채널매핑!$B:$D,3,0),"미매핑")</f>
        <v>SKU001</v>
      </c>
      <c r="F1015">
        <f>IFERROR(VLOOKUP(원본데이터_리씽크!S111,채널매핑!$B:$E,4,0),1)</f>
        <v>4</v>
      </c>
      <c r="G1015">
        <f>원본데이터_리씽크!P111</f>
        <v>1</v>
      </c>
      <c r="H1015">
        <f>원본데이터_리씽크!O111</f>
        <v>45500</v>
      </c>
      <c r="I1015">
        <f>원본데이터_리씽크!X111</f>
        <v>45500</v>
      </c>
      <c r="J1015">
        <f>원본데이터_리씽크!X111</f>
        <v>45500</v>
      </c>
      <c r="K1015" t="str">
        <f>IFERROR(VLOOKUP(E1015,제품마스터!$A:$B,2,0),0)</f>
        <v>[워커힐] 시그니처 양념갈비 300G</v>
      </c>
      <c r="L1015">
        <f>원본데이터_리씽크!P111*원본데이터_리씽크!Q111*F1015</f>
        <v>0</v>
      </c>
    </row>
    <row r="1016" spans="1:12" x14ac:dyDescent="0.3">
      <c r="A1016" t="s">
        <v>196</v>
      </c>
      <c r="B1016" t="str">
        <f>TEXT(원본데이터_리씽크!B112,"0")</f>
        <v>2026020507590390000</v>
      </c>
      <c r="C1016" t="str">
        <f>IF(원본데이터_리씽크!A112="","",TEXT(원본데이터_리씽크!A112,"YYYY-MM-DD"))</f>
        <v>2026-02-05</v>
      </c>
      <c r="D1016">
        <f>원본데이터_리씽크!S112</f>
        <v>143790</v>
      </c>
      <c r="E1016" t="str">
        <f>IFERROR(VLOOKUP(원본데이터_리씽크!S112,채널매핑!$B:$D,3,0),"미매핑")</f>
        <v>SKU001</v>
      </c>
      <c r="F1016">
        <f>IFERROR(VLOOKUP(원본데이터_리씽크!S112,채널매핑!$B:$E,4,0),1)</f>
        <v>4</v>
      </c>
      <c r="G1016">
        <f>원본데이터_리씽크!P112</f>
        <v>1</v>
      </c>
      <c r="H1016">
        <f>원본데이터_리씽크!O112</f>
        <v>45500</v>
      </c>
      <c r="I1016">
        <f>원본데이터_리씽크!X112</f>
        <v>45500</v>
      </c>
      <c r="J1016">
        <f>원본데이터_리씽크!X112</f>
        <v>45500</v>
      </c>
      <c r="K1016" t="str">
        <f>IFERROR(VLOOKUP(E1016,제품마스터!$A:$B,2,0),0)</f>
        <v>[워커힐] 시그니처 양념갈비 300G</v>
      </c>
      <c r="L1016">
        <f>원본데이터_리씽크!P112*원본데이터_리씽크!Q112*F1016</f>
        <v>0</v>
      </c>
    </row>
    <row r="1017" spans="1:12" x14ac:dyDescent="0.3">
      <c r="A1017" t="s">
        <v>196</v>
      </c>
      <c r="B1017" t="str">
        <f>TEXT(원본데이터_리씽크!B113,"0")</f>
        <v>2026020507571800000</v>
      </c>
      <c r="C1017" t="str">
        <f>IF(원본데이터_리씽크!A113="","",TEXT(원본데이터_리씽크!A113,"YYYY-MM-DD"))</f>
        <v>2026-02-05</v>
      </c>
      <c r="D1017">
        <f>원본데이터_리씽크!S113</f>
        <v>143790</v>
      </c>
      <c r="E1017" t="str">
        <f>IFERROR(VLOOKUP(원본데이터_리씽크!S113,채널매핑!$B:$D,3,0),"미매핑")</f>
        <v>SKU001</v>
      </c>
      <c r="F1017">
        <f>IFERROR(VLOOKUP(원본데이터_리씽크!S113,채널매핑!$B:$E,4,0),1)</f>
        <v>4</v>
      </c>
      <c r="G1017">
        <f>원본데이터_리씽크!P113</f>
        <v>1</v>
      </c>
      <c r="H1017">
        <f>원본데이터_리씽크!O113</f>
        <v>45500</v>
      </c>
      <c r="I1017">
        <f>원본데이터_리씽크!X113</f>
        <v>45500</v>
      </c>
      <c r="J1017">
        <f>원본데이터_리씽크!X113</f>
        <v>45500</v>
      </c>
      <c r="K1017" t="str">
        <f>IFERROR(VLOOKUP(E1017,제품마스터!$A:$B,2,0),0)</f>
        <v>[워커힐] 시그니처 양념갈비 300G</v>
      </c>
      <c r="L1017">
        <f>원본데이터_리씽크!P113*원본데이터_리씽크!Q113*F1017</f>
        <v>0</v>
      </c>
    </row>
    <row r="1018" spans="1:12" x14ac:dyDescent="0.3">
      <c r="A1018" t="s">
        <v>196</v>
      </c>
      <c r="B1018" t="str">
        <f>TEXT(원본데이터_리씽크!B114,"0")</f>
        <v>2026020507575480000</v>
      </c>
      <c r="C1018" t="str">
        <f>IF(원본데이터_리씽크!A114="","",TEXT(원본데이터_리씽크!A114,"YYYY-MM-DD"))</f>
        <v>2026-02-05</v>
      </c>
      <c r="D1018">
        <f>원본데이터_리씽크!S114</f>
        <v>143790</v>
      </c>
      <c r="E1018" t="str">
        <f>IFERROR(VLOOKUP(원본데이터_리씽크!S114,채널매핑!$B:$D,3,0),"미매핑")</f>
        <v>SKU001</v>
      </c>
      <c r="F1018">
        <f>IFERROR(VLOOKUP(원본데이터_리씽크!S114,채널매핑!$B:$E,4,0),1)</f>
        <v>4</v>
      </c>
      <c r="G1018">
        <f>원본데이터_리씽크!P114</f>
        <v>1</v>
      </c>
      <c r="H1018">
        <f>원본데이터_리씽크!O114</f>
        <v>45500</v>
      </c>
      <c r="I1018">
        <f>원본데이터_리씽크!X114</f>
        <v>45500</v>
      </c>
      <c r="J1018">
        <f>원본데이터_리씽크!X114</f>
        <v>45500</v>
      </c>
      <c r="K1018" t="str">
        <f>IFERROR(VLOOKUP(E1018,제품마스터!$A:$B,2,0),0)</f>
        <v>[워커힐] 시그니처 양념갈비 300G</v>
      </c>
      <c r="L1018">
        <f>원본데이터_리씽크!P114*원본데이터_리씽크!Q114*F1018</f>
        <v>0</v>
      </c>
    </row>
    <row r="1019" spans="1:12" x14ac:dyDescent="0.3">
      <c r="A1019" t="s">
        <v>196</v>
      </c>
      <c r="B1019" t="str">
        <f>TEXT(원본데이터_리씽크!B115,"0")</f>
        <v>2026020507572700000</v>
      </c>
      <c r="C1019" t="str">
        <f>IF(원본데이터_리씽크!A115="","",TEXT(원본데이터_리씽크!A115,"YYYY-MM-DD"))</f>
        <v>2026-02-05</v>
      </c>
      <c r="D1019">
        <f>원본데이터_리씽크!S115</f>
        <v>143790</v>
      </c>
      <c r="E1019" t="str">
        <f>IFERROR(VLOOKUP(원본데이터_리씽크!S115,채널매핑!$B:$D,3,0),"미매핑")</f>
        <v>SKU001</v>
      </c>
      <c r="F1019">
        <f>IFERROR(VLOOKUP(원본데이터_리씽크!S115,채널매핑!$B:$E,4,0),1)</f>
        <v>4</v>
      </c>
      <c r="G1019">
        <f>원본데이터_리씽크!P115</f>
        <v>2</v>
      </c>
      <c r="H1019">
        <f>원본데이터_리씽크!O115</f>
        <v>45500</v>
      </c>
      <c r="I1019">
        <f>원본데이터_리씽크!X115</f>
        <v>91000</v>
      </c>
      <c r="J1019">
        <f>원본데이터_리씽크!X115</f>
        <v>91000</v>
      </c>
      <c r="K1019" t="str">
        <f>IFERROR(VLOOKUP(E1019,제품마스터!$A:$B,2,0),0)</f>
        <v>[워커힐] 시그니처 양념갈비 300G</v>
      </c>
      <c r="L1019">
        <f>원본데이터_리씽크!P115*원본데이터_리씽크!Q115*F1019</f>
        <v>0</v>
      </c>
    </row>
    <row r="1020" spans="1:12" x14ac:dyDescent="0.3">
      <c r="A1020" t="s">
        <v>196</v>
      </c>
      <c r="B1020" t="str">
        <f>TEXT(원본데이터_리씽크!B116,"0")</f>
        <v>2026020507560990000</v>
      </c>
      <c r="C1020" t="str">
        <f>IF(원본데이터_리씽크!A116="","",TEXT(원본데이터_리씽크!A116,"YYYY-MM-DD"))</f>
        <v>2026-02-05</v>
      </c>
      <c r="D1020">
        <f>원본데이터_리씽크!S116</f>
        <v>143790</v>
      </c>
      <c r="E1020" t="str">
        <f>IFERROR(VLOOKUP(원본데이터_리씽크!S116,채널매핑!$B:$D,3,0),"미매핑")</f>
        <v>SKU001</v>
      </c>
      <c r="F1020">
        <f>IFERROR(VLOOKUP(원본데이터_리씽크!S116,채널매핑!$B:$E,4,0),1)</f>
        <v>4</v>
      </c>
      <c r="G1020">
        <f>원본데이터_리씽크!P116</f>
        <v>2</v>
      </c>
      <c r="H1020">
        <f>원본데이터_리씽크!O116</f>
        <v>45500</v>
      </c>
      <c r="I1020">
        <f>원본데이터_리씽크!X116</f>
        <v>91000</v>
      </c>
      <c r="J1020">
        <f>원본데이터_리씽크!X116</f>
        <v>91000</v>
      </c>
      <c r="K1020" t="str">
        <f>IFERROR(VLOOKUP(E1020,제품마스터!$A:$B,2,0),0)</f>
        <v>[워커힐] 시그니처 양념갈비 300G</v>
      </c>
      <c r="L1020">
        <f>원본데이터_리씽크!P116*원본데이터_리씽크!Q116*F1020</f>
        <v>0</v>
      </c>
    </row>
    <row r="1021" spans="1:12" x14ac:dyDescent="0.3">
      <c r="A1021" t="s">
        <v>196</v>
      </c>
      <c r="B1021" t="str">
        <f>TEXT(원본데이터_리씽크!B117,"0")</f>
        <v>2026020507574720000</v>
      </c>
      <c r="C1021" t="str">
        <f>IF(원본데이터_리씽크!A117="","",TEXT(원본데이터_리씽크!A117,"YYYY-MM-DD"))</f>
        <v>2026-02-05</v>
      </c>
      <c r="D1021">
        <f>원본데이터_리씽크!S117</f>
        <v>143790</v>
      </c>
      <c r="E1021" t="str">
        <f>IFERROR(VLOOKUP(원본데이터_리씽크!S117,채널매핑!$B:$D,3,0),"미매핑")</f>
        <v>SKU001</v>
      </c>
      <c r="F1021">
        <f>IFERROR(VLOOKUP(원본데이터_리씽크!S117,채널매핑!$B:$E,4,0),1)</f>
        <v>4</v>
      </c>
      <c r="G1021">
        <f>원본데이터_리씽크!P117</f>
        <v>1</v>
      </c>
      <c r="H1021">
        <f>원본데이터_리씽크!O117</f>
        <v>45500</v>
      </c>
      <c r="I1021">
        <f>원본데이터_리씽크!X117</f>
        <v>45500</v>
      </c>
      <c r="J1021">
        <f>원본데이터_리씽크!X117</f>
        <v>45500</v>
      </c>
      <c r="K1021" t="str">
        <f>IFERROR(VLOOKUP(E1021,제품마스터!$A:$B,2,0),0)</f>
        <v>[워커힐] 시그니처 양념갈비 300G</v>
      </c>
      <c r="L1021">
        <f>원본데이터_리씽크!P117*원본데이터_리씽크!Q117*F1021</f>
        <v>0</v>
      </c>
    </row>
    <row r="1022" spans="1:12" x14ac:dyDescent="0.3">
      <c r="A1022" t="s">
        <v>196</v>
      </c>
      <c r="B1022" t="str">
        <f>TEXT(원본데이터_리씽크!B118,"0")</f>
        <v>2026020507543460000</v>
      </c>
      <c r="C1022" t="str">
        <f>IF(원본데이터_리씽크!A118="","",TEXT(원본데이터_리씽크!A118,"YYYY-MM-DD"))</f>
        <v>2026-02-05</v>
      </c>
      <c r="D1022">
        <f>원본데이터_리씽크!S118</f>
        <v>143790</v>
      </c>
      <c r="E1022" t="str">
        <f>IFERROR(VLOOKUP(원본데이터_리씽크!S118,채널매핑!$B:$D,3,0),"미매핑")</f>
        <v>SKU001</v>
      </c>
      <c r="F1022">
        <f>IFERROR(VLOOKUP(원본데이터_리씽크!S118,채널매핑!$B:$E,4,0),1)</f>
        <v>4</v>
      </c>
      <c r="G1022">
        <f>원본데이터_리씽크!P118</f>
        <v>1</v>
      </c>
      <c r="H1022">
        <f>원본데이터_리씽크!O118</f>
        <v>45500</v>
      </c>
      <c r="I1022">
        <f>원본데이터_리씽크!X118</f>
        <v>45500</v>
      </c>
      <c r="J1022">
        <f>원본데이터_리씽크!X118</f>
        <v>45500</v>
      </c>
      <c r="K1022" t="str">
        <f>IFERROR(VLOOKUP(E1022,제품마스터!$A:$B,2,0),0)</f>
        <v>[워커힐] 시그니처 양념갈비 300G</v>
      </c>
      <c r="L1022">
        <f>원본데이터_리씽크!P118*원본데이터_리씽크!Q118*F1022</f>
        <v>0</v>
      </c>
    </row>
    <row r="1023" spans="1:12" x14ac:dyDescent="0.3">
      <c r="A1023" t="s">
        <v>196</v>
      </c>
      <c r="B1023" t="str">
        <f>TEXT(원본데이터_리씽크!B119,"0")</f>
        <v>2026020507583630000</v>
      </c>
      <c r="C1023" t="str">
        <f>IF(원본데이터_리씽크!A119="","",TEXT(원본데이터_리씽크!A119,"YYYY-MM-DD"))</f>
        <v>2026-02-05</v>
      </c>
      <c r="D1023">
        <f>원본데이터_리씽크!S119</f>
        <v>143790</v>
      </c>
      <c r="E1023" t="str">
        <f>IFERROR(VLOOKUP(원본데이터_리씽크!S119,채널매핑!$B:$D,3,0),"미매핑")</f>
        <v>SKU001</v>
      </c>
      <c r="F1023">
        <f>IFERROR(VLOOKUP(원본데이터_리씽크!S119,채널매핑!$B:$E,4,0),1)</f>
        <v>4</v>
      </c>
      <c r="G1023">
        <f>원본데이터_리씽크!P119</f>
        <v>1</v>
      </c>
      <c r="H1023">
        <f>원본데이터_리씽크!O119</f>
        <v>45500</v>
      </c>
      <c r="I1023">
        <f>원본데이터_리씽크!X119</f>
        <v>45500</v>
      </c>
      <c r="J1023">
        <f>원본데이터_리씽크!X119</f>
        <v>45500</v>
      </c>
      <c r="K1023" t="str">
        <f>IFERROR(VLOOKUP(E1023,제품마스터!$A:$B,2,0),0)</f>
        <v>[워커힐] 시그니처 양념갈비 300G</v>
      </c>
      <c r="L1023">
        <f>원본데이터_리씽크!P119*원본데이터_리씽크!Q119*F1023</f>
        <v>0</v>
      </c>
    </row>
    <row r="1024" spans="1:12" x14ac:dyDescent="0.3">
      <c r="A1024" t="s">
        <v>196</v>
      </c>
      <c r="B1024" t="str">
        <f>TEXT(원본데이터_리씽크!B120,"0")</f>
        <v>2026020507553340000</v>
      </c>
      <c r="C1024" t="str">
        <f>IF(원본데이터_리씽크!A120="","",TEXT(원본데이터_리씽크!A120,"YYYY-MM-DD"))</f>
        <v>2026-02-05</v>
      </c>
      <c r="D1024">
        <f>원본데이터_리씽크!S120</f>
        <v>143790</v>
      </c>
      <c r="E1024" t="str">
        <f>IFERROR(VLOOKUP(원본데이터_리씽크!S120,채널매핑!$B:$D,3,0),"미매핑")</f>
        <v>SKU001</v>
      </c>
      <c r="F1024">
        <f>IFERROR(VLOOKUP(원본데이터_리씽크!S120,채널매핑!$B:$E,4,0),1)</f>
        <v>4</v>
      </c>
      <c r="G1024">
        <f>원본데이터_리씽크!P120</f>
        <v>1</v>
      </c>
      <c r="H1024">
        <f>원본데이터_리씽크!O120</f>
        <v>45500</v>
      </c>
      <c r="I1024">
        <f>원본데이터_리씽크!X120</f>
        <v>45500</v>
      </c>
      <c r="J1024">
        <f>원본데이터_리씽크!X120</f>
        <v>45500</v>
      </c>
      <c r="K1024" t="str">
        <f>IFERROR(VLOOKUP(E1024,제품마스터!$A:$B,2,0),0)</f>
        <v>[워커힐] 시그니처 양념갈비 300G</v>
      </c>
      <c r="L1024">
        <f>원본데이터_리씽크!P120*원본데이터_리씽크!Q120*F1024</f>
        <v>0</v>
      </c>
    </row>
    <row r="1025" spans="1:12" x14ac:dyDescent="0.3">
      <c r="A1025" t="s">
        <v>196</v>
      </c>
      <c r="B1025" t="str">
        <f>TEXT(원본데이터_리씽크!B121,"0")</f>
        <v>2026020507572830000</v>
      </c>
      <c r="C1025" t="str">
        <f>IF(원본데이터_리씽크!A121="","",TEXT(원본데이터_리씽크!A121,"YYYY-MM-DD"))</f>
        <v>2026-02-05</v>
      </c>
      <c r="D1025">
        <f>원본데이터_리씽크!S121</f>
        <v>143790</v>
      </c>
      <c r="E1025" t="str">
        <f>IFERROR(VLOOKUP(원본데이터_리씽크!S121,채널매핑!$B:$D,3,0),"미매핑")</f>
        <v>SKU001</v>
      </c>
      <c r="F1025">
        <f>IFERROR(VLOOKUP(원본데이터_리씽크!S121,채널매핑!$B:$E,4,0),1)</f>
        <v>4</v>
      </c>
      <c r="G1025">
        <f>원본데이터_리씽크!P121</f>
        <v>1</v>
      </c>
      <c r="H1025">
        <f>원본데이터_리씽크!O121</f>
        <v>45500</v>
      </c>
      <c r="I1025">
        <f>원본데이터_리씽크!X121</f>
        <v>45500</v>
      </c>
      <c r="J1025">
        <f>원본데이터_리씽크!X121</f>
        <v>45500</v>
      </c>
      <c r="K1025" t="str">
        <f>IFERROR(VLOOKUP(E1025,제품마스터!$A:$B,2,0),0)</f>
        <v>[워커힐] 시그니처 양념갈비 300G</v>
      </c>
      <c r="L1025">
        <f>원본데이터_리씽크!P121*원본데이터_리씽크!Q121*F1025</f>
        <v>0</v>
      </c>
    </row>
    <row r="1026" spans="1:12" x14ac:dyDescent="0.3">
      <c r="A1026" t="s">
        <v>196</v>
      </c>
      <c r="B1026" t="str">
        <f>TEXT(원본데이터_리씽크!B122,"0")</f>
        <v>2026020507581680000</v>
      </c>
      <c r="C1026" t="str">
        <f>IF(원본데이터_리씽크!A122="","",TEXT(원본데이터_리씽크!A122,"YYYY-MM-DD"))</f>
        <v>2026-02-05</v>
      </c>
      <c r="D1026">
        <f>원본데이터_리씽크!S122</f>
        <v>143790</v>
      </c>
      <c r="E1026" t="str">
        <f>IFERROR(VLOOKUP(원본데이터_리씽크!S122,채널매핑!$B:$D,3,0),"미매핑")</f>
        <v>SKU001</v>
      </c>
      <c r="F1026">
        <f>IFERROR(VLOOKUP(원본데이터_리씽크!S122,채널매핑!$B:$E,4,0),1)</f>
        <v>4</v>
      </c>
      <c r="G1026">
        <f>원본데이터_리씽크!P122</f>
        <v>1</v>
      </c>
      <c r="H1026">
        <f>원본데이터_리씽크!O122</f>
        <v>45500</v>
      </c>
      <c r="I1026">
        <f>원본데이터_리씽크!X122</f>
        <v>45500</v>
      </c>
      <c r="J1026">
        <f>원본데이터_리씽크!X122</f>
        <v>45500</v>
      </c>
      <c r="K1026" t="str">
        <f>IFERROR(VLOOKUP(E1026,제품마스터!$A:$B,2,0),0)</f>
        <v>[워커힐] 시그니처 양념갈비 300G</v>
      </c>
      <c r="L1026">
        <f>원본데이터_리씽크!P122*원본데이터_리씽크!Q122*F1026</f>
        <v>0</v>
      </c>
    </row>
    <row r="1027" spans="1:12" x14ac:dyDescent="0.3">
      <c r="A1027" t="s">
        <v>196</v>
      </c>
      <c r="B1027" t="str">
        <f>TEXT(원본데이터_리씽크!B123,"0")</f>
        <v>2026020507554970000</v>
      </c>
      <c r="C1027" t="str">
        <f>IF(원본데이터_리씽크!A123="","",TEXT(원본데이터_리씽크!A123,"YYYY-MM-DD"))</f>
        <v>2026-02-05</v>
      </c>
      <c r="D1027">
        <f>원본데이터_리씽크!S123</f>
        <v>143790</v>
      </c>
      <c r="E1027" t="str">
        <f>IFERROR(VLOOKUP(원본데이터_리씽크!S123,채널매핑!$B:$D,3,0),"미매핑")</f>
        <v>SKU001</v>
      </c>
      <c r="F1027">
        <f>IFERROR(VLOOKUP(원본데이터_리씽크!S123,채널매핑!$B:$E,4,0),1)</f>
        <v>4</v>
      </c>
      <c r="G1027">
        <f>원본데이터_리씽크!P123</f>
        <v>1</v>
      </c>
      <c r="H1027">
        <f>원본데이터_리씽크!O123</f>
        <v>45500</v>
      </c>
      <c r="I1027">
        <f>원본데이터_리씽크!X123</f>
        <v>45500</v>
      </c>
      <c r="J1027">
        <f>원본데이터_리씽크!X123</f>
        <v>45500</v>
      </c>
      <c r="K1027" t="str">
        <f>IFERROR(VLOOKUP(E1027,제품마스터!$A:$B,2,0),0)</f>
        <v>[워커힐] 시그니처 양념갈비 300G</v>
      </c>
      <c r="L1027">
        <f>원본데이터_리씽크!P123*원본데이터_리씽크!Q123*F1027</f>
        <v>0</v>
      </c>
    </row>
    <row r="1028" spans="1:12" x14ac:dyDescent="0.3">
      <c r="A1028" t="s">
        <v>196</v>
      </c>
      <c r="B1028" t="str">
        <f>TEXT(원본데이터_리씽크!B124,"0")</f>
        <v>2026020507563640000</v>
      </c>
      <c r="C1028" t="str">
        <f>IF(원본데이터_리씽크!A124="","",TEXT(원본데이터_리씽크!A124,"YYYY-MM-DD"))</f>
        <v>2026-02-05</v>
      </c>
      <c r="D1028">
        <f>원본데이터_리씽크!S124</f>
        <v>143790</v>
      </c>
      <c r="E1028" t="str">
        <f>IFERROR(VLOOKUP(원본데이터_리씽크!S124,채널매핑!$B:$D,3,0),"미매핑")</f>
        <v>SKU001</v>
      </c>
      <c r="F1028">
        <f>IFERROR(VLOOKUP(원본데이터_리씽크!S124,채널매핑!$B:$E,4,0),1)</f>
        <v>4</v>
      </c>
      <c r="G1028">
        <f>원본데이터_리씽크!P124</f>
        <v>1</v>
      </c>
      <c r="H1028">
        <f>원본데이터_리씽크!O124</f>
        <v>45500</v>
      </c>
      <c r="I1028">
        <f>원본데이터_리씽크!X124</f>
        <v>45500</v>
      </c>
      <c r="J1028">
        <f>원본데이터_리씽크!X124</f>
        <v>45500</v>
      </c>
      <c r="K1028" t="str">
        <f>IFERROR(VLOOKUP(E1028,제품마스터!$A:$B,2,0),0)</f>
        <v>[워커힐] 시그니처 양념갈비 300G</v>
      </c>
      <c r="L1028">
        <f>원본데이터_리씽크!P124*원본데이터_리씽크!Q124*F1028</f>
        <v>0</v>
      </c>
    </row>
    <row r="1029" spans="1:12" x14ac:dyDescent="0.3">
      <c r="A1029" t="s">
        <v>196</v>
      </c>
      <c r="B1029" t="str">
        <f>TEXT(원본데이터_리씽크!B125,"0")</f>
        <v>2026020507564330000</v>
      </c>
      <c r="C1029" t="str">
        <f>IF(원본데이터_리씽크!A125="","",TEXT(원본데이터_리씽크!A125,"YYYY-MM-DD"))</f>
        <v>2026-02-05</v>
      </c>
      <c r="D1029">
        <f>원본데이터_리씽크!S125</f>
        <v>143790</v>
      </c>
      <c r="E1029" t="str">
        <f>IFERROR(VLOOKUP(원본데이터_리씽크!S125,채널매핑!$B:$D,3,0),"미매핑")</f>
        <v>SKU001</v>
      </c>
      <c r="F1029">
        <f>IFERROR(VLOOKUP(원본데이터_리씽크!S125,채널매핑!$B:$E,4,0),1)</f>
        <v>4</v>
      </c>
      <c r="G1029">
        <f>원본데이터_리씽크!P125</f>
        <v>1</v>
      </c>
      <c r="H1029">
        <f>원본데이터_리씽크!O125</f>
        <v>45500</v>
      </c>
      <c r="I1029">
        <f>원본데이터_리씽크!X125</f>
        <v>45500</v>
      </c>
      <c r="J1029">
        <f>원본데이터_리씽크!X125</f>
        <v>45500</v>
      </c>
      <c r="K1029" t="str">
        <f>IFERROR(VLOOKUP(E1029,제품마스터!$A:$B,2,0),0)</f>
        <v>[워커힐] 시그니처 양념갈비 300G</v>
      </c>
      <c r="L1029">
        <f>원본데이터_리씽크!P125*원본데이터_리씽크!Q125*F1029</f>
        <v>0</v>
      </c>
    </row>
    <row r="1030" spans="1:12" x14ac:dyDescent="0.3">
      <c r="A1030" t="s">
        <v>196</v>
      </c>
      <c r="B1030" t="str">
        <f>TEXT(원본데이터_리씽크!B126,"0")</f>
        <v>2026020507562610000</v>
      </c>
      <c r="C1030" t="str">
        <f>IF(원본데이터_리씽크!A126="","",TEXT(원본데이터_리씽크!A126,"YYYY-MM-DD"))</f>
        <v>2026-02-05</v>
      </c>
      <c r="D1030">
        <f>원본데이터_리씽크!S126</f>
        <v>143790</v>
      </c>
      <c r="E1030" t="str">
        <f>IFERROR(VLOOKUP(원본데이터_리씽크!S126,채널매핑!$B:$D,3,0),"미매핑")</f>
        <v>SKU001</v>
      </c>
      <c r="F1030">
        <f>IFERROR(VLOOKUP(원본데이터_리씽크!S126,채널매핑!$B:$E,4,0),1)</f>
        <v>4</v>
      </c>
      <c r="G1030">
        <f>원본데이터_리씽크!P126</f>
        <v>1</v>
      </c>
      <c r="H1030">
        <f>원본데이터_리씽크!O126</f>
        <v>45500</v>
      </c>
      <c r="I1030">
        <f>원본데이터_리씽크!X126</f>
        <v>45500</v>
      </c>
      <c r="J1030">
        <f>원본데이터_리씽크!X126</f>
        <v>45500</v>
      </c>
      <c r="K1030" t="str">
        <f>IFERROR(VLOOKUP(E1030,제품마스터!$A:$B,2,0),0)</f>
        <v>[워커힐] 시그니처 양념갈비 300G</v>
      </c>
      <c r="L1030">
        <f>원본데이터_리씽크!P126*원본데이터_리씽크!Q126*F1030</f>
        <v>0</v>
      </c>
    </row>
    <row r="1031" spans="1:12" x14ac:dyDescent="0.3">
      <c r="A1031" t="s">
        <v>196</v>
      </c>
      <c r="B1031" t="str">
        <f>TEXT(원본데이터_리씽크!B127,"0")</f>
        <v>2026020507574370000</v>
      </c>
      <c r="C1031" t="str">
        <f>IF(원본데이터_리씽크!A127="","",TEXT(원본데이터_리씽크!A127,"YYYY-MM-DD"))</f>
        <v>2026-02-05</v>
      </c>
      <c r="D1031">
        <f>원본데이터_리씽크!S127</f>
        <v>143790</v>
      </c>
      <c r="E1031" t="str">
        <f>IFERROR(VLOOKUP(원본데이터_리씽크!S127,채널매핑!$B:$D,3,0),"미매핑")</f>
        <v>SKU001</v>
      </c>
      <c r="F1031">
        <f>IFERROR(VLOOKUP(원본데이터_리씽크!S127,채널매핑!$B:$E,4,0),1)</f>
        <v>4</v>
      </c>
      <c r="G1031">
        <f>원본데이터_리씽크!P127</f>
        <v>2</v>
      </c>
      <c r="H1031">
        <f>원본데이터_리씽크!O127</f>
        <v>45500</v>
      </c>
      <c r="I1031">
        <f>원본데이터_리씽크!X127</f>
        <v>91000</v>
      </c>
      <c r="J1031">
        <f>원본데이터_리씽크!X127</f>
        <v>91000</v>
      </c>
      <c r="K1031" t="str">
        <f>IFERROR(VLOOKUP(E1031,제품마스터!$A:$B,2,0),0)</f>
        <v>[워커힐] 시그니처 양념갈비 300G</v>
      </c>
      <c r="L1031">
        <f>원본데이터_리씽크!P127*원본데이터_리씽크!Q127*F1031</f>
        <v>0</v>
      </c>
    </row>
    <row r="1032" spans="1:12" x14ac:dyDescent="0.3">
      <c r="A1032" t="s">
        <v>196</v>
      </c>
      <c r="B1032" t="str">
        <f>TEXT(원본데이터_리씽크!B128,"0")</f>
        <v>2026020507561640000</v>
      </c>
      <c r="C1032" t="str">
        <f>IF(원본데이터_리씽크!A128="","",TEXT(원본데이터_리씽크!A128,"YYYY-MM-DD"))</f>
        <v>2026-02-05</v>
      </c>
      <c r="D1032">
        <f>원본데이터_리씽크!S128</f>
        <v>143790</v>
      </c>
      <c r="E1032" t="str">
        <f>IFERROR(VLOOKUP(원본데이터_리씽크!S128,채널매핑!$B:$D,3,0),"미매핑")</f>
        <v>SKU001</v>
      </c>
      <c r="F1032">
        <f>IFERROR(VLOOKUP(원본데이터_리씽크!S128,채널매핑!$B:$E,4,0),1)</f>
        <v>4</v>
      </c>
      <c r="G1032">
        <f>원본데이터_리씽크!P128</f>
        <v>1</v>
      </c>
      <c r="H1032">
        <f>원본데이터_리씽크!O128</f>
        <v>45500</v>
      </c>
      <c r="I1032">
        <f>원본데이터_리씽크!X128</f>
        <v>45500</v>
      </c>
      <c r="J1032">
        <f>원본데이터_리씽크!X128</f>
        <v>45500</v>
      </c>
      <c r="K1032" t="str">
        <f>IFERROR(VLOOKUP(E1032,제품마스터!$A:$B,2,0),0)</f>
        <v>[워커힐] 시그니처 양념갈비 300G</v>
      </c>
      <c r="L1032">
        <f>원본데이터_리씽크!P128*원본데이터_리씽크!Q128*F1032</f>
        <v>0</v>
      </c>
    </row>
    <row r="1033" spans="1:12" x14ac:dyDescent="0.3">
      <c r="A1033" t="s">
        <v>196</v>
      </c>
      <c r="B1033" t="str">
        <f>TEXT(원본데이터_리씽크!B129,"0")</f>
        <v>2026020507555920000</v>
      </c>
      <c r="C1033" t="str">
        <f>IF(원본데이터_리씽크!A129="","",TEXT(원본데이터_리씽크!A129,"YYYY-MM-DD"))</f>
        <v>2026-02-05</v>
      </c>
      <c r="D1033">
        <f>원본데이터_리씽크!S129</f>
        <v>143790</v>
      </c>
      <c r="E1033" t="str">
        <f>IFERROR(VLOOKUP(원본데이터_리씽크!S129,채널매핑!$B:$D,3,0),"미매핑")</f>
        <v>SKU001</v>
      </c>
      <c r="F1033">
        <f>IFERROR(VLOOKUP(원본데이터_리씽크!S129,채널매핑!$B:$E,4,0),1)</f>
        <v>4</v>
      </c>
      <c r="G1033">
        <f>원본데이터_리씽크!P129</f>
        <v>1</v>
      </c>
      <c r="H1033">
        <f>원본데이터_리씽크!O129</f>
        <v>45500</v>
      </c>
      <c r="I1033">
        <f>원본데이터_리씽크!X129</f>
        <v>45500</v>
      </c>
      <c r="J1033">
        <f>원본데이터_리씽크!X129</f>
        <v>45500</v>
      </c>
      <c r="K1033" t="str">
        <f>IFERROR(VLOOKUP(E1033,제품마스터!$A:$B,2,0),0)</f>
        <v>[워커힐] 시그니처 양념갈비 300G</v>
      </c>
      <c r="L1033">
        <f>원본데이터_리씽크!P129*원본데이터_리씽크!Q129*F1033</f>
        <v>0</v>
      </c>
    </row>
    <row r="1034" spans="1:12" x14ac:dyDescent="0.3">
      <c r="A1034" t="s">
        <v>196</v>
      </c>
      <c r="B1034" t="str">
        <f>TEXT(원본데이터_리씽크!B130,"0")</f>
        <v>2026020507571230000</v>
      </c>
      <c r="C1034" t="str">
        <f>IF(원본데이터_리씽크!A130="","",TEXT(원본데이터_리씽크!A130,"YYYY-MM-DD"))</f>
        <v>2026-02-05</v>
      </c>
      <c r="D1034">
        <f>원본데이터_리씽크!S130</f>
        <v>143790</v>
      </c>
      <c r="E1034" t="str">
        <f>IFERROR(VLOOKUP(원본데이터_리씽크!S130,채널매핑!$B:$D,3,0),"미매핑")</f>
        <v>SKU001</v>
      </c>
      <c r="F1034">
        <f>IFERROR(VLOOKUP(원본데이터_리씽크!S130,채널매핑!$B:$E,4,0),1)</f>
        <v>4</v>
      </c>
      <c r="G1034">
        <f>원본데이터_리씽크!P130</f>
        <v>1</v>
      </c>
      <c r="H1034">
        <f>원본데이터_리씽크!O130</f>
        <v>45500</v>
      </c>
      <c r="I1034">
        <f>원본데이터_리씽크!X130</f>
        <v>45500</v>
      </c>
      <c r="J1034">
        <f>원본데이터_리씽크!X130</f>
        <v>45500</v>
      </c>
      <c r="K1034" t="str">
        <f>IFERROR(VLOOKUP(E1034,제품마스터!$A:$B,2,0),0)</f>
        <v>[워커힐] 시그니처 양념갈비 300G</v>
      </c>
      <c r="L1034">
        <f>원본데이터_리씽크!P130*원본데이터_리씽크!Q130*F1034</f>
        <v>0</v>
      </c>
    </row>
    <row r="1035" spans="1:12" x14ac:dyDescent="0.3">
      <c r="A1035" t="s">
        <v>196</v>
      </c>
      <c r="B1035" t="str">
        <f>TEXT(원본데이터_리씽크!B131,"0")</f>
        <v>2026020507563550000</v>
      </c>
      <c r="C1035" t="str">
        <f>IF(원본데이터_리씽크!A131="","",TEXT(원본데이터_리씽크!A131,"YYYY-MM-DD"))</f>
        <v>2026-02-05</v>
      </c>
      <c r="D1035">
        <f>원본데이터_리씽크!S131</f>
        <v>143790</v>
      </c>
      <c r="E1035" t="str">
        <f>IFERROR(VLOOKUP(원본데이터_리씽크!S131,채널매핑!$B:$D,3,0),"미매핑")</f>
        <v>SKU001</v>
      </c>
      <c r="F1035">
        <f>IFERROR(VLOOKUP(원본데이터_리씽크!S131,채널매핑!$B:$E,4,0),1)</f>
        <v>4</v>
      </c>
      <c r="G1035">
        <f>원본데이터_리씽크!P131</f>
        <v>1</v>
      </c>
      <c r="H1035">
        <f>원본데이터_리씽크!O131</f>
        <v>45500</v>
      </c>
      <c r="I1035">
        <f>원본데이터_리씽크!X131</f>
        <v>45500</v>
      </c>
      <c r="J1035">
        <f>원본데이터_리씽크!X131</f>
        <v>45500</v>
      </c>
      <c r="K1035" t="str">
        <f>IFERROR(VLOOKUP(E1035,제품마스터!$A:$B,2,0),0)</f>
        <v>[워커힐] 시그니처 양념갈비 300G</v>
      </c>
      <c r="L1035">
        <f>원본데이터_리씽크!P131*원본데이터_리씽크!Q131*F1035</f>
        <v>0</v>
      </c>
    </row>
    <row r="1036" spans="1:12" x14ac:dyDescent="0.3">
      <c r="A1036" t="s">
        <v>196</v>
      </c>
      <c r="B1036" t="str">
        <f>TEXT(원본데이터_리씽크!B132,"0")</f>
        <v>2026020507554670000</v>
      </c>
      <c r="C1036" t="str">
        <f>IF(원본데이터_리씽크!A132="","",TEXT(원본데이터_리씽크!A132,"YYYY-MM-DD"))</f>
        <v>2026-02-05</v>
      </c>
      <c r="D1036">
        <f>원본데이터_리씽크!S132</f>
        <v>143790</v>
      </c>
      <c r="E1036" t="str">
        <f>IFERROR(VLOOKUP(원본데이터_리씽크!S132,채널매핑!$B:$D,3,0),"미매핑")</f>
        <v>SKU001</v>
      </c>
      <c r="F1036">
        <f>IFERROR(VLOOKUP(원본데이터_리씽크!S132,채널매핑!$B:$E,4,0),1)</f>
        <v>4</v>
      </c>
      <c r="G1036">
        <f>원본데이터_리씽크!P132</f>
        <v>1</v>
      </c>
      <c r="H1036">
        <f>원본데이터_리씽크!O132</f>
        <v>45500</v>
      </c>
      <c r="I1036">
        <f>원본데이터_리씽크!X132</f>
        <v>45500</v>
      </c>
      <c r="J1036">
        <f>원본데이터_리씽크!X132</f>
        <v>45500</v>
      </c>
      <c r="K1036" t="str">
        <f>IFERROR(VLOOKUP(E1036,제품마스터!$A:$B,2,0),0)</f>
        <v>[워커힐] 시그니처 양념갈비 300G</v>
      </c>
      <c r="L1036">
        <f>원본데이터_리씽크!P132*원본데이터_리씽크!Q132*F1036</f>
        <v>0</v>
      </c>
    </row>
    <row r="1037" spans="1:12" x14ac:dyDescent="0.3">
      <c r="A1037" t="s">
        <v>196</v>
      </c>
      <c r="B1037" t="str">
        <f>TEXT(원본데이터_리씽크!B133,"0")</f>
        <v>2026020507562620000</v>
      </c>
      <c r="C1037" t="str">
        <f>IF(원본데이터_리씽크!A133="","",TEXT(원본데이터_리씽크!A133,"YYYY-MM-DD"))</f>
        <v>2026-02-05</v>
      </c>
      <c r="D1037">
        <f>원본데이터_리씽크!S133</f>
        <v>143790</v>
      </c>
      <c r="E1037" t="str">
        <f>IFERROR(VLOOKUP(원본데이터_리씽크!S133,채널매핑!$B:$D,3,0),"미매핑")</f>
        <v>SKU001</v>
      </c>
      <c r="F1037">
        <f>IFERROR(VLOOKUP(원본데이터_리씽크!S133,채널매핑!$B:$E,4,0),1)</f>
        <v>4</v>
      </c>
      <c r="G1037">
        <f>원본데이터_리씽크!P133</f>
        <v>1</v>
      </c>
      <c r="H1037">
        <f>원본데이터_리씽크!O133</f>
        <v>45500</v>
      </c>
      <c r="I1037">
        <f>원본데이터_리씽크!X133</f>
        <v>45500</v>
      </c>
      <c r="J1037">
        <f>원본데이터_리씽크!X133</f>
        <v>45500</v>
      </c>
      <c r="K1037" t="str">
        <f>IFERROR(VLOOKUP(E1037,제품마스터!$A:$B,2,0),0)</f>
        <v>[워커힐] 시그니처 양념갈비 300G</v>
      </c>
      <c r="L1037">
        <f>원본데이터_리씽크!P133*원본데이터_리씽크!Q133*F1037</f>
        <v>0</v>
      </c>
    </row>
    <row r="1038" spans="1:12" x14ac:dyDescent="0.3">
      <c r="A1038" t="s">
        <v>196</v>
      </c>
      <c r="B1038" t="str">
        <f>TEXT(원본데이터_리씽크!B134,"0")</f>
        <v>2026020507552970000</v>
      </c>
      <c r="C1038" t="str">
        <f>IF(원본데이터_리씽크!A134="","",TEXT(원본데이터_리씽크!A134,"YYYY-MM-DD"))</f>
        <v>2026-02-05</v>
      </c>
      <c r="D1038">
        <f>원본데이터_리씽크!S134</f>
        <v>143790</v>
      </c>
      <c r="E1038" t="str">
        <f>IFERROR(VLOOKUP(원본데이터_리씽크!S134,채널매핑!$B:$D,3,0),"미매핑")</f>
        <v>SKU001</v>
      </c>
      <c r="F1038">
        <f>IFERROR(VLOOKUP(원본데이터_리씽크!S134,채널매핑!$B:$E,4,0),1)</f>
        <v>4</v>
      </c>
      <c r="G1038">
        <f>원본데이터_리씽크!P134</f>
        <v>2</v>
      </c>
      <c r="H1038">
        <f>원본데이터_리씽크!O134</f>
        <v>45500</v>
      </c>
      <c r="I1038">
        <f>원본데이터_리씽크!X134</f>
        <v>91000</v>
      </c>
      <c r="J1038">
        <f>원본데이터_리씽크!X134</f>
        <v>91000</v>
      </c>
      <c r="K1038" t="str">
        <f>IFERROR(VLOOKUP(E1038,제품마스터!$A:$B,2,0),0)</f>
        <v>[워커힐] 시그니처 양념갈비 300G</v>
      </c>
      <c r="L1038">
        <f>원본데이터_리씽크!P134*원본데이터_리씽크!Q134*F1038</f>
        <v>0</v>
      </c>
    </row>
    <row r="1039" spans="1:12" x14ac:dyDescent="0.3">
      <c r="A1039" t="s">
        <v>196</v>
      </c>
      <c r="B1039" t="str">
        <f>TEXT(원본데이터_리씽크!B135,"0")</f>
        <v>2026020507555620000</v>
      </c>
      <c r="C1039" t="str">
        <f>IF(원본데이터_리씽크!A135="","",TEXT(원본데이터_리씽크!A135,"YYYY-MM-DD"))</f>
        <v>2026-02-05</v>
      </c>
      <c r="D1039">
        <f>원본데이터_리씽크!S135</f>
        <v>143790</v>
      </c>
      <c r="E1039" t="str">
        <f>IFERROR(VLOOKUP(원본데이터_리씽크!S135,채널매핑!$B:$D,3,0),"미매핑")</f>
        <v>SKU001</v>
      </c>
      <c r="F1039">
        <f>IFERROR(VLOOKUP(원본데이터_리씽크!S135,채널매핑!$B:$E,4,0),1)</f>
        <v>4</v>
      </c>
      <c r="G1039">
        <f>원본데이터_리씽크!P135</f>
        <v>4</v>
      </c>
      <c r="H1039">
        <f>원본데이터_리씽크!O135</f>
        <v>45500</v>
      </c>
      <c r="I1039">
        <f>원본데이터_리씽크!X135</f>
        <v>182000</v>
      </c>
      <c r="J1039">
        <f>원본데이터_리씽크!X135</f>
        <v>182000</v>
      </c>
      <c r="K1039" t="str">
        <f>IFERROR(VLOOKUP(E1039,제품마스터!$A:$B,2,0),0)</f>
        <v>[워커힐] 시그니처 양념갈비 300G</v>
      </c>
      <c r="L1039">
        <f>원본데이터_리씽크!P135*원본데이터_리씽크!Q135*F1039</f>
        <v>0</v>
      </c>
    </row>
    <row r="1040" spans="1:12" x14ac:dyDescent="0.3">
      <c r="A1040" t="s">
        <v>196</v>
      </c>
      <c r="B1040" t="str">
        <f>TEXT(원본데이터_리씽크!B136,"0")</f>
        <v>2026020507562440000</v>
      </c>
      <c r="C1040" t="str">
        <f>IF(원본데이터_리씽크!A136="","",TEXT(원본데이터_리씽크!A136,"YYYY-MM-DD"))</f>
        <v>2026-02-05</v>
      </c>
      <c r="D1040">
        <f>원본데이터_리씽크!S136</f>
        <v>143790</v>
      </c>
      <c r="E1040" t="str">
        <f>IFERROR(VLOOKUP(원본데이터_리씽크!S136,채널매핑!$B:$D,3,0),"미매핑")</f>
        <v>SKU001</v>
      </c>
      <c r="F1040">
        <f>IFERROR(VLOOKUP(원본데이터_리씽크!S136,채널매핑!$B:$E,4,0),1)</f>
        <v>4</v>
      </c>
      <c r="G1040">
        <f>원본데이터_리씽크!P136</f>
        <v>3</v>
      </c>
      <c r="H1040">
        <f>원본데이터_리씽크!O136</f>
        <v>45500</v>
      </c>
      <c r="I1040">
        <f>원본데이터_리씽크!X136</f>
        <v>136500</v>
      </c>
      <c r="J1040">
        <f>원본데이터_리씽크!X136</f>
        <v>136500</v>
      </c>
      <c r="K1040" t="str">
        <f>IFERROR(VLOOKUP(E1040,제품마스터!$A:$B,2,0),0)</f>
        <v>[워커힐] 시그니처 양념갈비 300G</v>
      </c>
      <c r="L1040">
        <f>원본데이터_리씽크!P136*원본데이터_리씽크!Q136*F1040</f>
        <v>0</v>
      </c>
    </row>
    <row r="1041" spans="1:12" x14ac:dyDescent="0.3">
      <c r="A1041" t="s">
        <v>196</v>
      </c>
      <c r="B1041" t="str">
        <f>TEXT(원본데이터_리씽크!B137,"0")</f>
        <v>2026020507563390000</v>
      </c>
      <c r="C1041" t="str">
        <f>IF(원본데이터_리씽크!A137="","",TEXT(원본데이터_리씽크!A137,"YYYY-MM-DD"))</f>
        <v>2026-02-05</v>
      </c>
      <c r="D1041">
        <f>원본데이터_리씽크!S137</f>
        <v>143790</v>
      </c>
      <c r="E1041" t="str">
        <f>IFERROR(VLOOKUP(원본데이터_리씽크!S137,채널매핑!$B:$D,3,0),"미매핑")</f>
        <v>SKU001</v>
      </c>
      <c r="F1041">
        <f>IFERROR(VLOOKUP(원본데이터_리씽크!S137,채널매핑!$B:$E,4,0),1)</f>
        <v>4</v>
      </c>
      <c r="G1041">
        <f>원본데이터_리씽크!P137</f>
        <v>1</v>
      </c>
      <c r="H1041">
        <f>원본데이터_리씽크!O137</f>
        <v>45500</v>
      </c>
      <c r="I1041">
        <f>원본데이터_리씽크!X137</f>
        <v>45500</v>
      </c>
      <c r="J1041">
        <f>원본데이터_리씽크!X137</f>
        <v>45500</v>
      </c>
      <c r="K1041" t="str">
        <f>IFERROR(VLOOKUP(E1041,제품마스터!$A:$B,2,0),0)</f>
        <v>[워커힐] 시그니처 양념갈비 300G</v>
      </c>
      <c r="L1041">
        <f>원본데이터_리씽크!P137*원본데이터_리씽크!Q137*F1041</f>
        <v>0</v>
      </c>
    </row>
    <row r="1042" spans="1:12" x14ac:dyDescent="0.3">
      <c r="A1042" t="s">
        <v>196</v>
      </c>
      <c r="B1042" t="str">
        <f>TEXT(원본데이터_리씽크!B138,"0")</f>
        <v>2026020507561920000</v>
      </c>
      <c r="C1042" t="str">
        <f>IF(원본데이터_리씽크!A138="","",TEXT(원본데이터_리씽크!A138,"YYYY-MM-DD"))</f>
        <v>2026-02-05</v>
      </c>
      <c r="D1042">
        <f>원본데이터_리씽크!S138</f>
        <v>143790</v>
      </c>
      <c r="E1042" t="str">
        <f>IFERROR(VLOOKUP(원본데이터_리씽크!S138,채널매핑!$B:$D,3,0),"미매핑")</f>
        <v>SKU001</v>
      </c>
      <c r="F1042">
        <f>IFERROR(VLOOKUP(원본데이터_리씽크!S138,채널매핑!$B:$E,4,0),1)</f>
        <v>4</v>
      </c>
      <c r="G1042">
        <f>원본데이터_리씽크!P138</f>
        <v>1</v>
      </c>
      <c r="H1042">
        <f>원본데이터_리씽크!O138</f>
        <v>45500</v>
      </c>
      <c r="I1042">
        <f>원본데이터_리씽크!X138</f>
        <v>45500</v>
      </c>
      <c r="J1042">
        <f>원본데이터_리씽크!X138</f>
        <v>45500</v>
      </c>
      <c r="K1042" t="str">
        <f>IFERROR(VLOOKUP(E1042,제품마스터!$A:$B,2,0),0)</f>
        <v>[워커힐] 시그니처 양념갈비 300G</v>
      </c>
      <c r="L1042">
        <f>원본데이터_리씽크!P138*원본데이터_리씽크!Q138*F1042</f>
        <v>0</v>
      </c>
    </row>
    <row r="1043" spans="1:12" x14ac:dyDescent="0.3">
      <c r="A1043" t="s">
        <v>196</v>
      </c>
      <c r="B1043" t="str">
        <f>TEXT(원본데이터_리씽크!B139,"0")</f>
        <v>2026020507552250000</v>
      </c>
      <c r="C1043" t="str">
        <f>IF(원본데이터_리씽크!A139="","",TEXT(원본데이터_리씽크!A139,"YYYY-MM-DD"))</f>
        <v>2026-02-05</v>
      </c>
      <c r="D1043">
        <f>원본데이터_리씽크!S139</f>
        <v>143790</v>
      </c>
      <c r="E1043" t="str">
        <f>IFERROR(VLOOKUP(원본데이터_리씽크!S139,채널매핑!$B:$D,3,0),"미매핑")</f>
        <v>SKU001</v>
      </c>
      <c r="F1043">
        <f>IFERROR(VLOOKUP(원본데이터_리씽크!S139,채널매핑!$B:$E,4,0),1)</f>
        <v>4</v>
      </c>
      <c r="G1043">
        <f>원본데이터_리씽크!P139</f>
        <v>1</v>
      </c>
      <c r="H1043">
        <f>원본데이터_리씽크!O139</f>
        <v>45500</v>
      </c>
      <c r="I1043">
        <f>원본데이터_리씽크!X139</f>
        <v>45500</v>
      </c>
      <c r="J1043">
        <f>원본데이터_리씽크!X139</f>
        <v>45500</v>
      </c>
      <c r="K1043" t="str">
        <f>IFERROR(VLOOKUP(E1043,제품마스터!$A:$B,2,0),0)</f>
        <v>[워커힐] 시그니처 양념갈비 300G</v>
      </c>
      <c r="L1043">
        <f>원본데이터_리씽크!P139*원본데이터_리씽크!Q139*F1043</f>
        <v>0</v>
      </c>
    </row>
    <row r="1044" spans="1:12" x14ac:dyDescent="0.3">
      <c r="A1044" t="s">
        <v>196</v>
      </c>
      <c r="B1044" t="str">
        <f>TEXT(원본데이터_리씽크!B140,"0")</f>
        <v>2026020507543020000</v>
      </c>
      <c r="C1044" t="str">
        <f>IF(원본데이터_리씽크!A140="","",TEXT(원본데이터_리씽크!A140,"YYYY-MM-DD"))</f>
        <v>2026-02-05</v>
      </c>
      <c r="D1044">
        <f>원본데이터_리씽크!S140</f>
        <v>143790</v>
      </c>
      <c r="E1044" t="str">
        <f>IFERROR(VLOOKUP(원본데이터_리씽크!S140,채널매핑!$B:$D,3,0),"미매핑")</f>
        <v>SKU001</v>
      </c>
      <c r="F1044">
        <f>IFERROR(VLOOKUP(원본데이터_리씽크!S140,채널매핑!$B:$E,4,0),1)</f>
        <v>4</v>
      </c>
      <c r="G1044">
        <f>원본데이터_리씽크!P140</f>
        <v>1</v>
      </c>
      <c r="H1044">
        <f>원본데이터_리씽크!O140</f>
        <v>45500</v>
      </c>
      <c r="I1044">
        <f>원본데이터_리씽크!X140</f>
        <v>45500</v>
      </c>
      <c r="J1044">
        <f>원본데이터_리씽크!X140</f>
        <v>45500</v>
      </c>
      <c r="K1044" t="str">
        <f>IFERROR(VLOOKUP(E1044,제품마스터!$A:$B,2,0),0)</f>
        <v>[워커힐] 시그니처 양념갈비 300G</v>
      </c>
      <c r="L1044">
        <f>원본데이터_리씽크!P140*원본데이터_리씽크!Q140*F1044</f>
        <v>0</v>
      </c>
    </row>
    <row r="1045" spans="1:12" x14ac:dyDescent="0.3">
      <c r="A1045" t="s">
        <v>196</v>
      </c>
      <c r="B1045" t="str">
        <f>TEXT(원본데이터_리씽크!B141,"0")</f>
        <v>2026020507554190000</v>
      </c>
      <c r="C1045" t="str">
        <f>IF(원본데이터_리씽크!A141="","",TEXT(원본데이터_리씽크!A141,"YYYY-MM-DD"))</f>
        <v>2026-02-05</v>
      </c>
      <c r="D1045">
        <f>원본데이터_리씽크!S141</f>
        <v>143790</v>
      </c>
      <c r="E1045" t="str">
        <f>IFERROR(VLOOKUP(원본데이터_리씽크!S141,채널매핑!$B:$D,3,0),"미매핑")</f>
        <v>SKU001</v>
      </c>
      <c r="F1045">
        <f>IFERROR(VLOOKUP(원본데이터_리씽크!S141,채널매핑!$B:$E,4,0),1)</f>
        <v>4</v>
      </c>
      <c r="G1045">
        <f>원본데이터_리씽크!P141</f>
        <v>1</v>
      </c>
      <c r="H1045">
        <f>원본데이터_리씽크!O141</f>
        <v>45500</v>
      </c>
      <c r="I1045">
        <f>원본데이터_리씽크!X141</f>
        <v>45500</v>
      </c>
      <c r="J1045">
        <f>원본데이터_리씽크!X141</f>
        <v>45500</v>
      </c>
      <c r="K1045" t="str">
        <f>IFERROR(VLOOKUP(E1045,제품마스터!$A:$B,2,0),0)</f>
        <v>[워커힐] 시그니처 양념갈비 300G</v>
      </c>
      <c r="L1045">
        <f>원본데이터_리씽크!P141*원본데이터_리씽크!Q141*F1045</f>
        <v>0</v>
      </c>
    </row>
    <row r="1046" spans="1:12" x14ac:dyDescent="0.3">
      <c r="A1046" t="s">
        <v>196</v>
      </c>
      <c r="B1046" t="str">
        <f>TEXT(원본데이터_리씽크!B142,"0")</f>
        <v>2026020507563100000</v>
      </c>
      <c r="C1046" t="str">
        <f>IF(원본데이터_리씽크!A142="","",TEXT(원본데이터_리씽크!A142,"YYYY-MM-DD"))</f>
        <v>2026-02-05</v>
      </c>
      <c r="D1046">
        <f>원본데이터_리씽크!S142</f>
        <v>143790</v>
      </c>
      <c r="E1046" t="str">
        <f>IFERROR(VLOOKUP(원본데이터_리씽크!S142,채널매핑!$B:$D,3,0),"미매핑")</f>
        <v>SKU001</v>
      </c>
      <c r="F1046">
        <f>IFERROR(VLOOKUP(원본데이터_리씽크!S142,채널매핑!$B:$E,4,0),1)</f>
        <v>4</v>
      </c>
      <c r="G1046">
        <f>원본데이터_리씽크!P142</f>
        <v>1</v>
      </c>
      <c r="H1046">
        <f>원본데이터_리씽크!O142</f>
        <v>45500</v>
      </c>
      <c r="I1046">
        <f>원본데이터_리씽크!X142</f>
        <v>45500</v>
      </c>
      <c r="J1046">
        <f>원본데이터_리씽크!X142</f>
        <v>45500</v>
      </c>
      <c r="K1046" t="str">
        <f>IFERROR(VLOOKUP(E1046,제품마스터!$A:$B,2,0),0)</f>
        <v>[워커힐] 시그니처 양념갈비 300G</v>
      </c>
      <c r="L1046">
        <f>원본데이터_리씽크!P142*원본데이터_리씽크!Q142*F1046</f>
        <v>0</v>
      </c>
    </row>
    <row r="1047" spans="1:12" x14ac:dyDescent="0.3">
      <c r="A1047" t="s">
        <v>196</v>
      </c>
      <c r="B1047" t="str">
        <f>TEXT(원본데이터_리씽크!B143,"0")</f>
        <v>2026020507553110000</v>
      </c>
      <c r="C1047" t="str">
        <f>IF(원본데이터_리씽크!A143="","",TEXT(원본데이터_리씽크!A143,"YYYY-MM-DD"))</f>
        <v>2026-02-05</v>
      </c>
      <c r="D1047">
        <f>원본데이터_리씽크!S143</f>
        <v>143790</v>
      </c>
      <c r="E1047" t="str">
        <f>IFERROR(VLOOKUP(원본데이터_리씽크!S143,채널매핑!$B:$D,3,0),"미매핑")</f>
        <v>SKU001</v>
      </c>
      <c r="F1047">
        <f>IFERROR(VLOOKUP(원본데이터_리씽크!S143,채널매핑!$B:$E,4,0),1)</f>
        <v>4</v>
      </c>
      <c r="G1047">
        <f>원본데이터_리씽크!P143</f>
        <v>1</v>
      </c>
      <c r="H1047">
        <f>원본데이터_리씽크!O143</f>
        <v>45500</v>
      </c>
      <c r="I1047">
        <f>원본데이터_리씽크!X143</f>
        <v>45500</v>
      </c>
      <c r="J1047">
        <f>원본데이터_리씽크!X143</f>
        <v>45500</v>
      </c>
      <c r="K1047" t="str">
        <f>IFERROR(VLOOKUP(E1047,제품마스터!$A:$B,2,0),0)</f>
        <v>[워커힐] 시그니처 양념갈비 300G</v>
      </c>
      <c r="L1047">
        <f>원본데이터_리씽크!P143*원본데이터_리씽크!Q143*F1047</f>
        <v>0</v>
      </c>
    </row>
    <row r="1048" spans="1:12" x14ac:dyDescent="0.3">
      <c r="A1048" t="s">
        <v>196</v>
      </c>
      <c r="B1048" t="str">
        <f>TEXT(원본데이터_리씽크!B144,"0")</f>
        <v>2026020507545190000</v>
      </c>
      <c r="C1048" t="str">
        <f>IF(원본데이터_리씽크!A144="","",TEXT(원본데이터_리씽크!A144,"YYYY-MM-DD"))</f>
        <v>2026-02-05</v>
      </c>
      <c r="D1048">
        <f>원본데이터_리씽크!S144</f>
        <v>143790</v>
      </c>
      <c r="E1048" t="str">
        <f>IFERROR(VLOOKUP(원본데이터_리씽크!S144,채널매핑!$B:$D,3,0),"미매핑")</f>
        <v>SKU001</v>
      </c>
      <c r="F1048">
        <f>IFERROR(VLOOKUP(원본데이터_리씽크!S144,채널매핑!$B:$E,4,0),1)</f>
        <v>4</v>
      </c>
      <c r="G1048">
        <f>원본데이터_리씽크!P144</f>
        <v>1</v>
      </c>
      <c r="H1048">
        <f>원본데이터_리씽크!O144</f>
        <v>45500</v>
      </c>
      <c r="I1048">
        <f>원본데이터_리씽크!X144</f>
        <v>45500</v>
      </c>
      <c r="J1048">
        <f>원본데이터_리씽크!X144</f>
        <v>45500</v>
      </c>
      <c r="K1048" t="str">
        <f>IFERROR(VLOOKUP(E1048,제품마스터!$A:$B,2,0),0)</f>
        <v>[워커힐] 시그니처 양념갈비 300G</v>
      </c>
      <c r="L1048">
        <f>원본데이터_리씽크!P144*원본데이터_리씽크!Q144*F1048</f>
        <v>0</v>
      </c>
    </row>
    <row r="1049" spans="1:12" x14ac:dyDescent="0.3">
      <c r="A1049" t="s">
        <v>196</v>
      </c>
      <c r="B1049" t="str">
        <f>TEXT(원본데이터_리씽크!B145,"0")</f>
        <v>2026020507555350000</v>
      </c>
      <c r="C1049" t="str">
        <f>IF(원본데이터_리씽크!A145="","",TEXT(원본데이터_리씽크!A145,"YYYY-MM-DD"))</f>
        <v>2026-02-05</v>
      </c>
      <c r="D1049">
        <f>원본데이터_리씽크!S145</f>
        <v>143790</v>
      </c>
      <c r="E1049" t="str">
        <f>IFERROR(VLOOKUP(원본데이터_리씽크!S145,채널매핑!$B:$D,3,0),"미매핑")</f>
        <v>SKU001</v>
      </c>
      <c r="F1049">
        <f>IFERROR(VLOOKUP(원본데이터_리씽크!S145,채널매핑!$B:$E,4,0),1)</f>
        <v>4</v>
      </c>
      <c r="G1049">
        <f>원본데이터_리씽크!P145</f>
        <v>2</v>
      </c>
      <c r="H1049">
        <f>원본데이터_리씽크!O145</f>
        <v>45500</v>
      </c>
      <c r="I1049">
        <f>원본데이터_리씽크!X145</f>
        <v>91000</v>
      </c>
      <c r="J1049">
        <f>원본데이터_리씽크!X145</f>
        <v>91000</v>
      </c>
      <c r="K1049" t="str">
        <f>IFERROR(VLOOKUP(E1049,제품마스터!$A:$B,2,0),0)</f>
        <v>[워커힐] 시그니처 양념갈비 300G</v>
      </c>
      <c r="L1049">
        <f>원본데이터_리씽크!P145*원본데이터_리씽크!Q145*F1049</f>
        <v>0</v>
      </c>
    </row>
    <row r="1050" spans="1:12" x14ac:dyDescent="0.3">
      <c r="A1050" t="s">
        <v>196</v>
      </c>
      <c r="B1050" t="str">
        <f>TEXT(원본데이터_리씽크!B146,"0")</f>
        <v>2026020507542030000</v>
      </c>
      <c r="C1050" t="str">
        <f>IF(원본데이터_리씽크!A146="","",TEXT(원본데이터_리씽크!A146,"YYYY-MM-DD"))</f>
        <v>2026-02-05</v>
      </c>
      <c r="D1050">
        <f>원본데이터_리씽크!S146</f>
        <v>143790</v>
      </c>
      <c r="E1050" t="str">
        <f>IFERROR(VLOOKUP(원본데이터_리씽크!S146,채널매핑!$B:$D,3,0),"미매핑")</f>
        <v>SKU001</v>
      </c>
      <c r="F1050">
        <f>IFERROR(VLOOKUP(원본데이터_리씽크!S146,채널매핑!$B:$E,4,0),1)</f>
        <v>4</v>
      </c>
      <c r="G1050">
        <f>원본데이터_리씽크!P146</f>
        <v>1</v>
      </c>
      <c r="H1050">
        <f>원본데이터_리씽크!O146</f>
        <v>45500</v>
      </c>
      <c r="I1050">
        <f>원본데이터_리씽크!X146</f>
        <v>45500</v>
      </c>
      <c r="J1050">
        <f>원본데이터_리씽크!X146</f>
        <v>45500</v>
      </c>
      <c r="K1050" t="str">
        <f>IFERROR(VLOOKUP(E1050,제품마스터!$A:$B,2,0),0)</f>
        <v>[워커힐] 시그니처 양념갈비 300G</v>
      </c>
      <c r="L1050">
        <f>원본데이터_리씽크!P146*원본데이터_리씽크!Q146*F1050</f>
        <v>0</v>
      </c>
    </row>
    <row r="1051" spans="1:12" x14ac:dyDescent="0.3">
      <c r="A1051" t="s">
        <v>196</v>
      </c>
      <c r="B1051" t="str">
        <f>TEXT(원본데이터_리씽크!B147,"0")</f>
        <v>2026020507550380000</v>
      </c>
      <c r="C1051" t="str">
        <f>IF(원본데이터_리씽크!A147="","",TEXT(원본데이터_리씽크!A147,"YYYY-MM-DD"))</f>
        <v>2026-02-05</v>
      </c>
      <c r="D1051">
        <f>원본데이터_리씽크!S147</f>
        <v>143790</v>
      </c>
      <c r="E1051" t="str">
        <f>IFERROR(VLOOKUP(원본데이터_리씽크!S147,채널매핑!$B:$D,3,0),"미매핑")</f>
        <v>SKU001</v>
      </c>
      <c r="F1051">
        <f>IFERROR(VLOOKUP(원본데이터_리씽크!S147,채널매핑!$B:$E,4,0),1)</f>
        <v>4</v>
      </c>
      <c r="G1051">
        <f>원본데이터_리씽크!P147</f>
        <v>1</v>
      </c>
      <c r="H1051">
        <f>원본데이터_리씽크!O147</f>
        <v>45500</v>
      </c>
      <c r="I1051">
        <f>원본데이터_리씽크!X147</f>
        <v>45500</v>
      </c>
      <c r="J1051">
        <f>원본데이터_리씽크!X147</f>
        <v>45500</v>
      </c>
      <c r="K1051" t="str">
        <f>IFERROR(VLOOKUP(E1051,제품마스터!$A:$B,2,0),0)</f>
        <v>[워커힐] 시그니처 양념갈비 300G</v>
      </c>
      <c r="L1051">
        <f>원본데이터_리씽크!P147*원본데이터_리씽크!Q147*F1051</f>
        <v>0</v>
      </c>
    </row>
    <row r="1052" spans="1:12" x14ac:dyDescent="0.3">
      <c r="A1052" t="s">
        <v>196</v>
      </c>
      <c r="B1052" t="str">
        <f>TEXT(원본데이터_리씽크!B148,"0")</f>
        <v>2026020507545280000</v>
      </c>
      <c r="C1052" t="str">
        <f>IF(원본데이터_리씽크!A148="","",TEXT(원본데이터_리씽크!A148,"YYYY-MM-DD"))</f>
        <v>2026-02-05</v>
      </c>
      <c r="D1052">
        <f>원본데이터_리씽크!S148</f>
        <v>143790</v>
      </c>
      <c r="E1052" t="str">
        <f>IFERROR(VLOOKUP(원본데이터_리씽크!S148,채널매핑!$B:$D,3,0),"미매핑")</f>
        <v>SKU001</v>
      </c>
      <c r="F1052">
        <f>IFERROR(VLOOKUP(원본데이터_리씽크!S148,채널매핑!$B:$E,4,0),1)</f>
        <v>4</v>
      </c>
      <c r="G1052">
        <f>원본데이터_리씽크!P148</f>
        <v>1</v>
      </c>
      <c r="H1052">
        <f>원본데이터_리씽크!O148</f>
        <v>45500</v>
      </c>
      <c r="I1052">
        <f>원본데이터_리씽크!X148</f>
        <v>45500</v>
      </c>
      <c r="J1052">
        <f>원본데이터_리씽크!X148</f>
        <v>45500</v>
      </c>
      <c r="K1052" t="str">
        <f>IFERROR(VLOOKUP(E1052,제품마스터!$A:$B,2,0),0)</f>
        <v>[워커힐] 시그니처 양념갈비 300G</v>
      </c>
      <c r="L1052">
        <f>원본데이터_리씽크!P148*원본데이터_리씽크!Q148*F1052</f>
        <v>0</v>
      </c>
    </row>
    <row r="1053" spans="1:12" x14ac:dyDescent="0.3">
      <c r="A1053" t="s">
        <v>196</v>
      </c>
      <c r="B1053" t="str">
        <f>TEXT(원본데이터_리씽크!B149,"0")</f>
        <v>2026020507542200000</v>
      </c>
      <c r="C1053" t="str">
        <f>IF(원본데이터_리씽크!A149="","",TEXT(원본데이터_리씽크!A149,"YYYY-MM-DD"))</f>
        <v>2026-02-05</v>
      </c>
      <c r="D1053">
        <f>원본데이터_리씽크!S149</f>
        <v>143790</v>
      </c>
      <c r="E1053" t="str">
        <f>IFERROR(VLOOKUP(원본데이터_리씽크!S149,채널매핑!$B:$D,3,0),"미매핑")</f>
        <v>SKU001</v>
      </c>
      <c r="F1053">
        <f>IFERROR(VLOOKUP(원본데이터_리씽크!S149,채널매핑!$B:$E,4,0),1)</f>
        <v>4</v>
      </c>
      <c r="G1053">
        <f>원본데이터_리씽크!P149</f>
        <v>1</v>
      </c>
      <c r="H1053">
        <f>원본데이터_리씽크!O149</f>
        <v>45500</v>
      </c>
      <c r="I1053">
        <f>원본데이터_리씽크!X149</f>
        <v>45500</v>
      </c>
      <c r="J1053">
        <f>원본데이터_리씽크!X149</f>
        <v>45500</v>
      </c>
      <c r="K1053" t="str">
        <f>IFERROR(VLOOKUP(E1053,제품마스터!$A:$B,2,0),0)</f>
        <v>[워커힐] 시그니처 양념갈비 300G</v>
      </c>
      <c r="L1053">
        <f>원본데이터_리씽크!P149*원본데이터_리씽크!Q149*F1053</f>
        <v>0</v>
      </c>
    </row>
    <row r="1054" spans="1:12" x14ac:dyDescent="0.3">
      <c r="A1054" t="s">
        <v>196</v>
      </c>
      <c r="B1054" t="str">
        <f>TEXT(원본데이터_리씽크!B150,"0")</f>
        <v>2026020507540160000</v>
      </c>
      <c r="C1054" t="str">
        <f>IF(원본데이터_리씽크!A150="","",TEXT(원본데이터_리씽크!A150,"YYYY-MM-DD"))</f>
        <v>2026-02-05</v>
      </c>
      <c r="D1054">
        <f>원본데이터_리씽크!S150</f>
        <v>143790</v>
      </c>
      <c r="E1054" t="str">
        <f>IFERROR(VLOOKUP(원본데이터_리씽크!S150,채널매핑!$B:$D,3,0),"미매핑")</f>
        <v>SKU001</v>
      </c>
      <c r="F1054">
        <f>IFERROR(VLOOKUP(원본데이터_리씽크!S150,채널매핑!$B:$E,4,0),1)</f>
        <v>4</v>
      </c>
      <c r="G1054">
        <f>원본데이터_리씽크!P150</f>
        <v>1</v>
      </c>
      <c r="H1054">
        <f>원본데이터_리씽크!O150</f>
        <v>45500</v>
      </c>
      <c r="I1054">
        <f>원본데이터_리씽크!X150</f>
        <v>45500</v>
      </c>
      <c r="J1054">
        <f>원본데이터_리씽크!X150</f>
        <v>45500</v>
      </c>
      <c r="K1054" t="str">
        <f>IFERROR(VLOOKUP(E1054,제품마스터!$A:$B,2,0),0)</f>
        <v>[워커힐] 시그니처 양념갈비 300G</v>
      </c>
      <c r="L1054">
        <f>원본데이터_리씽크!P150*원본데이터_리씽크!Q150*F1054</f>
        <v>0</v>
      </c>
    </row>
    <row r="1055" spans="1:12" x14ac:dyDescent="0.3">
      <c r="A1055" t="s">
        <v>196</v>
      </c>
      <c r="B1055" t="str">
        <f>TEXT(원본데이터_리씽크!B151,"0")</f>
        <v>2026020507541590000</v>
      </c>
      <c r="C1055" t="str">
        <f>IF(원본데이터_리씽크!A151="","",TEXT(원본데이터_리씽크!A151,"YYYY-MM-DD"))</f>
        <v>2026-02-05</v>
      </c>
      <c r="D1055">
        <f>원본데이터_리씽크!S151</f>
        <v>143790</v>
      </c>
      <c r="E1055" t="str">
        <f>IFERROR(VLOOKUP(원본데이터_리씽크!S151,채널매핑!$B:$D,3,0),"미매핑")</f>
        <v>SKU001</v>
      </c>
      <c r="F1055">
        <f>IFERROR(VLOOKUP(원본데이터_리씽크!S151,채널매핑!$B:$E,4,0),1)</f>
        <v>4</v>
      </c>
      <c r="G1055">
        <f>원본데이터_리씽크!P151</f>
        <v>1</v>
      </c>
      <c r="H1055">
        <f>원본데이터_리씽크!O151</f>
        <v>45500</v>
      </c>
      <c r="I1055">
        <f>원본데이터_리씽크!X151</f>
        <v>45500</v>
      </c>
      <c r="J1055">
        <f>원본데이터_리씽크!X151</f>
        <v>45500</v>
      </c>
      <c r="K1055" t="str">
        <f>IFERROR(VLOOKUP(E1055,제품마스터!$A:$B,2,0),0)</f>
        <v>[워커힐] 시그니처 양념갈비 300G</v>
      </c>
      <c r="L1055">
        <f>원본데이터_리씽크!P151*원본데이터_리씽크!Q151*F1055</f>
        <v>0</v>
      </c>
    </row>
    <row r="1056" spans="1:12" x14ac:dyDescent="0.3">
      <c r="A1056" t="s">
        <v>196</v>
      </c>
      <c r="B1056" t="str">
        <f>TEXT(원본데이터_리씽크!B152,"0")</f>
        <v>2026020507443140000</v>
      </c>
      <c r="C1056" t="str">
        <f>IF(원본데이터_리씽크!A152="","",TEXT(원본데이터_리씽크!A152,"YYYY-MM-DD"))</f>
        <v>2026-02-05</v>
      </c>
      <c r="D1056">
        <f>원본데이터_리씽크!S152</f>
        <v>143790</v>
      </c>
      <c r="E1056" t="str">
        <f>IFERROR(VLOOKUP(원본데이터_리씽크!S152,채널매핑!$B:$D,3,0),"미매핑")</f>
        <v>SKU001</v>
      </c>
      <c r="F1056">
        <f>IFERROR(VLOOKUP(원본데이터_리씽크!S152,채널매핑!$B:$E,4,0),1)</f>
        <v>4</v>
      </c>
      <c r="G1056">
        <f>원본데이터_리씽크!P152</f>
        <v>1</v>
      </c>
      <c r="H1056">
        <f>원본데이터_리씽크!O152</f>
        <v>45500</v>
      </c>
      <c r="I1056">
        <f>원본데이터_리씽크!X152</f>
        <v>45500</v>
      </c>
      <c r="J1056">
        <f>원본데이터_리씽크!X152</f>
        <v>45500</v>
      </c>
      <c r="K1056" t="str">
        <f>IFERROR(VLOOKUP(E1056,제품마스터!$A:$B,2,0),0)</f>
        <v>[워커힐] 시그니처 양념갈비 300G</v>
      </c>
      <c r="L1056">
        <f>원본데이터_리씽크!P152*원본데이터_리씽크!Q152*F1056</f>
        <v>0</v>
      </c>
    </row>
    <row r="1057" spans="1:12" x14ac:dyDescent="0.3">
      <c r="A1057" t="s">
        <v>196</v>
      </c>
      <c r="B1057" t="str">
        <f>TEXT(원본데이터_리씽크!B153,"0")</f>
        <v>2026020507404140000</v>
      </c>
      <c r="C1057" t="str">
        <f>IF(원본데이터_리씽크!A153="","",TEXT(원본데이터_리씽크!A153,"YYYY-MM-DD"))</f>
        <v>2026-02-05</v>
      </c>
      <c r="D1057">
        <f>원본데이터_리씽크!S153</f>
        <v>143790</v>
      </c>
      <c r="E1057" t="str">
        <f>IFERROR(VLOOKUP(원본데이터_리씽크!S153,채널매핑!$B:$D,3,0),"미매핑")</f>
        <v>SKU001</v>
      </c>
      <c r="F1057">
        <f>IFERROR(VLOOKUP(원본데이터_리씽크!S153,채널매핑!$B:$E,4,0),1)</f>
        <v>4</v>
      </c>
      <c r="G1057">
        <f>원본데이터_리씽크!P153</f>
        <v>1</v>
      </c>
      <c r="H1057">
        <f>원본데이터_리씽크!O153</f>
        <v>45500</v>
      </c>
      <c r="I1057">
        <f>원본데이터_리씽크!X153</f>
        <v>45500</v>
      </c>
      <c r="J1057">
        <f>원본데이터_리씽크!X153</f>
        <v>45500</v>
      </c>
      <c r="K1057" t="str">
        <f>IFERROR(VLOOKUP(E1057,제품마스터!$A:$B,2,0),0)</f>
        <v>[워커힐] 시그니처 양념갈비 300G</v>
      </c>
      <c r="L1057">
        <f>원본데이터_리씽크!P153*원본데이터_리씽크!Q153*F1057</f>
        <v>0</v>
      </c>
    </row>
    <row r="1058" spans="1:12" x14ac:dyDescent="0.3">
      <c r="A1058" t="s">
        <v>196</v>
      </c>
      <c r="B1058" t="str">
        <f>TEXT(원본데이터_리씽크!B154,"0")</f>
        <v>2026020507280220000</v>
      </c>
      <c r="C1058" t="str">
        <f>IF(원본데이터_리씽크!A154="","",TEXT(원본데이터_리씽크!A154,"YYYY-MM-DD"))</f>
        <v>2026-02-05</v>
      </c>
      <c r="D1058">
        <f>원본데이터_리씽크!S154</f>
        <v>143790</v>
      </c>
      <c r="E1058" t="str">
        <f>IFERROR(VLOOKUP(원본데이터_리씽크!S154,채널매핑!$B:$D,3,0),"미매핑")</f>
        <v>SKU001</v>
      </c>
      <c r="F1058">
        <f>IFERROR(VLOOKUP(원본데이터_리씽크!S154,채널매핑!$B:$E,4,0),1)</f>
        <v>4</v>
      </c>
      <c r="G1058">
        <f>원본데이터_리씽크!P154</f>
        <v>1</v>
      </c>
      <c r="H1058">
        <f>원본데이터_리씽크!O154</f>
        <v>45500</v>
      </c>
      <c r="I1058">
        <f>원본데이터_리씽크!X154</f>
        <v>45500</v>
      </c>
      <c r="J1058">
        <f>원본데이터_리씽크!X154</f>
        <v>45500</v>
      </c>
      <c r="K1058" t="str">
        <f>IFERROR(VLOOKUP(E1058,제품마스터!$A:$B,2,0),0)</f>
        <v>[워커힐] 시그니처 양념갈비 300G</v>
      </c>
      <c r="L1058">
        <f>원본데이터_리씽크!P154*원본데이터_리씽크!Q154*F1058</f>
        <v>0</v>
      </c>
    </row>
    <row r="1059" spans="1:12" x14ac:dyDescent="0.3">
      <c r="A1059" t="s">
        <v>196</v>
      </c>
      <c r="B1059" t="str">
        <f>TEXT(원본데이터_리씽크!B155,"0")</f>
        <v>2026020507233470000</v>
      </c>
      <c r="C1059" t="str">
        <f>IF(원본데이터_리씽크!A155="","",TEXT(원본데이터_리씽크!A155,"YYYY-MM-DD"))</f>
        <v>2026-02-05</v>
      </c>
      <c r="D1059">
        <f>원본데이터_리씽크!S155</f>
        <v>143790</v>
      </c>
      <c r="E1059" t="str">
        <f>IFERROR(VLOOKUP(원본데이터_리씽크!S155,채널매핑!$B:$D,3,0),"미매핑")</f>
        <v>SKU001</v>
      </c>
      <c r="F1059">
        <f>IFERROR(VLOOKUP(원본데이터_리씽크!S155,채널매핑!$B:$E,4,0),1)</f>
        <v>4</v>
      </c>
      <c r="G1059">
        <f>원본데이터_리씽크!P155</f>
        <v>1</v>
      </c>
      <c r="H1059">
        <f>원본데이터_리씽크!O155</f>
        <v>45500</v>
      </c>
      <c r="I1059">
        <f>원본데이터_리씽크!X155</f>
        <v>45500</v>
      </c>
      <c r="J1059">
        <f>원본데이터_리씽크!X155</f>
        <v>45500</v>
      </c>
      <c r="K1059" t="str">
        <f>IFERROR(VLOOKUP(E1059,제품마스터!$A:$B,2,0),0)</f>
        <v>[워커힐] 시그니처 양념갈비 300G</v>
      </c>
      <c r="L1059">
        <f>원본데이터_리씽크!P155*원본데이터_리씽크!Q155*F1059</f>
        <v>0</v>
      </c>
    </row>
    <row r="1060" spans="1:12" x14ac:dyDescent="0.3">
      <c r="A1060" t="s">
        <v>196</v>
      </c>
      <c r="B1060" t="str">
        <f>TEXT(원본데이터_리씽크!B156,"0")</f>
        <v>2026020507213600000</v>
      </c>
      <c r="C1060" t="str">
        <f>IF(원본데이터_리씽크!A156="","",TEXT(원본데이터_리씽크!A156,"YYYY-MM-DD"))</f>
        <v>2026-02-05</v>
      </c>
      <c r="D1060">
        <f>원본데이터_리씽크!S156</f>
        <v>143790</v>
      </c>
      <c r="E1060" t="str">
        <f>IFERROR(VLOOKUP(원본데이터_리씽크!S156,채널매핑!$B:$D,3,0),"미매핑")</f>
        <v>SKU001</v>
      </c>
      <c r="F1060">
        <f>IFERROR(VLOOKUP(원본데이터_리씽크!S156,채널매핑!$B:$E,4,0),1)</f>
        <v>4</v>
      </c>
      <c r="G1060">
        <f>원본데이터_리씽크!P156</f>
        <v>1</v>
      </c>
      <c r="H1060">
        <f>원본데이터_리씽크!O156</f>
        <v>45500</v>
      </c>
      <c r="I1060">
        <f>원본데이터_리씽크!X156</f>
        <v>45500</v>
      </c>
      <c r="J1060">
        <f>원본데이터_리씽크!X156</f>
        <v>45500</v>
      </c>
      <c r="K1060" t="str">
        <f>IFERROR(VLOOKUP(E1060,제품마스터!$A:$B,2,0),0)</f>
        <v>[워커힐] 시그니처 양념갈비 300G</v>
      </c>
      <c r="L1060">
        <f>원본데이터_리씽크!P156*원본데이터_리씽크!Q156*F1060</f>
        <v>0</v>
      </c>
    </row>
    <row r="1061" spans="1:12" x14ac:dyDescent="0.3">
      <c r="A1061" t="s">
        <v>196</v>
      </c>
      <c r="B1061" t="str">
        <f>TEXT(원본데이터_리씽크!B157,"0")</f>
        <v>2026020507202860000</v>
      </c>
      <c r="C1061" t="str">
        <f>IF(원본데이터_리씽크!A157="","",TEXT(원본데이터_리씽크!A157,"YYYY-MM-DD"))</f>
        <v>2026-02-05</v>
      </c>
      <c r="D1061">
        <f>원본데이터_리씽크!S157</f>
        <v>143790</v>
      </c>
      <c r="E1061" t="str">
        <f>IFERROR(VLOOKUP(원본데이터_리씽크!S157,채널매핑!$B:$D,3,0),"미매핑")</f>
        <v>SKU001</v>
      </c>
      <c r="F1061">
        <f>IFERROR(VLOOKUP(원본데이터_리씽크!S157,채널매핑!$B:$E,4,0),1)</f>
        <v>4</v>
      </c>
      <c r="G1061">
        <f>원본데이터_리씽크!P157</f>
        <v>1</v>
      </c>
      <c r="H1061">
        <f>원본데이터_리씽크!O157</f>
        <v>45500</v>
      </c>
      <c r="I1061">
        <f>원본데이터_리씽크!X157</f>
        <v>45500</v>
      </c>
      <c r="J1061">
        <f>원본데이터_리씽크!X157</f>
        <v>45500</v>
      </c>
      <c r="K1061" t="str">
        <f>IFERROR(VLOOKUP(E1061,제품마스터!$A:$B,2,0),0)</f>
        <v>[워커힐] 시그니처 양념갈비 300G</v>
      </c>
      <c r="L1061">
        <f>원본데이터_리씽크!P157*원본데이터_리씽크!Q157*F1061</f>
        <v>0</v>
      </c>
    </row>
    <row r="1062" spans="1:12" x14ac:dyDescent="0.3">
      <c r="A1062" t="s">
        <v>196</v>
      </c>
      <c r="B1062" t="str">
        <f>TEXT(원본데이터_리씽크!B158,"0")</f>
        <v>2026020507202200000</v>
      </c>
      <c r="C1062" t="str">
        <f>IF(원본데이터_리씽크!A158="","",TEXT(원본데이터_리씽크!A158,"YYYY-MM-DD"))</f>
        <v>2026-02-05</v>
      </c>
      <c r="D1062">
        <f>원본데이터_리씽크!S158</f>
        <v>143790</v>
      </c>
      <c r="E1062" t="str">
        <f>IFERROR(VLOOKUP(원본데이터_리씽크!S158,채널매핑!$B:$D,3,0),"미매핑")</f>
        <v>SKU001</v>
      </c>
      <c r="F1062">
        <f>IFERROR(VLOOKUP(원본데이터_리씽크!S158,채널매핑!$B:$E,4,0),1)</f>
        <v>4</v>
      </c>
      <c r="G1062">
        <f>원본데이터_리씽크!P158</f>
        <v>1</v>
      </c>
      <c r="H1062">
        <f>원본데이터_리씽크!O158</f>
        <v>45500</v>
      </c>
      <c r="I1062">
        <f>원본데이터_리씽크!X158</f>
        <v>45500</v>
      </c>
      <c r="J1062">
        <f>원본데이터_리씽크!X158</f>
        <v>45500</v>
      </c>
      <c r="K1062" t="str">
        <f>IFERROR(VLOOKUP(E1062,제품마스터!$A:$B,2,0),0)</f>
        <v>[워커힐] 시그니처 양념갈비 300G</v>
      </c>
      <c r="L1062">
        <f>원본데이터_리씽크!P158*원본데이터_리씽크!Q158*F1062</f>
        <v>0</v>
      </c>
    </row>
    <row r="1063" spans="1:12" x14ac:dyDescent="0.3">
      <c r="A1063" t="s">
        <v>196</v>
      </c>
      <c r="B1063" t="str">
        <f>TEXT(원본데이터_리씽크!B159,"0")</f>
        <v>2026020507184210000</v>
      </c>
      <c r="C1063" t="str">
        <f>IF(원본데이터_리씽크!A159="","",TEXT(원본데이터_리씽크!A159,"YYYY-MM-DD"))</f>
        <v>2026-02-05</v>
      </c>
      <c r="D1063">
        <f>원본데이터_리씽크!S159</f>
        <v>143790</v>
      </c>
      <c r="E1063" t="str">
        <f>IFERROR(VLOOKUP(원본데이터_리씽크!S159,채널매핑!$B:$D,3,0),"미매핑")</f>
        <v>SKU001</v>
      </c>
      <c r="F1063">
        <f>IFERROR(VLOOKUP(원본데이터_리씽크!S159,채널매핑!$B:$E,4,0),1)</f>
        <v>4</v>
      </c>
      <c r="G1063">
        <f>원본데이터_리씽크!P159</f>
        <v>1</v>
      </c>
      <c r="H1063">
        <f>원본데이터_리씽크!O159</f>
        <v>45500</v>
      </c>
      <c r="I1063">
        <f>원본데이터_리씽크!X159</f>
        <v>45500</v>
      </c>
      <c r="J1063">
        <f>원본데이터_리씽크!X159</f>
        <v>45500</v>
      </c>
      <c r="K1063" t="str">
        <f>IFERROR(VLOOKUP(E1063,제품마스터!$A:$B,2,0),0)</f>
        <v>[워커힐] 시그니처 양념갈비 300G</v>
      </c>
      <c r="L1063">
        <f>원본데이터_리씽크!P159*원본데이터_리씽크!Q159*F1063</f>
        <v>0</v>
      </c>
    </row>
    <row r="1064" spans="1:12" x14ac:dyDescent="0.3">
      <c r="A1064" t="s">
        <v>196</v>
      </c>
      <c r="B1064" t="str">
        <f>TEXT(원본데이터_리씽크!B160,"0")</f>
        <v>2026020507172530000</v>
      </c>
      <c r="C1064" t="str">
        <f>IF(원본데이터_리씽크!A160="","",TEXT(원본데이터_리씽크!A160,"YYYY-MM-DD"))</f>
        <v>2026-02-05</v>
      </c>
      <c r="D1064">
        <f>원본데이터_리씽크!S160</f>
        <v>143790</v>
      </c>
      <c r="E1064" t="str">
        <f>IFERROR(VLOOKUP(원본데이터_리씽크!S160,채널매핑!$B:$D,3,0),"미매핑")</f>
        <v>SKU001</v>
      </c>
      <c r="F1064">
        <f>IFERROR(VLOOKUP(원본데이터_리씽크!S160,채널매핑!$B:$E,4,0),1)</f>
        <v>4</v>
      </c>
      <c r="G1064">
        <f>원본데이터_리씽크!P160</f>
        <v>1</v>
      </c>
      <c r="H1064">
        <f>원본데이터_리씽크!O160</f>
        <v>45500</v>
      </c>
      <c r="I1064">
        <f>원본데이터_리씽크!X160</f>
        <v>45500</v>
      </c>
      <c r="J1064">
        <f>원본데이터_리씽크!X160</f>
        <v>45500</v>
      </c>
      <c r="K1064" t="str">
        <f>IFERROR(VLOOKUP(E1064,제품마스터!$A:$B,2,0),0)</f>
        <v>[워커힐] 시그니처 양념갈비 300G</v>
      </c>
      <c r="L1064">
        <f>원본데이터_리씽크!P160*원본데이터_리씽크!Q160*F1064</f>
        <v>0</v>
      </c>
    </row>
    <row r="1065" spans="1:12" x14ac:dyDescent="0.3">
      <c r="A1065" t="s">
        <v>196</v>
      </c>
      <c r="B1065" t="str">
        <f>TEXT(원본데이터_리씽크!B161,"0")</f>
        <v>2026020507165690000</v>
      </c>
      <c r="C1065" t="str">
        <f>IF(원본데이터_리씽크!A161="","",TEXT(원본데이터_리씽크!A161,"YYYY-MM-DD"))</f>
        <v>2026-02-05</v>
      </c>
      <c r="D1065">
        <f>원본데이터_리씽크!S161</f>
        <v>143790</v>
      </c>
      <c r="E1065" t="str">
        <f>IFERROR(VLOOKUP(원본데이터_리씽크!S161,채널매핑!$B:$D,3,0),"미매핑")</f>
        <v>SKU001</v>
      </c>
      <c r="F1065">
        <f>IFERROR(VLOOKUP(원본데이터_리씽크!S161,채널매핑!$B:$E,4,0),1)</f>
        <v>4</v>
      </c>
      <c r="G1065">
        <f>원본데이터_리씽크!P161</f>
        <v>1</v>
      </c>
      <c r="H1065">
        <f>원본데이터_리씽크!O161</f>
        <v>45500</v>
      </c>
      <c r="I1065">
        <f>원본데이터_리씽크!X161</f>
        <v>45500</v>
      </c>
      <c r="J1065">
        <f>원본데이터_리씽크!X161</f>
        <v>45500</v>
      </c>
      <c r="K1065" t="str">
        <f>IFERROR(VLOOKUP(E1065,제품마스터!$A:$B,2,0),0)</f>
        <v>[워커힐] 시그니처 양념갈비 300G</v>
      </c>
      <c r="L1065">
        <f>원본데이터_리씽크!P161*원본데이터_리씽크!Q161*F1065</f>
        <v>0</v>
      </c>
    </row>
    <row r="1066" spans="1:12" x14ac:dyDescent="0.3">
      <c r="A1066" t="s">
        <v>196</v>
      </c>
      <c r="B1066" t="str">
        <f>TEXT(원본데이터_리씽크!B162,"0")</f>
        <v>2026020507155670000</v>
      </c>
      <c r="C1066" t="str">
        <f>IF(원본데이터_리씽크!A162="","",TEXT(원본데이터_리씽크!A162,"YYYY-MM-DD"))</f>
        <v>2026-02-05</v>
      </c>
      <c r="D1066">
        <f>원본데이터_리씽크!S162</f>
        <v>143790</v>
      </c>
      <c r="E1066" t="str">
        <f>IFERROR(VLOOKUP(원본데이터_리씽크!S162,채널매핑!$B:$D,3,0),"미매핑")</f>
        <v>SKU001</v>
      </c>
      <c r="F1066">
        <f>IFERROR(VLOOKUP(원본데이터_리씽크!S162,채널매핑!$B:$E,4,0),1)</f>
        <v>4</v>
      </c>
      <c r="G1066">
        <f>원본데이터_리씽크!P162</f>
        <v>2</v>
      </c>
      <c r="H1066">
        <f>원본데이터_리씽크!O162</f>
        <v>45500</v>
      </c>
      <c r="I1066">
        <f>원본데이터_리씽크!X162</f>
        <v>91000</v>
      </c>
      <c r="J1066">
        <f>원본데이터_리씽크!X162</f>
        <v>91000</v>
      </c>
      <c r="K1066" t="str">
        <f>IFERROR(VLOOKUP(E1066,제품마스터!$A:$B,2,0),0)</f>
        <v>[워커힐] 시그니처 양념갈비 300G</v>
      </c>
      <c r="L1066">
        <f>원본데이터_리씽크!P162*원본데이터_리씽크!Q162*F1066</f>
        <v>0</v>
      </c>
    </row>
    <row r="1067" spans="1:12" x14ac:dyDescent="0.3">
      <c r="A1067" t="s">
        <v>196</v>
      </c>
      <c r="B1067" t="str">
        <f>TEXT(원본데이터_리씽크!B163,"0")</f>
        <v>2026020506512390000</v>
      </c>
      <c r="C1067" t="str">
        <f>IF(원본데이터_리씽크!A163="","",TEXT(원본데이터_리씽크!A163,"YYYY-MM-DD"))</f>
        <v>2026-02-05</v>
      </c>
      <c r="D1067">
        <f>원본데이터_리씽크!S163</f>
        <v>143790</v>
      </c>
      <c r="E1067" t="str">
        <f>IFERROR(VLOOKUP(원본데이터_리씽크!S163,채널매핑!$B:$D,3,0),"미매핑")</f>
        <v>SKU001</v>
      </c>
      <c r="F1067">
        <f>IFERROR(VLOOKUP(원본데이터_리씽크!S163,채널매핑!$B:$E,4,0),1)</f>
        <v>4</v>
      </c>
      <c r="G1067">
        <f>원본데이터_리씽크!P163</f>
        <v>1</v>
      </c>
      <c r="H1067">
        <f>원본데이터_리씽크!O163</f>
        <v>45500</v>
      </c>
      <c r="I1067">
        <f>원본데이터_리씽크!X163</f>
        <v>45500</v>
      </c>
      <c r="J1067">
        <f>원본데이터_리씽크!X163</f>
        <v>45500</v>
      </c>
      <c r="K1067" t="str">
        <f>IFERROR(VLOOKUP(E1067,제품마스터!$A:$B,2,0),0)</f>
        <v>[워커힐] 시그니처 양념갈비 300G</v>
      </c>
      <c r="L1067">
        <f>원본데이터_리씽크!P163*원본데이터_리씽크!Q163*F1067</f>
        <v>0</v>
      </c>
    </row>
    <row r="1068" spans="1:12" x14ac:dyDescent="0.3">
      <c r="A1068" t="s">
        <v>196</v>
      </c>
      <c r="B1068" t="str">
        <f>TEXT(원본데이터_리씽크!B164,"0")</f>
        <v>2026020507124960000</v>
      </c>
      <c r="C1068" t="str">
        <f>IF(원본데이터_리씽크!A164="","",TEXT(원본데이터_리씽크!A164,"YYYY-MM-DD"))</f>
        <v>2026-02-05</v>
      </c>
      <c r="D1068">
        <f>원본데이터_리씽크!S164</f>
        <v>143790</v>
      </c>
      <c r="E1068" t="str">
        <f>IFERROR(VLOOKUP(원본데이터_리씽크!S164,채널매핑!$B:$D,3,0),"미매핑")</f>
        <v>SKU001</v>
      </c>
      <c r="F1068">
        <f>IFERROR(VLOOKUP(원본데이터_리씽크!S164,채널매핑!$B:$E,4,0),1)</f>
        <v>4</v>
      </c>
      <c r="G1068">
        <f>원본데이터_리씽크!P164</f>
        <v>1</v>
      </c>
      <c r="H1068">
        <f>원본데이터_리씽크!O164</f>
        <v>45500</v>
      </c>
      <c r="I1068">
        <f>원본데이터_리씽크!X164</f>
        <v>45500</v>
      </c>
      <c r="J1068">
        <f>원본데이터_리씽크!X164</f>
        <v>45500</v>
      </c>
      <c r="K1068" t="str">
        <f>IFERROR(VLOOKUP(E1068,제품마스터!$A:$B,2,0),0)</f>
        <v>[워커힐] 시그니처 양념갈비 300G</v>
      </c>
      <c r="L1068">
        <f>원본데이터_리씽크!P164*원본데이터_리씽크!Q164*F1068</f>
        <v>0</v>
      </c>
    </row>
    <row r="1069" spans="1:12" x14ac:dyDescent="0.3">
      <c r="A1069" t="s">
        <v>196</v>
      </c>
      <c r="B1069" t="str">
        <f>TEXT(원본데이터_리씽크!B165,"0")</f>
        <v>2026020507110300000</v>
      </c>
      <c r="C1069" t="str">
        <f>IF(원본데이터_리씽크!A165="","",TEXT(원본데이터_리씽크!A165,"YYYY-MM-DD"))</f>
        <v>2026-02-05</v>
      </c>
      <c r="D1069">
        <f>원본데이터_리씽크!S165</f>
        <v>143790</v>
      </c>
      <c r="E1069" t="str">
        <f>IFERROR(VLOOKUP(원본데이터_리씽크!S165,채널매핑!$B:$D,3,0),"미매핑")</f>
        <v>SKU001</v>
      </c>
      <c r="F1069">
        <f>IFERROR(VLOOKUP(원본데이터_리씽크!S165,채널매핑!$B:$E,4,0),1)</f>
        <v>4</v>
      </c>
      <c r="G1069">
        <f>원본데이터_리씽크!P165</f>
        <v>2</v>
      </c>
      <c r="H1069">
        <f>원본데이터_리씽크!O165</f>
        <v>45500</v>
      </c>
      <c r="I1069">
        <f>원본데이터_리씽크!X165</f>
        <v>91000</v>
      </c>
      <c r="J1069">
        <f>원본데이터_리씽크!X165</f>
        <v>91000</v>
      </c>
      <c r="K1069" t="str">
        <f>IFERROR(VLOOKUP(E1069,제품마스터!$A:$B,2,0),0)</f>
        <v>[워커힐] 시그니처 양념갈비 300G</v>
      </c>
      <c r="L1069">
        <f>원본데이터_리씽크!P165*원본데이터_리씽크!Q165*F1069</f>
        <v>0</v>
      </c>
    </row>
    <row r="1070" spans="1:12" x14ac:dyDescent="0.3">
      <c r="A1070" t="s">
        <v>196</v>
      </c>
      <c r="B1070" t="str">
        <f>TEXT(원본데이터_리씽크!B166,"0")</f>
        <v>2026020507104400000</v>
      </c>
      <c r="C1070" t="str">
        <f>IF(원본데이터_리씽크!A166="","",TEXT(원본데이터_리씽크!A166,"YYYY-MM-DD"))</f>
        <v>2026-02-05</v>
      </c>
      <c r="D1070">
        <f>원본데이터_리씽크!S166</f>
        <v>143790</v>
      </c>
      <c r="E1070" t="str">
        <f>IFERROR(VLOOKUP(원본데이터_리씽크!S166,채널매핑!$B:$D,3,0),"미매핑")</f>
        <v>SKU001</v>
      </c>
      <c r="F1070">
        <f>IFERROR(VLOOKUP(원본데이터_리씽크!S166,채널매핑!$B:$E,4,0),1)</f>
        <v>4</v>
      </c>
      <c r="G1070">
        <f>원본데이터_리씽크!P166</f>
        <v>1</v>
      </c>
      <c r="H1070">
        <f>원본데이터_리씽크!O166</f>
        <v>45500</v>
      </c>
      <c r="I1070">
        <f>원본데이터_리씽크!X166</f>
        <v>45500</v>
      </c>
      <c r="J1070">
        <f>원본데이터_리씽크!X166</f>
        <v>45500</v>
      </c>
      <c r="K1070" t="str">
        <f>IFERROR(VLOOKUP(E1070,제품마스터!$A:$B,2,0),0)</f>
        <v>[워커힐] 시그니처 양념갈비 300G</v>
      </c>
      <c r="L1070">
        <f>원본데이터_리씽크!P166*원본데이터_리씽크!Q166*F1070</f>
        <v>0</v>
      </c>
    </row>
    <row r="1071" spans="1:12" x14ac:dyDescent="0.3">
      <c r="A1071" t="s">
        <v>196</v>
      </c>
      <c r="B1071" t="str">
        <f>TEXT(원본데이터_리씽크!B167,"0")</f>
        <v>2026020507073950000</v>
      </c>
      <c r="C1071" t="str">
        <f>IF(원본데이터_리씽크!A167="","",TEXT(원본데이터_리씽크!A167,"YYYY-MM-DD"))</f>
        <v>2026-02-05</v>
      </c>
      <c r="D1071">
        <f>원본데이터_리씽크!S167</f>
        <v>143790</v>
      </c>
      <c r="E1071" t="str">
        <f>IFERROR(VLOOKUP(원본데이터_리씽크!S167,채널매핑!$B:$D,3,0),"미매핑")</f>
        <v>SKU001</v>
      </c>
      <c r="F1071">
        <f>IFERROR(VLOOKUP(원본데이터_리씽크!S167,채널매핑!$B:$E,4,0),1)</f>
        <v>4</v>
      </c>
      <c r="G1071">
        <f>원본데이터_리씽크!P167</f>
        <v>4</v>
      </c>
      <c r="H1071">
        <f>원본데이터_리씽크!O167</f>
        <v>45500</v>
      </c>
      <c r="I1071">
        <f>원본데이터_리씽크!X167</f>
        <v>182000</v>
      </c>
      <c r="J1071">
        <f>원본데이터_리씽크!X167</f>
        <v>182000</v>
      </c>
      <c r="K1071" t="str">
        <f>IFERROR(VLOOKUP(E1071,제품마스터!$A:$B,2,0),0)</f>
        <v>[워커힐] 시그니처 양념갈비 300G</v>
      </c>
      <c r="L1071">
        <f>원본데이터_리씽크!P167*원본데이터_리씽크!Q167*F1071</f>
        <v>0</v>
      </c>
    </row>
    <row r="1072" spans="1:12" x14ac:dyDescent="0.3">
      <c r="A1072" t="s">
        <v>196</v>
      </c>
      <c r="B1072" t="str">
        <f>TEXT(원본데이터_리씽크!B168,"0")</f>
        <v>2026020507064370000</v>
      </c>
      <c r="C1072" t="str">
        <f>IF(원본데이터_리씽크!A168="","",TEXT(원본데이터_리씽크!A168,"YYYY-MM-DD"))</f>
        <v>2026-02-05</v>
      </c>
      <c r="D1072">
        <f>원본데이터_리씽크!S168</f>
        <v>143790</v>
      </c>
      <c r="E1072" t="str">
        <f>IFERROR(VLOOKUP(원본데이터_리씽크!S168,채널매핑!$B:$D,3,0),"미매핑")</f>
        <v>SKU001</v>
      </c>
      <c r="F1072">
        <f>IFERROR(VLOOKUP(원본데이터_리씽크!S168,채널매핑!$B:$E,4,0),1)</f>
        <v>4</v>
      </c>
      <c r="G1072">
        <f>원본데이터_리씽크!P168</f>
        <v>1</v>
      </c>
      <c r="H1072">
        <f>원본데이터_리씽크!O168</f>
        <v>45500</v>
      </c>
      <c r="I1072">
        <f>원본데이터_리씽크!X168</f>
        <v>45500</v>
      </c>
      <c r="J1072">
        <f>원본데이터_리씽크!X168</f>
        <v>45500</v>
      </c>
      <c r="K1072" t="str">
        <f>IFERROR(VLOOKUP(E1072,제품마스터!$A:$B,2,0),0)</f>
        <v>[워커힐] 시그니처 양념갈비 300G</v>
      </c>
      <c r="L1072">
        <f>원본데이터_리씽크!P168*원본데이터_리씽크!Q168*F1072</f>
        <v>0</v>
      </c>
    </row>
    <row r="1073" spans="1:12" x14ac:dyDescent="0.3">
      <c r="A1073" t="s">
        <v>196</v>
      </c>
      <c r="B1073" t="str">
        <f>TEXT(원본데이터_리씽크!B169,"0")</f>
        <v>2026020507045430000</v>
      </c>
      <c r="C1073" t="str">
        <f>IF(원본데이터_리씽크!A169="","",TEXT(원본데이터_리씽크!A169,"YYYY-MM-DD"))</f>
        <v>2026-02-05</v>
      </c>
      <c r="D1073">
        <f>원본데이터_리씽크!S169</f>
        <v>143790</v>
      </c>
      <c r="E1073" t="str">
        <f>IFERROR(VLOOKUP(원본데이터_리씽크!S169,채널매핑!$B:$D,3,0),"미매핑")</f>
        <v>SKU001</v>
      </c>
      <c r="F1073">
        <f>IFERROR(VLOOKUP(원본데이터_리씽크!S169,채널매핑!$B:$E,4,0),1)</f>
        <v>4</v>
      </c>
      <c r="G1073">
        <f>원본데이터_리씽크!P169</f>
        <v>1</v>
      </c>
      <c r="H1073">
        <f>원본데이터_리씽크!O169</f>
        <v>45500</v>
      </c>
      <c r="I1073">
        <f>원본데이터_리씽크!X169</f>
        <v>45500</v>
      </c>
      <c r="J1073">
        <f>원본데이터_리씽크!X169</f>
        <v>45500</v>
      </c>
      <c r="K1073" t="str">
        <f>IFERROR(VLOOKUP(E1073,제품마스터!$A:$B,2,0),0)</f>
        <v>[워커힐] 시그니처 양념갈비 300G</v>
      </c>
      <c r="L1073">
        <f>원본데이터_리씽크!P169*원본데이터_리씽크!Q169*F1073</f>
        <v>0</v>
      </c>
    </row>
    <row r="1074" spans="1:12" x14ac:dyDescent="0.3">
      <c r="A1074" t="s">
        <v>196</v>
      </c>
      <c r="B1074" t="str">
        <f>TEXT(원본데이터_리씽크!B170,"0")</f>
        <v>2026020507053300000</v>
      </c>
      <c r="C1074" t="str">
        <f>IF(원본데이터_리씽크!A170="","",TEXT(원본데이터_리씽크!A170,"YYYY-MM-DD"))</f>
        <v>2026-02-05</v>
      </c>
      <c r="D1074">
        <f>원본데이터_리씽크!S170</f>
        <v>143790</v>
      </c>
      <c r="E1074" t="str">
        <f>IFERROR(VLOOKUP(원본데이터_리씽크!S170,채널매핑!$B:$D,3,0),"미매핑")</f>
        <v>SKU001</v>
      </c>
      <c r="F1074">
        <f>IFERROR(VLOOKUP(원본데이터_리씽크!S170,채널매핑!$B:$E,4,0),1)</f>
        <v>4</v>
      </c>
      <c r="G1074">
        <f>원본데이터_리씽크!P170</f>
        <v>1</v>
      </c>
      <c r="H1074">
        <f>원본데이터_리씽크!O170</f>
        <v>45500</v>
      </c>
      <c r="I1074">
        <f>원본데이터_리씽크!X170</f>
        <v>45500</v>
      </c>
      <c r="J1074">
        <f>원본데이터_리씽크!X170</f>
        <v>45500</v>
      </c>
      <c r="K1074" t="str">
        <f>IFERROR(VLOOKUP(E1074,제품마스터!$A:$B,2,0),0)</f>
        <v>[워커힐] 시그니처 양념갈비 300G</v>
      </c>
      <c r="L1074">
        <f>원본데이터_리씽크!P170*원본데이터_리씽크!Q170*F1074</f>
        <v>0</v>
      </c>
    </row>
    <row r="1075" spans="1:12" x14ac:dyDescent="0.3">
      <c r="A1075" t="s">
        <v>196</v>
      </c>
      <c r="B1075" t="str">
        <f>TEXT(원본데이터_리씽크!B171,"0")</f>
        <v>2026020507032640000</v>
      </c>
      <c r="C1075" t="str">
        <f>IF(원본데이터_리씽크!A171="","",TEXT(원본데이터_리씽크!A171,"YYYY-MM-DD"))</f>
        <v>2026-02-05</v>
      </c>
      <c r="D1075">
        <f>원본데이터_리씽크!S171</f>
        <v>143790</v>
      </c>
      <c r="E1075" t="str">
        <f>IFERROR(VLOOKUP(원본데이터_리씽크!S171,채널매핑!$B:$D,3,0),"미매핑")</f>
        <v>SKU001</v>
      </c>
      <c r="F1075">
        <f>IFERROR(VLOOKUP(원본데이터_리씽크!S171,채널매핑!$B:$E,4,0),1)</f>
        <v>4</v>
      </c>
      <c r="G1075">
        <f>원본데이터_리씽크!P171</f>
        <v>1</v>
      </c>
      <c r="H1075">
        <f>원본데이터_리씽크!O171</f>
        <v>45500</v>
      </c>
      <c r="I1075">
        <f>원본데이터_리씽크!X171</f>
        <v>45500</v>
      </c>
      <c r="J1075">
        <f>원본데이터_리씽크!X171</f>
        <v>45500</v>
      </c>
      <c r="K1075" t="str">
        <f>IFERROR(VLOOKUP(E1075,제품마스터!$A:$B,2,0),0)</f>
        <v>[워커힐] 시그니처 양념갈비 300G</v>
      </c>
      <c r="L1075">
        <f>원본데이터_리씽크!P171*원본데이터_리씽크!Q171*F1075</f>
        <v>0</v>
      </c>
    </row>
    <row r="1076" spans="1:12" x14ac:dyDescent="0.3">
      <c r="A1076" t="s">
        <v>196</v>
      </c>
      <c r="B1076" t="str">
        <f>TEXT(원본데이터_리씽크!B172,"0")</f>
        <v>2026020507024720000</v>
      </c>
      <c r="C1076" t="str">
        <f>IF(원본데이터_리씽크!A172="","",TEXT(원본데이터_리씽크!A172,"YYYY-MM-DD"))</f>
        <v>2026-02-05</v>
      </c>
      <c r="D1076">
        <f>원본데이터_리씽크!S172</f>
        <v>143790</v>
      </c>
      <c r="E1076" t="str">
        <f>IFERROR(VLOOKUP(원본데이터_리씽크!S172,채널매핑!$B:$D,3,0),"미매핑")</f>
        <v>SKU001</v>
      </c>
      <c r="F1076">
        <f>IFERROR(VLOOKUP(원본데이터_리씽크!S172,채널매핑!$B:$E,4,0),1)</f>
        <v>4</v>
      </c>
      <c r="G1076">
        <f>원본데이터_리씽크!P172</f>
        <v>1</v>
      </c>
      <c r="H1076">
        <f>원본데이터_리씽크!O172</f>
        <v>45500</v>
      </c>
      <c r="I1076">
        <f>원본데이터_리씽크!X172</f>
        <v>45500</v>
      </c>
      <c r="J1076">
        <f>원본데이터_리씽크!X172</f>
        <v>45500</v>
      </c>
      <c r="K1076" t="str">
        <f>IFERROR(VLOOKUP(E1076,제품마스터!$A:$B,2,0),0)</f>
        <v>[워커힐] 시그니처 양념갈비 300G</v>
      </c>
      <c r="L1076">
        <f>원본데이터_리씽크!P172*원본데이터_리씽크!Q172*F1076</f>
        <v>0</v>
      </c>
    </row>
    <row r="1077" spans="1:12" x14ac:dyDescent="0.3">
      <c r="A1077" t="s">
        <v>196</v>
      </c>
      <c r="B1077" t="str">
        <f>TEXT(원본데이터_리씽크!B173,"0")</f>
        <v>2026020506581000000</v>
      </c>
      <c r="C1077" t="str">
        <f>IF(원본데이터_리씽크!A173="","",TEXT(원본데이터_리씽크!A173,"YYYY-MM-DD"))</f>
        <v>2026-02-05</v>
      </c>
      <c r="D1077">
        <f>원본데이터_리씽크!S173</f>
        <v>143790</v>
      </c>
      <c r="E1077" t="str">
        <f>IFERROR(VLOOKUP(원본데이터_리씽크!S173,채널매핑!$B:$D,3,0),"미매핑")</f>
        <v>SKU001</v>
      </c>
      <c r="F1077">
        <f>IFERROR(VLOOKUP(원본데이터_리씽크!S173,채널매핑!$B:$E,4,0),1)</f>
        <v>4</v>
      </c>
      <c r="G1077">
        <f>원본데이터_리씽크!P173</f>
        <v>1</v>
      </c>
      <c r="H1077">
        <f>원본데이터_리씽크!O173</f>
        <v>45500</v>
      </c>
      <c r="I1077">
        <f>원본데이터_리씽크!X173</f>
        <v>45500</v>
      </c>
      <c r="J1077">
        <f>원본데이터_리씽크!X173</f>
        <v>45500</v>
      </c>
      <c r="K1077" t="str">
        <f>IFERROR(VLOOKUP(E1077,제품마스터!$A:$B,2,0),0)</f>
        <v>[워커힐] 시그니처 양념갈비 300G</v>
      </c>
      <c r="L1077">
        <f>원본데이터_리씽크!P173*원본데이터_리씽크!Q173*F1077</f>
        <v>0</v>
      </c>
    </row>
    <row r="1078" spans="1:12" x14ac:dyDescent="0.3">
      <c r="A1078" t="s">
        <v>196</v>
      </c>
      <c r="B1078" t="str">
        <f>TEXT(원본데이터_리씽크!B174,"0")</f>
        <v>2026020506574720000</v>
      </c>
      <c r="C1078" t="str">
        <f>IF(원본데이터_리씽크!A174="","",TEXT(원본데이터_리씽크!A174,"YYYY-MM-DD"))</f>
        <v>2026-02-05</v>
      </c>
      <c r="D1078">
        <f>원본데이터_리씽크!S174</f>
        <v>143790</v>
      </c>
      <c r="E1078" t="str">
        <f>IFERROR(VLOOKUP(원본데이터_리씽크!S174,채널매핑!$B:$D,3,0),"미매핑")</f>
        <v>SKU001</v>
      </c>
      <c r="F1078">
        <f>IFERROR(VLOOKUP(원본데이터_리씽크!S174,채널매핑!$B:$E,4,0),1)</f>
        <v>4</v>
      </c>
      <c r="G1078">
        <f>원본데이터_리씽크!P174</f>
        <v>1</v>
      </c>
      <c r="H1078">
        <f>원본데이터_리씽크!O174</f>
        <v>45500</v>
      </c>
      <c r="I1078">
        <f>원본데이터_리씽크!X174</f>
        <v>45500</v>
      </c>
      <c r="J1078">
        <f>원본데이터_리씽크!X174</f>
        <v>45500</v>
      </c>
      <c r="K1078" t="str">
        <f>IFERROR(VLOOKUP(E1078,제품마스터!$A:$B,2,0),0)</f>
        <v>[워커힐] 시그니처 양념갈비 300G</v>
      </c>
      <c r="L1078">
        <f>원본데이터_리씽크!P174*원본데이터_리씽크!Q174*F1078</f>
        <v>0</v>
      </c>
    </row>
    <row r="1079" spans="1:12" x14ac:dyDescent="0.3">
      <c r="A1079" t="s">
        <v>196</v>
      </c>
      <c r="B1079" t="str">
        <f>TEXT(원본데이터_리씽크!B175,"0")</f>
        <v>2026020506565390000</v>
      </c>
      <c r="C1079" t="str">
        <f>IF(원본데이터_리씽크!A175="","",TEXT(원본데이터_리씽크!A175,"YYYY-MM-DD"))</f>
        <v>2026-02-05</v>
      </c>
      <c r="D1079">
        <f>원본데이터_리씽크!S175</f>
        <v>143790</v>
      </c>
      <c r="E1079" t="str">
        <f>IFERROR(VLOOKUP(원본데이터_리씽크!S175,채널매핑!$B:$D,3,0),"미매핑")</f>
        <v>SKU001</v>
      </c>
      <c r="F1079">
        <f>IFERROR(VLOOKUP(원본데이터_리씽크!S175,채널매핑!$B:$E,4,0),1)</f>
        <v>4</v>
      </c>
      <c r="G1079">
        <f>원본데이터_리씽크!P175</f>
        <v>1</v>
      </c>
      <c r="H1079">
        <f>원본데이터_리씽크!O175</f>
        <v>45500</v>
      </c>
      <c r="I1079">
        <f>원본데이터_리씽크!X175</f>
        <v>45500</v>
      </c>
      <c r="J1079">
        <f>원본데이터_리씽크!X175</f>
        <v>45500</v>
      </c>
      <c r="K1079" t="str">
        <f>IFERROR(VLOOKUP(E1079,제품마스터!$A:$B,2,0),0)</f>
        <v>[워커힐] 시그니처 양념갈비 300G</v>
      </c>
      <c r="L1079">
        <f>원본데이터_리씽크!P175*원본데이터_리씽크!Q175*F1079</f>
        <v>0</v>
      </c>
    </row>
    <row r="1080" spans="1:12" x14ac:dyDescent="0.3">
      <c r="A1080" t="s">
        <v>196</v>
      </c>
      <c r="B1080" t="str">
        <f>TEXT(원본데이터_리씽크!B176,"0")</f>
        <v>2026020506575330000</v>
      </c>
      <c r="C1080" t="str">
        <f>IF(원본데이터_리씽크!A176="","",TEXT(원본데이터_리씽크!A176,"YYYY-MM-DD"))</f>
        <v>2026-02-05</v>
      </c>
      <c r="D1080">
        <f>원본데이터_리씽크!S176</f>
        <v>143790</v>
      </c>
      <c r="E1080" t="str">
        <f>IFERROR(VLOOKUP(원본데이터_리씽크!S176,채널매핑!$B:$D,3,0),"미매핑")</f>
        <v>SKU001</v>
      </c>
      <c r="F1080">
        <f>IFERROR(VLOOKUP(원본데이터_리씽크!S176,채널매핑!$B:$E,4,0),1)</f>
        <v>4</v>
      </c>
      <c r="G1080">
        <f>원본데이터_리씽크!P176</f>
        <v>1</v>
      </c>
      <c r="H1080">
        <f>원본데이터_리씽크!O176</f>
        <v>45500</v>
      </c>
      <c r="I1080">
        <f>원본데이터_리씽크!X176</f>
        <v>45500</v>
      </c>
      <c r="J1080">
        <f>원본데이터_리씽크!X176</f>
        <v>45500</v>
      </c>
      <c r="K1080" t="str">
        <f>IFERROR(VLOOKUP(E1080,제품마스터!$A:$B,2,0),0)</f>
        <v>[워커힐] 시그니처 양념갈비 300G</v>
      </c>
      <c r="L1080">
        <f>원본데이터_리씽크!P176*원본데이터_리씽크!Q176*F1080</f>
        <v>0</v>
      </c>
    </row>
    <row r="1081" spans="1:12" x14ac:dyDescent="0.3">
      <c r="A1081" t="s">
        <v>196</v>
      </c>
      <c r="B1081" t="str">
        <f>TEXT(원본데이터_리씽크!B177,"0")</f>
        <v>2026020506510590000</v>
      </c>
      <c r="C1081" t="str">
        <f>IF(원본데이터_리씽크!A177="","",TEXT(원본데이터_리씽크!A177,"YYYY-MM-DD"))</f>
        <v>2026-02-05</v>
      </c>
      <c r="D1081">
        <f>원본데이터_리씽크!S177</f>
        <v>143790</v>
      </c>
      <c r="E1081" t="str">
        <f>IFERROR(VLOOKUP(원본데이터_리씽크!S177,채널매핑!$B:$D,3,0),"미매핑")</f>
        <v>SKU001</v>
      </c>
      <c r="F1081">
        <f>IFERROR(VLOOKUP(원본데이터_리씽크!S177,채널매핑!$B:$E,4,0),1)</f>
        <v>4</v>
      </c>
      <c r="G1081">
        <f>원본데이터_리씽크!P177</f>
        <v>1</v>
      </c>
      <c r="H1081">
        <f>원본데이터_리씽크!O177</f>
        <v>45500</v>
      </c>
      <c r="I1081">
        <f>원본데이터_리씽크!X177</f>
        <v>45500</v>
      </c>
      <c r="J1081">
        <f>원본데이터_리씽크!X177</f>
        <v>45500</v>
      </c>
      <c r="K1081" t="str">
        <f>IFERROR(VLOOKUP(E1081,제품마스터!$A:$B,2,0),0)</f>
        <v>[워커힐] 시그니처 양념갈비 300G</v>
      </c>
      <c r="L1081">
        <f>원본데이터_리씽크!P177*원본데이터_리씽크!Q177*F1081</f>
        <v>0</v>
      </c>
    </row>
    <row r="1082" spans="1:12" x14ac:dyDescent="0.3">
      <c r="A1082" t="s">
        <v>196</v>
      </c>
      <c r="B1082" t="str">
        <f>TEXT(원본데이터_리씽크!B178,"0")</f>
        <v>2026020506544060000</v>
      </c>
      <c r="C1082" t="str">
        <f>IF(원본데이터_리씽크!A178="","",TEXT(원본데이터_리씽크!A178,"YYYY-MM-DD"))</f>
        <v>2026-02-05</v>
      </c>
      <c r="D1082">
        <f>원본데이터_리씽크!S178</f>
        <v>143790</v>
      </c>
      <c r="E1082" t="str">
        <f>IFERROR(VLOOKUP(원본데이터_리씽크!S178,채널매핑!$B:$D,3,0),"미매핑")</f>
        <v>SKU001</v>
      </c>
      <c r="F1082">
        <f>IFERROR(VLOOKUP(원본데이터_리씽크!S178,채널매핑!$B:$E,4,0),1)</f>
        <v>4</v>
      </c>
      <c r="G1082">
        <f>원본데이터_리씽크!P178</f>
        <v>2</v>
      </c>
      <c r="H1082">
        <f>원본데이터_리씽크!O178</f>
        <v>45500</v>
      </c>
      <c r="I1082">
        <f>원본데이터_리씽크!X178</f>
        <v>91000</v>
      </c>
      <c r="J1082">
        <f>원본데이터_리씽크!X178</f>
        <v>91000</v>
      </c>
      <c r="K1082" t="str">
        <f>IFERROR(VLOOKUP(E1082,제품마스터!$A:$B,2,0),0)</f>
        <v>[워커힐] 시그니처 양념갈비 300G</v>
      </c>
      <c r="L1082">
        <f>원본데이터_리씽크!P178*원본데이터_리씽크!Q178*F1082</f>
        <v>0</v>
      </c>
    </row>
    <row r="1083" spans="1:12" x14ac:dyDescent="0.3">
      <c r="A1083" t="s">
        <v>196</v>
      </c>
      <c r="B1083" t="str">
        <f>TEXT(원본데이터_리씽크!B179,"0")</f>
        <v>2026020506530720000</v>
      </c>
      <c r="C1083" t="str">
        <f>IF(원본데이터_리씽크!A179="","",TEXT(원본데이터_리씽크!A179,"YYYY-MM-DD"))</f>
        <v>2026-02-05</v>
      </c>
      <c r="D1083">
        <f>원본데이터_리씽크!S179</f>
        <v>143790</v>
      </c>
      <c r="E1083" t="str">
        <f>IFERROR(VLOOKUP(원본데이터_리씽크!S179,채널매핑!$B:$D,3,0),"미매핑")</f>
        <v>SKU001</v>
      </c>
      <c r="F1083">
        <f>IFERROR(VLOOKUP(원본데이터_리씽크!S179,채널매핑!$B:$E,4,0),1)</f>
        <v>4</v>
      </c>
      <c r="G1083">
        <f>원본데이터_리씽크!P179</f>
        <v>1</v>
      </c>
      <c r="H1083">
        <f>원본데이터_리씽크!O179</f>
        <v>45500</v>
      </c>
      <c r="I1083">
        <f>원본데이터_리씽크!X179</f>
        <v>45500</v>
      </c>
      <c r="J1083">
        <f>원본데이터_리씽크!X179</f>
        <v>45500</v>
      </c>
      <c r="K1083" t="str">
        <f>IFERROR(VLOOKUP(E1083,제품마스터!$A:$B,2,0),0)</f>
        <v>[워커힐] 시그니처 양념갈비 300G</v>
      </c>
      <c r="L1083">
        <f>원본데이터_리씽크!P179*원본데이터_리씽크!Q179*F1083</f>
        <v>0</v>
      </c>
    </row>
    <row r="1084" spans="1:12" x14ac:dyDescent="0.3">
      <c r="A1084" t="s">
        <v>196</v>
      </c>
      <c r="B1084" t="str">
        <f>TEXT(원본데이터_리씽크!B180,"0")</f>
        <v>2026020506535230000</v>
      </c>
      <c r="C1084" t="str">
        <f>IF(원본데이터_리씽크!A180="","",TEXT(원본데이터_리씽크!A180,"YYYY-MM-DD"))</f>
        <v>2026-02-05</v>
      </c>
      <c r="D1084">
        <f>원본데이터_리씽크!S180</f>
        <v>143790</v>
      </c>
      <c r="E1084" t="str">
        <f>IFERROR(VLOOKUP(원본데이터_리씽크!S180,채널매핑!$B:$D,3,0),"미매핑")</f>
        <v>SKU001</v>
      </c>
      <c r="F1084">
        <f>IFERROR(VLOOKUP(원본데이터_리씽크!S180,채널매핑!$B:$E,4,0),1)</f>
        <v>4</v>
      </c>
      <c r="G1084">
        <f>원본데이터_리씽크!P180</f>
        <v>1</v>
      </c>
      <c r="H1084">
        <f>원본데이터_리씽크!O180</f>
        <v>45500</v>
      </c>
      <c r="I1084">
        <f>원본데이터_리씽크!X180</f>
        <v>45500</v>
      </c>
      <c r="J1084">
        <f>원본데이터_리씽크!X180</f>
        <v>45500</v>
      </c>
      <c r="K1084" t="str">
        <f>IFERROR(VLOOKUP(E1084,제품마스터!$A:$B,2,0),0)</f>
        <v>[워커힐] 시그니처 양념갈비 300G</v>
      </c>
      <c r="L1084">
        <f>원본데이터_리씽크!P180*원본데이터_리씽크!Q180*F1084</f>
        <v>0</v>
      </c>
    </row>
    <row r="1085" spans="1:12" x14ac:dyDescent="0.3">
      <c r="A1085" t="s">
        <v>196</v>
      </c>
      <c r="B1085" t="str">
        <f>TEXT(원본데이터_리씽크!B181,"0")</f>
        <v>2026020506525540000</v>
      </c>
      <c r="C1085" t="str">
        <f>IF(원본데이터_리씽크!A181="","",TEXT(원본데이터_리씽크!A181,"YYYY-MM-DD"))</f>
        <v>2026-02-05</v>
      </c>
      <c r="D1085">
        <f>원본데이터_리씽크!S181</f>
        <v>143790</v>
      </c>
      <c r="E1085" t="str">
        <f>IFERROR(VLOOKUP(원본데이터_리씽크!S181,채널매핑!$B:$D,3,0),"미매핑")</f>
        <v>SKU001</v>
      </c>
      <c r="F1085">
        <f>IFERROR(VLOOKUP(원본데이터_리씽크!S181,채널매핑!$B:$E,4,0),1)</f>
        <v>4</v>
      </c>
      <c r="G1085">
        <f>원본데이터_리씽크!P181</f>
        <v>1</v>
      </c>
      <c r="H1085">
        <f>원본데이터_리씽크!O181</f>
        <v>45500</v>
      </c>
      <c r="I1085">
        <f>원본데이터_리씽크!X181</f>
        <v>45500</v>
      </c>
      <c r="J1085">
        <f>원본데이터_리씽크!X181</f>
        <v>45500</v>
      </c>
      <c r="K1085" t="str">
        <f>IFERROR(VLOOKUP(E1085,제품마스터!$A:$B,2,0),0)</f>
        <v>[워커힐] 시그니처 양념갈비 300G</v>
      </c>
      <c r="L1085">
        <f>원본데이터_리씽크!P181*원본데이터_리씽크!Q181*F1085</f>
        <v>0</v>
      </c>
    </row>
    <row r="1086" spans="1:12" x14ac:dyDescent="0.3">
      <c r="A1086" t="s">
        <v>196</v>
      </c>
      <c r="B1086" t="str">
        <f>TEXT(원본데이터_리씽크!B182,"0")</f>
        <v>2026020506521710000</v>
      </c>
      <c r="C1086" t="str">
        <f>IF(원본데이터_리씽크!A182="","",TEXT(원본데이터_리씽크!A182,"YYYY-MM-DD"))</f>
        <v>2026-02-05</v>
      </c>
      <c r="D1086">
        <f>원본데이터_리씽크!S182</f>
        <v>143790</v>
      </c>
      <c r="E1086" t="str">
        <f>IFERROR(VLOOKUP(원본데이터_리씽크!S182,채널매핑!$B:$D,3,0),"미매핑")</f>
        <v>SKU001</v>
      </c>
      <c r="F1086">
        <f>IFERROR(VLOOKUP(원본데이터_리씽크!S182,채널매핑!$B:$E,4,0),1)</f>
        <v>4</v>
      </c>
      <c r="G1086">
        <f>원본데이터_리씽크!P182</f>
        <v>1</v>
      </c>
      <c r="H1086">
        <f>원본데이터_리씽크!O182</f>
        <v>45500</v>
      </c>
      <c r="I1086">
        <f>원본데이터_리씽크!X182</f>
        <v>45500</v>
      </c>
      <c r="J1086">
        <f>원본데이터_리씽크!X182</f>
        <v>45500</v>
      </c>
      <c r="K1086" t="str">
        <f>IFERROR(VLOOKUP(E1086,제품마스터!$A:$B,2,0),0)</f>
        <v>[워커힐] 시그니처 양념갈비 300G</v>
      </c>
      <c r="L1086">
        <f>원본데이터_리씽크!P182*원본데이터_리씽크!Q182*F1086</f>
        <v>0</v>
      </c>
    </row>
    <row r="1087" spans="1:12" x14ac:dyDescent="0.3">
      <c r="A1087" t="s">
        <v>196</v>
      </c>
      <c r="B1087" t="str">
        <f>TEXT(원본데이터_리씽크!B183,"0")</f>
        <v>2026020506512580000</v>
      </c>
      <c r="C1087" t="str">
        <f>IF(원본데이터_리씽크!A183="","",TEXT(원본데이터_리씽크!A183,"YYYY-MM-DD"))</f>
        <v>2026-02-05</v>
      </c>
      <c r="D1087">
        <f>원본데이터_리씽크!S183</f>
        <v>143790</v>
      </c>
      <c r="E1087" t="str">
        <f>IFERROR(VLOOKUP(원본데이터_리씽크!S183,채널매핑!$B:$D,3,0),"미매핑")</f>
        <v>SKU001</v>
      </c>
      <c r="F1087">
        <f>IFERROR(VLOOKUP(원본데이터_리씽크!S183,채널매핑!$B:$E,4,0),1)</f>
        <v>4</v>
      </c>
      <c r="G1087">
        <f>원본데이터_리씽크!P183</f>
        <v>1</v>
      </c>
      <c r="H1087">
        <f>원본데이터_리씽크!O183</f>
        <v>45500</v>
      </c>
      <c r="I1087">
        <f>원본데이터_리씽크!X183</f>
        <v>45500</v>
      </c>
      <c r="J1087">
        <f>원본데이터_리씽크!X183</f>
        <v>45500</v>
      </c>
      <c r="K1087" t="str">
        <f>IFERROR(VLOOKUP(E1087,제품마스터!$A:$B,2,0),0)</f>
        <v>[워커힐] 시그니처 양념갈비 300G</v>
      </c>
      <c r="L1087">
        <f>원본데이터_리씽크!P183*원본데이터_리씽크!Q183*F1087</f>
        <v>0</v>
      </c>
    </row>
    <row r="1088" spans="1:12" x14ac:dyDescent="0.3">
      <c r="A1088" t="s">
        <v>196</v>
      </c>
      <c r="B1088" t="str">
        <f>TEXT(원본데이터_리씽크!B184,"0")</f>
        <v>2026020506514420000</v>
      </c>
      <c r="C1088" t="str">
        <f>IF(원본데이터_리씽크!A184="","",TEXT(원본데이터_리씽크!A184,"YYYY-MM-DD"))</f>
        <v>2026-02-05</v>
      </c>
      <c r="D1088">
        <f>원본데이터_리씽크!S184</f>
        <v>143790</v>
      </c>
      <c r="E1088" t="str">
        <f>IFERROR(VLOOKUP(원본데이터_리씽크!S184,채널매핑!$B:$D,3,0),"미매핑")</f>
        <v>SKU001</v>
      </c>
      <c r="F1088">
        <f>IFERROR(VLOOKUP(원본데이터_리씽크!S184,채널매핑!$B:$E,4,0),1)</f>
        <v>4</v>
      </c>
      <c r="G1088">
        <f>원본데이터_리씽크!P184</f>
        <v>1</v>
      </c>
      <c r="H1088">
        <f>원본데이터_리씽크!O184</f>
        <v>45500</v>
      </c>
      <c r="I1088">
        <f>원본데이터_리씽크!X184</f>
        <v>45500</v>
      </c>
      <c r="J1088">
        <f>원본데이터_리씽크!X184</f>
        <v>45500</v>
      </c>
      <c r="K1088" t="str">
        <f>IFERROR(VLOOKUP(E1088,제품마스터!$A:$B,2,0),0)</f>
        <v>[워커힐] 시그니처 양념갈비 300G</v>
      </c>
      <c r="L1088">
        <f>원본데이터_리씽크!P184*원본데이터_리씽크!Q184*F1088</f>
        <v>0</v>
      </c>
    </row>
    <row r="1089" spans="1:12" x14ac:dyDescent="0.3">
      <c r="A1089" t="s">
        <v>196</v>
      </c>
      <c r="B1089" t="str">
        <f>TEXT(원본데이터_리씽크!B185,"0")</f>
        <v>2026020506513440000</v>
      </c>
      <c r="C1089" t="str">
        <f>IF(원본데이터_리씽크!A185="","",TEXT(원본데이터_리씽크!A185,"YYYY-MM-DD"))</f>
        <v>2026-02-05</v>
      </c>
      <c r="D1089">
        <f>원본데이터_리씽크!S185</f>
        <v>143790</v>
      </c>
      <c r="E1089" t="str">
        <f>IFERROR(VLOOKUP(원본데이터_리씽크!S185,채널매핑!$B:$D,3,0),"미매핑")</f>
        <v>SKU001</v>
      </c>
      <c r="F1089">
        <f>IFERROR(VLOOKUP(원본데이터_리씽크!S185,채널매핑!$B:$E,4,0),1)</f>
        <v>4</v>
      </c>
      <c r="G1089">
        <f>원본데이터_리씽크!P185</f>
        <v>2</v>
      </c>
      <c r="H1089">
        <f>원본데이터_리씽크!O185</f>
        <v>45500</v>
      </c>
      <c r="I1089">
        <f>원본데이터_리씽크!X185</f>
        <v>91000</v>
      </c>
      <c r="J1089">
        <f>원본데이터_리씽크!X185</f>
        <v>91000</v>
      </c>
      <c r="K1089" t="str">
        <f>IFERROR(VLOOKUP(E1089,제품마스터!$A:$B,2,0),0)</f>
        <v>[워커힐] 시그니처 양념갈비 300G</v>
      </c>
      <c r="L1089">
        <f>원본데이터_리씽크!P185*원본데이터_리씽크!Q185*F1089</f>
        <v>0</v>
      </c>
    </row>
    <row r="1090" spans="1:12" x14ac:dyDescent="0.3">
      <c r="A1090" t="s">
        <v>196</v>
      </c>
      <c r="B1090" t="str">
        <f>TEXT(원본데이터_리씽크!B186,"0")</f>
        <v>2026020506483560000</v>
      </c>
      <c r="C1090" t="str">
        <f>IF(원본데이터_리씽크!A186="","",TEXT(원본데이터_리씽크!A186,"YYYY-MM-DD"))</f>
        <v>2026-02-05</v>
      </c>
      <c r="D1090">
        <f>원본데이터_리씽크!S186</f>
        <v>143790</v>
      </c>
      <c r="E1090" t="str">
        <f>IFERROR(VLOOKUP(원본데이터_리씽크!S186,채널매핑!$B:$D,3,0),"미매핑")</f>
        <v>SKU001</v>
      </c>
      <c r="F1090">
        <f>IFERROR(VLOOKUP(원본데이터_리씽크!S186,채널매핑!$B:$E,4,0),1)</f>
        <v>4</v>
      </c>
      <c r="G1090">
        <f>원본데이터_리씽크!P186</f>
        <v>1</v>
      </c>
      <c r="H1090">
        <f>원본데이터_리씽크!O186</f>
        <v>45500</v>
      </c>
      <c r="I1090">
        <f>원본데이터_리씽크!X186</f>
        <v>45500</v>
      </c>
      <c r="J1090">
        <f>원본데이터_리씽크!X186</f>
        <v>45500</v>
      </c>
      <c r="K1090" t="str">
        <f>IFERROR(VLOOKUP(E1090,제품마스터!$A:$B,2,0),0)</f>
        <v>[워커힐] 시그니처 양념갈비 300G</v>
      </c>
      <c r="L1090">
        <f>원본데이터_리씽크!P186*원본데이터_리씽크!Q186*F1090</f>
        <v>0</v>
      </c>
    </row>
    <row r="1091" spans="1:12" x14ac:dyDescent="0.3">
      <c r="A1091" t="s">
        <v>196</v>
      </c>
      <c r="B1091" t="str">
        <f>TEXT(원본데이터_리씽크!B187,"0")</f>
        <v>2026020506504030000</v>
      </c>
      <c r="C1091" t="str">
        <f>IF(원본데이터_리씽크!A187="","",TEXT(원본데이터_리씽크!A187,"YYYY-MM-DD"))</f>
        <v>2026-02-05</v>
      </c>
      <c r="D1091">
        <f>원본데이터_리씽크!S187</f>
        <v>143790</v>
      </c>
      <c r="E1091" t="str">
        <f>IFERROR(VLOOKUP(원본데이터_리씽크!S187,채널매핑!$B:$D,3,0),"미매핑")</f>
        <v>SKU001</v>
      </c>
      <c r="F1091">
        <f>IFERROR(VLOOKUP(원본데이터_리씽크!S187,채널매핑!$B:$E,4,0),1)</f>
        <v>4</v>
      </c>
      <c r="G1091">
        <f>원본데이터_리씽크!P187</f>
        <v>1</v>
      </c>
      <c r="H1091">
        <f>원본데이터_리씽크!O187</f>
        <v>45500</v>
      </c>
      <c r="I1091">
        <f>원본데이터_리씽크!X187</f>
        <v>45500</v>
      </c>
      <c r="J1091">
        <f>원본데이터_리씽크!X187</f>
        <v>45500</v>
      </c>
      <c r="K1091" t="str">
        <f>IFERROR(VLOOKUP(E1091,제품마스터!$A:$B,2,0),0)</f>
        <v>[워커힐] 시그니처 양념갈비 300G</v>
      </c>
      <c r="L1091">
        <f>원본데이터_리씽크!P187*원본데이터_리씽크!Q187*F1091</f>
        <v>0</v>
      </c>
    </row>
    <row r="1092" spans="1:12" x14ac:dyDescent="0.3">
      <c r="A1092" t="s">
        <v>196</v>
      </c>
      <c r="B1092" t="str">
        <f>TEXT(원본데이터_리씽크!B188,"0")</f>
        <v>2026020506501070000</v>
      </c>
      <c r="C1092" t="str">
        <f>IF(원본데이터_리씽크!A188="","",TEXT(원본데이터_리씽크!A188,"YYYY-MM-DD"))</f>
        <v>2026-02-05</v>
      </c>
      <c r="D1092">
        <f>원본데이터_리씽크!S188</f>
        <v>143790</v>
      </c>
      <c r="E1092" t="str">
        <f>IFERROR(VLOOKUP(원본데이터_리씽크!S188,채널매핑!$B:$D,3,0),"미매핑")</f>
        <v>SKU001</v>
      </c>
      <c r="F1092">
        <f>IFERROR(VLOOKUP(원본데이터_리씽크!S188,채널매핑!$B:$E,4,0),1)</f>
        <v>4</v>
      </c>
      <c r="G1092">
        <f>원본데이터_리씽크!P188</f>
        <v>1</v>
      </c>
      <c r="H1092">
        <f>원본데이터_리씽크!O188</f>
        <v>45500</v>
      </c>
      <c r="I1092">
        <f>원본데이터_리씽크!X188</f>
        <v>45500</v>
      </c>
      <c r="J1092">
        <f>원본데이터_리씽크!X188</f>
        <v>45500</v>
      </c>
      <c r="K1092" t="str">
        <f>IFERROR(VLOOKUP(E1092,제품마스터!$A:$B,2,0),0)</f>
        <v>[워커힐] 시그니처 양념갈비 300G</v>
      </c>
      <c r="L1092">
        <f>원본데이터_리씽크!P188*원본데이터_리씽크!Q188*F1092</f>
        <v>0</v>
      </c>
    </row>
    <row r="1093" spans="1:12" x14ac:dyDescent="0.3">
      <c r="A1093" t="s">
        <v>196</v>
      </c>
      <c r="B1093" t="str">
        <f>TEXT(원본데이터_리씽크!B189,"0")</f>
        <v>2026020506454690000</v>
      </c>
      <c r="C1093" t="str">
        <f>IF(원본데이터_리씽크!A189="","",TEXT(원본데이터_리씽크!A189,"YYYY-MM-DD"))</f>
        <v>2026-02-05</v>
      </c>
      <c r="D1093">
        <f>원본데이터_리씽크!S189</f>
        <v>143790</v>
      </c>
      <c r="E1093" t="str">
        <f>IFERROR(VLOOKUP(원본데이터_리씽크!S189,채널매핑!$B:$D,3,0),"미매핑")</f>
        <v>SKU001</v>
      </c>
      <c r="F1093">
        <f>IFERROR(VLOOKUP(원본데이터_리씽크!S189,채널매핑!$B:$E,4,0),1)</f>
        <v>4</v>
      </c>
      <c r="G1093">
        <f>원본데이터_리씽크!P189</f>
        <v>1</v>
      </c>
      <c r="H1093">
        <f>원본데이터_리씽크!O189</f>
        <v>45500</v>
      </c>
      <c r="I1093">
        <f>원본데이터_리씽크!X189</f>
        <v>45500</v>
      </c>
      <c r="J1093">
        <f>원본데이터_리씽크!X189</f>
        <v>45500</v>
      </c>
      <c r="K1093" t="str">
        <f>IFERROR(VLOOKUP(E1093,제품마스터!$A:$B,2,0),0)</f>
        <v>[워커힐] 시그니처 양념갈비 300G</v>
      </c>
      <c r="L1093">
        <f>원본데이터_리씽크!P189*원본데이터_리씽크!Q189*F1093</f>
        <v>0</v>
      </c>
    </row>
    <row r="1094" spans="1:12" x14ac:dyDescent="0.3">
      <c r="A1094" t="s">
        <v>196</v>
      </c>
      <c r="B1094" t="str">
        <f>TEXT(원본데이터_리씽크!B190,"0")</f>
        <v>2026020506493570000</v>
      </c>
      <c r="C1094" t="str">
        <f>IF(원본데이터_리씽크!A190="","",TEXT(원본데이터_리씽크!A190,"YYYY-MM-DD"))</f>
        <v>2026-02-05</v>
      </c>
      <c r="D1094">
        <f>원본데이터_리씽크!S190</f>
        <v>143790</v>
      </c>
      <c r="E1094" t="str">
        <f>IFERROR(VLOOKUP(원본데이터_리씽크!S190,채널매핑!$B:$D,3,0),"미매핑")</f>
        <v>SKU001</v>
      </c>
      <c r="F1094">
        <f>IFERROR(VLOOKUP(원본데이터_리씽크!S190,채널매핑!$B:$E,4,0),1)</f>
        <v>4</v>
      </c>
      <c r="G1094">
        <f>원본데이터_리씽크!P190</f>
        <v>1</v>
      </c>
      <c r="H1094">
        <f>원본데이터_리씽크!O190</f>
        <v>45500</v>
      </c>
      <c r="I1094">
        <f>원본데이터_리씽크!X190</f>
        <v>45500</v>
      </c>
      <c r="J1094">
        <f>원본데이터_리씽크!X190</f>
        <v>45500</v>
      </c>
      <c r="K1094" t="str">
        <f>IFERROR(VLOOKUP(E1094,제품마스터!$A:$B,2,0),0)</f>
        <v>[워커힐] 시그니처 양념갈비 300G</v>
      </c>
      <c r="L1094">
        <f>원본데이터_리씽크!P190*원본데이터_리씽크!Q190*F1094</f>
        <v>0</v>
      </c>
    </row>
    <row r="1095" spans="1:12" x14ac:dyDescent="0.3">
      <c r="A1095" t="s">
        <v>196</v>
      </c>
      <c r="B1095" t="str">
        <f>TEXT(원본데이터_리씽크!B191,"0")</f>
        <v>2026020506463710000</v>
      </c>
      <c r="C1095" t="str">
        <f>IF(원본데이터_리씽크!A191="","",TEXT(원본데이터_리씽크!A191,"YYYY-MM-DD"))</f>
        <v>2026-02-05</v>
      </c>
      <c r="D1095">
        <f>원본데이터_리씽크!S191</f>
        <v>143790</v>
      </c>
      <c r="E1095" t="str">
        <f>IFERROR(VLOOKUP(원본데이터_리씽크!S191,채널매핑!$B:$D,3,0),"미매핑")</f>
        <v>SKU001</v>
      </c>
      <c r="F1095">
        <f>IFERROR(VLOOKUP(원본데이터_리씽크!S191,채널매핑!$B:$E,4,0),1)</f>
        <v>4</v>
      </c>
      <c r="G1095">
        <f>원본데이터_리씽크!P191</f>
        <v>1</v>
      </c>
      <c r="H1095">
        <f>원본데이터_리씽크!O191</f>
        <v>45500</v>
      </c>
      <c r="I1095">
        <f>원본데이터_리씽크!X191</f>
        <v>45500</v>
      </c>
      <c r="J1095">
        <f>원본데이터_리씽크!X191</f>
        <v>45500</v>
      </c>
      <c r="K1095" t="str">
        <f>IFERROR(VLOOKUP(E1095,제품마스터!$A:$B,2,0),0)</f>
        <v>[워커힐] 시그니처 양념갈비 300G</v>
      </c>
      <c r="L1095">
        <f>원본데이터_리씽크!P191*원본데이터_리씽크!Q191*F1095</f>
        <v>0</v>
      </c>
    </row>
    <row r="1096" spans="1:12" x14ac:dyDescent="0.3">
      <c r="A1096" t="s">
        <v>196</v>
      </c>
      <c r="B1096" t="str">
        <f>TEXT(원본데이터_리씽크!B192,"0")</f>
        <v>2026020506482080000</v>
      </c>
      <c r="C1096" t="str">
        <f>IF(원본데이터_리씽크!A192="","",TEXT(원본데이터_리씽크!A192,"YYYY-MM-DD"))</f>
        <v>2026-02-05</v>
      </c>
      <c r="D1096">
        <f>원본데이터_리씽크!S192</f>
        <v>143790</v>
      </c>
      <c r="E1096" t="str">
        <f>IFERROR(VLOOKUP(원본데이터_리씽크!S192,채널매핑!$B:$D,3,0),"미매핑")</f>
        <v>SKU001</v>
      </c>
      <c r="F1096">
        <f>IFERROR(VLOOKUP(원본데이터_리씽크!S192,채널매핑!$B:$E,4,0),1)</f>
        <v>4</v>
      </c>
      <c r="G1096">
        <f>원본데이터_리씽크!P192</f>
        <v>1</v>
      </c>
      <c r="H1096">
        <f>원본데이터_리씽크!O192</f>
        <v>45500</v>
      </c>
      <c r="I1096">
        <f>원본데이터_리씽크!X192</f>
        <v>45500</v>
      </c>
      <c r="J1096">
        <f>원본데이터_리씽크!X192</f>
        <v>45500</v>
      </c>
      <c r="K1096" t="str">
        <f>IFERROR(VLOOKUP(E1096,제품마스터!$A:$B,2,0),0)</f>
        <v>[워커힐] 시그니처 양념갈비 300G</v>
      </c>
      <c r="L1096">
        <f>원본데이터_리씽크!P192*원본데이터_리씽크!Q192*F1096</f>
        <v>0</v>
      </c>
    </row>
    <row r="1097" spans="1:12" x14ac:dyDescent="0.3">
      <c r="A1097" t="s">
        <v>196</v>
      </c>
      <c r="B1097" t="str">
        <f>TEXT(원본데이터_리씽크!B193,"0")</f>
        <v>2026020506495950000</v>
      </c>
      <c r="C1097" t="str">
        <f>IF(원본데이터_리씽크!A193="","",TEXT(원본데이터_리씽크!A193,"YYYY-MM-DD"))</f>
        <v>2026-02-05</v>
      </c>
      <c r="D1097">
        <f>원본데이터_리씽크!S193</f>
        <v>143790</v>
      </c>
      <c r="E1097" t="str">
        <f>IFERROR(VLOOKUP(원본데이터_리씽크!S193,채널매핑!$B:$D,3,0),"미매핑")</f>
        <v>SKU001</v>
      </c>
      <c r="F1097">
        <f>IFERROR(VLOOKUP(원본데이터_리씽크!S193,채널매핑!$B:$E,4,0),1)</f>
        <v>4</v>
      </c>
      <c r="G1097">
        <f>원본데이터_리씽크!P193</f>
        <v>1</v>
      </c>
      <c r="H1097">
        <f>원본데이터_리씽크!O193</f>
        <v>45500</v>
      </c>
      <c r="I1097">
        <f>원본데이터_리씽크!X193</f>
        <v>45500</v>
      </c>
      <c r="J1097">
        <f>원본데이터_리씽크!X193</f>
        <v>45500</v>
      </c>
      <c r="K1097" t="str">
        <f>IFERROR(VLOOKUP(E1097,제품마스터!$A:$B,2,0),0)</f>
        <v>[워커힐] 시그니처 양념갈비 300G</v>
      </c>
      <c r="L1097">
        <f>원본데이터_리씽크!P193*원본데이터_리씽크!Q193*F1097</f>
        <v>0</v>
      </c>
    </row>
    <row r="1098" spans="1:12" x14ac:dyDescent="0.3">
      <c r="A1098" t="s">
        <v>196</v>
      </c>
      <c r="B1098" t="str">
        <f>TEXT(원본데이터_리씽크!B194,"0")</f>
        <v>2026020506494080000</v>
      </c>
      <c r="C1098" t="str">
        <f>IF(원본데이터_리씽크!A194="","",TEXT(원본데이터_리씽크!A194,"YYYY-MM-DD"))</f>
        <v>2026-02-05</v>
      </c>
      <c r="D1098">
        <f>원본데이터_리씽크!S194</f>
        <v>143790</v>
      </c>
      <c r="E1098" t="str">
        <f>IFERROR(VLOOKUP(원본데이터_리씽크!S194,채널매핑!$B:$D,3,0),"미매핑")</f>
        <v>SKU001</v>
      </c>
      <c r="F1098">
        <f>IFERROR(VLOOKUP(원본데이터_리씽크!S194,채널매핑!$B:$E,4,0),1)</f>
        <v>4</v>
      </c>
      <c r="G1098">
        <f>원본데이터_리씽크!P194</f>
        <v>1</v>
      </c>
      <c r="H1098">
        <f>원본데이터_리씽크!O194</f>
        <v>45500</v>
      </c>
      <c r="I1098">
        <f>원본데이터_리씽크!X194</f>
        <v>45500</v>
      </c>
      <c r="J1098">
        <f>원본데이터_리씽크!X194</f>
        <v>45500</v>
      </c>
      <c r="K1098" t="str">
        <f>IFERROR(VLOOKUP(E1098,제품마스터!$A:$B,2,0),0)</f>
        <v>[워커힐] 시그니처 양념갈비 300G</v>
      </c>
      <c r="L1098">
        <f>원본데이터_리씽크!P194*원본데이터_리씽크!Q194*F1098</f>
        <v>0</v>
      </c>
    </row>
    <row r="1099" spans="1:12" x14ac:dyDescent="0.3">
      <c r="A1099" t="s">
        <v>196</v>
      </c>
      <c r="B1099" t="str">
        <f>TEXT(원본데이터_리씽크!B195,"0")</f>
        <v>2026020506493620000</v>
      </c>
      <c r="C1099" t="str">
        <f>IF(원본데이터_리씽크!A195="","",TEXT(원본데이터_리씽크!A195,"YYYY-MM-DD"))</f>
        <v>2026-02-05</v>
      </c>
      <c r="D1099">
        <f>원본데이터_리씽크!S195</f>
        <v>143790</v>
      </c>
      <c r="E1099" t="str">
        <f>IFERROR(VLOOKUP(원본데이터_리씽크!S195,채널매핑!$B:$D,3,0),"미매핑")</f>
        <v>SKU001</v>
      </c>
      <c r="F1099">
        <f>IFERROR(VLOOKUP(원본데이터_리씽크!S195,채널매핑!$B:$E,4,0),1)</f>
        <v>4</v>
      </c>
      <c r="G1099">
        <f>원본데이터_리씽크!P195</f>
        <v>1</v>
      </c>
      <c r="H1099">
        <f>원본데이터_리씽크!O195</f>
        <v>45500</v>
      </c>
      <c r="I1099">
        <f>원본데이터_리씽크!X195</f>
        <v>45500</v>
      </c>
      <c r="J1099">
        <f>원본데이터_리씽크!X195</f>
        <v>45500</v>
      </c>
      <c r="K1099" t="str">
        <f>IFERROR(VLOOKUP(E1099,제품마스터!$A:$B,2,0),0)</f>
        <v>[워커힐] 시그니처 양념갈비 300G</v>
      </c>
      <c r="L1099">
        <f>원본데이터_리씽크!P195*원본데이터_리씽크!Q195*F1099</f>
        <v>0</v>
      </c>
    </row>
    <row r="1100" spans="1:12" x14ac:dyDescent="0.3">
      <c r="A1100" t="s">
        <v>196</v>
      </c>
      <c r="B1100" t="str">
        <f>TEXT(원본데이터_리씽크!B196,"0")</f>
        <v>2026020506484930000</v>
      </c>
      <c r="C1100" t="str">
        <f>IF(원본데이터_리씽크!A196="","",TEXT(원본데이터_리씽크!A196,"YYYY-MM-DD"))</f>
        <v>2026-02-05</v>
      </c>
      <c r="D1100">
        <f>원본데이터_리씽크!S196</f>
        <v>143790</v>
      </c>
      <c r="E1100" t="str">
        <f>IFERROR(VLOOKUP(원본데이터_리씽크!S196,채널매핑!$B:$D,3,0),"미매핑")</f>
        <v>SKU001</v>
      </c>
      <c r="F1100">
        <f>IFERROR(VLOOKUP(원본데이터_리씽크!S196,채널매핑!$B:$E,4,0),1)</f>
        <v>4</v>
      </c>
      <c r="G1100">
        <f>원본데이터_리씽크!P196</f>
        <v>1</v>
      </c>
      <c r="H1100">
        <f>원본데이터_리씽크!O196</f>
        <v>45500</v>
      </c>
      <c r="I1100">
        <f>원본데이터_리씽크!X196</f>
        <v>45500</v>
      </c>
      <c r="J1100">
        <f>원본데이터_리씽크!X196</f>
        <v>45500</v>
      </c>
      <c r="K1100" t="str">
        <f>IFERROR(VLOOKUP(E1100,제품마스터!$A:$B,2,0),0)</f>
        <v>[워커힐] 시그니처 양념갈비 300G</v>
      </c>
      <c r="L1100">
        <f>원본데이터_리씽크!P196*원본데이터_리씽크!Q196*F1100</f>
        <v>0</v>
      </c>
    </row>
    <row r="1101" spans="1:12" x14ac:dyDescent="0.3">
      <c r="A1101" t="s">
        <v>196</v>
      </c>
      <c r="B1101" t="str">
        <f>TEXT(원본데이터_리씽크!B197,"0")</f>
        <v>2026020506475380000</v>
      </c>
      <c r="C1101" t="str">
        <f>IF(원본데이터_리씽크!A197="","",TEXT(원본데이터_리씽크!A197,"YYYY-MM-DD"))</f>
        <v>2026-02-05</v>
      </c>
      <c r="D1101">
        <f>원본데이터_리씽크!S197</f>
        <v>143790</v>
      </c>
      <c r="E1101" t="str">
        <f>IFERROR(VLOOKUP(원본데이터_리씽크!S197,채널매핑!$B:$D,3,0),"미매핑")</f>
        <v>SKU001</v>
      </c>
      <c r="F1101">
        <f>IFERROR(VLOOKUP(원본데이터_리씽크!S197,채널매핑!$B:$E,4,0),1)</f>
        <v>4</v>
      </c>
      <c r="G1101">
        <f>원본데이터_리씽크!P197</f>
        <v>1</v>
      </c>
      <c r="H1101">
        <f>원본데이터_리씽크!O197</f>
        <v>45500</v>
      </c>
      <c r="I1101">
        <f>원본데이터_리씽크!X197</f>
        <v>45500</v>
      </c>
      <c r="J1101">
        <f>원본데이터_리씽크!X197</f>
        <v>45500</v>
      </c>
      <c r="K1101" t="str">
        <f>IFERROR(VLOOKUP(E1101,제품마스터!$A:$B,2,0),0)</f>
        <v>[워커힐] 시그니처 양념갈비 300G</v>
      </c>
      <c r="L1101">
        <f>원본데이터_리씽크!P197*원본데이터_리씽크!Q197*F1101</f>
        <v>0</v>
      </c>
    </row>
    <row r="1102" spans="1:12" x14ac:dyDescent="0.3">
      <c r="A1102" t="s">
        <v>196</v>
      </c>
      <c r="B1102" t="str">
        <f>TEXT(원본데이터_리씽크!B198,"0")</f>
        <v>2026020506481320000</v>
      </c>
      <c r="C1102" t="str">
        <f>IF(원본데이터_리씽크!A198="","",TEXT(원본데이터_리씽크!A198,"YYYY-MM-DD"))</f>
        <v>2026-02-05</v>
      </c>
      <c r="D1102">
        <f>원본데이터_리씽크!S198</f>
        <v>143790</v>
      </c>
      <c r="E1102" t="str">
        <f>IFERROR(VLOOKUP(원본데이터_리씽크!S198,채널매핑!$B:$D,3,0),"미매핑")</f>
        <v>SKU001</v>
      </c>
      <c r="F1102">
        <f>IFERROR(VLOOKUP(원본데이터_리씽크!S198,채널매핑!$B:$E,4,0),1)</f>
        <v>4</v>
      </c>
      <c r="G1102">
        <f>원본데이터_리씽크!P198</f>
        <v>1</v>
      </c>
      <c r="H1102">
        <f>원본데이터_리씽크!O198</f>
        <v>45500</v>
      </c>
      <c r="I1102">
        <f>원본데이터_리씽크!X198</f>
        <v>45500</v>
      </c>
      <c r="J1102">
        <f>원본데이터_리씽크!X198</f>
        <v>45500</v>
      </c>
      <c r="K1102" t="str">
        <f>IFERROR(VLOOKUP(E1102,제품마스터!$A:$B,2,0),0)</f>
        <v>[워커힐] 시그니처 양념갈비 300G</v>
      </c>
      <c r="L1102">
        <f>원본데이터_리씽크!P198*원본데이터_리씽크!Q198*F1102</f>
        <v>0</v>
      </c>
    </row>
    <row r="1103" spans="1:12" x14ac:dyDescent="0.3">
      <c r="A1103" t="s">
        <v>196</v>
      </c>
      <c r="B1103" t="str">
        <f>TEXT(원본데이터_리씽크!B199,"0")</f>
        <v>2026020506465060000</v>
      </c>
      <c r="C1103" t="str">
        <f>IF(원본데이터_리씽크!A199="","",TEXT(원본데이터_리씽크!A199,"YYYY-MM-DD"))</f>
        <v>2026-02-05</v>
      </c>
      <c r="D1103">
        <f>원본데이터_리씽크!S199</f>
        <v>143790</v>
      </c>
      <c r="E1103" t="str">
        <f>IFERROR(VLOOKUP(원본데이터_리씽크!S199,채널매핑!$B:$D,3,0),"미매핑")</f>
        <v>SKU001</v>
      </c>
      <c r="F1103">
        <f>IFERROR(VLOOKUP(원본데이터_리씽크!S199,채널매핑!$B:$E,4,0),1)</f>
        <v>4</v>
      </c>
      <c r="G1103">
        <f>원본데이터_리씽크!P199</f>
        <v>1</v>
      </c>
      <c r="H1103">
        <f>원본데이터_리씽크!O199</f>
        <v>45500</v>
      </c>
      <c r="I1103">
        <f>원본데이터_리씽크!X199</f>
        <v>45500</v>
      </c>
      <c r="J1103">
        <f>원본데이터_리씽크!X199</f>
        <v>45500</v>
      </c>
      <c r="K1103" t="str">
        <f>IFERROR(VLOOKUP(E1103,제품마스터!$A:$B,2,0),0)</f>
        <v>[워커힐] 시그니처 양념갈비 300G</v>
      </c>
      <c r="L1103">
        <f>원본데이터_리씽크!P199*원본데이터_리씽크!Q199*F1103</f>
        <v>0</v>
      </c>
    </row>
    <row r="1104" spans="1:12" x14ac:dyDescent="0.3">
      <c r="A1104" t="s">
        <v>196</v>
      </c>
      <c r="B1104" t="str">
        <f>TEXT(원본데이터_리씽크!B200,"0")</f>
        <v>2026020506462950000</v>
      </c>
      <c r="C1104" t="str">
        <f>IF(원본데이터_리씽크!A200="","",TEXT(원본데이터_리씽크!A200,"YYYY-MM-DD"))</f>
        <v>2026-02-05</v>
      </c>
      <c r="D1104">
        <f>원본데이터_리씽크!S200</f>
        <v>143790</v>
      </c>
      <c r="E1104" t="str">
        <f>IFERROR(VLOOKUP(원본데이터_리씽크!S200,채널매핑!$B:$D,3,0),"미매핑")</f>
        <v>SKU001</v>
      </c>
      <c r="F1104">
        <f>IFERROR(VLOOKUP(원본데이터_리씽크!S200,채널매핑!$B:$E,4,0),1)</f>
        <v>4</v>
      </c>
      <c r="G1104">
        <f>원본데이터_리씽크!P200</f>
        <v>1</v>
      </c>
      <c r="H1104">
        <f>원본데이터_리씽크!O200</f>
        <v>45500</v>
      </c>
      <c r="I1104">
        <f>원본데이터_리씽크!X200</f>
        <v>45500</v>
      </c>
      <c r="J1104">
        <f>원본데이터_리씽크!X200</f>
        <v>45500</v>
      </c>
      <c r="K1104" t="str">
        <f>IFERROR(VLOOKUP(E1104,제품마스터!$A:$B,2,0),0)</f>
        <v>[워커힐] 시그니처 양념갈비 300G</v>
      </c>
      <c r="L1104">
        <f>원본데이터_리씽크!P200*원본데이터_리씽크!Q200*F1104</f>
        <v>0</v>
      </c>
    </row>
    <row r="1105" spans="1:12" x14ac:dyDescent="0.3">
      <c r="A1105" t="s">
        <v>196</v>
      </c>
      <c r="B1105" t="str">
        <f>TEXT(원본데이터_리씽크!B201,"0")</f>
        <v>2026020506473900000</v>
      </c>
      <c r="C1105" t="str">
        <f>IF(원본데이터_리씽크!A201="","",TEXT(원본데이터_리씽크!A201,"YYYY-MM-DD"))</f>
        <v>2026-02-05</v>
      </c>
      <c r="D1105">
        <f>원본데이터_리씽크!S201</f>
        <v>143790</v>
      </c>
      <c r="E1105" t="str">
        <f>IFERROR(VLOOKUP(원본데이터_리씽크!S201,채널매핑!$B:$D,3,0),"미매핑")</f>
        <v>SKU001</v>
      </c>
      <c r="F1105">
        <f>IFERROR(VLOOKUP(원본데이터_리씽크!S201,채널매핑!$B:$E,4,0),1)</f>
        <v>4</v>
      </c>
      <c r="G1105">
        <f>원본데이터_리씽크!P201</f>
        <v>1</v>
      </c>
      <c r="H1105">
        <f>원본데이터_리씽크!O201</f>
        <v>45500</v>
      </c>
      <c r="I1105">
        <f>원본데이터_리씽크!X201</f>
        <v>45500</v>
      </c>
      <c r="J1105">
        <f>원본데이터_리씽크!X201</f>
        <v>45500</v>
      </c>
      <c r="K1105" t="str">
        <f>IFERROR(VLOOKUP(E1105,제품마스터!$A:$B,2,0),0)</f>
        <v>[워커힐] 시그니처 양념갈비 300G</v>
      </c>
      <c r="L1105">
        <f>원본데이터_리씽크!P201*원본데이터_리씽크!Q201*F1105</f>
        <v>0</v>
      </c>
    </row>
    <row r="1106" spans="1:12" x14ac:dyDescent="0.3">
      <c r="A1106" t="s">
        <v>196</v>
      </c>
      <c r="B1106" t="str">
        <f>TEXT(원본데이터_리씽크!B202,"0")</f>
        <v>2026020506464370000</v>
      </c>
      <c r="C1106" t="str">
        <f>IF(원본데이터_리씽크!A202="","",TEXT(원본데이터_리씽크!A202,"YYYY-MM-DD"))</f>
        <v>2026-02-05</v>
      </c>
      <c r="D1106">
        <f>원본데이터_리씽크!S202</f>
        <v>143790</v>
      </c>
      <c r="E1106" t="str">
        <f>IFERROR(VLOOKUP(원본데이터_리씽크!S202,채널매핑!$B:$D,3,0),"미매핑")</f>
        <v>SKU001</v>
      </c>
      <c r="F1106">
        <f>IFERROR(VLOOKUP(원본데이터_리씽크!S202,채널매핑!$B:$E,4,0),1)</f>
        <v>4</v>
      </c>
      <c r="G1106">
        <f>원본데이터_리씽크!P202</f>
        <v>1</v>
      </c>
      <c r="H1106">
        <f>원본데이터_리씽크!O202</f>
        <v>45500</v>
      </c>
      <c r="I1106">
        <f>원본데이터_리씽크!X202</f>
        <v>45500</v>
      </c>
      <c r="J1106">
        <f>원본데이터_리씽크!X202</f>
        <v>45500</v>
      </c>
      <c r="K1106" t="str">
        <f>IFERROR(VLOOKUP(E1106,제품마스터!$A:$B,2,0),0)</f>
        <v>[워커힐] 시그니처 양념갈비 300G</v>
      </c>
      <c r="L1106">
        <f>원본데이터_리씽크!P202*원본데이터_리씽크!Q202*F1106</f>
        <v>0</v>
      </c>
    </row>
    <row r="1107" spans="1:12" x14ac:dyDescent="0.3">
      <c r="A1107" t="s">
        <v>196</v>
      </c>
      <c r="B1107" t="str">
        <f>TEXT(원본데이터_리씽크!B203,"0")</f>
        <v>2026020506462000000</v>
      </c>
      <c r="C1107" t="str">
        <f>IF(원본데이터_리씽크!A203="","",TEXT(원본데이터_리씽크!A203,"YYYY-MM-DD"))</f>
        <v>2026-02-05</v>
      </c>
      <c r="D1107">
        <f>원본데이터_리씽크!S203</f>
        <v>143790</v>
      </c>
      <c r="E1107" t="str">
        <f>IFERROR(VLOOKUP(원본데이터_리씽크!S203,채널매핑!$B:$D,3,0),"미매핑")</f>
        <v>SKU001</v>
      </c>
      <c r="F1107">
        <f>IFERROR(VLOOKUP(원본데이터_리씽크!S203,채널매핑!$B:$E,4,0),1)</f>
        <v>4</v>
      </c>
      <c r="G1107">
        <f>원본데이터_리씽크!P203</f>
        <v>1</v>
      </c>
      <c r="H1107">
        <f>원본데이터_리씽크!O203</f>
        <v>45500</v>
      </c>
      <c r="I1107">
        <f>원본데이터_리씽크!X203</f>
        <v>45500</v>
      </c>
      <c r="J1107">
        <f>원본데이터_리씽크!X203</f>
        <v>45500</v>
      </c>
      <c r="K1107" t="str">
        <f>IFERROR(VLOOKUP(E1107,제품마스터!$A:$B,2,0),0)</f>
        <v>[워커힐] 시그니처 양념갈비 300G</v>
      </c>
      <c r="L1107">
        <f>원본데이터_리씽크!P203*원본데이터_리씽크!Q203*F1107</f>
        <v>0</v>
      </c>
    </row>
    <row r="1108" spans="1:12" x14ac:dyDescent="0.3">
      <c r="A1108" t="s">
        <v>196</v>
      </c>
      <c r="B1108" t="str">
        <f>TEXT(원본데이터_리씽크!B204,"0")</f>
        <v>2026020506460910000</v>
      </c>
      <c r="C1108" t="str">
        <f>IF(원본데이터_리씽크!A204="","",TEXT(원본데이터_리씽크!A204,"YYYY-MM-DD"))</f>
        <v>2026-02-05</v>
      </c>
      <c r="D1108">
        <f>원본데이터_리씽크!S204</f>
        <v>143790</v>
      </c>
      <c r="E1108" t="str">
        <f>IFERROR(VLOOKUP(원본데이터_리씽크!S204,채널매핑!$B:$D,3,0),"미매핑")</f>
        <v>SKU001</v>
      </c>
      <c r="F1108">
        <f>IFERROR(VLOOKUP(원본데이터_리씽크!S204,채널매핑!$B:$E,4,0),1)</f>
        <v>4</v>
      </c>
      <c r="G1108">
        <f>원본데이터_리씽크!P204</f>
        <v>2</v>
      </c>
      <c r="H1108">
        <f>원본데이터_리씽크!O204</f>
        <v>45500</v>
      </c>
      <c r="I1108">
        <f>원본데이터_리씽크!X204</f>
        <v>91000</v>
      </c>
      <c r="J1108">
        <f>원본데이터_리씽크!X204</f>
        <v>91000</v>
      </c>
      <c r="K1108" t="str">
        <f>IFERROR(VLOOKUP(E1108,제품마스터!$A:$B,2,0),0)</f>
        <v>[워커힐] 시그니처 양념갈비 300G</v>
      </c>
      <c r="L1108">
        <f>원본데이터_리씽크!P204*원본데이터_리씽크!Q204*F1108</f>
        <v>0</v>
      </c>
    </row>
    <row r="1109" spans="1:12" x14ac:dyDescent="0.3">
      <c r="A1109" t="s">
        <v>196</v>
      </c>
      <c r="B1109" t="str">
        <f>TEXT(원본데이터_리씽크!B205,"0")</f>
        <v>2026020506450550000</v>
      </c>
      <c r="C1109" t="str">
        <f>IF(원본데이터_리씽크!A205="","",TEXT(원본데이터_리씽크!A205,"YYYY-MM-DD"))</f>
        <v>2026-02-05</v>
      </c>
      <c r="D1109">
        <f>원본데이터_리씽크!S205</f>
        <v>143790</v>
      </c>
      <c r="E1109" t="str">
        <f>IFERROR(VLOOKUP(원본데이터_리씽크!S205,채널매핑!$B:$D,3,0),"미매핑")</f>
        <v>SKU001</v>
      </c>
      <c r="F1109">
        <f>IFERROR(VLOOKUP(원본데이터_리씽크!S205,채널매핑!$B:$E,4,0),1)</f>
        <v>4</v>
      </c>
      <c r="G1109">
        <f>원본데이터_리씽크!P205</f>
        <v>1</v>
      </c>
      <c r="H1109">
        <f>원본데이터_리씽크!O205</f>
        <v>45500</v>
      </c>
      <c r="I1109">
        <f>원본데이터_리씽크!X205</f>
        <v>45500</v>
      </c>
      <c r="J1109">
        <f>원본데이터_리씽크!X205</f>
        <v>45500</v>
      </c>
      <c r="K1109" t="str">
        <f>IFERROR(VLOOKUP(E1109,제품마스터!$A:$B,2,0),0)</f>
        <v>[워커힐] 시그니처 양념갈비 300G</v>
      </c>
      <c r="L1109">
        <f>원본데이터_리씽크!P205*원본데이터_리씽크!Q205*F1109</f>
        <v>0</v>
      </c>
    </row>
    <row r="1110" spans="1:12" x14ac:dyDescent="0.3">
      <c r="A1110" t="s">
        <v>196</v>
      </c>
      <c r="B1110" t="str">
        <f>TEXT(원본데이터_리씽크!B206,"0")</f>
        <v>2026020506454130000</v>
      </c>
      <c r="C1110" t="str">
        <f>IF(원본데이터_리씽크!A206="","",TEXT(원본데이터_리씽크!A206,"YYYY-MM-DD"))</f>
        <v>2026-02-05</v>
      </c>
      <c r="D1110">
        <f>원본데이터_리씽크!S206</f>
        <v>143790</v>
      </c>
      <c r="E1110" t="str">
        <f>IFERROR(VLOOKUP(원본데이터_리씽크!S206,채널매핑!$B:$D,3,0),"미매핑")</f>
        <v>SKU001</v>
      </c>
      <c r="F1110">
        <f>IFERROR(VLOOKUP(원본데이터_리씽크!S206,채널매핑!$B:$E,4,0),1)</f>
        <v>4</v>
      </c>
      <c r="G1110">
        <f>원본데이터_리씽크!P206</f>
        <v>1</v>
      </c>
      <c r="H1110">
        <f>원본데이터_리씽크!O206</f>
        <v>45500</v>
      </c>
      <c r="I1110">
        <f>원본데이터_리씽크!X206</f>
        <v>45500</v>
      </c>
      <c r="J1110">
        <f>원본데이터_리씽크!X206</f>
        <v>45500</v>
      </c>
      <c r="K1110" t="str">
        <f>IFERROR(VLOOKUP(E1110,제품마스터!$A:$B,2,0),0)</f>
        <v>[워커힐] 시그니처 양념갈비 300G</v>
      </c>
      <c r="L1110">
        <f>원본데이터_리씽크!P206*원본데이터_리씽크!Q206*F1110</f>
        <v>0</v>
      </c>
    </row>
    <row r="1111" spans="1:12" x14ac:dyDescent="0.3">
      <c r="A1111" t="s">
        <v>196</v>
      </c>
      <c r="B1111" t="str">
        <f>TEXT(원본데이터_리씽크!B207,"0")</f>
        <v>2026020506402860000</v>
      </c>
      <c r="C1111" t="str">
        <f>IF(원본데이터_리씽크!A207="","",TEXT(원본데이터_리씽크!A207,"YYYY-MM-DD"))</f>
        <v>2026-02-05</v>
      </c>
      <c r="D1111">
        <f>원본데이터_리씽크!S207</f>
        <v>143790</v>
      </c>
      <c r="E1111" t="str">
        <f>IFERROR(VLOOKUP(원본데이터_리씽크!S207,채널매핑!$B:$D,3,0),"미매핑")</f>
        <v>SKU001</v>
      </c>
      <c r="F1111">
        <f>IFERROR(VLOOKUP(원본데이터_리씽크!S207,채널매핑!$B:$E,4,0),1)</f>
        <v>4</v>
      </c>
      <c r="G1111">
        <f>원본데이터_리씽크!P207</f>
        <v>1</v>
      </c>
      <c r="H1111">
        <f>원본데이터_리씽크!O207</f>
        <v>45500</v>
      </c>
      <c r="I1111">
        <f>원본데이터_리씽크!X207</f>
        <v>45500</v>
      </c>
      <c r="J1111">
        <f>원본데이터_리씽크!X207</f>
        <v>45500</v>
      </c>
      <c r="K1111" t="str">
        <f>IFERROR(VLOOKUP(E1111,제품마스터!$A:$B,2,0),0)</f>
        <v>[워커힐] 시그니처 양념갈비 300G</v>
      </c>
      <c r="L1111">
        <f>원본데이터_리씽크!P207*원본데이터_리씽크!Q207*F1111</f>
        <v>0</v>
      </c>
    </row>
    <row r="1112" spans="1:12" x14ac:dyDescent="0.3">
      <c r="A1112" t="s">
        <v>196</v>
      </c>
      <c r="B1112" t="str">
        <f>TEXT(원본데이터_리씽크!B208,"0")</f>
        <v>2026020506271660000</v>
      </c>
      <c r="C1112" t="str">
        <f>IF(원본데이터_리씽크!A208="","",TEXT(원본데이터_리씽크!A208,"YYYY-MM-DD"))</f>
        <v>2026-02-05</v>
      </c>
      <c r="D1112">
        <f>원본데이터_리씽크!S208</f>
        <v>143790</v>
      </c>
      <c r="E1112" t="str">
        <f>IFERROR(VLOOKUP(원본데이터_리씽크!S208,채널매핑!$B:$D,3,0),"미매핑")</f>
        <v>SKU001</v>
      </c>
      <c r="F1112">
        <f>IFERROR(VLOOKUP(원본데이터_리씽크!S208,채널매핑!$B:$E,4,0),1)</f>
        <v>4</v>
      </c>
      <c r="G1112">
        <f>원본데이터_리씽크!P208</f>
        <v>1</v>
      </c>
      <c r="H1112">
        <f>원본데이터_리씽크!O208</f>
        <v>45500</v>
      </c>
      <c r="I1112">
        <f>원본데이터_리씽크!X208</f>
        <v>45500</v>
      </c>
      <c r="J1112">
        <f>원본데이터_리씽크!X208</f>
        <v>45500</v>
      </c>
      <c r="K1112" t="str">
        <f>IFERROR(VLOOKUP(E1112,제품마스터!$A:$B,2,0),0)</f>
        <v>[워커힐] 시그니처 양념갈비 300G</v>
      </c>
      <c r="L1112">
        <f>원본데이터_리씽크!P208*원본데이터_리씽크!Q208*F1112</f>
        <v>0</v>
      </c>
    </row>
    <row r="1113" spans="1:12" x14ac:dyDescent="0.3">
      <c r="A1113" t="s">
        <v>196</v>
      </c>
      <c r="B1113" t="str">
        <f>TEXT(원본데이터_리씽크!B209,"0")</f>
        <v>2026020506145790000</v>
      </c>
      <c r="C1113" t="str">
        <f>IF(원본데이터_리씽크!A209="","",TEXT(원본데이터_리씽크!A209,"YYYY-MM-DD"))</f>
        <v>2026-02-05</v>
      </c>
      <c r="D1113">
        <f>원본데이터_리씽크!S209</f>
        <v>143790</v>
      </c>
      <c r="E1113" t="str">
        <f>IFERROR(VLOOKUP(원본데이터_리씽크!S209,채널매핑!$B:$D,3,0),"미매핑")</f>
        <v>SKU001</v>
      </c>
      <c r="F1113">
        <f>IFERROR(VLOOKUP(원본데이터_리씽크!S209,채널매핑!$B:$E,4,0),1)</f>
        <v>4</v>
      </c>
      <c r="G1113">
        <f>원본데이터_리씽크!P209</f>
        <v>1</v>
      </c>
      <c r="H1113">
        <f>원본데이터_리씽크!O209</f>
        <v>45500</v>
      </c>
      <c r="I1113">
        <f>원본데이터_리씽크!X209</f>
        <v>45500</v>
      </c>
      <c r="J1113">
        <f>원본데이터_리씽크!X209</f>
        <v>45500</v>
      </c>
      <c r="K1113" t="str">
        <f>IFERROR(VLOOKUP(E1113,제품마스터!$A:$B,2,0),0)</f>
        <v>[워커힐] 시그니처 양념갈비 300G</v>
      </c>
      <c r="L1113">
        <f>원본데이터_리씽크!P209*원본데이터_리씽크!Q209*F1113</f>
        <v>0</v>
      </c>
    </row>
    <row r="1114" spans="1:12" x14ac:dyDescent="0.3">
      <c r="A1114" t="s">
        <v>196</v>
      </c>
      <c r="B1114" t="str">
        <f>TEXT(원본데이터_리씽크!B210,"0")</f>
        <v>2026020504473080000</v>
      </c>
      <c r="C1114" t="str">
        <f>IF(원본데이터_리씽크!A210="","",TEXT(원본데이터_리씽크!A210,"YYYY-MM-DD"))</f>
        <v>2026-02-05</v>
      </c>
      <c r="D1114">
        <f>원본데이터_리씽크!S210</f>
        <v>143790</v>
      </c>
      <c r="E1114" t="str">
        <f>IFERROR(VLOOKUP(원본데이터_리씽크!S210,채널매핑!$B:$D,3,0),"미매핑")</f>
        <v>SKU001</v>
      </c>
      <c r="F1114">
        <f>IFERROR(VLOOKUP(원본데이터_리씽크!S210,채널매핑!$B:$E,4,0),1)</f>
        <v>4</v>
      </c>
      <c r="G1114">
        <f>원본데이터_리씽크!P210</f>
        <v>1</v>
      </c>
      <c r="H1114">
        <f>원본데이터_리씽크!O210</f>
        <v>45500</v>
      </c>
      <c r="I1114">
        <f>원본데이터_리씽크!X210</f>
        <v>45500</v>
      </c>
      <c r="J1114">
        <f>원본데이터_리씽크!X210</f>
        <v>45500</v>
      </c>
      <c r="K1114" t="str">
        <f>IFERROR(VLOOKUP(E1114,제품마스터!$A:$B,2,0),0)</f>
        <v>[워커힐] 시그니처 양념갈비 300G</v>
      </c>
      <c r="L1114">
        <f>원본데이터_리씽크!P210*원본데이터_리씽크!Q210*F1114</f>
        <v>0</v>
      </c>
    </row>
    <row r="1115" spans="1:12" x14ac:dyDescent="0.3">
      <c r="A1115" t="s">
        <v>196</v>
      </c>
      <c r="B1115" t="str">
        <f>TEXT(원본데이터_리씽크!B211,"0")</f>
        <v>2026020503342920000</v>
      </c>
      <c r="C1115" t="str">
        <f>IF(원본데이터_리씽크!A211="","",TEXT(원본데이터_리씽크!A211,"YYYY-MM-DD"))</f>
        <v>2026-02-05</v>
      </c>
      <c r="D1115">
        <f>원본데이터_리씽크!S211</f>
        <v>143790</v>
      </c>
      <c r="E1115" t="str">
        <f>IFERROR(VLOOKUP(원본데이터_리씽크!S211,채널매핑!$B:$D,3,0),"미매핑")</f>
        <v>SKU001</v>
      </c>
      <c r="F1115">
        <f>IFERROR(VLOOKUP(원본데이터_리씽크!S211,채널매핑!$B:$E,4,0),1)</f>
        <v>4</v>
      </c>
      <c r="G1115">
        <f>원본데이터_리씽크!P211</f>
        <v>1</v>
      </c>
      <c r="H1115">
        <f>원본데이터_리씽크!O211</f>
        <v>45500</v>
      </c>
      <c r="I1115">
        <f>원본데이터_리씽크!X211</f>
        <v>45500</v>
      </c>
      <c r="J1115">
        <f>원본데이터_리씽크!X211</f>
        <v>45500</v>
      </c>
      <c r="K1115" t="str">
        <f>IFERROR(VLOOKUP(E1115,제품마스터!$A:$B,2,0),0)</f>
        <v>[워커힐] 시그니처 양념갈비 300G</v>
      </c>
      <c r="L1115">
        <f>원본데이터_리씽크!P211*원본데이터_리씽크!Q211*F1115</f>
        <v>0</v>
      </c>
    </row>
    <row r="1116" spans="1:12" x14ac:dyDescent="0.3">
      <c r="A1116" t="s">
        <v>196</v>
      </c>
      <c r="B1116" t="str">
        <f>TEXT(원본데이터_리씽크!B212,"0")</f>
        <v>2026020501335640000</v>
      </c>
      <c r="C1116" t="str">
        <f>IF(원본데이터_리씽크!A212="","",TEXT(원본데이터_리씽크!A212,"YYYY-MM-DD"))</f>
        <v>2026-02-05</v>
      </c>
      <c r="D1116">
        <f>원본데이터_리씽크!S212</f>
        <v>143790</v>
      </c>
      <c r="E1116" t="str">
        <f>IFERROR(VLOOKUP(원본데이터_리씽크!S212,채널매핑!$B:$D,3,0),"미매핑")</f>
        <v>SKU001</v>
      </c>
      <c r="F1116">
        <f>IFERROR(VLOOKUP(원본데이터_리씽크!S212,채널매핑!$B:$E,4,0),1)</f>
        <v>4</v>
      </c>
      <c r="G1116">
        <f>원본데이터_리씽크!P212</f>
        <v>1</v>
      </c>
      <c r="H1116">
        <f>원본데이터_리씽크!O212</f>
        <v>45500</v>
      </c>
      <c r="I1116">
        <f>원본데이터_리씽크!X212</f>
        <v>45500</v>
      </c>
      <c r="J1116">
        <f>원본데이터_리씽크!X212</f>
        <v>45500</v>
      </c>
      <c r="K1116" t="str">
        <f>IFERROR(VLOOKUP(E1116,제품마스터!$A:$B,2,0),0)</f>
        <v>[워커힐] 시그니처 양념갈비 300G</v>
      </c>
      <c r="L1116">
        <f>원본데이터_리씽크!P212*원본데이터_리씽크!Q212*F1116</f>
        <v>0</v>
      </c>
    </row>
    <row r="1117" spans="1:12" x14ac:dyDescent="0.3">
      <c r="A1117" t="s">
        <v>196</v>
      </c>
      <c r="B1117" t="str">
        <f>TEXT(원본데이터_리씽크!B213,"0")</f>
        <v>2026020500495220000</v>
      </c>
      <c r="C1117" t="str">
        <f>IF(원본데이터_리씽크!A213="","",TEXT(원본데이터_리씽크!A213,"YYYY-MM-DD"))</f>
        <v>2026-02-05</v>
      </c>
      <c r="D1117">
        <f>원본데이터_리씽크!S213</f>
        <v>143790</v>
      </c>
      <c r="E1117" t="str">
        <f>IFERROR(VLOOKUP(원본데이터_리씽크!S213,채널매핑!$B:$D,3,0),"미매핑")</f>
        <v>SKU001</v>
      </c>
      <c r="F1117">
        <f>IFERROR(VLOOKUP(원본데이터_리씽크!S213,채널매핑!$B:$E,4,0),1)</f>
        <v>4</v>
      </c>
      <c r="G1117">
        <f>원본데이터_리씽크!P213</f>
        <v>2</v>
      </c>
      <c r="H1117">
        <f>원본데이터_리씽크!O213</f>
        <v>45500</v>
      </c>
      <c r="I1117">
        <f>원본데이터_리씽크!X213</f>
        <v>91000</v>
      </c>
      <c r="J1117">
        <f>원본데이터_리씽크!X213</f>
        <v>91000</v>
      </c>
      <c r="K1117" t="str">
        <f>IFERROR(VLOOKUP(E1117,제품마스터!$A:$B,2,0),0)</f>
        <v>[워커힐] 시그니처 양념갈비 300G</v>
      </c>
      <c r="L1117">
        <f>원본데이터_리씽크!P213*원본데이터_리씽크!Q213*F1117</f>
        <v>0</v>
      </c>
    </row>
    <row r="1118" spans="1:12" x14ac:dyDescent="0.3">
      <c r="A1118" t="s">
        <v>196</v>
      </c>
      <c r="B1118" t="str">
        <f>TEXT(원본데이터_리씽크!B214,"0")</f>
        <v>2026020500221540000</v>
      </c>
      <c r="C1118" t="str">
        <f>IF(원본데이터_리씽크!A214="","",TEXT(원본데이터_리씽크!A214,"YYYY-MM-DD"))</f>
        <v>2026-02-05</v>
      </c>
      <c r="D1118">
        <f>원본데이터_리씽크!S214</f>
        <v>143790</v>
      </c>
      <c r="E1118" t="str">
        <f>IFERROR(VLOOKUP(원본데이터_리씽크!S214,채널매핑!$B:$D,3,0),"미매핑")</f>
        <v>SKU001</v>
      </c>
      <c r="F1118">
        <f>IFERROR(VLOOKUP(원본데이터_리씽크!S214,채널매핑!$B:$E,4,0),1)</f>
        <v>4</v>
      </c>
      <c r="G1118">
        <f>원본데이터_리씽크!P214</f>
        <v>1</v>
      </c>
      <c r="H1118">
        <f>원본데이터_리씽크!O214</f>
        <v>45500</v>
      </c>
      <c r="I1118">
        <f>원본데이터_리씽크!X214</f>
        <v>45500</v>
      </c>
      <c r="J1118">
        <f>원본데이터_리씽크!X214</f>
        <v>45500</v>
      </c>
      <c r="K1118" t="str">
        <f>IFERROR(VLOOKUP(E1118,제품마스터!$A:$B,2,0),0)</f>
        <v>[워커힐] 시그니처 양념갈비 300G</v>
      </c>
      <c r="L1118">
        <f>원본데이터_리씽크!P214*원본데이터_리씽크!Q214*F1118</f>
        <v>0</v>
      </c>
    </row>
    <row r="1119" spans="1:12" x14ac:dyDescent="0.3">
      <c r="A1119" t="s">
        <v>196</v>
      </c>
      <c r="B1119" t="str">
        <f>TEXT(원본데이터_리씽크!B215,"0")</f>
        <v>2026020422381840000</v>
      </c>
      <c r="C1119" t="str">
        <f>IF(원본데이터_리씽크!A215="","",TEXT(원본데이터_리씽크!A215,"YYYY-MM-DD"))</f>
        <v>2026-02-04</v>
      </c>
      <c r="D1119">
        <f>원본데이터_리씽크!S215</f>
        <v>143790</v>
      </c>
      <c r="E1119" t="str">
        <f>IFERROR(VLOOKUP(원본데이터_리씽크!S215,채널매핑!$B:$D,3,0),"미매핑")</f>
        <v>SKU001</v>
      </c>
      <c r="F1119">
        <f>IFERROR(VLOOKUP(원본데이터_리씽크!S215,채널매핑!$B:$E,4,0),1)</f>
        <v>4</v>
      </c>
      <c r="G1119">
        <f>원본데이터_리씽크!P215</f>
        <v>1</v>
      </c>
      <c r="H1119">
        <f>원본데이터_리씽크!O215</f>
        <v>45500</v>
      </c>
      <c r="I1119">
        <f>원본데이터_리씽크!X215</f>
        <v>45500</v>
      </c>
      <c r="J1119">
        <f>원본데이터_리씽크!X215</f>
        <v>45500</v>
      </c>
      <c r="K1119" t="str">
        <f>IFERROR(VLOOKUP(E1119,제품마스터!$A:$B,2,0),0)</f>
        <v>[워커힐] 시그니처 양념갈비 300G</v>
      </c>
      <c r="L1119">
        <f>원본데이터_리씽크!P215*원본데이터_리씽크!Q215*F1119</f>
        <v>0</v>
      </c>
    </row>
    <row r="1120" spans="1:12" x14ac:dyDescent="0.3">
      <c r="A1120" t="s">
        <v>196</v>
      </c>
      <c r="B1120" t="str">
        <f>TEXT(원본데이터_리씽크!B216,"0")</f>
        <v>2026020422345280000</v>
      </c>
      <c r="C1120" t="str">
        <f>IF(원본데이터_리씽크!A216="","",TEXT(원본데이터_리씽크!A216,"YYYY-MM-DD"))</f>
        <v>2026-02-04</v>
      </c>
      <c r="D1120">
        <f>원본데이터_리씽크!S216</f>
        <v>143790</v>
      </c>
      <c r="E1120" t="str">
        <f>IFERROR(VLOOKUP(원본데이터_리씽크!S216,채널매핑!$B:$D,3,0),"미매핑")</f>
        <v>SKU001</v>
      </c>
      <c r="F1120">
        <f>IFERROR(VLOOKUP(원본데이터_리씽크!S216,채널매핑!$B:$E,4,0),1)</f>
        <v>4</v>
      </c>
      <c r="G1120">
        <f>원본데이터_리씽크!P216</f>
        <v>1</v>
      </c>
      <c r="H1120">
        <f>원본데이터_리씽크!O216</f>
        <v>45500</v>
      </c>
      <c r="I1120">
        <f>원본데이터_리씽크!X216</f>
        <v>45500</v>
      </c>
      <c r="J1120">
        <f>원본데이터_리씽크!X216</f>
        <v>45500</v>
      </c>
      <c r="K1120" t="str">
        <f>IFERROR(VLOOKUP(E1120,제품마스터!$A:$B,2,0),0)</f>
        <v>[워커힐] 시그니처 양념갈비 300G</v>
      </c>
      <c r="L1120">
        <f>원본데이터_리씽크!P216*원본데이터_리씽크!Q216*F1120</f>
        <v>0</v>
      </c>
    </row>
    <row r="1121" spans="1:12" x14ac:dyDescent="0.3">
      <c r="A1121" t="s">
        <v>196</v>
      </c>
      <c r="B1121" t="str">
        <f>TEXT(원본데이터_리씽크!B217,"0")</f>
        <v>2026020422312720000</v>
      </c>
      <c r="C1121" t="str">
        <f>IF(원본데이터_리씽크!A217="","",TEXT(원본데이터_리씽크!A217,"YYYY-MM-DD"))</f>
        <v>2026-02-04</v>
      </c>
      <c r="D1121">
        <f>원본데이터_리씽크!S217</f>
        <v>143790</v>
      </c>
      <c r="E1121" t="str">
        <f>IFERROR(VLOOKUP(원본데이터_리씽크!S217,채널매핑!$B:$D,3,0),"미매핑")</f>
        <v>SKU001</v>
      </c>
      <c r="F1121">
        <f>IFERROR(VLOOKUP(원본데이터_리씽크!S217,채널매핑!$B:$E,4,0),1)</f>
        <v>4</v>
      </c>
      <c r="G1121">
        <f>원본데이터_리씽크!P217</f>
        <v>1</v>
      </c>
      <c r="H1121">
        <f>원본데이터_리씽크!O217</f>
        <v>45500</v>
      </c>
      <c r="I1121">
        <f>원본데이터_리씽크!X217</f>
        <v>45500</v>
      </c>
      <c r="J1121">
        <f>원본데이터_리씽크!X217</f>
        <v>45500</v>
      </c>
      <c r="K1121" t="str">
        <f>IFERROR(VLOOKUP(E1121,제품마스터!$A:$B,2,0),0)</f>
        <v>[워커힐] 시그니처 양념갈비 300G</v>
      </c>
      <c r="L1121">
        <f>원본데이터_리씽크!P217*원본데이터_리씽크!Q217*F1121</f>
        <v>0</v>
      </c>
    </row>
    <row r="1122" spans="1:12" x14ac:dyDescent="0.3">
      <c r="A1122" t="s">
        <v>196</v>
      </c>
      <c r="B1122" t="str">
        <f>TEXT(원본데이터_리씽크!B218,"0")</f>
        <v>2026020422215480000</v>
      </c>
      <c r="C1122" t="str">
        <f>IF(원본데이터_리씽크!A218="","",TEXT(원본데이터_리씽크!A218,"YYYY-MM-DD"))</f>
        <v>2026-02-04</v>
      </c>
      <c r="D1122">
        <f>원본데이터_리씽크!S218</f>
        <v>143790</v>
      </c>
      <c r="E1122" t="str">
        <f>IFERROR(VLOOKUP(원본데이터_리씽크!S218,채널매핑!$B:$D,3,0),"미매핑")</f>
        <v>SKU001</v>
      </c>
      <c r="F1122">
        <f>IFERROR(VLOOKUP(원본데이터_리씽크!S218,채널매핑!$B:$E,4,0),1)</f>
        <v>4</v>
      </c>
      <c r="G1122">
        <f>원본데이터_리씽크!P218</f>
        <v>1</v>
      </c>
      <c r="H1122">
        <f>원본데이터_리씽크!O218</f>
        <v>45500</v>
      </c>
      <c r="I1122">
        <f>원본데이터_리씽크!X218</f>
        <v>45500</v>
      </c>
      <c r="J1122">
        <f>원본데이터_리씽크!X218</f>
        <v>45500</v>
      </c>
      <c r="K1122" t="str">
        <f>IFERROR(VLOOKUP(E1122,제품마스터!$A:$B,2,0),0)</f>
        <v>[워커힐] 시그니처 양념갈비 300G</v>
      </c>
      <c r="L1122">
        <f>원본데이터_리씽크!P218*원본데이터_리씽크!Q218*F1122</f>
        <v>0</v>
      </c>
    </row>
    <row r="1123" spans="1:12" x14ac:dyDescent="0.3">
      <c r="A1123" t="s">
        <v>196</v>
      </c>
      <c r="B1123" t="str">
        <f>TEXT(원본데이터_리씽크!B219,"0")</f>
        <v>2026020422154890000</v>
      </c>
      <c r="C1123" t="str">
        <f>IF(원본데이터_리씽크!A219="","",TEXT(원본데이터_리씽크!A219,"YYYY-MM-DD"))</f>
        <v>2026-02-04</v>
      </c>
      <c r="D1123">
        <f>원본데이터_리씽크!S219</f>
        <v>143790</v>
      </c>
      <c r="E1123" t="str">
        <f>IFERROR(VLOOKUP(원본데이터_리씽크!S219,채널매핑!$B:$D,3,0),"미매핑")</f>
        <v>SKU001</v>
      </c>
      <c r="F1123">
        <f>IFERROR(VLOOKUP(원본데이터_리씽크!S219,채널매핑!$B:$E,4,0),1)</f>
        <v>4</v>
      </c>
      <c r="G1123">
        <f>원본데이터_리씽크!P219</f>
        <v>1</v>
      </c>
      <c r="H1123">
        <f>원본데이터_리씽크!O219</f>
        <v>45500</v>
      </c>
      <c r="I1123">
        <f>원본데이터_리씽크!X219</f>
        <v>45500</v>
      </c>
      <c r="J1123">
        <f>원본데이터_리씽크!X219</f>
        <v>45500</v>
      </c>
      <c r="K1123" t="str">
        <f>IFERROR(VLOOKUP(E1123,제품마스터!$A:$B,2,0),0)</f>
        <v>[워커힐] 시그니처 양념갈비 300G</v>
      </c>
      <c r="L1123">
        <f>원본데이터_리씽크!P219*원본데이터_리씽크!Q219*F1123</f>
        <v>0</v>
      </c>
    </row>
    <row r="1124" spans="1:12" x14ac:dyDescent="0.3">
      <c r="A1124" t="s">
        <v>196</v>
      </c>
      <c r="B1124" t="str">
        <f>TEXT(원본데이터_리씽크!B220,"0")</f>
        <v>2026020422130130000</v>
      </c>
      <c r="C1124" t="str">
        <f>IF(원본데이터_리씽크!A220="","",TEXT(원본데이터_리씽크!A220,"YYYY-MM-DD"))</f>
        <v>2026-02-04</v>
      </c>
      <c r="D1124">
        <f>원본데이터_리씽크!S220</f>
        <v>143790</v>
      </c>
      <c r="E1124" t="str">
        <f>IFERROR(VLOOKUP(원본데이터_리씽크!S220,채널매핑!$B:$D,3,0),"미매핑")</f>
        <v>SKU001</v>
      </c>
      <c r="F1124">
        <f>IFERROR(VLOOKUP(원본데이터_리씽크!S220,채널매핑!$B:$E,4,0),1)</f>
        <v>4</v>
      </c>
      <c r="G1124">
        <f>원본데이터_리씽크!P220</f>
        <v>1</v>
      </c>
      <c r="H1124">
        <f>원본데이터_리씽크!O220</f>
        <v>45500</v>
      </c>
      <c r="I1124">
        <f>원본데이터_리씽크!X220</f>
        <v>45500</v>
      </c>
      <c r="J1124">
        <f>원본데이터_리씽크!X220</f>
        <v>45500</v>
      </c>
      <c r="K1124" t="str">
        <f>IFERROR(VLOOKUP(E1124,제품마스터!$A:$B,2,0),0)</f>
        <v>[워커힐] 시그니처 양념갈비 300G</v>
      </c>
      <c r="L1124">
        <f>원본데이터_리씽크!P220*원본데이터_리씽크!Q220*F1124</f>
        <v>0</v>
      </c>
    </row>
    <row r="1125" spans="1:12" x14ac:dyDescent="0.3">
      <c r="A1125" t="s">
        <v>196</v>
      </c>
      <c r="B1125" t="str">
        <f>TEXT(원본데이터_리씽크!B221,"0")</f>
        <v>2026020421453510000</v>
      </c>
      <c r="C1125" t="str">
        <f>IF(원본데이터_리씽크!A221="","",TEXT(원본데이터_리씽크!A221,"YYYY-MM-DD"))</f>
        <v>2026-02-04</v>
      </c>
      <c r="D1125">
        <f>원본데이터_리씽크!S221</f>
        <v>143790</v>
      </c>
      <c r="E1125" t="str">
        <f>IFERROR(VLOOKUP(원본데이터_리씽크!S221,채널매핑!$B:$D,3,0),"미매핑")</f>
        <v>SKU001</v>
      </c>
      <c r="F1125">
        <f>IFERROR(VLOOKUP(원본데이터_리씽크!S221,채널매핑!$B:$E,4,0),1)</f>
        <v>4</v>
      </c>
      <c r="G1125">
        <f>원본데이터_리씽크!P221</f>
        <v>1</v>
      </c>
      <c r="H1125">
        <f>원본데이터_리씽크!O221</f>
        <v>45500</v>
      </c>
      <c r="I1125">
        <f>원본데이터_리씽크!X221</f>
        <v>45500</v>
      </c>
      <c r="J1125">
        <f>원본데이터_리씽크!X221</f>
        <v>45500</v>
      </c>
      <c r="K1125" t="str">
        <f>IFERROR(VLOOKUP(E1125,제품마스터!$A:$B,2,0),0)</f>
        <v>[워커힐] 시그니처 양념갈비 300G</v>
      </c>
      <c r="L1125">
        <f>원본데이터_리씽크!P221*원본데이터_리씽크!Q221*F1125</f>
        <v>0</v>
      </c>
    </row>
    <row r="1126" spans="1:12" x14ac:dyDescent="0.3">
      <c r="A1126" t="s">
        <v>196</v>
      </c>
      <c r="B1126" t="str">
        <f>TEXT(원본데이터_리씽크!B222,"0")</f>
        <v>2026020421313830000</v>
      </c>
      <c r="C1126" t="str">
        <f>IF(원본데이터_리씽크!A222="","",TEXT(원본데이터_리씽크!A222,"YYYY-MM-DD"))</f>
        <v>2026-02-04</v>
      </c>
      <c r="D1126">
        <f>원본데이터_리씽크!S222</f>
        <v>143790</v>
      </c>
      <c r="E1126" t="str">
        <f>IFERROR(VLOOKUP(원본데이터_리씽크!S222,채널매핑!$B:$D,3,0),"미매핑")</f>
        <v>SKU001</v>
      </c>
      <c r="F1126">
        <f>IFERROR(VLOOKUP(원본데이터_리씽크!S222,채널매핑!$B:$E,4,0),1)</f>
        <v>4</v>
      </c>
      <c r="G1126">
        <f>원본데이터_리씽크!P222</f>
        <v>2</v>
      </c>
      <c r="H1126">
        <f>원본데이터_리씽크!O222</f>
        <v>45500</v>
      </c>
      <c r="I1126">
        <f>원본데이터_리씽크!X222</f>
        <v>91000</v>
      </c>
      <c r="J1126">
        <f>원본데이터_리씽크!X222</f>
        <v>91000</v>
      </c>
      <c r="K1126" t="str">
        <f>IFERROR(VLOOKUP(E1126,제품마스터!$A:$B,2,0),0)</f>
        <v>[워커힐] 시그니처 양념갈비 300G</v>
      </c>
      <c r="L1126">
        <f>원본데이터_리씽크!P222*원본데이터_리씽크!Q222*F1126</f>
        <v>0</v>
      </c>
    </row>
    <row r="1127" spans="1:12" x14ac:dyDescent="0.3">
      <c r="A1127" t="s">
        <v>196</v>
      </c>
      <c r="B1127" t="str">
        <f>TEXT(원본데이터_리씽크!B223,"0")</f>
        <v>2026020421271020000</v>
      </c>
      <c r="C1127" t="str">
        <f>IF(원본데이터_리씽크!A223="","",TEXT(원본데이터_리씽크!A223,"YYYY-MM-DD"))</f>
        <v>2026-02-04</v>
      </c>
      <c r="D1127">
        <f>원본데이터_리씽크!S223</f>
        <v>143790</v>
      </c>
      <c r="E1127" t="str">
        <f>IFERROR(VLOOKUP(원본데이터_리씽크!S223,채널매핑!$B:$D,3,0),"미매핑")</f>
        <v>SKU001</v>
      </c>
      <c r="F1127">
        <f>IFERROR(VLOOKUP(원본데이터_리씽크!S223,채널매핑!$B:$E,4,0),1)</f>
        <v>4</v>
      </c>
      <c r="G1127">
        <f>원본데이터_리씽크!P223</f>
        <v>1</v>
      </c>
      <c r="H1127">
        <f>원본데이터_리씽크!O223</f>
        <v>45500</v>
      </c>
      <c r="I1127">
        <f>원본데이터_리씽크!X223</f>
        <v>45500</v>
      </c>
      <c r="J1127">
        <f>원본데이터_리씽크!X223</f>
        <v>45500</v>
      </c>
      <c r="K1127" t="str">
        <f>IFERROR(VLOOKUP(E1127,제품마스터!$A:$B,2,0),0)</f>
        <v>[워커힐] 시그니처 양념갈비 300G</v>
      </c>
      <c r="L1127">
        <f>원본데이터_리씽크!P223*원본데이터_리씽크!Q223*F1127</f>
        <v>0</v>
      </c>
    </row>
    <row r="1128" spans="1:12" x14ac:dyDescent="0.3">
      <c r="A1128" t="s">
        <v>196</v>
      </c>
      <c r="B1128" t="str">
        <f>TEXT(원본데이터_리씽크!B224,"0")</f>
        <v>2026020421100830000</v>
      </c>
      <c r="C1128" t="str">
        <f>IF(원본데이터_리씽크!A224="","",TEXT(원본데이터_리씽크!A224,"YYYY-MM-DD"))</f>
        <v>2026-02-04</v>
      </c>
      <c r="D1128">
        <f>원본데이터_리씽크!S224</f>
        <v>143790</v>
      </c>
      <c r="E1128" t="str">
        <f>IFERROR(VLOOKUP(원본데이터_리씽크!S224,채널매핑!$B:$D,3,0),"미매핑")</f>
        <v>SKU001</v>
      </c>
      <c r="F1128">
        <f>IFERROR(VLOOKUP(원본데이터_리씽크!S224,채널매핑!$B:$E,4,0),1)</f>
        <v>4</v>
      </c>
      <c r="G1128">
        <f>원본데이터_리씽크!P224</f>
        <v>1</v>
      </c>
      <c r="H1128">
        <f>원본데이터_리씽크!O224</f>
        <v>45500</v>
      </c>
      <c r="I1128">
        <f>원본데이터_리씽크!X224</f>
        <v>45500</v>
      </c>
      <c r="J1128">
        <f>원본데이터_리씽크!X224</f>
        <v>45500</v>
      </c>
      <c r="K1128" t="str">
        <f>IFERROR(VLOOKUP(E1128,제품마스터!$A:$B,2,0),0)</f>
        <v>[워커힐] 시그니처 양념갈비 300G</v>
      </c>
      <c r="L1128">
        <f>원본데이터_리씽크!P224*원본데이터_리씽크!Q224*F1128</f>
        <v>0</v>
      </c>
    </row>
    <row r="1129" spans="1:12" x14ac:dyDescent="0.3">
      <c r="A1129" t="s">
        <v>196</v>
      </c>
      <c r="B1129" t="str">
        <f>TEXT(원본데이터_리씽크!B225,"0")</f>
        <v>2026020421074760000</v>
      </c>
      <c r="C1129" t="str">
        <f>IF(원본데이터_리씽크!A225="","",TEXT(원본데이터_리씽크!A225,"YYYY-MM-DD"))</f>
        <v>2026-02-04</v>
      </c>
      <c r="D1129">
        <f>원본데이터_리씽크!S225</f>
        <v>143790</v>
      </c>
      <c r="E1129" t="str">
        <f>IFERROR(VLOOKUP(원본데이터_리씽크!S225,채널매핑!$B:$D,3,0),"미매핑")</f>
        <v>SKU001</v>
      </c>
      <c r="F1129">
        <f>IFERROR(VLOOKUP(원본데이터_리씽크!S225,채널매핑!$B:$E,4,0),1)</f>
        <v>4</v>
      </c>
      <c r="G1129">
        <f>원본데이터_리씽크!P225</f>
        <v>1</v>
      </c>
      <c r="H1129">
        <f>원본데이터_리씽크!O225</f>
        <v>45500</v>
      </c>
      <c r="I1129">
        <f>원본데이터_리씽크!X225</f>
        <v>45500</v>
      </c>
      <c r="J1129">
        <f>원본데이터_리씽크!X225</f>
        <v>45500</v>
      </c>
      <c r="K1129" t="str">
        <f>IFERROR(VLOOKUP(E1129,제품마스터!$A:$B,2,0),0)</f>
        <v>[워커힐] 시그니처 양념갈비 300G</v>
      </c>
      <c r="L1129">
        <f>원본데이터_리씽크!P225*원본데이터_리씽크!Q225*F1129</f>
        <v>0</v>
      </c>
    </row>
    <row r="1130" spans="1:12" x14ac:dyDescent="0.3">
      <c r="A1130" t="s">
        <v>196</v>
      </c>
      <c r="B1130" t="str">
        <f>TEXT(원본데이터_리씽크!B226,"0")</f>
        <v>2026020420522060000</v>
      </c>
      <c r="C1130" t="str">
        <f>IF(원본데이터_리씽크!A226="","",TEXT(원본데이터_리씽크!A226,"YYYY-MM-DD"))</f>
        <v>2026-02-04</v>
      </c>
      <c r="D1130">
        <f>원본데이터_리씽크!S226</f>
        <v>143790</v>
      </c>
      <c r="E1130" t="str">
        <f>IFERROR(VLOOKUP(원본데이터_리씽크!S226,채널매핑!$B:$D,3,0),"미매핑")</f>
        <v>SKU001</v>
      </c>
      <c r="F1130">
        <f>IFERROR(VLOOKUP(원본데이터_리씽크!S226,채널매핑!$B:$E,4,0),1)</f>
        <v>4</v>
      </c>
      <c r="G1130">
        <f>원본데이터_리씽크!P226</f>
        <v>1</v>
      </c>
      <c r="H1130">
        <f>원본데이터_리씽크!O226</f>
        <v>45500</v>
      </c>
      <c r="I1130">
        <f>원본데이터_리씽크!X226</f>
        <v>45500</v>
      </c>
      <c r="J1130">
        <f>원본데이터_리씽크!X226</f>
        <v>45500</v>
      </c>
      <c r="K1130" t="str">
        <f>IFERROR(VLOOKUP(E1130,제품마스터!$A:$B,2,0),0)</f>
        <v>[워커힐] 시그니처 양념갈비 300G</v>
      </c>
      <c r="L1130">
        <f>원본데이터_리씽크!P226*원본데이터_리씽크!Q226*F1130</f>
        <v>0</v>
      </c>
    </row>
    <row r="1131" spans="1:12" x14ac:dyDescent="0.3">
      <c r="A1131" t="s">
        <v>196</v>
      </c>
      <c r="B1131" t="str">
        <f>TEXT(원본데이터_리씽크!B227,"0")</f>
        <v>2026020420522750000</v>
      </c>
      <c r="C1131" t="str">
        <f>IF(원본데이터_리씽크!A227="","",TEXT(원본데이터_리씽크!A227,"YYYY-MM-DD"))</f>
        <v>2026-02-04</v>
      </c>
      <c r="D1131">
        <f>원본데이터_리씽크!S227</f>
        <v>143790</v>
      </c>
      <c r="E1131" t="str">
        <f>IFERROR(VLOOKUP(원본데이터_리씽크!S227,채널매핑!$B:$D,3,0),"미매핑")</f>
        <v>SKU001</v>
      </c>
      <c r="F1131">
        <f>IFERROR(VLOOKUP(원본데이터_리씽크!S227,채널매핑!$B:$E,4,0),1)</f>
        <v>4</v>
      </c>
      <c r="G1131">
        <f>원본데이터_리씽크!P227</f>
        <v>3</v>
      </c>
      <c r="H1131">
        <f>원본데이터_리씽크!O227</f>
        <v>45500</v>
      </c>
      <c r="I1131">
        <f>원본데이터_리씽크!X227</f>
        <v>136500</v>
      </c>
      <c r="J1131">
        <f>원본데이터_리씽크!X227</f>
        <v>136500</v>
      </c>
      <c r="K1131" t="str">
        <f>IFERROR(VLOOKUP(E1131,제품마스터!$A:$B,2,0),0)</f>
        <v>[워커힐] 시그니처 양념갈비 300G</v>
      </c>
      <c r="L1131">
        <f>원본데이터_리씽크!P227*원본데이터_리씽크!Q227*F1131</f>
        <v>0</v>
      </c>
    </row>
    <row r="1132" spans="1:12" x14ac:dyDescent="0.3">
      <c r="A1132" t="s">
        <v>196</v>
      </c>
      <c r="B1132" t="str">
        <f>TEXT(원본데이터_리씽크!B228,"0")</f>
        <v>2026020420195450000</v>
      </c>
      <c r="C1132" t="str">
        <f>IF(원본데이터_리씽크!A228="","",TEXT(원본데이터_리씽크!A228,"YYYY-MM-DD"))</f>
        <v>2026-02-04</v>
      </c>
      <c r="D1132">
        <f>원본데이터_리씽크!S228</f>
        <v>143790</v>
      </c>
      <c r="E1132" t="str">
        <f>IFERROR(VLOOKUP(원본데이터_리씽크!S228,채널매핑!$B:$D,3,0),"미매핑")</f>
        <v>SKU001</v>
      </c>
      <c r="F1132">
        <f>IFERROR(VLOOKUP(원본데이터_리씽크!S228,채널매핑!$B:$E,4,0),1)</f>
        <v>4</v>
      </c>
      <c r="G1132">
        <f>원본데이터_리씽크!P228</f>
        <v>1</v>
      </c>
      <c r="H1132">
        <f>원본데이터_리씽크!O228</f>
        <v>45500</v>
      </c>
      <c r="I1132">
        <f>원본데이터_리씽크!X228</f>
        <v>45500</v>
      </c>
      <c r="J1132">
        <f>원본데이터_리씽크!X228</f>
        <v>45500</v>
      </c>
      <c r="K1132" t="str">
        <f>IFERROR(VLOOKUP(E1132,제품마스터!$A:$B,2,0),0)</f>
        <v>[워커힐] 시그니처 양념갈비 300G</v>
      </c>
      <c r="L1132">
        <f>원본데이터_리씽크!P228*원본데이터_리씽크!Q228*F1132</f>
        <v>0</v>
      </c>
    </row>
    <row r="1133" spans="1:12" x14ac:dyDescent="0.3">
      <c r="A1133" t="s">
        <v>196</v>
      </c>
      <c r="B1133" t="str">
        <f>TEXT(원본데이터_리씽크!B229,"0")</f>
        <v>2026020420142830000</v>
      </c>
      <c r="C1133" t="str">
        <f>IF(원본데이터_리씽크!A229="","",TEXT(원본데이터_리씽크!A229,"YYYY-MM-DD"))</f>
        <v>2026-02-04</v>
      </c>
      <c r="D1133">
        <f>원본데이터_리씽크!S229</f>
        <v>143790</v>
      </c>
      <c r="E1133" t="str">
        <f>IFERROR(VLOOKUP(원본데이터_리씽크!S229,채널매핑!$B:$D,3,0),"미매핑")</f>
        <v>SKU001</v>
      </c>
      <c r="F1133">
        <f>IFERROR(VLOOKUP(원본데이터_리씽크!S229,채널매핑!$B:$E,4,0),1)</f>
        <v>4</v>
      </c>
      <c r="G1133">
        <f>원본데이터_리씽크!P229</f>
        <v>1</v>
      </c>
      <c r="H1133">
        <f>원본데이터_리씽크!O229</f>
        <v>45500</v>
      </c>
      <c r="I1133">
        <f>원본데이터_리씽크!X229</f>
        <v>45500</v>
      </c>
      <c r="J1133">
        <f>원본데이터_리씽크!X229</f>
        <v>45500</v>
      </c>
      <c r="K1133" t="str">
        <f>IFERROR(VLOOKUP(E1133,제품마스터!$A:$B,2,0),0)</f>
        <v>[워커힐] 시그니처 양념갈비 300G</v>
      </c>
      <c r="L1133">
        <f>원본데이터_리씽크!P229*원본데이터_리씽크!Q229*F1133</f>
        <v>0</v>
      </c>
    </row>
    <row r="1134" spans="1:12" x14ac:dyDescent="0.3">
      <c r="A1134" t="s">
        <v>196</v>
      </c>
      <c r="B1134" t="str">
        <f>TEXT(원본데이터_리씽크!B230,"0")</f>
        <v>2026020510315900000</v>
      </c>
      <c r="C1134" t="str">
        <f>IF(원본데이터_리씽크!A230="","",TEXT(원본데이터_리씽크!A230,"YYYY-MM-DD"))</f>
        <v>2026-02-05</v>
      </c>
      <c r="D1134">
        <f>원본데이터_리씽크!S230</f>
        <v>143790</v>
      </c>
      <c r="E1134" t="str">
        <f>IFERROR(VLOOKUP(원본데이터_리씽크!S230,채널매핑!$B:$D,3,0),"미매핑")</f>
        <v>SKU001</v>
      </c>
      <c r="F1134">
        <f>IFERROR(VLOOKUP(원본데이터_리씽크!S230,채널매핑!$B:$E,4,0),1)</f>
        <v>4</v>
      </c>
      <c r="G1134">
        <f>원본데이터_리씽크!P230</f>
        <v>1</v>
      </c>
      <c r="H1134">
        <f>원본데이터_리씽크!O230</f>
        <v>63000</v>
      </c>
      <c r="I1134">
        <f>원본데이터_리씽크!X230</f>
        <v>63000</v>
      </c>
      <c r="J1134">
        <f>원본데이터_리씽크!X230</f>
        <v>63000</v>
      </c>
      <c r="K1134" t="str">
        <f>IFERROR(VLOOKUP(E1134,제품마스터!$A:$B,2,0),0)</f>
        <v>[워커힐] 시그니처 양념갈비 300G</v>
      </c>
      <c r="L1134" t="e">
        <f>원본데이터_리씽크!P230*원본데이터_리씽크!Q230*F1134</f>
        <v>#VALUE!</v>
      </c>
    </row>
    <row r="1135" spans="1:12" x14ac:dyDescent="0.3">
      <c r="A1135" t="s">
        <v>196</v>
      </c>
      <c r="B1135" t="str">
        <f>TEXT(원본데이터_리씽크!B231,"0")</f>
        <v>2026020510422710000</v>
      </c>
      <c r="C1135" t="str">
        <f>IF(원본데이터_리씽크!A231="","",TEXT(원본데이터_리씽크!A231,"YYYY-MM-DD"))</f>
        <v>2026-02-05</v>
      </c>
      <c r="D1135">
        <f>원본데이터_리씽크!S231</f>
        <v>143790</v>
      </c>
      <c r="E1135" t="str">
        <f>IFERROR(VLOOKUP(원본데이터_리씽크!S231,채널매핑!$B:$D,3,0),"미매핑")</f>
        <v>SKU001</v>
      </c>
      <c r="F1135">
        <f>IFERROR(VLOOKUP(원본데이터_리씽크!S231,채널매핑!$B:$E,4,0),1)</f>
        <v>4</v>
      </c>
      <c r="G1135">
        <f>원본데이터_리씽크!P231</f>
        <v>1</v>
      </c>
      <c r="H1135">
        <f>원본데이터_리씽크!O231</f>
        <v>63000</v>
      </c>
      <c r="I1135">
        <f>원본데이터_리씽크!X231</f>
        <v>63000</v>
      </c>
      <c r="J1135">
        <f>원본데이터_리씽크!X231</f>
        <v>63000</v>
      </c>
      <c r="K1135" t="str">
        <f>IFERROR(VLOOKUP(E1135,제품마스터!$A:$B,2,0),0)</f>
        <v>[워커힐] 시그니처 양념갈비 300G</v>
      </c>
      <c r="L1135" t="e">
        <f>원본데이터_리씽크!P231*원본데이터_리씽크!Q231*F1135</f>
        <v>#VALUE!</v>
      </c>
    </row>
    <row r="1136" spans="1:12" x14ac:dyDescent="0.3">
      <c r="A1136" t="s">
        <v>196</v>
      </c>
      <c r="B1136" t="str">
        <f>TEXT(원본데이터_리씽크!B232,"0")</f>
        <v>2026020510383150000</v>
      </c>
      <c r="C1136" t="str">
        <f>IF(원본데이터_리씽크!A232="","",TEXT(원본데이터_리씽크!A232,"YYYY-MM-DD"))</f>
        <v>2026-02-05</v>
      </c>
      <c r="D1136">
        <f>원본데이터_리씽크!S232</f>
        <v>143790</v>
      </c>
      <c r="E1136" t="str">
        <f>IFERROR(VLOOKUP(원본데이터_리씽크!S232,채널매핑!$B:$D,3,0),"미매핑")</f>
        <v>SKU001</v>
      </c>
      <c r="F1136">
        <f>IFERROR(VLOOKUP(원본데이터_리씽크!S232,채널매핑!$B:$E,4,0),1)</f>
        <v>4</v>
      </c>
      <c r="G1136">
        <f>원본데이터_리씽크!P232</f>
        <v>1</v>
      </c>
      <c r="H1136">
        <f>원본데이터_리씽크!O232</f>
        <v>63000</v>
      </c>
      <c r="I1136">
        <f>원본데이터_리씽크!X232</f>
        <v>63000</v>
      </c>
      <c r="J1136">
        <f>원본데이터_리씽크!X232</f>
        <v>63000</v>
      </c>
      <c r="K1136" t="str">
        <f>IFERROR(VLOOKUP(E1136,제품마스터!$A:$B,2,0),0)</f>
        <v>[워커힐] 시그니처 양념갈비 300G</v>
      </c>
      <c r="L1136" t="e">
        <f>원본데이터_리씽크!P232*원본데이터_리씽크!Q232*F1136</f>
        <v>#VALUE!</v>
      </c>
    </row>
    <row r="1137" spans="1:12" x14ac:dyDescent="0.3">
      <c r="A1137" t="s">
        <v>196</v>
      </c>
      <c r="B1137" t="str">
        <f>TEXT(원본데이터_리씽크!B233,"0")</f>
        <v>2026020509335120000</v>
      </c>
      <c r="C1137" t="str">
        <f>IF(원본데이터_리씽크!A233="","",TEXT(원본데이터_리씽크!A233,"YYYY-MM-DD"))</f>
        <v>2026-02-05</v>
      </c>
      <c r="D1137">
        <f>원본데이터_리씽크!S233</f>
        <v>143790</v>
      </c>
      <c r="E1137" t="str">
        <f>IFERROR(VLOOKUP(원본데이터_리씽크!S233,채널매핑!$B:$D,3,0),"미매핑")</f>
        <v>SKU001</v>
      </c>
      <c r="F1137">
        <f>IFERROR(VLOOKUP(원본데이터_리씽크!S233,채널매핑!$B:$E,4,0),1)</f>
        <v>4</v>
      </c>
      <c r="G1137">
        <f>원본데이터_리씽크!P233</f>
        <v>1</v>
      </c>
      <c r="H1137">
        <f>원본데이터_리씽크!O233</f>
        <v>63000</v>
      </c>
      <c r="I1137">
        <f>원본데이터_리씽크!X233</f>
        <v>63000</v>
      </c>
      <c r="J1137">
        <f>원본데이터_리씽크!X233</f>
        <v>63000</v>
      </c>
      <c r="K1137" t="str">
        <f>IFERROR(VLOOKUP(E1137,제품마스터!$A:$B,2,0),0)</f>
        <v>[워커힐] 시그니처 양념갈비 300G</v>
      </c>
      <c r="L1137" t="e">
        <f>원본데이터_리씽크!P233*원본데이터_리씽크!Q233*F1137</f>
        <v>#VALUE!</v>
      </c>
    </row>
    <row r="1138" spans="1:12" x14ac:dyDescent="0.3">
      <c r="A1138" t="s">
        <v>196</v>
      </c>
      <c r="B1138" t="str">
        <f>TEXT(원본데이터_리씽크!B234,"0")</f>
        <v>2026020509093110000</v>
      </c>
      <c r="C1138" t="str">
        <f>IF(원본데이터_리씽크!A234="","",TEXT(원본데이터_리씽크!A234,"YYYY-MM-DD"))</f>
        <v>2026-02-05</v>
      </c>
      <c r="D1138">
        <f>원본데이터_리씽크!S234</f>
        <v>143790</v>
      </c>
      <c r="E1138" t="str">
        <f>IFERROR(VLOOKUP(원본데이터_리씽크!S234,채널매핑!$B:$D,3,0),"미매핑")</f>
        <v>SKU001</v>
      </c>
      <c r="F1138">
        <f>IFERROR(VLOOKUP(원본데이터_리씽크!S234,채널매핑!$B:$E,4,0),1)</f>
        <v>4</v>
      </c>
      <c r="G1138">
        <f>원본데이터_리씽크!P234</f>
        <v>1</v>
      </c>
      <c r="H1138">
        <f>원본데이터_리씽크!O234</f>
        <v>63000</v>
      </c>
      <c r="I1138">
        <f>원본데이터_리씽크!X234</f>
        <v>63000</v>
      </c>
      <c r="J1138">
        <f>원본데이터_리씽크!X234</f>
        <v>63000</v>
      </c>
      <c r="K1138" t="str">
        <f>IFERROR(VLOOKUP(E1138,제품마스터!$A:$B,2,0),0)</f>
        <v>[워커힐] 시그니처 양념갈비 300G</v>
      </c>
      <c r="L1138" t="e">
        <f>원본데이터_리씽크!P234*원본데이터_리씽크!Q234*F1138</f>
        <v>#VALUE!</v>
      </c>
    </row>
    <row r="1139" spans="1:12" x14ac:dyDescent="0.3">
      <c r="A1139" t="s">
        <v>196</v>
      </c>
      <c r="B1139" t="str">
        <f>TEXT(원본데이터_리씽크!B235,"0")</f>
        <v>2026020508550790000</v>
      </c>
      <c r="C1139" t="str">
        <f>IF(원본데이터_리씽크!A235="","",TEXT(원본데이터_리씽크!A235,"YYYY-MM-DD"))</f>
        <v>2026-02-05</v>
      </c>
      <c r="D1139">
        <f>원본데이터_리씽크!S235</f>
        <v>143790</v>
      </c>
      <c r="E1139" t="str">
        <f>IFERROR(VLOOKUP(원본데이터_리씽크!S235,채널매핑!$B:$D,3,0),"미매핑")</f>
        <v>SKU001</v>
      </c>
      <c r="F1139">
        <f>IFERROR(VLOOKUP(원본데이터_리씽크!S235,채널매핑!$B:$E,4,0),1)</f>
        <v>4</v>
      </c>
      <c r="G1139">
        <f>원본데이터_리씽크!P235</f>
        <v>1</v>
      </c>
      <c r="H1139">
        <f>원본데이터_리씽크!O235</f>
        <v>63000</v>
      </c>
      <c r="I1139">
        <f>원본데이터_리씽크!X235</f>
        <v>63000</v>
      </c>
      <c r="J1139">
        <f>원본데이터_리씽크!X235</f>
        <v>63000</v>
      </c>
      <c r="K1139" t="str">
        <f>IFERROR(VLOOKUP(E1139,제품마스터!$A:$B,2,0),0)</f>
        <v>[워커힐] 시그니처 양념갈비 300G</v>
      </c>
      <c r="L1139" t="e">
        <f>원본데이터_리씽크!P235*원본데이터_리씽크!Q235*F1139</f>
        <v>#VALUE!</v>
      </c>
    </row>
    <row r="1140" spans="1:12" x14ac:dyDescent="0.3">
      <c r="A1140" t="s">
        <v>196</v>
      </c>
      <c r="B1140" t="str">
        <f>TEXT(원본데이터_리씽크!B236,"0")</f>
        <v>2026020508352200000</v>
      </c>
      <c r="C1140" t="str">
        <f>IF(원본데이터_리씽크!A236="","",TEXT(원본데이터_리씽크!A236,"YYYY-MM-DD"))</f>
        <v>2026-02-05</v>
      </c>
      <c r="D1140">
        <f>원본데이터_리씽크!S236</f>
        <v>143790</v>
      </c>
      <c r="E1140" t="str">
        <f>IFERROR(VLOOKUP(원본데이터_리씽크!S236,채널매핑!$B:$D,3,0),"미매핑")</f>
        <v>SKU001</v>
      </c>
      <c r="F1140">
        <f>IFERROR(VLOOKUP(원본데이터_리씽크!S236,채널매핑!$B:$E,4,0),1)</f>
        <v>4</v>
      </c>
      <c r="G1140">
        <f>원본데이터_리씽크!P236</f>
        <v>1</v>
      </c>
      <c r="H1140">
        <f>원본데이터_리씽크!O236</f>
        <v>63000</v>
      </c>
      <c r="I1140">
        <f>원본데이터_리씽크!X236</f>
        <v>63000</v>
      </c>
      <c r="J1140">
        <f>원본데이터_리씽크!X236</f>
        <v>63000</v>
      </c>
      <c r="K1140" t="str">
        <f>IFERROR(VLOOKUP(E1140,제품마스터!$A:$B,2,0),0)</f>
        <v>[워커힐] 시그니처 양념갈비 300G</v>
      </c>
      <c r="L1140" t="e">
        <f>원본데이터_리씽크!P236*원본데이터_리씽크!Q236*F1140</f>
        <v>#VALUE!</v>
      </c>
    </row>
    <row r="1141" spans="1:12" x14ac:dyDescent="0.3">
      <c r="A1141" t="s">
        <v>196</v>
      </c>
      <c r="B1141" t="str">
        <f>TEXT(원본데이터_리씽크!B237,"0")</f>
        <v>2026020508240120000</v>
      </c>
      <c r="C1141" t="str">
        <f>IF(원본데이터_리씽크!A237="","",TEXT(원본데이터_리씽크!A237,"YYYY-MM-DD"))</f>
        <v>2026-02-05</v>
      </c>
      <c r="D1141">
        <f>원본데이터_리씽크!S237</f>
        <v>143790</v>
      </c>
      <c r="E1141" t="str">
        <f>IFERROR(VLOOKUP(원본데이터_리씽크!S237,채널매핑!$B:$D,3,0),"미매핑")</f>
        <v>SKU001</v>
      </c>
      <c r="F1141">
        <f>IFERROR(VLOOKUP(원본데이터_리씽크!S237,채널매핑!$B:$E,4,0),1)</f>
        <v>4</v>
      </c>
      <c r="G1141">
        <f>원본데이터_리씽크!P237</f>
        <v>1</v>
      </c>
      <c r="H1141">
        <f>원본데이터_리씽크!O237</f>
        <v>63000</v>
      </c>
      <c r="I1141">
        <f>원본데이터_리씽크!X237</f>
        <v>63000</v>
      </c>
      <c r="J1141">
        <f>원본데이터_리씽크!X237</f>
        <v>63000</v>
      </c>
      <c r="K1141" t="str">
        <f>IFERROR(VLOOKUP(E1141,제품마스터!$A:$B,2,0),0)</f>
        <v>[워커힐] 시그니처 양념갈비 300G</v>
      </c>
      <c r="L1141" t="e">
        <f>원본데이터_리씽크!P237*원본데이터_리씽크!Q237*F1141</f>
        <v>#VALUE!</v>
      </c>
    </row>
    <row r="1142" spans="1:12" x14ac:dyDescent="0.3">
      <c r="A1142" t="s">
        <v>196</v>
      </c>
      <c r="B1142" t="str">
        <f>TEXT(원본데이터_리씽크!B238,"0")</f>
        <v>2026020508225670000</v>
      </c>
      <c r="C1142" t="str">
        <f>IF(원본데이터_리씽크!A238="","",TEXT(원본데이터_리씽크!A238,"YYYY-MM-DD"))</f>
        <v>2026-02-05</v>
      </c>
      <c r="D1142">
        <f>원본데이터_리씽크!S238</f>
        <v>143790</v>
      </c>
      <c r="E1142" t="str">
        <f>IFERROR(VLOOKUP(원본데이터_리씽크!S238,채널매핑!$B:$D,3,0),"미매핑")</f>
        <v>SKU001</v>
      </c>
      <c r="F1142">
        <f>IFERROR(VLOOKUP(원본데이터_리씽크!S238,채널매핑!$B:$E,4,0),1)</f>
        <v>4</v>
      </c>
      <c r="G1142">
        <f>원본데이터_리씽크!P238</f>
        <v>1</v>
      </c>
      <c r="H1142">
        <f>원본데이터_리씽크!O238</f>
        <v>63000</v>
      </c>
      <c r="I1142">
        <f>원본데이터_리씽크!X238</f>
        <v>63000</v>
      </c>
      <c r="J1142">
        <f>원본데이터_리씽크!X238</f>
        <v>63000</v>
      </c>
      <c r="K1142" t="str">
        <f>IFERROR(VLOOKUP(E1142,제품마스터!$A:$B,2,0),0)</f>
        <v>[워커힐] 시그니처 양념갈비 300G</v>
      </c>
      <c r="L1142" t="e">
        <f>원본데이터_리씽크!P238*원본데이터_리씽크!Q238*F1142</f>
        <v>#VALUE!</v>
      </c>
    </row>
    <row r="1143" spans="1:12" x14ac:dyDescent="0.3">
      <c r="A1143" t="s">
        <v>196</v>
      </c>
      <c r="B1143" t="str">
        <f>TEXT(원본데이터_리씽크!B239,"0")</f>
        <v>2026020508173590000</v>
      </c>
      <c r="C1143" t="str">
        <f>IF(원본데이터_리씽크!A239="","",TEXT(원본데이터_리씽크!A239,"YYYY-MM-DD"))</f>
        <v>2026-02-05</v>
      </c>
      <c r="D1143">
        <f>원본데이터_리씽크!S239</f>
        <v>143790</v>
      </c>
      <c r="E1143" t="str">
        <f>IFERROR(VLOOKUP(원본데이터_리씽크!S239,채널매핑!$B:$D,3,0),"미매핑")</f>
        <v>SKU001</v>
      </c>
      <c r="F1143">
        <f>IFERROR(VLOOKUP(원본데이터_리씽크!S239,채널매핑!$B:$E,4,0),1)</f>
        <v>4</v>
      </c>
      <c r="G1143">
        <f>원본데이터_리씽크!P239</f>
        <v>1</v>
      </c>
      <c r="H1143">
        <f>원본데이터_리씽크!O239</f>
        <v>63000</v>
      </c>
      <c r="I1143">
        <f>원본데이터_리씽크!X239</f>
        <v>63000</v>
      </c>
      <c r="J1143">
        <f>원본데이터_리씽크!X239</f>
        <v>63000</v>
      </c>
      <c r="K1143" t="str">
        <f>IFERROR(VLOOKUP(E1143,제품마스터!$A:$B,2,0),0)</f>
        <v>[워커힐] 시그니처 양념갈비 300G</v>
      </c>
      <c r="L1143" t="e">
        <f>원본데이터_리씽크!P239*원본데이터_리씽크!Q239*F1143</f>
        <v>#VALUE!</v>
      </c>
    </row>
    <row r="1144" spans="1:12" x14ac:dyDescent="0.3">
      <c r="A1144" t="s">
        <v>196</v>
      </c>
      <c r="B1144" t="str">
        <f>TEXT(원본데이터_리씽크!B240,"0")</f>
        <v>2026020508113900000</v>
      </c>
      <c r="C1144" t="str">
        <f>IF(원본데이터_리씽크!A240="","",TEXT(원본데이터_리씽크!A240,"YYYY-MM-DD"))</f>
        <v>2026-02-05</v>
      </c>
      <c r="D1144">
        <f>원본데이터_리씽크!S240</f>
        <v>143790</v>
      </c>
      <c r="E1144" t="str">
        <f>IFERROR(VLOOKUP(원본데이터_리씽크!S240,채널매핑!$B:$D,3,0),"미매핑")</f>
        <v>SKU001</v>
      </c>
      <c r="F1144">
        <f>IFERROR(VLOOKUP(원본데이터_리씽크!S240,채널매핑!$B:$E,4,0),1)</f>
        <v>4</v>
      </c>
      <c r="G1144">
        <f>원본데이터_리씽크!P240</f>
        <v>1</v>
      </c>
      <c r="H1144">
        <f>원본데이터_리씽크!O240</f>
        <v>63000</v>
      </c>
      <c r="I1144">
        <f>원본데이터_리씽크!X240</f>
        <v>63000</v>
      </c>
      <c r="J1144">
        <f>원본데이터_리씽크!X240</f>
        <v>63000</v>
      </c>
      <c r="K1144" t="str">
        <f>IFERROR(VLOOKUP(E1144,제품마스터!$A:$B,2,0),0)</f>
        <v>[워커힐] 시그니처 양념갈비 300G</v>
      </c>
      <c r="L1144" t="e">
        <f>원본데이터_리씽크!P240*원본데이터_리씽크!Q240*F1144</f>
        <v>#VALUE!</v>
      </c>
    </row>
    <row r="1145" spans="1:12" x14ac:dyDescent="0.3">
      <c r="A1145" t="s">
        <v>196</v>
      </c>
      <c r="B1145" t="str">
        <f>TEXT(원본데이터_리씽크!B241,"0")</f>
        <v>2026020508073880000</v>
      </c>
      <c r="C1145" t="str">
        <f>IF(원본데이터_리씽크!A241="","",TEXT(원본데이터_리씽크!A241,"YYYY-MM-DD"))</f>
        <v>2026-02-05</v>
      </c>
      <c r="D1145">
        <f>원본데이터_리씽크!S241</f>
        <v>143790</v>
      </c>
      <c r="E1145" t="str">
        <f>IFERROR(VLOOKUP(원본데이터_리씽크!S241,채널매핑!$B:$D,3,0),"미매핑")</f>
        <v>SKU001</v>
      </c>
      <c r="F1145">
        <f>IFERROR(VLOOKUP(원본데이터_리씽크!S241,채널매핑!$B:$E,4,0),1)</f>
        <v>4</v>
      </c>
      <c r="G1145">
        <f>원본데이터_리씽크!P241</f>
        <v>1</v>
      </c>
      <c r="H1145">
        <f>원본데이터_리씽크!O241</f>
        <v>63000</v>
      </c>
      <c r="I1145">
        <f>원본데이터_리씽크!X241</f>
        <v>63000</v>
      </c>
      <c r="J1145">
        <f>원본데이터_리씽크!X241</f>
        <v>63000</v>
      </c>
      <c r="K1145" t="str">
        <f>IFERROR(VLOOKUP(E1145,제품마스터!$A:$B,2,0),0)</f>
        <v>[워커힐] 시그니처 양념갈비 300G</v>
      </c>
      <c r="L1145" t="e">
        <f>원본데이터_리씽크!P241*원본데이터_리씽크!Q241*F1145</f>
        <v>#VALUE!</v>
      </c>
    </row>
    <row r="1146" spans="1:12" x14ac:dyDescent="0.3">
      <c r="A1146" t="s">
        <v>196</v>
      </c>
      <c r="B1146" t="str">
        <f>TEXT(원본데이터_리씽크!B242,"0")</f>
        <v>2026020508034110000</v>
      </c>
      <c r="C1146" t="str">
        <f>IF(원본데이터_리씽크!A242="","",TEXT(원본데이터_리씽크!A242,"YYYY-MM-DD"))</f>
        <v>2026-02-05</v>
      </c>
      <c r="D1146">
        <f>원본데이터_리씽크!S242</f>
        <v>143790</v>
      </c>
      <c r="E1146" t="str">
        <f>IFERROR(VLOOKUP(원본데이터_리씽크!S242,채널매핑!$B:$D,3,0),"미매핑")</f>
        <v>SKU001</v>
      </c>
      <c r="F1146">
        <f>IFERROR(VLOOKUP(원본데이터_리씽크!S242,채널매핑!$B:$E,4,0),1)</f>
        <v>4</v>
      </c>
      <c r="G1146">
        <f>원본데이터_리씽크!P242</f>
        <v>1</v>
      </c>
      <c r="H1146">
        <f>원본데이터_리씽크!O242</f>
        <v>63000</v>
      </c>
      <c r="I1146">
        <f>원본데이터_리씽크!X242</f>
        <v>63000</v>
      </c>
      <c r="J1146">
        <f>원본데이터_리씽크!X242</f>
        <v>63000</v>
      </c>
      <c r="K1146" t="str">
        <f>IFERROR(VLOOKUP(E1146,제품마스터!$A:$B,2,0),0)</f>
        <v>[워커힐] 시그니처 양념갈비 300G</v>
      </c>
      <c r="L1146" t="e">
        <f>원본데이터_리씽크!P242*원본데이터_리씽크!Q242*F1146</f>
        <v>#VALUE!</v>
      </c>
    </row>
    <row r="1147" spans="1:12" x14ac:dyDescent="0.3">
      <c r="A1147" t="s">
        <v>196</v>
      </c>
      <c r="B1147" t="str">
        <f>TEXT(원본데이터_리씽크!B243,"0")</f>
        <v>2026020508033540000</v>
      </c>
      <c r="C1147" t="str">
        <f>IF(원본데이터_리씽크!A243="","",TEXT(원본데이터_리씽크!A243,"YYYY-MM-DD"))</f>
        <v>2026-02-05</v>
      </c>
      <c r="D1147">
        <f>원본데이터_리씽크!S243</f>
        <v>143790</v>
      </c>
      <c r="E1147" t="str">
        <f>IFERROR(VLOOKUP(원본데이터_리씽크!S243,채널매핑!$B:$D,3,0),"미매핑")</f>
        <v>SKU001</v>
      </c>
      <c r="F1147">
        <f>IFERROR(VLOOKUP(원본데이터_리씽크!S243,채널매핑!$B:$E,4,0),1)</f>
        <v>4</v>
      </c>
      <c r="G1147">
        <f>원본데이터_리씽크!P243</f>
        <v>1</v>
      </c>
      <c r="H1147">
        <f>원본데이터_리씽크!O243</f>
        <v>63000</v>
      </c>
      <c r="I1147">
        <f>원본데이터_리씽크!X243</f>
        <v>63000</v>
      </c>
      <c r="J1147">
        <f>원본데이터_리씽크!X243</f>
        <v>63000</v>
      </c>
      <c r="K1147" t="str">
        <f>IFERROR(VLOOKUP(E1147,제품마스터!$A:$B,2,0),0)</f>
        <v>[워커힐] 시그니처 양념갈비 300G</v>
      </c>
      <c r="L1147" t="e">
        <f>원본데이터_리씽크!P243*원본데이터_리씽크!Q243*F1147</f>
        <v>#VALUE!</v>
      </c>
    </row>
    <row r="1148" spans="1:12" x14ac:dyDescent="0.3">
      <c r="A1148" t="s">
        <v>196</v>
      </c>
      <c r="B1148" t="str">
        <f>TEXT(원본데이터_리씽크!B244,"0")</f>
        <v>2026020508013670000</v>
      </c>
      <c r="C1148" t="str">
        <f>IF(원본데이터_리씽크!A244="","",TEXT(원본데이터_리씽크!A244,"YYYY-MM-DD"))</f>
        <v>2026-02-05</v>
      </c>
      <c r="D1148">
        <f>원본데이터_리씽크!S244</f>
        <v>143790</v>
      </c>
      <c r="E1148" t="str">
        <f>IFERROR(VLOOKUP(원본데이터_리씽크!S244,채널매핑!$B:$D,3,0),"미매핑")</f>
        <v>SKU001</v>
      </c>
      <c r="F1148">
        <f>IFERROR(VLOOKUP(원본데이터_리씽크!S244,채널매핑!$B:$E,4,0),1)</f>
        <v>4</v>
      </c>
      <c r="G1148">
        <f>원본데이터_리씽크!P244</f>
        <v>1</v>
      </c>
      <c r="H1148">
        <f>원본데이터_리씽크!O244</f>
        <v>63000</v>
      </c>
      <c r="I1148">
        <f>원본데이터_리씽크!X244</f>
        <v>63000</v>
      </c>
      <c r="J1148">
        <f>원본데이터_리씽크!X244</f>
        <v>63000</v>
      </c>
      <c r="K1148" t="str">
        <f>IFERROR(VLOOKUP(E1148,제품마스터!$A:$B,2,0),0)</f>
        <v>[워커힐] 시그니처 양념갈비 300G</v>
      </c>
      <c r="L1148" t="e">
        <f>원본데이터_리씽크!P244*원본데이터_리씽크!Q244*F1148</f>
        <v>#VALUE!</v>
      </c>
    </row>
    <row r="1149" spans="1:12" x14ac:dyDescent="0.3">
      <c r="A1149" t="s">
        <v>196</v>
      </c>
      <c r="B1149" t="str">
        <f>TEXT(원본데이터_리씽크!B245,"0")</f>
        <v>2026020507574980000</v>
      </c>
      <c r="C1149" t="str">
        <f>IF(원본데이터_리씽크!A245="","",TEXT(원본데이터_리씽크!A245,"YYYY-MM-DD"))</f>
        <v>2026-02-05</v>
      </c>
      <c r="D1149">
        <f>원본데이터_리씽크!S245</f>
        <v>143790</v>
      </c>
      <c r="E1149" t="str">
        <f>IFERROR(VLOOKUP(원본데이터_리씽크!S245,채널매핑!$B:$D,3,0),"미매핑")</f>
        <v>SKU001</v>
      </c>
      <c r="F1149">
        <f>IFERROR(VLOOKUP(원본데이터_리씽크!S245,채널매핑!$B:$E,4,0),1)</f>
        <v>4</v>
      </c>
      <c r="G1149">
        <f>원본데이터_리씽크!P245</f>
        <v>1</v>
      </c>
      <c r="H1149">
        <f>원본데이터_리씽크!O245</f>
        <v>63000</v>
      </c>
      <c r="I1149">
        <f>원본데이터_리씽크!X245</f>
        <v>63000</v>
      </c>
      <c r="J1149">
        <f>원본데이터_리씽크!X245</f>
        <v>63000</v>
      </c>
      <c r="K1149" t="str">
        <f>IFERROR(VLOOKUP(E1149,제품마스터!$A:$B,2,0),0)</f>
        <v>[워커힐] 시그니처 양념갈비 300G</v>
      </c>
      <c r="L1149" t="e">
        <f>원본데이터_리씽크!P245*원본데이터_리씽크!Q245*F1149</f>
        <v>#VALUE!</v>
      </c>
    </row>
    <row r="1150" spans="1:12" x14ac:dyDescent="0.3">
      <c r="A1150" t="s">
        <v>196</v>
      </c>
      <c r="B1150" t="str">
        <f>TEXT(원본데이터_리씽크!B246,"0")</f>
        <v>2026020507594190000</v>
      </c>
      <c r="C1150" t="str">
        <f>IF(원본데이터_리씽크!A246="","",TEXT(원본데이터_리씽크!A246,"YYYY-MM-DD"))</f>
        <v>2026-02-05</v>
      </c>
      <c r="D1150">
        <f>원본데이터_리씽크!S246</f>
        <v>143790</v>
      </c>
      <c r="E1150" t="str">
        <f>IFERROR(VLOOKUP(원본데이터_리씽크!S246,채널매핑!$B:$D,3,0),"미매핑")</f>
        <v>SKU001</v>
      </c>
      <c r="F1150">
        <f>IFERROR(VLOOKUP(원본데이터_리씽크!S246,채널매핑!$B:$E,4,0),1)</f>
        <v>4</v>
      </c>
      <c r="G1150">
        <f>원본데이터_리씽크!P246</f>
        <v>1</v>
      </c>
      <c r="H1150">
        <f>원본데이터_리씽크!O246</f>
        <v>63000</v>
      </c>
      <c r="I1150">
        <f>원본데이터_리씽크!X246</f>
        <v>63000</v>
      </c>
      <c r="J1150">
        <f>원본데이터_리씽크!X246</f>
        <v>63000</v>
      </c>
      <c r="K1150" t="str">
        <f>IFERROR(VLOOKUP(E1150,제품마스터!$A:$B,2,0),0)</f>
        <v>[워커힐] 시그니처 양념갈비 300G</v>
      </c>
      <c r="L1150" t="e">
        <f>원본데이터_리씽크!P246*원본데이터_리씽크!Q246*F1150</f>
        <v>#VALUE!</v>
      </c>
    </row>
    <row r="1151" spans="1:12" x14ac:dyDescent="0.3">
      <c r="A1151" t="s">
        <v>196</v>
      </c>
      <c r="B1151" t="str">
        <f>TEXT(원본데이터_리씽크!B247,"0")</f>
        <v>2026020507562450000</v>
      </c>
      <c r="C1151" t="str">
        <f>IF(원본데이터_리씽크!A247="","",TEXT(원본데이터_리씽크!A247,"YYYY-MM-DD"))</f>
        <v>2026-02-05</v>
      </c>
      <c r="D1151">
        <f>원본데이터_리씽크!S247</f>
        <v>143790</v>
      </c>
      <c r="E1151" t="str">
        <f>IFERROR(VLOOKUP(원본데이터_리씽크!S247,채널매핑!$B:$D,3,0),"미매핑")</f>
        <v>SKU001</v>
      </c>
      <c r="F1151">
        <f>IFERROR(VLOOKUP(원본데이터_리씽크!S247,채널매핑!$B:$E,4,0),1)</f>
        <v>4</v>
      </c>
      <c r="G1151">
        <f>원본데이터_리씽크!P247</f>
        <v>1</v>
      </c>
      <c r="H1151">
        <f>원본데이터_리씽크!O247</f>
        <v>63000</v>
      </c>
      <c r="I1151">
        <f>원본데이터_리씽크!X247</f>
        <v>63000</v>
      </c>
      <c r="J1151">
        <f>원본데이터_리씽크!X247</f>
        <v>63000</v>
      </c>
      <c r="K1151" t="str">
        <f>IFERROR(VLOOKUP(E1151,제품마스터!$A:$B,2,0),0)</f>
        <v>[워커힐] 시그니처 양념갈비 300G</v>
      </c>
      <c r="L1151" t="e">
        <f>원본데이터_리씽크!P247*원본데이터_리씽크!Q247*F1151</f>
        <v>#VALUE!</v>
      </c>
    </row>
    <row r="1152" spans="1:12" x14ac:dyDescent="0.3">
      <c r="A1152" t="s">
        <v>196</v>
      </c>
      <c r="B1152" t="str">
        <f>TEXT(원본데이터_리씽크!B248,"0")</f>
        <v>2026020507583120000</v>
      </c>
      <c r="C1152" t="str">
        <f>IF(원본데이터_리씽크!A248="","",TEXT(원본데이터_리씽크!A248,"YYYY-MM-DD"))</f>
        <v>2026-02-05</v>
      </c>
      <c r="D1152">
        <f>원본데이터_리씽크!S248</f>
        <v>143790</v>
      </c>
      <c r="E1152" t="str">
        <f>IFERROR(VLOOKUP(원본데이터_리씽크!S248,채널매핑!$B:$D,3,0),"미매핑")</f>
        <v>SKU001</v>
      </c>
      <c r="F1152">
        <f>IFERROR(VLOOKUP(원본데이터_리씽크!S248,채널매핑!$B:$E,4,0),1)</f>
        <v>4</v>
      </c>
      <c r="G1152">
        <f>원본데이터_리씽크!P248</f>
        <v>1</v>
      </c>
      <c r="H1152">
        <f>원본데이터_리씽크!O248</f>
        <v>63000</v>
      </c>
      <c r="I1152">
        <f>원본데이터_리씽크!X248</f>
        <v>63000</v>
      </c>
      <c r="J1152">
        <f>원본데이터_리씽크!X248</f>
        <v>63000</v>
      </c>
      <c r="K1152" t="str">
        <f>IFERROR(VLOOKUP(E1152,제품마스터!$A:$B,2,0),0)</f>
        <v>[워커힐] 시그니처 양념갈비 300G</v>
      </c>
      <c r="L1152" t="e">
        <f>원본데이터_리씽크!P248*원본데이터_리씽크!Q248*F1152</f>
        <v>#VALUE!</v>
      </c>
    </row>
    <row r="1153" spans="1:12" x14ac:dyDescent="0.3">
      <c r="A1153" t="s">
        <v>196</v>
      </c>
      <c r="B1153" t="str">
        <f>TEXT(원본데이터_리씽크!B249,"0")</f>
        <v>2026020507562670000</v>
      </c>
      <c r="C1153" t="str">
        <f>IF(원본데이터_리씽크!A249="","",TEXT(원본데이터_리씽크!A249,"YYYY-MM-DD"))</f>
        <v>2026-02-05</v>
      </c>
      <c r="D1153">
        <f>원본데이터_리씽크!S249</f>
        <v>143790</v>
      </c>
      <c r="E1153" t="str">
        <f>IFERROR(VLOOKUP(원본데이터_리씽크!S249,채널매핑!$B:$D,3,0),"미매핑")</f>
        <v>SKU001</v>
      </c>
      <c r="F1153">
        <f>IFERROR(VLOOKUP(원본데이터_리씽크!S249,채널매핑!$B:$E,4,0),1)</f>
        <v>4</v>
      </c>
      <c r="G1153">
        <f>원본데이터_리씽크!P249</f>
        <v>1</v>
      </c>
      <c r="H1153">
        <f>원본데이터_리씽크!O249</f>
        <v>63000</v>
      </c>
      <c r="I1153">
        <f>원본데이터_리씽크!X249</f>
        <v>63000</v>
      </c>
      <c r="J1153">
        <f>원본데이터_리씽크!X249</f>
        <v>63000</v>
      </c>
      <c r="K1153" t="str">
        <f>IFERROR(VLOOKUP(E1153,제품마스터!$A:$B,2,0),0)</f>
        <v>[워커힐] 시그니처 양념갈비 300G</v>
      </c>
      <c r="L1153" t="e">
        <f>원본데이터_리씽크!P249*원본데이터_리씽크!Q249*F1153</f>
        <v>#VALUE!</v>
      </c>
    </row>
    <row r="1154" spans="1:12" x14ac:dyDescent="0.3">
      <c r="A1154" t="s">
        <v>196</v>
      </c>
      <c r="B1154" t="str">
        <f>TEXT(원본데이터_리씽크!B250,"0")</f>
        <v>2026020507472550000</v>
      </c>
      <c r="C1154" t="str">
        <f>IF(원본데이터_리씽크!A250="","",TEXT(원본데이터_리씽크!A250,"YYYY-MM-DD"))</f>
        <v>2026-02-05</v>
      </c>
      <c r="D1154">
        <f>원본데이터_리씽크!S250</f>
        <v>143790</v>
      </c>
      <c r="E1154" t="str">
        <f>IFERROR(VLOOKUP(원본데이터_리씽크!S250,채널매핑!$B:$D,3,0),"미매핑")</f>
        <v>SKU001</v>
      </c>
      <c r="F1154">
        <f>IFERROR(VLOOKUP(원본데이터_리씽크!S250,채널매핑!$B:$E,4,0),1)</f>
        <v>4</v>
      </c>
      <c r="G1154">
        <f>원본데이터_리씽크!P250</f>
        <v>1</v>
      </c>
      <c r="H1154">
        <f>원본데이터_리씽크!O250</f>
        <v>63000</v>
      </c>
      <c r="I1154">
        <f>원본데이터_리씽크!X250</f>
        <v>63000</v>
      </c>
      <c r="J1154">
        <f>원본데이터_리씽크!X250</f>
        <v>63000</v>
      </c>
      <c r="K1154" t="str">
        <f>IFERROR(VLOOKUP(E1154,제품마스터!$A:$B,2,0),0)</f>
        <v>[워커힐] 시그니처 양념갈비 300G</v>
      </c>
      <c r="L1154" t="e">
        <f>원본데이터_리씽크!P250*원본데이터_리씽크!Q250*F1154</f>
        <v>#VALUE!</v>
      </c>
    </row>
    <row r="1155" spans="1:12" x14ac:dyDescent="0.3">
      <c r="A1155" t="s">
        <v>196</v>
      </c>
      <c r="B1155" t="str">
        <f>TEXT(원본데이터_리씽크!B251,"0")</f>
        <v>2026020507101300000</v>
      </c>
      <c r="C1155" t="str">
        <f>IF(원본데이터_리씽크!A251="","",TEXT(원본데이터_리씽크!A251,"YYYY-MM-DD"))</f>
        <v>2026-02-05</v>
      </c>
      <c r="D1155">
        <f>원본데이터_리씽크!S251</f>
        <v>143790</v>
      </c>
      <c r="E1155" t="str">
        <f>IFERROR(VLOOKUP(원본데이터_리씽크!S251,채널매핑!$B:$D,3,0),"미매핑")</f>
        <v>SKU001</v>
      </c>
      <c r="F1155">
        <f>IFERROR(VLOOKUP(원본데이터_리씽크!S251,채널매핑!$B:$E,4,0),1)</f>
        <v>4</v>
      </c>
      <c r="G1155">
        <f>원본데이터_리씽크!P251</f>
        <v>2</v>
      </c>
      <c r="H1155">
        <f>원본데이터_리씽크!O251</f>
        <v>63000</v>
      </c>
      <c r="I1155">
        <f>원본데이터_리씽크!X251</f>
        <v>126000</v>
      </c>
      <c r="J1155">
        <f>원본데이터_리씽크!X251</f>
        <v>126000</v>
      </c>
      <c r="K1155" t="str">
        <f>IFERROR(VLOOKUP(E1155,제품마스터!$A:$B,2,0),0)</f>
        <v>[워커힐] 시그니처 양념갈비 300G</v>
      </c>
      <c r="L1155" t="e">
        <f>원본데이터_리씽크!P251*원본데이터_리씽크!Q251*F1155</f>
        <v>#VALUE!</v>
      </c>
    </row>
    <row r="1156" spans="1:12" x14ac:dyDescent="0.3">
      <c r="A1156" t="s">
        <v>196</v>
      </c>
      <c r="B1156" t="str">
        <f>TEXT(원본데이터_리씽크!B252,"0")</f>
        <v>2026020507075480000</v>
      </c>
      <c r="C1156" t="str">
        <f>IF(원본데이터_리씽크!A252="","",TEXT(원본데이터_리씽크!A252,"YYYY-MM-DD"))</f>
        <v>2026-02-05</v>
      </c>
      <c r="D1156">
        <f>원본데이터_리씽크!S252</f>
        <v>143790</v>
      </c>
      <c r="E1156" t="str">
        <f>IFERROR(VLOOKUP(원본데이터_리씽크!S252,채널매핑!$B:$D,3,0),"미매핑")</f>
        <v>SKU001</v>
      </c>
      <c r="F1156">
        <f>IFERROR(VLOOKUP(원본데이터_리씽크!S252,채널매핑!$B:$E,4,0),1)</f>
        <v>4</v>
      </c>
      <c r="G1156">
        <f>원본데이터_리씽크!P252</f>
        <v>2</v>
      </c>
      <c r="H1156">
        <f>원본데이터_리씽크!O252</f>
        <v>63000</v>
      </c>
      <c r="I1156">
        <f>원본데이터_리씽크!X252</f>
        <v>126000</v>
      </c>
      <c r="J1156">
        <f>원본데이터_리씽크!X252</f>
        <v>126000</v>
      </c>
      <c r="K1156" t="str">
        <f>IFERROR(VLOOKUP(E1156,제품마스터!$A:$B,2,0),0)</f>
        <v>[워커힐] 시그니처 양념갈비 300G</v>
      </c>
      <c r="L1156" t="e">
        <f>원본데이터_리씽크!P252*원본데이터_리씽크!Q252*F1156</f>
        <v>#VALUE!</v>
      </c>
    </row>
    <row r="1157" spans="1:12" x14ac:dyDescent="0.3">
      <c r="A1157" t="s">
        <v>196</v>
      </c>
      <c r="B1157" t="str">
        <f>TEXT(원본데이터_리씽크!B253,"0")</f>
        <v>2026020506533910000</v>
      </c>
      <c r="C1157" t="str">
        <f>IF(원본데이터_리씽크!A253="","",TEXT(원본데이터_리씽크!A253,"YYYY-MM-DD"))</f>
        <v>2026-02-05</v>
      </c>
      <c r="D1157">
        <f>원본데이터_리씽크!S253</f>
        <v>143790</v>
      </c>
      <c r="E1157" t="str">
        <f>IFERROR(VLOOKUP(원본데이터_리씽크!S253,채널매핑!$B:$D,3,0),"미매핑")</f>
        <v>SKU001</v>
      </c>
      <c r="F1157">
        <f>IFERROR(VLOOKUP(원본데이터_리씽크!S253,채널매핑!$B:$E,4,0),1)</f>
        <v>4</v>
      </c>
      <c r="G1157">
        <f>원본데이터_리씽크!P253</f>
        <v>1</v>
      </c>
      <c r="H1157">
        <f>원본데이터_리씽크!O253</f>
        <v>63000</v>
      </c>
      <c r="I1157">
        <f>원본데이터_리씽크!X253</f>
        <v>63000</v>
      </c>
      <c r="J1157">
        <f>원본데이터_리씽크!X253</f>
        <v>63000</v>
      </c>
      <c r="K1157" t="str">
        <f>IFERROR(VLOOKUP(E1157,제품마스터!$A:$B,2,0),0)</f>
        <v>[워커힐] 시그니처 양념갈비 300G</v>
      </c>
      <c r="L1157" t="e">
        <f>원본데이터_리씽크!P253*원본데이터_리씽크!Q253*F1157</f>
        <v>#VALUE!</v>
      </c>
    </row>
    <row r="1158" spans="1:12" x14ac:dyDescent="0.3">
      <c r="A1158" t="s">
        <v>196</v>
      </c>
      <c r="B1158" t="str">
        <f>TEXT(원본데이터_리씽크!B254,"0")</f>
        <v>2026020506490870000</v>
      </c>
      <c r="C1158" t="str">
        <f>IF(원본데이터_리씽크!A254="","",TEXT(원본데이터_리씽크!A254,"YYYY-MM-DD"))</f>
        <v>2026-02-05</v>
      </c>
      <c r="D1158">
        <f>원본데이터_리씽크!S254</f>
        <v>143790</v>
      </c>
      <c r="E1158" t="str">
        <f>IFERROR(VLOOKUP(원본데이터_리씽크!S254,채널매핑!$B:$D,3,0),"미매핑")</f>
        <v>SKU001</v>
      </c>
      <c r="F1158">
        <f>IFERROR(VLOOKUP(원본데이터_리씽크!S254,채널매핑!$B:$E,4,0),1)</f>
        <v>4</v>
      </c>
      <c r="G1158">
        <f>원본데이터_리씽크!P254</f>
        <v>1</v>
      </c>
      <c r="H1158">
        <f>원본데이터_리씽크!O254</f>
        <v>63000</v>
      </c>
      <c r="I1158">
        <f>원본데이터_리씽크!X254</f>
        <v>63000</v>
      </c>
      <c r="J1158">
        <f>원본데이터_리씽크!X254</f>
        <v>63000</v>
      </c>
      <c r="K1158" t="str">
        <f>IFERROR(VLOOKUP(E1158,제품마스터!$A:$B,2,0),0)</f>
        <v>[워커힐] 시그니처 양념갈비 300G</v>
      </c>
      <c r="L1158" t="e">
        <f>원본데이터_리씽크!P254*원본데이터_리씽크!Q254*F1158</f>
        <v>#VALUE!</v>
      </c>
    </row>
    <row r="1159" spans="1:12" x14ac:dyDescent="0.3">
      <c r="A1159" t="s">
        <v>196</v>
      </c>
      <c r="B1159" t="str">
        <f>TEXT(원본데이터_리씽크!B255,"0")</f>
        <v>2026020506462050000</v>
      </c>
      <c r="C1159" t="str">
        <f>IF(원본데이터_리씽크!A255="","",TEXT(원본데이터_리씽크!A255,"YYYY-MM-DD"))</f>
        <v>2026-02-05</v>
      </c>
      <c r="D1159">
        <f>원본데이터_리씽크!S255</f>
        <v>143790</v>
      </c>
      <c r="E1159" t="str">
        <f>IFERROR(VLOOKUP(원본데이터_리씽크!S255,채널매핑!$B:$D,3,0),"미매핑")</f>
        <v>SKU001</v>
      </c>
      <c r="F1159">
        <f>IFERROR(VLOOKUP(원본데이터_리씽크!S255,채널매핑!$B:$E,4,0),1)</f>
        <v>4</v>
      </c>
      <c r="G1159">
        <f>원본데이터_리씽크!P255</f>
        <v>1</v>
      </c>
      <c r="H1159">
        <f>원본데이터_리씽크!O255</f>
        <v>63000</v>
      </c>
      <c r="I1159">
        <f>원본데이터_리씽크!X255</f>
        <v>63000</v>
      </c>
      <c r="J1159">
        <f>원본데이터_리씽크!X255</f>
        <v>63000</v>
      </c>
      <c r="K1159" t="str">
        <f>IFERROR(VLOOKUP(E1159,제품마스터!$A:$B,2,0),0)</f>
        <v>[워커힐] 시그니처 양념갈비 300G</v>
      </c>
      <c r="L1159" t="e">
        <f>원본데이터_리씽크!P255*원본데이터_리씽크!Q255*F1159</f>
        <v>#VALUE!</v>
      </c>
    </row>
    <row r="1160" spans="1:12" x14ac:dyDescent="0.3">
      <c r="A1160" t="s">
        <v>196</v>
      </c>
      <c r="B1160" t="str">
        <f>TEXT(원본데이터_리씽크!B256,"0")</f>
        <v>2026020506453090000</v>
      </c>
      <c r="C1160" t="str">
        <f>IF(원본데이터_리씽크!A256="","",TEXT(원본데이터_리씽크!A256,"YYYY-MM-DD"))</f>
        <v>2026-02-05</v>
      </c>
      <c r="D1160">
        <f>원본데이터_리씽크!S256</f>
        <v>143790</v>
      </c>
      <c r="E1160" t="str">
        <f>IFERROR(VLOOKUP(원본데이터_리씽크!S256,채널매핑!$B:$D,3,0),"미매핑")</f>
        <v>SKU001</v>
      </c>
      <c r="F1160">
        <f>IFERROR(VLOOKUP(원본데이터_리씽크!S256,채널매핑!$B:$E,4,0),1)</f>
        <v>4</v>
      </c>
      <c r="G1160">
        <f>원본데이터_리씽크!P256</f>
        <v>1</v>
      </c>
      <c r="H1160">
        <f>원본데이터_리씽크!O256</f>
        <v>63000</v>
      </c>
      <c r="I1160">
        <f>원본데이터_리씽크!X256</f>
        <v>63000</v>
      </c>
      <c r="J1160">
        <f>원본데이터_리씽크!X256</f>
        <v>63000</v>
      </c>
      <c r="K1160" t="str">
        <f>IFERROR(VLOOKUP(E1160,제품마스터!$A:$B,2,0),0)</f>
        <v>[워커힐] 시그니처 양념갈비 300G</v>
      </c>
      <c r="L1160" t="e">
        <f>원본데이터_리씽크!P256*원본데이터_리씽크!Q256*F1160</f>
        <v>#VALUE!</v>
      </c>
    </row>
    <row r="1161" spans="1:12" x14ac:dyDescent="0.3">
      <c r="A1161" t="s">
        <v>196</v>
      </c>
      <c r="B1161" t="str">
        <f>TEXT(원본데이터_리씽크!B257,"0")</f>
        <v>2026020501343570000</v>
      </c>
      <c r="C1161" t="str">
        <f>IF(원본데이터_리씽크!A257="","",TEXT(원본데이터_리씽크!A257,"YYYY-MM-DD"))</f>
        <v>2026-02-05</v>
      </c>
      <c r="D1161">
        <f>원본데이터_리씽크!S257</f>
        <v>143790</v>
      </c>
      <c r="E1161" t="str">
        <f>IFERROR(VLOOKUP(원본데이터_리씽크!S257,채널매핑!$B:$D,3,0),"미매핑")</f>
        <v>SKU001</v>
      </c>
      <c r="F1161">
        <f>IFERROR(VLOOKUP(원본데이터_리씽크!S257,채널매핑!$B:$E,4,0),1)</f>
        <v>4</v>
      </c>
      <c r="G1161">
        <f>원본데이터_리씽크!P257</f>
        <v>1</v>
      </c>
      <c r="H1161">
        <f>원본데이터_리씽크!O257</f>
        <v>63000</v>
      </c>
      <c r="I1161">
        <f>원본데이터_리씽크!X257</f>
        <v>63000</v>
      </c>
      <c r="J1161">
        <f>원본데이터_리씽크!X257</f>
        <v>63000</v>
      </c>
      <c r="K1161" t="str">
        <f>IFERROR(VLOOKUP(E1161,제품마스터!$A:$B,2,0),0)</f>
        <v>[워커힐] 시그니처 양념갈비 300G</v>
      </c>
      <c r="L1161" t="e">
        <f>원본데이터_리씽크!P257*원본데이터_리씽크!Q257*F1161</f>
        <v>#VALUE!</v>
      </c>
    </row>
    <row r="1162" spans="1:12" x14ac:dyDescent="0.3">
      <c r="A1162" t="s">
        <v>196</v>
      </c>
      <c r="B1162" t="str">
        <f>TEXT(원본데이터_리씽크!B258,"0")</f>
        <v>2026020500295710000</v>
      </c>
      <c r="C1162" t="str">
        <f>IF(원본데이터_리씽크!A258="","",TEXT(원본데이터_리씽크!A258,"YYYY-MM-DD"))</f>
        <v>2026-02-05</v>
      </c>
      <c r="D1162">
        <f>원본데이터_리씽크!S258</f>
        <v>143790</v>
      </c>
      <c r="E1162" t="str">
        <f>IFERROR(VLOOKUP(원본데이터_리씽크!S258,채널매핑!$B:$D,3,0),"미매핑")</f>
        <v>SKU001</v>
      </c>
      <c r="F1162">
        <f>IFERROR(VLOOKUP(원본데이터_리씽크!S258,채널매핑!$B:$E,4,0),1)</f>
        <v>4</v>
      </c>
      <c r="G1162">
        <f>원본데이터_리씽크!P258</f>
        <v>1</v>
      </c>
      <c r="H1162">
        <f>원본데이터_리씽크!O258</f>
        <v>63000</v>
      </c>
      <c r="I1162">
        <f>원본데이터_리씽크!X258</f>
        <v>63000</v>
      </c>
      <c r="J1162">
        <f>원본데이터_리씽크!X258</f>
        <v>63000</v>
      </c>
      <c r="K1162" t="str">
        <f>IFERROR(VLOOKUP(E1162,제품마스터!$A:$B,2,0),0)</f>
        <v>[워커힐] 시그니처 양념갈비 300G</v>
      </c>
      <c r="L1162" t="e">
        <f>원본데이터_리씽크!P258*원본데이터_리씽크!Q258*F1162</f>
        <v>#VALUE!</v>
      </c>
    </row>
    <row r="1163" spans="1:12" x14ac:dyDescent="0.3">
      <c r="A1163" t="s">
        <v>196</v>
      </c>
      <c r="B1163" t="str">
        <f>TEXT(원본데이터_리씽크!B259,"0")</f>
        <v>2026020423003170000</v>
      </c>
      <c r="C1163" t="str">
        <f>IF(원본데이터_리씽크!A259="","",TEXT(원본데이터_리씽크!A259,"YYYY-MM-DD"))</f>
        <v>2026-02-04</v>
      </c>
      <c r="D1163">
        <f>원본데이터_리씽크!S259</f>
        <v>143790</v>
      </c>
      <c r="E1163" t="str">
        <f>IFERROR(VLOOKUP(원본데이터_리씽크!S259,채널매핑!$B:$D,3,0),"미매핑")</f>
        <v>SKU001</v>
      </c>
      <c r="F1163">
        <f>IFERROR(VLOOKUP(원본데이터_리씽크!S259,채널매핑!$B:$E,4,0),1)</f>
        <v>4</v>
      </c>
      <c r="G1163">
        <f>원본데이터_리씽크!P259</f>
        <v>1</v>
      </c>
      <c r="H1163">
        <f>원본데이터_리씽크!O259</f>
        <v>63000</v>
      </c>
      <c r="I1163">
        <f>원본데이터_리씽크!X259</f>
        <v>63000</v>
      </c>
      <c r="J1163">
        <f>원본데이터_리씽크!X259</f>
        <v>63000</v>
      </c>
      <c r="K1163" t="str">
        <f>IFERROR(VLOOKUP(E1163,제품마스터!$A:$B,2,0),0)</f>
        <v>[워커힐] 시그니처 양념갈비 300G</v>
      </c>
      <c r="L1163" t="e">
        <f>원본데이터_리씽크!P259*원본데이터_리씽크!Q259*F1163</f>
        <v>#VALUE!</v>
      </c>
    </row>
    <row r="1164" spans="1:12" x14ac:dyDescent="0.3">
      <c r="A1164" t="s">
        <v>196</v>
      </c>
      <c r="B1164" t="str">
        <f>TEXT(원본데이터_리씽크!B260,"0")</f>
        <v>2026020422190610000</v>
      </c>
      <c r="C1164" t="str">
        <f>IF(원본데이터_리씽크!A260="","",TEXT(원본데이터_리씽크!A260,"YYYY-MM-DD"))</f>
        <v>2026-02-04</v>
      </c>
      <c r="D1164">
        <f>원본데이터_리씽크!S260</f>
        <v>143790</v>
      </c>
      <c r="E1164" t="str">
        <f>IFERROR(VLOOKUP(원본데이터_리씽크!S260,채널매핑!$B:$D,3,0),"미매핑")</f>
        <v>SKU001</v>
      </c>
      <c r="F1164">
        <f>IFERROR(VLOOKUP(원본데이터_리씽크!S260,채널매핑!$B:$E,4,0),1)</f>
        <v>4</v>
      </c>
      <c r="G1164">
        <f>원본데이터_리씽크!P260</f>
        <v>1</v>
      </c>
      <c r="H1164">
        <f>원본데이터_리씽크!O260</f>
        <v>63000</v>
      </c>
      <c r="I1164">
        <f>원본데이터_리씽크!X260</f>
        <v>63000</v>
      </c>
      <c r="J1164">
        <f>원본데이터_리씽크!X260</f>
        <v>63000</v>
      </c>
      <c r="K1164" t="str">
        <f>IFERROR(VLOOKUP(E1164,제품마스터!$A:$B,2,0),0)</f>
        <v>[워커힐] 시그니처 양념갈비 300G</v>
      </c>
      <c r="L1164" t="e">
        <f>원본데이터_리씽크!P260*원본데이터_리씽크!Q260*F1164</f>
        <v>#VALUE!</v>
      </c>
    </row>
    <row r="1165" spans="1:12" x14ac:dyDescent="0.3">
      <c r="A1165" t="s">
        <v>196</v>
      </c>
      <c r="B1165" t="str">
        <f>TEXT(원본데이터_리씽크!B261,"0")</f>
        <v>2026020507574970000</v>
      </c>
      <c r="C1165" t="str">
        <f>IF(원본데이터_리씽크!A261="","",TEXT(원본데이터_리씽크!A261,"YYYY-MM-DD"))</f>
        <v>2026-02-05</v>
      </c>
      <c r="D1165">
        <f>원본데이터_리씽크!S261</f>
        <v>143790</v>
      </c>
      <c r="E1165" t="str">
        <f>IFERROR(VLOOKUP(원본데이터_리씽크!S261,채널매핑!$B:$D,3,0),"미매핑")</f>
        <v>SKU001</v>
      </c>
      <c r="F1165">
        <f>IFERROR(VLOOKUP(원본데이터_리씽크!S261,채널매핑!$B:$E,4,0),1)</f>
        <v>4</v>
      </c>
      <c r="G1165">
        <f>원본데이터_리씽크!P261</f>
        <v>1</v>
      </c>
      <c r="H1165">
        <f>원본데이터_리씽크!O261</f>
        <v>45500</v>
      </c>
      <c r="I1165">
        <f>원본데이터_리씽크!X261</f>
        <v>45500</v>
      </c>
      <c r="J1165">
        <f>원본데이터_리씽크!X261</f>
        <v>45500</v>
      </c>
      <c r="K1165" t="str">
        <f>IFERROR(VLOOKUP(E1165,제품마스터!$A:$B,2,0),0)</f>
        <v>[워커힐] 시그니처 양념갈비 300G</v>
      </c>
      <c r="L1165">
        <f>원본데이터_리씽크!P261*원본데이터_리씽크!Q261*F1165</f>
        <v>0</v>
      </c>
    </row>
    <row r="1166" spans="1:12" x14ac:dyDescent="0.3">
      <c r="A1166" t="s">
        <v>196</v>
      </c>
      <c r="B1166" t="str">
        <f>TEXT(원본데이터_리씽크!B262,"0")</f>
        <v>2026020508524710000</v>
      </c>
      <c r="C1166" t="str">
        <f>IF(원본데이터_리씽크!A262="","",TEXT(원본데이터_리씽크!A262,"YYYY-MM-DD"))</f>
        <v>2026-02-05</v>
      </c>
      <c r="D1166">
        <f>원본데이터_리씽크!S262</f>
        <v>143790</v>
      </c>
      <c r="E1166" t="str">
        <f>IFERROR(VLOOKUP(원본데이터_리씽크!S262,채널매핑!$B:$D,3,0),"미매핑")</f>
        <v>SKU001</v>
      </c>
      <c r="F1166">
        <f>IFERROR(VLOOKUP(원본데이터_리씽크!S262,채널매핑!$B:$E,4,0),1)</f>
        <v>4</v>
      </c>
      <c r="G1166">
        <f>원본데이터_리씽크!P262</f>
        <v>1</v>
      </c>
      <c r="H1166">
        <f>원본데이터_리씽크!O262</f>
        <v>45500</v>
      </c>
      <c r="I1166">
        <f>원본데이터_리씽크!X262</f>
        <v>45500</v>
      </c>
      <c r="J1166">
        <f>원본데이터_리씽크!X262</f>
        <v>45500</v>
      </c>
      <c r="K1166" t="str">
        <f>IFERROR(VLOOKUP(E1166,제품마스터!$A:$B,2,0),0)</f>
        <v>[워커힐] 시그니처 양념갈비 300G</v>
      </c>
      <c r="L1166">
        <f>원본데이터_리씽크!P262*원본데이터_리씽크!Q262*F1166</f>
        <v>0</v>
      </c>
    </row>
    <row r="1167" spans="1:12" x14ac:dyDescent="0.3">
      <c r="A1167" t="s">
        <v>196</v>
      </c>
      <c r="B1167" t="str">
        <f>TEXT(원본데이터_리씽크!B263,"0")</f>
        <v>2026020510424950000</v>
      </c>
      <c r="C1167" t="str">
        <f>IF(원본데이터_리씽크!A263="","",TEXT(원본데이터_리씽크!A263,"YYYY-MM-DD"))</f>
        <v>2026-02-05</v>
      </c>
      <c r="D1167">
        <f>원본데이터_리씽크!S263</f>
        <v>143790</v>
      </c>
      <c r="E1167" t="str">
        <f>IFERROR(VLOOKUP(원본데이터_리씽크!S263,채널매핑!$B:$D,3,0),"미매핑")</f>
        <v>SKU001</v>
      </c>
      <c r="F1167">
        <f>IFERROR(VLOOKUP(원본데이터_리씽크!S263,채널매핑!$B:$E,4,0),1)</f>
        <v>4</v>
      </c>
      <c r="G1167">
        <f>원본데이터_리씽크!P263</f>
        <v>1</v>
      </c>
      <c r="H1167">
        <f>원본데이터_리씽크!O263</f>
        <v>45500</v>
      </c>
      <c r="I1167">
        <f>원본데이터_리씽크!X263</f>
        <v>45500</v>
      </c>
      <c r="J1167">
        <f>원본데이터_리씽크!X263</f>
        <v>45500</v>
      </c>
      <c r="K1167" t="str">
        <f>IFERROR(VLOOKUP(E1167,제품마스터!$A:$B,2,0),0)</f>
        <v>[워커힐] 시그니처 양념갈비 300G</v>
      </c>
      <c r="L1167">
        <f>원본데이터_리씽크!P263*원본데이터_리씽크!Q263*F1167</f>
        <v>0</v>
      </c>
    </row>
    <row r="1168" spans="1:12" x14ac:dyDescent="0.3">
      <c r="A1168" t="s">
        <v>196</v>
      </c>
      <c r="B1168" t="str">
        <f>TEXT(원본데이터_리씽크!B264,"0")</f>
        <v>2026020511023150000</v>
      </c>
      <c r="C1168" t="str">
        <f>IF(원본데이터_리씽크!A264="","",TEXT(원본데이터_리씽크!A264,"YYYY-MM-DD"))</f>
        <v>2026-02-05</v>
      </c>
      <c r="D1168">
        <f>원본데이터_리씽크!S264</f>
        <v>143790</v>
      </c>
      <c r="E1168" t="str">
        <f>IFERROR(VLOOKUP(원본데이터_리씽크!S264,채널매핑!$B:$D,3,0),"미매핑")</f>
        <v>SKU001</v>
      </c>
      <c r="F1168">
        <f>IFERROR(VLOOKUP(원본데이터_리씽크!S264,채널매핑!$B:$E,4,0),1)</f>
        <v>4</v>
      </c>
      <c r="G1168">
        <f>원본데이터_리씽크!P264</f>
        <v>2</v>
      </c>
      <c r="H1168">
        <f>원본데이터_리씽크!O264</f>
        <v>45500</v>
      </c>
      <c r="I1168">
        <f>원본데이터_리씽크!X264</f>
        <v>91000</v>
      </c>
      <c r="J1168">
        <f>원본데이터_리씽크!X264</f>
        <v>91000</v>
      </c>
      <c r="K1168" t="str">
        <f>IFERROR(VLOOKUP(E1168,제품마스터!$A:$B,2,0),0)</f>
        <v>[워커힐] 시그니처 양념갈비 300G</v>
      </c>
      <c r="L1168">
        <f>원본데이터_리씽크!P264*원본데이터_리씽크!Q264*F1168</f>
        <v>0</v>
      </c>
    </row>
    <row r="1169" spans="1:12" x14ac:dyDescent="0.3">
      <c r="A1169" t="s">
        <v>196</v>
      </c>
      <c r="B1169" t="str">
        <f>TEXT(원본데이터_리씽크!B265,"0")</f>
        <v>2026020511031070000</v>
      </c>
      <c r="C1169" t="str">
        <f>IF(원본데이터_리씽크!A265="","",TEXT(원본데이터_리씽크!A265,"YYYY-MM-DD"))</f>
        <v>2026-02-05</v>
      </c>
      <c r="D1169">
        <f>원본데이터_리씽크!S265</f>
        <v>143790</v>
      </c>
      <c r="E1169" t="str">
        <f>IFERROR(VLOOKUP(원본데이터_리씽크!S265,채널매핑!$B:$D,3,0),"미매핑")</f>
        <v>SKU001</v>
      </c>
      <c r="F1169">
        <f>IFERROR(VLOOKUP(원본데이터_리씽크!S265,채널매핑!$B:$E,4,0),1)</f>
        <v>4</v>
      </c>
      <c r="G1169">
        <f>원본데이터_리씽크!P265</f>
        <v>1</v>
      </c>
      <c r="H1169">
        <f>원본데이터_리씽크!O265</f>
        <v>45500</v>
      </c>
      <c r="I1169">
        <f>원본데이터_리씽크!X265</f>
        <v>45500</v>
      </c>
      <c r="J1169">
        <f>원본데이터_리씽크!X265</f>
        <v>45500</v>
      </c>
      <c r="K1169" t="str">
        <f>IFERROR(VLOOKUP(E1169,제품마스터!$A:$B,2,0),0)</f>
        <v>[워커힐] 시그니처 양념갈비 300G</v>
      </c>
      <c r="L1169">
        <f>원본데이터_리씽크!P265*원본데이터_리씽크!Q265*F1169</f>
        <v>0</v>
      </c>
    </row>
    <row r="1170" spans="1:12" x14ac:dyDescent="0.3">
      <c r="A1170" t="s">
        <v>196</v>
      </c>
      <c r="B1170" t="str">
        <f>TEXT(원본데이터_리씽크!B266,"0")</f>
        <v>2026020511122150000</v>
      </c>
      <c r="C1170" t="str">
        <f>IF(원본데이터_리씽크!A266="","",TEXT(원본데이터_리씽크!A266,"YYYY-MM-DD"))</f>
        <v>2026-02-05</v>
      </c>
      <c r="D1170">
        <f>원본데이터_리씽크!S266</f>
        <v>143790</v>
      </c>
      <c r="E1170" t="str">
        <f>IFERROR(VLOOKUP(원본데이터_리씽크!S266,채널매핑!$B:$D,3,0),"미매핑")</f>
        <v>SKU001</v>
      </c>
      <c r="F1170">
        <f>IFERROR(VLOOKUP(원본데이터_리씽크!S266,채널매핑!$B:$E,4,0),1)</f>
        <v>4</v>
      </c>
      <c r="G1170">
        <f>원본데이터_리씽크!P266</f>
        <v>1</v>
      </c>
      <c r="H1170">
        <f>원본데이터_리씽크!O266</f>
        <v>45500</v>
      </c>
      <c r="I1170">
        <f>원본데이터_리씽크!X266</f>
        <v>45500</v>
      </c>
      <c r="J1170">
        <f>원본데이터_리씽크!X266</f>
        <v>45500</v>
      </c>
      <c r="K1170" t="str">
        <f>IFERROR(VLOOKUP(E1170,제품마스터!$A:$B,2,0),0)</f>
        <v>[워커힐] 시그니처 양념갈비 300G</v>
      </c>
      <c r="L1170">
        <f>원본데이터_리씽크!P266*원본데이터_리씽크!Q266*F1170</f>
        <v>0</v>
      </c>
    </row>
    <row r="1171" spans="1:12" x14ac:dyDescent="0.3">
      <c r="A1171" t="s">
        <v>196</v>
      </c>
      <c r="B1171" t="str">
        <f>TEXT(원본데이터_리씽크!B267,"0")</f>
        <v>2026020511191170000</v>
      </c>
      <c r="C1171" t="str">
        <f>IF(원본데이터_리씽크!A267="","",TEXT(원본데이터_리씽크!A267,"YYYY-MM-DD"))</f>
        <v>2026-02-05</v>
      </c>
      <c r="D1171">
        <f>원본데이터_리씽크!S267</f>
        <v>143790</v>
      </c>
      <c r="E1171" t="str">
        <f>IFERROR(VLOOKUP(원본데이터_리씽크!S267,채널매핑!$B:$D,3,0),"미매핑")</f>
        <v>SKU001</v>
      </c>
      <c r="F1171">
        <f>IFERROR(VLOOKUP(원본데이터_리씽크!S267,채널매핑!$B:$E,4,0),1)</f>
        <v>4</v>
      </c>
      <c r="G1171">
        <f>원본데이터_리씽크!P267</f>
        <v>1</v>
      </c>
      <c r="H1171">
        <f>원본데이터_리씽크!O267</f>
        <v>45500</v>
      </c>
      <c r="I1171">
        <f>원본데이터_리씽크!X267</f>
        <v>45500</v>
      </c>
      <c r="J1171">
        <f>원본데이터_리씽크!X267</f>
        <v>45500</v>
      </c>
      <c r="K1171" t="str">
        <f>IFERROR(VLOOKUP(E1171,제품마스터!$A:$B,2,0),0)</f>
        <v>[워커힐] 시그니처 양념갈비 300G</v>
      </c>
      <c r="L1171">
        <f>원본데이터_리씽크!P267*원본데이터_리씽크!Q267*F1171</f>
        <v>0</v>
      </c>
    </row>
    <row r="1172" spans="1:12" x14ac:dyDescent="0.3">
      <c r="A1172" t="s">
        <v>196</v>
      </c>
      <c r="B1172" t="str">
        <f>TEXT(원본데이터_리씽크!B268,"0")</f>
        <v>2026020511341300000</v>
      </c>
      <c r="C1172" t="str">
        <f>IF(원본데이터_리씽크!A268="","",TEXT(원본데이터_리씽크!A268,"YYYY-MM-DD"))</f>
        <v>2026-02-05</v>
      </c>
      <c r="D1172">
        <f>원본데이터_리씽크!S268</f>
        <v>143790</v>
      </c>
      <c r="E1172" t="str">
        <f>IFERROR(VLOOKUP(원본데이터_리씽크!S268,채널매핑!$B:$D,3,0),"미매핑")</f>
        <v>SKU001</v>
      </c>
      <c r="F1172">
        <f>IFERROR(VLOOKUP(원본데이터_리씽크!S268,채널매핑!$B:$E,4,0),1)</f>
        <v>4</v>
      </c>
      <c r="G1172">
        <f>원본데이터_리씽크!P268</f>
        <v>1</v>
      </c>
      <c r="H1172">
        <f>원본데이터_리씽크!O268</f>
        <v>45500</v>
      </c>
      <c r="I1172">
        <f>원본데이터_리씽크!X268</f>
        <v>45500</v>
      </c>
      <c r="J1172">
        <f>원본데이터_리씽크!X268</f>
        <v>45500</v>
      </c>
      <c r="K1172" t="str">
        <f>IFERROR(VLOOKUP(E1172,제품마스터!$A:$B,2,0),0)</f>
        <v>[워커힐] 시그니처 양념갈비 300G</v>
      </c>
      <c r="L1172">
        <f>원본데이터_리씽크!P268*원본데이터_리씽크!Q268*F1172</f>
        <v>0</v>
      </c>
    </row>
    <row r="1173" spans="1:12" x14ac:dyDescent="0.3">
      <c r="A1173" t="s">
        <v>196</v>
      </c>
      <c r="B1173" t="str">
        <f>TEXT(원본데이터_리씽크!B269,"0")</f>
        <v>2026020511342010000</v>
      </c>
      <c r="C1173" t="str">
        <f>IF(원본데이터_리씽크!A269="","",TEXT(원본데이터_리씽크!A269,"YYYY-MM-DD"))</f>
        <v>2026-02-05</v>
      </c>
      <c r="D1173">
        <f>원본데이터_리씽크!S269</f>
        <v>143790</v>
      </c>
      <c r="E1173" t="str">
        <f>IFERROR(VLOOKUP(원본데이터_리씽크!S269,채널매핑!$B:$D,3,0),"미매핑")</f>
        <v>SKU001</v>
      </c>
      <c r="F1173">
        <f>IFERROR(VLOOKUP(원본데이터_리씽크!S269,채널매핑!$B:$E,4,0),1)</f>
        <v>4</v>
      </c>
      <c r="G1173">
        <f>원본데이터_리씽크!P269</f>
        <v>1</v>
      </c>
      <c r="H1173">
        <f>원본데이터_리씽크!O269</f>
        <v>45500</v>
      </c>
      <c r="I1173">
        <f>원본데이터_리씽크!X269</f>
        <v>45500</v>
      </c>
      <c r="J1173">
        <f>원본데이터_리씽크!X269</f>
        <v>45500</v>
      </c>
      <c r="K1173" t="str">
        <f>IFERROR(VLOOKUP(E1173,제품마스터!$A:$B,2,0),0)</f>
        <v>[워커힐] 시그니처 양념갈비 300G</v>
      </c>
      <c r="L1173">
        <f>원본데이터_리씽크!P269*원본데이터_리씽크!Q269*F1173</f>
        <v>0</v>
      </c>
    </row>
    <row r="1174" spans="1:12" x14ac:dyDescent="0.3">
      <c r="A1174" t="s">
        <v>196</v>
      </c>
      <c r="B1174" t="str">
        <f>TEXT(원본데이터_리씽크!B270,"0")</f>
        <v>2026020511330830000</v>
      </c>
      <c r="C1174" t="str">
        <f>IF(원본데이터_리씽크!A270="","",TEXT(원본데이터_리씽크!A270,"YYYY-MM-DD"))</f>
        <v>2026-02-05</v>
      </c>
      <c r="D1174">
        <f>원본데이터_리씽크!S270</f>
        <v>143790</v>
      </c>
      <c r="E1174" t="str">
        <f>IFERROR(VLOOKUP(원본데이터_리씽크!S270,채널매핑!$B:$D,3,0),"미매핑")</f>
        <v>SKU001</v>
      </c>
      <c r="F1174">
        <f>IFERROR(VLOOKUP(원본데이터_리씽크!S270,채널매핑!$B:$E,4,0),1)</f>
        <v>4</v>
      </c>
      <c r="G1174">
        <f>원본데이터_리씽크!P270</f>
        <v>1</v>
      </c>
      <c r="H1174">
        <f>원본데이터_리씽크!O270</f>
        <v>45500</v>
      </c>
      <c r="I1174">
        <f>원본데이터_리씽크!X270</f>
        <v>45500</v>
      </c>
      <c r="J1174">
        <f>원본데이터_리씽크!X270</f>
        <v>45500</v>
      </c>
      <c r="K1174" t="str">
        <f>IFERROR(VLOOKUP(E1174,제품마스터!$A:$B,2,0),0)</f>
        <v>[워커힐] 시그니처 양념갈비 300G</v>
      </c>
      <c r="L1174">
        <f>원본데이터_리씽크!P270*원본데이터_리씽크!Q270*F1174</f>
        <v>0</v>
      </c>
    </row>
    <row r="1175" spans="1:12" x14ac:dyDescent="0.3">
      <c r="A1175" t="s">
        <v>196</v>
      </c>
      <c r="B1175" t="str">
        <f>TEXT(원본데이터_리씽크!B271,"0")</f>
        <v>2026020511410800000</v>
      </c>
      <c r="C1175" t="str">
        <f>IF(원본데이터_리씽크!A271="","",TEXT(원본데이터_리씽크!A271,"YYYY-MM-DD"))</f>
        <v>2026-02-05</v>
      </c>
      <c r="D1175">
        <f>원본데이터_리씽크!S271</f>
        <v>143790</v>
      </c>
      <c r="E1175" t="str">
        <f>IFERROR(VLOOKUP(원본데이터_리씽크!S271,채널매핑!$B:$D,3,0),"미매핑")</f>
        <v>SKU001</v>
      </c>
      <c r="F1175">
        <f>IFERROR(VLOOKUP(원본데이터_리씽크!S271,채널매핑!$B:$E,4,0),1)</f>
        <v>4</v>
      </c>
      <c r="G1175">
        <f>원본데이터_리씽크!P271</f>
        <v>1</v>
      </c>
      <c r="H1175">
        <f>원본데이터_리씽크!O271</f>
        <v>45500</v>
      </c>
      <c r="I1175">
        <f>원본데이터_리씽크!X271</f>
        <v>45500</v>
      </c>
      <c r="J1175">
        <f>원본데이터_리씽크!X271</f>
        <v>45500</v>
      </c>
      <c r="K1175" t="str">
        <f>IFERROR(VLOOKUP(E1175,제품마스터!$A:$B,2,0),0)</f>
        <v>[워커힐] 시그니처 양념갈비 300G</v>
      </c>
      <c r="L1175">
        <f>원본데이터_리씽크!P271*원본데이터_리씽크!Q271*F1175</f>
        <v>0</v>
      </c>
    </row>
    <row r="1176" spans="1:12" x14ac:dyDescent="0.3">
      <c r="A1176" t="s">
        <v>196</v>
      </c>
      <c r="B1176" t="str">
        <f>TEXT(원본데이터_리씽크!B272,"0")</f>
        <v>2026020511454150000</v>
      </c>
      <c r="C1176" t="str">
        <f>IF(원본데이터_리씽크!A272="","",TEXT(원본데이터_리씽크!A272,"YYYY-MM-DD"))</f>
        <v>2026-02-05</v>
      </c>
      <c r="D1176">
        <f>원본데이터_리씽크!S272</f>
        <v>143790</v>
      </c>
      <c r="E1176" t="str">
        <f>IFERROR(VLOOKUP(원본데이터_리씽크!S272,채널매핑!$B:$D,3,0),"미매핑")</f>
        <v>SKU001</v>
      </c>
      <c r="F1176">
        <f>IFERROR(VLOOKUP(원본데이터_리씽크!S272,채널매핑!$B:$E,4,0),1)</f>
        <v>4</v>
      </c>
      <c r="G1176">
        <f>원본데이터_리씽크!P272</f>
        <v>1</v>
      </c>
      <c r="H1176">
        <f>원본데이터_리씽크!O272</f>
        <v>45500</v>
      </c>
      <c r="I1176">
        <f>원본데이터_리씽크!X272</f>
        <v>45500</v>
      </c>
      <c r="J1176">
        <f>원본데이터_리씽크!X272</f>
        <v>45500</v>
      </c>
      <c r="K1176" t="str">
        <f>IFERROR(VLOOKUP(E1176,제품마스터!$A:$B,2,0),0)</f>
        <v>[워커힐] 시그니처 양념갈비 300G</v>
      </c>
      <c r="L1176">
        <f>원본데이터_리씽크!P272*원본데이터_리씽크!Q272*F1176</f>
        <v>0</v>
      </c>
    </row>
    <row r="1177" spans="1:12" x14ac:dyDescent="0.3">
      <c r="A1177" t="s">
        <v>196</v>
      </c>
      <c r="B1177" t="str">
        <f>TEXT(원본데이터_리씽크!B273,"0")</f>
        <v>2026020511450130000</v>
      </c>
      <c r="C1177" t="str">
        <f>IF(원본데이터_리씽크!A273="","",TEXT(원본데이터_리씽크!A273,"YYYY-MM-DD"))</f>
        <v>2026-02-05</v>
      </c>
      <c r="D1177">
        <f>원본데이터_리씽크!S273</f>
        <v>143790</v>
      </c>
      <c r="E1177" t="str">
        <f>IFERROR(VLOOKUP(원본데이터_리씽크!S273,채널매핑!$B:$D,3,0),"미매핑")</f>
        <v>SKU001</v>
      </c>
      <c r="F1177">
        <f>IFERROR(VLOOKUP(원본데이터_리씽크!S273,채널매핑!$B:$E,4,0),1)</f>
        <v>4</v>
      </c>
      <c r="G1177">
        <f>원본데이터_리씽크!P273</f>
        <v>1</v>
      </c>
      <c r="H1177">
        <f>원본데이터_리씽크!O273</f>
        <v>45500</v>
      </c>
      <c r="I1177">
        <f>원본데이터_리씽크!X273</f>
        <v>45500</v>
      </c>
      <c r="J1177">
        <f>원본데이터_리씽크!X273</f>
        <v>45500</v>
      </c>
      <c r="K1177" t="str">
        <f>IFERROR(VLOOKUP(E1177,제품마스터!$A:$B,2,0),0)</f>
        <v>[워커힐] 시그니처 양념갈비 300G</v>
      </c>
      <c r="L1177">
        <f>원본데이터_리씽크!P273*원본데이터_리씽크!Q273*F1177</f>
        <v>0</v>
      </c>
    </row>
    <row r="1178" spans="1:12" x14ac:dyDescent="0.3">
      <c r="A1178" t="s">
        <v>196</v>
      </c>
      <c r="B1178" t="str">
        <f>TEXT(원본데이터_리씽크!B274,"0")</f>
        <v>2026020511511360000</v>
      </c>
      <c r="C1178" t="str">
        <f>IF(원본데이터_리씽크!A274="","",TEXT(원본데이터_리씽크!A274,"YYYY-MM-DD"))</f>
        <v>2026-02-05</v>
      </c>
      <c r="D1178">
        <f>원본데이터_리씽크!S274</f>
        <v>143790</v>
      </c>
      <c r="E1178" t="str">
        <f>IFERROR(VLOOKUP(원본데이터_리씽크!S274,채널매핑!$B:$D,3,0),"미매핑")</f>
        <v>SKU001</v>
      </c>
      <c r="F1178">
        <f>IFERROR(VLOOKUP(원본데이터_리씽크!S274,채널매핑!$B:$E,4,0),1)</f>
        <v>4</v>
      </c>
      <c r="G1178">
        <f>원본데이터_리씽크!P274</f>
        <v>1</v>
      </c>
      <c r="H1178">
        <f>원본데이터_리씽크!O274</f>
        <v>45500</v>
      </c>
      <c r="I1178">
        <f>원본데이터_리씽크!X274</f>
        <v>45500</v>
      </c>
      <c r="J1178">
        <f>원본데이터_리씽크!X274</f>
        <v>45500</v>
      </c>
      <c r="K1178" t="str">
        <f>IFERROR(VLOOKUP(E1178,제품마스터!$A:$B,2,0),0)</f>
        <v>[워커힐] 시그니처 양념갈비 300G</v>
      </c>
      <c r="L1178">
        <f>원본데이터_리씽크!P274*원본데이터_리씽크!Q274*F1178</f>
        <v>0</v>
      </c>
    </row>
    <row r="1179" spans="1:12" x14ac:dyDescent="0.3">
      <c r="A1179" t="s">
        <v>196</v>
      </c>
      <c r="B1179" t="str">
        <f>TEXT(원본데이터_리씽크!B275,"0")</f>
        <v>2026020511531180000</v>
      </c>
      <c r="C1179" t="str">
        <f>IF(원본데이터_리씽크!A275="","",TEXT(원본데이터_리씽크!A275,"YYYY-MM-DD"))</f>
        <v>2026-02-05</v>
      </c>
      <c r="D1179">
        <f>원본데이터_리씽크!S275</f>
        <v>143790</v>
      </c>
      <c r="E1179" t="str">
        <f>IFERROR(VLOOKUP(원본데이터_리씽크!S275,채널매핑!$B:$D,3,0),"미매핑")</f>
        <v>SKU001</v>
      </c>
      <c r="F1179">
        <f>IFERROR(VLOOKUP(원본데이터_리씽크!S275,채널매핑!$B:$E,4,0),1)</f>
        <v>4</v>
      </c>
      <c r="G1179">
        <f>원본데이터_리씽크!P275</f>
        <v>1</v>
      </c>
      <c r="H1179">
        <f>원본데이터_리씽크!O275</f>
        <v>45500</v>
      </c>
      <c r="I1179">
        <f>원본데이터_리씽크!X275</f>
        <v>45500</v>
      </c>
      <c r="J1179">
        <f>원본데이터_리씽크!X275</f>
        <v>45500</v>
      </c>
      <c r="K1179" t="str">
        <f>IFERROR(VLOOKUP(E1179,제품마스터!$A:$B,2,0),0)</f>
        <v>[워커힐] 시그니처 양념갈비 300G</v>
      </c>
      <c r="L1179">
        <f>원본데이터_리씽크!P275*원본데이터_리씽크!Q275*F1179</f>
        <v>0</v>
      </c>
    </row>
    <row r="1180" spans="1:12" x14ac:dyDescent="0.3">
      <c r="A1180" t="s">
        <v>196</v>
      </c>
      <c r="B1180" t="str">
        <f>TEXT(원본데이터_리씽크!B276,"0")</f>
        <v>2026020511514470000</v>
      </c>
      <c r="C1180" t="str">
        <f>IF(원본데이터_리씽크!A276="","",TEXT(원본데이터_리씽크!A276,"YYYY-MM-DD"))</f>
        <v>2026-02-05</v>
      </c>
      <c r="D1180">
        <f>원본데이터_리씽크!S276</f>
        <v>143790</v>
      </c>
      <c r="E1180" t="str">
        <f>IFERROR(VLOOKUP(원본데이터_리씽크!S276,채널매핑!$B:$D,3,0),"미매핑")</f>
        <v>SKU001</v>
      </c>
      <c r="F1180">
        <f>IFERROR(VLOOKUP(원본데이터_리씽크!S276,채널매핑!$B:$E,4,0),1)</f>
        <v>4</v>
      </c>
      <c r="G1180">
        <f>원본데이터_리씽크!P276</f>
        <v>1</v>
      </c>
      <c r="H1180">
        <f>원본데이터_리씽크!O276</f>
        <v>45500</v>
      </c>
      <c r="I1180">
        <f>원본데이터_리씽크!X276</f>
        <v>45500</v>
      </c>
      <c r="J1180">
        <f>원본데이터_리씽크!X276</f>
        <v>45500</v>
      </c>
      <c r="K1180" t="str">
        <f>IFERROR(VLOOKUP(E1180,제품마스터!$A:$B,2,0),0)</f>
        <v>[워커힐] 시그니처 양념갈비 300G</v>
      </c>
      <c r="L1180">
        <f>원본데이터_리씽크!P276*원본데이터_리씽크!Q276*F1180</f>
        <v>0</v>
      </c>
    </row>
    <row r="1181" spans="1:12" x14ac:dyDescent="0.3">
      <c r="A1181" t="s">
        <v>196</v>
      </c>
      <c r="B1181" t="str">
        <f>TEXT(원본데이터_리씽크!B277,"0")</f>
        <v>2026020512051330000</v>
      </c>
      <c r="C1181" t="str">
        <f>IF(원본데이터_리씽크!A277="","",TEXT(원본데이터_리씽크!A277,"YYYY-MM-DD"))</f>
        <v>2026-02-05</v>
      </c>
      <c r="D1181">
        <f>원본데이터_리씽크!S277</f>
        <v>143790</v>
      </c>
      <c r="E1181" t="str">
        <f>IFERROR(VLOOKUP(원본데이터_리씽크!S277,채널매핑!$B:$D,3,0),"미매핑")</f>
        <v>SKU001</v>
      </c>
      <c r="F1181">
        <f>IFERROR(VLOOKUP(원본데이터_리씽크!S277,채널매핑!$B:$E,4,0),1)</f>
        <v>4</v>
      </c>
      <c r="G1181">
        <f>원본데이터_리씽크!P277</f>
        <v>1</v>
      </c>
      <c r="H1181">
        <f>원본데이터_리씽크!O277</f>
        <v>45500</v>
      </c>
      <c r="I1181">
        <f>원본데이터_리씽크!X277</f>
        <v>45500</v>
      </c>
      <c r="J1181">
        <f>원본데이터_리씽크!X277</f>
        <v>45500</v>
      </c>
      <c r="K1181" t="str">
        <f>IFERROR(VLOOKUP(E1181,제품마스터!$A:$B,2,0),0)</f>
        <v>[워커힐] 시그니처 양념갈비 300G</v>
      </c>
      <c r="L1181">
        <f>원본데이터_리씽크!P277*원본데이터_리씽크!Q277*F1181</f>
        <v>0</v>
      </c>
    </row>
    <row r="1182" spans="1:12" x14ac:dyDescent="0.3">
      <c r="A1182" t="s">
        <v>196</v>
      </c>
      <c r="B1182" t="str">
        <f>TEXT(원본데이터_리씽크!B278,"0")</f>
        <v>2026020512125030000</v>
      </c>
      <c r="C1182" t="str">
        <f>IF(원본데이터_리씽크!A278="","",TEXT(원본데이터_리씽크!A278,"YYYY-MM-DD"))</f>
        <v>2026-02-05</v>
      </c>
      <c r="D1182">
        <f>원본데이터_리씽크!S278</f>
        <v>143790</v>
      </c>
      <c r="E1182" t="str">
        <f>IFERROR(VLOOKUP(원본데이터_리씽크!S278,채널매핑!$B:$D,3,0),"미매핑")</f>
        <v>SKU001</v>
      </c>
      <c r="F1182">
        <f>IFERROR(VLOOKUP(원본데이터_리씽크!S278,채널매핑!$B:$E,4,0),1)</f>
        <v>4</v>
      </c>
      <c r="G1182">
        <f>원본데이터_리씽크!P278</f>
        <v>1</v>
      </c>
      <c r="H1182">
        <f>원본데이터_리씽크!O278</f>
        <v>45500</v>
      </c>
      <c r="I1182">
        <f>원본데이터_리씽크!X278</f>
        <v>45500</v>
      </c>
      <c r="J1182">
        <f>원본데이터_리씽크!X278</f>
        <v>45500</v>
      </c>
      <c r="K1182" t="str">
        <f>IFERROR(VLOOKUP(E1182,제품마스터!$A:$B,2,0),0)</f>
        <v>[워커힐] 시그니처 양념갈비 300G</v>
      </c>
      <c r="L1182">
        <f>원본데이터_리씽크!P278*원본데이터_리씽크!Q278*F1182</f>
        <v>0</v>
      </c>
    </row>
    <row r="1183" spans="1:12" x14ac:dyDescent="0.3">
      <c r="A1183" t="s">
        <v>196</v>
      </c>
      <c r="B1183" t="str">
        <f>TEXT(원본데이터_리씽크!B279,"0")</f>
        <v>2026020512135330000</v>
      </c>
      <c r="C1183" t="str">
        <f>IF(원본데이터_리씽크!A279="","",TEXT(원본데이터_리씽크!A279,"YYYY-MM-DD"))</f>
        <v>2026-02-05</v>
      </c>
      <c r="D1183">
        <f>원본데이터_리씽크!S279</f>
        <v>143790</v>
      </c>
      <c r="E1183" t="str">
        <f>IFERROR(VLOOKUP(원본데이터_리씽크!S279,채널매핑!$B:$D,3,0),"미매핑")</f>
        <v>SKU001</v>
      </c>
      <c r="F1183">
        <f>IFERROR(VLOOKUP(원본데이터_리씽크!S279,채널매핑!$B:$E,4,0),1)</f>
        <v>4</v>
      </c>
      <c r="G1183">
        <f>원본데이터_리씽크!P279</f>
        <v>1</v>
      </c>
      <c r="H1183">
        <f>원본데이터_리씽크!O279</f>
        <v>45500</v>
      </c>
      <c r="I1183">
        <f>원본데이터_리씽크!X279</f>
        <v>45500</v>
      </c>
      <c r="J1183">
        <f>원본데이터_리씽크!X279</f>
        <v>45500</v>
      </c>
      <c r="K1183" t="str">
        <f>IFERROR(VLOOKUP(E1183,제품마스터!$A:$B,2,0),0)</f>
        <v>[워커힐] 시그니처 양념갈비 300G</v>
      </c>
      <c r="L1183">
        <f>원본데이터_리씽크!P279*원본데이터_리씽크!Q279*F1183</f>
        <v>0</v>
      </c>
    </row>
    <row r="1184" spans="1:12" x14ac:dyDescent="0.3">
      <c r="A1184" t="s">
        <v>196</v>
      </c>
      <c r="B1184" t="str">
        <f>TEXT(원본데이터_리씽크!B280,"0")</f>
        <v>2026020512150840000</v>
      </c>
      <c r="C1184" t="str">
        <f>IF(원본데이터_리씽크!A280="","",TEXT(원본데이터_리씽크!A280,"YYYY-MM-DD"))</f>
        <v>2026-02-05</v>
      </c>
      <c r="D1184">
        <f>원본데이터_리씽크!S280</f>
        <v>143790</v>
      </c>
      <c r="E1184" t="str">
        <f>IFERROR(VLOOKUP(원본데이터_리씽크!S280,채널매핑!$B:$D,3,0),"미매핑")</f>
        <v>SKU001</v>
      </c>
      <c r="F1184">
        <f>IFERROR(VLOOKUP(원본데이터_리씽크!S280,채널매핑!$B:$E,4,0),1)</f>
        <v>4</v>
      </c>
      <c r="G1184">
        <f>원본데이터_리씽크!P280</f>
        <v>1</v>
      </c>
      <c r="H1184">
        <f>원본데이터_리씽크!O280</f>
        <v>45500</v>
      </c>
      <c r="I1184">
        <f>원본데이터_리씽크!X280</f>
        <v>45500</v>
      </c>
      <c r="J1184">
        <f>원본데이터_리씽크!X280</f>
        <v>45500</v>
      </c>
      <c r="K1184" t="str">
        <f>IFERROR(VLOOKUP(E1184,제품마스터!$A:$B,2,0),0)</f>
        <v>[워커힐] 시그니처 양념갈비 300G</v>
      </c>
      <c r="L1184">
        <f>원본데이터_리씽크!P280*원본데이터_리씽크!Q280*F1184</f>
        <v>0</v>
      </c>
    </row>
    <row r="1185" spans="1:12" x14ac:dyDescent="0.3">
      <c r="A1185" t="s">
        <v>196</v>
      </c>
      <c r="B1185" t="str">
        <f>TEXT(원본데이터_리씽크!B281,"0")</f>
        <v>2026020512170000000</v>
      </c>
      <c r="C1185" t="str">
        <f>IF(원본데이터_리씽크!A281="","",TEXT(원본데이터_리씽크!A281,"YYYY-MM-DD"))</f>
        <v>2026-02-05</v>
      </c>
      <c r="D1185">
        <f>원본데이터_리씽크!S281</f>
        <v>143790</v>
      </c>
      <c r="E1185" t="str">
        <f>IFERROR(VLOOKUP(원본데이터_리씽크!S281,채널매핑!$B:$D,3,0),"미매핑")</f>
        <v>SKU001</v>
      </c>
      <c r="F1185">
        <f>IFERROR(VLOOKUP(원본데이터_리씽크!S281,채널매핑!$B:$E,4,0),1)</f>
        <v>4</v>
      </c>
      <c r="G1185">
        <f>원본데이터_리씽크!P281</f>
        <v>1</v>
      </c>
      <c r="H1185">
        <f>원본데이터_리씽크!O281</f>
        <v>45500</v>
      </c>
      <c r="I1185">
        <f>원본데이터_리씽크!X281</f>
        <v>45500</v>
      </c>
      <c r="J1185">
        <f>원본데이터_리씽크!X281</f>
        <v>45500</v>
      </c>
      <c r="K1185" t="str">
        <f>IFERROR(VLOOKUP(E1185,제품마스터!$A:$B,2,0),0)</f>
        <v>[워커힐] 시그니처 양념갈비 300G</v>
      </c>
      <c r="L1185">
        <f>원본데이터_리씽크!P281*원본데이터_리씽크!Q281*F1185</f>
        <v>0</v>
      </c>
    </row>
    <row r="1186" spans="1:12" x14ac:dyDescent="0.3">
      <c r="A1186" t="s">
        <v>196</v>
      </c>
      <c r="B1186" t="str">
        <f>TEXT(원본데이터_리씽크!B282,"0")</f>
        <v>2026020512340560000</v>
      </c>
      <c r="C1186" t="str">
        <f>IF(원본데이터_리씽크!A282="","",TEXT(원본데이터_리씽크!A282,"YYYY-MM-DD"))</f>
        <v>2026-02-05</v>
      </c>
      <c r="D1186">
        <f>원본데이터_리씽크!S282</f>
        <v>143790</v>
      </c>
      <c r="E1186" t="str">
        <f>IFERROR(VLOOKUP(원본데이터_리씽크!S282,채널매핑!$B:$D,3,0),"미매핑")</f>
        <v>SKU001</v>
      </c>
      <c r="F1186">
        <f>IFERROR(VLOOKUP(원본데이터_리씽크!S282,채널매핑!$B:$E,4,0),1)</f>
        <v>4</v>
      </c>
      <c r="G1186">
        <f>원본데이터_리씽크!P282</f>
        <v>1</v>
      </c>
      <c r="H1186">
        <f>원본데이터_리씽크!O282</f>
        <v>45500</v>
      </c>
      <c r="I1186">
        <f>원본데이터_리씽크!X282</f>
        <v>45500</v>
      </c>
      <c r="J1186">
        <f>원본데이터_리씽크!X282</f>
        <v>45500</v>
      </c>
      <c r="K1186" t="str">
        <f>IFERROR(VLOOKUP(E1186,제품마스터!$A:$B,2,0),0)</f>
        <v>[워커힐] 시그니처 양념갈비 300G</v>
      </c>
      <c r="L1186">
        <f>원본데이터_리씽크!P282*원본데이터_리씽크!Q282*F1186</f>
        <v>0</v>
      </c>
    </row>
    <row r="1187" spans="1:12" x14ac:dyDescent="0.3">
      <c r="A1187" t="s">
        <v>196</v>
      </c>
      <c r="B1187" t="str">
        <f>TEXT(원본데이터_리씽크!B283,"0")</f>
        <v>2026020512425710000</v>
      </c>
      <c r="C1187" t="str">
        <f>IF(원본데이터_리씽크!A283="","",TEXT(원본데이터_리씽크!A283,"YYYY-MM-DD"))</f>
        <v>2026-02-05</v>
      </c>
      <c r="D1187">
        <f>원본데이터_리씽크!S283</f>
        <v>143790</v>
      </c>
      <c r="E1187" t="str">
        <f>IFERROR(VLOOKUP(원본데이터_리씽크!S283,채널매핑!$B:$D,3,0),"미매핑")</f>
        <v>SKU001</v>
      </c>
      <c r="F1187">
        <f>IFERROR(VLOOKUP(원본데이터_리씽크!S283,채널매핑!$B:$E,4,0),1)</f>
        <v>4</v>
      </c>
      <c r="G1187">
        <f>원본데이터_리씽크!P283</f>
        <v>1</v>
      </c>
      <c r="H1187">
        <f>원본데이터_리씽크!O283</f>
        <v>45500</v>
      </c>
      <c r="I1187">
        <f>원본데이터_리씽크!X283</f>
        <v>45500</v>
      </c>
      <c r="J1187">
        <f>원본데이터_리씽크!X283</f>
        <v>45500</v>
      </c>
      <c r="K1187" t="str">
        <f>IFERROR(VLOOKUP(E1187,제품마스터!$A:$B,2,0),0)</f>
        <v>[워커힐] 시그니처 양념갈비 300G</v>
      </c>
      <c r="L1187">
        <f>원본데이터_리씽크!P283*원본데이터_리씽크!Q283*F1187</f>
        <v>0</v>
      </c>
    </row>
    <row r="1188" spans="1:12" x14ac:dyDescent="0.3">
      <c r="A1188" t="s">
        <v>196</v>
      </c>
      <c r="B1188" t="str">
        <f>TEXT(원본데이터_리씽크!B284,"0")</f>
        <v>2026020512520480000</v>
      </c>
      <c r="C1188" t="str">
        <f>IF(원본데이터_리씽크!A284="","",TEXT(원본데이터_리씽크!A284,"YYYY-MM-DD"))</f>
        <v>2026-02-05</v>
      </c>
      <c r="D1188">
        <f>원본데이터_리씽크!S284</f>
        <v>143790</v>
      </c>
      <c r="E1188" t="str">
        <f>IFERROR(VLOOKUP(원본데이터_리씽크!S284,채널매핑!$B:$D,3,0),"미매핑")</f>
        <v>SKU001</v>
      </c>
      <c r="F1188">
        <f>IFERROR(VLOOKUP(원본데이터_리씽크!S284,채널매핑!$B:$E,4,0),1)</f>
        <v>4</v>
      </c>
      <c r="G1188">
        <f>원본데이터_리씽크!P284</f>
        <v>1</v>
      </c>
      <c r="H1188">
        <f>원본데이터_리씽크!O284</f>
        <v>45500</v>
      </c>
      <c r="I1188">
        <f>원본데이터_리씽크!X284</f>
        <v>45500</v>
      </c>
      <c r="J1188">
        <f>원본데이터_리씽크!X284</f>
        <v>45500</v>
      </c>
      <c r="K1188" t="str">
        <f>IFERROR(VLOOKUP(E1188,제품마스터!$A:$B,2,0),0)</f>
        <v>[워커힐] 시그니처 양념갈비 300G</v>
      </c>
      <c r="L1188">
        <f>원본데이터_리씽크!P284*원본데이터_리씽크!Q284*F1188</f>
        <v>0</v>
      </c>
    </row>
    <row r="1189" spans="1:12" x14ac:dyDescent="0.3">
      <c r="A1189" t="s">
        <v>196</v>
      </c>
      <c r="B1189" t="str">
        <f>TEXT(원본데이터_리씽크!B285,"0")</f>
        <v>2026020513053890000</v>
      </c>
      <c r="C1189" t="str">
        <f>IF(원본데이터_리씽크!A285="","",TEXT(원본데이터_리씽크!A285,"YYYY-MM-DD"))</f>
        <v>2026-02-05</v>
      </c>
      <c r="D1189">
        <f>원본데이터_리씽크!S285</f>
        <v>143790</v>
      </c>
      <c r="E1189" t="str">
        <f>IFERROR(VLOOKUP(원본데이터_리씽크!S285,채널매핑!$B:$D,3,0),"미매핑")</f>
        <v>SKU001</v>
      </c>
      <c r="F1189">
        <f>IFERROR(VLOOKUP(원본데이터_리씽크!S285,채널매핑!$B:$E,4,0),1)</f>
        <v>4</v>
      </c>
      <c r="G1189">
        <f>원본데이터_리씽크!P285</f>
        <v>3</v>
      </c>
      <c r="H1189">
        <f>원본데이터_리씽크!O285</f>
        <v>45500</v>
      </c>
      <c r="I1189">
        <f>원본데이터_리씽크!X285</f>
        <v>136500</v>
      </c>
      <c r="J1189">
        <f>원본데이터_리씽크!X285</f>
        <v>136500</v>
      </c>
      <c r="K1189" t="str">
        <f>IFERROR(VLOOKUP(E1189,제품마스터!$A:$B,2,0),0)</f>
        <v>[워커힐] 시그니처 양념갈비 300G</v>
      </c>
      <c r="L1189">
        <f>원본데이터_리씽크!P285*원본데이터_리씽크!Q285*F1189</f>
        <v>0</v>
      </c>
    </row>
    <row r="1190" spans="1:12" x14ac:dyDescent="0.3">
      <c r="A1190" t="s">
        <v>196</v>
      </c>
      <c r="B1190" t="str">
        <f>TEXT(원본데이터_리씽크!B286,"0")</f>
        <v>2026020513152790000</v>
      </c>
      <c r="C1190" t="str">
        <f>IF(원본데이터_리씽크!A286="","",TEXT(원본데이터_리씽크!A286,"YYYY-MM-DD"))</f>
        <v>2026-02-05</v>
      </c>
      <c r="D1190">
        <f>원본데이터_리씽크!S286</f>
        <v>143790</v>
      </c>
      <c r="E1190" t="str">
        <f>IFERROR(VLOOKUP(원본데이터_리씽크!S286,채널매핑!$B:$D,3,0),"미매핑")</f>
        <v>SKU001</v>
      </c>
      <c r="F1190">
        <f>IFERROR(VLOOKUP(원본데이터_리씽크!S286,채널매핑!$B:$E,4,0),1)</f>
        <v>4</v>
      </c>
      <c r="G1190">
        <f>원본데이터_리씽크!P286</f>
        <v>1</v>
      </c>
      <c r="H1190">
        <f>원본데이터_리씽크!O286</f>
        <v>45500</v>
      </c>
      <c r="I1190">
        <f>원본데이터_리씽크!X286</f>
        <v>45500</v>
      </c>
      <c r="J1190">
        <f>원본데이터_리씽크!X286</f>
        <v>45500</v>
      </c>
      <c r="K1190" t="str">
        <f>IFERROR(VLOOKUP(E1190,제품마스터!$A:$B,2,0),0)</f>
        <v>[워커힐] 시그니처 양념갈비 300G</v>
      </c>
      <c r="L1190">
        <f>원본데이터_리씽크!P286*원본데이터_리씽크!Q286*F1190</f>
        <v>0</v>
      </c>
    </row>
    <row r="1191" spans="1:12" x14ac:dyDescent="0.3">
      <c r="A1191" t="s">
        <v>196</v>
      </c>
      <c r="B1191" t="str">
        <f>TEXT(원본데이터_리씽크!B287,"0")</f>
        <v>2026020513245230000</v>
      </c>
      <c r="C1191" t="str">
        <f>IF(원본데이터_리씽크!A287="","",TEXT(원본데이터_리씽크!A287,"YYYY-MM-DD"))</f>
        <v>2026-02-05</v>
      </c>
      <c r="D1191">
        <f>원본데이터_리씽크!S287</f>
        <v>143790</v>
      </c>
      <c r="E1191" t="str">
        <f>IFERROR(VLOOKUP(원본데이터_리씽크!S287,채널매핑!$B:$D,3,0),"미매핑")</f>
        <v>SKU001</v>
      </c>
      <c r="F1191">
        <f>IFERROR(VLOOKUP(원본데이터_리씽크!S287,채널매핑!$B:$E,4,0),1)</f>
        <v>4</v>
      </c>
      <c r="G1191">
        <f>원본데이터_리씽크!P287</f>
        <v>1</v>
      </c>
      <c r="H1191">
        <f>원본데이터_리씽크!O287</f>
        <v>45500</v>
      </c>
      <c r="I1191">
        <f>원본데이터_리씽크!X287</f>
        <v>45500</v>
      </c>
      <c r="J1191">
        <f>원본데이터_리씽크!X287</f>
        <v>45500</v>
      </c>
      <c r="K1191" t="str">
        <f>IFERROR(VLOOKUP(E1191,제품마스터!$A:$B,2,0),0)</f>
        <v>[워커힐] 시그니처 양념갈비 300G</v>
      </c>
      <c r="L1191">
        <f>원본데이터_리씽크!P287*원본데이터_리씽크!Q287*F1191</f>
        <v>0</v>
      </c>
    </row>
    <row r="1192" spans="1:12" x14ac:dyDescent="0.3">
      <c r="A1192" t="s">
        <v>196</v>
      </c>
      <c r="B1192" t="str">
        <f>TEXT(원본데이터_리씽크!B288,"0")</f>
        <v>2026020513330140000</v>
      </c>
      <c r="C1192" t="str">
        <f>IF(원본데이터_리씽크!A288="","",TEXT(원본데이터_리씽크!A288,"YYYY-MM-DD"))</f>
        <v>2026-02-05</v>
      </c>
      <c r="D1192">
        <f>원본데이터_리씽크!S288</f>
        <v>143790</v>
      </c>
      <c r="E1192" t="str">
        <f>IFERROR(VLOOKUP(원본데이터_리씽크!S288,채널매핑!$B:$D,3,0),"미매핑")</f>
        <v>SKU001</v>
      </c>
      <c r="F1192">
        <f>IFERROR(VLOOKUP(원본데이터_리씽크!S288,채널매핑!$B:$E,4,0),1)</f>
        <v>4</v>
      </c>
      <c r="G1192">
        <f>원본데이터_리씽크!P288</f>
        <v>1</v>
      </c>
      <c r="H1192">
        <f>원본데이터_리씽크!O288</f>
        <v>45500</v>
      </c>
      <c r="I1192">
        <f>원본데이터_리씽크!X288</f>
        <v>45500</v>
      </c>
      <c r="J1192">
        <f>원본데이터_리씽크!X288</f>
        <v>45500</v>
      </c>
      <c r="K1192" t="str">
        <f>IFERROR(VLOOKUP(E1192,제품마스터!$A:$B,2,0),0)</f>
        <v>[워커힐] 시그니처 양념갈비 300G</v>
      </c>
      <c r="L1192">
        <f>원본데이터_리씽크!P288*원본데이터_리씽크!Q288*F1192</f>
        <v>0</v>
      </c>
    </row>
    <row r="1193" spans="1:12" x14ac:dyDescent="0.3">
      <c r="A1193" t="s">
        <v>196</v>
      </c>
      <c r="B1193" t="str">
        <f>TEXT(원본데이터_리씽크!B289,"0")</f>
        <v>2026020513384670000</v>
      </c>
      <c r="C1193" t="str">
        <f>IF(원본데이터_리씽크!A289="","",TEXT(원본데이터_리씽크!A289,"YYYY-MM-DD"))</f>
        <v>2026-02-05</v>
      </c>
      <c r="D1193">
        <f>원본데이터_리씽크!S289</f>
        <v>143790</v>
      </c>
      <c r="E1193" t="str">
        <f>IFERROR(VLOOKUP(원본데이터_리씽크!S289,채널매핑!$B:$D,3,0),"미매핑")</f>
        <v>SKU001</v>
      </c>
      <c r="F1193">
        <f>IFERROR(VLOOKUP(원본데이터_리씽크!S289,채널매핑!$B:$E,4,0),1)</f>
        <v>4</v>
      </c>
      <c r="G1193">
        <f>원본데이터_리씽크!P289</f>
        <v>1</v>
      </c>
      <c r="H1193">
        <f>원본데이터_리씽크!O289</f>
        <v>45500</v>
      </c>
      <c r="I1193">
        <f>원본데이터_리씽크!X289</f>
        <v>45500</v>
      </c>
      <c r="J1193">
        <f>원본데이터_리씽크!X289</f>
        <v>45500</v>
      </c>
      <c r="K1193" t="str">
        <f>IFERROR(VLOOKUP(E1193,제품마스터!$A:$B,2,0),0)</f>
        <v>[워커힐] 시그니처 양념갈비 300G</v>
      </c>
      <c r="L1193">
        <f>원본데이터_리씽크!P289*원본데이터_리씽크!Q289*F1193</f>
        <v>0</v>
      </c>
    </row>
    <row r="1194" spans="1:12" x14ac:dyDescent="0.3">
      <c r="A1194" t="s">
        <v>196</v>
      </c>
      <c r="B1194" t="str">
        <f>TEXT(원본데이터_리씽크!B290,"0")</f>
        <v>2026020513403310000</v>
      </c>
      <c r="C1194" t="str">
        <f>IF(원본데이터_리씽크!A290="","",TEXT(원본데이터_리씽크!A290,"YYYY-MM-DD"))</f>
        <v>2026-02-05</v>
      </c>
      <c r="D1194">
        <f>원본데이터_리씽크!S290</f>
        <v>143790</v>
      </c>
      <c r="E1194" t="str">
        <f>IFERROR(VLOOKUP(원본데이터_리씽크!S290,채널매핑!$B:$D,3,0),"미매핑")</f>
        <v>SKU001</v>
      </c>
      <c r="F1194">
        <f>IFERROR(VLOOKUP(원본데이터_리씽크!S290,채널매핑!$B:$E,4,0),1)</f>
        <v>4</v>
      </c>
      <c r="G1194">
        <f>원본데이터_리씽크!P290</f>
        <v>1</v>
      </c>
      <c r="H1194">
        <f>원본데이터_리씽크!O290</f>
        <v>45500</v>
      </c>
      <c r="I1194">
        <f>원본데이터_리씽크!X290</f>
        <v>45500</v>
      </c>
      <c r="J1194">
        <f>원본데이터_리씽크!X290</f>
        <v>45500</v>
      </c>
      <c r="K1194" t="str">
        <f>IFERROR(VLOOKUP(E1194,제품마스터!$A:$B,2,0),0)</f>
        <v>[워커힐] 시그니처 양념갈비 300G</v>
      </c>
      <c r="L1194">
        <f>원본데이터_리씽크!P290*원본데이터_리씽크!Q290*F1194</f>
        <v>0</v>
      </c>
    </row>
    <row r="1195" spans="1:12" x14ac:dyDescent="0.3">
      <c r="A1195" t="s">
        <v>196</v>
      </c>
      <c r="B1195" t="str">
        <f>TEXT(원본데이터_리씽크!B291,"0")</f>
        <v>2026020513511680000</v>
      </c>
      <c r="C1195" t="str">
        <f>IF(원본데이터_리씽크!A291="","",TEXT(원본데이터_리씽크!A291,"YYYY-MM-DD"))</f>
        <v>2026-02-05</v>
      </c>
      <c r="D1195">
        <f>원본데이터_리씽크!S291</f>
        <v>143790</v>
      </c>
      <c r="E1195" t="str">
        <f>IFERROR(VLOOKUP(원본데이터_리씽크!S291,채널매핑!$B:$D,3,0),"미매핑")</f>
        <v>SKU001</v>
      </c>
      <c r="F1195">
        <f>IFERROR(VLOOKUP(원본데이터_리씽크!S291,채널매핑!$B:$E,4,0),1)</f>
        <v>4</v>
      </c>
      <c r="G1195">
        <f>원본데이터_리씽크!P291</f>
        <v>1</v>
      </c>
      <c r="H1195">
        <f>원본데이터_리씽크!O291</f>
        <v>45500</v>
      </c>
      <c r="I1195">
        <f>원본데이터_리씽크!X291</f>
        <v>45500</v>
      </c>
      <c r="J1195">
        <f>원본데이터_리씽크!X291</f>
        <v>45500</v>
      </c>
      <c r="K1195" t="str">
        <f>IFERROR(VLOOKUP(E1195,제품마스터!$A:$B,2,0),0)</f>
        <v>[워커힐] 시그니처 양념갈비 300G</v>
      </c>
      <c r="L1195">
        <f>원본데이터_리씽크!P291*원본데이터_리씽크!Q291*F1195</f>
        <v>0</v>
      </c>
    </row>
    <row r="1196" spans="1:12" x14ac:dyDescent="0.3">
      <c r="A1196" t="s">
        <v>196</v>
      </c>
      <c r="B1196" t="str">
        <f>TEXT(원본데이터_리씽크!B292,"0")</f>
        <v>2026020513530110000</v>
      </c>
      <c r="C1196" t="str">
        <f>IF(원본데이터_리씽크!A292="","",TEXT(원본데이터_리씽크!A292,"YYYY-MM-DD"))</f>
        <v>2026-02-05</v>
      </c>
      <c r="D1196">
        <f>원본데이터_리씽크!S292</f>
        <v>143790</v>
      </c>
      <c r="E1196" t="str">
        <f>IFERROR(VLOOKUP(원본데이터_리씽크!S292,채널매핑!$B:$D,3,0),"미매핑")</f>
        <v>SKU001</v>
      </c>
      <c r="F1196">
        <f>IFERROR(VLOOKUP(원본데이터_리씽크!S292,채널매핑!$B:$E,4,0),1)</f>
        <v>4</v>
      </c>
      <c r="G1196">
        <f>원본데이터_리씽크!P292</f>
        <v>1</v>
      </c>
      <c r="H1196">
        <f>원본데이터_리씽크!O292</f>
        <v>45500</v>
      </c>
      <c r="I1196">
        <f>원본데이터_리씽크!X292</f>
        <v>45500</v>
      </c>
      <c r="J1196">
        <f>원본데이터_리씽크!X292</f>
        <v>45500</v>
      </c>
      <c r="K1196" t="str">
        <f>IFERROR(VLOOKUP(E1196,제품마스터!$A:$B,2,0),0)</f>
        <v>[워커힐] 시그니처 양념갈비 300G</v>
      </c>
      <c r="L1196">
        <f>원본데이터_리씽크!P292*원본데이터_리씽크!Q292*F1196</f>
        <v>0</v>
      </c>
    </row>
    <row r="1197" spans="1:12" x14ac:dyDescent="0.3">
      <c r="A1197" t="s">
        <v>196</v>
      </c>
      <c r="B1197" t="str">
        <f>TEXT(원본데이터_리씽크!B293,"0")</f>
        <v>2026020513592780000</v>
      </c>
      <c r="C1197" t="str">
        <f>IF(원본데이터_리씽크!A293="","",TEXT(원본데이터_리씽크!A293,"YYYY-MM-DD"))</f>
        <v>2026-02-05</v>
      </c>
      <c r="D1197">
        <f>원본데이터_리씽크!S293</f>
        <v>143790</v>
      </c>
      <c r="E1197" t="str">
        <f>IFERROR(VLOOKUP(원본데이터_리씽크!S293,채널매핑!$B:$D,3,0),"미매핑")</f>
        <v>SKU001</v>
      </c>
      <c r="F1197">
        <f>IFERROR(VLOOKUP(원본데이터_리씽크!S293,채널매핑!$B:$E,4,0),1)</f>
        <v>4</v>
      </c>
      <c r="G1197">
        <f>원본데이터_리씽크!P293</f>
        <v>1</v>
      </c>
      <c r="H1197">
        <f>원본데이터_리씽크!O293</f>
        <v>45500</v>
      </c>
      <c r="I1197">
        <f>원본데이터_리씽크!X293</f>
        <v>45500</v>
      </c>
      <c r="J1197">
        <f>원본데이터_리씽크!X293</f>
        <v>45500</v>
      </c>
      <c r="K1197" t="str">
        <f>IFERROR(VLOOKUP(E1197,제품마스터!$A:$B,2,0),0)</f>
        <v>[워커힐] 시그니처 양념갈비 300G</v>
      </c>
      <c r="L1197">
        <f>원본데이터_리씽크!P293*원본데이터_리씽크!Q293*F1197</f>
        <v>0</v>
      </c>
    </row>
    <row r="1198" spans="1:12" x14ac:dyDescent="0.3">
      <c r="A1198" t="s">
        <v>196</v>
      </c>
      <c r="B1198" t="str">
        <f>TEXT(원본데이터_리씽크!B294,"0")</f>
        <v>2026020514345510000</v>
      </c>
      <c r="C1198" t="str">
        <f>IF(원본데이터_리씽크!A294="","",TEXT(원본데이터_리씽크!A294,"YYYY-MM-DD"))</f>
        <v>2026-02-05</v>
      </c>
      <c r="D1198">
        <f>원본데이터_리씽크!S294</f>
        <v>143790</v>
      </c>
      <c r="E1198" t="str">
        <f>IFERROR(VLOOKUP(원본데이터_리씽크!S294,채널매핑!$B:$D,3,0),"미매핑")</f>
        <v>SKU001</v>
      </c>
      <c r="F1198">
        <f>IFERROR(VLOOKUP(원본데이터_리씽크!S294,채널매핑!$B:$E,4,0),1)</f>
        <v>4</v>
      </c>
      <c r="G1198">
        <f>원본데이터_리씽크!P294</f>
        <v>1</v>
      </c>
      <c r="H1198">
        <f>원본데이터_리씽크!O294</f>
        <v>45500</v>
      </c>
      <c r="I1198">
        <f>원본데이터_리씽크!X294</f>
        <v>45500</v>
      </c>
      <c r="J1198">
        <f>원본데이터_리씽크!X294</f>
        <v>45500</v>
      </c>
      <c r="K1198" t="str">
        <f>IFERROR(VLOOKUP(E1198,제품마스터!$A:$B,2,0),0)</f>
        <v>[워커힐] 시그니처 양념갈비 300G</v>
      </c>
      <c r="L1198">
        <f>원본데이터_리씽크!P294*원본데이터_리씽크!Q294*F1198</f>
        <v>0</v>
      </c>
    </row>
    <row r="1199" spans="1:12" x14ac:dyDescent="0.3">
      <c r="A1199" t="s">
        <v>196</v>
      </c>
      <c r="B1199" t="str">
        <f>TEXT(원본데이터_리씽크!B295,"0")</f>
        <v>2026020514473940000</v>
      </c>
      <c r="C1199" t="str">
        <f>IF(원본데이터_리씽크!A295="","",TEXT(원본데이터_리씽크!A295,"YYYY-MM-DD"))</f>
        <v>2026-02-05</v>
      </c>
      <c r="D1199">
        <f>원본데이터_리씽크!S295</f>
        <v>143790</v>
      </c>
      <c r="E1199" t="str">
        <f>IFERROR(VLOOKUP(원본데이터_리씽크!S295,채널매핑!$B:$D,3,0),"미매핑")</f>
        <v>SKU001</v>
      </c>
      <c r="F1199">
        <f>IFERROR(VLOOKUP(원본데이터_리씽크!S295,채널매핑!$B:$E,4,0),1)</f>
        <v>4</v>
      </c>
      <c r="G1199">
        <f>원본데이터_리씽크!P295</f>
        <v>1</v>
      </c>
      <c r="H1199">
        <f>원본데이터_리씽크!O295</f>
        <v>45500</v>
      </c>
      <c r="I1199">
        <f>원본데이터_리씽크!X295</f>
        <v>45500</v>
      </c>
      <c r="J1199">
        <f>원본데이터_리씽크!X295</f>
        <v>45500</v>
      </c>
      <c r="K1199" t="str">
        <f>IFERROR(VLOOKUP(E1199,제품마스터!$A:$B,2,0),0)</f>
        <v>[워커힐] 시그니처 양념갈비 300G</v>
      </c>
      <c r="L1199">
        <f>원본데이터_리씽크!P295*원본데이터_리씽크!Q295*F1199</f>
        <v>0</v>
      </c>
    </row>
    <row r="1200" spans="1:12" x14ac:dyDescent="0.3">
      <c r="A1200" t="s">
        <v>196</v>
      </c>
      <c r="B1200" t="str">
        <f>TEXT(원본데이터_리씽크!B296,"0")</f>
        <v>2026020516052350000</v>
      </c>
      <c r="C1200" t="str">
        <f>IF(원본데이터_리씽크!A296="","",TEXT(원본데이터_리씽크!A296,"YYYY-MM-DD"))</f>
        <v>2026-02-05</v>
      </c>
      <c r="D1200">
        <f>원본데이터_리씽크!S296</f>
        <v>143790</v>
      </c>
      <c r="E1200" t="str">
        <f>IFERROR(VLOOKUP(원본데이터_리씽크!S296,채널매핑!$B:$D,3,0),"미매핑")</f>
        <v>SKU001</v>
      </c>
      <c r="F1200">
        <f>IFERROR(VLOOKUP(원본데이터_리씽크!S296,채널매핑!$B:$E,4,0),1)</f>
        <v>4</v>
      </c>
      <c r="G1200">
        <f>원본데이터_리씽크!P296</f>
        <v>1</v>
      </c>
      <c r="H1200">
        <f>원본데이터_리씽크!O296</f>
        <v>45500</v>
      </c>
      <c r="I1200">
        <f>원본데이터_리씽크!X296</f>
        <v>45500</v>
      </c>
      <c r="J1200">
        <f>원본데이터_리씽크!X296</f>
        <v>45500</v>
      </c>
      <c r="K1200" t="str">
        <f>IFERROR(VLOOKUP(E1200,제품마스터!$A:$B,2,0),0)</f>
        <v>[워커힐] 시그니처 양념갈비 300G</v>
      </c>
      <c r="L1200">
        <f>원본데이터_리씽크!P296*원본데이터_리씽크!Q296*F1200</f>
        <v>0</v>
      </c>
    </row>
    <row r="1201" spans="1:12" x14ac:dyDescent="0.3">
      <c r="A1201" t="s">
        <v>196</v>
      </c>
      <c r="B1201" t="str">
        <f>TEXT(원본데이터_리씽크!B297,"0")</f>
        <v>2026020516085670000</v>
      </c>
      <c r="C1201" t="str">
        <f>IF(원본데이터_리씽크!A297="","",TEXT(원본데이터_리씽크!A297,"YYYY-MM-DD"))</f>
        <v>2026-02-05</v>
      </c>
      <c r="D1201">
        <f>원본데이터_리씽크!S297</f>
        <v>143790</v>
      </c>
      <c r="E1201" t="str">
        <f>IFERROR(VLOOKUP(원본데이터_리씽크!S297,채널매핑!$B:$D,3,0),"미매핑")</f>
        <v>SKU001</v>
      </c>
      <c r="F1201">
        <f>IFERROR(VLOOKUP(원본데이터_리씽크!S297,채널매핑!$B:$E,4,0),1)</f>
        <v>4</v>
      </c>
      <c r="G1201">
        <f>원본데이터_리씽크!P297</f>
        <v>1</v>
      </c>
      <c r="H1201">
        <f>원본데이터_리씽크!O297</f>
        <v>45500</v>
      </c>
      <c r="I1201">
        <f>원본데이터_리씽크!X297</f>
        <v>45500</v>
      </c>
      <c r="J1201">
        <f>원본데이터_리씽크!X297</f>
        <v>45500</v>
      </c>
      <c r="K1201" t="str">
        <f>IFERROR(VLOOKUP(E1201,제품마스터!$A:$B,2,0),0)</f>
        <v>[워커힐] 시그니처 양념갈비 300G</v>
      </c>
      <c r="L1201">
        <f>원본데이터_리씽크!P297*원본데이터_리씽크!Q297*F1201</f>
        <v>0</v>
      </c>
    </row>
    <row r="1202" spans="1:12" x14ac:dyDescent="0.3">
      <c r="A1202" t="s">
        <v>196</v>
      </c>
      <c r="B1202" t="str">
        <f>TEXT(원본데이터_리씽크!B298,"0")</f>
        <v>2026020516095450000</v>
      </c>
      <c r="C1202" t="str">
        <f>IF(원본데이터_리씽크!A298="","",TEXT(원본데이터_리씽크!A298,"YYYY-MM-DD"))</f>
        <v>2026-02-05</v>
      </c>
      <c r="D1202">
        <f>원본데이터_리씽크!S298</f>
        <v>143790</v>
      </c>
      <c r="E1202" t="str">
        <f>IFERROR(VLOOKUP(원본데이터_리씽크!S298,채널매핑!$B:$D,3,0),"미매핑")</f>
        <v>SKU001</v>
      </c>
      <c r="F1202">
        <f>IFERROR(VLOOKUP(원본데이터_리씽크!S298,채널매핑!$B:$E,4,0),1)</f>
        <v>4</v>
      </c>
      <c r="G1202">
        <f>원본데이터_리씽크!P298</f>
        <v>1</v>
      </c>
      <c r="H1202">
        <f>원본데이터_리씽크!O298</f>
        <v>45500</v>
      </c>
      <c r="I1202">
        <f>원본데이터_리씽크!X298</f>
        <v>45500</v>
      </c>
      <c r="J1202">
        <f>원본데이터_리씽크!X298</f>
        <v>45500</v>
      </c>
      <c r="K1202" t="str">
        <f>IFERROR(VLOOKUP(E1202,제품마스터!$A:$B,2,0),0)</f>
        <v>[워커힐] 시그니처 양념갈비 300G</v>
      </c>
      <c r="L1202">
        <f>원본데이터_리씽크!P298*원본데이터_리씽크!Q298*F1202</f>
        <v>0</v>
      </c>
    </row>
    <row r="1203" spans="1:12" x14ac:dyDescent="0.3">
      <c r="A1203" t="s">
        <v>196</v>
      </c>
      <c r="B1203" t="str">
        <f>TEXT(원본데이터_리씽크!B299,"0")</f>
        <v>2026020516100250000</v>
      </c>
      <c r="C1203" t="str">
        <f>IF(원본데이터_리씽크!A299="","",TEXT(원본데이터_리씽크!A299,"YYYY-MM-DD"))</f>
        <v>2026-02-05</v>
      </c>
      <c r="D1203">
        <f>원본데이터_리씽크!S299</f>
        <v>143790</v>
      </c>
      <c r="E1203" t="str">
        <f>IFERROR(VLOOKUP(원본데이터_리씽크!S299,채널매핑!$B:$D,3,0),"미매핑")</f>
        <v>SKU001</v>
      </c>
      <c r="F1203">
        <f>IFERROR(VLOOKUP(원본데이터_리씽크!S299,채널매핑!$B:$E,4,0),1)</f>
        <v>4</v>
      </c>
      <c r="G1203">
        <f>원본데이터_리씽크!P299</f>
        <v>1</v>
      </c>
      <c r="H1203">
        <f>원본데이터_리씽크!O299</f>
        <v>45500</v>
      </c>
      <c r="I1203">
        <f>원본데이터_리씽크!X299</f>
        <v>45500</v>
      </c>
      <c r="J1203">
        <f>원본데이터_리씽크!X299</f>
        <v>45500</v>
      </c>
      <c r="K1203" t="str">
        <f>IFERROR(VLOOKUP(E1203,제품마스터!$A:$B,2,0),0)</f>
        <v>[워커힐] 시그니처 양념갈비 300G</v>
      </c>
      <c r="L1203">
        <f>원본데이터_리씽크!P299*원본데이터_리씽크!Q299*F1203</f>
        <v>0</v>
      </c>
    </row>
    <row r="1204" spans="1:12" x14ac:dyDescent="0.3">
      <c r="A1204" t="s">
        <v>196</v>
      </c>
      <c r="B1204" t="str">
        <f>TEXT(원본데이터_리씽크!B300,"0")</f>
        <v>2026020516101110000</v>
      </c>
      <c r="C1204" t="str">
        <f>IF(원본데이터_리씽크!A300="","",TEXT(원본데이터_리씽크!A300,"YYYY-MM-DD"))</f>
        <v>2026-02-05</v>
      </c>
      <c r="D1204">
        <f>원본데이터_리씽크!S300</f>
        <v>143790</v>
      </c>
      <c r="E1204" t="str">
        <f>IFERROR(VLOOKUP(원본데이터_리씽크!S300,채널매핑!$B:$D,3,0),"미매핑")</f>
        <v>SKU001</v>
      </c>
      <c r="F1204">
        <f>IFERROR(VLOOKUP(원본데이터_리씽크!S300,채널매핑!$B:$E,4,0),1)</f>
        <v>4</v>
      </c>
      <c r="G1204">
        <f>원본데이터_리씽크!P300</f>
        <v>1</v>
      </c>
      <c r="H1204">
        <f>원본데이터_리씽크!O300</f>
        <v>45500</v>
      </c>
      <c r="I1204">
        <f>원본데이터_리씽크!X300</f>
        <v>45500</v>
      </c>
      <c r="J1204">
        <f>원본데이터_리씽크!X300</f>
        <v>45500</v>
      </c>
      <c r="K1204" t="str">
        <f>IFERROR(VLOOKUP(E1204,제품마스터!$A:$B,2,0),0)</f>
        <v>[워커힐] 시그니처 양념갈비 300G</v>
      </c>
      <c r="L1204">
        <f>원본데이터_리씽크!P300*원본데이터_리씽크!Q300*F1204</f>
        <v>0</v>
      </c>
    </row>
    <row r="1205" spans="1:12" x14ac:dyDescent="0.3">
      <c r="A1205" t="s">
        <v>196</v>
      </c>
      <c r="B1205" t="str">
        <f>TEXT(원본데이터_리씽크!B301,"0")</f>
        <v>2026020516115530000</v>
      </c>
      <c r="C1205" t="str">
        <f>IF(원본데이터_리씽크!A301="","",TEXT(원본데이터_리씽크!A301,"YYYY-MM-DD"))</f>
        <v>2026-02-05</v>
      </c>
      <c r="D1205">
        <f>원본데이터_리씽크!S301</f>
        <v>143790</v>
      </c>
      <c r="E1205" t="str">
        <f>IFERROR(VLOOKUP(원본데이터_리씽크!S301,채널매핑!$B:$D,3,0),"미매핑")</f>
        <v>SKU001</v>
      </c>
      <c r="F1205">
        <f>IFERROR(VLOOKUP(원본데이터_리씽크!S301,채널매핑!$B:$E,4,0),1)</f>
        <v>4</v>
      </c>
      <c r="G1205">
        <f>원본데이터_리씽크!P301</f>
        <v>1</v>
      </c>
      <c r="H1205">
        <f>원본데이터_리씽크!O301</f>
        <v>45500</v>
      </c>
      <c r="I1205">
        <f>원본데이터_리씽크!X301</f>
        <v>45500</v>
      </c>
      <c r="J1205">
        <f>원본데이터_리씽크!X301</f>
        <v>45500</v>
      </c>
      <c r="K1205" t="str">
        <f>IFERROR(VLOOKUP(E1205,제품마스터!$A:$B,2,0),0)</f>
        <v>[워커힐] 시그니처 양념갈비 300G</v>
      </c>
      <c r="L1205">
        <f>원본데이터_리씽크!P301*원본데이터_리씽크!Q301*F1205</f>
        <v>0</v>
      </c>
    </row>
    <row r="1206" spans="1:12" x14ac:dyDescent="0.3">
      <c r="A1206" t="s">
        <v>196</v>
      </c>
      <c r="B1206" t="str">
        <f>TEXT(원본데이터_리씽크!B302,"0")</f>
        <v>2026020516103370000</v>
      </c>
      <c r="C1206" t="str">
        <f>IF(원본데이터_리씽크!A302="","",TEXT(원본데이터_리씽크!A302,"YYYY-MM-DD"))</f>
        <v>2026-02-05</v>
      </c>
      <c r="D1206">
        <f>원본데이터_리씽크!S302</f>
        <v>143790</v>
      </c>
      <c r="E1206" t="str">
        <f>IFERROR(VLOOKUP(원본데이터_리씽크!S302,채널매핑!$B:$D,3,0),"미매핑")</f>
        <v>SKU001</v>
      </c>
      <c r="F1206">
        <f>IFERROR(VLOOKUP(원본데이터_리씽크!S302,채널매핑!$B:$E,4,0),1)</f>
        <v>4</v>
      </c>
      <c r="G1206">
        <f>원본데이터_리씽크!P302</f>
        <v>1</v>
      </c>
      <c r="H1206">
        <f>원본데이터_리씽크!O302</f>
        <v>45500</v>
      </c>
      <c r="I1206">
        <f>원본데이터_리씽크!X302</f>
        <v>45500</v>
      </c>
      <c r="J1206">
        <f>원본데이터_리씽크!X302</f>
        <v>45500</v>
      </c>
      <c r="K1206" t="str">
        <f>IFERROR(VLOOKUP(E1206,제품마스터!$A:$B,2,0),0)</f>
        <v>[워커힐] 시그니처 양념갈비 300G</v>
      </c>
      <c r="L1206">
        <f>원본데이터_리씽크!P302*원본데이터_리씽크!Q302*F1206</f>
        <v>0</v>
      </c>
    </row>
    <row r="1207" spans="1:12" x14ac:dyDescent="0.3">
      <c r="A1207" t="s">
        <v>196</v>
      </c>
      <c r="B1207" t="str">
        <f>TEXT(원본데이터_리씽크!B303,"0")</f>
        <v>2026020516130360000</v>
      </c>
      <c r="C1207" t="str">
        <f>IF(원본데이터_리씽크!A303="","",TEXT(원본데이터_리씽크!A303,"YYYY-MM-DD"))</f>
        <v>2026-02-05</v>
      </c>
      <c r="D1207">
        <f>원본데이터_리씽크!S303</f>
        <v>143790</v>
      </c>
      <c r="E1207" t="str">
        <f>IFERROR(VLOOKUP(원본데이터_리씽크!S303,채널매핑!$B:$D,3,0),"미매핑")</f>
        <v>SKU001</v>
      </c>
      <c r="F1207">
        <f>IFERROR(VLOOKUP(원본데이터_리씽크!S303,채널매핑!$B:$E,4,0),1)</f>
        <v>4</v>
      </c>
      <c r="G1207">
        <f>원본데이터_리씽크!P303</f>
        <v>1</v>
      </c>
      <c r="H1207">
        <f>원본데이터_리씽크!O303</f>
        <v>45500</v>
      </c>
      <c r="I1207">
        <f>원본데이터_리씽크!X303</f>
        <v>45500</v>
      </c>
      <c r="J1207">
        <f>원본데이터_리씽크!X303</f>
        <v>45500</v>
      </c>
      <c r="K1207" t="str">
        <f>IFERROR(VLOOKUP(E1207,제품마스터!$A:$B,2,0),0)</f>
        <v>[워커힐] 시그니처 양념갈비 300G</v>
      </c>
      <c r="L1207">
        <f>원본데이터_리씽크!P303*원본데이터_리씽크!Q303*F1207</f>
        <v>0</v>
      </c>
    </row>
    <row r="1208" spans="1:12" x14ac:dyDescent="0.3">
      <c r="A1208" t="s">
        <v>196</v>
      </c>
      <c r="B1208" t="str">
        <f>TEXT(원본데이터_리씽크!B304,"0")</f>
        <v>2026020516110170000</v>
      </c>
      <c r="C1208" t="str">
        <f>IF(원본데이터_리씽크!A304="","",TEXT(원본데이터_리씽크!A304,"YYYY-MM-DD"))</f>
        <v>2026-02-05</v>
      </c>
      <c r="D1208">
        <f>원본데이터_리씽크!S304</f>
        <v>143790</v>
      </c>
      <c r="E1208" t="str">
        <f>IFERROR(VLOOKUP(원본데이터_리씽크!S304,채널매핑!$B:$D,3,0),"미매핑")</f>
        <v>SKU001</v>
      </c>
      <c r="F1208">
        <f>IFERROR(VLOOKUP(원본데이터_리씽크!S304,채널매핑!$B:$E,4,0),1)</f>
        <v>4</v>
      </c>
      <c r="G1208">
        <f>원본데이터_리씽크!P304</f>
        <v>1</v>
      </c>
      <c r="H1208">
        <f>원본데이터_리씽크!O304</f>
        <v>45500</v>
      </c>
      <c r="I1208">
        <f>원본데이터_리씽크!X304</f>
        <v>45500</v>
      </c>
      <c r="J1208">
        <f>원본데이터_리씽크!X304</f>
        <v>45500</v>
      </c>
      <c r="K1208" t="str">
        <f>IFERROR(VLOOKUP(E1208,제품마스터!$A:$B,2,0),0)</f>
        <v>[워커힐] 시그니처 양념갈비 300G</v>
      </c>
      <c r="L1208">
        <f>원본데이터_리씽크!P304*원본데이터_리씽크!Q304*F1208</f>
        <v>0</v>
      </c>
    </row>
    <row r="1209" spans="1:12" x14ac:dyDescent="0.3">
      <c r="A1209" t="s">
        <v>196</v>
      </c>
      <c r="B1209" t="str">
        <f>TEXT(원본데이터_리씽크!B305,"0")</f>
        <v>2026020516124570000</v>
      </c>
      <c r="C1209" t="str">
        <f>IF(원본데이터_리씽크!A305="","",TEXT(원본데이터_리씽크!A305,"YYYY-MM-DD"))</f>
        <v>2026-02-05</v>
      </c>
      <c r="D1209">
        <f>원본데이터_리씽크!S305</f>
        <v>143790</v>
      </c>
      <c r="E1209" t="str">
        <f>IFERROR(VLOOKUP(원본데이터_리씽크!S305,채널매핑!$B:$D,3,0),"미매핑")</f>
        <v>SKU001</v>
      </c>
      <c r="F1209">
        <f>IFERROR(VLOOKUP(원본데이터_리씽크!S305,채널매핑!$B:$E,4,0),1)</f>
        <v>4</v>
      </c>
      <c r="G1209">
        <f>원본데이터_리씽크!P305</f>
        <v>2</v>
      </c>
      <c r="H1209">
        <f>원본데이터_리씽크!O305</f>
        <v>45500</v>
      </c>
      <c r="I1209">
        <f>원본데이터_리씽크!X305</f>
        <v>91000</v>
      </c>
      <c r="J1209">
        <f>원본데이터_리씽크!X305</f>
        <v>91000</v>
      </c>
      <c r="K1209" t="str">
        <f>IFERROR(VLOOKUP(E1209,제품마스터!$A:$B,2,0),0)</f>
        <v>[워커힐] 시그니처 양념갈비 300G</v>
      </c>
      <c r="L1209">
        <f>원본데이터_리씽크!P305*원본데이터_리씽크!Q305*F1209</f>
        <v>0</v>
      </c>
    </row>
    <row r="1210" spans="1:12" x14ac:dyDescent="0.3">
      <c r="A1210" t="s">
        <v>196</v>
      </c>
      <c r="B1210" t="str">
        <f>TEXT(원본데이터_리씽크!B306,"0")</f>
        <v>2026020516133710000</v>
      </c>
      <c r="C1210" t="str">
        <f>IF(원본데이터_리씽크!A306="","",TEXT(원본데이터_리씽크!A306,"YYYY-MM-DD"))</f>
        <v>2026-02-05</v>
      </c>
      <c r="D1210">
        <f>원본데이터_리씽크!S306</f>
        <v>143790</v>
      </c>
      <c r="E1210" t="str">
        <f>IFERROR(VLOOKUP(원본데이터_리씽크!S306,채널매핑!$B:$D,3,0),"미매핑")</f>
        <v>SKU001</v>
      </c>
      <c r="F1210">
        <f>IFERROR(VLOOKUP(원본데이터_리씽크!S306,채널매핑!$B:$E,4,0),1)</f>
        <v>4</v>
      </c>
      <c r="G1210">
        <f>원본데이터_리씽크!P306</f>
        <v>1</v>
      </c>
      <c r="H1210">
        <f>원본데이터_리씽크!O306</f>
        <v>45500</v>
      </c>
      <c r="I1210">
        <f>원본데이터_리씽크!X306</f>
        <v>45500</v>
      </c>
      <c r="J1210">
        <f>원본데이터_리씽크!X306</f>
        <v>45500</v>
      </c>
      <c r="K1210" t="str">
        <f>IFERROR(VLOOKUP(E1210,제품마스터!$A:$B,2,0),0)</f>
        <v>[워커힐] 시그니처 양념갈비 300G</v>
      </c>
      <c r="L1210">
        <f>원본데이터_리씽크!P306*원본데이터_리씽크!Q306*F1210</f>
        <v>0</v>
      </c>
    </row>
    <row r="1211" spans="1:12" x14ac:dyDescent="0.3">
      <c r="A1211" t="s">
        <v>196</v>
      </c>
      <c r="B1211" t="str">
        <f>TEXT(원본데이터_리씽크!B307,"0")</f>
        <v>2026020516122300000</v>
      </c>
      <c r="C1211" t="str">
        <f>IF(원본데이터_리씽크!A307="","",TEXT(원본데이터_리씽크!A307,"YYYY-MM-DD"))</f>
        <v>2026-02-05</v>
      </c>
      <c r="D1211">
        <f>원본데이터_리씽크!S307</f>
        <v>143790</v>
      </c>
      <c r="E1211" t="str">
        <f>IFERROR(VLOOKUP(원본데이터_리씽크!S307,채널매핑!$B:$D,3,0),"미매핑")</f>
        <v>SKU001</v>
      </c>
      <c r="F1211">
        <f>IFERROR(VLOOKUP(원본데이터_리씽크!S307,채널매핑!$B:$E,4,0),1)</f>
        <v>4</v>
      </c>
      <c r="G1211">
        <f>원본데이터_리씽크!P307</f>
        <v>1</v>
      </c>
      <c r="H1211">
        <f>원본데이터_리씽크!O307</f>
        <v>45500</v>
      </c>
      <c r="I1211">
        <f>원본데이터_리씽크!X307</f>
        <v>45500</v>
      </c>
      <c r="J1211">
        <f>원본데이터_리씽크!X307</f>
        <v>45500</v>
      </c>
      <c r="K1211" t="str">
        <f>IFERROR(VLOOKUP(E1211,제품마스터!$A:$B,2,0),0)</f>
        <v>[워커힐] 시그니처 양념갈비 300G</v>
      </c>
      <c r="L1211">
        <f>원본데이터_리씽크!P307*원본데이터_리씽크!Q307*F1211</f>
        <v>0</v>
      </c>
    </row>
    <row r="1212" spans="1:12" x14ac:dyDescent="0.3">
      <c r="A1212" t="s">
        <v>196</v>
      </c>
      <c r="B1212" t="str">
        <f>TEXT(원본데이터_리씽크!B308,"0")</f>
        <v>2026020516172400000</v>
      </c>
      <c r="C1212" t="str">
        <f>IF(원본데이터_리씽크!A308="","",TEXT(원본데이터_리씽크!A308,"YYYY-MM-DD"))</f>
        <v>2026-02-05</v>
      </c>
      <c r="D1212">
        <f>원본데이터_리씽크!S308</f>
        <v>143790</v>
      </c>
      <c r="E1212" t="str">
        <f>IFERROR(VLOOKUP(원본데이터_리씽크!S308,채널매핑!$B:$D,3,0),"미매핑")</f>
        <v>SKU001</v>
      </c>
      <c r="F1212">
        <f>IFERROR(VLOOKUP(원본데이터_리씽크!S308,채널매핑!$B:$E,4,0),1)</f>
        <v>4</v>
      </c>
      <c r="G1212">
        <f>원본데이터_리씽크!P308</f>
        <v>1</v>
      </c>
      <c r="H1212">
        <f>원본데이터_리씽크!O308</f>
        <v>45500</v>
      </c>
      <c r="I1212">
        <f>원본데이터_리씽크!X308</f>
        <v>45500</v>
      </c>
      <c r="J1212">
        <f>원본데이터_리씽크!X308</f>
        <v>45500</v>
      </c>
      <c r="K1212" t="str">
        <f>IFERROR(VLOOKUP(E1212,제품마스터!$A:$B,2,0),0)</f>
        <v>[워커힐] 시그니처 양념갈비 300G</v>
      </c>
      <c r="L1212">
        <f>원본데이터_리씽크!P308*원본데이터_리씽크!Q308*F1212</f>
        <v>0</v>
      </c>
    </row>
    <row r="1213" spans="1:12" x14ac:dyDescent="0.3">
      <c r="A1213" t="s">
        <v>196</v>
      </c>
      <c r="B1213" t="str">
        <f>TEXT(원본데이터_리씽크!B309,"0")</f>
        <v>2026020516171060000</v>
      </c>
      <c r="C1213" t="str">
        <f>IF(원본데이터_리씽크!A309="","",TEXT(원본데이터_리씽크!A309,"YYYY-MM-DD"))</f>
        <v>2026-02-05</v>
      </c>
      <c r="D1213">
        <f>원본데이터_리씽크!S309</f>
        <v>143790</v>
      </c>
      <c r="E1213" t="str">
        <f>IFERROR(VLOOKUP(원본데이터_리씽크!S309,채널매핑!$B:$D,3,0),"미매핑")</f>
        <v>SKU001</v>
      </c>
      <c r="F1213">
        <f>IFERROR(VLOOKUP(원본데이터_리씽크!S309,채널매핑!$B:$E,4,0),1)</f>
        <v>4</v>
      </c>
      <c r="G1213">
        <f>원본데이터_리씽크!P309</f>
        <v>1</v>
      </c>
      <c r="H1213">
        <f>원본데이터_리씽크!O309</f>
        <v>45500</v>
      </c>
      <c r="I1213">
        <f>원본데이터_리씽크!X309</f>
        <v>45500</v>
      </c>
      <c r="J1213">
        <f>원본데이터_리씽크!X309</f>
        <v>45500</v>
      </c>
      <c r="K1213" t="str">
        <f>IFERROR(VLOOKUP(E1213,제품마스터!$A:$B,2,0),0)</f>
        <v>[워커힐] 시그니처 양념갈비 300G</v>
      </c>
      <c r="L1213">
        <f>원본데이터_리씽크!P309*원본데이터_리씽크!Q309*F1213</f>
        <v>0</v>
      </c>
    </row>
    <row r="1214" spans="1:12" x14ac:dyDescent="0.3">
      <c r="A1214" t="s">
        <v>196</v>
      </c>
      <c r="B1214" t="str">
        <f>TEXT(원본데이터_리씽크!B310,"0")</f>
        <v>2026020516165990000</v>
      </c>
      <c r="C1214" t="str">
        <f>IF(원본데이터_리씽크!A310="","",TEXT(원본데이터_리씽크!A310,"YYYY-MM-DD"))</f>
        <v>2026-02-05</v>
      </c>
      <c r="D1214">
        <f>원본데이터_리씽크!S310</f>
        <v>143790</v>
      </c>
      <c r="E1214" t="str">
        <f>IFERROR(VLOOKUP(원본데이터_리씽크!S310,채널매핑!$B:$D,3,0),"미매핑")</f>
        <v>SKU001</v>
      </c>
      <c r="F1214">
        <f>IFERROR(VLOOKUP(원본데이터_리씽크!S310,채널매핑!$B:$E,4,0),1)</f>
        <v>4</v>
      </c>
      <c r="G1214">
        <f>원본데이터_리씽크!P310</f>
        <v>1</v>
      </c>
      <c r="H1214">
        <f>원본데이터_리씽크!O310</f>
        <v>45500</v>
      </c>
      <c r="I1214">
        <f>원본데이터_리씽크!X310</f>
        <v>45500</v>
      </c>
      <c r="J1214">
        <f>원본데이터_리씽크!X310</f>
        <v>45500</v>
      </c>
      <c r="K1214" t="str">
        <f>IFERROR(VLOOKUP(E1214,제품마스터!$A:$B,2,0),0)</f>
        <v>[워커힐] 시그니처 양념갈비 300G</v>
      </c>
      <c r="L1214">
        <f>원본데이터_리씽크!P310*원본데이터_리씽크!Q310*F1214</f>
        <v>0</v>
      </c>
    </row>
    <row r="1215" spans="1:12" x14ac:dyDescent="0.3">
      <c r="A1215" t="s">
        <v>196</v>
      </c>
      <c r="B1215" t="str">
        <f>TEXT(원본데이터_리씽크!B311,"0")</f>
        <v>2026020516190040000</v>
      </c>
      <c r="C1215" t="str">
        <f>IF(원본데이터_리씽크!A311="","",TEXT(원본데이터_리씽크!A311,"YYYY-MM-DD"))</f>
        <v>2026-02-05</v>
      </c>
      <c r="D1215">
        <f>원본데이터_리씽크!S311</f>
        <v>143790</v>
      </c>
      <c r="E1215" t="str">
        <f>IFERROR(VLOOKUP(원본데이터_리씽크!S311,채널매핑!$B:$D,3,0),"미매핑")</f>
        <v>SKU001</v>
      </c>
      <c r="F1215">
        <f>IFERROR(VLOOKUP(원본데이터_리씽크!S311,채널매핑!$B:$E,4,0),1)</f>
        <v>4</v>
      </c>
      <c r="G1215">
        <f>원본데이터_리씽크!P311</f>
        <v>1</v>
      </c>
      <c r="H1215">
        <f>원본데이터_리씽크!O311</f>
        <v>45500</v>
      </c>
      <c r="I1215">
        <f>원본데이터_리씽크!X311</f>
        <v>45500</v>
      </c>
      <c r="J1215">
        <f>원본데이터_리씽크!X311</f>
        <v>45500</v>
      </c>
      <c r="K1215" t="str">
        <f>IFERROR(VLOOKUP(E1215,제품마스터!$A:$B,2,0),0)</f>
        <v>[워커힐] 시그니처 양념갈비 300G</v>
      </c>
      <c r="L1215">
        <f>원본데이터_리씽크!P311*원본데이터_리씽크!Q311*F1215</f>
        <v>0</v>
      </c>
    </row>
    <row r="1216" spans="1:12" x14ac:dyDescent="0.3">
      <c r="A1216" t="s">
        <v>196</v>
      </c>
      <c r="B1216" t="str">
        <f>TEXT(원본데이터_리씽크!B312,"0")</f>
        <v>2026020516160410000</v>
      </c>
      <c r="C1216" t="str">
        <f>IF(원본데이터_리씽크!A312="","",TEXT(원본데이터_리씽크!A312,"YYYY-MM-DD"))</f>
        <v>2026-02-05</v>
      </c>
      <c r="D1216">
        <f>원본데이터_리씽크!S312</f>
        <v>143790</v>
      </c>
      <c r="E1216" t="str">
        <f>IFERROR(VLOOKUP(원본데이터_리씽크!S312,채널매핑!$B:$D,3,0),"미매핑")</f>
        <v>SKU001</v>
      </c>
      <c r="F1216">
        <f>IFERROR(VLOOKUP(원본데이터_리씽크!S312,채널매핑!$B:$E,4,0),1)</f>
        <v>4</v>
      </c>
      <c r="G1216">
        <f>원본데이터_리씽크!P312</f>
        <v>1</v>
      </c>
      <c r="H1216">
        <f>원본데이터_리씽크!O312</f>
        <v>45500</v>
      </c>
      <c r="I1216">
        <f>원본데이터_리씽크!X312</f>
        <v>45500</v>
      </c>
      <c r="J1216">
        <f>원본데이터_리씽크!X312</f>
        <v>45500</v>
      </c>
      <c r="K1216" t="str">
        <f>IFERROR(VLOOKUP(E1216,제품마스터!$A:$B,2,0),0)</f>
        <v>[워커힐] 시그니처 양념갈비 300G</v>
      </c>
      <c r="L1216">
        <f>원본데이터_리씽크!P312*원본데이터_리씽크!Q312*F1216</f>
        <v>0</v>
      </c>
    </row>
    <row r="1217" spans="1:12" x14ac:dyDescent="0.3">
      <c r="A1217" t="s">
        <v>196</v>
      </c>
      <c r="B1217" t="str">
        <f>TEXT(원본데이터_리씽크!B313,"0")</f>
        <v>2026020516265500000</v>
      </c>
      <c r="C1217" t="str">
        <f>IF(원본데이터_리씽크!A313="","",TEXT(원본데이터_리씽크!A313,"YYYY-MM-DD"))</f>
        <v>2026-02-05</v>
      </c>
      <c r="D1217">
        <f>원본데이터_리씽크!S313</f>
        <v>143790</v>
      </c>
      <c r="E1217" t="str">
        <f>IFERROR(VLOOKUP(원본데이터_리씽크!S313,채널매핑!$B:$D,3,0),"미매핑")</f>
        <v>SKU001</v>
      </c>
      <c r="F1217">
        <f>IFERROR(VLOOKUP(원본데이터_리씽크!S313,채널매핑!$B:$E,4,0),1)</f>
        <v>4</v>
      </c>
      <c r="G1217">
        <f>원본데이터_리씽크!P313</f>
        <v>1</v>
      </c>
      <c r="H1217">
        <f>원본데이터_리씽크!O313</f>
        <v>45500</v>
      </c>
      <c r="I1217">
        <f>원본데이터_리씽크!X313</f>
        <v>45500</v>
      </c>
      <c r="J1217">
        <f>원본데이터_리씽크!X313</f>
        <v>45500</v>
      </c>
      <c r="K1217" t="str">
        <f>IFERROR(VLOOKUP(E1217,제품마스터!$A:$B,2,0),0)</f>
        <v>[워커힐] 시그니처 양념갈비 300G</v>
      </c>
      <c r="L1217">
        <f>원본데이터_리씽크!P313*원본데이터_리씽크!Q313*F1217</f>
        <v>0</v>
      </c>
    </row>
    <row r="1218" spans="1:12" x14ac:dyDescent="0.3">
      <c r="A1218" t="s">
        <v>196</v>
      </c>
      <c r="B1218" t="str">
        <f>TEXT(원본데이터_리씽크!B314,"0")</f>
        <v>2026020516310170000</v>
      </c>
      <c r="C1218" t="str">
        <f>IF(원본데이터_리씽크!A314="","",TEXT(원본데이터_리씽크!A314,"YYYY-MM-DD"))</f>
        <v>2026-02-05</v>
      </c>
      <c r="D1218">
        <f>원본데이터_리씽크!S314</f>
        <v>143790</v>
      </c>
      <c r="E1218" t="str">
        <f>IFERROR(VLOOKUP(원본데이터_리씽크!S314,채널매핑!$B:$D,3,0),"미매핑")</f>
        <v>SKU001</v>
      </c>
      <c r="F1218">
        <f>IFERROR(VLOOKUP(원본데이터_리씽크!S314,채널매핑!$B:$E,4,0),1)</f>
        <v>4</v>
      </c>
      <c r="G1218">
        <f>원본데이터_리씽크!P314</f>
        <v>1</v>
      </c>
      <c r="H1218">
        <f>원본데이터_리씽크!O314</f>
        <v>45500</v>
      </c>
      <c r="I1218">
        <f>원본데이터_리씽크!X314</f>
        <v>45500</v>
      </c>
      <c r="J1218">
        <f>원본데이터_리씽크!X314</f>
        <v>45500</v>
      </c>
      <c r="K1218" t="str">
        <f>IFERROR(VLOOKUP(E1218,제품마스터!$A:$B,2,0),0)</f>
        <v>[워커힐] 시그니처 양념갈비 300G</v>
      </c>
      <c r="L1218">
        <f>원본데이터_리씽크!P314*원본데이터_리씽크!Q314*F1218</f>
        <v>0</v>
      </c>
    </row>
    <row r="1219" spans="1:12" x14ac:dyDescent="0.3">
      <c r="A1219" t="s">
        <v>196</v>
      </c>
      <c r="B1219" t="str">
        <f>TEXT(원본데이터_리씽크!B315,"0")</f>
        <v>2026020516330710000</v>
      </c>
      <c r="C1219" t="str">
        <f>IF(원본데이터_리씽크!A315="","",TEXT(원본데이터_리씽크!A315,"YYYY-MM-DD"))</f>
        <v>2026-02-05</v>
      </c>
      <c r="D1219">
        <f>원본데이터_리씽크!S315</f>
        <v>143790</v>
      </c>
      <c r="E1219" t="str">
        <f>IFERROR(VLOOKUP(원본데이터_리씽크!S315,채널매핑!$B:$D,3,0),"미매핑")</f>
        <v>SKU001</v>
      </c>
      <c r="F1219">
        <f>IFERROR(VLOOKUP(원본데이터_리씽크!S315,채널매핑!$B:$E,4,0),1)</f>
        <v>4</v>
      </c>
      <c r="G1219">
        <f>원본데이터_리씽크!P315</f>
        <v>1</v>
      </c>
      <c r="H1219">
        <f>원본데이터_리씽크!O315</f>
        <v>45500</v>
      </c>
      <c r="I1219">
        <f>원본데이터_리씽크!X315</f>
        <v>45500</v>
      </c>
      <c r="J1219">
        <f>원본데이터_리씽크!X315</f>
        <v>45500</v>
      </c>
      <c r="K1219" t="str">
        <f>IFERROR(VLOOKUP(E1219,제품마스터!$A:$B,2,0),0)</f>
        <v>[워커힐] 시그니처 양념갈비 300G</v>
      </c>
      <c r="L1219">
        <f>원본데이터_리씽크!P315*원본데이터_리씽크!Q315*F1219</f>
        <v>0</v>
      </c>
    </row>
    <row r="1220" spans="1:12" x14ac:dyDescent="0.3">
      <c r="A1220" t="s">
        <v>196</v>
      </c>
      <c r="B1220" t="str">
        <f>TEXT(원본데이터_리씽크!B316,"0")</f>
        <v>2026020516321390000</v>
      </c>
      <c r="C1220" t="str">
        <f>IF(원본데이터_리씽크!A316="","",TEXT(원본데이터_리씽크!A316,"YYYY-MM-DD"))</f>
        <v>2026-02-05</v>
      </c>
      <c r="D1220">
        <f>원본데이터_리씽크!S316</f>
        <v>143790</v>
      </c>
      <c r="E1220" t="str">
        <f>IFERROR(VLOOKUP(원본데이터_리씽크!S316,채널매핑!$B:$D,3,0),"미매핑")</f>
        <v>SKU001</v>
      </c>
      <c r="F1220">
        <f>IFERROR(VLOOKUP(원본데이터_리씽크!S316,채널매핑!$B:$E,4,0),1)</f>
        <v>4</v>
      </c>
      <c r="G1220">
        <f>원본데이터_리씽크!P316</f>
        <v>4</v>
      </c>
      <c r="H1220">
        <f>원본데이터_리씽크!O316</f>
        <v>45500</v>
      </c>
      <c r="I1220">
        <f>원본데이터_리씽크!X316</f>
        <v>182000</v>
      </c>
      <c r="J1220">
        <f>원본데이터_리씽크!X316</f>
        <v>182000</v>
      </c>
      <c r="K1220" t="str">
        <f>IFERROR(VLOOKUP(E1220,제품마스터!$A:$B,2,0),0)</f>
        <v>[워커힐] 시그니처 양념갈비 300G</v>
      </c>
      <c r="L1220">
        <f>원본데이터_리씽크!P316*원본데이터_리씽크!Q316*F1220</f>
        <v>0</v>
      </c>
    </row>
    <row r="1221" spans="1:12" x14ac:dyDescent="0.3">
      <c r="A1221" t="s">
        <v>196</v>
      </c>
      <c r="B1221" t="str">
        <f>TEXT(원본데이터_리씽크!B317,"0")</f>
        <v>2026020516351290000</v>
      </c>
      <c r="C1221" t="str">
        <f>IF(원본데이터_리씽크!A317="","",TEXT(원본데이터_리씽크!A317,"YYYY-MM-DD"))</f>
        <v>2026-02-05</v>
      </c>
      <c r="D1221">
        <f>원본데이터_리씽크!S317</f>
        <v>143790</v>
      </c>
      <c r="E1221" t="str">
        <f>IFERROR(VLOOKUP(원본데이터_리씽크!S317,채널매핑!$B:$D,3,0),"미매핑")</f>
        <v>SKU001</v>
      </c>
      <c r="F1221">
        <f>IFERROR(VLOOKUP(원본데이터_리씽크!S317,채널매핑!$B:$E,4,0),1)</f>
        <v>4</v>
      </c>
      <c r="G1221">
        <f>원본데이터_리씽크!P317</f>
        <v>1</v>
      </c>
      <c r="H1221">
        <f>원본데이터_리씽크!O317</f>
        <v>45500</v>
      </c>
      <c r="I1221">
        <f>원본데이터_리씽크!X317</f>
        <v>45500</v>
      </c>
      <c r="J1221">
        <f>원본데이터_리씽크!X317</f>
        <v>45500</v>
      </c>
      <c r="K1221" t="str">
        <f>IFERROR(VLOOKUP(E1221,제품마스터!$A:$B,2,0),0)</f>
        <v>[워커힐] 시그니처 양념갈비 300G</v>
      </c>
      <c r="L1221">
        <f>원본데이터_리씽크!P317*원본데이터_리씽크!Q317*F1221</f>
        <v>0</v>
      </c>
    </row>
    <row r="1222" spans="1:12" x14ac:dyDescent="0.3">
      <c r="A1222" t="s">
        <v>196</v>
      </c>
      <c r="B1222" t="str">
        <f>TEXT(원본데이터_리씽크!B318,"0")</f>
        <v>2026020516401840000</v>
      </c>
      <c r="C1222" t="str">
        <f>IF(원본데이터_리씽크!A318="","",TEXT(원본데이터_리씽크!A318,"YYYY-MM-DD"))</f>
        <v>2026-02-05</v>
      </c>
      <c r="D1222">
        <f>원본데이터_리씽크!S318</f>
        <v>143790</v>
      </c>
      <c r="E1222" t="str">
        <f>IFERROR(VLOOKUP(원본데이터_리씽크!S318,채널매핑!$B:$D,3,0),"미매핑")</f>
        <v>SKU001</v>
      </c>
      <c r="F1222">
        <f>IFERROR(VLOOKUP(원본데이터_리씽크!S318,채널매핑!$B:$E,4,0),1)</f>
        <v>4</v>
      </c>
      <c r="G1222">
        <f>원본데이터_리씽크!P318</f>
        <v>1</v>
      </c>
      <c r="H1222">
        <f>원본데이터_리씽크!O318</f>
        <v>45500</v>
      </c>
      <c r="I1222">
        <f>원본데이터_리씽크!X318</f>
        <v>45500</v>
      </c>
      <c r="J1222">
        <f>원본데이터_리씽크!X318</f>
        <v>45500</v>
      </c>
      <c r="K1222" t="str">
        <f>IFERROR(VLOOKUP(E1222,제품마스터!$A:$B,2,0),0)</f>
        <v>[워커힐] 시그니처 양념갈비 300G</v>
      </c>
      <c r="L1222">
        <f>원본데이터_리씽크!P318*원본데이터_리씽크!Q318*F1222</f>
        <v>0</v>
      </c>
    </row>
    <row r="1223" spans="1:12" x14ac:dyDescent="0.3">
      <c r="A1223" t="s">
        <v>196</v>
      </c>
      <c r="B1223" t="str">
        <f>TEXT(원본데이터_리씽크!B319,"0")</f>
        <v>2026020516450360000</v>
      </c>
      <c r="C1223" t="str">
        <f>IF(원본데이터_리씽크!A319="","",TEXT(원본데이터_리씽크!A319,"YYYY-MM-DD"))</f>
        <v>2026-02-05</v>
      </c>
      <c r="D1223">
        <f>원본데이터_리씽크!S319</f>
        <v>143790</v>
      </c>
      <c r="E1223" t="str">
        <f>IFERROR(VLOOKUP(원본데이터_리씽크!S319,채널매핑!$B:$D,3,0),"미매핑")</f>
        <v>SKU001</v>
      </c>
      <c r="F1223">
        <f>IFERROR(VLOOKUP(원본데이터_리씽크!S319,채널매핑!$B:$E,4,0),1)</f>
        <v>4</v>
      </c>
      <c r="G1223">
        <f>원본데이터_리씽크!P319</f>
        <v>1</v>
      </c>
      <c r="H1223">
        <f>원본데이터_리씽크!O319</f>
        <v>45500</v>
      </c>
      <c r="I1223">
        <f>원본데이터_리씽크!X319</f>
        <v>45500</v>
      </c>
      <c r="J1223">
        <f>원본데이터_리씽크!X319</f>
        <v>45500</v>
      </c>
      <c r="K1223" t="str">
        <f>IFERROR(VLOOKUP(E1223,제품마스터!$A:$B,2,0),0)</f>
        <v>[워커힐] 시그니처 양념갈비 300G</v>
      </c>
      <c r="L1223">
        <f>원본데이터_리씽크!P319*원본데이터_리씽크!Q319*F1223</f>
        <v>0</v>
      </c>
    </row>
    <row r="1224" spans="1:12" x14ac:dyDescent="0.3">
      <c r="A1224" t="s">
        <v>196</v>
      </c>
      <c r="B1224" t="str">
        <f>TEXT(원본데이터_리씽크!B320,"0")</f>
        <v>2026020516493700000</v>
      </c>
      <c r="C1224" t="str">
        <f>IF(원본데이터_리씽크!A320="","",TEXT(원본데이터_리씽크!A320,"YYYY-MM-DD"))</f>
        <v>2026-02-05</v>
      </c>
      <c r="D1224">
        <f>원본데이터_리씽크!S320</f>
        <v>143790</v>
      </c>
      <c r="E1224" t="str">
        <f>IFERROR(VLOOKUP(원본데이터_리씽크!S320,채널매핑!$B:$D,3,0),"미매핑")</f>
        <v>SKU001</v>
      </c>
      <c r="F1224">
        <f>IFERROR(VLOOKUP(원본데이터_리씽크!S320,채널매핑!$B:$E,4,0),1)</f>
        <v>4</v>
      </c>
      <c r="G1224">
        <f>원본데이터_리씽크!P320</f>
        <v>1</v>
      </c>
      <c r="H1224">
        <f>원본데이터_리씽크!O320</f>
        <v>45500</v>
      </c>
      <c r="I1224">
        <f>원본데이터_리씽크!X320</f>
        <v>45500</v>
      </c>
      <c r="J1224">
        <f>원본데이터_리씽크!X320</f>
        <v>45500</v>
      </c>
      <c r="K1224" t="str">
        <f>IFERROR(VLOOKUP(E1224,제품마스터!$A:$B,2,0),0)</f>
        <v>[워커힐] 시그니처 양념갈비 300G</v>
      </c>
      <c r="L1224">
        <f>원본데이터_리씽크!P320*원본데이터_리씽크!Q320*F1224</f>
        <v>0</v>
      </c>
    </row>
    <row r="1225" spans="1:12" x14ac:dyDescent="0.3">
      <c r="A1225" t="s">
        <v>196</v>
      </c>
      <c r="B1225" t="str">
        <f>TEXT(원본데이터_리씽크!B321,"0")</f>
        <v>2026020516523740000</v>
      </c>
      <c r="C1225" t="str">
        <f>IF(원본데이터_리씽크!A321="","",TEXT(원본데이터_리씽크!A321,"YYYY-MM-DD"))</f>
        <v>2026-02-05</v>
      </c>
      <c r="D1225">
        <f>원본데이터_리씽크!S321</f>
        <v>143790</v>
      </c>
      <c r="E1225" t="str">
        <f>IFERROR(VLOOKUP(원본데이터_리씽크!S321,채널매핑!$B:$D,3,0),"미매핑")</f>
        <v>SKU001</v>
      </c>
      <c r="F1225">
        <f>IFERROR(VLOOKUP(원본데이터_리씽크!S321,채널매핑!$B:$E,4,0),1)</f>
        <v>4</v>
      </c>
      <c r="G1225">
        <f>원본데이터_리씽크!P321</f>
        <v>1</v>
      </c>
      <c r="H1225">
        <f>원본데이터_리씽크!O321</f>
        <v>45500</v>
      </c>
      <c r="I1225">
        <f>원본데이터_리씽크!X321</f>
        <v>45500</v>
      </c>
      <c r="J1225">
        <f>원본데이터_리씽크!X321</f>
        <v>45500</v>
      </c>
      <c r="K1225" t="str">
        <f>IFERROR(VLOOKUP(E1225,제품마스터!$A:$B,2,0),0)</f>
        <v>[워커힐] 시그니처 양념갈비 300G</v>
      </c>
      <c r="L1225">
        <f>원본데이터_리씽크!P321*원본데이터_리씽크!Q321*F1225</f>
        <v>0</v>
      </c>
    </row>
    <row r="1226" spans="1:12" x14ac:dyDescent="0.3">
      <c r="A1226" t="s">
        <v>196</v>
      </c>
      <c r="B1226" t="str">
        <f>TEXT(원본데이터_리씽크!B322,"0")</f>
        <v>2026020517031500000</v>
      </c>
      <c r="C1226" t="str">
        <f>IF(원본데이터_리씽크!A322="","",TEXT(원본데이터_리씽크!A322,"YYYY-MM-DD"))</f>
        <v>2026-02-05</v>
      </c>
      <c r="D1226">
        <f>원본데이터_리씽크!S322</f>
        <v>143790</v>
      </c>
      <c r="E1226" t="str">
        <f>IFERROR(VLOOKUP(원본데이터_리씽크!S322,채널매핑!$B:$D,3,0),"미매핑")</f>
        <v>SKU001</v>
      </c>
      <c r="F1226">
        <f>IFERROR(VLOOKUP(원본데이터_리씽크!S322,채널매핑!$B:$E,4,0),1)</f>
        <v>4</v>
      </c>
      <c r="G1226">
        <f>원본데이터_리씽크!P322</f>
        <v>1</v>
      </c>
      <c r="H1226">
        <f>원본데이터_리씽크!O322</f>
        <v>45500</v>
      </c>
      <c r="I1226">
        <f>원본데이터_리씽크!X322</f>
        <v>45500</v>
      </c>
      <c r="J1226">
        <f>원본데이터_리씽크!X322</f>
        <v>45500</v>
      </c>
      <c r="K1226" t="str">
        <f>IFERROR(VLOOKUP(E1226,제품마스터!$A:$B,2,0),0)</f>
        <v>[워커힐] 시그니처 양념갈비 300G</v>
      </c>
      <c r="L1226">
        <f>원본데이터_리씽크!P322*원본데이터_리씽크!Q322*F1226</f>
        <v>0</v>
      </c>
    </row>
    <row r="1227" spans="1:12" x14ac:dyDescent="0.3">
      <c r="A1227" t="s">
        <v>196</v>
      </c>
      <c r="B1227" t="str">
        <f>TEXT(원본데이터_리씽크!B323,"0")</f>
        <v>2026020517062130000</v>
      </c>
      <c r="C1227" t="str">
        <f>IF(원본데이터_리씽크!A323="","",TEXT(원본데이터_리씽크!A323,"YYYY-MM-DD"))</f>
        <v>2026-02-05</v>
      </c>
      <c r="D1227">
        <f>원본데이터_리씽크!S323</f>
        <v>143790</v>
      </c>
      <c r="E1227" t="str">
        <f>IFERROR(VLOOKUP(원본데이터_리씽크!S323,채널매핑!$B:$D,3,0),"미매핑")</f>
        <v>SKU001</v>
      </c>
      <c r="F1227">
        <f>IFERROR(VLOOKUP(원본데이터_리씽크!S323,채널매핑!$B:$E,4,0),1)</f>
        <v>4</v>
      </c>
      <c r="G1227">
        <f>원본데이터_리씽크!P323</f>
        <v>1</v>
      </c>
      <c r="H1227">
        <f>원본데이터_리씽크!O323</f>
        <v>45500</v>
      </c>
      <c r="I1227">
        <f>원본데이터_리씽크!X323</f>
        <v>45500</v>
      </c>
      <c r="J1227">
        <f>원본데이터_리씽크!X323</f>
        <v>45500</v>
      </c>
      <c r="K1227" t="str">
        <f>IFERROR(VLOOKUP(E1227,제품마스터!$A:$B,2,0),0)</f>
        <v>[워커힐] 시그니처 양념갈비 300G</v>
      </c>
      <c r="L1227">
        <f>원본데이터_리씽크!P323*원본데이터_리씽크!Q323*F1227</f>
        <v>0</v>
      </c>
    </row>
    <row r="1228" spans="1:12" x14ac:dyDescent="0.3">
      <c r="A1228" t="s">
        <v>196</v>
      </c>
      <c r="B1228" t="str">
        <f>TEXT(원본데이터_리씽크!B324,"0")</f>
        <v>2026020517130730000</v>
      </c>
      <c r="C1228" t="str">
        <f>IF(원본데이터_리씽크!A324="","",TEXT(원본데이터_리씽크!A324,"YYYY-MM-DD"))</f>
        <v>2026-02-05</v>
      </c>
      <c r="D1228">
        <f>원본데이터_리씽크!S324</f>
        <v>143790</v>
      </c>
      <c r="E1228" t="str">
        <f>IFERROR(VLOOKUP(원본데이터_리씽크!S324,채널매핑!$B:$D,3,0),"미매핑")</f>
        <v>SKU001</v>
      </c>
      <c r="F1228">
        <f>IFERROR(VLOOKUP(원본데이터_리씽크!S324,채널매핑!$B:$E,4,0),1)</f>
        <v>4</v>
      </c>
      <c r="G1228">
        <f>원본데이터_리씽크!P324</f>
        <v>1</v>
      </c>
      <c r="H1228">
        <f>원본데이터_리씽크!O324</f>
        <v>45500</v>
      </c>
      <c r="I1228">
        <f>원본데이터_리씽크!X324</f>
        <v>45500</v>
      </c>
      <c r="J1228">
        <f>원본데이터_리씽크!X324</f>
        <v>45500</v>
      </c>
      <c r="K1228" t="str">
        <f>IFERROR(VLOOKUP(E1228,제품마스터!$A:$B,2,0),0)</f>
        <v>[워커힐] 시그니처 양념갈비 300G</v>
      </c>
      <c r="L1228">
        <f>원본데이터_리씽크!P324*원본데이터_리씽크!Q324*F1228</f>
        <v>0</v>
      </c>
    </row>
    <row r="1229" spans="1:12" x14ac:dyDescent="0.3">
      <c r="A1229" t="s">
        <v>196</v>
      </c>
      <c r="B1229" t="str">
        <f>TEXT(원본데이터_리씽크!B325,"0")</f>
        <v>2026020517124460000</v>
      </c>
      <c r="C1229" t="str">
        <f>IF(원본데이터_리씽크!A325="","",TEXT(원본데이터_리씽크!A325,"YYYY-MM-DD"))</f>
        <v>2026-02-05</v>
      </c>
      <c r="D1229">
        <f>원본데이터_리씽크!S325</f>
        <v>143790</v>
      </c>
      <c r="E1229" t="str">
        <f>IFERROR(VLOOKUP(원본데이터_리씽크!S325,채널매핑!$B:$D,3,0),"미매핑")</f>
        <v>SKU001</v>
      </c>
      <c r="F1229">
        <f>IFERROR(VLOOKUP(원본데이터_리씽크!S325,채널매핑!$B:$E,4,0),1)</f>
        <v>4</v>
      </c>
      <c r="G1229">
        <f>원본데이터_리씽크!P325</f>
        <v>1</v>
      </c>
      <c r="H1229">
        <f>원본데이터_리씽크!O325</f>
        <v>45500</v>
      </c>
      <c r="I1229">
        <f>원본데이터_리씽크!X325</f>
        <v>45500</v>
      </c>
      <c r="J1229">
        <f>원본데이터_리씽크!X325</f>
        <v>45500</v>
      </c>
      <c r="K1229" t="str">
        <f>IFERROR(VLOOKUP(E1229,제품마스터!$A:$B,2,0),0)</f>
        <v>[워커힐] 시그니처 양념갈비 300G</v>
      </c>
      <c r="L1229">
        <f>원본데이터_리씽크!P325*원본데이터_리씽크!Q325*F1229</f>
        <v>0</v>
      </c>
    </row>
    <row r="1230" spans="1:12" x14ac:dyDescent="0.3">
      <c r="A1230" t="s">
        <v>196</v>
      </c>
      <c r="B1230" t="str">
        <f>TEXT(원본데이터_리씽크!B326,"0")</f>
        <v>2026020517215140000</v>
      </c>
      <c r="C1230" t="str">
        <f>IF(원본데이터_리씽크!A326="","",TEXT(원본데이터_리씽크!A326,"YYYY-MM-DD"))</f>
        <v>2026-02-05</v>
      </c>
      <c r="D1230">
        <f>원본데이터_리씽크!S326</f>
        <v>143790</v>
      </c>
      <c r="E1230" t="str">
        <f>IFERROR(VLOOKUP(원본데이터_리씽크!S326,채널매핑!$B:$D,3,0),"미매핑")</f>
        <v>SKU001</v>
      </c>
      <c r="F1230">
        <f>IFERROR(VLOOKUP(원본데이터_리씽크!S326,채널매핑!$B:$E,4,0),1)</f>
        <v>4</v>
      </c>
      <c r="G1230">
        <f>원본데이터_리씽크!P326</f>
        <v>1</v>
      </c>
      <c r="H1230">
        <f>원본데이터_리씽크!O326</f>
        <v>45500</v>
      </c>
      <c r="I1230">
        <f>원본데이터_리씽크!X326</f>
        <v>45500</v>
      </c>
      <c r="J1230">
        <f>원본데이터_리씽크!X326</f>
        <v>45500</v>
      </c>
      <c r="K1230" t="str">
        <f>IFERROR(VLOOKUP(E1230,제품마스터!$A:$B,2,0),0)</f>
        <v>[워커힐] 시그니처 양념갈비 300G</v>
      </c>
      <c r="L1230">
        <f>원본데이터_리씽크!P326*원본데이터_리씽크!Q326*F1230</f>
        <v>0</v>
      </c>
    </row>
    <row r="1231" spans="1:12" x14ac:dyDescent="0.3">
      <c r="A1231" t="s">
        <v>196</v>
      </c>
      <c r="B1231" t="str">
        <f>TEXT(원본데이터_리씽크!B327,"0")</f>
        <v>2026020517234880000</v>
      </c>
      <c r="C1231" t="str">
        <f>IF(원본데이터_리씽크!A327="","",TEXT(원본데이터_리씽크!A327,"YYYY-MM-DD"))</f>
        <v>2026-02-05</v>
      </c>
      <c r="D1231">
        <f>원본데이터_리씽크!S327</f>
        <v>143790</v>
      </c>
      <c r="E1231" t="str">
        <f>IFERROR(VLOOKUP(원본데이터_리씽크!S327,채널매핑!$B:$D,3,0),"미매핑")</f>
        <v>SKU001</v>
      </c>
      <c r="F1231">
        <f>IFERROR(VLOOKUP(원본데이터_리씽크!S327,채널매핑!$B:$E,4,0),1)</f>
        <v>4</v>
      </c>
      <c r="G1231">
        <f>원본데이터_리씽크!P327</f>
        <v>1</v>
      </c>
      <c r="H1231">
        <f>원본데이터_리씽크!O327</f>
        <v>45500</v>
      </c>
      <c r="I1231">
        <f>원본데이터_리씽크!X327</f>
        <v>45500</v>
      </c>
      <c r="J1231">
        <f>원본데이터_리씽크!X327</f>
        <v>45500</v>
      </c>
      <c r="K1231" t="str">
        <f>IFERROR(VLOOKUP(E1231,제품마스터!$A:$B,2,0),0)</f>
        <v>[워커힐] 시그니처 양념갈비 300G</v>
      </c>
      <c r="L1231">
        <f>원본데이터_리씽크!P327*원본데이터_리씽크!Q327*F1231</f>
        <v>0</v>
      </c>
    </row>
    <row r="1232" spans="1:12" x14ac:dyDescent="0.3">
      <c r="A1232" t="s">
        <v>196</v>
      </c>
      <c r="B1232" t="str">
        <f>TEXT(원본데이터_리씽크!B328,"0")</f>
        <v>2026020517290770000</v>
      </c>
      <c r="C1232" t="str">
        <f>IF(원본데이터_리씽크!A328="","",TEXT(원본데이터_리씽크!A328,"YYYY-MM-DD"))</f>
        <v>2026-02-05</v>
      </c>
      <c r="D1232">
        <f>원본데이터_리씽크!S328</f>
        <v>143790</v>
      </c>
      <c r="E1232" t="str">
        <f>IFERROR(VLOOKUP(원본데이터_리씽크!S328,채널매핑!$B:$D,3,0),"미매핑")</f>
        <v>SKU001</v>
      </c>
      <c r="F1232">
        <f>IFERROR(VLOOKUP(원본데이터_리씽크!S328,채널매핑!$B:$E,4,0),1)</f>
        <v>4</v>
      </c>
      <c r="G1232">
        <f>원본데이터_리씽크!P328</f>
        <v>1</v>
      </c>
      <c r="H1232">
        <f>원본데이터_리씽크!O328</f>
        <v>45500</v>
      </c>
      <c r="I1232">
        <f>원본데이터_리씽크!X328</f>
        <v>45500</v>
      </c>
      <c r="J1232">
        <f>원본데이터_리씽크!X328</f>
        <v>45500</v>
      </c>
      <c r="K1232" t="str">
        <f>IFERROR(VLOOKUP(E1232,제품마스터!$A:$B,2,0),0)</f>
        <v>[워커힐] 시그니처 양념갈비 300G</v>
      </c>
      <c r="L1232">
        <f>원본데이터_리씽크!P328*원본데이터_리씽크!Q328*F1232</f>
        <v>0</v>
      </c>
    </row>
    <row r="1233" spans="1:12" x14ac:dyDescent="0.3">
      <c r="A1233" t="s">
        <v>196</v>
      </c>
      <c r="B1233" t="str">
        <f>TEXT(원본데이터_리씽크!B329,"0")</f>
        <v>2026020517283730000</v>
      </c>
      <c r="C1233" t="str">
        <f>IF(원본데이터_리씽크!A329="","",TEXT(원본데이터_리씽크!A329,"YYYY-MM-DD"))</f>
        <v>2026-02-05</v>
      </c>
      <c r="D1233">
        <f>원본데이터_리씽크!S329</f>
        <v>143790</v>
      </c>
      <c r="E1233" t="str">
        <f>IFERROR(VLOOKUP(원본데이터_리씽크!S329,채널매핑!$B:$D,3,0),"미매핑")</f>
        <v>SKU001</v>
      </c>
      <c r="F1233">
        <f>IFERROR(VLOOKUP(원본데이터_리씽크!S329,채널매핑!$B:$E,4,0),1)</f>
        <v>4</v>
      </c>
      <c r="G1233">
        <f>원본데이터_리씽크!P329</f>
        <v>1</v>
      </c>
      <c r="H1233">
        <f>원본데이터_리씽크!O329</f>
        <v>45500</v>
      </c>
      <c r="I1233">
        <f>원본데이터_리씽크!X329</f>
        <v>45500</v>
      </c>
      <c r="J1233">
        <f>원본데이터_리씽크!X329</f>
        <v>45500</v>
      </c>
      <c r="K1233" t="str">
        <f>IFERROR(VLOOKUP(E1233,제품마스터!$A:$B,2,0),0)</f>
        <v>[워커힐] 시그니처 양념갈비 300G</v>
      </c>
      <c r="L1233">
        <f>원본데이터_리씽크!P329*원본데이터_리씽크!Q329*F1233</f>
        <v>0</v>
      </c>
    </row>
    <row r="1234" spans="1:12" x14ac:dyDescent="0.3">
      <c r="A1234" t="s">
        <v>196</v>
      </c>
      <c r="B1234" t="str">
        <f>TEXT(원본데이터_리씽크!B330,"0")</f>
        <v>2026020517414420000</v>
      </c>
      <c r="C1234" t="str">
        <f>IF(원본데이터_리씽크!A330="","",TEXT(원본데이터_리씽크!A330,"YYYY-MM-DD"))</f>
        <v>2026-02-05</v>
      </c>
      <c r="D1234">
        <f>원본데이터_리씽크!S330</f>
        <v>143790</v>
      </c>
      <c r="E1234" t="str">
        <f>IFERROR(VLOOKUP(원본데이터_리씽크!S330,채널매핑!$B:$D,3,0),"미매핑")</f>
        <v>SKU001</v>
      </c>
      <c r="F1234">
        <f>IFERROR(VLOOKUP(원본데이터_리씽크!S330,채널매핑!$B:$E,4,0),1)</f>
        <v>4</v>
      </c>
      <c r="G1234">
        <f>원본데이터_리씽크!P330</f>
        <v>1</v>
      </c>
      <c r="H1234">
        <f>원본데이터_리씽크!O330</f>
        <v>45500</v>
      </c>
      <c r="I1234">
        <f>원본데이터_리씽크!X330</f>
        <v>45500</v>
      </c>
      <c r="J1234">
        <f>원본데이터_리씽크!X330</f>
        <v>45500</v>
      </c>
      <c r="K1234" t="str">
        <f>IFERROR(VLOOKUP(E1234,제품마스터!$A:$B,2,0),0)</f>
        <v>[워커힐] 시그니처 양념갈비 300G</v>
      </c>
      <c r="L1234">
        <f>원본데이터_리씽크!P330*원본데이터_리씽크!Q330*F1234</f>
        <v>0</v>
      </c>
    </row>
    <row r="1235" spans="1:12" x14ac:dyDescent="0.3">
      <c r="A1235" t="s">
        <v>196</v>
      </c>
      <c r="B1235" t="str">
        <f>TEXT(원본데이터_리씽크!B331,"0")</f>
        <v>2026020517413140000</v>
      </c>
      <c r="C1235" t="str">
        <f>IF(원본데이터_리씽크!A331="","",TEXT(원본데이터_리씽크!A331,"YYYY-MM-DD"))</f>
        <v>2026-02-05</v>
      </c>
      <c r="D1235">
        <f>원본데이터_리씽크!S331</f>
        <v>143790</v>
      </c>
      <c r="E1235" t="str">
        <f>IFERROR(VLOOKUP(원본데이터_리씽크!S331,채널매핑!$B:$D,3,0),"미매핑")</f>
        <v>SKU001</v>
      </c>
      <c r="F1235">
        <f>IFERROR(VLOOKUP(원본데이터_리씽크!S331,채널매핑!$B:$E,4,0),1)</f>
        <v>4</v>
      </c>
      <c r="G1235">
        <f>원본데이터_리씽크!P331</f>
        <v>1</v>
      </c>
      <c r="H1235">
        <f>원본데이터_리씽크!O331</f>
        <v>45500</v>
      </c>
      <c r="I1235">
        <f>원본데이터_리씽크!X331</f>
        <v>45500</v>
      </c>
      <c r="J1235">
        <f>원본데이터_리씽크!X331</f>
        <v>45500</v>
      </c>
      <c r="K1235" t="str">
        <f>IFERROR(VLOOKUP(E1235,제품마스터!$A:$B,2,0),0)</f>
        <v>[워커힐] 시그니처 양념갈비 300G</v>
      </c>
      <c r="L1235">
        <f>원본데이터_리씽크!P331*원본데이터_리씽크!Q331*F1235</f>
        <v>0</v>
      </c>
    </row>
    <row r="1236" spans="1:12" x14ac:dyDescent="0.3">
      <c r="A1236" t="s">
        <v>196</v>
      </c>
      <c r="B1236" t="str">
        <f>TEXT(원본데이터_리씽크!B332,"0")</f>
        <v>2026020517554540000</v>
      </c>
      <c r="C1236" t="str">
        <f>IF(원본데이터_리씽크!A332="","",TEXT(원본데이터_리씽크!A332,"YYYY-MM-DD"))</f>
        <v>2026-02-05</v>
      </c>
      <c r="D1236">
        <f>원본데이터_리씽크!S332</f>
        <v>143790</v>
      </c>
      <c r="E1236" t="str">
        <f>IFERROR(VLOOKUP(원본데이터_리씽크!S332,채널매핑!$B:$D,3,0),"미매핑")</f>
        <v>SKU001</v>
      </c>
      <c r="F1236">
        <f>IFERROR(VLOOKUP(원본데이터_리씽크!S332,채널매핑!$B:$E,4,0),1)</f>
        <v>4</v>
      </c>
      <c r="G1236">
        <f>원본데이터_리씽크!P332</f>
        <v>1</v>
      </c>
      <c r="H1236">
        <f>원본데이터_리씽크!O332</f>
        <v>45500</v>
      </c>
      <c r="I1236">
        <f>원본데이터_리씽크!X332</f>
        <v>45500</v>
      </c>
      <c r="J1236">
        <f>원본데이터_리씽크!X332</f>
        <v>45500</v>
      </c>
      <c r="K1236" t="str">
        <f>IFERROR(VLOOKUP(E1236,제품마스터!$A:$B,2,0),0)</f>
        <v>[워커힐] 시그니처 양념갈비 300G</v>
      </c>
      <c r="L1236">
        <f>원본데이터_리씽크!P332*원본데이터_리씽크!Q332*F1236</f>
        <v>0</v>
      </c>
    </row>
    <row r="1237" spans="1:12" x14ac:dyDescent="0.3">
      <c r="A1237" t="s">
        <v>196</v>
      </c>
      <c r="B1237" t="str">
        <f>TEXT(원본데이터_리씽크!B333,"0")</f>
        <v>2026020518121760000</v>
      </c>
      <c r="C1237" t="str">
        <f>IF(원본데이터_리씽크!A333="","",TEXT(원본데이터_리씽크!A333,"YYYY-MM-DD"))</f>
        <v>2026-02-05</v>
      </c>
      <c r="D1237">
        <f>원본데이터_리씽크!S333</f>
        <v>143790</v>
      </c>
      <c r="E1237" t="str">
        <f>IFERROR(VLOOKUP(원본데이터_리씽크!S333,채널매핑!$B:$D,3,0),"미매핑")</f>
        <v>SKU001</v>
      </c>
      <c r="F1237">
        <f>IFERROR(VLOOKUP(원본데이터_리씽크!S333,채널매핑!$B:$E,4,0),1)</f>
        <v>4</v>
      </c>
      <c r="G1237">
        <f>원본데이터_리씽크!P333</f>
        <v>2</v>
      </c>
      <c r="H1237">
        <f>원본데이터_리씽크!O333</f>
        <v>45500</v>
      </c>
      <c r="I1237">
        <f>원본데이터_리씽크!X333</f>
        <v>91000</v>
      </c>
      <c r="J1237">
        <f>원본데이터_리씽크!X333</f>
        <v>91000</v>
      </c>
      <c r="K1237" t="str">
        <f>IFERROR(VLOOKUP(E1237,제품마스터!$A:$B,2,0),0)</f>
        <v>[워커힐] 시그니처 양념갈비 300G</v>
      </c>
      <c r="L1237">
        <f>원본데이터_리씽크!P333*원본데이터_리씽크!Q333*F1237</f>
        <v>0</v>
      </c>
    </row>
    <row r="1238" spans="1:12" x14ac:dyDescent="0.3">
      <c r="A1238" t="s">
        <v>196</v>
      </c>
      <c r="B1238" t="str">
        <f>TEXT(원본데이터_리씽크!B334,"0")</f>
        <v>2026020518225090000</v>
      </c>
      <c r="C1238" t="str">
        <f>IF(원본데이터_리씽크!A334="","",TEXT(원본데이터_리씽크!A334,"YYYY-MM-DD"))</f>
        <v>2026-02-05</v>
      </c>
      <c r="D1238">
        <f>원본데이터_리씽크!S334</f>
        <v>143790</v>
      </c>
      <c r="E1238" t="str">
        <f>IFERROR(VLOOKUP(원본데이터_리씽크!S334,채널매핑!$B:$D,3,0),"미매핑")</f>
        <v>SKU001</v>
      </c>
      <c r="F1238">
        <f>IFERROR(VLOOKUP(원본데이터_리씽크!S334,채널매핑!$B:$E,4,0),1)</f>
        <v>4</v>
      </c>
      <c r="G1238">
        <f>원본데이터_리씽크!P334</f>
        <v>1</v>
      </c>
      <c r="H1238">
        <f>원본데이터_리씽크!O334</f>
        <v>45500</v>
      </c>
      <c r="I1238">
        <f>원본데이터_리씽크!X334</f>
        <v>45500</v>
      </c>
      <c r="J1238">
        <f>원본데이터_리씽크!X334</f>
        <v>45500</v>
      </c>
      <c r="K1238" t="str">
        <f>IFERROR(VLOOKUP(E1238,제품마스터!$A:$B,2,0),0)</f>
        <v>[워커힐] 시그니처 양념갈비 300G</v>
      </c>
      <c r="L1238">
        <f>원본데이터_리씽크!P334*원본데이터_리씽크!Q334*F1238</f>
        <v>0</v>
      </c>
    </row>
    <row r="1239" spans="1:12" x14ac:dyDescent="0.3">
      <c r="A1239" t="s">
        <v>196</v>
      </c>
      <c r="B1239" t="str">
        <f>TEXT(원본데이터_리씽크!B335,"0")</f>
        <v>2026020518264120000</v>
      </c>
      <c r="C1239" t="str">
        <f>IF(원본데이터_리씽크!A335="","",TEXT(원본데이터_리씽크!A335,"YYYY-MM-DD"))</f>
        <v>2026-02-05</v>
      </c>
      <c r="D1239">
        <f>원본데이터_리씽크!S335</f>
        <v>143790</v>
      </c>
      <c r="E1239" t="str">
        <f>IFERROR(VLOOKUP(원본데이터_리씽크!S335,채널매핑!$B:$D,3,0),"미매핑")</f>
        <v>SKU001</v>
      </c>
      <c r="F1239">
        <f>IFERROR(VLOOKUP(원본데이터_리씽크!S335,채널매핑!$B:$E,4,0),1)</f>
        <v>4</v>
      </c>
      <c r="G1239">
        <f>원본데이터_리씽크!P335</f>
        <v>1</v>
      </c>
      <c r="H1239">
        <f>원본데이터_리씽크!O335</f>
        <v>45500</v>
      </c>
      <c r="I1239">
        <f>원본데이터_리씽크!X335</f>
        <v>45500</v>
      </c>
      <c r="J1239">
        <f>원본데이터_리씽크!X335</f>
        <v>45500</v>
      </c>
      <c r="K1239" t="str">
        <f>IFERROR(VLOOKUP(E1239,제품마스터!$A:$B,2,0),0)</f>
        <v>[워커힐] 시그니처 양념갈비 300G</v>
      </c>
      <c r="L1239">
        <f>원본데이터_리씽크!P335*원본데이터_리씽크!Q335*F1239</f>
        <v>0</v>
      </c>
    </row>
    <row r="1240" spans="1:12" x14ac:dyDescent="0.3">
      <c r="A1240" t="s">
        <v>196</v>
      </c>
      <c r="B1240" t="str">
        <f>TEXT(원본데이터_리씽크!B336,"0")</f>
        <v>2026020518395850000</v>
      </c>
      <c r="C1240" t="str">
        <f>IF(원본데이터_리씽크!A336="","",TEXT(원본데이터_리씽크!A336,"YYYY-MM-DD"))</f>
        <v>2026-02-05</v>
      </c>
      <c r="D1240">
        <f>원본데이터_리씽크!S336</f>
        <v>143790</v>
      </c>
      <c r="E1240" t="str">
        <f>IFERROR(VLOOKUP(원본데이터_리씽크!S336,채널매핑!$B:$D,3,0),"미매핑")</f>
        <v>SKU001</v>
      </c>
      <c r="F1240">
        <f>IFERROR(VLOOKUP(원본데이터_리씽크!S336,채널매핑!$B:$E,4,0),1)</f>
        <v>4</v>
      </c>
      <c r="G1240">
        <f>원본데이터_리씽크!P336</f>
        <v>1</v>
      </c>
      <c r="H1240">
        <f>원본데이터_리씽크!O336</f>
        <v>45500</v>
      </c>
      <c r="I1240">
        <f>원본데이터_리씽크!X336</f>
        <v>45500</v>
      </c>
      <c r="J1240">
        <f>원본데이터_리씽크!X336</f>
        <v>45500</v>
      </c>
      <c r="K1240" t="str">
        <f>IFERROR(VLOOKUP(E1240,제품마스터!$A:$B,2,0),0)</f>
        <v>[워커힐] 시그니처 양념갈비 300G</v>
      </c>
      <c r="L1240">
        <f>원본데이터_리씽크!P336*원본데이터_리씽크!Q336*F1240</f>
        <v>0</v>
      </c>
    </row>
    <row r="1241" spans="1:12" x14ac:dyDescent="0.3">
      <c r="A1241" t="s">
        <v>196</v>
      </c>
      <c r="B1241" t="str">
        <f>TEXT(원본데이터_리씽크!B337,"0")</f>
        <v>2026020518480400000</v>
      </c>
      <c r="C1241" t="str">
        <f>IF(원본데이터_리씽크!A337="","",TEXT(원본데이터_리씽크!A337,"YYYY-MM-DD"))</f>
        <v>2026-02-05</v>
      </c>
      <c r="D1241">
        <f>원본데이터_리씽크!S337</f>
        <v>143790</v>
      </c>
      <c r="E1241" t="str">
        <f>IFERROR(VLOOKUP(원본데이터_리씽크!S337,채널매핑!$B:$D,3,0),"미매핑")</f>
        <v>SKU001</v>
      </c>
      <c r="F1241">
        <f>IFERROR(VLOOKUP(원본데이터_리씽크!S337,채널매핑!$B:$E,4,0),1)</f>
        <v>4</v>
      </c>
      <c r="G1241">
        <f>원본데이터_리씽크!P337</f>
        <v>1</v>
      </c>
      <c r="H1241">
        <f>원본데이터_리씽크!O337</f>
        <v>45500</v>
      </c>
      <c r="I1241">
        <f>원본데이터_리씽크!X337</f>
        <v>45500</v>
      </c>
      <c r="J1241">
        <f>원본데이터_리씽크!X337</f>
        <v>45500</v>
      </c>
      <c r="K1241" t="str">
        <f>IFERROR(VLOOKUP(E1241,제품마스터!$A:$B,2,0),0)</f>
        <v>[워커힐] 시그니처 양념갈비 300G</v>
      </c>
      <c r="L1241">
        <f>원본데이터_리씽크!P337*원본데이터_리씽크!Q337*F1241</f>
        <v>0</v>
      </c>
    </row>
    <row r="1242" spans="1:12" x14ac:dyDescent="0.3">
      <c r="A1242" t="s">
        <v>196</v>
      </c>
      <c r="B1242" t="str">
        <f>TEXT(원본데이터_리씽크!B338,"0")</f>
        <v>2026020518472560000</v>
      </c>
      <c r="C1242" t="str">
        <f>IF(원본데이터_리씽크!A338="","",TEXT(원본데이터_리씽크!A338,"YYYY-MM-DD"))</f>
        <v>2026-02-05</v>
      </c>
      <c r="D1242">
        <f>원본데이터_리씽크!S338</f>
        <v>143790</v>
      </c>
      <c r="E1242" t="str">
        <f>IFERROR(VLOOKUP(원본데이터_리씽크!S338,채널매핑!$B:$D,3,0),"미매핑")</f>
        <v>SKU001</v>
      </c>
      <c r="F1242">
        <f>IFERROR(VLOOKUP(원본데이터_리씽크!S338,채널매핑!$B:$E,4,0),1)</f>
        <v>4</v>
      </c>
      <c r="G1242">
        <f>원본데이터_리씽크!P338</f>
        <v>1</v>
      </c>
      <c r="H1242">
        <f>원본데이터_리씽크!O338</f>
        <v>45500</v>
      </c>
      <c r="I1242">
        <f>원본데이터_리씽크!X338</f>
        <v>45500</v>
      </c>
      <c r="J1242">
        <f>원본데이터_리씽크!X338</f>
        <v>45500</v>
      </c>
      <c r="K1242" t="str">
        <f>IFERROR(VLOOKUP(E1242,제품마스터!$A:$B,2,0),0)</f>
        <v>[워커힐] 시그니처 양념갈비 300G</v>
      </c>
      <c r="L1242">
        <f>원본데이터_리씽크!P338*원본데이터_리씽크!Q338*F1242</f>
        <v>0</v>
      </c>
    </row>
    <row r="1243" spans="1:12" x14ac:dyDescent="0.3">
      <c r="A1243" t="s">
        <v>196</v>
      </c>
      <c r="B1243" t="str">
        <f>TEXT(원본데이터_리씽크!B339,"0")</f>
        <v>2026020519172120000</v>
      </c>
      <c r="C1243" t="str">
        <f>IF(원본데이터_리씽크!A339="","",TEXT(원본데이터_리씽크!A339,"YYYY-MM-DD"))</f>
        <v>2026-02-05</v>
      </c>
      <c r="D1243">
        <f>원본데이터_리씽크!S339</f>
        <v>143790</v>
      </c>
      <c r="E1243" t="str">
        <f>IFERROR(VLOOKUP(원본데이터_리씽크!S339,채널매핑!$B:$D,3,0),"미매핑")</f>
        <v>SKU001</v>
      </c>
      <c r="F1243">
        <f>IFERROR(VLOOKUP(원본데이터_리씽크!S339,채널매핑!$B:$E,4,0),1)</f>
        <v>4</v>
      </c>
      <c r="G1243">
        <f>원본데이터_리씽크!P339</f>
        <v>1</v>
      </c>
      <c r="H1243">
        <f>원본데이터_리씽크!O339</f>
        <v>45500</v>
      </c>
      <c r="I1243">
        <f>원본데이터_리씽크!X339</f>
        <v>45500</v>
      </c>
      <c r="J1243">
        <f>원본데이터_리씽크!X339</f>
        <v>45500</v>
      </c>
      <c r="K1243" t="str">
        <f>IFERROR(VLOOKUP(E1243,제품마스터!$A:$B,2,0),0)</f>
        <v>[워커힐] 시그니처 양념갈비 300G</v>
      </c>
      <c r="L1243">
        <f>원본데이터_리씽크!P339*원본데이터_리씽크!Q339*F1243</f>
        <v>0</v>
      </c>
    </row>
    <row r="1244" spans="1:12" x14ac:dyDescent="0.3">
      <c r="A1244" t="s">
        <v>196</v>
      </c>
      <c r="B1244" t="str">
        <f>TEXT(원본데이터_리씽크!B340,"0")</f>
        <v>2026020519251270000</v>
      </c>
      <c r="C1244" t="str">
        <f>IF(원본데이터_리씽크!A340="","",TEXT(원본데이터_리씽크!A340,"YYYY-MM-DD"))</f>
        <v>2026-02-05</v>
      </c>
      <c r="D1244">
        <f>원본데이터_리씽크!S340</f>
        <v>143790</v>
      </c>
      <c r="E1244" t="str">
        <f>IFERROR(VLOOKUP(원본데이터_리씽크!S340,채널매핑!$B:$D,3,0),"미매핑")</f>
        <v>SKU001</v>
      </c>
      <c r="F1244">
        <f>IFERROR(VLOOKUP(원본데이터_리씽크!S340,채널매핑!$B:$E,4,0),1)</f>
        <v>4</v>
      </c>
      <c r="G1244">
        <f>원본데이터_리씽크!P340</f>
        <v>1</v>
      </c>
      <c r="H1244">
        <f>원본데이터_리씽크!O340</f>
        <v>45500</v>
      </c>
      <c r="I1244">
        <f>원본데이터_리씽크!X340</f>
        <v>45500</v>
      </c>
      <c r="J1244">
        <f>원본데이터_리씽크!X340</f>
        <v>45500</v>
      </c>
      <c r="K1244" t="str">
        <f>IFERROR(VLOOKUP(E1244,제품마스터!$A:$B,2,0),0)</f>
        <v>[워커힐] 시그니처 양념갈비 300G</v>
      </c>
      <c r="L1244">
        <f>원본데이터_리씽크!P340*원본데이터_리씽크!Q340*F1244</f>
        <v>0</v>
      </c>
    </row>
    <row r="1245" spans="1:12" x14ac:dyDescent="0.3">
      <c r="A1245" t="s">
        <v>196</v>
      </c>
      <c r="B1245" t="str">
        <f>TEXT(원본데이터_리씽크!B341,"0")</f>
        <v>2026020519484940000</v>
      </c>
      <c r="C1245" t="str">
        <f>IF(원본데이터_리씽크!A341="","",TEXT(원본데이터_리씽크!A341,"YYYY-MM-DD"))</f>
        <v>2026-02-05</v>
      </c>
      <c r="D1245">
        <f>원본데이터_리씽크!S341</f>
        <v>143790</v>
      </c>
      <c r="E1245" t="str">
        <f>IFERROR(VLOOKUP(원본데이터_리씽크!S341,채널매핑!$B:$D,3,0),"미매핑")</f>
        <v>SKU001</v>
      </c>
      <c r="F1245">
        <f>IFERROR(VLOOKUP(원본데이터_리씽크!S341,채널매핑!$B:$E,4,0),1)</f>
        <v>4</v>
      </c>
      <c r="G1245">
        <f>원본데이터_리씽크!P341</f>
        <v>1</v>
      </c>
      <c r="H1245">
        <f>원본데이터_리씽크!O341</f>
        <v>45500</v>
      </c>
      <c r="I1245">
        <f>원본데이터_리씽크!X341</f>
        <v>45500</v>
      </c>
      <c r="J1245">
        <f>원본데이터_리씽크!X341</f>
        <v>45500</v>
      </c>
      <c r="K1245" t="str">
        <f>IFERROR(VLOOKUP(E1245,제품마스터!$A:$B,2,0),0)</f>
        <v>[워커힐] 시그니처 양념갈비 300G</v>
      </c>
      <c r="L1245">
        <f>원본데이터_리씽크!P341*원본데이터_리씽크!Q341*F1245</f>
        <v>0</v>
      </c>
    </row>
    <row r="1246" spans="1:12" x14ac:dyDescent="0.3">
      <c r="A1246" t="s">
        <v>196</v>
      </c>
      <c r="B1246" t="str">
        <f>TEXT(원본데이터_리씽크!B342,"0")</f>
        <v>2026020519493300000</v>
      </c>
      <c r="C1246" t="str">
        <f>IF(원본데이터_리씽크!A342="","",TEXT(원본데이터_리씽크!A342,"YYYY-MM-DD"))</f>
        <v>2026-02-05</v>
      </c>
      <c r="D1246">
        <f>원본데이터_리씽크!S342</f>
        <v>143790</v>
      </c>
      <c r="E1246" t="str">
        <f>IFERROR(VLOOKUP(원본데이터_리씽크!S342,채널매핑!$B:$D,3,0),"미매핑")</f>
        <v>SKU001</v>
      </c>
      <c r="F1246">
        <f>IFERROR(VLOOKUP(원본데이터_리씽크!S342,채널매핑!$B:$E,4,0),1)</f>
        <v>4</v>
      </c>
      <c r="G1246">
        <f>원본데이터_리씽크!P342</f>
        <v>1</v>
      </c>
      <c r="H1246">
        <f>원본데이터_리씽크!O342</f>
        <v>45500</v>
      </c>
      <c r="I1246">
        <f>원본데이터_리씽크!X342</f>
        <v>45500</v>
      </c>
      <c r="J1246">
        <f>원본데이터_리씽크!X342</f>
        <v>45500</v>
      </c>
      <c r="K1246" t="str">
        <f>IFERROR(VLOOKUP(E1246,제품마스터!$A:$B,2,0),0)</f>
        <v>[워커힐] 시그니처 양념갈비 300G</v>
      </c>
      <c r="L1246">
        <f>원본데이터_리씽크!P342*원본데이터_리씽크!Q342*F1246</f>
        <v>0</v>
      </c>
    </row>
    <row r="1247" spans="1:12" x14ac:dyDescent="0.3">
      <c r="A1247" t="s">
        <v>196</v>
      </c>
      <c r="B1247" t="str">
        <f>TEXT(원본데이터_리씽크!B343,"0")</f>
        <v>2026020520050260000</v>
      </c>
      <c r="C1247" t="str">
        <f>IF(원본데이터_리씽크!A343="","",TEXT(원본데이터_리씽크!A343,"YYYY-MM-DD"))</f>
        <v>2026-02-05</v>
      </c>
      <c r="D1247">
        <f>원본데이터_리씽크!S343</f>
        <v>143790</v>
      </c>
      <c r="E1247" t="str">
        <f>IFERROR(VLOOKUP(원본데이터_리씽크!S343,채널매핑!$B:$D,3,0),"미매핑")</f>
        <v>SKU001</v>
      </c>
      <c r="F1247">
        <f>IFERROR(VLOOKUP(원본데이터_리씽크!S343,채널매핑!$B:$E,4,0),1)</f>
        <v>4</v>
      </c>
      <c r="G1247">
        <f>원본데이터_리씽크!P343</f>
        <v>1</v>
      </c>
      <c r="H1247">
        <f>원본데이터_리씽크!O343</f>
        <v>45500</v>
      </c>
      <c r="I1247">
        <f>원본데이터_리씽크!X343</f>
        <v>45500</v>
      </c>
      <c r="J1247">
        <f>원본데이터_리씽크!X343</f>
        <v>45500</v>
      </c>
      <c r="K1247" t="str">
        <f>IFERROR(VLOOKUP(E1247,제품마스터!$A:$B,2,0),0)</f>
        <v>[워커힐] 시그니처 양념갈비 300G</v>
      </c>
      <c r="L1247">
        <f>원본데이터_리씽크!P343*원본데이터_리씽크!Q343*F1247</f>
        <v>0</v>
      </c>
    </row>
    <row r="1248" spans="1:12" x14ac:dyDescent="0.3">
      <c r="A1248" t="s">
        <v>196</v>
      </c>
      <c r="B1248" t="str">
        <f>TEXT(원본데이터_리씽크!B344,"0")</f>
        <v>2026020520272230000</v>
      </c>
      <c r="C1248" t="str">
        <f>IF(원본데이터_리씽크!A344="","",TEXT(원본데이터_리씽크!A344,"YYYY-MM-DD"))</f>
        <v>2026-02-05</v>
      </c>
      <c r="D1248">
        <f>원본데이터_리씽크!S344</f>
        <v>143790</v>
      </c>
      <c r="E1248" t="str">
        <f>IFERROR(VLOOKUP(원본데이터_리씽크!S344,채널매핑!$B:$D,3,0),"미매핑")</f>
        <v>SKU001</v>
      </c>
      <c r="F1248">
        <f>IFERROR(VLOOKUP(원본데이터_리씽크!S344,채널매핑!$B:$E,4,0),1)</f>
        <v>4</v>
      </c>
      <c r="G1248">
        <f>원본데이터_리씽크!P344</f>
        <v>1</v>
      </c>
      <c r="H1248">
        <f>원본데이터_리씽크!O344</f>
        <v>45500</v>
      </c>
      <c r="I1248">
        <f>원본데이터_리씽크!X344</f>
        <v>45500</v>
      </c>
      <c r="J1248">
        <f>원본데이터_리씽크!X344</f>
        <v>45500</v>
      </c>
      <c r="K1248" t="str">
        <f>IFERROR(VLOOKUP(E1248,제품마스터!$A:$B,2,0),0)</f>
        <v>[워커힐] 시그니처 양념갈비 300G</v>
      </c>
      <c r="L1248">
        <f>원본데이터_리씽크!P344*원본데이터_리씽크!Q344*F1248</f>
        <v>0</v>
      </c>
    </row>
    <row r="1249" spans="1:12" x14ac:dyDescent="0.3">
      <c r="A1249" t="s">
        <v>196</v>
      </c>
      <c r="B1249" t="str">
        <f>TEXT(원본데이터_리씽크!B345,"0")</f>
        <v>2026020520310340000</v>
      </c>
      <c r="C1249" t="str">
        <f>IF(원본데이터_리씽크!A345="","",TEXT(원본데이터_리씽크!A345,"YYYY-MM-DD"))</f>
        <v>2026-02-05</v>
      </c>
      <c r="D1249">
        <f>원본데이터_리씽크!S345</f>
        <v>143790</v>
      </c>
      <c r="E1249" t="str">
        <f>IFERROR(VLOOKUP(원본데이터_리씽크!S345,채널매핑!$B:$D,3,0),"미매핑")</f>
        <v>SKU001</v>
      </c>
      <c r="F1249">
        <f>IFERROR(VLOOKUP(원본데이터_리씽크!S345,채널매핑!$B:$E,4,0),1)</f>
        <v>4</v>
      </c>
      <c r="G1249">
        <f>원본데이터_리씽크!P345</f>
        <v>1</v>
      </c>
      <c r="H1249">
        <f>원본데이터_리씽크!O345</f>
        <v>45500</v>
      </c>
      <c r="I1249">
        <f>원본데이터_리씽크!X345</f>
        <v>45500</v>
      </c>
      <c r="J1249">
        <f>원본데이터_리씽크!X345</f>
        <v>45500</v>
      </c>
      <c r="K1249" t="str">
        <f>IFERROR(VLOOKUP(E1249,제품마스터!$A:$B,2,0),0)</f>
        <v>[워커힐] 시그니처 양념갈비 300G</v>
      </c>
      <c r="L1249">
        <f>원본데이터_리씽크!P345*원본데이터_리씽크!Q345*F1249</f>
        <v>0</v>
      </c>
    </row>
    <row r="1250" spans="1:12" x14ac:dyDescent="0.3">
      <c r="A1250" t="s">
        <v>196</v>
      </c>
      <c r="B1250" t="str">
        <f>TEXT(원본데이터_리씽크!B346,"0")</f>
        <v>2026020521040350000</v>
      </c>
      <c r="C1250" t="str">
        <f>IF(원본데이터_리씽크!A346="","",TEXT(원본데이터_리씽크!A346,"YYYY-MM-DD"))</f>
        <v>2026-02-05</v>
      </c>
      <c r="D1250">
        <f>원본데이터_리씽크!S346</f>
        <v>143790</v>
      </c>
      <c r="E1250" t="str">
        <f>IFERROR(VLOOKUP(원본데이터_리씽크!S346,채널매핑!$B:$D,3,0),"미매핑")</f>
        <v>SKU001</v>
      </c>
      <c r="F1250">
        <f>IFERROR(VLOOKUP(원본데이터_리씽크!S346,채널매핑!$B:$E,4,0),1)</f>
        <v>4</v>
      </c>
      <c r="G1250">
        <f>원본데이터_리씽크!P346</f>
        <v>1</v>
      </c>
      <c r="H1250">
        <f>원본데이터_리씽크!O346</f>
        <v>45500</v>
      </c>
      <c r="I1250">
        <f>원본데이터_리씽크!X346</f>
        <v>45500</v>
      </c>
      <c r="J1250">
        <f>원본데이터_리씽크!X346</f>
        <v>45500</v>
      </c>
      <c r="K1250" t="str">
        <f>IFERROR(VLOOKUP(E1250,제품마스터!$A:$B,2,0),0)</f>
        <v>[워커힐] 시그니처 양념갈비 300G</v>
      </c>
      <c r="L1250">
        <f>원본데이터_리씽크!P346*원본데이터_리씽크!Q346*F1250</f>
        <v>0</v>
      </c>
    </row>
    <row r="1251" spans="1:12" x14ac:dyDescent="0.3">
      <c r="A1251" t="s">
        <v>196</v>
      </c>
      <c r="B1251" t="str">
        <f>TEXT(원본데이터_리씽크!B347,"0")</f>
        <v>2026020521162750000</v>
      </c>
      <c r="C1251" t="str">
        <f>IF(원본데이터_리씽크!A347="","",TEXT(원본데이터_리씽크!A347,"YYYY-MM-DD"))</f>
        <v>2026-02-05</v>
      </c>
      <c r="D1251">
        <f>원본데이터_리씽크!S347</f>
        <v>143790</v>
      </c>
      <c r="E1251" t="str">
        <f>IFERROR(VLOOKUP(원본데이터_리씽크!S347,채널매핑!$B:$D,3,0),"미매핑")</f>
        <v>SKU001</v>
      </c>
      <c r="F1251">
        <f>IFERROR(VLOOKUP(원본데이터_리씽크!S347,채널매핑!$B:$E,4,0),1)</f>
        <v>4</v>
      </c>
      <c r="G1251">
        <f>원본데이터_리씽크!P347</f>
        <v>1</v>
      </c>
      <c r="H1251">
        <f>원본데이터_리씽크!O347</f>
        <v>45500</v>
      </c>
      <c r="I1251">
        <f>원본데이터_리씽크!X347</f>
        <v>45500</v>
      </c>
      <c r="J1251">
        <f>원본데이터_리씽크!X347</f>
        <v>45500</v>
      </c>
      <c r="K1251" t="str">
        <f>IFERROR(VLOOKUP(E1251,제품마스터!$A:$B,2,0),0)</f>
        <v>[워커힐] 시그니처 양념갈비 300G</v>
      </c>
      <c r="L1251">
        <f>원본데이터_리씽크!P347*원본데이터_리씽크!Q347*F1251</f>
        <v>0</v>
      </c>
    </row>
    <row r="1252" spans="1:12" x14ac:dyDescent="0.3">
      <c r="A1252" t="s">
        <v>196</v>
      </c>
      <c r="B1252" t="str">
        <f>TEXT(원본데이터_리씽크!B348,"0")</f>
        <v>2026020521183230000</v>
      </c>
      <c r="C1252" t="str">
        <f>IF(원본데이터_리씽크!A348="","",TEXT(원본데이터_리씽크!A348,"YYYY-MM-DD"))</f>
        <v>2026-02-05</v>
      </c>
      <c r="D1252">
        <f>원본데이터_리씽크!S348</f>
        <v>143790</v>
      </c>
      <c r="E1252" t="str">
        <f>IFERROR(VLOOKUP(원본데이터_리씽크!S348,채널매핑!$B:$D,3,0),"미매핑")</f>
        <v>SKU001</v>
      </c>
      <c r="F1252">
        <f>IFERROR(VLOOKUP(원본데이터_리씽크!S348,채널매핑!$B:$E,4,0),1)</f>
        <v>4</v>
      </c>
      <c r="G1252">
        <f>원본데이터_리씽크!P348</f>
        <v>1</v>
      </c>
      <c r="H1252">
        <f>원본데이터_리씽크!O348</f>
        <v>45500</v>
      </c>
      <c r="I1252">
        <f>원본데이터_리씽크!X348</f>
        <v>45500</v>
      </c>
      <c r="J1252">
        <f>원본데이터_리씽크!X348</f>
        <v>45500</v>
      </c>
      <c r="K1252" t="str">
        <f>IFERROR(VLOOKUP(E1252,제품마스터!$A:$B,2,0),0)</f>
        <v>[워커힐] 시그니처 양념갈비 300G</v>
      </c>
      <c r="L1252">
        <f>원본데이터_리씽크!P348*원본데이터_리씽크!Q348*F1252</f>
        <v>0</v>
      </c>
    </row>
    <row r="1253" spans="1:12" x14ac:dyDescent="0.3">
      <c r="A1253" t="s">
        <v>196</v>
      </c>
      <c r="B1253" t="str">
        <f>TEXT(원본데이터_리씽크!B349,"0")</f>
        <v>2026020522205450000</v>
      </c>
      <c r="C1253" t="str">
        <f>IF(원본데이터_리씽크!A349="","",TEXT(원본데이터_리씽크!A349,"YYYY-MM-DD"))</f>
        <v>2026-02-05</v>
      </c>
      <c r="D1253">
        <f>원본데이터_리씽크!S349</f>
        <v>143790</v>
      </c>
      <c r="E1253" t="str">
        <f>IFERROR(VLOOKUP(원본데이터_리씽크!S349,채널매핑!$B:$D,3,0),"미매핑")</f>
        <v>SKU001</v>
      </c>
      <c r="F1253">
        <f>IFERROR(VLOOKUP(원본데이터_리씽크!S349,채널매핑!$B:$E,4,0),1)</f>
        <v>4</v>
      </c>
      <c r="G1253">
        <f>원본데이터_리씽크!P349</f>
        <v>1</v>
      </c>
      <c r="H1253">
        <f>원본데이터_리씽크!O349</f>
        <v>45500</v>
      </c>
      <c r="I1253">
        <f>원본데이터_리씽크!X349</f>
        <v>45500</v>
      </c>
      <c r="J1253">
        <f>원본데이터_리씽크!X349</f>
        <v>45500</v>
      </c>
      <c r="K1253" t="str">
        <f>IFERROR(VLOOKUP(E1253,제품마스터!$A:$B,2,0),0)</f>
        <v>[워커힐] 시그니처 양념갈비 300G</v>
      </c>
      <c r="L1253">
        <f>원본데이터_리씽크!P349*원본데이터_리씽크!Q349*F1253</f>
        <v>0</v>
      </c>
    </row>
    <row r="1254" spans="1:12" x14ac:dyDescent="0.3">
      <c r="A1254" t="s">
        <v>196</v>
      </c>
      <c r="B1254" t="str">
        <f>TEXT(원본데이터_리씽크!B350,"0")</f>
        <v>2026020522305020000</v>
      </c>
      <c r="C1254" t="str">
        <f>IF(원본데이터_리씽크!A350="","",TEXT(원본데이터_리씽크!A350,"YYYY-MM-DD"))</f>
        <v>2026-02-05</v>
      </c>
      <c r="D1254">
        <f>원본데이터_리씽크!S350</f>
        <v>143790</v>
      </c>
      <c r="E1254" t="str">
        <f>IFERROR(VLOOKUP(원본데이터_리씽크!S350,채널매핑!$B:$D,3,0),"미매핑")</f>
        <v>SKU001</v>
      </c>
      <c r="F1254">
        <f>IFERROR(VLOOKUP(원본데이터_리씽크!S350,채널매핑!$B:$E,4,0),1)</f>
        <v>4</v>
      </c>
      <c r="G1254">
        <f>원본데이터_리씽크!P350</f>
        <v>1</v>
      </c>
      <c r="H1254">
        <f>원본데이터_리씽크!O350</f>
        <v>45500</v>
      </c>
      <c r="I1254">
        <f>원본데이터_리씽크!X350</f>
        <v>45500</v>
      </c>
      <c r="J1254">
        <f>원본데이터_리씽크!X350</f>
        <v>45500</v>
      </c>
      <c r="K1254" t="str">
        <f>IFERROR(VLOOKUP(E1254,제품마스터!$A:$B,2,0),0)</f>
        <v>[워커힐] 시그니처 양념갈비 300G</v>
      </c>
      <c r="L1254">
        <f>원본데이터_리씽크!P350*원본데이터_리씽크!Q350*F1254</f>
        <v>0</v>
      </c>
    </row>
    <row r="1255" spans="1:12" x14ac:dyDescent="0.3">
      <c r="A1255" t="s">
        <v>196</v>
      </c>
      <c r="B1255" t="str">
        <f>TEXT(원본데이터_리씽크!B351,"0")</f>
        <v>2026020522374460000</v>
      </c>
      <c r="C1255" t="str">
        <f>IF(원본데이터_리씽크!A351="","",TEXT(원본데이터_리씽크!A351,"YYYY-MM-DD"))</f>
        <v>2026-02-05</v>
      </c>
      <c r="D1255">
        <f>원본데이터_리씽크!S351</f>
        <v>143790</v>
      </c>
      <c r="E1255" t="str">
        <f>IFERROR(VLOOKUP(원본데이터_리씽크!S351,채널매핑!$B:$D,3,0),"미매핑")</f>
        <v>SKU001</v>
      </c>
      <c r="F1255">
        <f>IFERROR(VLOOKUP(원본데이터_리씽크!S351,채널매핑!$B:$E,4,0),1)</f>
        <v>4</v>
      </c>
      <c r="G1255">
        <f>원본데이터_리씽크!P351</f>
        <v>3</v>
      </c>
      <c r="H1255">
        <f>원본데이터_리씽크!O351</f>
        <v>45500</v>
      </c>
      <c r="I1255">
        <f>원본데이터_리씽크!X351</f>
        <v>136500</v>
      </c>
      <c r="J1255">
        <f>원본데이터_리씽크!X351</f>
        <v>136500</v>
      </c>
      <c r="K1255" t="str">
        <f>IFERROR(VLOOKUP(E1255,제품마스터!$A:$B,2,0),0)</f>
        <v>[워커힐] 시그니처 양념갈비 300G</v>
      </c>
      <c r="L1255">
        <f>원본데이터_리씽크!P351*원본데이터_리씽크!Q351*F1255</f>
        <v>0</v>
      </c>
    </row>
    <row r="1256" spans="1:12" x14ac:dyDescent="0.3">
      <c r="A1256" t="s">
        <v>196</v>
      </c>
      <c r="B1256" t="str">
        <f>TEXT(원본데이터_리씽크!B352,"0")</f>
        <v>2026020522415470000</v>
      </c>
      <c r="C1256" t="str">
        <f>IF(원본데이터_리씽크!A352="","",TEXT(원본데이터_리씽크!A352,"YYYY-MM-DD"))</f>
        <v>2026-02-05</v>
      </c>
      <c r="D1256">
        <f>원본데이터_리씽크!S352</f>
        <v>143790</v>
      </c>
      <c r="E1256" t="str">
        <f>IFERROR(VLOOKUP(원본데이터_리씽크!S352,채널매핑!$B:$D,3,0),"미매핑")</f>
        <v>SKU001</v>
      </c>
      <c r="F1256">
        <f>IFERROR(VLOOKUP(원본데이터_리씽크!S352,채널매핑!$B:$E,4,0),1)</f>
        <v>4</v>
      </c>
      <c r="G1256">
        <f>원본데이터_리씽크!P352</f>
        <v>1</v>
      </c>
      <c r="H1256">
        <f>원본데이터_리씽크!O352</f>
        <v>45500</v>
      </c>
      <c r="I1256">
        <f>원본데이터_리씽크!X352</f>
        <v>45500</v>
      </c>
      <c r="J1256">
        <f>원본데이터_리씽크!X352</f>
        <v>45500</v>
      </c>
      <c r="K1256" t="str">
        <f>IFERROR(VLOOKUP(E1256,제품마스터!$A:$B,2,0),0)</f>
        <v>[워커힐] 시그니처 양념갈비 300G</v>
      </c>
      <c r="L1256">
        <f>원본데이터_리씽크!P352*원본데이터_리씽크!Q352*F1256</f>
        <v>0</v>
      </c>
    </row>
    <row r="1257" spans="1:12" x14ac:dyDescent="0.3">
      <c r="A1257" t="s">
        <v>196</v>
      </c>
      <c r="B1257" t="str">
        <f>TEXT(원본데이터_리씽크!B353,"0")</f>
        <v>2026020522465410000</v>
      </c>
      <c r="C1257" t="str">
        <f>IF(원본데이터_리씽크!A353="","",TEXT(원본데이터_리씽크!A353,"YYYY-MM-DD"))</f>
        <v>2026-02-05</v>
      </c>
      <c r="D1257">
        <f>원본데이터_리씽크!S353</f>
        <v>143790</v>
      </c>
      <c r="E1257" t="str">
        <f>IFERROR(VLOOKUP(원본데이터_리씽크!S353,채널매핑!$B:$D,3,0),"미매핑")</f>
        <v>SKU001</v>
      </c>
      <c r="F1257">
        <f>IFERROR(VLOOKUP(원본데이터_리씽크!S353,채널매핑!$B:$E,4,0),1)</f>
        <v>4</v>
      </c>
      <c r="G1257">
        <f>원본데이터_리씽크!P353</f>
        <v>1</v>
      </c>
      <c r="H1257">
        <f>원본데이터_리씽크!O353</f>
        <v>45500</v>
      </c>
      <c r="I1257">
        <f>원본데이터_리씽크!X353</f>
        <v>45500</v>
      </c>
      <c r="J1257">
        <f>원본데이터_리씽크!X353</f>
        <v>45500</v>
      </c>
      <c r="K1257" t="str">
        <f>IFERROR(VLOOKUP(E1257,제품마스터!$A:$B,2,0),0)</f>
        <v>[워커힐] 시그니처 양념갈비 300G</v>
      </c>
      <c r="L1257">
        <f>원본데이터_리씽크!P353*원본데이터_리씽크!Q353*F1257</f>
        <v>0</v>
      </c>
    </row>
    <row r="1258" spans="1:12" x14ac:dyDescent="0.3">
      <c r="A1258" t="s">
        <v>196</v>
      </c>
      <c r="B1258" t="str">
        <f>TEXT(원본데이터_리씽크!B354,"0")</f>
        <v>2026020523332730000</v>
      </c>
      <c r="C1258" t="str">
        <f>IF(원본데이터_리씽크!A354="","",TEXT(원본데이터_리씽크!A354,"YYYY-MM-DD"))</f>
        <v>2026-02-05</v>
      </c>
      <c r="D1258">
        <f>원본데이터_리씽크!S354</f>
        <v>143790</v>
      </c>
      <c r="E1258" t="str">
        <f>IFERROR(VLOOKUP(원본데이터_리씽크!S354,채널매핑!$B:$D,3,0),"미매핑")</f>
        <v>SKU001</v>
      </c>
      <c r="F1258">
        <f>IFERROR(VLOOKUP(원본데이터_리씽크!S354,채널매핑!$B:$E,4,0),1)</f>
        <v>4</v>
      </c>
      <c r="G1258">
        <f>원본데이터_리씽크!P354</f>
        <v>1</v>
      </c>
      <c r="H1258">
        <f>원본데이터_리씽크!O354</f>
        <v>45500</v>
      </c>
      <c r="I1258">
        <f>원본데이터_리씽크!X354</f>
        <v>45500</v>
      </c>
      <c r="J1258">
        <f>원본데이터_리씽크!X354</f>
        <v>45500</v>
      </c>
      <c r="K1258" t="str">
        <f>IFERROR(VLOOKUP(E1258,제품마스터!$A:$B,2,0),0)</f>
        <v>[워커힐] 시그니처 양념갈비 300G</v>
      </c>
      <c r="L1258">
        <f>원본데이터_리씽크!P354*원본데이터_리씽크!Q354*F1258</f>
        <v>0</v>
      </c>
    </row>
    <row r="1259" spans="1:12" x14ac:dyDescent="0.3">
      <c r="A1259" t="s">
        <v>196</v>
      </c>
      <c r="B1259" t="str">
        <f>TEXT(원본데이터_리씽크!B355,"0")</f>
        <v>2026020523382810000</v>
      </c>
      <c r="C1259" t="str">
        <f>IF(원본데이터_리씽크!A355="","",TEXT(원본데이터_리씽크!A355,"YYYY-MM-DD"))</f>
        <v>2026-02-05</v>
      </c>
      <c r="D1259">
        <f>원본데이터_리씽크!S355</f>
        <v>143790</v>
      </c>
      <c r="E1259" t="str">
        <f>IFERROR(VLOOKUP(원본데이터_리씽크!S355,채널매핑!$B:$D,3,0),"미매핑")</f>
        <v>SKU001</v>
      </c>
      <c r="F1259">
        <f>IFERROR(VLOOKUP(원본데이터_리씽크!S355,채널매핑!$B:$E,4,0),1)</f>
        <v>4</v>
      </c>
      <c r="G1259">
        <f>원본데이터_리씽크!P355</f>
        <v>3</v>
      </c>
      <c r="H1259">
        <f>원본데이터_리씽크!O355</f>
        <v>45500</v>
      </c>
      <c r="I1259">
        <f>원본데이터_리씽크!X355</f>
        <v>136500</v>
      </c>
      <c r="J1259">
        <f>원본데이터_리씽크!X355</f>
        <v>136500</v>
      </c>
      <c r="K1259" t="str">
        <f>IFERROR(VLOOKUP(E1259,제품마스터!$A:$B,2,0),0)</f>
        <v>[워커힐] 시그니처 양념갈비 300G</v>
      </c>
      <c r="L1259">
        <f>원본데이터_리씽크!P355*원본데이터_리씽크!Q355*F1259</f>
        <v>0</v>
      </c>
    </row>
    <row r="1260" spans="1:12" x14ac:dyDescent="0.3">
      <c r="A1260" t="s">
        <v>196</v>
      </c>
      <c r="B1260" t="str">
        <f>TEXT(원본데이터_리씽크!B356,"0")</f>
        <v>2026020523473730000</v>
      </c>
      <c r="C1260" t="str">
        <f>IF(원본데이터_리씽크!A356="","",TEXT(원본데이터_리씽크!A356,"YYYY-MM-DD"))</f>
        <v>2026-02-05</v>
      </c>
      <c r="D1260">
        <f>원본데이터_리씽크!S356</f>
        <v>143790</v>
      </c>
      <c r="E1260" t="str">
        <f>IFERROR(VLOOKUP(원본데이터_리씽크!S356,채널매핑!$B:$D,3,0),"미매핑")</f>
        <v>SKU001</v>
      </c>
      <c r="F1260">
        <f>IFERROR(VLOOKUP(원본데이터_리씽크!S356,채널매핑!$B:$E,4,0),1)</f>
        <v>4</v>
      </c>
      <c r="G1260">
        <f>원본데이터_리씽크!P356</f>
        <v>1</v>
      </c>
      <c r="H1260">
        <f>원본데이터_리씽크!O356</f>
        <v>45500</v>
      </c>
      <c r="I1260">
        <f>원본데이터_리씽크!X356</f>
        <v>45500</v>
      </c>
      <c r="J1260">
        <f>원본데이터_리씽크!X356</f>
        <v>45500</v>
      </c>
      <c r="K1260" t="str">
        <f>IFERROR(VLOOKUP(E1260,제품마스터!$A:$B,2,0),0)</f>
        <v>[워커힐] 시그니처 양념갈비 300G</v>
      </c>
      <c r="L1260">
        <f>원본데이터_리씽크!P356*원본데이터_리씽크!Q356*F1260</f>
        <v>0</v>
      </c>
    </row>
    <row r="1261" spans="1:12" x14ac:dyDescent="0.3">
      <c r="A1261" t="s">
        <v>196</v>
      </c>
      <c r="B1261" t="str">
        <f>TEXT(원본데이터_리씽크!B357,"0")</f>
        <v>2026020523475850000</v>
      </c>
      <c r="C1261" t="str">
        <f>IF(원본데이터_리씽크!A357="","",TEXT(원본데이터_리씽크!A357,"YYYY-MM-DD"))</f>
        <v>2026-02-05</v>
      </c>
      <c r="D1261">
        <f>원본데이터_리씽크!S357</f>
        <v>143790</v>
      </c>
      <c r="E1261" t="str">
        <f>IFERROR(VLOOKUP(원본데이터_리씽크!S357,채널매핑!$B:$D,3,0),"미매핑")</f>
        <v>SKU001</v>
      </c>
      <c r="F1261">
        <f>IFERROR(VLOOKUP(원본데이터_리씽크!S357,채널매핑!$B:$E,4,0),1)</f>
        <v>4</v>
      </c>
      <c r="G1261">
        <f>원본데이터_리씽크!P357</f>
        <v>1</v>
      </c>
      <c r="H1261">
        <f>원본데이터_리씽크!O357</f>
        <v>45500</v>
      </c>
      <c r="I1261">
        <f>원본데이터_리씽크!X357</f>
        <v>45500</v>
      </c>
      <c r="J1261">
        <f>원본데이터_리씽크!X357</f>
        <v>45500</v>
      </c>
      <c r="K1261" t="str">
        <f>IFERROR(VLOOKUP(E1261,제품마스터!$A:$B,2,0),0)</f>
        <v>[워커힐] 시그니처 양념갈비 300G</v>
      </c>
      <c r="L1261">
        <f>원본데이터_리씽크!P357*원본데이터_리씽크!Q357*F1261</f>
        <v>0</v>
      </c>
    </row>
    <row r="1262" spans="1:12" x14ac:dyDescent="0.3">
      <c r="A1262" t="s">
        <v>196</v>
      </c>
      <c r="B1262" t="str">
        <f>TEXT(원본데이터_리씽크!B358,"0")</f>
        <v>2026020600080500000</v>
      </c>
      <c r="C1262" t="str">
        <f>IF(원본데이터_리씽크!A358="","",TEXT(원본데이터_리씽크!A358,"YYYY-MM-DD"))</f>
        <v>2026-02-06</v>
      </c>
      <c r="D1262">
        <f>원본데이터_리씽크!S358</f>
        <v>143790</v>
      </c>
      <c r="E1262" t="str">
        <f>IFERROR(VLOOKUP(원본데이터_리씽크!S358,채널매핑!$B:$D,3,0),"미매핑")</f>
        <v>SKU001</v>
      </c>
      <c r="F1262">
        <f>IFERROR(VLOOKUP(원본데이터_리씽크!S358,채널매핑!$B:$E,4,0),1)</f>
        <v>4</v>
      </c>
      <c r="G1262">
        <f>원본데이터_리씽크!P358</f>
        <v>1</v>
      </c>
      <c r="H1262">
        <f>원본데이터_리씽크!O358</f>
        <v>45500</v>
      </c>
      <c r="I1262">
        <f>원본데이터_리씽크!X358</f>
        <v>45500</v>
      </c>
      <c r="J1262">
        <f>원본데이터_리씽크!X358</f>
        <v>45500</v>
      </c>
      <c r="K1262" t="str">
        <f>IFERROR(VLOOKUP(E1262,제품마스터!$A:$B,2,0),0)</f>
        <v>[워커힐] 시그니처 양념갈비 300G</v>
      </c>
      <c r="L1262">
        <f>원본데이터_리씽크!P358*원본데이터_리씽크!Q358*F1262</f>
        <v>0</v>
      </c>
    </row>
    <row r="1263" spans="1:12" x14ac:dyDescent="0.3">
      <c r="A1263" t="s">
        <v>196</v>
      </c>
      <c r="B1263" t="str">
        <f>TEXT(원본데이터_리씽크!B359,"0")</f>
        <v>2026020600195270000</v>
      </c>
      <c r="C1263" t="str">
        <f>IF(원본데이터_리씽크!A359="","",TEXT(원본데이터_리씽크!A359,"YYYY-MM-DD"))</f>
        <v>2026-02-06</v>
      </c>
      <c r="D1263">
        <f>원본데이터_리씽크!S359</f>
        <v>143790</v>
      </c>
      <c r="E1263" t="str">
        <f>IFERROR(VLOOKUP(원본데이터_리씽크!S359,채널매핑!$B:$D,3,0),"미매핑")</f>
        <v>SKU001</v>
      </c>
      <c r="F1263">
        <f>IFERROR(VLOOKUP(원본데이터_리씽크!S359,채널매핑!$B:$E,4,0),1)</f>
        <v>4</v>
      </c>
      <c r="G1263">
        <f>원본데이터_리씽크!P359</f>
        <v>1</v>
      </c>
      <c r="H1263">
        <f>원본데이터_리씽크!O359</f>
        <v>45500</v>
      </c>
      <c r="I1263">
        <f>원본데이터_리씽크!X359</f>
        <v>45500</v>
      </c>
      <c r="J1263">
        <f>원본데이터_리씽크!X359</f>
        <v>45500</v>
      </c>
      <c r="K1263" t="str">
        <f>IFERROR(VLOOKUP(E1263,제품마스터!$A:$B,2,0),0)</f>
        <v>[워커힐] 시그니처 양념갈비 300G</v>
      </c>
      <c r="L1263">
        <f>원본데이터_리씽크!P359*원본데이터_리씽크!Q359*F1263</f>
        <v>0</v>
      </c>
    </row>
    <row r="1264" spans="1:12" x14ac:dyDescent="0.3">
      <c r="A1264" t="s">
        <v>196</v>
      </c>
      <c r="B1264" t="str">
        <f>TEXT(원본데이터_리씽크!B360,"0")</f>
        <v>2026020600424370000</v>
      </c>
      <c r="C1264" t="str">
        <f>IF(원본데이터_리씽크!A360="","",TEXT(원본데이터_리씽크!A360,"YYYY-MM-DD"))</f>
        <v>2026-02-06</v>
      </c>
      <c r="D1264">
        <f>원본데이터_리씽크!S360</f>
        <v>143790</v>
      </c>
      <c r="E1264" t="str">
        <f>IFERROR(VLOOKUP(원본데이터_리씽크!S360,채널매핑!$B:$D,3,0),"미매핑")</f>
        <v>SKU001</v>
      </c>
      <c r="F1264">
        <f>IFERROR(VLOOKUP(원본데이터_리씽크!S360,채널매핑!$B:$E,4,0),1)</f>
        <v>4</v>
      </c>
      <c r="G1264">
        <f>원본데이터_리씽크!P360</f>
        <v>1</v>
      </c>
      <c r="H1264">
        <f>원본데이터_리씽크!O360</f>
        <v>45500</v>
      </c>
      <c r="I1264">
        <f>원본데이터_리씽크!X360</f>
        <v>45500</v>
      </c>
      <c r="J1264">
        <f>원본데이터_리씽크!X360</f>
        <v>45500</v>
      </c>
      <c r="K1264" t="str">
        <f>IFERROR(VLOOKUP(E1264,제품마스터!$A:$B,2,0),0)</f>
        <v>[워커힐] 시그니처 양념갈비 300G</v>
      </c>
      <c r="L1264">
        <f>원본데이터_리씽크!P360*원본데이터_리씽크!Q360*F1264</f>
        <v>0</v>
      </c>
    </row>
    <row r="1265" spans="1:12" x14ac:dyDescent="0.3">
      <c r="A1265" t="s">
        <v>196</v>
      </c>
      <c r="B1265" t="str">
        <f>TEXT(원본데이터_리씽크!B361,"0")</f>
        <v>2026020601232120000</v>
      </c>
      <c r="C1265" t="str">
        <f>IF(원본데이터_리씽크!A361="","",TEXT(원본데이터_리씽크!A361,"YYYY-MM-DD"))</f>
        <v>2026-02-06</v>
      </c>
      <c r="D1265">
        <f>원본데이터_리씽크!S361</f>
        <v>143790</v>
      </c>
      <c r="E1265" t="str">
        <f>IFERROR(VLOOKUP(원본데이터_리씽크!S361,채널매핑!$B:$D,3,0),"미매핑")</f>
        <v>SKU001</v>
      </c>
      <c r="F1265">
        <f>IFERROR(VLOOKUP(원본데이터_리씽크!S361,채널매핑!$B:$E,4,0),1)</f>
        <v>4</v>
      </c>
      <c r="G1265">
        <f>원본데이터_리씽크!P361</f>
        <v>1</v>
      </c>
      <c r="H1265">
        <f>원본데이터_리씽크!O361</f>
        <v>45500</v>
      </c>
      <c r="I1265">
        <f>원본데이터_리씽크!X361</f>
        <v>45500</v>
      </c>
      <c r="J1265">
        <f>원본데이터_리씽크!X361</f>
        <v>45500</v>
      </c>
      <c r="K1265" t="str">
        <f>IFERROR(VLOOKUP(E1265,제품마스터!$A:$B,2,0),0)</f>
        <v>[워커힐] 시그니처 양념갈비 300G</v>
      </c>
      <c r="L1265">
        <f>원본데이터_리씽크!P361*원본데이터_리씽크!Q361*F1265</f>
        <v>0</v>
      </c>
    </row>
    <row r="1266" spans="1:12" x14ac:dyDescent="0.3">
      <c r="A1266" t="s">
        <v>196</v>
      </c>
      <c r="B1266" t="str">
        <f>TEXT(원본데이터_리씽크!B362,"0")</f>
        <v>2026020601253700000</v>
      </c>
      <c r="C1266" t="str">
        <f>IF(원본데이터_리씽크!A362="","",TEXT(원본데이터_리씽크!A362,"YYYY-MM-DD"))</f>
        <v>2026-02-06</v>
      </c>
      <c r="D1266">
        <f>원본데이터_리씽크!S362</f>
        <v>143790</v>
      </c>
      <c r="E1266" t="str">
        <f>IFERROR(VLOOKUP(원본데이터_리씽크!S362,채널매핑!$B:$D,3,0),"미매핑")</f>
        <v>SKU001</v>
      </c>
      <c r="F1266">
        <f>IFERROR(VLOOKUP(원본데이터_리씽크!S362,채널매핑!$B:$E,4,0),1)</f>
        <v>4</v>
      </c>
      <c r="G1266">
        <f>원본데이터_리씽크!P362</f>
        <v>1</v>
      </c>
      <c r="H1266">
        <f>원본데이터_리씽크!O362</f>
        <v>45500</v>
      </c>
      <c r="I1266">
        <f>원본데이터_리씽크!X362</f>
        <v>45500</v>
      </c>
      <c r="J1266">
        <f>원본데이터_리씽크!X362</f>
        <v>45500</v>
      </c>
      <c r="K1266" t="str">
        <f>IFERROR(VLOOKUP(E1266,제품마스터!$A:$B,2,0),0)</f>
        <v>[워커힐] 시그니처 양념갈비 300G</v>
      </c>
      <c r="L1266">
        <f>원본데이터_리씽크!P362*원본데이터_리씽크!Q362*F1266</f>
        <v>0</v>
      </c>
    </row>
    <row r="1267" spans="1:12" x14ac:dyDescent="0.3">
      <c r="A1267" t="s">
        <v>196</v>
      </c>
      <c r="B1267" t="str">
        <f>TEXT(원본데이터_리씽크!B363,"0")</f>
        <v>2026020606421000000</v>
      </c>
      <c r="C1267" t="str">
        <f>IF(원본데이터_리씽크!A363="","",TEXT(원본데이터_리씽크!A363,"YYYY-MM-DD"))</f>
        <v>2026-02-06</v>
      </c>
      <c r="D1267">
        <f>원본데이터_리씽크!S363</f>
        <v>143790</v>
      </c>
      <c r="E1267" t="str">
        <f>IFERROR(VLOOKUP(원본데이터_리씽크!S363,채널매핑!$B:$D,3,0),"미매핑")</f>
        <v>SKU001</v>
      </c>
      <c r="F1267">
        <f>IFERROR(VLOOKUP(원본데이터_리씽크!S363,채널매핑!$B:$E,4,0),1)</f>
        <v>4</v>
      </c>
      <c r="G1267">
        <f>원본데이터_리씽크!P363</f>
        <v>1</v>
      </c>
      <c r="H1267">
        <f>원본데이터_리씽크!O363</f>
        <v>45500</v>
      </c>
      <c r="I1267">
        <f>원본데이터_리씽크!X363</f>
        <v>45500</v>
      </c>
      <c r="J1267">
        <f>원본데이터_리씽크!X363</f>
        <v>45500</v>
      </c>
      <c r="K1267" t="str">
        <f>IFERROR(VLOOKUP(E1267,제품마스터!$A:$B,2,0),0)</f>
        <v>[워커힐] 시그니처 양념갈비 300G</v>
      </c>
      <c r="L1267">
        <f>원본데이터_리씽크!P363*원본데이터_리씽크!Q363*F1267</f>
        <v>0</v>
      </c>
    </row>
    <row r="1268" spans="1:12" x14ac:dyDescent="0.3">
      <c r="A1268" t="s">
        <v>196</v>
      </c>
      <c r="B1268" t="str">
        <f>TEXT(원본데이터_리씽크!B364,"0")</f>
        <v>2026020607251010000</v>
      </c>
      <c r="C1268" t="str">
        <f>IF(원본데이터_리씽크!A364="","",TEXT(원본데이터_리씽크!A364,"YYYY-MM-DD"))</f>
        <v>2026-02-06</v>
      </c>
      <c r="D1268">
        <f>원본데이터_리씽크!S364</f>
        <v>143790</v>
      </c>
      <c r="E1268" t="str">
        <f>IFERROR(VLOOKUP(원본데이터_리씽크!S364,채널매핑!$B:$D,3,0),"미매핑")</f>
        <v>SKU001</v>
      </c>
      <c r="F1268">
        <f>IFERROR(VLOOKUP(원본데이터_리씽크!S364,채널매핑!$B:$E,4,0),1)</f>
        <v>4</v>
      </c>
      <c r="G1268">
        <f>원본데이터_리씽크!P364</f>
        <v>1</v>
      </c>
      <c r="H1268">
        <f>원본데이터_리씽크!O364</f>
        <v>45500</v>
      </c>
      <c r="I1268">
        <f>원본데이터_리씽크!X364</f>
        <v>45500</v>
      </c>
      <c r="J1268">
        <f>원본데이터_리씽크!X364</f>
        <v>45500</v>
      </c>
      <c r="K1268" t="str">
        <f>IFERROR(VLOOKUP(E1268,제품마스터!$A:$B,2,0),0)</f>
        <v>[워커힐] 시그니처 양념갈비 300G</v>
      </c>
      <c r="L1268">
        <f>원본데이터_리씽크!P364*원본데이터_리씽크!Q364*F1268</f>
        <v>0</v>
      </c>
    </row>
    <row r="1269" spans="1:12" x14ac:dyDescent="0.3">
      <c r="A1269" t="s">
        <v>196</v>
      </c>
      <c r="B1269" t="str">
        <f>TEXT(원본데이터_리씽크!B365,"0")</f>
        <v>2026020607554910000</v>
      </c>
      <c r="C1269" t="str">
        <f>IF(원본데이터_리씽크!A365="","",TEXT(원본데이터_리씽크!A365,"YYYY-MM-DD"))</f>
        <v>2026-02-06</v>
      </c>
      <c r="D1269">
        <f>원본데이터_리씽크!S365</f>
        <v>143790</v>
      </c>
      <c r="E1269" t="str">
        <f>IFERROR(VLOOKUP(원본데이터_리씽크!S365,채널매핑!$B:$D,3,0),"미매핑")</f>
        <v>SKU001</v>
      </c>
      <c r="F1269">
        <f>IFERROR(VLOOKUP(원본데이터_리씽크!S365,채널매핑!$B:$E,4,0),1)</f>
        <v>4</v>
      </c>
      <c r="G1269">
        <f>원본데이터_리씽크!P365</f>
        <v>1</v>
      </c>
      <c r="H1269">
        <f>원본데이터_리씽크!O365</f>
        <v>45500</v>
      </c>
      <c r="I1269">
        <f>원본데이터_리씽크!X365</f>
        <v>45500</v>
      </c>
      <c r="J1269">
        <f>원본데이터_리씽크!X365</f>
        <v>45500</v>
      </c>
      <c r="K1269" t="str">
        <f>IFERROR(VLOOKUP(E1269,제품마스터!$A:$B,2,0),0)</f>
        <v>[워커힐] 시그니처 양념갈비 300G</v>
      </c>
      <c r="L1269">
        <f>원본데이터_리씽크!P365*원본데이터_리씽크!Q365*F1269</f>
        <v>0</v>
      </c>
    </row>
    <row r="1270" spans="1:12" x14ac:dyDescent="0.3">
      <c r="A1270" t="s">
        <v>196</v>
      </c>
      <c r="B1270" t="str">
        <f>TEXT(원본데이터_리씽크!B366,"0")</f>
        <v>2026020607572310000</v>
      </c>
      <c r="C1270" t="str">
        <f>IF(원본데이터_리씽크!A366="","",TEXT(원본데이터_리씽크!A366,"YYYY-MM-DD"))</f>
        <v>2026-02-06</v>
      </c>
      <c r="D1270">
        <f>원본데이터_리씽크!S366</f>
        <v>143790</v>
      </c>
      <c r="E1270" t="str">
        <f>IFERROR(VLOOKUP(원본데이터_리씽크!S366,채널매핑!$B:$D,3,0),"미매핑")</f>
        <v>SKU001</v>
      </c>
      <c r="F1270">
        <f>IFERROR(VLOOKUP(원본데이터_리씽크!S366,채널매핑!$B:$E,4,0),1)</f>
        <v>4</v>
      </c>
      <c r="G1270">
        <f>원본데이터_리씽크!P366</f>
        <v>1</v>
      </c>
      <c r="H1270">
        <f>원본데이터_리씽크!O366</f>
        <v>45500</v>
      </c>
      <c r="I1270">
        <f>원본데이터_리씽크!X366</f>
        <v>45500</v>
      </c>
      <c r="J1270">
        <f>원본데이터_리씽크!X366</f>
        <v>45500</v>
      </c>
      <c r="K1270" t="str">
        <f>IFERROR(VLOOKUP(E1270,제품마스터!$A:$B,2,0),0)</f>
        <v>[워커힐] 시그니처 양념갈비 300G</v>
      </c>
      <c r="L1270">
        <f>원본데이터_리씽크!P366*원본데이터_리씽크!Q366*F1270</f>
        <v>0</v>
      </c>
    </row>
    <row r="1271" spans="1:12" x14ac:dyDescent="0.3">
      <c r="A1271" t="s">
        <v>196</v>
      </c>
      <c r="B1271" t="str">
        <f>TEXT(원본데이터_리씽크!B367,"0")</f>
        <v>2026020608003290000</v>
      </c>
      <c r="C1271" t="str">
        <f>IF(원본데이터_리씽크!A367="","",TEXT(원본데이터_리씽크!A367,"YYYY-MM-DD"))</f>
        <v>2026-02-06</v>
      </c>
      <c r="D1271">
        <f>원본데이터_리씽크!S367</f>
        <v>143790</v>
      </c>
      <c r="E1271" t="str">
        <f>IFERROR(VLOOKUP(원본데이터_리씽크!S367,채널매핑!$B:$D,3,0),"미매핑")</f>
        <v>SKU001</v>
      </c>
      <c r="F1271">
        <f>IFERROR(VLOOKUP(원본데이터_리씽크!S367,채널매핑!$B:$E,4,0),1)</f>
        <v>4</v>
      </c>
      <c r="G1271">
        <f>원본데이터_리씽크!P367</f>
        <v>1</v>
      </c>
      <c r="H1271">
        <f>원본데이터_리씽크!O367</f>
        <v>45500</v>
      </c>
      <c r="I1271">
        <f>원본데이터_리씽크!X367</f>
        <v>45500</v>
      </c>
      <c r="J1271">
        <f>원본데이터_리씽크!X367</f>
        <v>45500</v>
      </c>
      <c r="K1271" t="str">
        <f>IFERROR(VLOOKUP(E1271,제품마스터!$A:$B,2,0),0)</f>
        <v>[워커힐] 시그니처 양념갈비 300G</v>
      </c>
      <c r="L1271">
        <f>원본데이터_리씽크!P367*원본데이터_리씽크!Q367*F1271</f>
        <v>0</v>
      </c>
    </row>
    <row r="1272" spans="1:12" x14ac:dyDescent="0.3">
      <c r="A1272" t="s">
        <v>196</v>
      </c>
      <c r="B1272" t="str">
        <f>TEXT(원본데이터_리씽크!B368,"0")</f>
        <v>2026020608041850000</v>
      </c>
      <c r="C1272" t="str">
        <f>IF(원본데이터_리씽크!A368="","",TEXT(원본데이터_리씽크!A368,"YYYY-MM-DD"))</f>
        <v>2026-02-06</v>
      </c>
      <c r="D1272">
        <f>원본데이터_리씽크!S368</f>
        <v>143790</v>
      </c>
      <c r="E1272" t="str">
        <f>IFERROR(VLOOKUP(원본데이터_리씽크!S368,채널매핑!$B:$D,3,0),"미매핑")</f>
        <v>SKU001</v>
      </c>
      <c r="F1272">
        <f>IFERROR(VLOOKUP(원본데이터_리씽크!S368,채널매핑!$B:$E,4,0),1)</f>
        <v>4</v>
      </c>
      <c r="G1272">
        <f>원본데이터_리씽크!P368</f>
        <v>1</v>
      </c>
      <c r="H1272">
        <f>원본데이터_리씽크!O368</f>
        <v>45500</v>
      </c>
      <c r="I1272">
        <f>원본데이터_리씽크!X368</f>
        <v>45500</v>
      </c>
      <c r="J1272">
        <f>원본데이터_리씽크!X368</f>
        <v>45500</v>
      </c>
      <c r="K1272" t="str">
        <f>IFERROR(VLOOKUP(E1272,제품마스터!$A:$B,2,0),0)</f>
        <v>[워커힐] 시그니처 양념갈비 300G</v>
      </c>
      <c r="L1272">
        <f>원본데이터_리씽크!P368*원본데이터_리씽크!Q368*F1272</f>
        <v>0</v>
      </c>
    </row>
    <row r="1273" spans="1:12" x14ac:dyDescent="0.3">
      <c r="A1273" t="s">
        <v>196</v>
      </c>
      <c r="B1273" t="str">
        <f>TEXT(원본데이터_리씽크!B369,"0")</f>
        <v>2026020608103330000</v>
      </c>
      <c r="C1273" t="str">
        <f>IF(원본데이터_리씽크!A369="","",TEXT(원본데이터_리씽크!A369,"YYYY-MM-DD"))</f>
        <v>2026-02-06</v>
      </c>
      <c r="D1273">
        <f>원본데이터_리씽크!S369</f>
        <v>143790</v>
      </c>
      <c r="E1273" t="str">
        <f>IFERROR(VLOOKUP(원본데이터_리씽크!S369,채널매핑!$B:$D,3,0),"미매핑")</f>
        <v>SKU001</v>
      </c>
      <c r="F1273">
        <f>IFERROR(VLOOKUP(원본데이터_리씽크!S369,채널매핑!$B:$E,4,0),1)</f>
        <v>4</v>
      </c>
      <c r="G1273">
        <f>원본데이터_리씽크!P369</f>
        <v>1</v>
      </c>
      <c r="H1273">
        <f>원본데이터_리씽크!O369</f>
        <v>45500</v>
      </c>
      <c r="I1273">
        <f>원본데이터_리씽크!X369</f>
        <v>45500</v>
      </c>
      <c r="J1273">
        <f>원본데이터_리씽크!X369</f>
        <v>45500</v>
      </c>
      <c r="K1273" t="str">
        <f>IFERROR(VLOOKUP(E1273,제품마스터!$A:$B,2,0),0)</f>
        <v>[워커힐] 시그니처 양념갈비 300G</v>
      </c>
      <c r="L1273">
        <f>원본데이터_리씽크!P369*원본데이터_리씽크!Q369*F1273</f>
        <v>0</v>
      </c>
    </row>
    <row r="1274" spans="1:12" x14ac:dyDescent="0.3">
      <c r="A1274" t="s">
        <v>196</v>
      </c>
      <c r="B1274" t="str">
        <f>TEXT(원본데이터_리씽크!B370,"0")</f>
        <v>2026020608260220000</v>
      </c>
      <c r="C1274" t="str">
        <f>IF(원본데이터_리씽크!A370="","",TEXT(원본데이터_리씽크!A370,"YYYY-MM-DD"))</f>
        <v>2026-02-06</v>
      </c>
      <c r="D1274">
        <f>원본데이터_리씽크!S370</f>
        <v>143790</v>
      </c>
      <c r="E1274" t="str">
        <f>IFERROR(VLOOKUP(원본데이터_리씽크!S370,채널매핑!$B:$D,3,0),"미매핑")</f>
        <v>SKU001</v>
      </c>
      <c r="F1274">
        <f>IFERROR(VLOOKUP(원본데이터_리씽크!S370,채널매핑!$B:$E,4,0),1)</f>
        <v>4</v>
      </c>
      <c r="G1274">
        <f>원본데이터_리씽크!P370</f>
        <v>1</v>
      </c>
      <c r="H1274">
        <f>원본데이터_리씽크!O370</f>
        <v>45500</v>
      </c>
      <c r="I1274">
        <f>원본데이터_리씽크!X370</f>
        <v>45500</v>
      </c>
      <c r="J1274">
        <f>원본데이터_리씽크!X370</f>
        <v>45500</v>
      </c>
      <c r="K1274" t="str">
        <f>IFERROR(VLOOKUP(E1274,제품마스터!$A:$B,2,0),0)</f>
        <v>[워커힐] 시그니처 양념갈비 300G</v>
      </c>
      <c r="L1274">
        <f>원본데이터_리씽크!P370*원본데이터_리씽크!Q370*F1274</f>
        <v>0</v>
      </c>
    </row>
    <row r="1275" spans="1:12" x14ac:dyDescent="0.3">
      <c r="A1275" t="s">
        <v>196</v>
      </c>
      <c r="B1275" t="str">
        <f>TEXT(원본데이터_리씽크!B371,"0")</f>
        <v>2026020610042130000</v>
      </c>
      <c r="C1275" t="str">
        <f>IF(원본데이터_리씽크!A371="","",TEXT(원본데이터_리씽크!A371,"YYYY-MM-DD"))</f>
        <v>2026-02-06</v>
      </c>
      <c r="D1275">
        <f>원본데이터_리씽크!S371</f>
        <v>143790</v>
      </c>
      <c r="E1275" t="str">
        <f>IFERROR(VLOOKUP(원본데이터_리씽크!S371,채널매핑!$B:$D,3,0),"미매핑")</f>
        <v>SKU001</v>
      </c>
      <c r="F1275">
        <f>IFERROR(VLOOKUP(원본데이터_리씽크!S371,채널매핑!$B:$E,4,0),1)</f>
        <v>4</v>
      </c>
      <c r="G1275">
        <f>원본데이터_리씽크!P371</f>
        <v>1</v>
      </c>
      <c r="H1275">
        <f>원본데이터_리씽크!O371</f>
        <v>45500</v>
      </c>
      <c r="I1275">
        <f>원본데이터_리씽크!X371</f>
        <v>45500</v>
      </c>
      <c r="J1275">
        <f>원본데이터_리씽크!X371</f>
        <v>45500</v>
      </c>
      <c r="K1275" t="str">
        <f>IFERROR(VLOOKUP(E1275,제품마스터!$A:$B,2,0),0)</f>
        <v>[워커힐] 시그니처 양념갈비 300G</v>
      </c>
      <c r="L1275">
        <f>원본데이터_리씽크!P371*원본데이터_리씽크!Q371*F1275</f>
        <v>0</v>
      </c>
    </row>
    <row r="1276" spans="1:12" x14ac:dyDescent="0.3">
      <c r="A1276" t="s">
        <v>196</v>
      </c>
      <c r="B1276" t="str">
        <f>TEXT(원본데이터_리씽크!B372,"0")</f>
        <v>2026020610122130000</v>
      </c>
      <c r="C1276" t="str">
        <f>IF(원본데이터_리씽크!A372="","",TEXT(원본데이터_리씽크!A372,"YYYY-MM-DD"))</f>
        <v>2026-02-06</v>
      </c>
      <c r="D1276">
        <f>원본데이터_리씽크!S372</f>
        <v>143790</v>
      </c>
      <c r="E1276" t="str">
        <f>IFERROR(VLOOKUP(원본데이터_리씽크!S372,채널매핑!$B:$D,3,0),"미매핑")</f>
        <v>SKU001</v>
      </c>
      <c r="F1276">
        <f>IFERROR(VLOOKUP(원본데이터_리씽크!S372,채널매핑!$B:$E,4,0),1)</f>
        <v>4</v>
      </c>
      <c r="G1276">
        <f>원본데이터_리씽크!P372</f>
        <v>2</v>
      </c>
      <c r="H1276">
        <f>원본데이터_리씽크!O372</f>
        <v>45500</v>
      </c>
      <c r="I1276">
        <f>원본데이터_리씽크!X372</f>
        <v>91000</v>
      </c>
      <c r="J1276">
        <f>원본데이터_리씽크!X372</f>
        <v>91000</v>
      </c>
      <c r="K1276" t="str">
        <f>IFERROR(VLOOKUP(E1276,제품마스터!$A:$B,2,0),0)</f>
        <v>[워커힐] 시그니처 양념갈비 300G</v>
      </c>
      <c r="L1276">
        <f>원본데이터_리씽크!P372*원본데이터_리씽크!Q372*F1276</f>
        <v>0</v>
      </c>
    </row>
    <row r="1277" spans="1:12" x14ac:dyDescent="0.3">
      <c r="A1277" t="s">
        <v>196</v>
      </c>
      <c r="B1277" t="str">
        <f>TEXT(원본데이터_리씽크!B373,"0")</f>
        <v>2026020610572730000</v>
      </c>
      <c r="C1277" t="str">
        <f>IF(원본데이터_리씽크!A373="","",TEXT(원본데이터_리씽크!A373,"YYYY-MM-DD"))</f>
        <v>2026-02-06</v>
      </c>
      <c r="D1277">
        <f>원본데이터_리씽크!S373</f>
        <v>143790</v>
      </c>
      <c r="E1277" t="str">
        <f>IFERROR(VLOOKUP(원본데이터_리씽크!S373,채널매핑!$B:$D,3,0),"미매핑")</f>
        <v>SKU001</v>
      </c>
      <c r="F1277">
        <f>IFERROR(VLOOKUP(원본데이터_리씽크!S373,채널매핑!$B:$E,4,0),1)</f>
        <v>4</v>
      </c>
      <c r="G1277">
        <f>원본데이터_리씽크!P373</f>
        <v>1</v>
      </c>
      <c r="H1277">
        <f>원본데이터_리씽크!O373</f>
        <v>45500</v>
      </c>
      <c r="I1277">
        <f>원본데이터_리씽크!X373</f>
        <v>45500</v>
      </c>
      <c r="J1277">
        <f>원본데이터_리씽크!X373</f>
        <v>45500</v>
      </c>
      <c r="K1277" t="str">
        <f>IFERROR(VLOOKUP(E1277,제품마스터!$A:$B,2,0),0)</f>
        <v>[워커힐] 시그니처 양념갈비 300G</v>
      </c>
      <c r="L1277">
        <f>원본데이터_리씽크!P373*원본데이터_리씽크!Q373*F1277</f>
        <v>0</v>
      </c>
    </row>
    <row r="1278" spans="1:12" x14ac:dyDescent="0.3">
      <c r="A1278" t="s">
        <v>196</v>
      </c>
      <c r="B1278" t="str">
        <f>TEXT(원본데이터_리씽크!B374,"0")</f>
        <v>2026020610590040000</v>
      </c>
      <c r="C1278" t="str">
        <f>IF(원본데이터_리씽크!A374="","",TEXT(원본데이터_리씽크!A374,"YYYY-MM-DD"))</f>
        <v>2026-02-06</v>
      </c>
      <c r="D1278">
        <f>원본데이터_리씽크!S374</f>
        <v>143790</v>
      </c>
      <c r="E1278" t="str">
        <f>IFERROR(VLOOKUP(원본데이터_리씽크!S374,채널매핑!$B:$D,3,0),"미매핑")</f>
        <v>SKU001</v>
      </c>
      <c r="F1278">
        <f>IFERROR(VLOOKUP(원본데이터_리씽크!S374,채널매핑!$B:$E,4,0),1)</f>
        <v>4</v>
      </c>
      <c r="G1278">
        <f>원본데이터_리씽크!P374</f>
        <v>1</v>
      </c>
      <c r="H1278">
        <f>원본데이터_리씽크!O374</f>
        <v>45500</v>
      </c>
      <c r="I1278">
        <f>원본데이터_리씽크!X374</f>
        <v>45500</v>
      </c>
      <c r="J1278">
        <f>원본데이터_리씽크!X374</f>
        <v>45500</v>
      </c>
      <c r="K1278" t="str">
        <f>IFERROR(VLOOKUP(E1278,제품마스터!$A:$B,2,0),0)</f>
        <v>[워커힐] 시그니처 양념갈비 300G</v>
      </c>
      <c r="L1278">
        <f>원본데이터_리씽크!P374*원본데이터_리씽크!Q374*F1278</f>
        <v>0</v>
      </c>
    </row>
    <row r="1279" spans="1:12" x14ac:dyDescent="0.3">
      <c r="A1279" t="s">
        <v>196</v>
      </c>
      <c r="B1279" t="str">
        <f>TEXT(원본데이터_리씽크!B375,"0")</f>
        <v>2026020513213510000</v>
      </c>
      <c r="C1279" t="str">
        <f>IF(원본데이터_리씽크!A375="","",TEXT(원본데이터_리씽크!A375,"YYYY-MM-DD"))</f>
        <v>2026-02-05</v>
      </c>
      <c r="D1279">
        <f>원본데이터_리씽크!S375</f>
        <v>143790</v>
      </c>
      <c r="E1279" t="str">
        <f>IFERROR(VLOOKUP(원본데이터_리씽크!S375,채널매핑!$B:$D,3,0),"미매핑")</f>
        <v>SKU001</v>
      </c>
      <c r="F1279">
        <f>IFERROR(VLOOKUP(원본데이터_리씽크!S375,채널매핑!$B:$E,4,0),1)</f>
        <v>4</v>
      </c>
      <c r="G1279">
        <f>원본데이터_리씽크!P375</f>
        <v>1</v>
      </c>
      <c r="H1279">
        <f>원본데이터_리씽크!O375</f>
        <v>63000</v>
      </c>
      <c r="I1279">
        <f>원본데이터_리씽크!X375</f>
        <v>63000</v>
      </c>
      <c r="J1279">
        <f>원본데이터_리씽크!X375</f>
        <v>63000</v>
      </c>
      <c r="K1279" t="str">
        <f>IFERROR(VLOOKUP(E1279,제품마스터!$A:$B,2,0),0)</f>
        <v>[워커힐] 시그니처 양념갈비 300G</v>
      </c>
      <c r="L1279" t="e">
        <f>원본데이터_리씽크!P375*원본데이터_리씽크!Q375*F1279</f>
        <v>#VALUE!</v>
      </c>
    </row>
    <row r="1280" spans="1:12" x14ac:dyDescent="0.3">
      <c r="A1280" t="s">
        <v>196</v>
      </c>
      <c r="B1280" t="str">
        <f>TEXT(원본데이터_리씽크!B376,"0")</f>
        <v>2026020513383280000</v>
      </c>
      <c r="C1280" t="str">
        <f>IF(원본데이터_리씽크!A376="","",TEXT(원본데이터_리씽크!A376,"YYYY-MM-DD"))</f>
        <v>2026-02-05</v>
      </c>
      <c r="D1280">
        <f>원본데이터_리씽크!S376</f>
        <v>143790</v>
      </c>
      <c r="E1280" t="str">
        <f>IFERROR(VLOOKUP(원본데이터_리씽크!S376,채널매핑!$B:$D,3,0),"미매핑")</f>
        <v>SKU001</v>
      </c>
      <c r="F1280">
        <f>IFERROR(VLOOKUP(원본데이터_리씽크!S376,채널매핑!$B:$E,4,0),1)</f>
        <v>4</v>
      </c>
      <c r="G1280">
        <f>원본데이터_리씽크!P376</f>
        <v>1</v>
      </c>
      <c r="H1280">
        <f>원본데이터_리씽크!O376</f>
        <v>63000</v>
      </c>
      <c r="I1280">
        <f>원본데이터_리씽크!X376</f>
        <v>63000</v>
      </c>
      <c r="J1280">
        <f>원본데이터_리씽크!X376</f>
        <v>63000</v>
      </c>
      <c r="K1280" t="str">
        <f>IFERROR(VLOOKUP(E1280,제품마스터!$A:$B,2,0),0)</f>
        <v>[워커힐] 시그니처 양념갈비 300G</v>
      </c>
      <c r="L1280" t="e">
        <f>원본데이터_리씽크!P376*원본데이터_리씽크!Q376*F1280</f>
        <v>#VALUE!</v>
      </c>
    </row>
    <row r="1281" spans="1:12" x14ac:dyDescent="0.3">
      <c r="A1281" t="s">
        <v>196</v>
      </c>
      <c r="B1281" t="str">
        <f>TEXT(원본데이터_리씽크!B377,"0")</f>
        <v>2026020516473730000</v>
      </c>
      <c r="C1281" t="str">
        <f>IF(원본데이터_리씽크!A377="","",TEXT(원본데이터_리씽크!A377,"YYYY-MM-DD"))</f>
        <v>2026-02-05</v>
      </c>
      <c r="D1281">
        <f>원본데이터_리씽크!S377</f>
        <v>143790</v>
      </c>
      <c r="E1281" t="str">
        <f>IFERROR(VLOOKUP(원본데이터_리씽크!S377,채널매핑!$B:$D,3,0),"미매핑")</f>
        <v>SKU001</v>
      </c>
      <c r="F1281">
        <f>IFERROR(VLOOKUP(원본데이터_리씽크!S377,채널매핑!$B:$E,4,0),1)</f>
        <v>4</v>
      </c>
      <c r="G1281">
        <f>원본데이터_리씽크!P377</f>
        <v>1</v>
      </c>
      <c r="H1281">
        <f>원본데이터_리씽크!O377</f>
        <v>63000</v>
      </c>
      <c r="I1281">
        <f>원본데이터_리씽크!X377</f>
        <v>63000</v>
      </c>
      <c r="J1281">
        <f>원본데이터_리씽크!X377</f>
        <v>63000</v>
      </c>
      <c r="K1281" t="str">
        <f>IFERROR(VLOOKUP(E1281,제품마스터!$A:$B,2,0),0)</f>
        <v>[워커힐] 시그니처 양념갈비 300G</v>
      </c>
      <c r="L1281" t="e">
        <f>원본데이터_리씽크!P377*원본데이터_리씽크!Q377*F1281</f>
        <v>#VALUE!</v>
      </c>
    </row>
    <row r="1282" spans="1:12" x14ac:dyDescent="0.3">
      <c r="A1282" t="s">
        <v>196</v>
      </c>
      <c r="B1282" t="str">
        <f>TEXT(원본데이터_리씽크!B378,"0")</f>
        <v>2026020517294110000</v>
      </c>
      <c r="C1282" t="str">
        <f>IF(원본데이터_리씽크!A378="","",TEXT(원본데이터_리씽크!A378,"YYYY-MM-DD"))</f>
        <v>2026-02-05</v>
      </c>
      <c r="D1282">
        <f>원본데이터_리씽크!S378</f>
        <v>143790</v>
      </c>
      <c r="E1282" t="str">
        <f>IFERROR(VLOOKUP(원본데이터_리씽크!S378,채널매핑!$B:$D,3,0),"미매핑")</f>
        <v>SKU001</v>
      </c>
      <c r="F1282">
        <f>IFERROR(VLOOKUP(원본데이터_리씽크!S378,채널매핑!$B:$E,4,0),1)</f>
        <v>4</v>
      </c>
      <c r="G1282">
        <f>원본데이터_리씽크!P378</f>
        <v>1</v>
      </c>
      <c r="H1282">
        <f>원본데이터_리씽크!O378</f>
        <v>63000</v>
      </c>
      <c r="I1282">
        <f>원본데이터_리씽크!X378</f>
        <v>63000</v>
      </c>
      <c r="J1282">
        <f>원본데이터_리씽크!X378</f>
        <v>63000</v>
      </c>
      <c r="K1282" t="str">
        <f>IFERROR(VLOOKUP(E1282,제품마스터!$A:$B,2,0),0)</f>
        <v>[워커힐] 시그니처 양념갈비 300G</v>
      </c>
      <c r="L1282" t="e">
        <f>원본데이터_리씽크!P378*원본데이터_리씽크!Q378*F1282</f>
        <v>#VALUE!</v>
      </c>
    </row>
    <row r="1283" spans="1:12" x14ac:dyDescent="0.3">
      <c r="A1283" t="s">
        <v>196</v>
      </c>
      <c r="B1283" t="str">
        <f>TEXT(원본데이터_리씽크!B379,"0")</f>
        <v>2026020517481130000</v>
      </c>
      <c r="C1283" t="str">
        <f>IF(원본데이터_리씽크!A379="","",TEXT(원본데이터_리씽크!A379,"YYYY-MM-DD"))</f>
        <v>2026-02-05</v>
      </c>
      <c r="D1283">
        <f>원본데이터_리씽크!S379</f>
        <v>143790</v>
      </c>
      <c r="E1283" t="str">
        <f>IFERROR(VLOOKUP(원본데이터_리씽크!S379,채널매핑!$B:$D,3,0),"미매핑")</f>
        <v>SKU001</v>
      </c>
      <c r="F1283">
        <f>IFERROR(VLOOKUP(원본데이터_리씽크!S379,채널매핑!$B:$E,4,0),1)</f>
        <v>4</v>
      </c>
      <c r="G1283">
        <f>원본데이터_리씽크!P379</f>
        <v>1</v>
      </c>
      <c r="H1283">
        <f>원본데이터_리씽크!O379</f>
        <v>63000</v>
      </c>
      <c r="I1283">
        <f>원본데이터_리씽크!X379</f>
        <v>63000</v>
      </c>
      <c r="J1283">
        <f>원본데이터_리씽크!X379</f>
        <v>63000</v>
      </c>
      <c r="K1283" t="str">
        <f>IFERROR(VLOOKUP(E1283,제품마스터!$A:$B,2,0),0)</f>
        <v>[워커힐] 시그니처 양념갈비 300G</v>
      </c>
      <c r="L1283" t="e">
        <f>원본데이터_리씽크!P379*원본데이터_리씽크!Q379*F1283</f>
        <v>#VALUE!</v>
      </c>
    </row>
    <row r="1284" spans="1:12" x14ac:dyDescent="0.3">
      <c r="A1284" t="s">
        <v>196</v>
      </c>
      <c r="B1284" t="str">
        <f>TEXT(원본데이터_리씽크!B380,"0")</f>
        <v>2026020517553660000</v>
      </c>
      <c r="C1284" t="str">
        <f>IF(원본데이터_리씽크!A380="","",TEXT(원본데이터_리씽크!A380,"YYYY-MM-DD"))</f>
        <v>2026-02-05</v>
      </c>
      <c r="D1284">
        <f>원본데이터_리씽크!S380</f>
        <v>143790</v>
      </c>
      <c r="E1284" t="str">
        <f>IFERROR(VLOOKUP(원본데이터_리씽크!S380,채널매핑!$B:$D,3,0),"미매핑")</f>
        <v>SKU001</v>
      </c>
      <c r="F1284">
        <f>IFERROR(VLOOKUP(원본데이터_리씽크!S380,채널매핑!$B:$E,4,0),1)</f>
        <v>4</v>
      </c>
      <c r="G1284">
        <f>원본데이터_리씽크!P380</f>
        <v>1</v>
      </c>
      <c r="H1284">
        <f>원본데이터_리씽크!O380</f>
        <v>63000</v>
      </c>
      <c r="I1284">
        <f>원본데이터_리씽크!X380</f>
        <v>63000</v>
      </c>
      <c r="J1284">
        <f>원본데이터_리씽크!X380</f>
        <v>63000</v>
      </c>
      <c r="K1284" t="str">
        <f>IFERROR(VLOOKUP(E1284,제품마스터!$A:$B,2,0),0)</f>
        <v>[워커힐] 시그니처 양념갈비 300G</v>
      </c>
      <c r="L1284" t="e">
        <f>원본데이터_리씽크!P380*원본데이터_리씽크!Q380*F1284</f>
        <v>#VALUE!</v>
      </c>
    </row>
    <row r="1285" spans="1:12" x14ac:dyDescent="0.3">
      <c r="A1285" t="s">
        <v>196</v>
      </c>
      <c r="B1285" t="str">
        <f>TEXT(원본데이터_리씽크!B381,"0")</f>
        <v>2026020519421720000</v>
      </c>
      <c r="C1285" t="str">
        <f>IF(원본데이터_리씽크!A381="","",TEXT(원본데이터_리씽크!A381,"YYYY-MM-DD"))</f>
        <v>2026-02-05</v>
      </c>
      <c r="D1285">
        <f>원본데이터_리씽크!S381</f>
        <v>143790</v>
      </c>
      <c r="E1285" t="str">
        <f>IFERROR(VLOOKUP(원본데이터_리씽크!S381,채널매핑!$B:$D,3,0),"미매핑")</f>
        <v>SKU001</v>
      </c>
      <c r="F1285">
        <f>IFERROR(VLOOKUP(원본데이터_리씽크!S381,채널매핑!$B:$E,4,0),1)</f>
        <v>4</v>
      </c>
      <c r="G1285">
        <f>원본데이터_리씽크!P381</f>
        <v>1</v>
      </c>
      <c r="H1285">
        <f>원본데이터_리씽크!O381</f>
        <v>63000</v>
      </c>
      <c r="I1285">
        <f>원본데이터_리씽크!X381</f>
        <v>63000</v>
      </c>
      <c r="J1285">
        <f>원본데이터_리씽크!X381</f>
        <v>63000</v>
      </c>
      <c r="K1285" t="str">
        <f>IFERROR(VLOOKUP(E1285,제품마스터!$A:$B,2,0),0)</f>
        <v>[워커힐] 시그니처 양념갈비 300G</v>
      </c>
      <c r="L1285" t="e">
        <f>원본데이터_리씽크!P381*원본데이터_리씽크!Q381*F1285</f>
        <v>#VALUE!</v>
      </c>
    </row>
    <row r="1286" spans="1:12" x14ac:dyDescent="0.3">
      <c r="A1286" t="s">
        <v>196</v>
      </c>
      <c r="B1286" t="str">
        <f>TEXT(원본데이터_리씽크!B382,"0")</f>
        <v>2026020522391920000</v>
      </c>
      <c r="C1286" t="str">
        <f>IF(원본데이터_리씽크!A382="","",TEXT(원본데이터_리씽크!A382,"YYYY-MM-DD"))</f>
        <v>2026-02-05</v>
      </c>
      <c r="D1286">
        <f>원본데이터_리씽크!S382</f>
        <v>143790</v>
      </c>
      <c r="E1286" t="str">
        <f>IFERROR(VLOOKUP(원본데이터_리씽크!S382,채널매핑!$B:$D,3,0),"미매핑")</f>
        <v>SKU001</v>
      </c>
      <c r="F1286">
        <f>IFERROR(VLOOKUP(원본데이터_리씽크!S382,채널매핑!$B:$E,4,0),1)</f>
        <v>4</v>
      </c>
      <c r="G1286">
        <f>원본데이터_리씽크!P382</f>
        <v>1</v>
      </c>
      <c r="H1286">
        <f>원본데이터_리씽크!O382</f>
        <v>63000</v>
      </c>
      <c r="I1286">
        <f>원본데이터_리씽크!X382</f>
        <v>63000</v>
      </c>
      <c r="J1286">
        <f>원본데이터_리씽크!X382</f>
        <v>63000</v>
      </c>
      <c r="K1286" t="str">
        <f>IFERROR(VLOOKUP(E1286,제품마스터!$A:$B,2,0),0)</f>
        <v>[워커힐] 시그니처 양념갈비 300G</v>
      </c>
      <c r="L1286" t="e">
        <f>원본데이터_리씽크!P382*원본데이터_리씽크!Q382*F1286</f>
        <v>#VALUE!</v>
      </c>
    </row>
    <row r="1287" spans="1:12" x14ac:dyDescent="0.3">
      <c r="A1287" t="s">
        <v>196</v>
      </c>
      <c r="B1287" t="str">
        <f>TEXT(원본데이터_리씽크!B383,"0")</f>
        <v>2026020603055910000</v>
      </c>
      <c r="C1287" t="str">
        <f>IF(원본데이터_리씽크!A383="","",TEXT(원본데이터_리씽크!A383,"YYYY-MM-DD"))</f>
        <v>2026-02-06</v>
      </c>
      <c r="D1287">
        <f>원본데이터_리씽크!S383</f>
        <v>143790</v>
      </c>
      <c r="E1287" t="str">
        <f>IFERROR(VLOOKUP(원본데이터_리씽크!S383,채널매핑!$B:$D,3,0),"미매핑")</f>
        <v>SKU001</v>
      </c>
      <c r="F1287">
        <f>IFERROR(VLOOKUP(원본데이터_리씽크!S383,채널매핑!$B:$E,4,0),1)</f>
        <v>4</v>
      </c>
      <c r="G1287">
        <f>원본데이터_리씽크!P383</f>
        <v>1</v>
      </c>
      <c r="H1287">
        <f>원본데이터_리씽크!O383</f>
        <v>63000</v>
      </c>
      <c r="I1287">
        <f>원본데이터_리씽크!X383</f>
        <v>63000</v>
      </c>
      <c r="J1287">
        <f>원본데이터_리씽크!X383</f>
        <v>63000</v>
      </c>
      <c r="K1287" t="str">
        <f>IFERROR(VLOOKUP(E1287,제품마스터!$A:$B,2,0),0)</f>
        <v>[워커힐] 시그니처 양념갈비 300G</v>
      </c>
      <c r="L1287" t="e">
        <f>원본데이터_리씽크!P383*원본데이터_리씽크!Q383*F1287</f>
        <v>#VALUE!</v>
      </c>
    </row>
    <row r="1288" spans="1:12" x14ac:dyDescent="0.3">
      <c r="A1288" t="s">
        <v>196</v>
      </c>
      <c r="B1288" t="str">
        <f>TEXT(원본데이터_리씽크!B384,"0")</f>
        <v>2026020608281990000</v>
      </c>
      <c r="C1288" t="str">
        <f>IF(원본데이터_리씽크!A384="","",TEXT(원본데이터_리씽크!A384,"YYYY-MM-DD"))</f>
        <v>2026-02-06</v>
      </c>
      <c r="D1288">
        <f>원본데이터_리씽크!S384</f>
        <v>143790</v>
      </c>
      <c r="E1288" t="str">
        <f>IFERROR(VLOOKUP(원본데이터_리씽크!S384,채널매핑!$B:$D,3,0),"미매핑")</f>
        <v>SKU001</v>
      </c>
      <c r="F1288">
        <f>IFERROR(VLOOKUP(원본데이터_리씽크!S384,채널매핑!$B:$E,4,0),1)</f>
        <v>4</v>
      </c>
      <c r="G1288">
        <f>원본데이터_리씽크!P384</f>
        <v>1</v>
      </c>
      <c r="H1288">
        <f>원본데이터_리씽크!O384</f>
        <v>63000</v>
      </c>
      <c r="I1288">
        <f>원본데이터_리씽크!X384</f>
        <v>63000</v>
      </c>
      <c r="J1288">
        <f>원본데이터_리씽크!X384</f>
        <v>63000</v>
      </c>
      <c r="K1288" t="str">
        <f>IFERROR(VLOOKUP(E1288,제품마스터!$A:$B,2,0),0)</f>
        <v>[워커힐] 시그니처 양념갈비 300G</v>
      </c>
      <c r="L1288" t="e">
        <f>원본데이터_리씽크!P384*원본데이터_리씽크!Q384*F1288</f>
        <v>#VALUE!</v>
      </c>
    </row>
    <row r="1289" spans="1:12" x14ac:dyDescent="0.3">
      <c r="A1289" t="s">
        <v>196</v>
      </c>
      <c r="B1289" t="str">
        <f>TEXT(원본데이터_리씽크!B385,"0")</f>
        <v>2026020610394220000</v>
      </c>
      <c r="C1289" t="str">
        <f>IF(원본데이터_리씽크!A385="","",TEXT(원본데이터_리씽크!A385,"YYYY-MM-DD"))</f>
        <v>2026-02-06</v>
      </c>
      <c r="D1289">
        <f>원본데이터_리씽크!S385</f>
        <v>143790</v>
      </c>
      <c r="E1289" t="str">
        <f>IFERROR(VLOOKUP(원본데이터_리씽크!S385,채널매핑!$B:$D,3,0),"미매핑")</f>
        <v>SKU001</v>
      </c>
      <c r="F1289">
        <f>IFERROR(VLOOKUP(원본데이터_리씽크!S385,채널매핑!$B:$E,4,0),1)</f>
        <v>4</v>
      </c>
      <c r="G1289">
        <f>원본데이터_리씽크!P385</f>
        <v>1</v>
      </c>
      <c r="H1289">
        <f>원본데이터_리씽크!O385</f>
        <v>63000</v>
      </c>
      <c r="I1289">
        <f>원본데이터_리씽크!X385</f>
        <v>63000</v>
      </c>
      <c r="J1289">
        <f>원본데이터_리씽크!X385</f>
        <v>63000</v>
      </c>
      <c r="K1289" t="str">
        <f>IFERROR(VLOOKUP(E1289,제품마스터!$A:$B,2,0),0)</f>
        <v>[워커힐] 시그니처 양념갈비 300G</v>
      </c>
      <c r="L1289" t="e">
        <f>원본데이터_리씽크!P385*원본데이터_리씽크!Q385*F1289</f>
        <v>#VALUE!</v>
      </c>
    </row>
    <row r="1290" spans="1:12" x14ac:dyDescent="0.3">
      <c r="A1290" t="s">
        <v>196</v>
      </c>
      <c r="B1290" t="str">
        <f>TEXT(원본데이터_리씽크!B386,"0")</f>
        <v>2026020910064820000</v>
      </c>
      <c r="C1290" t="str">
        <f>IF(원본데이터_리씽크!A386="","",TEXT(원본데이터_리씽크!A386,"YYYY-MM-DD"))</f>
        <v>2026-02-09</v>
      </c>
      <c r="D1290">
        <f>원본데이터_리씽크!S386</f>
        <v>143790</v>
      </c>
      <c r="E1290" t="str">
        <f>IFERROR(VLOOKUP(원본데이터_리씽크!S386,채널매핑!$B:$D,3,0),"미매핑")</f>
        <v>SKU001</v>
      </c>
      <c r="F1290">
        <f>IFERROR(VLOOKUP(원본데이터_리씽크!S386,채널매핑!$B:$E,4,0),1)</f>
        <v>4</v>
      </c>
      <c r="G1290">
        <f>원본데이터_리씽크!P386</f>
        <v>1</v>
      </c>
      <c r="H1290">
        <f>원본데이터_리씽크!O386</f>
        <v>45500</v>
      </c>
      <c r="I1290">
        <f>원본데이터_리씽크!X386</f>
        <v>45500</v>
      </c>
      <c r="J1290">
        <f>원본데이터_리씽크!X386</f>
        <v>45500</v>
      </c>
      <c r="K1290" t="str">
        <f>IFERROR(VLOOKUP(E1290,제품마스터!$A:$B,2,0),0)</f>
        <v>[워커힐] 시그니처 양념갈비 300G</v>
      </c>
      <c r="L1290">
        <f>원본데이터_리씽크!P386*원본데이터_리씽크!Q386*F1290</f>
        <v>0</v>
      </c>
    </row>
    <row r="1291" spans="1:12" x14ac:dyDescent="0.3">
      <c r="A1291" t="s">
        <v>196</v>
      </c>
      <c r="B1291" t="str">
        <f>TEXT(원본데이터_리씽크!B387,"0")</f>
        <v>2026020908030180000</v>
      </c>
      <c r="C1291" t="str">
        <f>IF(원본데이터_리씽크!A387="","",TEXT(원본데이터_리씽크!A387,"YYYY-MM-DD"))</f>
        <v>2026-02-09</v>
      </c>
      <c r="D1291">
        <f>원본데이터_리씽크!S387</f>
        <v>143790</v>
      </c>
      <c r="E1291" t="str">
        <f>IFERROR(VLOOKUP(원본데이터_리씽크!S387,채널매핑!$B:$D,3,0),"미매핑")</f>
        <v>SKU001</v>
      </c>
      <c r="F1291">
        <f>IFERROR(VLOOKUP(원본데이터_리씽크!S387,채널매핑!$B:$E,4,0),1)</f>
        <v>4</v>
      </c>
      <c r="G1291">
        <f>원본데이터_리씽크!P387</f>
        <v>1</v>
      </c>
      <c r="H1291">
        <f>원본데이터_리씽크!O387</f>
        <v>45500</v>
      </c>
      <c r="I1291">
        <f>원본데이터_리씽크!X387</f>
        <v>45500</v>
      </c>
      <c r="J1291">
        <f>원본데이터_리씽크!X387</f>
        <v>45500</v>
      </c>
      <c r="K1291" t="str">
        <f>IFERROR(VLOOKUP(E1291,제품마스터!$A:$B,2,0),0)</f>
        <v>[워커힐] 시그니처 양념갈비 300G</v>
      </c>
      <c r="L1291">
        <f>원본데이터_리씽크!P387*원본데이터_리씽크!Q387*F1291</f>
        <v>0</v>
      </c>
    </row>
    <row r="1292" spans="1:12" x14ac:dyDescent="0.3">
      <c r="A1292" t="s">
        <v>196</v>
      </c>
      <c r="B1292" t="str">
        <f>TEXT(원본데이터_리씽크!B388,"0")</f>
        <v>2026020901211400000</v>
      </c>
      <c r="C1292" t="str">
        <f>IF(원본데이터_리씽크!A388="","",TEXT(원본데이터_리씽크!A388,"YYYY-MM-DD"))</f>
        <v>2026-02-09</v>
      </c>
      <c r="D1292">
        <f>원본데이터_리씽크!S388</f>
        <v>143790</v>
      </c>
      <c r="E1292" t="str">
        <f>IFERROR(VLOOKUP(원본데이터_리씽크!S388,채널매핑!$B:$D,3,0),"미매핑")</f>
        <v>SKU001</v>
      </c>
      <c r="F1292">
        <f>IFERROR(VLOOKUP(원본데이터_리씽크!S388,채널매핑!$B:$E,4,0),1)</f>
        <v>4</v>
      </c>
      <c r="G1292">
        <f>원본데이터_리씽크!P388</f>
        <v>1</v>
      </c>
      <c r="H1292">
        <f>원본데이터_리씽크!O388</f>
        <v>45500</v>
      </c>
      <c r="I1292">
        <f>원본데이터_리씽크!X388</f>
        <v>45500</v>
      </c>
      <c r="J1292">
        <f>원본데이터_리씽크!X388</f>
        <v>45500</v>
      </c>
      <c r="K1292" t="str">
        <f>IFERROR(VLOOKUP(E1292,제품마스터!$A:$B,2,0),0)</f>
        <v>[워커힐] 시그니처 양념갈비 300G</v>
      </c>
      <c r="L1292">
        <f>원본데이터_리씽크!P388*원본데이터_리씽크!Q388*F1292</f>
        <v>0</v>
      </c>
    </row>
    <row r="1293" spans="1:12" x14ac:dyDescent="0.3">
      <c r="A1293" t="s">
        <v>196</v>
      </c>
      <c r="B1293" t="str">
        <f>TEXT(원본데이터_리씽크!B389,"0")</f>
        <v>2026020900144320000</v>
      </c>
      <c r="C1293" t="str">
        <f>IF(원본데이터_리씽크!A389="","",TEXT(원본데이터_리씽크!A389,"YYYY-MM-DD"))</f>
        <v>2026-02-09</v>
      </c>
      <c r="D1293">
        <f>원본데이터_리씽크!S389</f>
        <v>143790</v>
      </c>
      <c r="E1293" t="str">
        <f>IFERROR(VLOOKUP(원본데이터_리씽크!S389,채널매핑!$B:$D,3,0),"미매핑")</f>
        <v>SKU001</v>
      </c>
      <c r="F1293">
        <f>IFERROR(VLOOKUP(원본데이터_리씽크!S389,채널매핑!$B:$E,4,0),1)</f>
        <v>4</v>
      </c>
      <c r="G1293">
        <f>원본데이터_리씽크!P389</f>
        <v>1</v>
      </c>
      <c r="H1293">
        <f>원본데이터_리씽크!O389</f>
        <v>45500</v>
      </c>
      <c r="I1293">
        <f>원본데이터_리씽크!X389</f>
        <v>45500</v>
      </c>
      <c r="J1293">
        <f>원본데이터_리씽크!X389</f>
        <v>45500</v>
      </c>
      <c r="K1293" t="str">
        <f>IFERROR(VLOOKUP(E1293,제품마스터!$A:$B,2,0),0)</f>
        <v>[워커힐] 시그니처 양념갈비 300G</v>
      </c>
      <c r="L1293">
        <f>원본데이터_리씽크!P389*원본데이터_리씽크!Q389*F1293</f>
        <v>0</v>
      </c>
    </row>
    <row r="1294" spans="1:12" x14ac:dyDescent="0.3">
      <c r="A1294" t="s">
        <v>196</v>
      </c>
      <c r="B1294" t="str">
        <f>TEXT(원본데이터_리씽크!B390,"0")</f>
        <v>2026020823404390000</v>
      </c>
      <c r="C1294" t="str">
        <f>IF(원본데이터_리씽크!A390="","",TEXT(원본데이터_리씽크!A390,"YYYY-MM-DD"))</f>
        <v>2026-02-08</v>
      </c>
      <c r="D1294">
        <f>원본데이터_리씽크!S390</f>
        <v>143790</v>
      </c>
      <c r="E1294" t="str">
        <f>IFERROR(VLOOKUP(원본데이터_리씽크!S390,채널매핑!$B:$D,3,0),"미매핑")</f>
        <v>SKU001</v>
      </c>
      <c r="F1294">
        <f>IFERROR(VLOOKUP(원본데이터_리씽크!S390,채널매핑!$B:$E,4,0),1)</f>
        <v>4</v>
      </c>
      <c r="G1294">
        <f>원본데이터_리씽크!P390</f>
        <v>1</v>
      </c>
      <c r="H1294">
        <f>원본데이터_리씽크!O390</f>
        <v>45500</v>
      </c>
      <c r="I1294">
        <f>원본데이터_리씽크!X390</f>
        <v>45500</v>
      </c>
      <c r="J1294">
        <f>원본데이터_리씽크!X390</f>
        <v>45500</v>
      </c>
      <c r="K1294" t="str">
        <f>IFERROR(VLOOKUP(E1294,제품마스터!$A:$B,2,0),0)</f>
        <v>[워커힐] 시그니처 양념갈비 300G</v>
      </c>
      <c r="L1294">
        <f>원본데이터_리씽크!P390*원본데이터_리씽크!Q390*F1294</f>
        <v>0</v>
      </c>
    </row>
    <row r="1295" spans="1:12" x14ac:dyDescent="0.3">
      <c r="A1295" t="s">
        <v>196</v>
      </c>
      <c r="B1295" t="str">
        <f>TEXT(원본데이터_리씽크!B391,"0")</f>
        <v>2026020823231500000</v>
      </c>
      <c r="C1295" t="str">
        <f>IF(원본데이터_리씽크!A391="","",TEXT(원본데이터_리씽크!A391,"YYYY-MM-DD"))</f>
        <v>2026-02-08</v>
      </c>
      <c r="D1295">
        <f>원본데이터_리씽크!S391</f>
        <v>143790</v>
      </c>
      <c r="E1295" t="str">
        <f>IFERROR(VLOOKUP(원본데이터_리씽크!S391,채널매핑!$B:$D,3,0),"미매핑")</f>
        <v>SKU001</v>
      </c>
      <c r="F1295">
        <f>IFERROR(VLOOKUP(원본데이터_리씽크!S391,채널매핑!$B:$E,4,0),1)</f>
        <v>4</v>
      </c>
      <c r="G1295">
        <f>원본데이터_리씽크!P391</f>
        <v>1</v>
      </c>
      <c r="H1295">
        <f>원본데이터_리씽크!O391</f>
        <v>45500</v>
      </c>
      <c r="I1295">
        <f>원본데이터_리씽크!X391</f>
        <v>45500</v>
      </c>
      <c r="J1295">
        <f>원본데이터_리씽크!X391</f>
        <v>45500</v>
      </c>
      <c r="K1295" t="str">
        <f>IFERROR(VLOOKUP(E1295,제품마스터!$A:$B,2,0),0)</f>
        <v>[워커힐] 시그니처 양념갈비 300G</v>
      </c>
      <c r="L1295">
        <f>원본데이터_리씽크!P391*원본데이터_리씽크!Q391*F1295</f>
        <v>0</v>
      </c>
    </row>
    <row r="1296" spans="1:12" x14ac:dyDescent="0.3">
      <c r="A1296" t="s">
        <v>196</v>
      </c>
      <c r="B1296" t="str">
        <f>TEXT(원본데이터_리씽크!B392,"0")</f>
        <v>2026020820420150000</v>
      </c>
      <c r="C1296" t="str">
        <f>IF(원본데이터_리씽크!A392="","",TEXT(원본데이터_리씽크!A392,"YYYY-MM-DD"))</f>
        <v>2026-02-08</v>
      </c>
      <c r="D1296">
        <f>원본데이터_리씽크!S392</f>
        <v>143790</v>
      </c>
      <c r="E1296" t="str">
        <f>IFERROR(VLOOKUP(원본데이터_리씽크!S392,채널매핑!$B:$D,3,0),"미매핑")</f>
        <v>SKU001</v>
      </c>
      <c r="F1296">
        <f>IFERROR(VLOOKUP(원본데이터_리씽크!S392,채널매핑!$B:$E,4,0),1)</f>
        <v>4</v>
      </c>
      <c r="G1296">
        <f>원본데이터_리씽크!P392</f>
        <v>1</v>
      </c>
      <c r="H1296">
        <f>원본데이터_리씽크!O392</f>
        <v>45500</v>
      </c>
      <c r="I1296">
        <f>원본데이터_리씽크!X392</f>
        <v>45500</v>
      </c>
      <c r="J1296">
        <f>원본데이터_리씽크!X392</f>
        <v>45500</v>
      </c>
      <c r="K1296" t="str">
        <f>IFERROR(VLOOKUP(E1296,제품마스터!$A:$B,2,0),0)</f>
        <v>[워커힐] 시그니처 양념갈비 300G</v>
      </c>
      <c r="L1296">
        <f>원본데이터_리씽크!P392*원본데이터_리씽크!Q392*F1296</f>
        <v>0</v>
      </c>
    </row>
    <row r="1297" spans="1:12" x14ac:dyDescent="0.3">
      <c r="A1297" t="s">
        <v>196</v>
      </c>
      <c r="B1297" t="str">
        <f>TEXT(원본데이터_리씽크!B393,"0")</f>
        <v>2026020820202120000</v>
      </c>
      <c r="C1297" t="str">
        <f>IF(원본데이터_리씽크!A393="","",TEXT(원본데이터_리씽크!A393,"YYYY-MM-DD"))</f>
        <v>2026-02-08</v>
      </c>
      <c r="D1297">
        <f>원본데이터_리씽크!S393</f>
        <v>143790</v>
      </c>
      <c r="E1297" t="str">
        <f>IFERROR(VLOOKUP(원본데이터_리씽크!S393,채널매핑!$B:$D,3,0),"미매핑")</f>
        <v>SKU001</v>
      </c>
      <c r="F1297">
        <f>IFERROR(VLOOKUP(원본데이터_리씽크!S393,채널매핑!$B:$E,4,0),1)</f>
        <v>4</v>
      </c>
      <c r="G1297">
        <f>원본데이터_리씽크!P393</f>
        <v>1</v>
      </c>
      <c r="H1297">
        <f>원본데이터_리씽크!O393</f>
        <v>45500</v>
      </c>
      <c r="I1297">
        <f>원본데이터_리씽크!X393</f>
        <v>45500</v>
      </c>
      <c r="J1297">
        <f>원본데이터_리씽크!X393</f>
        <v>45500</v>
      </c>
      <c r="K1297" t="str">
        <f>IFERROR(VLOOKUP(E1297,제품마스터!$A:$B,2,0),0)</f>
        <v>[워커힐] 시그니처 양념갈비 300G</v>
      </c>
      <c r="L1297">
        <f>원본데이터_리씽크!P393*원본데이터_리씽크!Q393*F1297</f>
        <v>0</v>
      </c>
    </row>
    <row r="1298" spans="1:12" x14ac:dyDescent="0.3">
      <c r="A1298" t="s">
        <v>196</v>
      </c>
      <c r="B1298" t="str">
        <f>TEXT(원본데이터_리씽크!B394,"0")</f>
        <v>2026020819263320000</v>
      </c>
      <c r="C1298" t="str">
        <f>IF(원본데이터_리씽크!A394="","",TEXT(원본데이터_리씽크!A394,"YYYY-MM-DD"))</f>
        <v>2026-02-08</v>
      </c>
      <c r="D1298">
        <f>원본데이터_리씽크!S394</f>
        <v>143790</v>
      </c>
      <c r="E1298" t="str">
        <f>IFERROR(VLOOKUP(원본데이터_리씽크!S394,채널매핑!$B:$D,3,0),"미매핑")</f>
        <v>SKU001</v>
      </c>
      <c r="F1298">
        <f>IFERROR(VLOOKUP(원본데이터_리씽크!S394,채널매핑!$B:$E,4,0),1)</f>
        <v>4</v>
      </c>
      <c r="G1298">
        <f>원본데이터_리씽크!P394</f>
        <v>1</v>
      </c>
      <c r="H1298">
        <f>원본데이터_리씽크!O394</f>
        <v>45500</v>
      </c>
      <c r="I1298">
        <f>원본데이터_리씽크!X394</f>
        <v>45500</v>
      </c>
      <c r="J1298">
        <f>원본데이터_리씽크!X394</f>
        <v>45500</v>
      </c>
      <c r="K1298" t="str">
        <f>IFERROR(VLOOKUP(E1298,제품마스터!$A:$B,2,0),0)</f>
        <v>[워커힐] 시그니처 양념갈비 300G</v>
      </c>
      <c r="L1298">
        <f>원본데이터_리씽크!P394*원본데이터_리씽크!Q394*F1298</f>
        <v>0</v>
      </c>
    </row>
    <row r="1299" spans="1:12" x14ac:dyDescent="0.3">
      <c r="A1299" t="s">
        <v>196</v>
      </c>
      <c r="B1299" t="str">
        <f>TEXT(원본데이터_리씽크!B395,"0")</f>
        <v>2026020819253750000</v>
      </c>
      <c r="C1299" t="str">
        <f>IF(원본데이터_리씽크!A395="","",TEXT(원본데이터_리씽크!A395,"YYYY-MM-DD"))</f>
        <v>2026-02-08</v>
      </c>
      <c r="D1299">
        <f>원본데이터_리씽크!S395</f>
        <v>143790</v>
      </c>
      <c r="E1299" t="str">
        <f>IFERROR(VLOOKUP(원본데이터_리씽크!S395,채널매핑!$B:$D,3,0),"미매핑")</f>
        <v>SKU001</v>
      </c>
      <c r="F1299">
        <f>IFERROR(VLOOKUP(원본데이터_리씽크!S395,채널매핑!$B:$E,4,0),1)</f>
        <v>4</v>
      </c>
      <c r="G1299">
        <f>원본데이터_리씽크!P395</f>
        <v>1</v>
      </c>
      <c r="H1299">
        <f>원본데이터_리씽크!O395</f>
        <v>45500</v>
      </c>
      <c r="I1299">
        <f>원본데이터_리씽크!X395</f>
        <v>45500</v>
      </c>
      <c r="J1299">
        <f>원본데이터_리씽크!X395</f>
        <v>45500</v>
      </c>
      <c r="K1299" t="str">
        <f>IFERROR(VLOOKUP(E1299,제품마스터!$A:$B,2,0),0)</f>
        <v>[워커힐] 시그니처 양념갈비 300G</v>
      </c>
      <c r="L1299">
        <f>원본데이터_리씽크!P395*원본데이터_리씽크!Q395*F1299</f>
        <v>0</v>
      </c>
    </row>
    <row r="1300" spans="1:12" x14ac:dyDescent="0.3">
      <c r="A1300" t="s">
        <v>196</v>
      </c>
      <c r="B1300" t="str">
        <f>TEXT(원본데이터_리씽크!B396,"0")</f>
        <v>2026020819222990000</v>
      </c>
      <c r="C1300" t="str">
        <f>IF(원본데이터_리씽크!A396="","",TEXT(원본데이터_리씽크!A396,"YYYY-MM-DD"))</f>
        <v>2026-02-08</v>
      </c>
      <c r="D1300">
        <f>원본데이터_리씽크!S396</f>
        <v>143790</v>
      </c>
      <c r="E1300" t="str">
        <f>IFERROR(VLOOKUP(원본데이터_리씽크!S396,채널매핑!$B:$D,3,0),"미매핑")</f>
        <v>SKU001</v>
      </c>
      <c r="F1300">
        <f>IFERROR(VLOOKUP(원본데이터_리씽크!S396,채널매핑!$B:$E,4,0),1)</f>
        <v>4</v>
      </c>
      <c r="G1300">
        <f>원본데이터_리씽크!P396</f>
        <v>2</v>
      </c>
      <c r="H1300">
        <f>원본데이터_리씽크!O396</f>
        <v>45500</v>
      </c>
      <c r="I1300">
        <f>원본데이터_리씽크!X396</f>
        <v>91000</v>
      </c>
      <c r="J1300">
        <f>원본데이터_리씽크!X396</f>
        <v>91000</v>
      </c>
      <c r="K1300" t="str">
        <f>IFERROR(VLOOKUP(E1300,제품마스터!$A:$B,2,0),0)</f>
        <v>[워커힐] 시그니처 양념갈비 300G</v>
      </c>
      <c r="L1300">
        <f>원본데이터_리씽크!P396*원본데이터_리씽크!Q396*F1300</f>
        <v>0</v>
      </c>
    </row>
    <row r="1301" spans="1:12" x14ac:dyDescent="0.3">
      <c r="A1301" t="s">
        <v>196</v>
      </c>
      <c r="B1301" t="str">
        <f>TEXT(원본데이터_리씽크!B397,"0")</f>
        <v>2026020819211900000</v>
      </c>
      <c r="C1301" t="str">
        <f>IF(원본데이터_리씽크!A397="","",TEXT(원본데이터_리씽크!A397,"YYYY-MM-DD"))</f>
        <v>2026-02-08</v>
      </c>
      <c r="D1301">
        <f>원본데이터_리씽크!S397</f>
        <v>143790</v>
      </c>
      <c r="E1301" t="str">
        <f>IFERROR(VLOOKUP(원본데이터_리씽크!S397,채널매핑!$B:$D,3,0),"미매핑")</f>
        <v>SKU001</v>
      </c>
      <c r="F1301">
        <f>IFERROR(VLOOKUP(원본데이터_리씽크!S397,채널매핑!$B:$E,4,0),1)</f>
        <v>4</v>
      </c>
      <c r="G1301">
        <f>원본데이터_리씽크!P397</f>
        <v>1</v>
      </c>
      <c r="H1301">
        <f>원본데이터_리씽크!O397</f>
        <v>45500</v>
      </c>
      <c r="I1301">
        <f>원본데이터_리씽크!X397</f>
        <v>45500</v>
      </c>
      <c r="J1301">
        <f>원본데이터_리씽크!X397</f>
        <v>45500</v>
      </c>
      <c r="K1301" t="str">
        <f>IFERROR(VLOOKUP(E1301,제품마스터!$A:$B,2,0),0)</f>
        <v>[워커힐] 시그니처 양념갈비 300G</v>
      </c>
      <c r="L1301">
        <f>원본데이터_리씽크!P397*원본데이터_리씽크!Q397*F1301</f>
        <v>0</v>
      </c>
    </row>
    <row r="1302" spans="1:12" x14ac:dyDescent="0.3">
      <c r="A1302" t="s">
        <v>196</v>
      </c>
      <c r="B1302" t="str">
        <f>TEXT(원본데이터_리씽크!B398,"0")</f>
        <v>2026020819130640000</v>
      </c>
      <c r="C1302" t="str">
        <f>IF(원본데이터_리씽크!A398="","",TEXT(원본데이터_리씽크!A398,"YYYY-MM-DD"))</f>
        <v>2026-02-08</v>
      </c>
      <c r="D1302">
        <f>원본데이터_리씽크!S398</f>
        <v>143790</v>
      </c>
      <c r="E1302" t="str">
        <f>IFERROR(VLOOKUP(원본데이터_리씽크!S398,채널매핑!$B:$D,3,0),"미매핑")</f>
        <v>SKU001</v>
      </c>
      <c r="F1302">
        <f>IFERROR(VLOOKUP(원본데이터_리씽크!S398,채널매핑!$B:$E,4,0),1)</f>
        <v>4</v>
      </c>
      <c r="G1302">
        <f>원본데이터_리씽크!P398</f>
        <v>2</v>
      </c>
      <c r="H1302">
        <f>원본데이터_리씽크!O398</f>
        <v>45500</v>
      </c>
      <c r="I1302">
        <f>원본데이터_리씽크!X398</f>
        <v>91000</v>
      </c>
      <c r="J1302">
        <f>원본데이터_리씽크!X398</f>
        <v>91000</v>
      </c>
      <c r="K1302" t="str">
        <f>IFERROR(VLOOKUP(E1302,제품마스터!$A:$B,2,0),0)</f>
        <v>[워커힐] 시그니처 양념갈비 300G</v>
      </c>
      <c r="L1302">
        <f>원본데이터_리씽크!P398*원본데이터_리씽크!Q398*F1302</f>
        <v>0</v>
      </c>
    </row>
    <row r="1303" spans="1:12" x14ac:dyDescent="0.3">
      <c r="A1303" t="s">
        <v>196</v>
      </c>
      <c r="B1303" t="str">
        <f>TEXT(원본데이터_리씽크!B399,"0")</f>
        <v>2026020818554970000</v>
      </c>
      <c r="C1303" t="str">
        <f>IF(원본데이터_리씽크!A399="","",TEXT(원본데이터_리씽크!A399,"YYYY-MM-DD"))</f>
        <v>2026-02-08</v>
      </c>
      <c r="D1303">
        <f>원본데이터_리씽크!S399</f>
        <v>143790</v>
      </c>
      <c r="E1303" t="str">
        <f>IFERROR(VLOOKUP(원본데이터_리씽크!S399,채널매핑!$B:$D,3,0),"미매핑")</f>
        <v>SKU001</v>
      </c>
      <c r="F1303">
        <f>IFERROR(VLOOKUP(원본데이터_리씽크!S399,채널매핑!$B:$E,4,0),1)</f>
        <v>4</v>
      </c>
      <c r="G1303">
        <f>원본데이터_리씽크!P399</f>
        <v>1</v>
      </c>
      <c r="H1303">
        <f>원본데이터_리씽크!O399</f>
        <v>45500</v>
      </c>
      <c r="I1303">
        <f>원본데이터_리씽크!X399</f>
        <v>45500</v>
      </c>
      <c r="J1303">
        <f>원본데이터_리씽크!X399</f>
        <v>45500</v>
      </c>
      <c r="K1303" t="str">
        <f>IFERROR(VLOOKUP(E1303,제품마스터!$A:$B,2,0),0)</f>
        <v>[워커힐] 시그니처 양념갈비 300G</v>
      </c>
      <c r="L1303">
        <f>원본데이터_리씽크!P399*원본데이터_리씽크!Q399*F1303</f>
        <v>0</v>
      </c>
    </row>
    <row r="1304" spans="1:12" x14ac:dyDescent="0.3">
      <c r="A1304" t="s">
        <v>196</v>
      </c>
      <c r="B1304" t="str">
        <f>TEXT(원본데이터_리씽크!B400,"0")</f>
        <v>2026020818511820000</v>
      </c>
      <c r="C1304" t="str">
        <f>IF(원본데이터_리씽크!A400="","",TEXT(원본데이터_리씽크!A400,"YYYY-MM-DD"))</f>
        <v>2026-02-08</v>
      </c>
      <c r="D1304">
        <f>원본데이터_리씽크!S400</f>
        <v>143790</v>
      </c>
      <c r="E1304" t="str">
        <f>IFERROR(VLOOKUP(원본데이터_리씽크!S400,채널매핑!$B:$D,3,0),"미매핑")</f>
        <v>SKU001</v>
      </c>
      <c r="F1304">
        <f>IFERROR(VLOOKUP(원본데이터_리씽크!S400,채널매핑!$B:$E,4,0),1)</f>
        <v>4</v>
      </c>
      <c r="G1304">
        <f>원본데이터_리씽크!P400</f>
        <v>1</v>
      </c>
      <c r="H1304">
        <f>원본데이터_리씽크!O400</f>
        <v>45500</v>
      </c>
      <c r="I1304">
        <f>원본데이터_리씽크!X400</f>
        <v>45500</v>
      </c>
      <c r="J1304">
        <f>원본데이터_리씽크!X400</f>
        <v>45500</v>
      </c>
      <c r="K1304" t="str">
        <f>IFERROR(VLOOKUP(E1304,제품마스터!$A:$B,2,0),0)</f>
        <v>[워커힐] 시그니처 양념갈비 300G</v>
      </c>
      <c r="L1304">
        <f>원본데이터_리씽크!P400*원본데이터_리씽크!Q400*F1304</f>
        <v>0</v>
      </c>
    </row>
    <row r="1305" spans="1:12" x14ac:dyDescent="0.3">
      <c r="A1305" t="s">
        <v>196</v>
      </c>
      <c r="B1305" t="str">
        <f>TEXT(원본데이터_리씽크!B401,"0")</f>
        <v>2026020818421790000</v>
      </c>
      <c r="C1305" t="str">
        <f>IF(원본데이터_리씽크!A401="","",TEXT(원본데이터_리씽크!A401,"YYYY-MM-DD"))</f>
        <v>2026-02-08</v>
      </c>
      <c r="D1305">
        <f>원본데이터_리씽크!S401</f>
        <v>143790</v>
      </c>
      <c r="E1305" t="str">
        <f>IFERROR(VLOOKUP(원본데이터_리씽크!S401,채널매핑!$B:$D,3,0),"미매핑")</f>
        <v>SKU001</v>
      </c>
      <c r="F1305">
        <f>IFERROR(VLOOKUP(원본데이터_리씽크!S401,채널매핑!$B:$E,4,0),1)</f>
        <v>4</v>
      </c>
      <c r="G1305">
        <f>원본데이터_리씽크!P401</f>
        <v>1</v>
      </c>
      <c r="H1305">
        <f>원본데이터_리씽크!O401</f>
        <v>45500</v>
      </c>
      <c r="I1305">
        <f>원본데이터_리씽크!X401</f>
        <v>45500</v>
      </c>
      <c r="J1305">
        <f>원본데이터_리씽크!X401</f>
        <v>45500</v>
      </c>
      <c r="K1305" t="str">
        <f>IFERROR(VLOOKUP(E1305,제품마스터!$A:$B,2,0),0)</f>
        <v>[워커힐] 시그니처 양념갈비 300G</v>
      </c>
      <c r="L1305">
        <f>원본데이터_리씽크!P401*원본데이터_리씽크!Q401*F1305</f>
        <v>0</v>
      </c>
    </row>
    <row r="1306" spans="1:12" x14ac:dyDescent="0.3">
      <c r="A1306" t="s">
        <v>196</v>
      </c>
      <c r="B1306" t="str">
        <f>TEXT(원본데이터_리씽크!B402,"0")</f>
        <v>2026020818195180000</v>
      </c>
      <c r="C1306" t="str">
        <f>IF(원본데이터_리씽크!A402="","",TEXT(원본데이터_리씽크!A402,"YYYY-MM-DD"))</f>
        <v>2026-02-08</v>
      </c>
      <c r="D1306">
        <f>원본데이터_리씽크!S402</f>
        <v>143790</v>
      </c>
      <c r="E1306" t="str">
        <f>IFERROR(VLOOKUP(원본데이터_리씽크!S402,채널매핑!$B:$D,3,0),"미매핑")</f>
        <v>SKU001</v>
      </c>
      <c r="F1306">
        <f>IFERROR(VLOOKUP(원본데이터_리씽크!S402,채널매핑!$B:$E,4,0),1)</f>
        <v>4</v>
      </c>
      <c r="G1306">
        <f>원본데이터_리씽크!P402</f>
        <v>1</v>
      </c>
      <c r="H1306">
        <f>원본데이터_리씽크!O402</f>
        <v>45500</v>
      </c>
      <c r="I1306">
        <f>원본데이터_리씽크!X402</f>
        <v>45500</v>
      </c>
      <c r="J1306">
        <f>원본데이터_리씽크!X402</f>
        <v>45500</v>
      </c>
      <c r="K1306" t="str">
        <f>IFERROR(VLOOKUP(E1306,제품마스터!$A:$B,2,0),0)</f>
        <v>[워커힐] 시그니처 양념갈비 300G</v>
      </c>
      <c r="L1306">
        <f>원본데이터_리씽크!P402*원본데이터_리씽크!Q402*F1306</f>
        <v>0</v>
      </c>
    </row>
    <row r="1307" spans="1:12" x14ac:dyDescent="0.3">
      <c r="A1307" t="s">
        <v>196</v>
      </c>
      <c r="B1307" t="str">
        <f>TEXT(원본데이터_리씽크!B403,"0")</f>
        <v>2026020818120430000</v>
      </c>
      <c r="C1307" t="str">
        <f>IF(원본데이터_리씽크!A403="","",TEXT(원본데이터_리씽크!A403,"YYYY-MM-DD"))</f>
        <v>2026-02-08</v>
      </c>
      <c r="D1307">
        <f>원본데이터_리씽크!S403</f>
        <v>143790</v>
      </c>
      <c r="E1307" t="str">
        <f>IFERROR(VLOOKUP(원본데이터_리씽크!S403,채널매핑!$B:$D,3,0),"미매핑")</f>
        <v>SKU001</v>
      </c>
      <c r="F1307">
        <f>IFERROR(VLOOKUP(원본데이터_리씽크!S403,채널매핑!$B:$E,4,0),1)</f>
        <v>4</v>
      </c>
      <c r="G1307">
        <f>원본데이터_리씽크!P403</f>
        <v>1</v>
      </c>
      <c r="H1307">
        <f>원본데이터_리씽크!O403</f>
        <v>45500</v>
      </c>
      <c r="I1307">
        <f>원본데이터_리씽크!X403</f>
        <v>45500</v>
      </c>
      <c r="J1307">
        <f>원본데이터_리씽크!X403</f>
        <v>45500</v>
      </c>
      <c r="K1307" t="str">
        <f>IFERROR(VLOOKUP(E1307,제품마스터!$A:$B,2,0),0)</f>
        <v>[워커힐] 시그니처 양념갈비 300G</v>
      </c>
      <c r="L1307">
        <f>원본데이터_리씽크!P403*원본데이터_리씽크!Q403*F1307</f>
        <v>0</v>
      </c>
    </row>
    <row r="1308" spans="1:12" x14ac:dyDescent="0.3">
      <c r="A1308" t="s">
        <v>196</v>
      </c>
      <c r="B1308" t="str">
        <f>TEXT(원본데이터_리씽크!B404,"0")</f>
        <v>2026020818034940000</v>
      </c>
      <c r="C1308" t="str">
        <f>IF(원본데이터_리씽크!A404="","",TEXT(원본데이터_리씽크!A404,"YYYY-MM-DD"))</f>
        <v>2026-02-08</v>
      </c>
      <c r="D1308">
        <f>원본데이터_리씽크!S404</f>
        <v>143790</v>
      </c>
      <c r="E1308" t="str">
        <f>IFERROR(VLOOKUP(원본데이터_리씽크!S404,채널매핑!$B:$D,3,0),"미매핑")</f>
        <v>SKU001</v>
      </c>
      <c r="F1308">
        <f>IFERROR(VLOOKUP(원본데이터_리씽크!S404,채널매핑!$B:$E,4,0),1)</f>
        <v>4</v>
      </c>
      <c r="G1308">
        <f>원본데이터_리씽크!P404</f>
        <v>1</v>
      </c>
      <c r="H1308">
        <f>원본데이터_리씽크!O404</f>
        <v>45500</v>
      </c>
      <c r="I1308">
        <f>원본데이터_리씽크!X404</f>
        <v>45500</v>
      </c>
      <c r="J1308">
        <f>원본데이터_리씽크!X404</f>
        <v>45500</v>
      </c>
      <c r="K1308" t="str">
        <f>IFERROR(VLOOKUP(E1308,제품마스터!$A:$B,2,0),0)</f>
        <v>[워커힐] 시그니처 양념갈비 300G</v>
      </c>
      <c r="L1308">
        <f>원본데이터_리씽크!P404*원본데이터_리씽크!Q404*F1308</f>
        <v>0</v>
      </c>
    </row>
    <row r="1309" spans="1:12" x14ac:dyDescent="0.3">
      <c r="A1309" t="s">
        <v>196</v>
      </c>
      <c r="B1309" t="str">
        <f>TEXT(원본데이터_리씽크!B405,"0")</f>
        <v>2026020818021850000</v>
      </c>
      <c r="C1309" t="str">
        <f>IF(원본데이터_리씽크!A405="","",TEXT(원본데이터_리씽크!A405,"YYYY-MM-DD"))</f>
        <v>2026-02-08</v>
      </c>
      <c r="D1309">
        <f>원본데이터_리씽크!S405</f>
        <v>143790</v>
      </c>
      <c r="E1309" t="str">
        <f>IFERROR(VLOOKUP(원본데이터_리씽크!S405,채널매핑!$B:$D,3,0),"미매핑")</f>
        <v>SKU001</v>
      </c>
      <c r="F1309">
        <f>IFERROR(VLOOKUP(원본데이터_리씽크!S405,채널매핑!$B:$E,4,0),1)</f>
        <v>4</v>
      </c>
      <c r="G1309">
        <f>원본데이터_리씽크!P405</f>
        <v>1</v>
      </c>
      <c r="H1309">
        <f>원본데이터_리씽크!O405</f>
        <v>45500</v>
      </c>
      <c r="I1309">
        <f>원본데이터_리씽크!X405</f>
        <v>45500</v>
      </c>
      <c r="J1309">
        <f>원본데이터_리씽크!X405</f>
        <v>45500</v>
      </c>
      <c r="K1309" t="str">
        <f>IFERROR(VLOOKUP(E1309,제품마스터!$A:$B,2,0),0)</f>
        <v>[워커힐] 시그니처 양념갈비 300G</v>
      </c>
      <c r="L1309">
        <f>원본데이터_리씽크!P405*원본데이터_리씽크!Q405*F1309</f>
        <v>0</v>
      </c>
    </row>
    <row r="1310" spans="1:12" x14ac:dyDescent="0.3">
      <c r="A1310" t="s">
        <v>196</v>
      </c>
      <c r="B1310" t="str">
        <f>TEXT(원본데이터_리씽크!B406,"0")</f>
        <v>2026020817453320000</v>
      </c>
      <c r="C1310" t="str">
        <f>IF(원본데이터_리씽크!A406="","",TEXT(원본데이터_리씽크!A406,"YYYY-MM-DD"))</f>
        <v>2026-02-08</v>
      </c>
      <c r="D1310">
        <f>원본데이터_리씽크!S406</f>
        <v>143790</v>
      </c>
      <c r="E1310" t="str">
        <f>IFERROR(VLOOKUP(원본데이터_리씽크!S406,채널매핑!$B:$D,3,0),"미매핑")</f>
        <v>SKU001</v>
      </c>
      <c r="F1310">
        <f>IFERROR(VLOOKUP(원본데이터_리씽크!S406,채널매핑!$B:$E,4,0),1)</f>
        <v>4</v>
      </c>
      <c r="G1310">
        <f>원본데이터_리씽크!P406</f>
        <v>1</v>
      </c>
      <c r="H1310">
        <f>원본데이터_리씽크!O406</f>
        <v>45500</v>
      </c>
      <c r="I1310">
        <f>원본데이터_리씽크!X406</f>
        <v>45500</v>
      </c>
      <c r="J1310">
        <f>원본데이터_리씽크!X406</f>
        <v>45500</v>
      </c>
      <c r="K1310" t="str">
        <f>IFERROR(VLOOKUP(E1310,제품마스터!$A:$B,2,0),0)</f>
        <v>[워커힐] 시그니처 양념갈비 300G</v>
      </c>
      <c r="L1310">
        <f>원본데이터_리씽크!P406*원본데이터_리씽크!Q406*F1310</f>
        <v>0</v>
      </c>
    </row>
    <row r="1311" spans="1:12" x14ac:dyDescent="0.3">
      <c r="A1311" t="s">
        <v>196</v>
      </c>
      <c r="B1311" t="str">
        <f>TEXT(원본데이터_리씽크!B407,"0")</f>
        <v>2026020817473880000</v>
      </c>
      <c r="C1311" t="str">
        <f>IF(원본데이터_리씽크!A407="","",TEXT(원본데이터_리씽크!A407,"YYYY-MM-DD"))</f>
        <v>2026-02-08</v>
      </c>
      <c r="D1311">
        <f>원본데이터_리씽크!S407</f>
        <v>143790</v>
      </c>
      <c r="E1311" t="str">
        <f>IFERROR(VLOOKUP(원본데이터_리씽크!S407,채널매핑!$B:$D,3,0),"미매핑")</f>
        <v>SKU001</v>
      </c>
      <c r="F1311">
        <f>IFERROR(VLOOKUP(원본데이터_리씽크!S407,채널매핑!$B:$E,4,0),1)</f>
        <v>4</v>
      </c>
      <c r="G1311">
        <f>원본데이터_리씽크!P407</f>
        <v>1</v>
      </c>
      <c r="H1311">
        <f>원본데이터_리씽크!O407</f>
        <v>45500</v>
      </c>
      <c r="I1311">
        <f>원본데이터_리씽크!X407</f>
        <v>45500</v>
      </c>
      <c r="J1311">
        <f>원본데이터_리씽크!X407</f>
        <v>45500</v>
      </c>
      <c r="K1311" t="str">
        <f>IFERROR(VLOOKUP(E1311,제품마스터!$A:$B,2,0),0)</f>
        <v>[워커힐] 시그니처 양념갈비 300G</v>
      </c>
      <c r="L1311">
        <f>원본데이터_리씽크!P407*원본데이터_리씽크!Q407*F1311</f>
        <v>0</v>
      </c>
    </row>
    <row r="1312" spans="1:12" x14ac:dyDescent="0.3">
      <c r="A1312" t="s">
        <v>196</v>
      </c>
      <c r="B1312" t="str">
        <f>TEXT(원본데이터_리씽크!B408,"0")</f>
        <v>2026020817393260000</v>
      </c>
      <c r="C1312" t="str">
        <f>IF(원본데이터_리씽크!A408="","",TEXT(원본데이터_리씽크!A408,"YYYY-MM-DD"))</f>
        <v>2026-02-08</v>
      </c>
      <c r="D1312">
        <f>원본데이터_리씽크!S408</f>
        <v>143790</v>
      </c>
      <c r="E1312" t="str">
        <f>IFERROR(VLOOKUP(원본데이터_리씽크!S408,채널매핑!$B:$D,3,0),"미매핑")</f>
        <v>SKU001</v>
      </c>
      <c r="F1312">
        <f>IFERROR(VLOOKUP(원본데이터_리씽크!S408,채널매핑!$B:$E,4,0),1)</f>
        <v>4</v>
      </c>
      <c r="G1312">
        <f>원본데이터_리씽크!P408</f>
        <v>1</v>
      </c>
      <c r="H1312">
        <f>원본데이터_리씽크!O408</f>
        <v>45500</v>
      </c>
      <c r="I1312">
        <f>원본데이터_리씽크!X408</f>
        <v>45500</v>
      </c>
      <c r="J1312">
        <f>원본데이터_리씽크!X408</f>
        <v>45500</v>
      </c>
      <c r="K1312" t="str">
        <f>IFERROR(VLOOKUP(E1312,제품마스터!$A:$B,2,0),0)</f>
        <v>[워커힐] 시그니처 양념갈비 300G</v>
      </c>
      <c r="L1312">
        <f>원본데이터_리씽크!P408*원본데이터_리씽크!Q408*F1312</f>
        <v>0</v>
      </c>
    </row>
    <row r="1313" spans="1:12" x14ac:dyDescent="0.3">
      <c r="A1313" t="s">
        <v>196</v>
      </c>
      <c r="B1313" t="str">
        <f>TEXT(원본데이터_리씽크!B409,"0")</f>
        <v>2026020815124150000</v>
      </c>
      <c r="C1313" t="str">
        <f>IF(원본데이터_리씽크!A409="","",TEXT(원본데이터_리씽크!A409,"YYYY-MM-DD"))</f>
        <v>2026-02-08</v>
      </c>
      <c r="D1313">
        <f>원본데이터_리씽크!S409</f>
        <v>143790</v>
      </c>
      <c r="E1313" t="str">
        <f>IFERROR(VLOOKUP(원본데이터_리씽크!S409,채널매핑!$B:$D,3,0),"미매핑")</f>
        <v>SKU001</v>
      </c>
      <c r="F1313">
        <f>IFERROR(VLOOKUP(원본데이터_리씽크!S409,채널매핑!$B:$E,4,0),1)</f>
        <v>4</v>
      </c>
      <c r="G1313">
        <f>원본데이터_리씽크!P409</f>
        <v>1</v>
      </c>
      <c r="H1313">
        <f>원본데이터_리씽크!O409</f>
        <v>45500</v>
      </c>
      <c r="I1313">
        <f>원본데이터_리씽크!X409</f>
        <v>45500</v>
      </c>
      <c r="J1313">
        <f>원본데이터_리씽크!X409</f>
        <v>45500</v>
      </c>
      <c r="K1313" t="str">
        <f>IFERROR(VLOOKUP(E1313,제품마스터!$A:$B,2,0),0)</f>
        <v>[워커힐] 시그니처 양념갈비 300G</v>
      </c>
      <c r="L1313">
        <f>원본데이터_리씽크!P409*원본데이터_리씽크!Q409*F1313</f>
        <v>0</v>
      </c>
    </row>
    <row r="1314" spans="1:12" x14ac:dyDescent="0.3">
      <c r="A1314" t="s">
        <v>196</v>
      </c>
      <c r="B1314" t="str">
        <f>TEXT(원본데이터_리씽크!B410,"0")</f>
        <v>2026020814305260000</v>
      </c>
      <c r="C1314" t="str">
        <f>IF(원본데이터_리씽크!A410="","",TEXT(원본데이터_리씽크!A410,"YYYY-MM-DD"))</f>
        <v>2026-02-08</v>
      </c>
      <c r="D1314">
        <f>원본데이터_리씽크!S410</f>
        <v>143790</v>
      </c>
      <c r="E1314" t="str">
        <f>IFERROR(VLOOKUP(원본데이터_리씽크!S410,채널매핑!$B:$D,3,0),"미매핑")</f>
        <v>SKU001</v>
      </c>
      <c r="F1314">
        <f>IFERROR(VLOOKUP(원본데이터_리씽크!S410,채널매핑!$B:$E,4,0),1)</f>
        <v>4</v>
      </c>
      <c r="G1314">
        <f>원본데이터_리씽크!P410</f>
        <v>1</v>
      </c>
      <c r="H1314">
        <f>원본데이터_리씽크!O410</f>
        <v>45500</v>
      </c>
      <c r="I1314">
        <f>원본데이터_리씽크!X410</f>
        <v>45500</v>
      </c>
      <c r="J1314">
        <f>원본데이터_리씽크!X410</f>
        <v>45500</v>
      </c>
      <c r="K1314" t="str">
        <f>IFERROR(VLOOKUP(E1314,제품마스터!$A:$B,2,0),0)</f>
        <v>[워커힐] 시그니처 양념갈비 300G</v>
      </c>
      <c r="L1314">
        <f>원본데이터_리씽크!P410*원본데이터_리씽크!Q410*F1314</f>
        <v>0</v>
      </c>
    </row>
    <row r="1315" spans="1:12" x14ac:dyDescent="0.3">
      <c r="A1315" t="s">
        <v>196</v>
      </c>
      <c r="B1315" t="str">
        <f>TEXT(원본데이터_리씽크!B411,"0")</f>
        <v>2026020814265340000</v>
      </c>
      <c r="C1315" t="str">
        <f>IF(원본데이터_리씽크!A411="","",TEXT(원본데이터_리씽크!A411,"YYYY-MM-DD"))</f>
        <v>2026-02-08</v>
      </c>
      <c r="D1315">
        <f>원본데이터_리씽크!S411</f>
        <v>143790</v>
      </c>
      <c r="E1315" t="str">
        <f>IFERROR(VLOOKUP(원본데이터_리씽크!S411,채널매핑!$B:$D,3,0),"미매핑")</f>
        <v>SKU001</v>
      </c>
      <c r="F1315">
        <f>IFERROR(VLOOKUP(원본데이터_리씽크!S411,채널매핑!$B:$E,4,0),1)</f>
        <v>4</v>
      </c>
      <c r="G1315">
        <f>원본데이터_리씽크!P411</f>
        <v>1</v>
      </c>
      <c r="H1315">
        <f>원본데이터_리씽크!O411</f>
        <v>45500</v>
      </c>
      <c r="I1315">
        <f>원본데이터_리씽크!X411</f>
        <v>45500</v>
      </c>
      <c r="J1315">
        <f>원본데이터_리씽크!X411</f>
        <v>45500</v>
      </c>
      <c r="K1315" t="str">
        <f>IFERROR(VLOOKUP(E1315,제품마스터!$A:$B,2,0),0)</f>
        <v>[워커힐] 시그니처 양념갈비 300G</v>
      </c>
      <c r="L1315">
        <f>원본데이터_리씽크!P411*원본데이터_리씽크!Q411*F1315</f>
        <v>0</v>
      </c>
    </row>
    <row r="1316" spans="1:12" x14ac:dyDescent="0.3">
      <c r="A1316" t="s">
        <v>196</v>
      </c>
      <c r="B1316" t="str">
        <f>TEXT(원본데이터_리씽크!B412,"0")</f>
        <v>2026020814175540000</v>
      </c>
      <c r="C1316" t="str">
        <f>IF(원본데이터_리씽크!A412="","",TEXT(원본데이터_리씽크!A412,"YYYY-MM-DD"))</f>
        <v>2026-02-08</v>
      </c>
      <c r="D1316">
        <f>원본데이터_리씽크!S412</f>
        <v>143790</v>
      </c>
      <c r="E1316" t="str">
        <f>IFERROR(VLOOKUP(원본데이터_리씽크!S412,채널매핑!$B:$D,3,0),"미매핑")</f>
        <v>SKU001</v>
      </c>
      <c r="F1316">
        <f>IFERROR(VLOOKUP(원본데이터_리씽크!S412,채널매핑!$B:$E,4,0),1)</f>
        <v>4</v>
      </c>
      <c r="G1316">
        <f>원본데이터_리씽크!P412</f>
        <v>1</v>
      </c>
      <c r="H1316">
        <f>원본데이터_리씽크!O412</f>
        <v>45500</v>
      </c>
      <c r="I1316">
        <f>원본데이터_리씽크!X412</f>
        <v>45500</v>
      </c>
      <c r="J1316">
        <f>원본데이터_리씽크!X412</f>
        <v>45500</v>
      </c>
      <c r="K1316" t="str">
        <f>IFERROR(VLOOKUP(E1316,제품마스터!$A:$B,2,0),0)</f>
        <v>[워커힐] 시그니처 양념갈비 300G</v>
      </c>
      <c r="L1316">
        <f>원본데이터_리씽크!P412*원본데이터_리씽크!Q412*F1316</f>
        <v>0</v>
      </c>
    </row>
    <row r="1317" spans="1:12" x14ac:dyDescent="0.3">
      <c r="A1317" t="s">
        <v>196</v>
      </c>
      <c r="B1317" t="str">
        <f>TEXT(원본데이터_리씽크!B413,"0")</f>
        <v>2026020814081190000</v>
      </c>
      <c r="C1317" t="str">
        <f>IF(원본데이터_리씽크!A413="","",TEXT(원본데이터_리씽크!A413,"YYYY-MM-DD"))</f>
        <v>2026-02-08</v>
      </c>
      <c r="D1317">
        <f>원본데이터_리씽크!S413</f>
        <v>143790</v>
      </c>
      <c r="E1317" t="str">
        <f>IFERROR(VLOOKUP(원본데이터_리씽크!S413,채널매핑!$B:$D,3,0),"미매핑")</f>
        <v>SKU001</v>
      </c>
      <c r="F1317">
        <f>IFERROR(VLOOKUP(원본데이터_리씽크!S413,채널매핑!$B:$E,4,0),1)</f>
        <v>4</v>
      </c>
      <c r="G1317">
        <f>원본데이터_리씽크!P413</f>
        <v>1</v>
      </c>
      <c r="H1317">
        <f>원본데이터_리씽크!O413</f>
        <v>45500</v>
      </c>
      <c r="I1317">
        <f>원본데이터_리씽크!X413</f>
        <v>45500</v>
      </c>
      <c r="J1317">
        <f>원본데이터_리씽크!X413</f>
        <v>45500</v>
      </c>
      <c r="K1317" t="str">
        <f>IFERROR(VLOOKUP(E1317,제품마스터!$A:$B,2,0),0)</f>
        <v>[워커힐] 시그니처 양념갈비 300G</v>
      </c>
      <c r="L1317">
        <f>원본데이터_리씽크!P413*원본데이터_리씽크!Q413*F1317</f>
        <v>0</v>
      </c>
    </row>
    <row r="1318" spans="1:12" x14ac:dyDescent="0.3">
      <c r="A1318" t="s">
        <v>196</v>
      </c>
      <c r="B1318" t="str">
        <f>TEXT(원본데이터_리씽크!B414,"0")</f>
        <v>2026020813203400000</v>
      </c>
      <c r="C1318" t="str">
        <f>IF(원본데이터_리씽크!A414="","",TEXT(원본데이터_리씽크!A414,"YYYY-MM-DD"))</f>
        <v>2026-02-08</v>
      </c>
      <c r="D1318">
        <f>원본데이터_리씽크!S414</f>
        <v>143790</v>
      </c>
      <c r="E1318" t="str">
        <f>IFERROR(VLOOKUP(원본데이터_리씽크!S414,채널매핑!$B:$D,3,0),"미매핑")</f>
        <v>SKU001</v>
      </c>
      <c r="F1318">
        <f>IFERROR(VLOOKUP(원본데이터_리씽크!S414,채널매핑!$B:$E,4,0),1)</f>
        <v>4</v>
      </c>
      <c r="G1318">
        <f>원본데이터_리씽크!P414</f>
        <v>2</v>
      </c>
      <c r="H1318">
        <f>원본데이터_리씽크!O414</f>
        <v>45500</v>
      </c>
      <c r="I1318">
        <f>원본데이터_리씽크!X414</f>
        <v>91000</v>
      </c>
      <c r="J1318">
        <f>원본데이터_리씽크!X414</f>
        <v>91000</v>
      </c>
      <c r="K1318" t="str">
        <f>IFERROR(VLOOKUP(E1318,제품마스터!$A:$B,2,0),0)</f>
        <v>[워커힐] 시그니처 양념갈비 300G</v>
      </c>
      <c r="L1318">
        <f>원본데이터_리씽크!P414*원본데이터_리씽크!Q414*F1318</f>
        <v>0</v>
      </c>
    </row>
    <row r="1319" spans="1:12" x14ac:dyDescent="0.3">
      <c r="A1319" t="s">
        <v>196</v>
      </c>
      <c r="B1319" t="str">
        <f>TEXT(원본데이터_리씽크!B415,"0")</f>
        <v>2026020812544620000</v>
      </c>
      <c r="C1319" t="str">
        <f>IF(원본데이터_리씽크!A415="","",TEXT(원본데이터_리씽크!A415,"YYYY-MM-DD"))</f>
        <v>2026-02-08</v>
      </c>
      <c r="D1319">
        <f>원본데이터_리씽크!S415</f>
        <v>143790</v>
      </c>
      <c r="E1319" t="str">
        <f>IFERROR(VLOOKUP(원본데이터_리씽크!S415,채널매핑!$B:$D,3,0),"미매핑")</f>
        <v>SKU001</v>
      </c>
      <c r="F1319">
        <f>IFERROR(VLOOKUP(원본데이터_리씽크!S415,채널매핑!$B:$E,4,0),1)</f>
        <v>4</v>
      </c>
      <c r="G1319">
        <f>원본데이터_리씽크!P415</f>
        <v>1</v>
      </c>
      <c r="H1319">
        <f>원본데이터_리씽크!O415</f>
        <v>45500</v>
      </c>
      <c r="I1319">
        <f>원본데이터_리씽크!X415</f>
        <v>45500</v>
      </c>
      <c r="J1319">
        <f>원본데이터_리씽크!X415</f>
        <v>45500</v>
      </c>
      <c r="K1319" t="str">
        <f>IFERROR(VLOOKUP(E1319,제품마스터!$A:$B,2,0),0)</f>
        <v>[워커힐] 시그니처 양념갈비 300G</v>
      </c>
      <c r="L1319">
        <f>원본데이터_리씽크!P415*원본데이터_리씽크!Q415*F1319</f>
        <v>0</v>
      </c>
    </row>
    <row r="1320" spans="1:12" x14ac:dyDescent="0.3">
      <c r="A1320" t="s">
        <v>196</v>
      </c>
      <c r="B1320" t="str">
        <f>TEXT(원본데이터_리씽크!B416,"0")</f>
        <v>2026020812482140000</v>
      </c>
      <c r="C1320" t="str">
        <f>IF(원본데이터_리씽크!A416="","",TEXT(원본데이터_리씽크!A416,"YYYY-MM-DD"))</f>
        <v>2026-02-08</v>
      </c>
      <c r="D1320">
        <f>원본데이터_리씽크!S416</f>
        <v>143790</v>
      </c>
      <c r="E1320" t="str">
        <f>IFERROR(VLOOKUP(원본데이터_리씽크!S416,채널매핑!$B:$D,3,0),"미매핑")</f>
        <v>SKU001</v>
      </c>
      <c r="F1320">
        <f>IFERROR(VLOOKUP(원본데이터_리씽크!S416,채널매핑!$B:$E,4,0),1)</f>
        <v>4</v>
      </c>
      <c r="G1320">
        <f>원본데이터_리씽크!P416</f>
        <v>1</v>
      </c>
      <c r="H1320">
        <f>원본데이터_리씽크!O416</f>
        <v>45500</v>
      </c>
      <c r="I1320">
        <f>원본데이터_리씽크!X416</f>
        <v>45500</v>
      </c>
      <c r="J1320">
        <f>원본데이터_리씽크!X416</f>
        <v>45500</v>
      </c>
      <c r="K1320" t="str">
        <f>IFERROR(VLOOKUP(E1320,제품마스터!$A:$B,2,0),0)</f>
        <v>[워커힐] 시그니처 양념갈비 300G</v>
      </c>
      <c r="L1320">
        <f>원본데이터_리씽크!P416*원본데이터_리씽크!Q416*F1320</f>
        <v>0</v>
      </c>
    </row>
    <row r="1321" spans="1:12" x14ac:dyDescent="0.3">
      <c r="A1321" t="s">
        <v>196</v>
      </c>
      <c r="B1321" t="str">
        <f>TEXT(원본데이터_리씽크!B417,"0")</f>
        <v>2026020812374600000</v>
      </c>
      <c r="C1321" t="str">
        <f>IF(원본데이터_리씽크!A417="","",TEXT(원본데이터_리씽크!A417,"YYYY-MM-DD"))</f>
        <v>2026-02-08</v>
      </c>
      <c r="D1321">
        <f>원본데이터_리씽크!S417</f>
        <v>143790</v>
      </c>
      <c r="E1321" t="str">
        <f>IFERROR(VLOOKUP(원본데이터_리씽크!S417,채널매핑!$B:$D,3,0),"미매핑")</f>
        <v>SKU001</v>
      </c>
      <c r="F1321">
        <f>IFERROR(VLOOKUP(원본데이터_리씽크!S417,채널매핑!$B:$E,4,0),1)</f>
        <v>4</v>
      </c>
      <c r="G1321">
        <f>원본데이터_리씽크!P417</f>
        <v>1</v>
      </c>
      <c r="H1321">
        <f>원본데이터_리씽크!O417</f>
        <v>45500</v>
      </c>
      <c r="I1321">
        <f>원본데이터_리씽크!X417</f>
        <v>45500</v>
      </c>
      <c r="J1321">
        <f>원본데이터_리씽크!X417</f>
        <v>45500</v>
      </c>
      <c r="K1321" t="str">
        <f>IFERROR(VLOOKUP(E1321,제품마스터!$A:$B,2,0),0)</f>
        <v>[워커힐] 시그니처 양념갈비 300G</v>
      </c>
      <c r="L1321">
        <f>원본데이터_리씽크!P417*원본데이터_리씽크!Q417*F1321</f>
        <v>0</v>
      </c>
    </row>
    <row r="1322" spans="1:12" x14ac:dyDescent="0.3">
      <c r="A1322" t="s">
        <v>196</v>
      </c>
      <c r="B1322" t="str">
        <f>TEXT(원본데이터_리씽크!B418,"0")</f>
        <v>2026020812323830000</v>
      </c>
      <c r="C1322" t="str">
        <f>IF(원본데이터_리씽크!A418="","",TEXT(원본데이터_리씽크!A418,"YYYY-MM-DD"))</f>
        <v>2026-02-08</v>
      </c>
      <c r="D1322">
        <f>원본데이터_리씽크!S418</f>
        <v>143790</v>
      </c>
      <c r="E1322" t="str">
        <f>IFERROR(VLOOKUP(원본데이터_리씽크!S418,채널매핑!$B:$D,3,0),"미매핑")</f>
        <v>SKU001</v>
      </c>
      <c r="F1322">
        <f>IFERROR(VLOOKUP(원본데이터_리씽크!S418,채널매핑!$B:$E,4,0),1)</f>
        <v>4</v>
      </c>
      <c r="G1322">
        <f>원본데이터_리씽크!P418</f>
        <v>1</v>
      </c>
      <c r="H1322">
        <f>원본데이터_리씽크!O418</f>
        <v>45500</v>
      </c>
      <c r="I1322">
        <f>원본데이터_리씽크!X418</f>
        <v>45500</v>
      </c>
      <c r="J1322">
        <f>원본데이터_리씽크!X418</f>
        <v>45500</v>
      </c>
      <c r="K1322" t="str">
        <f>IFERROR(VLOOKUP(E1322,제품마스터!$A:$B,2,0),0)</f>
        <v>[워커힐] 시그니처 양념갈비 300G</v>
      </c>
      <c r="L1322">
        <f>원본데이터_리씽크!P418*원본데이터_리씽크!Q418*F1322</f>
        <v>0</v>
      </c>
    </row>
    <row r="1323" spans="1:12" x14ac:dyDescent="0.3">
      <c r="A1323" t="s">
        <v>196</v>
      </c>
      <c r="B1323" t="str">
        <f>TEXT(원본데이터_리씽크!B419,"0")</f>
        <v>2026020812284770000</v>
      </c>
      <c r="C1323" t="str">
        <f>IF(원본데이터_리씽크!A419="","",TEXT(원본데이터_리씽크!A419,"YYYY-MM-DD"))</f>
        <v>2026-02-08</v>
      </c>
      <c r="D1323">
        <f>원본데이터_리씽크!S419</f>
        <v>143790</v>
      </c>
      <c r="E1323" t="str">
        <f>IFERROR(VLOOKUP(원본데이터_리씽크!S419,채널매핑!$B:$D,3,0),"미매핑")</f>
        <v>SKU001</v>
      </c>
      <c r="F1323">
        <f>IFERROR(VLOOKUP(원본데이터_리씽크!S419,채널매핑!$B:$E,4,0),1)</f>
        <v>4</v>
      </c>
      <c r="G1323">
        <f>원본데이터_리씽크!P419</f>
        <v>1</v>
      </c>
      <c r="H1323">
        <f>원본데이터_리씽크!O419</f>
        <v>45500</v>
      </c>
      <c r="I1323">
        <f>원본데이터_리씽크!X419</f>
        <v>45500</v>
      </c>
      <c r="J1323">
        <f>원본데이터_리씽크!X419</f>
        <v>45500</v>
      </c>
      <c r="K1323" t="str">
        <f>IFERROR(VLOOKUP(E1323,제품마스터!$A:$B,2,0),0)</f>
        <v>[워커힐] 시그니처 양념갈비 300G</v>
      </c>
      <c r="L1323">
        <f>원본데이터_리씽크!P419*원본데이터_리씽크!Q419*F1323</f>
        <v>0</v>
      </c>
    </row>
    <row r="1324" spans="1:12" x14ac:dyDescent="0.3">
      <c r="A1324" t="s">
        <v>196</v>
      </c>
      <c r="B1324" t="str">
        <f>TEXT(원본데이터_리씽크!B420,"0")</f>
        <v>2026020812254410000</v>
      </c>
      <c r="C1324" t="str">
        <f>IF(원본데이터_리씽크!A420="","",TEXT(원본데이터_리씽크!A420,"YYYY-MM-DD"))</f>
        <v>2026-02-08</v>
      </c>
      <c r="D1324">
        <f>원본데이터_리씽크!S420</f>
        <v>143790</v>
      </c>
      <c r="E1324" t="str">
        <f>IFERROR(VLOOKUP(원본데이터_리씽크!S420,채널매핑!$B:$D,3,0),"미매핑")</f>
        <v>SKU001</v>
      </c>
      <c r="F1324">
        <f>IFERROR(VLOOKUP(원본데이터_리씽크!S420,채널매핑!$B:$E,4,0),1)</f>
        <v>4</v>
      </c>
      <c r="G1324">
        <f>원본데이터_리씽크!P420</f>
        <v>1</v>
      </c>
      <c r="H1324">
        <f>원본데이터_리씽크!O420</f>
        <v>45500</v>
      </c>
      <c r="I1324">
        <f>원본데이터_리씽크!X420</f>
        <v>45500</v>
      </c>
      <c r="J1324">
        <f>원본데이터_리씽크!X420</f>
        <v>45500</v>
      </c>
      <c r="K1324" t="str">
        <f>IFERROR(VLOOKUP(E1324,제품마스터!$A:$B,2,0),0)</f>
        <v>[워커힐] 시그니처 양념갈비 300G</v>
      </c>
      <c r="L1324">
        <f>원본데이터_리씽크!P420*원본데이터_리씽크!Q420*F1324</f>
        <v>0</v>
      </c>
    </row>
    <row r="1325" spans="1:12" x14ac:dyDescent="0.3">
      <c r="A1325" t="s">
        <v>196</v>
      </c>
      <c r="B1325" t="str">
        <f>TEXT(원본데이터_리씽크!B421,"0")</f>
        <v>2026020812220870000</v>
      </c>
      <c r="C1325" t="str">
        <f>IF(원본데이터_리씽크!A421="","",TEXT(원본데이터_리씽크!A421,"YYYY-MM-DD"))</f>
        <v>2026-02-08</v>
      </c>
      <c r="D1325">
        <f>원본데이터_리씽크!S421</f>
        <v>143790</v>
      </c>
      <c r="E1325" t="str">
        <f>IFERROR(VLOOKUP(원본데이터_리씽크!S421,채널매핑!$B:$D,3,0),"미매핑")</f>
        <v>SKU001</v>
      </c>
      <c r="F1325">
        <f>IFERROR(VLOOKUP(원본데이터_리씽크!S421,채널매핑!$B:$E,4,0),1)</f>
        <v>4</v>
      </c>
      <c r="G1325">
        <f>원본데이터_리씽크!P421</f>
        <v>1</v>
      </c>
      <c r="H1325">
        <f>원본데이터_리씽크!O421</f>
        <v>45500</v>
      </c>
      <c r="I1325">
        <f>원본데이터_리씽크!X421</f>
        <v>45500</v>
      </c>
      <c r="J1325">
        <f>원본데이터_리씽크!X421</f>
        <v>45500</v>
      </c>
      <c r="K1325" t="str">
        <f>IFERROR(VLOOKUP(E1325,제품마스터!$A:$B,2,0),0)</f>
        <v>[워커힐] 시그니처 양념갈비 300G</v>
      </c>
      <c r="L1325">
        <f>원본데이터_리씽크!P421*원본데이터_리씽크!Q421*F1325</f>
        <v>0</v>
      </c>
    </row>
    <row r="1326" spans="1:12" x14ac:dyDescent="0.3">
      <c r="A1326" t="s">
        <v>196</v>
      </c>
      <c r="B1326" t="str">
        <f>TEXT(원본데이터_리씽크!B422,"0")</f>
        <v>2026020812130930000</v>
      </c>
      <c r="C1326" t="str">
        <f>IF(원본데이터_리씽크!A422="","",TEXT(원본데이터_리씽크!A422,"YYYY-MM-DD"))</f>
        <v>2026-02-08</v>
      </c>
      <c r="D1326">
        <f>원본데이터_리씽크!S422</f>
        <v>143790</v>
      </c>
      <c r="E1326" t="str">
        <f>IFERROR(VLOOKUP(원본데이터_리씽크!S422,채널매핑!$B:$D,3,0),"미매핑")</f>
        <v>SKU001</v>
      </c>
      <c r="F1326">
        <f>IFERROR(VLOOKUP(원본데이터_리씽크!S422,채널매핑!$B:$E,4,0),1)</f>
        <v>4</v>
      </c>
      <c r="G1326">
        <f>원본데이터_리씽크!P422</f>
        <v>1</v>
      </c>
      <c r="H1326">
        <f>원본데이터_리씽크!O422</f>
        <v>45500</v>
      </c>
      <c r="I1326">
        <f>원본데이터_리씽크!X422</f>
        <v>45500</v>
      </c>
      <c r="J1326">
        <f>원본데이터_리씽크!X422</f>
        <v>45500</v>
      </c>
      <c r="K1326" t="str">
        <f>IFERROR(VLOOKUP(E1326,제품마스터!$A:$B,2,0),0)</f>
        <v>[워커힐] 시그니처 양념갈비 300G</v>
      </c>
      <c r="L1326">
        <f>원본데이터_리씽크!P422*원본데이터_리씽크!Q422*F1326</f>
        <v>0</v>
      </c>
    </row>
    <row r="1327" spans="1:12" x14ac:dyDescent="0.3">
      <c r="A1327" t="s">
        <v>196</v>
      </c>
      <c r="B1327" t="str">
        <f>TEXT(원본데이터_리씽크!B423,"0")</f>
        <v>2026020810103430000</v>
      </c>
      <c r="C1327" t="str">
        <f>IF(원본데이터_리씽크!A423="","",TEXT(원본데이터_리씽크!A423,"YYYY-MM-DD"))</f>
        <v>2026-02-08</v>
      </c>
      <c r="D1327">
        <f>원본데이터_리씽크!S423</f>
        <v>143790</v>
      </c>
      <c r="E1327" t="str">
        <f>IFERROR(VLOOKUP(원본데이터_리씽크!S423,채널매핑!$B:$D,3,0),"미매핑")</f>
        <v>SKU001</v>
      </c>
      <c r="F1327">
        <f>IFERROR(VLOOKUP(원본데이터_리씽크!S423,채널매핑!$B:$E,4,0),1)</f>
        <v>4</v>
      </c>
      <c r="G1327">
        <f>원본데이터_리씽크!P423</f>
        <v>1</v>
      </c>
      <c r="H1327">
        <f>원본데이터_리씽크!O423</f>
        <v>45500</v>
      </c>
      <c r="I1327">
        <f>원본데이터_리씽크!X423</f>
        <v>45500</v>
      </c>
      <c r="J1327">
        <f>원본데이터_리씽크!X423</f>
        <v>45500</v>
      </c>
      <c r="K1327" t="str">
        <f>IFERROR(VLOOKUP(E1327,제품마스터!$A:$B,2,0),0)</f>
        <v>[워커힐] 시그니처 양념갈비 300G</v>
      </c>
      <c r="L1327">
        <f>원본데이터_리씽크!P423*원본데이터_리씽크!Q423*F1327</f>
        <v>0</v>
      </c>
    </row>
    <row r="1328" spans="1:12" x14ac:dyDescent="0.3">
      <c r="A1328" t="s">
        <v>196</v>
      </c>
      <c r="B1328" t="str">
        <f>TEXT(원본데이터_리씽크!B424,"0")</f>
        <v>2026020810035900000</v>
      </c>
      <c r="C1328" t="str">
        <f>IF(원본데이터_리씽크!A424="","",TEXT(원본데이터_리씽크!A424,"YYYY-MM-DD"))</f>
        <v>2026-02-08</v>
      </c>
      <c r="D1328">
        <f>원본데이터_리씽크!S424</f>
        <v>143790</v>
      </c>
      <c r="E1328" t="str">
        <f>IFERROR(VLOOKUP(원본데이터_리씽크!S424,채널매핑!$B:$D,3,0),"미매핑")</f>
        <v>SKU001</v>
      </c>
      <c r="F1328">
        <f>IFERROR(VLOOKUP(원본데이터_리씽크!S424,채널매핑!$B:$E,4,0),1)</f>
        <v>4</v>
      </c>
      <c r="G1328">
        <f>원본데이터_리씽크!P424</f>
        <v>3</v>
      </c>
      <c r="H1328">
        <f>원본데이터_리씽크!O424</f>
        <v>45500</v>
      </c>
      <c r="I1328">
        <f>원본데이터_리씽크!X424</f>
        <v>136500</v>
      </c>
      <c r="J1328">
        <f>원본데이터_리씽크!X424</f>
        <v>136500</v>
      </c>
      <c r="K1328" t="str">
        <f>IFERROR(VLOOKUP(E1328,제품마스터!$A:$B,2,0),0)</f>
        <v>[워커힐] 시그니처 양념갈비 300G</v>
      </c>
      <c r="L1328">
        <f>원본데이터_리씽크!P424*원본데이터_리씽크!Q424*F1328</f>
        <v>0</v>
      </c>
    </row>
    <row r="1329" spans="1:12" x14ac:dyDescent="0.3">
      <c r="A1329" t="s">
        <v>196</v>
      </c>
      <c r="B1329" t="str">
        <f>TEXT(원본데이터_리씽크!B425,"0")</f>
        <v>2026020809390910000</v>
      </c>
      <c r="C1329" t="str">
        <f>IF(원본데이터_리씽크!A425="","",TEXT(원본데이터_리씽크!A425,"YYYY-MM-DD"))</f>
        <v>2026-02-08</v>
      </c>
      <c r="D1329">
        <f>원본데이터_리씽크!S425</f>
        <v>143790</v>
      </c>
      <c r="E1329" t="str">
        <f>IFERROR(VLOOKUP(원본데이터_리씽크!S425,채널매핑!$B:$D,3,0),"미매핑")</f>
        <v>SKU001</v>
      </c>
      <c r="F1329">
        <f>IFERROR(VLOOKUP(원본데이터_리씽크!S425,채널매핑!$B:$E,4,0),1)</f>
        <v>4</v>
      </c>
      <c r="G1329">
        <f>원본데이터_리씽크!P425</f>
        <v>1</v>
      </c>
      <c r="H1329">
        <f>원본데이터_리씽크!O425</f>
        <v>45500</v>
      </c>
      <c r="I1329">
        <f>원본데이터_리씽크!X425</f>
        <v>45500</v>
      </c>
      <c r="J1329">
        <f>원본데이터_리씽크!X425</f>
        <v>45500</v>
      </c>
      <c r="K1329" t="str">
        <f>IFERROR(VLOOKUP(E1329,제품마스터!$A:$B,2,0),0)</f>
        <v>[워커힐] 시그니처 양념갈비 300G</v>
      </c>
      <c r="L1329">
        <f>원본데이터_리씽크!P425*원본데이터_리씽크!Q425*F1329</f>
        <v>0</v>
      </c>
    </row>
    <row r="1330" spans="1:12" x14ac:dyDescent="0.3">
      <c r="A1330" t="s">
        <v>196</v>
      </c>
      <c r="B1330" t="str">
        <f>TEXT(원본데이터_리씽크!B426,"0")</f>
        <v>2026020723092580000</v>
      </c>
      <c r="C1330" t="str">
        <f>IF(원본데이터_리씽크!A426="","",TEXT(원본데이터_리씽크!A426,"YYYY-MM-DD"))</f>
        <v>2026-02-07</v>
      </c>
      <c r="D1330">
        <f>원본데이터_리씽크!S426</f>
        <v>143790</v>
      </c>
      <c r="E1330" t="str">
        <f>IFERROR(VLOOKUP(원본데이터_리씽크!S426,채널매핑!$B:$D,3,0),"미매핑")</f>
        <v>SKU001</v>
      </c>
      <c r="F1330">
        <f>IFERROR(VLOOKUP(원본데이터_리씽크!S426,채널매핑!$B:$E,4,0),1)</f>
        <v>4</v>
      </c>
      <c r="G1330">
        <f>원본데이터_리씽크!P426</f>
        <v>1</v>
      </c>
      <c r="H1330">
        <f>원본데이터_리씽크!O426</f>
        <v>45500</v>
      </c>
      <c r="I1330">
        <f>원본데이터_리씽크!X426</f>
        <v>45500</v>
      </c>
      <c r="J1330">
        <f>원본데이터_리씽크!X426</f>
        <v>45500</v>
      </c>
      <c r="K1330" t="str">
        <f>IFERROR(VLOOKUP(E1330,제품마스터!$A:$B,2,0),0)</f>
        <v>[워커힐] 시그니처 양념갈비 300G</v>
      </c>
      <c r="L1330">
        <f>원본데이터_리씽크!P426*원본데이터_리씽크!Q426*F1330</f>
        <v>0</v>
      </c>
    </row>
    <row r="1331" spans="1:12" x14ac:dyDescent="0.3">
      <c r="A1331" t="s">
        <v>196</v>
      </c>
      <c r="B1331" t="str">
        <f>TEXT(원본데이터_리씽크!B427,"0")</f>
        <v>2026020722540330000</v>
      </c>
      <c r="C1331" t="str">
        <f>IF(원본데이터_리씽크!A427="","",TEXT(원본데이터_리씽크!A427,"YYYY-MM-DD"))</f>
        <v>2026-02-07</v>
      </c>
      <c r="D1331">
        <f>원본데이터_리씽크!S427</f>
        <v>143790</v>
      </c>
      <c r="E1331" t="str">
        <f>IFERROR(VLOOKUP(원본데이터_리씽크!S427,채널매핑!$B:$D,3,0),"미매핑")</f>
        <v>SKU001</v>
      </c>
      <c r="F1331">
        <f>IFERROR(VLOOKUP(원본데이터_리씽크!S427,채널매핑!$B:$E,4,0),1)</f>
        <v>4</v>
      </c>
      <c r="G1331">
        <f>원본데이터_리씽크!P427</f>
        <v>1</v>
      </c>
      <c r="H1331">
        <f>원본데이터_리씽크!O427</f>
        <v>45500</v>
      </c>
      <c r="I1331">
        <f>원본데이터_리씽크!X427</f>
        <v>45500</v>
      </c>
      <c r="J1331">
        <f>원본데이터_리씽크!X427</f>
        <v>45500</v>
      </c>
      <c r="K1331" t="str">
        <f>IFERROR(VLOOKUP(E1331,제품마스터!$A:$B,2,0),0)</f>
        <v>[워커힐] 시그니처 양념갈비 300G</v>
      </c>
      <c r="L1331">
        <f>원본데이터_리씽크!P427*원본데이터_리씽크!Q427*F1331</f>
        <v>0</v>
      </c>
    </row>
    <row r="1332" spans="1:12" x14ac:dyDescent="0.3">
      <c r="A1332" t="s">
        <v>196</v>
      </c>
      <c r="B1332" t="str">
        <f>TEXT(원본데이터_리씽크!B428,"0")</f>
        <v>2026020718420090000</v>
      </c>
      <c r="C1332" t="str">
        <f>IF(원본데이터_리씽크!A428="","",TEXT(원본데이터_리씽크!A428,"YYYY-MM-DD"))</f>
        <v>2026-02-07</v>
      </c>
      <c r="D1332">
        <f>원본데이터_리씽크!S428</f>
        <v>143790</v>
      </c>
      <c r="E1332" t="str">
        <f>IFERROR(VLOOKUP(원본데이터_리씽크!S428,채널매핑!$B:$D,3,0),"미매핑")</f>
        <v>SKU001</v>
      </c>
      <c r="F1332">
        <f>IFERROR(VLOOKUP(원본데이터_리씽크!S428,채널매핑!$B:$E,4,0),1)</f>
        <v>4</v>
      </c>
      <c r="G1332">
        <f>원본데이터_리씽크!P428</f>
        <v>1</v>
      </c>
      <c r="H1332">
        <f>원본데이터_리씽크!O428</f>
        <v>45500</v>
      </c>
      <c r="I1332">
        <f>원본데이터_리씽크!X428</f>
        <v>45500</v>
      </c>
      <c r="J1332">
        <f>원본데이터_리씽크!X428</f>
        <v>45500</v>
      </c>
      <c r="K1332" t="str">
        <f>IFERROR(VLOOKUP(E1332,제품마스터!$A:$B,2,0),0)</f>
        <v>[워커힐] 시그니처 양념갈비 300G</v>
      </c>
      <c r="L1332">
        <f>원본데이터_리씽크!P428*원본데이터_리씽크!Q428*F1332</f>
        <v>0</v>
      </c>
    </row>
    <row r="1333" spans="1:12" x14ac:dyDescent="0.3">
      <c r="A1333" t="s">
        <v>196</v>
      </c>
      <c r="B1333" t="str">
        <f>TEXT(원본데이터_리씽크!B429,"0")</f>
        <v>2026020718443610000</v>
      </c>
      <c r="C1333" t="str">
        <f>IF(원본데이터_리씽크!A429="","",TEXT(원본데이터_리씽크!A429,"YYYY-MM-DD"))</f>
        <v>2026-02-07</v>
      </c>
      <c r="D1333">
        <f>원본데이터_리씽크!S429</f>
        <v>143790</v>
      </c>
      <c r="E1333" t="str">
        <f>IFERROR(VLOOKUP(원본데이터_리씽크!S429,채널매핑!$B:$D,3,0),"미매핑")</f>
        <v>SKU001</v>
      </c>
      <c r="F1333">
        <f>IFERROR(VLOOKUP(원본데이터_리씽크!S429,채널매핑!$B:$E,4,0),1)</f>
        <v>4</v>
      </c>
      <c r="G1333">
        <f>원본데이터_리씽크!P429</f>
        <v>1</v>
      </c>
      <c r="H1333">
        <f>원본데이터_리씽크!O429</f>
        <v>45500</v>
      </c>
      <c r="I1333">
        <f>원본데이터_리씽크!X429</f>
        <v>45500</v>
      </c>
      <c r="J1333">
        <f>원본데이터_리씽크!X429</f>
        <v>45500</v>
      </c>
      <c r="K1333" t="str">
        <f>IFERROR(VLOOKUP(E1333,제품마스터!$A:$B,2,0),0)</f>
        <v>[워커힐] 시그니처 양념갈비 300G</v>
      </c>
      <c r="L1333">
        <f>원본데이터_리씽크!P429*원본데이터_리씽크!Q429*F1333</f>
        <v>0</v>
      </c>
    </row>
    <row r="1334" spans="1:12" x14ac:dyDescent="0.3">
      <c r="A1334" t="s">
        <v>196</v>
      </c>
      <c r="B1334" t="str">
        <f>TEXT(원본데이터_리씽크!B430,"0")</f>
        <v>2026020718332840000</v>
      </c>
      <c r="C1334" t="str">
        <f>IF(원본데이터_리씽크!A430="","",TEXT(원본데이터_리씽크!A430,"YYYY-MM-DD"))</f>
        <v>2026-02-07</v>
      </c>
      <c r="D1334">
        <f>원본데이터_리씽크!S430</f>
        <v>143790</v>
      </c>
      <c r="E1334" t="str">
        <f>IFERROR(VLOOKUP(원본데이터_리씽크!S430,채널매핑!$B:$D,3,0),"미매핑")</f>
        <v>SKU001</v>
      </c>
      <c r="F1334">
        <f>IFERROR(VLOOKUP(원본데이터_리씽크!S430,채널매핑!$B:$E,4,0),1)</f>
        <v>4</v>
      </c>
      <c r="G1334">
        <f>원본데이터_리씽크!P430</f>
        <v>1</v>
      </c>
      <c r="H1334">
        <f>원본데이터_리씽크!O430</f>
        <v>45500</v>
      </c>
      <c r="I1334">
        <f>원본데이터_리씽크!X430</f>
        <v>45500</v>
      </c>
      <c r="J1334">
        <f>원본데이터_리씽크!X430</f>
        <v>45500</v>
      </c>
      <c r="K1334" t="str">
        <f>IFERROR(VLOOKUP(E1334,제품마스터!$A:$B,2,0),0)</f>
        <v>[워커힐] 시그니처 양념갈비 300G</v>
      </c>
      <c r="L1334">
        <f>원본데이터_리씽크!P430*원본데이터_리씽크!Q430*F1334</f>
        <v>0</v>
      </c>
    </row>
    <row r="1335" spans="1:12" x14ac:dyDescent="0.3">
      <c r="A1335" t="s">
        <v>196</v>
      </c>
      <c r="B1335" t="str">
        <f>TEXT(원본데이터_리씽크!B431,"0")</f>
        <v>2026020717572070000</v>
      </c>
      <c r="C1335" t="str">
        <f>IF(원본데이터_리씽크!A431="","",TEXT(원본데이터_리씽크!A431,"YYYY-MM-DD"))</f>
        <v>2026-02-07</v>
      </c>
      <c r="D1335">
        <f>원본데이터_리씽크!S431</f>
        <v>143790</v>
      </c>
      <c r="E1335" t="str">
        <f>IFERROR(VLOOKUP(원본데이터_리씽크!S431,채널매핑!$B:$D,3,0),"미매핑")</f>
        <v>SKU001</v>
      </c>
      <c r="F1335">
        <f>IFERROR(VLOOKUP(원본데이터_리씽크!S431,채널매핑!$B:$E,4,0),1)</f>
        <v>4</v>
      </c>
      <c r="G1335">
        <f>원본데이터_리씽크!P431</f>
        <v>2</v>
      </c>
      <c r="H1335">
        <f>원본데이터_리씽크!O431</f>
        <v>45500</v>
      </c>
      <c r="I1335">
        <f>원본데이터_리씽크!X431</f>
        <v>91000</v>
      </c>
      <c r="J1335">
        <f>원본데이터_리씽크!X431</f>
        <v>91000</v>
      </c>
      <c r="K1335" t="str">
        <f>IFERROR(VLOOKUP(E1335,제품마스터!$A:$B,2,0),0)</f>
        <v>[워커힐] 시그니처 양념갈비 300G</v>
      </c>
      <c r="L1335">
        <f>원본데이터_리씽크!P431*원본데이터_리씽크!Q431*F1335</f>
        <v>0</v>
      </c>
    </row>
    <row r="1336" spans="1:12" x14ac:dyDescent="0.3">
      <c r="A1336" t="s">
        <v>196</v>
      </c>
      <c r="B1336" t="str">
        <f>TEXT(원본데이터_리씽크!B432,"0")</f>
        <v>2026020717353160000</v>
      </c>
      <c r="C1336" t="str">
        <f>IF(원본데이터_리씽크!A432="","",TEXT(원본데이터_리씽크!A432,"YYYY-MM-DD"))</f>
        <v>2026-02-07</v>
      </c>
      <c r="D1336">
        <f>원본데이터_리씽크!S432</f>
        <v>143790</v>
      </c>
      <c r="E1336" t="str">
        <f>IFERROR(VLOOKUP(원본데이터_리씽크!S432,채널매핑!$B:$D,3,0),"미매핑")</f>
        <v>SKU001</v>
      </c>
      <c r="F1336">
        <f>IFERROR(VLOOKUP(원본데이터_리씽크!S432,채널매핑!$B:$E,4,0),1)</f>
        <v>4</v>
      </c>
      <c r="G1336">
        <f>원본데이터_리씽크!P432</f>
        <v>1</v>
      </c>
      <c r="H1336">
        <f>원본데이터_리씽크!O432</f>
        <v>45500</v>
      </c>
      <c r="I1336">
        <f>원본데이터_리씽크!X432</f>
        <v>45500</v>
      </c>
      <c r="J1336">
        <f>원본데이터_리씽크!X432</f>
        <v>45500</v>
      </c>
      <c r="K1336" t="str">
        <f>IFERROR(VLOOKUP(E1336,제품마스터!$A:$B,2,0),0)</f>
        <v>[워커힐] 시그니처 양념갈비 300G</v>
      </c>
      <c r="L1336">
        <f>원본데이터_리씽크!P432*원본데이터_리씽크!Q432*F1336</f>
        <v>0</v>
      </c>
    </row>
    <row r="1337" spans="1:12" x14ac:dyDescent="0.3">
      <c r="A1337" t="s">
        <v>196</v>
      </c>
      <c r="B1337" t="str">
        <f>TEXT(원본데이터_리씽크!B433,"0")</f>
        <v>2026020717262610000</v>
      </c>
      <c r="C1337" t="str">
        <f>IF(원본데이터_리씽크!A433="","",TEXT(원본데이터_리씽크!A433,"YYYY-MM-DD"))</f>
        <v>2026-02-07</v>
      </c>
      <c r="D1337">
        <f>원본데이터_리씽크!S433</f>
        <v>143790</v>
      </c>
      <c r="E1337" t="str">
        <f>IFERROR(VLOOKUP(원본데이터_리씽크!S433,채널매핑!$B:$D,3,0),"미매핑")</f>
        <v>SKU001</v>
      </c>
      <c r="F1337">
        <f>IFERROR(VLOOKUP(원본데이터_리씽크!S433,채널매핑!$B:$E,4,0),1)</f>
        <v>4</v>
      </c>
      <c r="G1337">
        <f>원본데이터_리씽크!P433</f>
        <v>1</v>
      </c>
      <c r="H1337">
        <f>원본데이터_리씽크!O433</f>
        <v>45500</v>
      </c>
      <c r="I1337">
        <f>원본데이터_리씽크!X433</f>
        <v>45500</v>
      </c>
      <c r="J1337">
        <f>원본데이터_리씽크!X433</f>
        <v>45500</v>
      </c>
      <c r="K1337" t="str">
        <f>IFERROR(VLOOKUP(E1337,제품마스터!$A:$B,2,0),0)</f>
        <v>[워커힐] 시그니처 양념갈비 300G</v>
      </c>
      <c r="L1337">
        <f>원본데이터_리씽크!P433*원본데이터_리씽크!Q433*F1337</f>
        <v>0</v>
      </c>
    </row>
    <row r="1338" spans="1:12" x14ac:dyDescent="0.3">
      <c r="A1338" t="s">
        <v>196</v>
      </c>
      <c r="B1338" t="str">
        <f>TEXT(원본데이터_리씽크!B434,"0")</f>
        <v>2026020717250760000</v>
      </c>
      <c r="C1338" t="str">
        <f>IF(원본데이터_리씽크!A434="","",TEXT(원본데이터_리씽크!A434,"YYYY-MM-DD"))</f>
        <v>2026-02-07</v>
      </c>
      <c r="D1338">
        <f>원본데이터_리씽크!S434</f>
        <v>143790</v>
      </c>
      <c r="E1338" t="str">
        <f>IFERROR(VLOOKUP(원본데이터_리씽크!S434,채널매핑!$B:$D,3,0),"미매핑")</f>
        <v>SKU001</v>
      </c>
      <c r="F1338">
        <f>IFERROR(VLOOKUP(원본데이터_리씽크!S434,채널매핑!$B:$E,4,0),1)</f>
        <v>4</v>
      </c>
      <c r="G1338">
        <f>원본데이터_리씽크!P434</f>
        <v>1</v>
      </c>
      <c r="H1338">
        <f>원본데이터_리씽크!O434</f>
        <v>45500</v>
      </c>
      <c r="I1338">
        <f>원본데이터_리씽크!X434</f>
        <v>45500</v>
      </c>
      <c r="J1338">
        <f>원본데이터_리씽크!X434</f>
        <v>45500</v>
      </c>
      <c r="K1338" t="str">
        <f>IFERROR(VLOOKUP(E1338,제품마스터!$A:$B,2,0),0)</f>
        <v>[워커힐] 시그니처 양념갈비 300G</v>
      </c>
      <c r="L1338">
        <f>원본데이터_리씽크!P434*원본데이터_리씽크!Q434*F1338</f>
        <v>0</v>
      </c>
    </row>
    <row r="1339" spans="1:12" x14ac:dyDescent="0.3">
      <c r="A1339" t="s">
        <v>196</v>
      </c>
      <c r="B1339" t="str">
        <f>TEXT(원본데이터_리씽크!B435,"0")</f>
        <v>2026020717085180000</v>
      </c>
      <c r="C1339" t="str">
        <f>IF(원본데이터_리씽크!A435="","",TEXT(원본데이터_리씽크!A435,"YYYY-MM-DD"))</f>
        <v>2026-02-07</v>
      </c>
      <c r="D1339">
        <f>원본데이터_리씽크!S435</f>
        <v>143790</v>
      </c>
      <c r="E1339" t="str">
        <f>IFERROR(VLOOKUP(원본데이터_리씽크!S435,채널매핑!$B:$D,3,0),"미매핑")</f>
        <v>SKU001</v>
      </c>
      <c r="F1339">
        <f>IFERROR(VLOOKUP(원본데이터_리씽크!S435,채널매핑!$B:$E,4,0),1)</f>
        <v>4</v>
      </c>
      <c r="G1339">
        <f>원본데이터_리씽크!P435</f>
        <v>1</v>
      </c>
      <c r="H1339">
        <f>원본데이터_리씽크!O435</f>
        <v>45500</v>
      </c>
      <c r="I1339">
        <f>원본데이터_리씽크!X435</f>
        <v>45500</v>
      </c>
      <c r="J1339">
        <f>원본데이터_리씽크!X435</f>
        <v>45500</v>
      </c>
      <c r="K1339" t="str">
        <f>IFERROR(VLOOKUP(E1339,제품마스터!$A:$B,2,0),0)</f>
        <v>[워커힐] 시그니처 양념갈비 300G</v>
      </c>
      <c r="L1339">
        <f>원본데이터_리씽크!P435*원본데이터_리씽크!Q435*F1339</f>
        <v>0</v>
      </c>
    </row>
    <row r="1340" spans="1:12" x14ac:dyDescent="0.3">
      <c r="A1340" t="s">
        <v>196</v>
      </c>
      <c r="B1340" t="str">
        <f>TEXT(원본데이터_리씽크!B436,"0")</f>
        <v>2026020716191450000</v>
      </c>
      <c r="C1340" t="str">
        <f>IF(원본데이터_리씽크!A436="","",TEXT(원본데이터_리씽크!A436,"YYYY-MM-DD"))</f>
        <v>2026-02-07</v>
      </c>
      <c r="D1340">
        <f>원본데이터_리씽크!S436</f>
        <v>143790</v>
      </c>
      <c r="E1340" t="str">
        <f>IFERROR(VLOOKUP(원본데이터_리씽크!S436,채널매핑!$B:$D,3,0),"미매핑")</f>
        <v>SKU001</v>
      </c>
      <c r="F1340">
        <f>IFERROR(VLOOKUP(원본데이터_리씽크!S436,채널매핑!$B:$E,4,0),1)</f>
        <v>4</v>
      </c>
      <c r="G1340">
        <f>원본데이터_리씽크!P436</f>
        <v>2</v>
      </c>
      <c r="H1340">
        <f>원본데이터_리씽크!O436</f>
        <v>45500</v>
      </c>
      <c r="I1340">
        <f>원본데이터_리씽크!X436</f>
        <v>91000</v>
      </c>
      <c r="J1340">
        <f>원본데이터_리씽크!X436</f>
        <v>91000</v>
      </c>
      <c r="K1340" t="str">
        <f>IFERROR(VLOOKUP(E1340,제품마스터!$A:$B,2,0),0)</f>
        <v>[워커힐] 시그니처 양념갈비 300G</v>
      </c>
      <c r="L1340">
        <f>원본데이터_리씽크!P436*원본데이터_리씽크!Q436*F1340</f>
        <v>0</v>
      </c>
    </row>
    <row r="1341" spans="1:12" x14ac:dyDescent="0.3">
      <c r="A1341" t="s">
        <v>196</v>
      </c>
      <c r="B1341" t="str">
        <f>TEXT(원본데이터_리씽크!B437,"0")</f>
        <v>2026020716132930000</v>
      </c>
      <c r="C1341" t="str">
        <f>IF(원본데이터_리씽크!A437="","",TEXT(원본데이터_리씽크!A437,"YYYY-MM-DD"))</f>
        <v>2026-02-07</v>
      </c>
      <c r="D1341">
        <f>원본데이터_리씽크!S437</f>
        <v>143790</v>
      </c>
      <c r="E1341" t="str">
        <f>IFERROR(VLOOKUP(원본데이터_리씽크!S437,채널매핑!$B:$D,3,0),"미매핑")</f>
        <v>SKU001</v>
      </c>
      <c r="F1341">
        <f>IFERROR(VLOOKUP(원본데이터_리씽크!S437,채널매핑!$B:$E,4,0),1)</f>
        <v>4</v>
      </c>
      <c r="G1341">
        <f>원본데이터_리씽크!P437</f>
        <v>1</v>
      </c>
      <c r="H1341">
        <f>원본데이터_리씽크!O437</f>
        <v>45500</v>
      </c>
      <c r="I1341">
        <f>원본데이터_리씽크!X437</f>
        <v>45500</v>
      </c>
      <c r="J1341">
        <f>원본데이터_리씽크!X437</f>
        <v>45500</v>
      </c>
      <c r="K1341" t="str">
        <f>IFERROR(VLOOKUP(E1341,제품마스터!$A:$B,2,0),0)</f>
        <v>[워커힐] 시그니처 양념갈비 300G</v>
      </c>
      <c r="L1341">
        <f>원본데이터_리씽크!P437*원본데이터_리씽크!Q437*F1341</f>
        <v>0</v>
      </c>
    </row>
    <row r="1342" spans="1:12" x14ac:dyDescent="0.3">
      <c r="A1342" t="s">
        <v>196</v>
      </c>
      <c r="B1342" t="str">
        <f>TEXT(원본데이터_리씽크!B438,"0")</f>
        <v>2026020715480890000</v>
      </c>
      <c r="C1342" t="str">
        <f>IF(원본데이터_리씽크!A438="","",TEXT(원본데이터_리씽크!A438,"YYYY-MM-DD"))</f>
        <v>2026-02-07</v>
      </c>
      <c r="D1342">
        <f>원본데이터_리씽크!S438</f>
        <v>143790</v>
      </c>
      <c r="E1342" t="str">
        <f>IFERROR(VLOOKUP(원본데이터_리씽크!S438,채널매핑!$B:$D,3,0),"미매핑")</f>
        <v>SKU001</v>
      </c>
      <c r="F1342">
        <f>IFERROR(VLOOKUP(원본데이터_리씽크!S438,채널매핑!$B:$E,4,0),1)</f>
        <v>4</v>
      </c>
      <c r="G1342">
        <f>원본데이터_리씽크!P438</f>
        <v>1</v>
      </c>
      <c r="H1342">
        <f>원본데이터_리씽크!O438</f>
        <v>45500</v>
      </c>
      <c r="I1342">
        <f>원본데이터_리씽크!X438</f>
        <v>45500</v>
      </c>
      <c r="J1342">
        <f>원본데이터_리씽크!X438</f>
        <v>45500</v>
      </c>
      <c r="K1342" t="str">
        <f>IFERROR(VLOOKUP(E1342,제품마스터!$A:$B,2,0),0)</f>
        <v>[워커힐] 시그니처 양념갈비 300G</v>
      </c>
      <c r="L1342">
        <f>원본데이터_리씽크!P438*원본데이터_리씽크!Q438*F1342</f>
        <v>0</v>
      </c>
    </row>
    <row r="1343" spans="1:12" x14ac:dyDescent="0.3">
      <c r="A1343" t="s">
        <v>196</v>
      </c>
      <c r="B1343" t="str">
        <f>TEXT(원본데이터_리씽크!B439,"0")</f>
        <v>2026020715465540000</v>
      </c>
      <c r="C1343" t="str">
        <f>IF(원본데이터_리씽크!A439="","",TEXT(원본데이터_리씽크!A439,"YYYY-MM-DD"))</f>
        <v>2026-02-07</v>
      </c>
      <c r="D1343">
        <f>원본데이터_리씽크!S439</f>
        <v>143790</v>
      </c>
      <c r="E1343" t="str">
        <f>IFERROR(VLOOKUP(원본데이터_리씽크!S439,채널매핑!$B:$D,3,0),"미매핑")</f>
        <v>SKU001</v>
      </c>
      <c r="F1343">
        <f>IFERROR(VLOOKUP(원본데이터_리씽크!S439,채널매핑!$B:$E,4,0),1)</f>
        <v>4</v>
      </c>
      <c r="G1343">
        <f>원본데이터_리씽크!P439</f>
        <v>1</v>
      </c>
      <c r="H1343">
        <f>원본데이터_리씽크!O439</f>
        <v>45500</v>
      </c>
      <c r="I1343">
        <f>원본데이터_리씽크!X439</f>
        <v>45500</v>
      </c>
      <c r="J1343">
        <f>원본데이터_리씽크!X439</f>
        <v>45500</v>
      </c>
      <c r="K1343" t="str">
        <f>IFERROR(VLOOKUP(E1343,제품마스터!$A:$B,2,0),0)</f>
        <v>[워커힐] 시그니처 양념갈비 300G</v>
      </c>
      <c r="L1343">
        <f>원본데이터_리씽크!P439*원본데이터_리씽크!Q439*F1343</f>
        <v>0</v>
      </c>
    </row>
    <row r="1344" spans="1:12" x14ac:dyDescent="0.3">
      <c r="A1344" t="s">
        <v>196</v>
      </c>
      <c r="B1344" t="str">
        <f>TEXT(원본데이터_리씽크!B440,"0")</f>
        <v>2026020715214580000</v>
      </c>
      <c r="C1344" t="str">
        <f>IF(원본데이터_리씽크!A440="","",TEXT(원본데이터_리씽크!A440,"YYYY-MM-DD"))</f>
        <v>2026-02-07</v>
      </c>
      <c r="D1344">
        <f>원본데이터_리씽크!S440</f>
        <v>143790</v>
      </c>
      <c r="E1344" t="str">
        <f>IFERROR(VLOOKUP(원본데이터_리씽크!S440,채널매핑!$B:$D,3,0),"미매핑")</f>
        <v>SKU001</v>
      </c>
      <c r="F1344">
        <f>IFERROR(VLOOKUP(원본데이터_리씽크!S440,채널매핑!$B:$E,4,0),1)</f>
        <v>4</v>
      </c>
      <c r="G1344">
        <f>원본데이터_리씽크!P440</f>
        <v>1</v>
      </c>
      <c r="H1344">
        <f>원본데이터_리씽크!O440</f>
        <v>45500</v>
      </c>
      <c r="I1344">
        <f>원본데이터_리씽크!X440</f>
        <v>45500</v>
      </c>
      <c r="J1344">
        <f>원본데이터_리씽크!X440</f>
        <v>45500</v>
      </c>
      <c r="K1344" t="str">
        <f>IFERROR(VLOOKUP(E1344,제품마스터!$A:$B,2,0),0)</f>
        <v>[워커힐] 시그니처 양념갈비 300G</v>
      </c>
      <c r="L1344">
        <f>원본데이터_리씽크!P440*원본데이터_리씽크!Q440*F1344</f>
        <v>0</v>
      </c>
    </row>
    <row r="1345" spans="1:12" x14ac:dyDescent="0.3">
      <c r="A1345" t="s">
        <v>196</v>
      </c>
      <c r="B1345" t="str">
        <f>TEXT(원본데이터_리씽크!B441,"0")</f>
        <v>2026020713415390000</v>
      </c>
      <c r="C1345" t="str">
        <f>IF(원본데이터_리씽크!A441="","",TEXT(원본데이터_리씽크!A441,"YYYY-MM-DD"))</f>
        <v>2026-02-07</v>
      </c>
      <c r="D1345">
        <f>원본데이터_리씽크!S441</f>
        <v>143790</v>
      </c>
      <c r="E1345" t="str">
        <f>IFERROR(VLOOKUP(원본데이터_리씽크!S441,채널매핑!$B:$D,3,0),"미매핑")</f>
        <v>SKU001</v>
      </c>
      <c r="F1345">
        <f>IFERROR(VLOOKUP(원본데이터_리씽크!S441,채널매핑!$B:$E,4,0),1)</f>
        <v>4</v>
      </c>
      <c r="G1345">
        <f>원본데이터_리씽크!P441</f>
        <v>2</v>
      </c>
      <c r="H1345">
        <f>원본데이터_리씽크!O441</f>
        <v>45500</v>
      </c>
      <c r="I1345">
        <f>원본데이터_리씽크!X441</f>
        <v>91000</v>
      </c>
      <c r="J1345">
        <f>원본데이터_리씽크!X441</f>
        <v>91000</v>
      </c>
      <c r="K1345" t="str">
        <f>IFERROR(VLOOKUP(E1345,제품마스터!$A:$B,2,0),0)</f>
        <v>[워커힐] 시그니처 양념갈비 300G</v>
      </c>
      <c r="L1345">
        <f>원본데이터_리씽크!P441*원본데이터_리씽크!Q441*F1345</f>
        <v>0</v>
      </c>
    </row>
    <row r="1346" spans="1:12" x14ac:dyDescent="0.3">
      <c r="A1346" t="s">
        <v>196</v>
      </c>
      <c r="B1346" t="str">
        <f>TEXT(원본데이터_리씽크!B442,"0")</f>
        <v>2026020713393670000</v>
      </c>
      <c r="C1346" t="str">
        <f>IF(원본데이터_리씽크!A442="","",TEXT(원본데이터_리씽크!A442,"YYYY-MM-DD"))</f>
        <v>2026-02-07</v>
      </c>
      <c r="D1346">
        <f>원본데이터_리씽크!S442</f>
        <v>143790</v>
      </c>
      <c r="E1346" t="str">
        <f>IFERROR(VLOOKUP(원본데이터_리씽크!S442,채널매핑!$B:$D,3,0),"미매핑")</f>
        <v>SKU001</v>
      </c>
      <c r="F1346">
        <f>IFERROR(VLOOKUP(원본데이터_리씽크!S442,채널매핑!$B:$E,4,0),1)</f>
        <v>4</v>
      </c>
      <c r="G1346">
        <f>원본데이터_리씽크!P442</f>
        <v>2</v>
      </c>
      <c r="H1346">
        <f>원본데이터_리씽크!O442</f>
        <v>45500</v>
      </c>
      <c r="I1346">
        <f>원본데이터_리씽크!X442</f>
        <v>91000</v>
      </c>
      <c r="J1346">
        <f>원본데이터_리씽크!X442</f>
        <v>91000</v>
      </c>
      <c r="K1346" t="str">
        <f>IFERROR(VLOOKUP(E1346,제품마스터!$A:$B,2,0),0)</f>
        <v>[워커힐] 시그니처 양념갈비 300G</v>
      </c>
      <c r="L1346">
        <f>원본데이터_리씽크!P442*원본데이터_리씽크!Q442*F1346</f>
        <v>0</v>
      </c>
    </row>
    <row r="1347" spans="1:12" x14ac:dyDescent="0.3">
      <c r="A1347" t="s">
        <v>196</v>
      </c>
      <c r="B1347" t="str">
        <f>TEXT(원본데이터_리씽크!B443,"0")</f>
        <v>2026020713341860000</v>
      </c>
      <c r="C1347" t="str">
        <f>IF(원본데이터_리씽크!A443="","",TEXT(원본데이터_리씽크!A443,"YYYY-MM-DD"))</f>
        <v>2026-02-07</v>
      </c>
      <c r="D1347">
        <f>원본데이터_리씽크!S443</f>
        <v>143790</v>
      </c>
      <c r="E1347" t="str">
        <f>IFERROR(VLOOKUP(원본데이터_리씽크!S443,채널매핑!$B:$D,3,0),"미매핑")</f>
        <v>SKU001</v>
      </c>
      <c r="F1347">
        <f>IFERROR(VLOOKUP(원본데이터_리씽크!S443,채널매핑!$B:$E,4,0),1)</f>
        <v>4</v>
      </c>
      <c r="G1347">
        <f>원본데이터_리씽크!P443</f>
        <v>2</v>
      </c>
      <c r="H1347">
        <f>원본데이터_리씽크!O443</f>
        <v>45500</v>
      </c>
      <c r="I1347">
        <f>원본데이터_리씽크!X443</f>
        <v>91000</v>
      </c>
      <c r="J1347">
        <f>원본데이터_리씽크!X443</f>
        <v>91000</v>
      </c>
      <c r="K1347" t="str">
        <f>IFERROR(VLOOKUP(E1347,제품마스터!$A:$B,2,0),0)</f>
        <v>[워커힐] 시그니처 양념갈비 300G</v>
      </c>
      <c r="L1347">
        <f>원본데이터_리씽크!P443*원본데이터_리씽크!Q443*F1347</f>
        <v>0</v>
      </c>
    </row>
    <row r="1348" spans="1:12" x14ac:dyDescent="0.3">
      <c r="A1348" t="s">
        <v>196</v>
      </c>
      <c r="B1348" t="str">
        <f>TEXT(원본데이터_리씽크!B444,"0")</f>
        <v>2026020713260350000</v>
      </c>
      <c r="C1348" t="str">
        <f>IF(원본데이터_리씽크!A444="","",TEXT(원본데이터_리씽크!A444,"YYYY-MM-DD"))</f>
        <v>2026-02-07</v>
      </c>
      <c r="D1348">
        <f>원본데이터_리씽크!S444</f>
        <v>143790</v>
      </c>
      <c r="E1348" t="str">
        <f>IFERROR(VLOOKUP(원본데이터_리씽크!S444,채널매핑!$B:$D,3,0),"미매핑")</f>
        <v>SKU001</v>
      </c>
      <c r="F1348">
        <f>IFERROR(VLOOKUP(원본데이터_리씽크!S444,채널매핑!$B:$E,4,0),1)</f>
        <v>4</v>
      </c>
      <c r="G1348">
        <f>원본데이터_리씽크!P444</f>
        <v>1</v>
      </c>
      <c r="H1348">
        <f>원본데이터_리씽크!O444</f>
        <v>45500</v>
      </c>
      <c r="I1348">
        <f>원본데이터_리씽크!X444</f>
        <v>45500</v>
      </c>
      <c r="J1348">
        <f>원본데이터_리씽크!X444</f>
        <v>45500</v>
      </c>
      <c r="K1348" t="str">
        <f>IFERROR(VLOOKUP(E1348,제품마스터!$A:$B,2,0),0)</f>
        <v>[워커힐] 시그니처 양념갈비 300G</v>
      </c>
      <c r="L1348">
        <f>원본데이터_리씽크!P444*원본데이터_리씽크!Q444*F1348</f>
        <v>0</v>
      </c>
    </row>
    <row r="1349" spans="1:12" x14ac:dyDescent="0.3">
      <c r="A1349" t="s">
        <v>196</v>
      </c>
      <c r="B1349" t="str">
        <f>TEXT(원본데이터_리씽크!B445,"0")</f>
        <v>2026020713113250000</v>
      </c>
      <c r="C1349" t="str">
        <f>IF(원본데이터_리씽크!A445="","",TEXT(원본데이터_리씽크!A445,"YYYY-MM-DD"))</f>
        <v>2026-02-07</v>
      </c>
      <c r="D1349">
        <f>원본데이터_리씽크!S445</f>
        <v>143790</v>
      </c>
      <c r="E1349" t="str">
        <f>IFERROR(VLOOKUP(원본데이터_리씽크!S445,채널매핑!$B:$D,3,0),"미매핑")</f>
        <v>SKU001</v>
      </c>
      <c r="F1349">
        <f>IFERROR(VLOOKUP(원본데이터_리씽크!S445,채널매핑!$B:$E,4,0),1)</f>
        <v>4</v>
      </c>
      <c r="G1349">
        <f>원본데이터_리씽크!P445</f>
        <v>1</v>
      </c>
      <c r="H1349">
        <f>원본데이터_리씽크!O445</f>
        <v>45500</v>
      </c>
      <c r="I1349">
        <f>원본데이터_리씽크!X445</f>
        <v>45500</v>
      </c>
      <c r="J1349">
        <f>원본데이터_리씽크!X445</f>
        <v>45500</v>
      </c>
      <c r="K1349" t="str">
        <f>IFERROR(VLOOKUP(E1349,제품마스터!$A:$B,2,0),0)</f>
        <v>[워커힐] 시그니처 양념갈비 300G</v>
      </c>
      <c r="L1349">
        <f>원본데이터_리씽크!P445*원본데이터_리씽크!Q445*F1349</f>
        <v>0</v>
      </c>
    </row>
    <row r="1350" spans="1:12" x14ac:dyDescent="0.3">
      <c r="A1350" t="s">
        <v>196</v>
      </c>
      <c r="B1350" t="str">
        <f>TEXT(원본데이터_리씽크!B446,"0")</f>
        <v>2026020713093450000</v>
      </c>
      <c r="C1350" t="str">
        <f>IF(원본데이터_리씽크!A446="","",TEXT(원본데이터_리씽크!A446,"YYYY-MM-DD"))</f>
        <v>2026-02-07</v>
      </c>
      <c r="D1350">
        <f>원본데이터_리씽크!S446</f>
        <v>143790</v>
      </c>
      <c r="E1350" t="str">
        <f>IFERROR(VLOOKUP(원본데이터_리씽크!S446,채널매핑!$B:$D,3,0),"미매핑")</f>
        <v>SKU001</v>
      </c>
      <c r="F1350">
        <f>IFERROR(VLOOKUP(원본데이터_리씽크!S446,채널매핑!$B:$E,4,0),1)</f>
        <v>4</v>
      </c>
      <c r="G1350">
        <f>원본데이터_리씽크!P446</f>
        <v>1</v>
      </c>
      <c r="H1350">
        <f>원본데이터_리씽크!O446</f>
        <v>45500</v>
      </c>
      <c r="I1350">
        <f>원본데이터_리씽크!X446</f>
        <v>45500</v>
      </c>
      <c r="J1350">
        <f>원본데이터_리씽크!X446</f>
        <v>45500</v>
      </c>
      <c r="K1350" t="str">
        <f>IFERROR(VLOOKUP(E1350,제품마스터!$A:$B,2,0),0)</f>
        <v>[워커힐] 시그니처 양념갈비 300G</v>
      </c>
      <c r="L1350">
        <f>원본데이터_리씽크!P446*원본데이터_리씽크!Q446*F1350</f>
        <v>0</v>
      </c>
    </row>
    <row r="1351" spans="1:12" x14ac:dyDescent="0.3">
      <c r="A1351" t="s">
        <v>196</v>
      </c>
      <c r="B1351" t="str">
        <f>TEXT(원본데이터_리씽크!B447,"0")</f>
        <v>2026020712444130000</v>
      </c>
      <c r="C1351" t="str">
        <f>IF(원본데이터_리씽크!A447="","",TEXT(원본데이터_리씽크!A447,"YYYY-MM-DD"))</f>
        <v>2026-02-07</v>
      </c>
      <c r="D1351">
        <f>원본데이터_리씽크!S447</f>
        <v>143790</v>
      </c>
      <c r="E1351" t="str">
        <f>IFERROR(VLOOKUP(원본데이터_리씽크!S447,채널매핑!$B:$D,3,0),"미매핑")</f>
        <v>SKU001</v>
      </c>
      <c r="F1351">
        <f>IFERROR(VLOOKUP(원본데이터_리씽크!S447,채널매핑!$B:$E,4,0),1)</f>
        <v>4</v>
      </c>
      <c r="G1351">
        <f>원본데이터_리씽크!P447</f>
        <v>1</v>
      </c>
      <c r="H1351">
        <f>원본데이터_리씽크!O447</f>
        <v>45500</v>
      </c>
      <c r="I1351">
        <f>원본데이터_리씽크!X447</f>
        <v>45500</v>
      </c>
      <c r="J1351">
        <f>원본데이터_리씽크!X447</f>
        <v>45500</v>
      </c>
      <c r="K1351" t="str">
        <f>IFERROR(VLOOKUP(E1351,제품마스터!$A:$B,2,0),0)</f>
        <v>[워커힐] 시그니처 양념갈비 300G</v>
      </c>
      <c r="L1351">
        <f>원본데이터_리씽크!P447*원본데이터_리씽크!Q447*F1351</f>
        <v>0</v>
      </c>
    </row>
    <row r="1352" spans="1:12" x14ac:dyDescent="0.3">
      <c r="A1352" t="s">
        <v>196</v>
      </c>
      <c r="B1352" t="str">
        <f>TEXT(원본데이터_리씽크!B448,"0")</f>
        <v>2026020712135010000</v>
      </c>
      <c r="C1352" t="str">
        <f>IF(원본데이터_리씽크!A448="","",TEXT(원본데이터_리씽크!A448,"YYYY-MM-DD"))</f>
        <v>2026-02-07</v>
      </c>
      <c r="D1352">
        <f>원본데이터_리씽크!S448</f>
        <v>143790</v>
      </c>
      <c r="E1352" t="str">
        <f>IFERROR(VLOOKUP(원본데이터_리씽크!S448,채널매핑!$B:$D,3,0),"미매핑")</f>
        <v>SKU001</v>
      </c>
      <c r="F1352">
        <f>IFERROR(VLOOKUP(원본데이터_리씽크!S448,채널매핑!$B:$E,4,0),1)</f>
        <v>4</v>
      </c>
      <c r="G1352">
        <f>원본데이터_리씽크!P448</f>
        <v>1</v>
      </c>
      <c r="H1352">
        <f>원본데이터_리씽크!O448</f>
        <v>45500</v>
      </c>
      <c r="I1352">
        <f>원본데이터_리씽크!X448</f>
        <v>45500</v>
      </c>
      <c r="J1352">
        <f>원본데이터_리씽크!X448</f>
        <v>45500</v>
      </c>
      <c r="K1352" t="str">
        <f>IFERROR(VLOOKUP(E1352,제품마스터!$A:$B,2,0),0)</f>
        <v>[워커힐] 시그니처 양념갈비 300G</v>
      </c>
      <c r="L1352">
        <f>원본데이터_리씽크!P448*원본데이터_리씽크!Q448*F1352</f>
        <v>0</v>
      </c>
    </row>
    <row r="1353" spans="1:12" x14ac:dyDescent="0.3">
      <c r="A1353" t="s">
        <v>196</v>
      </c>
      <c r="B1353" t="str">
        <f>TEXT(원본데이터_리씽크!B449,"0")</f>
        <v>2026020711360100000</v>
      </c>
      <c r="C1353" t="str">
        <f>IF(원본데이터_리씽크!A449="","",TEXT(원본데이터_리씽크!A449,"YYYY-MM-DD"))</f>
        <v>2026-02-07</v>
      </c>
      <c r="D1353">
        <f>원본데이터_리씽크!S449</f>
        <v>143790</v>
      </c>
      <c r="E1353" t="str">
        <f>IFERROR(VLOOKUP(원본데이터_리씽크!S449,채널매핑!$B:$D,3,0),"미매핑")</f>
        <v>SKU001</v>
      </c>
      <c r="F1353">
        <f>IFERROR(VLOOKUP(원본데이터_리씽크!S449,채널매핑!$B:$E,4,0),1)</f>
        <v>4</v>
      </c>
      <c r="G1353">
        <f>원본데이터_리씽크!P449</f>
        <v>1</v>
      </c>
      <c r="H1353">
        <f>원본데이터_리씽크!O449</f>
        <v>45500</v>
      </c>
      <c r="I1353">
        <f>원본데이터_리씽크!X449</f>
        <v>45500</v>
      </c>
      <c r="J1353">
        <f>원본데이터_리씽크!X449</f>
        <v>45500</v>
      </c>
      <c r="K1353" t="str">
        <f>IFERROR(VLOOKUP(E1353,제품마스터!$A:$B,2,0),0)</f>
        <v>[워커힐] 시그니처 양념갈비 300G</v>
      </c>
      <c r="L1353">
        <f>원본데이터_리씽크!P449*원본데이터_리씽크!Q449*F1353</f>
        <v>0</v>
      </c>
    </row>
    <row r="1354" spans="1:12" x14ac:dyDescent="0.3">
      <c r="A1354" t="s">
        <v>196</v>
      </c>
      <c r="B1354" t="str">
        <f>TEXT(원본데이터_리씽크!B450,"0")</f>
        <v>2026020711321510000</v>
      </c>
      <c r="C1354" t="str">
        <f>IF(원본데이터_리씽크!A450="","",TEXT(원본데이터_리씽크!A450,"YYYY-MM-DD"))</f>
        <v>2026-02-07</v>
      </c>
      <c r="D1354">
        <f>원본데이터_리씽크!S450</f>
        <v>143790</v>
      </c>
      <c r="E1354" t="str">
        <f>IFERROR(VLOOKUP(원본데이터_리씽크!S450,채널매핑!$B:$D,3,0),"미매핑")</f>
        <v>SKU001</v>
      </c>
      <c r="F1354">
        <f>IFERROR(VLOOKUP(원본데이터_리씽크!S450,채널매핑!$B:$E,4,0),1)</f>
        <v>4</v>
      </c>
      <c r="G1354">
        <f>원본데이터_리씽크!P450</f>
        <v>1</v>
      </c>
      <c r="H1354">
        <f>원본데이터_리씽크!O450</f>
        <v>45500</v>
      </c>
      <c r="I1354">
        <f>원본데이터_리씽크!X450</f>
        <v>45500</v>
      </c>
      <c r="J1354">
        <f>원본데이터_리씽크!X450</f>
        <v>45500</v>
      </c>
      <c r="K1354" t="str">
        <f>IFERROR(VLOOKUP(E1354,제품마스터!$A:$B,2,0),0)</f>
        <v>[워커힐] 시그니처 양념갈비 300G</v>
      </c>
      <c r="L1354">
        <f>원본데이터_리씽크!P450*원본데이터_리씽크!Q450*F1354</f>
        <v>0</v>
      </c>
    </row>
    <row r="1355" spans="1:12" x14ac:dyDescent="0.3">
      <c r="A1355" t="s">
        <v>196</v>
      </c>
      <c r="B1355" t="str">
        <f>TEXT(원본데이터_리씽크!B451,"0")</f>
        <v>2026020711111290000</v>
      </c>
      <c r="C1355" t="str">
        <f>IF(원본데이터_리씽크!A451="","",TEXT(원본데이터_리씽크!A451,"YYYY-MM-DD"))</f>
        <v>2026-02-07</v>
      </c>
      <c r="D1355">
        <f>원본데이터_리씽크!S451</f>
        <v>143790</v>
      </c>
      <c r="E1355" t="str">
        <f>IFERROR(VLOOKUP(원본데이터_리씽크!S451,채널매핑!$B:$D,3,0),"미매핑")</f>
        <v>SKU001</v>
      </c>
      <c r="F1355">
        <f>IFERROR(VLOOKUP(원본데이터_리씽크!S451,채널매핑!$B:$E,4,0),1)</f>
        <v>4</v>
      </c>
      <c r="G1355">
        <f>원본데이터_리씽크!P451</f>
        <v>1</v>
      </c>
      <c r="H1355">
        <f>원본데이터_리씽크!O451</f>
        <v>45500</v>
      </c>
      <c r="I1355">
        <f>원본데이터_리씽크!X451</f>
        <v>45500</v>
      </c>
      <c r="J1355">
        <f>원본데이터_리씽크!X451</f>
        <v>45500</v>
      </c>
      <c r="K1355" t="str">
        <f>IFERROR(VLOOKUP(E1355,제품마스터!$A:$B,2,0),0)</f>
        <v>[워커힐] 시그니처 양념갈비 300G</v>
      </c>
      <c r="L1355">
        <f>원본데이터_리씽크!P451*원본데이터_리씽크!Q451*F1355</f>
        <v>0</v>
      </c>
    </row>
    <row r="1356" spans="1:12" x14ac:dyDescent="0.3">
      <c r="A1356" t="s">
        <v>196</v>
      </c>
      <c r="B1356" t="str">
        <f>TEXT(원본데이터_리씽크!B452,"0")</f>
        <v>2026020710563590000</v>
      </c>
      <c r="C1356" t="str">
        <f>IF(원본데이터_리씽크!A452="","",TEXT(원본데이터_리씽크!A452,"YYYY-MM-DD"))</f>
        <v>2026-02-07</v>
      </c>
      <c r="D1356">
        <f>원본데이터_리씽크!S452</f>
        <v>143790</v>
      </c>
      <c r="E1356" t="str">
        <f>IFERROR(VLOOKUP(원본데이터_리씽크!S452,채널매핑!$B:$D,3,0),"미매핑")</f>
        <v>SKU001</v>
      </c>
      <c r="F1356">
        <f>IFERROR(VLOOKUP(원본데이터_리씽크!S452,채널매핑!$B:$E,4,0),1)</f>
        <v>4</v>
      </c>
      <c r="G1356">
        <f>원본데이터_리씽크!P452</f>
        <v>1</v>
      </c>
      <c r="H1356">
        <f>원본데이터_리씽크!O452</f>
        <v>45500</v>
      </c>
      <c r="I1356">
        <f>원본데이터_리씽크!X452</f>
        <v>45500</v>
      </c>
      <c r="J1356">
        <f>원본데이터_리씽크!X452</f>
        <v>45500</v>
      </c>
      <c r="K1356" t="str">
        <f>IFERROR(VLOOKUP(E1356,제품마스터!$A:$B,2,0),0)</f>
        <v>[워커힐] 시그니처 양념갈비 300G</v>
      </c>
      <c r="L1356">
        <f>원본데이터_리씽크!P452*원본데이터_리씽크!Q452*F1356</f>
        <v>0</v>
      </c>
    </row>
    <row r="1357" spans="1:12" x14ac:dyDescent="0.3">
      <c r="A1357" t="s">
        <v>196</v>
      </c>
      <c r="B1357" t="str">
        <f>TEXT(원본데이터_리씽크!B453,"0")</f>
        <v>2026020710581670000</v>
      </c>
      <c r="C1357" t="str">
        <f>IF(원본데이터_리씽크!A453="","",TEXT(원본데이터_리씽크!A453,"YYYY-MM-DD"))</f>
        <v>2026-02-07</v>
      </c>
      <c r="D1357">
        <f>원본데이터_리씽크!S453</f>
        <v>143790</v>
      </c>
      <c r="E1357" t="str">
        <f>IFERROR(VLOOKUP(원본데이터_리씽크!S453,채널매핑!$B:$D,3,0),"미매핑")</f>
        <v>SKU001</v>
      </c>
      <c r="F1357">
        <f>IFERROR(VLOOKUP(원본데이터_리씽크!S453,채널매핑!$B:$E,4,0),1)</f>
        <v>4</v>
      </c>
      <c r="G1357">
        <f>원본데이터_리씽크!P453</f>
        <v>1</v>
      </c>
      <c r="H1357">
        <f>원본데이터_리씽크!O453</f>
        <v>45500</v>
      </c>
      <c r="I1357">
        <f>원본데이터_리씽크!X453</f>
        <v>45500</v>
      </c>
      <c r="J1357">
        <f>원본데이터_리씽크!X453</f>
        <v>45500</v>
      </c>
      <c r="K1357" t="str">
        <f>IFERROR(VLOOKUP(E1357,제품마스터!$A:$B,2,0),0)</f>
        <v>[워커힐] 시그니처 양념갈비 300G</v>
      </c>
      <c r="L1357">
        <f>원본데이터_리씽크!P453*원본데이터_리씽크!Q453*F1357</f>
        <v>0</v>
      </c>
    </row>
    <row r="1358" spans="1:12" x14ac:dyDescent="0.3">
      <c r="A1358" t="s">
        <v>196</v>
      </c>
      <c r="B1358" t="str">
        <f>TEXT(원본데이터_리씽크!B454,"0")</f>
        <v>2026020710424360000</v>
      </c>
      <c r="C1358" t="str">
        <f>IF(원본데이터_리씽크!A454="","",TEXT(원본데이터_리씽크!A454,"YYYY-MM-DD"))</f>
        <v>2026-02-07</v>
      </c>
      <c r="D1358">
        <f>원본데이터_리씽크!S454</f>
        <v>143790</v>
      </c>
      <c r="E1358" t="str">
        <f>IFERROR(VLOOKUP(원본데이터_리씽크!S454,채널매핑!$B:$D,3,0),"미매핑")</f>
        <v>SKU001</v>
      </c>
      <c r="F1358">
        <f>IFERROR(VLOOKUP(원본데이터_리씽크!S454,채널매핑!$B:$E,4,0),1)</f>
        <v>4</v>
      </c>
      <c r="G1358">
        <f>원본데이터_리씽크!P454</f>
        <v>2</v>
      </c>
      <c r="H1358">
        <f>원본데이터_리씽크!O454</f>
        <v>45500</v>
      </c>
      <c r="I1358">
        <f>원본데이터_리씽크!X454</f>
        <v>91000</v>
      </c>
      <c r="J1358">
        <f>원본데이터_리씽크!X454</f>
        <v>91000</v>
      </c>
      <c r="K1358" t="str">
        <f>IFERROR(VLOOKUP(E1358,제품마스터!$A:$B,2,0),0)</f>
        <v>[워커힐] 시그니처 양념갈비 300G</v>
      </c>
      <c r="L1358">
        <f>원본데이터_리씽크!P454*원본데이터_리씽크!Q454*F1358</f>
        <v>0</v>
      </c>
    </row>
    <row r="1359" spans="1:12" x14ac:dyDescent="0.3">
      <c r="A1359" t="s">
        <v>196</v>
      </c>
      <c r="B1359" t="str">
        <f>TEXT(원본데이터_리씽크!B455,"0")</f>
        <v>2026020710334320000</v>
      </c>
      <c r="C1359" t="str">
        <f>IF(원본데이터_리씽크!A455="","",TEXT(원본데이터_리씽크!A455,"YYYY-MM-DD"))</f>
        <v>2026-02-07</v>
      </c>
      <c r="D1359">
        <f>원본데이터_리씽크!S455</f>
        <v>143790</v>
      </c>
      <c r="E1359" t="str">
        <f>IFERROR(VLOOKUP(원본데이터_리씽크!S455,채널매핑!$B:$D,3,0),"미매핑")</f>
        <v>SKU001</v>
      </c>
      <c r="F1359">
        <f>IFERROR(VLOOKUP(원본데이터_리씽크!S455,채널매핑!$B:$E,4,0),1)</f>
        <v>4</v>
      </c>
      <c r="G1359">
        <f>원본데이터_리씽크!P455</f>
        <v>1</v>
      </c>
      <c r="H1359">
        <f>원본데이터_리씽크!O455</f>
        <v>45500</v>
      </c>
      <c r="I1359">
        <f>원본데이터_리씽크!X455</f>
        <v>45500</v>
      </c>
      <c r="J1359">
        <f>원본데이터_리씽크!X455</f>
        <v>45500</v>
      </c>
      <c r="K1359" t="str">
        <f>IFERROR(VLOOKUP(E1359,제품마스터!$A:$B,2,0),0)</f>
        <v>[워커힐] 시그니처 양념갈비 300G</v>
      </c>
      <c r="L1359">
        <f>원본데이터_리씽크!P455*원본데이터_리씽크!Q455*F1359</f>
        <v>0</v>
      </c>
    </row>
    <row r="1360" spans="1:12" x14ac:dyDescent="0.3">
      <c r="A1360" t="s">
        <v>196</v>
      </c>
      <c r="B1360" t="str">
        <f>TEXT(원본데이터_리씽크!B456,"0")</f>
        <v>2026020710311990000</v>
      </c>
      <c r="C1360" t="str">
        <f>IF(원본데이터_리씽크!A456="","",TEXT(원본데이터_리씽크!A456,"YYYY-MM-DD"))</f>
        <v>2026-02-07</v>
      </c>
      <c r="D1360">
        <f>원본데이터_리씽크!S456</f>
        <v>143790</v>
      </c>
      <c r="E1360" t="str">
        <f>IFERROR(VLOOKUP(원본데이터_리씽크!S456,채널매핑!$B:$D,3,0),"미매핑")</f>
        <v>SKU001</v>
      </c>
      <c r="F1360">
        <f>IFERROR(VLOOKUP(원본데이터_리씽크!S456,채널매핑!$B:$E,4,0),1)</f>
        <v>4</v>
      </c>
      <c r="G1360">
        <f>원본데이터_리씽크!P456</f>
        <v>2</v>
      </c>
      <c r="H1360">
        <f>원본데이터_리씽크!O456</f>
        <v>45500</v>
      </c>
      <c r="I1360">
        <f>원본데이터_리씽크!X456</f>
        <v>91000</v>
      </c>
      <c r="J1360">
        <f>원본데이터_리씽크!X456</f>
        <v>91000</v>
      </c>
      <c r="K1360" t="str">
        <f>IFERROR(VLOOKUP(E1360,제품마스터!$A:$B,2,0),0)</f>
        <v>[워커힐] 시그니처 양념갈비 300G</v>
      </c>
      <c r="L1360">
        <f>원본데이터_리씽크!P456*원본데이터_리씽크!Q456*F1360</f>
        <v>0</v>
      </c>
    </row>
    <row r="1361" spans="1:12" x14ac:dyDescent="0.3">
      <c r="A1361" t="s">
        <v>196</v>
      </c>
      <c r="B1361" t="str">
        <f>TEXT(원본데이터_리씽크!B457,"0")</f>
        <v>2026020710062660000</v>
      </c>
      <c r="C1361" t="str">
        <f>IF(원본데이터_리씽크!A457="","",TEXT(원본데이터_리씽크!A457,"YYYY-MM-DD"))</f>
        <v>2026-02-07</v>
      </c>
      <c r="D1361">
        <f>원본데이터_리씽크!S457</f>
        <v>143790</v>
      </c>
      <c r="E1361" t="str">
        <f>IFERROR(VLOOKUP(원본데이터_리씽크!S457,채널매핑!$B:$D,3,0),"미매핑")</f>
        <v>SKU001</v>
      </c>
      <c r="F1361">
        <f>IFERROR(VLOOKUP(원본데이터_리씽크!S457,채널매핑!$B:$E,4,0),1)</f>
        <v>4</v>
      </c>
      <c r="G1361">
        <f>원본데이터_리씽크!P457</f>
        <v>2</v>
      </c>
      <c r="H1361">
        <f>원본데이터_리씽크!O457</f>
        <v>45500</v>
      </c>
      <c r="I1361">
        <f>원본데이터_리씽크!X457</f>
        <v>91000</v>
      </c>
      <c r="J1361">
        <f>원본데이터_리씽크!X457</f>
        <v>91000</v>
      </c>
      <c r="K1361" t="str">
        <f>IFERROR(VLOOKUP(E1361,제품마스터!$A:$B,2,0),0)</f>
        <v>[워커힐] 시그니처 양념갈비 300G</v>
      </c>
      <c r="L1361">
        <f>원본데이터_리씽크!P457*원본데이터_리씽크!Q457*F1361</f>
        <v>0</v>
      </c>
    </row>
    <row r="1362" spans="1:12" x14ac:dyDescent="0.3">
      <c r="A1362" t="s">
        <v>196</v>
      </c>
      <c r="B1362" t="str">
        <f>TEXT(원본데이터_리씽크!B458,"0")</f>
        <v>2026020709422450000</v>
      </c>
      <c r="C1362" t="str">
        <f>IF(원본데이터_리씽크!A458="","",TEXT(원본데이터_리씽크!A458,"YYYY-MM-DD"))</f>
        <v>2026-02-07</v>
      </c>
      <c r="D1362">
        <f>원본데이터_리씽크!S458</f>
        <v>143790</v>
      </c>
      <c r="E1362" t="str">
        <f>IFERROR(VLOOKUP(원본데이터_리씽크!S458,채널매핑!$B:$D,3,0),"미매핑")</f>
        <v>SKU001</v>
      </c>
      <c r="F1362">
        <f>IFERROR(VLOOKUP(원본데이터_리씽크!S458,채널매핑!$B:$E,4,0),1)</f>
        <v>4</v>
      </c>
      <c r="G1362">
        <f>원본데이터_리씽크!P458</f>
        <v>1</v>
      </c>
      <c r="H1362">
        <f>원본데이터_리씽크!O458</f>
        <v>45500</v>
      </c>
      <c r="I1362">
        <f>원본데이터_리씽크!X458</f>
        <v>45500</v>
      </c>
      <c r="J1362">
        <f>원본데이터_리씽크!X458</f>
        <v>45500</v>
      </c>
      <c r="K1362" t="str">
        <f>IFERROR(VLOOKUP(E1362,제품마스터!$A:$B,2,0),0)</f>
        <v>[워커힐] 시그니처 양념갈비 300G</v>
      </c>
      <c r="L1362">
        <f>원본데이터_리씽크!P458*원본데이터_리씽크!Q458*F1362</f>
        <v>0</v>
      </c>
    </row>
    <row r="1363" spans="1:12" x14ac:dyDescent="0.3">
      <c r="A1363" t="s">
        <v>196</v>
      </c>
      <c r="B1363" t="str">
        <f>TEXT(원본데이터_리씽크!B459,"0")</f>
        <v>2026020709264410000</v>
      </c>
      <c r="C1363" t="str">
        <f>IF(원본데이터_리씽크!A459="","",TEXT(원본데이터_리씽크!A459,"YYYY-MM-DD"))</f>
        <v>2026-02-07</v>
      </c>
      <c r="D1363">
        <f>원본데이터_리씽크!S459</f>
        <v>143790</v>
      </c>
      <c r="E1363" t="str">
        <f>IFERROR(VLOOKUP(원본데이터_리씽크!S459,채널매핑!$B:$D,3,0),"미매핑")</f>
        <v>SKU001</v>
      </c>
      <c r="F1363">
        <f>IFERROR(VLOOKUP(원본데이터_리씽크!S459,채널매핑!$B:$E,4,0),1)</f>
        <v>4</v>
      </c>
      <c r="G1363">
        <f>원본데이터_리씽크!P459</f>
        <v>1</v>
      </c>
      <c r="H1363">
        <f>원본데이터_리씽크!O459</f>
        <v>45500</v>
      </c>
      <c r="I1363">
        <f>원본데이터_리씽크!X459</f>
        <v>45500</v>
      </c>
      <c r="J1363">
        <f>원본데이터_리씽크!X459</f>
        <v>45500</v>
      </c>
      <c r="K1363" t="str">
        <f>IFERROR(VLOOKUP(E1363,제품마스터!$A:$B,2,0),0)</f>
        <v>[워커힐] 시그니처 양념갈비 300G</v>
      </c>
      <c r="L1363">
        <f>원본데이터_리씽크!P459*원본데이터_리씽크!Q459*F1363</f>
        <v>0</v>
      </c>
    </row>
    <row r="1364" spans="1:12" x14ac:dyDescent="0.3">
      <c r="A1364" t="s">
        <v>196</v>
      </c>
      <c r="B1364" t="str">
        <f>TEXT(원본데이터_리씽크!B460,"0")</f>
        <v>2026020708522360000</v>
      </c>
      <c r="C1364" t="str">
        <f>IF(원본데이터_리씽크!A460="","",TEXT(원본데이터_리씽크!A460,"YYYY-MM-DD"))</f>
        <v>2026-02-07</v>
      </c>
      <c r="D1364">
        <f>원본데이터_리씽크!S460</f>
        <v>143790</v>
      </c>
      <c r="E1364" t="str">
        <f>IFERROR(VLOOKUP(원본데이터_리씽크!S460,채널매핑!$B:$D,3,0),"미매핑")</f>
        <v>SKU001</v>
      </c>
      <c r="F1364">
        <f>IFERROR(VLOOKUP(원본데이터_리씽크!S460,채널매핑!$B:$E,4,0),1)</f>
        <v>4</v>
      </c>
      <c r="G1364">
        <f>원본데이터_리씽크!P460</f>
        <v>1</v>
      </c>
      <c r="H1364">
        <f>원본데이터_리씽크!O460</f>
        <v>45500</v>
      </c>
      <c r="I1364">
        <f>원본데이터_리씽크!X460</f>
        <v>45500</v>
      </c>
      <c r="J1364">
        <f>원본데이터_리씽크!X460</f>
        <v>45500</v>
      </c>
      <c r="K1364" t="str">
        <f>IFERROR(VLOOKUP(E1364,제품마스터!$A:$B,2,0),0)</f>
        <v>[워커힐] 시그니처 양념갈비 300G</v>
      </c>
      <c r="L1364">
        <f>원본데이터_리씽크!P460*원본데이터_리씽크!Q460*F1364</f>
        <v>0</v>
      </c>
    </row>
    <row r="1365" spans="1:12" x14ac:dyDescent="0.3">
      <c r="A1365" t="s">
        <v>196</v>
      </c>
      <c r="B1365" t="str">
        <f>TEXT(원본데이터_리씽크!B461,"0")</f>
        <v>2026020708392460000</v>
      </c>
      <c r="C1365" t="str">
        <f>IF(원본데이터_리씽크!A461="","",TEXT(원본데이터_리씽크!A461,"YYYY-MM-DD"))</f>
        <v>2026-02-07</v>
      </c>
      <c r="D1365">
        <f>원본데이터_리씽크!S461</f>
        <v>143790</v>
      </c>
      <c r="E1365" t="str">
        <f>IFERROR(VLOOKUP(원본데이터_리씽크!S461,채널매핑!$B:$D,3,0),"미매핑")</f>
        <v>SKU001</v>
      </c>
      <c r="F1365">
        <f>IFERROR(VLOOKUP(원본데이터_리씽크!S461,채널매핑!$B:$E,4,0),1)</f>
        <v>4</v>
      </c>
      <c r="G1365">
        <f>원본데이터_리씽크!P461</f>
        <v>1</v>
      </c>
      <c r="H1365">
        <f>원본데이터_리씽크!O461</f>
        <v>45500</v>
      </c>
      <c r="I1365">
        <f>원본데이터_리씽크!X461</f>
        <v>45500</v>
      </c>
      <c r="J1365">
        <f>원본데이터_리씽크!X461</f>
        <v>45500</v>
      </c>
      <c r="K1365" t="str">
        <f>IFERROR(VLOOKUP(E1365,제품마스터!$A:$B,2,0),0)</f>
        <v>[워커힐] 시그니처 양념갈비 300G</v>
      </c>
      <c r="L1365">
        <f>원본데이터_리씽크!P461*원본데이터_리씽크!Q461*F1365</f>
        <v>0</v>
      </c>
    </row>
    <row r="1366" spans="1:12" x14ac:dyDescent="0.3">
      <c r="A1366" t="s">
        <v>196</v>
      </c>
      <c r="B1366" t="str">
        <f>TEXT(원본데이터_리씽크!B462,"0")</f>
        <v>2026020708264050000</v>
      </c>
      <c r="C1366" t="str">
        <f>IF(원본데이터_리씽크!A462="","",TEXT(원본데이터_리씽크!A462,"YYYY-MM-DD"))</f>
        <v>2026-02-07</v>
      </c>
      <c r="D1366">
        <f>원본데이터_리씽크!S462</f>
        <v>143790</v>
      </c>
      <c r="E1366" t="str">
        <f>IFERROR(VLOOKUP(원본데이터_리씽크!S462,채널매핑!$B:$D,3,0),"미매핑")</f>
        <v>SKU001</v>
      </c>
      <c r="F1366">
        <f>IFERROR(VLOOKUP(원본데이터_리씽크!S462,채널매핑!$B:$E,4,0),1)</f>
        <v>4</v>
      </c>
      <c r="G1366">
        <f>원본데이터_리씽크!P462</f>
        <v>2</v>
      </c>
      <c r="H1366">
        <f>원본데이터_리씽크!O462</f>
        <v>45500</v>
      </c>
      <c r="I1366">
        <f>원본데이터_리씽크!X462</f>
        <v>91000</v>
      </c>
      <c r="J1366">
        <f>원본데이터_리씽크!X462</f>
        <v>91000</v>
      </c>
      <c r="K1366" t="str">
        <f>IFERROR(VLOOKUP(E1366,제품마스터!$A:$B,2,0),0)</f>
        <v>[워커힐] 시그니처 양념갈비 300G</v>
      </c>
      <c r="L1366">
        <f>원본데이터_리씽크!P462*원본데이터_리씽크!Q462*F1366</f>
        <v>0</v>
      </c>
    </row>
    <row r="1367" spans="1:12" x14ac:dyDescent="0.3">
      <c r="A1367" t="s">
        <v>196</v>
      </c>
      <c r="B1367" t="str">
        <f>TEXT(원본데이터_리씽크!B463,"0")</f>
        <v>2026020708224990000</v>
      </c>
      <c r="C1367" t="str">
        <f>IF(원본데이터_리씽크!A463="","",TEXT(원본데이터_리씽크!A463,"YYYY-MM-DD"))</f>
        <v>2026-02-07</v>
      </c>
      <c r="D1367">
        <f>원본데이터_리씽크!S463</f>
        <v>143790</v>
      </c>
      <c r="E1367" t="str">
        <f>IFERROR(VLOOKUP(원본데이터_리씽크!S463,채널매핑!$B:$D,3,0),"미매핑")</f>
        <v>SKU001</v>
      </c>
      <c r="F1367">
        <f>IFERROR(VLOOKUP(원본데이터_리씽크!S463,채널매핑!$B:$E,4,0),1)</f>
        <v>4</v>
      </c>
      <c r="G1367">
        <f>원본데이터_리씽크!P463</f>
        <v>1</v>
      </c>
      <c r="H1367">
        <f>원본데이터_리씽크!O463</f>
        <v>45500</v>
      </c>
      <c r="I1367">
        <f>원본데이터_리씽크!X463</f>
        <v>45500</v>
      </c>
      <c r="J1367">
        <f>원본데이터_리씽크!X463</f>
        <v>45500</v>
      </c>
      <c r="K1367" t="str">
        <f>IFERROR(VLOOKUP(E1367,제품마스터!$A:$B,2,0),0)</f>
        <v>[워커힐] 시그니처 양념갈비 300G</v>
      </c>
      <c r="L1367">
        <f>원본데이터_리씽크!P463*원본데이터_리씽크!Q463*F1367</f>
        <v>0</v>
      </c>
    </row>
    <row r="1368" spans="1:12" x14ac:dyDescent="0.3">
      <c r="A1368" t="s">
        <v>196</v>
      </c>
      <c r="B1368" t="str">
        <f>TEXT(원본데이터_리씽크!B464,"0")</f>
        <v>2026020708052350000</v>
      </c>
      <c r="C1368" t="str">
        <f>IF(원본데이터_리씽크!A464="","",TEXT(원본데이터_리씽크!A464,"YYYY-MM-DD"))</f>
        <v>2026-02-07</v>
      </c>
      <c r="D1368">
        <f>원본데이터_리씽크!S464</f>
        <v>143790</v>
      </c>
      <c r="E1368" t="str">
        <f>IFERROR(VLOOKUP(원본데이터_리씽크!S464,채널매핑!$B:$D,3,0),"미매핑")</f>
        <v>SKU001</v>
      </c>
      <c r="F1368">
        <f>IFERROR(VLOOKUP(원본데이터_리씽크!S464,채널매핑!$B:$E,4,0),1)</f>
        <v>4</v>
      </c>
      <c r="G1368">
        <f>원본데이터_리씽크!P464</f>
        <v>1</v>
      </c>
      <c r="H1368">
        <f>원본데이터_리씽크!O464</f>
        <v>45500</v>
      </c>
      <c r="I1368">
        <f>원본데이터_리씽크!X464</f>
        <v>45500</v>
      </c>
      <c r="J1368">
        <f>원본데이터_리씽크!X464</f>
        <v>45500</v>
      </c>
      <c r="K1368" t="str">
        <f>IFERROR(VLOOKUP(E1368,제품마스터!$A:$B,2,0),0)</f>
        <v>[워커힐] 시그니처 양념갈비 300G</v>
      </c>
      <c r="L1368">
        <f>원본데이터_리씽크!P464*원본데이터_리씽크!Q464*F1368</f>
        <v>0</v>
      </c>
    </row>
    <row r="1369" spans="1:12" x14ac:dyDescent="0.3">
      <c r="A1369" t="s">
        <v>196</v>
      </c>
      <c r="B1369" t="str">
        <f>TEXT(원본데이터_리씽크!B465,"0")</f>
        <v>2026020708023750000</v>
      </c>
      <c r="C1369" t="str">
        <f>IF(원본데이터_리씽크!A465="","",TEXT(원본데이터_리씽크!A465,"YYYY-MM-DD"))</f>
        <v>2026-02-07</v>
      </c>
      <c r="D1369">
        <f>원본데이터_리씽크!S465</f>
        <v>143790</v>
      </c>
      <c r="E1369" t="str">
        <f>IFERROR(VLOOKUP(원본데이터_리씽크!S465,채널매핑!$B:$D,3,0),"미매핑")</f>
        <v>SKU001</v>
      </c>
      <c r="F1369">
        <f>IFERROR(VLOOKUP(원본데이터_리씽크!S465,채널매핑!$B:$E,4,0),1)</f>
        <v>4</v>
      </c>
      <c r="G1369">
        <f>원본데이터_리씽크!P465</f>
        <v>2</v>
      </c>
      <c r="H1369">
        <f>원본데이터_리씽크!O465</f>
        <v>45500</v>
      </c>
      <c r="I1369">
        <f>원본데이터_리씽크!X465</f>
        <v>91000</v>
      </c>
      <c r="J1369">
        <f>원본데이터_리씽크!X465</f>
        <v>91000</v>
      </c>
      <c r="K1369" t="str">
        <f>IFERROR(VLOOKUP(E1369,제품마스터!$A:$B,2,0),0)</f>
        <v>[워커힐] 시그니처 양념갈비 300G</v>
      </c>
      <c r="L1369">
        <f>원본데이터_리씽크!P465*원본데이터_리씽크!Q465*F1369</f>
        <v>0</v>
      </c>
    </row>
    <row r="1370" spans="1:12" x14ac:dyDescent="0.3">
      <c r="A1370" t="s">
        <v>196</v>
      </c>
      <c r="B1370" t="str">
        <f>TEXT(원본데이터_리씽크!B466,"0")</f>
        <v>2026020707562230000</v>
      </c>
      <c r="C1370" t="str">
        <f>IF(원본데이터_리씽크!A466="","",TEXT(원본데이터_리씽크!A466,"YYYY-MM-DD"))</f>
        <v>2026-02-07</v>
      </c>
      <c r="D1370">
        <f>원본데이터_리씽크!S466</f>
        <v>143790</v>
      </c>
      <c r="E1370" t="str">
        <f>IFERROR(VLOOKUP(원본데이터_리씽크!S466,채널매핑!$B:$D,3,0),"미매핑")</f>
        <v>SKU001</v>
      </c>
      <c r="F1370">
        <f>IFERROR(VLOOKUP(원본데이터_리씽크!S466,채널매핑!$B:$E,4,0),1)</f>
        <v>4</v>
      </c>
      <c r="G1370">
        <f>원본데이터_리씽크!P466</f>
        <v>2</v>
      </c>
      <c r="H1370">
        <f>원본데이터_리씽크!O466</f>
        <v>45500</v>
      </c>
      <c r="I1370">
        <f>원본데이터_리씽크!X466</f>
        <v>91000</v>
      </c>
      <c r="J1370">
        <f>원본데이터_리씽크!X466</f>
        <v>91000</v>
      </c>
      <c r="K1370" t="str">
        <f>IFERROR(VLOOKUP(E1370,제품마스터!$A:$B,2,0),0)</f>
        <v>[워커힐] 시그니처 양념갈비 300G</v>
      </c>
      <c r="L1370">
        <f>원본데이터_리씽크!P466*원본데이터_리씽크!Q466*F1370</f>
        <v>0</v>
      </c>
    </row>
    <row r="1371" spans="1:12" x14ac:dyDescent="0.3">
      <c r="A1371" t="s">
        <v>196</v>
      </c>
      <c r="B1371" t="str">
        <f>TEXT(원본데이터_리씽크!B467,"0")</f>
        <v>2026020707045190000</v>
      </c>
      <c r="C1371" t="str">
        <f>IF(원본데이터_리씽크!A467="","",TEXT(원본데이터_리씽크!A467,"YYYY-MM-DD"))</f>
        <v>2026-02-07</v>
      </c>
      <c r="D1371">
        <f>원본데이터_리씽크!S467</f>
        <v>143790</v>
      </c>
      <c r="E1371" t="str">
        <f>IFERROR(VLOOKUP(원본데이터_리씽크!S467,채널매핑!$B:$D,3,0),"미매핑")</f>
        <v>SKU001</v>
      </c>
      <c r="F1371">
        <f>IFERROR(VLOOKUP(원본데이터_리씽크!S467,채널매핑!$B:$E,4,0),1)</f>
        <v>4</v>
      </c>
      <c r="G1371">
        <f>원본데이터_리씽크!P467</f>
        <v>1</v>
      </c>
      <c r="H1371">
        <f>원본데이터_리씽크!O467</f>
        <v>45500</v>
      </c>
      <c r="I1371">
        <f>원본데이터_리씽크!X467</f>
        <v>45500</v>
      </c>
      <c r="J1371">
        <f>원본데이터_리씽크!X467</f>
        <v>45500</v>
      </c>
      <c r="K1371" t="str">
        <f>IFERROR(VLOOKUP(E1371,제품마스터!$A:$B,2,0),0)</f>
        <v>[워커힐] 시그니처 양념갈비 300G</v>
      </c>
      <c r="L1371">
        <f>원본데이터_리씽크!P467*원본데이터_리씽크!Q467*F1371</f>
        <v>0</v>
      </c>
    </row>
    <row r="1372" spans="1:12" x14ac:dyDescent="0.3">
      <c r="A1372" t="s">
        <v>196</v>
      </c>
      <c r="B1372" t="str">
        <f>TEXT(원본데이터_리씽크!B468,"0")</f>
        <v>2026020703130630000</v>
      </c>
      <c r="C1372" t="str">
        <f>IF(원본데이터_리씽크!A468="","",TEXT(원본데이터_리씽크!A468,"YYYY-MM-DD"))</f>
        <v>2026-02-07</v>
      </c>
      <c r="D1372">
        <f>원본데이터_리씽크!S468</f>
        <v>143790</v>
      </c>
      <c r="E1372" t="str">
        <f>IFERROR(VLOOKUP(원본데이터_리씽크!S468,채널매핑!$B:$D,3,0),"미매핑")</f>
        <v>SKU001</v>
      </c>
      <c r="F1372">
        <f>IFERROR(VLOOKUP(원본데이터_리씽크!S468,채널매핑!$B:$E,4,0),1)</f>
        <v>4</v>
      </c>
      <c r="G1372">
        <f>원본데이터_리씽크!P468</f>
        <v>1</v>
      </c>
      <c r="H1372">
        <f>원본데이터_리씽크!O468</f>
        <v>45500</v>
      </c>
      <c r="I1372">
        <f>원본데이터_리씽크!X468</f>
        <v>45500</v>
      </c>
      <c r="J1372">
        <f>원본데이터_리씽크!X468</f>
        <v>45500</v>
      </c>
      <c r="K1372" t="str">
        <f>IFERROR(VLOOKUP(E1372,제품마스터!$A:$B,2,0),0)</f>
        <v>[워커힐] 시그니처 양념갈비 300G</v>
      </c>
      <c r="L1372">
        <f>원본데이터_리씽크!P468*원본데이터_리씽크!Q468*F1372</f>
        <v>0</v>
      </c>
    </row>
    <row r="1373" spans="1:12" x14ac:dyDescent="0.3">
      <c r="A1373" t="s">
        <v>196</v>
      </c>
      <c r="B1373" t="str">
        <f>TEXT(원본데이터_리씽크!B469,"0")</f>
        <v>2026020702114320000</v>
      </c>
      <c r="C1373" t="str">
        <f>IF(원본데이터_리씽크!A469="","",TEXT(원본데이터_리씽크!A469,"YYYY-MM-DD"))</f>
        <v>2026-02-07</v>
      </c>
      <c r="D1373">
        <f>원본데이터_리씽크!S469</f>
        <v>143790</v>
      </c>
      <c r="E1373" t="str">
        <f>IFERROR(VLOOKUP(원본데이터_리씽크!S469,채널매핑!$B:$D,3,0),"미매핑")</f>
        <v>SKU001</v>
      </c>
      <c r="F1373">
        <f>IFERROR(VLOOKUP(원본데이터_리씽크!S469,채널매핑!$B:$E,4,0),1)</f>
        <v>4</v>
      </c>
      <c r="G1373">
        <f>원본데이터_리씽크!P469</f>
        <v>1</v>
      </c>
      <c r="H1373">
        <f>원본데이터_리씽크!O469</f>
        <v>45500</v>
      </c>
      <c r="I1373">
        <f>원본데이터_리씽크!X469</f>
        <v>45500</v>
      </c>
      <c r="J1373">
        <f>원본데이터_리씽크!X469</f>
        <v>45500</v>
      </c>
      <c r="K1373" t="str">
        <f>IFERROR(VLOOKUP(E1373,제품마스터!$A:$B,2,0),0)</f>
        <v>[워커힐] 시그니처 양념갈비 300G</v>
      </c>
      <c r="L1373">
        <f>원본데이터_리씽크!P469*원본데이터_리씽크!Q469*F1373</f>
        <v>0</v>
      </c>
    </row>
    <row r="1374" spans="1:12" x14ac:dyDescent="0.3">
      <c r="A1374" t="s">
        <v>196</v>
      </c>
      <c r="B1374" t="str">
        <f>TEXT(원본데이터_리씽크!B470,"0")</f>
        <v>2026020701035300000</v>
      </c>
      <c r="C1374" t="str">
        <f>IF(원본데이터_리씽크!A470="","",TEXT(원본데이터_리씽크!A470,"YYYY-MM-DD"))</f>
        <v>2026-02-07</v>
      </c>
      <c r="D1374">
        <f>원본데이터_리씽크!S470</f>
        <v>143790</v>
      </c>
      <c r="E1374" t="str">
        <f>IFERROR(VLOOKUP(원본데이터_리씽크!S470,채널매핑!$B:$D,3,0),"미매핑")</f>
        <v>SKU001</v>
      </c>
      <c r="F1374">
        <f>IFERROR(VLOOKUP(원본데이터_리씽크!S470,채널매핑!$B:$E,4,0),1)</f>
        <v>4</v>
      </c>
      <c r="G1374">
        <f>원본데이터_리씽크!P470</f>
        <v>1</v>
      </c>
      <c r="H1374">
        <f>원본데이터_리씽크!O470</f>
        <v>45500</v>
      </c>
      <c r="I1374">
        <f>원본데이터_리씽크!X470</f>
        <v>45500</v>
      </c>
      <c r="J1374">
        <f>원본데이터_리씽크!X470</f>
        <v>45500</v>
      </c>
      <c r="K1374" t="str">
        <f>IFERROR(VLOOKUP(E1374,제품마스터!$A:$B,2,0),0)</f>
        <v>[워커힐] 시그니처 양념갈비 300G</v>
      </c>
      <c r="L1374">
        <f>원본데이터_리씽크!P470*원본데이터_리씽크!Q470*F1374</f>
        <v>0</v>
      </c>
    </row>
    <row r="1375" spans="1:12" x14ac:dyDescent="0.3">
      <c r="A1375" t="s">
        <v>196</v>
      </c>
      <c r="B1375" t="str">
        <f>TEXT(원본데이터_리씽크!B471,"0")</f>
        <v>2026020700015930000</v>
      </c>
      <c r="C1375" t="str">
        <f>IF(원본데이터_리씽크!A471="","",TEXT(원본데이터_리씽크!A471,"YYYY-MM-DD"))</f>
        <v>2026-02-07</v>
      </c>
      <c r="D1375">
        <f>원본데이터_리씽크!S471</f>
        <v>143790</v>
      </c>
      <c r="E1375" t="str">
        <f>IFERROR(VLOOKUP(원본데이터_리씽크!S471,채널매핑!$B:$D,3,0),"미매핑")</f>
        <v>SKU001</v>
      </c>
      <c r="F1375">
        <f>IFERROR(VLOOKUP(원본데이터_리씽크!S471,채널매핑!$B:$E,4,0),1)</f>
        <v>4</v>
      </c>
      <c r="G1375">
        <f>원본데이터_리씽크!P471</f>
        <v>1</v>
      </c>
      <c r="H1375">
        <f>원본데이터_리씽크!O471</f>
        <v>45500</v>
      </c>
      <c r="I1375">
        <f>원본데이터_리씽크!X471</f>
        <v>45500</v>
      </c>
      <c r="J1375">
        <f>원본데이터_리씽크!X471</f>
        <v>45500</v>
      </c>
      <c r="K1375" t="str">
        <f>IFERROR(VLOOKUP(E1375,제품마스터!$A:$B,2,0),0)</f>
        <v>[워커힐] 시그니처 양념갈비 300G</v>
      </c>
      <c r="L1375">
        <f>원본데이터_리씽크!P471*원본데이터_리씽크!Q471*F1375</f>
        <v>0</v>
      </c>
    </row>
    <row r="1376" spans="1:12" x14ac:dyDescent="0.3">
      <c r="A1376" t="s">
        <v>196</v>
      </c>
      <c r="B1376" t="str">
        <f>TEXT(원본데이터_리씽크!B472,"0")</f>
        <v>2026020623201440000</v>
      </c>
      <c r="C1376" t="str">
        <f>IF(원본데이터_리씽크!A472="","",TEXT(원본데이터_리씽크!A472,"YYYY-MM-DD"))</f>
        <v>2026-02-06</v>
      </c>
      <c r="D1376">
        <f>원본데이터_리씽크!S472</f>
        <v>143790</v>
      </c>
      <c r="E1376" t="str">
        <f>IFERROR(VLOOKUP(원본데이터_리씽크!S472,채널매핑!$B:$D,3,0),"미매핑")</f>
        <v>SKU001</v>
      </c>
      <c r="F1376">
        <f>IFERROR(VLOOKUP(원본데이터_리씽크!S472,채널매핑!$B:$E,4,0),1)</f>
        <v>4</v>
      </c>
      <c r="G1376">
        <f>원본데이터_리씽크!P472</f>
        <v>2</v>
      </c>
      <c r="H1376">
        <f>원본데이터_리씽크!O472</f>
        <v>45500</v>
      </c>
      <c r="I1376">
        <f>원본데이터_리씽크!X472</f>
        <v>91000</v>
      </c>
      <c r="J1376">
        <f>원본데이터_리씽크!X472</f>
        <v>91000</v>
      </c>
      <c r="K1376" t="str">
        <f>IFERROR(VLOOKUP(E1376,제품마스터!$A:$B,2,0),0)</f>
        <v>[워커힐] 시그니처 양념갈비 300G</v>
      </c>
      <c r="L1376">
        <f>원본데이터_리씽크!P472*원본데이터_리씽크!Q472*F1376</f>
        <v>0</v>
      </c>
    </row>
    <row r="1377" spans="1:12" x14ac:dyDescent="0.3">
      <c r="A1377" t="s">
        <v>196</v>
      </c>
      <c r="B1377" t="str">
        <f>TEXT(원본데이터_리씽크!B473,"0")</f>
        <v>2026020621211360000</v>
      </c>
      <c r="C1377" t="str">
        <f>IF(원본데이터_리씽크!A473="","",TEXT(원본데이터_리씽크!A473,"YYYY-MM-DD"))</f>
        <v>2026-02-06</v>
      </c>
      <c r="D1377">
        <f>원본데이터_리씽크!S473</f>
        <v>143790</v>
      </c>
      <c r="E1377" t="str">
        <f>IFERROR(VLOOKUP(원본데이터_리씽크!S473,채널매핑!$B:$D,3,0),"미매핑")</f>
        <v>SKU001</v>
      </c>
      <c r="F1377">
        <f>IFERROR(VLOOKUP(원본데이터_리씽크!S473,채널매핑!$B:$E,4,0),1)</f>
        <v>4</v>
      </c>
      <c r="G1377">
        <f>원본데이터_리씽크!P473</f>
        <v>1</v>
      </c>
      <c r="H1377">
        <f>원본데이터_리씽크!O473</f>
        <v>45500</v>
      </c>
      <c r="I1377">
        <f>원본데이터_리씽크!X473</f>
        <v>45500</v>
      </c>
      <c r="J1377">
        <f>원본데이터_리씽크!X473</f>
        <v>45500</v>
      </c>
      <c r="K1377" t="str">
        <f>IFERROR(VLOOKUP(E1377,제품마스터!$A:$B,2,0),0)</f>
        <v>[워커힐] 시그니처 양념갈비 300G</v>
      </c>
      <c r="L1377">
        <f>원본데이터_리씽크!P473*원본데이터_리씽크!Q473*F1377</f>
        <v>0</v>
      </c>
    </row>
    <row r="1378" spans="1:12" x14ac:dyDescent="0.3">
      <c r="A1378" t="s">
        <v>196</v>
      </c>
      <c r="B1378" t="str">
        <f>TEXT(원본데이터_리씽크!B474,"0")</f>
        <v>2026020621183620000</v>
      </c>
      <c r="C1378" t="str">
        <f>IF(원본데이터_리씽크!A474="","",TEXT(원본데이터_리씽크!A474,"YYYY-MM-DD"))</f>
        <v>2026-02-06</v>
      </c>
      <c r="D1378">
        <f>원본데이터_리씽크!S474</f>
        <v>143790</v>
      </c>
      <c r="E1378" t="str">
        <f>IFERROR(VLOOKUP(원본데이터_리씽크!S474,채널매핑!$B:$D,3,0),"미매핑")</f>
        <v>SKU001</v>
      </c>
      <c r="F1378">
        <f>IFERROR(VLOOKUP(원본데이터_리씽크!S474,채널매핑!$B:$E,4,0),1)</f>
        <v>4</v>
      </c>
      <c r="G1378">
        <f>원본데이터_리씽크!P474</f>
        <v>1</v>
      </c>
      <c r="H1378">
        <f>원본데이터_리씽크!O474</f>
        <v>45500</v>
      </c>
      <c r="I1378">
        <f>원본데이터_리씽크!X474</f>
        <v>45500</v>
      </c>
      <c r="J1378">
        <f>원본데이터_리씽크!X474</f>
        <v>45500</v>
      </c>
      <c r="K1378" t="str">
        <f>IFERROR(VLOOKUP(E1378,제품마스터!$A:$B,2,0),0)</f>
        <v>[워커힐] 시그니처 양념갈비 300G</v>
      </c>
      <c r="L1378">
        <f>원본데이터_리씽크!P474*원본데이터_리씽크!Q474*F1378</f>
        <v>0</v>
      </c>
    </row>
    <row r="1379" spans="1:12" x14ac:dyDescent="0.3">
      <c r="A1379" t="s">
        <v>196</v>
      </c>
      <c r="B1379" t="str">
        <f>TEXT(원본데이터_리씽크!B475,"0")</f>
        <v>2026020621091360000</v>
      </c>
      <c r="C1379" t="str">
        <f>IF(원본데이터_리씽크!A475="","",TEXT(원본데이터_리씽크!A475,"YYYY-MM-DD"))</f>
        <v>2026-02-06</v>
      </c>
      <c r="D1379">
        <f>원본데이터_리씽크!S475</f>
        <v>143790</v>
      </c>
      <c r="E1379" t="str">
        <f>IFERROR(VLOOKUP(원본데이터_리씽크!S475,채널매핑!$B:$D,3,0),"미매핑")</f>
        <v>SKU001</v>
      </c>
      <c r="F1379">
        <f>IFERROR(VLOOKUP(원본데이터_리씽크!S475,채널매핑!$B:$E,4,0),1)</f>
        <v>4</v>
      </c>
      <c r="G1379">
        <f>원본데이터_리씽크!P475</f>
        <v>1</v>
      </c>
      <c r="H1379">
        <f>원본데이터_리씽크!O475</f>
        <v>45500</v>
      </c>
      <c r="I1379">
        <f>원본데이터_리씽크!X475</f>
        <v>45500</v>
      </c>
      <c r="J1379">
        <f>원본데이터_리씽크!X475</f>
        <v>45500</v>
      </c>
      <c r="K1379" t="str">
        <f>IFERROR(VLOOKUP(E1379,제품마스터!$A:$B,2,0),0)</f>
        <v>[워커힐] 시그니처 양념갈비 300G</v>
      </c>
      <c r="L1379">
        <f>원본데이터_리씽크!P475*원본데이터_리씽크!Q475*F1379</f>
        <v>0</v>
      </c>
    </row>
    <row r="1380" spans="1:12" x14ac:dyDescent="0.3">
      <c r="A1380" t="s">
        <v>196</v>
      </c>
      <c r="B1380" t="str">
        <f>TEXT(원본데이터_리씽크!B476,"0")</f>
        <v>2026020621095560000</v>
      </c>
      <c r="C1380" t="str">
        <f>IF(원본데이터_리씽크!A476="","",TEXT(원본데이터_리씽크!A476,"YYYY-MM-DD"))</f>
        <v>2026-02-06</v>
      </c>
      <c r="D1380">
        <f>원본데이터_리씽크!S476</f>
        <v>143790</v>
      </c>
      <c r="E1380" t="str">
        <f>IFERROR(VLOOKUP(원본데이터_리씽크!S476,채널매핑!$B:$D,3,0),"미매핑")</f>
        <v>SKU001</v>
      </c>
      <c r="F1380">
        <f>IFERROR(VLOOKUP(원본데이터_리씽크!S476,채널매핑!$B:$E,4,0),1)</f>
        <v>4</v>
      </c>
      <c r="G1380">
        <f>원본데이터_리씽크!P476</f>
        <v>1</v>
      </c>
      <c r="H1380">
        <f>원본데이터_리씽크!O476</f>
        <v>45500</v>
      </c>
      <c r="I1380">
        <f>원본데이터_리씽크!X476</f>
        <v>45500</v>
      </c>
      <c r="J1380">
        <f>원본데이터_리씽크!X476</f>
        <v>45500</v>
      </c>
      <c r="K1380" t="str">
        <f>IFERROR(VLOOKUP(E1380,제품마스터!$A:$B,2,0),0)</f>
        <v>[워커힐] 시그니처 양념갈비 300G</v>
      </c>
      <c r="L1380">
        <f>원본데이터_리씽크!P476*원본데이터_리씽크!Q476*F1380</f>
        <v>0</v>
      </c>
    </row>
    <row r="1381" spans="1:12" x14ac:dyDescent="0.3">
      <c r="A1381" t="s">
        <v>196</v>
      </c>
      <c r="B1381" t="str">
        <f>TEXT(원본데이터_리씽크!B477,"0")</f>
        <v>2026020621070350000</v>
      </c>
      <c r="C1381" t="str">
        <f>IF(원본데이터_리씽크!A477="","",TEXT(원본데이터_리씽크!A477,"YYYY-MM-DD"))</f>
        <v>2026-02-06</v>
      </c>
      <c r="D1381">
        <f>원본데이터_리씽크!S477</f>
        <v>143790</v>
      </c>
      <c r="E1381" t="str">
        <f>IFERROR(VLOOKUP(원본데이터_리씽크!S477,채널매핑!$B:$D,3,0),"미매핑")</f>
        <v>SKU001</v>
      </c>
      <c r="F1381">
        <f>IFERROR(VLOOKUP(원본데이터_리씽크!S477,채널매핑!$B:$E,4,0),1)</f>
        <v>4</v>
      </c>
      <c r="G1381">
        <f>원본데이터_리씽크!P477</f>
        <v>1</v>
      </c>
      <c r="H1381">
        <f>원본데이터_리씽크!O477</f>
        <v>45500</v>
      </c>
      <c r="I1381">
        <f>원본데이터_리씽크!X477</f>
        <v>45500</v>
      </c>
      <c r="J1381">
        <f>원본데이터_리씽크!X477</f>
        <v>45500</v>
      </c>
      <c r="K1381" t="str">
        <f>IFERROR(VLOOKUP(E1381,제품마스터!$A:$B,2,0),0)</f>
        <v>[워커힐] 시그니처 양념갈비 300G</v>
      </c>
      <c r="L1381">
        <f>원본데이터_리씽크!P477*원본데이터_리씽크!Q477*F1381</f>
        <v>0</v>
      </c>
    </row>
    <row r="1382" spans="1:12" x14ac:dyDescent="0.3">
      <c r="A1382" t="s">
        <v>196</v>
      </c>
      <c r="B1382" t="str">
        <f>TEXT(원본데이터_리씽크!B478,"0")</f>
        <v>2026020621073230000</v>
      </c>
      <c r="C1382" t="str">
        <f>IF(원본데이터_리씽크!A478="","",TEXT(원본데이터_리씽크!A478,"YYYY-MM-DD"))</f>
        <v>2026-02-06</v>
      </c>
      <c r="D1382">
        <f>원본데이터_리씽크!S478</f>
        <v>143790</v>
      </c>
      <c r="E1382" t="str">
        <f>IFERROR(VLOOKUP(원본데이터_리씽크!S478,채널매핑!$B:$D,3,0),"미매핑")</f>
        <v>SKU001</v>
      </c>
      <c r="F1382">
        <f>IFERROR(VLOOKUP(원본데이터_리씽크!S478,채널매핑!$B:$E,4,0),1)</f>
        <v>4</v>
      </c>
      <c r="G1382">
        <f>원본데이터_리씽크!P478</f>
        <v>1</v>
      </c>
      <c r="H1382">
        <f>원본데이터_리씽크!O478</f>
        <v>45500</v>
      </c>
      <c r="I1382">
        <f>원본데이터_리씽크!X478</f>
        <v>45500</v>
      </c>
      <c r="J1382">
        <f>원본데이터_리씽크!X478</f>
        <v>45500</v>
      </c>
      <c r="K1382" t="str">
        <f>IFERROR(VLOOKUP(E1382,제품마스터!$A:$B,2,0),0)</f>
        <v>[워커힐] 시그니처 양념갈비 300G</v>
      </c>
      <c r="L1382">
        <f>원본데이터_리씽크!P478*원본데이터_리씽크!Q478*F1382</f>
        <v>0</v>
      </c>
    </row>
    <row r="1383" spans="1:12" x14ac:dyDescent="0.3">
      <c r="A1383" t="s">
        <v>196</v>
      </c>
      <c r="B1383" t="str">
        <f>TEXT(원본데이터_리씽크!B479,"0")</f>
        <v>2026020620424990000</v>
      </c>
      <c r="C1383" t="str">
        <f>IF(원본데이터_리씽크!A479="","",TEXT(원본데이터_리씽크!A479,"YYYY-MM-DD"))</f>
        <v>2026-02-06</v>
      </c>
      <c r="D1383">
        <f>원본데이터_리씽크!S479</f>
        <v>143790</v>
      </c>
      <c r="E1383" t="str">
        <f>IFERROR(VLOOKUP(원본데이터_리씽크!S479,채널매핑!$B:$D,3,0),"미매핑")</f>
        <v>SKU001</v>
      </c>
      <c r="F1383">
        <f>IFERROR(VLOOKUP(원본데이터_리씽크!S479,채널매핑!$B:$E,4,0),1)</f>
        <v>4</v>
      </c>
      <c r="G1383">
        <f>원본데이터_리씽크!P479</f>
        <v>1</v>
      </c>
      <c r="H1383">
        <f>원본데이터_리씽크!O479</f>
        <v>45500</v>
      </c>
      <c r="I1383">
        <f>원본데이터_리씽크!X479</f>
        <v>45500</v>
      </c>
      <c r="J1383">
        <f>원본데이터_리씽크!X479</f>
        <v>45500</v>
      </c>
      <c r="K1383" t="str">
        <f>IFERROR(VLOOKUP(E1383,제품마스터!$A:$B,2,0),0)</f>
        <v>[워커힐] 시그니처 양념갈비 300G</v>
      </c>
      <c r="L1383">
        <f>원본데이터_리씽크!P479*원본데이터_리씽크!Q479*F1383</f>
        <v>0</v>
      </c>
    </row>
    <row r="1384" spans="1:12" x14ac:dyDescent="0.3">
      <c r="A1384" t="s">
        <v>196</v>
      </c>
      <c r="B1384" t="str">
        <f>TEXT(원본데이터_리씽크!B480,"0")</f>
        <v>2026020620294280000</v>
      </c>
      <c r="C1384" t="str">
        <f>IF(원본데이터_리씽크!A480="","",TEXT(원본데이터_리씽크!A480,"YYYY-MM-DD"))</f>
        <v>2026-02-06</v>
      </c>
      <c r="D1384">
        <f>원본데이터_리씽크!S480</f>
        <v>143790</v>
      </c>
      <c r="E1384" t="str">
        <f>IFERROR(VLOOKUP(원본데이터_리씽크!S480,채널매핑!$B:$D,3,0),"미매핑")</f>
        <v>SKU001</v>
      </c>
      <c r="F1384">
        <f>IFERROR(VLOOKUP(원본데이터_리씽크!S480,채널매핑!$B:$E,4,0),1)</f>
        <v>4</v>
      </c>
      <c r="G1384">
        <f>원본데이터_리씽크!P480</f>
        <v>1</v>
      </c>
      <c r="H1384">
        <f>원본데이터_리씽크!O480</f>
        <v>45500</v>
      </c>
      <c r="I1384">
        <f>원본데이터_리씽크!X480</f>
        <v>45500</v>
      </c>
      <c r="J1384">
        <f>원본데이터_리씽크!X480</f>
        <v>45500</v>
      </c>
      <c r="K1384" t="str">
        <f>IFERROR(VLOOKUP(E1384,제품마스터!$A:$B,2,0),0)</f>
        <v>[워커힐] 시그니처 양념갈비 300G</v>
      </c>
      <c r="L1384">
        <f>원본데이터_리씽크!P480*원본데이터_리씽크!Q480*F1384</f>
        <v>0</v>
      </c>
    </row>
    <row r="1385" spans="1:12" x14ac:dyDescent="0.3">
      <c r="A1385" t="s">
        <v>196</v>
      </c>
      <c r="B1385" t="str">
        <f>TEXT(원본데이터_리씽크!B481,"0")</f>
        <v>2026020620302680000</v>
      </c>
      <c r="C1385" t="str">
        <f>IF(원본데이터_리씽크!A481="","",TEXT(원본데이터_리씽크!A481,"YYYY-MM-DD"))</f>
        <v>2026-02-06</v>
      </c>
      <c r="D1385">
        <f>원본데이터_리씽크!S481</f>
        <v>143790</v>
      </c>
      <c r="E1385" t="str">
        <f>IFERROR(VLOOKUP(원본데이터_리씽크!S481,채널매핑!$B:$D,3,0),"미매핑")</f>
        <v>SKU001</v>
      </c>
      <c r="F1385">
        <f>IFERROR(VLOOKUP(원본데이터_리씽크!S481,채널매핑!$B:$E,4,0),1)</f>
        <v>4</v>
      </c>
      <c r="G1385">
        <f>원본데이터_리씽크!P481</f>
        <v>1</v>
      </c>
      <c r="H1385">
        <f>원본데이터_리씽크!O481</f>
        <v>45500</v>
      </c>
      <c r="I1385">
        <f>원본데이터_리씽크!X481</f>
        <v>45500</v>
      </c>
      <c r="J1385">
        <f>원본데이터_리씽크!X481</f>
        <v>45500</v>
      </c>
      <c r="K1385" t="str">
        <f>IFERROR(VLOOKUP(E1385,제품마스터!$A:$B,2,0),0)</f>
        <v>[워커힐] 시그니처 양념갈비 300G</v>
      </c>
      <c r="L1385">
        <f>원본데이터_리씽크!P481*원본데이터_리씽크!Q481*F1385</f>
        <v>0</v>
      </c>
    </row>
    <row r="1386" spans="1:12" x14ac:dyDescent="0.3">
      <c r="A1386" t="s">
        <v>196</v>
      </c>
      <c r="B1386" t="str">
        <f>TEXT(원본데이터_리씽크!B482,"0")</f>
        <v>2026020620291880000</v>
      </c>
      <c r="C1386" t="str">
        <f>IF(원본데이터_리씽크!A482="","",TEXT(원본데이터_리씽크!A482,"YYYY-MM-DD"))</f>
        <v>2026-02-06</v>
      </c>
      <c r="D1386">
        <f>원본데이터_리씽크!S482</f>
        <v>143790</v>
      </c>
      <c r="E1386" t="str">
        <f>IFERROR(VLOOKUP(원본데이터_리씽크!S482,채널매핑!$B:$D,3,0),"미매핑")</f>
        <v>SKU001</v>
      </c>
      <c r="F1386">
        <f>IFERROR(VLOOKUP(원본데이터_리씽크!S482,채널매핑!$B:$E,4,0),1)</f>
        <v>4</v>
      </c>
      <c r="G1386">
        <f>원본데이터_리씽크!P482</f>
        <v>1</v>
      </c>
      <c r="H1386">
        <f>원본데이터_리씽크!O482</f>
        <v>45500</v>
      </c>
      <c r="I1386">
        <f>원본데이터_리씽크!X482</f>
        <v>45500</v>
      </c>
      <c r="J1386">
        <f>원본데이터_리씽크!X482</f>
        <v>45500</v>
      </c>
      <c r="K1386" t="str">
        <f>IFERROR(VLOOKUP(E1386,제품마스터!$A:$B,2,0),0)</f>
        <v>[워커힐] 시그니처 양념갈비 300G</v>
      </c>
      <c r="L1386">
        <f>원본데이터_리씽크!P482*원본데이터_리씽크!Q482*F1386</f>
        <v>0</v>
      </c>
    </row>
    <row r="1387" spans="1:12" x14ac:dyDescent="0.3">
      <c r="A1387" t="s">
        <v>196</v>
      </c>
      <c r="B1387" t="str">
        <f>TEXT(원본데이터_리씽크!B483,"0")</f>
        <v>2026020620291370000</v>
      </c>
      <c r="C1387" t="str">
        <f>IF(원본데이터_리씽크!A483="","",TEXT(원본데이터_리씽크!A483,"YYYY-MM-DD"))</f>
        <v>2026-02-06</v>
      </c>
      <c r="D1387">
        <f>원본데이터_리씽크!S483</f>
        <v>143790</v>
      </c>
      <c r="E1387" t="str">
        <f>IFERROR(VLOOKUP(원본데이터_리씽크!S483,채널매핑!$B:$D,3,0),"미매핑")</f>
        <v>SKU001</v>
      </c>
      <c r="F1387">
        <f>IFERROR(VLOOKUP(원본데이터_리씽크!S483,채널매핑!$B:$E,4,0),1)</f>
        <v>4</v>
      </c>
      <c r="G1387">
        <f>원본데이터_리씽크!P483</f>
        <v>1</v>
      </c>
      <c r="H1387">
        <f>원본데이터_리씽크!O483</f>
        <v>45500</v>
      </c>
      <c r="I1387">
        <f>원본데이터_리씽크!X483</f>
        <v>45500</v>
      </c>
      <c r="J1387">
        <f>원본데이터_리씽크!X483</f>
        <v>45500</v>
      </c>
      <c r="K1387" t="str">
        <f>IFERROR(VLOOKUP(E1387,제품마스터!$A:$B,2,0),0)</f>
        <v>[워커힐] 시그니처 양념갈비 300G</v>
      </c>
      <c r="L1387">
        <f>원본데이터_리씽크!P483*원본데이터_리씽크!Q483*F1387</f>
        <v>0</v>
      </c>
    </row>
    <row r="1388" spans="1:12" x14ac:dyDescent="0.3">
      <c r="A1388" t="s">
        <v>196</v>
      </c>
      <c r="B1388" t="str">
        <f>TEXT(원본데이터_리씽크!B484,"0")</f>
        <v>2026020620282200000</v>
      </c>
      <c r="C1388" t="str">
        <f>IF(원본데이터_리씽크!A484="","",TEXT(원본데이터_리씽크!A484,"YYYY-MM-DD"))</f>
        <v>2026-02-06</v>
      </c>
      <c r="D1388">
        <f>원본데이터_리씽크!S484</f>
        <v>143790</v>
      </c>
      <c r="E1388" t="str">
        <f>IFERROR(VLOOKUP(원본데이터_리씽크!S484,채널매핑!$B:$D,3,0),"미매핑")</f>
        <v>SKU001</v>
      </c>
      <c r="F1388">
        <f>IFERROR(VLOOKUP(원본데이터_리씽크!S484,채널매핑!$B:$E,4,0),1)</f>
        <v>4</v>
      </c>
      <c r="G1388">
        <f>원본데이터_리씽크!P484</f>
        <v>1</v>
      </c>
      <c r="H1388">
        <f>원본데이터_리씽크!O484</f>
        <v>45500</v>
      </c>
      <c r="I1388">
        <f>원본데이터_리씽크!X484</f>
        <v>45500</v>
      </c>
      <c r="J1388">
        <f>원본데이터_리씽크!X484</f>
        <v>45500</v>
      </c>
      <c r="K1388" t="str">
        <f>IFERROR(VLOOKUP(E1388,제품마스터!$A:$B,2,0),0)</f>
        <v>[워커힐] 시그니처 양념갈비 300G</v>
      </c>
      <c r="L1388">
        <f>원본데이터_리씽크!P484*원본데이터_리씽크!Q484*F1388</f>
        <v>0</v>
      </c>
    </row>
    <row r="1389" spans="1:12" x14ac:dyDescent="0.3">
      <c r="A1389" t="s">
        <v>196</v>
      </c>
      <c r="B1389" t="str">
        <f>TEXT(원본데이터_리씽크!B485,"0")</f>
        <v>2026020620180770000</v>
      </c>
      <c r="C1389" t="str">
        <f>IF(원본데이터_리씽크!A485="","",TEXT(원본데이터_리씽크!A485,"YYYY-MM-DD"))</f>
        <v>2026-02-06</v>
      </c>
      <c r="D1389">
        <f>원본데이터_리씽크!S485</f>
        <v>143790</v>
      </c>
      <c r="E1389" t="str">
        <f>IFERROR(VLOOKUP(원본데이터_리씽크!S485,채널매핑!$B:$D,3,0),"미매핑")</f>
        <v>SKU001</v>
      </c>
      <c r="F1389">
        <f>IFERROR(VLOOKUP(원본데이터_리씽크!S485,채널매핑!$B:$E,4,0),1)</f>
        <v>4</v>
      </c>
      <c r="G1389">
        <f>원본데이터_리씽크!P485</f>
        <v>1</v>
      </c>
      <c r="H1389">
        <f>원본데이터_리씽크!O485</f>
        <v>45500</v>
      </c>
      <c r="I1389">
        <f>원본데이터_리씽크!X485</f>
        <v>45500</v>
      </c>
      <c r="J1389">
        <f>원본데이터_리씽크!X485</f>
        <v>45500</v>
      </c>
      <c r="K1389" t="str">
        <f>IFERROR(VLOOKUP(E1389,제품마스터!$A:$B,2,0),0)</f>
        <v>[워커힐] 시그니처 양념갈비 300G</v>
      </c>
      <c r="L1389">
        <f>원본데이터_리씽크!P485*원본데이터_리씽크!Q485*F1389</f>
        <v>0</v>
      </c>
    </row>
    <row r="1390" spans="1:12" x14ac:dyDescent="0.3">
      <c r="A1390" t="s">
        <v>196</v>
      </c>
      <c r="B1390" t="str">
        <f>TEXT(원본데이터_리씽크!B486,"0")</f>
        <v>2026020620242130000</v>
      </c>
      <c r="C1390" t="str">
        <f>IF(원본데이터_리씽크!A486="","",TEXT(원본데이터_리씽크!A486,"YYYY-MM-DD"))</f>
        <v>2026-02-06</v>
      </c>
      <c r="D1390">
        <f>원본데이터_리씽크!S486</f>
        <v>143790</v>
      </c>
      <c r="E1390" t="str">
        <f>IFERROR(VLOOKUP(원본데이터_리씽크!S486,채널매핑!$B:$D,3,0),"미매핑")</f>
        <v>SKU001</v>
      </c>
      <c r="F1390">
        <f>IFERROR(VLOOKUP(원본데이터_리씽크!S486,채널매핑!$B:$E,4,0),1)</f>
        <v>4</v>
      </c>
      <c r="G1390">
        <f>원본데이터_리씽크!P486</f>
        <v>1</v>
      </c>
      <c r="H1390">
        <f>원본데이터_리씽크!O486</f>
        <v>45500</v>
      </c>
      <c r="I1390">
        <f>원본데이터_리씽크!X486</f>
        <v>45500</v>
      </c>
      <c r="J1390">
        <f>원본데이터_리씽크!X486</f>
        <v>45500</v>
      </c>
      <c r="K1390" t="str">
        <f>IFERROR(VLOOKUP(E1390,제품마스터!$A:$B,2,0),0)</f>
        <v>[워커힐] 시그니처 양념갈비 300G</v>
      </c>
      <c r="L1390">
        <f>원본데이터_리씽크!P486*원본데이터_리씽크!Q486*F1390</f>
        <v>0</v>
      </c>
    </row>
    <row r="1391" spans="1:12" x14ac:dyDescent="0.3">
      <c r="A1391" t="s">
        <v>196</v>
      </c>
      <c r="B1391" t="str">
        <f>TEXT(원본데이터_리씽크!B487,"0")</f>
        <v>2026020620223570000</v>
      </c>
      <c r="C1391" t="str">
        <f>IF(원본데이터_리씽크!A487="","",TEXT(원본데이터_리씽크!A487,"YYYY-MM-DD"))</f>
        <v>2026-02-06</v>
      </c>
      <c r="D1391">
        <f>원본데이터_리씽크!S487</f>
        <v>143790</v>
      </c>
      <c r="E1391" t="str">
        <f>IFERROR(VLOOKUP(원본데이터_리씽크!S487,채널매핑!$B:$D,3,0),"미매핑")</f>
        <v>SKU001</v>
      </c>
      <c r="F1391">
        <f>IFERROR(VLOOKUP(원본데이터_리씽크!S487,채널매핑!$B:$E,4,0),1)</f>
        <v>4</v>
      </c>
      <c r="G1391">
        <f>원본데이터_리씽크!P487</f>
        <v>1</v>
      </c>
      <c r="H1391">
        <f>원본데이터_리씽크!O487</f>
        <v>45500</v>
      </c>
      <c r="I1391">
        <f>원본데이터_리씽크!X487</f>
        <v>45500</v>
      </c>
      <c r="J1391">
        <f>원본데이터_리씽크!X487</f>
        <v>45500</v>
      </c>
      <c r="K1391" t="str">
        <f>IFERROR(VLOOKUP(E1391,제품마스터!$A:$B,2,0),0)</f>
        <v>[워커힐] 시그니처 양념갈비 300G</v>
      </c>
      <c r="L1391">
        <f>원본데이터_리씽크!P487*원본데이터_리씽크!Q487*F1391</f>
        <v>0</v>
      </c>
    </row>
    <row r="1392" spans="1:12" x14ac:dyDescent="0.3">
      <c r="A1392" t="s">
        <v>196</v>
      </c>
      <c r="B1392" t="str">
        <f>TEXT(원본데이터_리씽크!B488,"0")</f>
        <v>2026020620191530000</v>
      </c>
      <c r="C1392" t="str">
        <f>IF(원본데이터_리씽크!A488="","",TEXT(원본데이터_리씽크!A488,"YYYY-MM-DD"))</f>
        <v>2026-02-06</v>
      </c>
      <c r="D1392">
        <f>원본데이터_리씽크!S488</f>
        <v>143790</v>
      </c>
      <c r="E1392" t="str">
        <f>IFERROR(VLOOKUP(원본데이터_리씽크!S488,채널매핑!$B:$D,3,0),"미매핑")</f>
        <v>SKU001</v>
      </c>
      <c r="F1392">
        <f>IFERROR(VLOOKUP(원본데이터_리씽크!S488,채널매핑!$B:$E,4,0),1)</f>
        <v>4</v>
      </c>
      <c r="G1392">
        <f>원본데이터_리씽크!P488</f>
        <v>1</v>
      </c>
      <c r="H1392">
        <f>원본데이터_리씽크!O488</f>
        <v>45500</v>
      </c>
      <c r="I1392">
        <f>원본데이터_리씽크!X488</f>
        <v>45500</v>
      </c>
      <c r="J1392">
        <f>원본데이터_리씽크!X488</f>
        <v>45500</v>
      </c>
      <c r="K1392" t="str">
        <f>IFERROR(VLOOKUP(E1392,제품마스터!$A:$B,2,0),0)</f>
        <v>[워커힐] 시그니처 양념갈비 300G</v>
      </c>
      <c r="L1392">
        <f>원본데이터_리씽크!P488*원본데이터_리씽크!Q488*F1392</f>
        <v>0</v>
      </c>
    </row>
    <row r="1393" spans="1:12" x14ac:dyDescent="0.3">
      <c r="A1393" t="s">
        <v>196</v>
      </c>
      <c r="B1393" t="str">
        <f>TEXT(원본데이터_리씽크!B489,"0")</f>
        <v>2026020620154090000</v>
      </c>
      <c r="C1393" t="str">
        <f>IF(원본데이터_리씽크!A489="","",TEXT(원본데이터_리씽크!A489,"YYYY-MM-DD"))</f>
        <v>2026-02-06</v>
      </c>
      <c r="D1393">
        <f>원본데이터_리씽크!S489</f>
        <v>143790</v>
      </c>
      <c r="E1393" t="str">
        <f>IFERROR(VLOOKUP(원본데이터_리씽크!S489,채널매핑!$B:$D,3,0),"미매핑")</f>
        <v>SKU001</v>
      </c>
      <c r="F1393">
        <f>IFERROR(VLOOKUP(원본데이터_리씽크!S489,채널매핑!$B:$E,4,0),1)</f>
        <v>4</v>
      </c>
      <c r="G1393">
        <f>원본데이터_리씽크!P489</f>
        <v>1</v>
      </c>
      <c r="H1393">
        <f>원본데이터_리씽크!O489</f>
        <v>45500</v>
      </c>
      <c r="I1393">
        <f>원본데이터_리씽크!X489</f>
        <v>45500</v>
      </c>
      <c r="J1393">
        <f>원본데이터_리씽크!X489</f>
        <v>45500</v>
      </c>
      <c r="K1393" t="str">
        <f>IFERROR(VLOOKUP(E1393,제품마스터!$A:$B,2,0),0)</f>
        <v>[워커힐] 시그니처 양념갈비 300G</v>
      </c>
      <c r="L1393">
        <f>원본데이터_리씽크!P489*원본데이터_리씽크!Q489*F1393</f>
        <v>0</v>
      </c>
    </row>
    <row r="1394" spans="1:12" x14ac:dyDescent="0.3">
      <c r="A1394" t="s">
        <v>196</v>
      </c>
      <c r="B1394" t="str">
        <f>TEXT(원본데이터_리씽크!B490,"0")</f>
        <v>2026020620130730000</v>
      </c>
      <c r="C1394" t="str">
        <f>IF(원본데이터_리씽크!A490="","",TEXT(원본데이터_리씽크!A490,"YYYY-MM-DD"))</f>
        <v>2026-02-06</v>
      </c>
      <c r="D1394">
        <f>원본데이터_리씽크!S490</f>
        <v>143790</v>
      </c>
      <c r="E1394" t="str">
        <f>IFERROR(VLOOKUP(원본데이터_리씽크!S490,채널매핑!$B:$D,3,0),"미매핑")</f>
        <v>SKU001</v>
      </c>
      <c r="F1394">
        <f>IFERROR(VLOOKUP(원본데이터_리씽크!S490,채널매핑!$B:$E,4,0),1)</f>
        <v>4</v>
      </c>
      <c r="G1394">
        <f>원본데이터_리씽크!P490</f>
        <v>1</v>
      </c>
      <c r="H1394">
        <f>원본데이터_리씽크!O490</f>
        <v>45500</v>
      </c>
      <c r="I1394">
        <f>원본데이터_리씽크!X490</f>
        <v>45500</v>
      </c>
      <c r="J1394">
        <f>원본데이터_리씽크!X490</f>
        <v>45500</v>
      </c>
      <c r="K1394" t="str">
        <f>IFERROR(VLOOKUP(E1394,제품마스터!$A:$B,2,0),0)</f>
        <v>[워커힐] 시그니처 양념갈비 300G</v>
      </c>
      <c r="L1394">
        <f>원본데이터_리씽크!P490*원본데이터_리씽크!Q490*F1394</f>
        <v>0</v>
      </c>
    </row>
    <row r="1395" spans="1:12" x14ac:dyDescent="0.3">
      <c r="A1395" t="s">
        <v>196</v>
      </c>
      <c r="B1395" t="str">
        <f>TEXT(원본데이터_리씽크!B491,"0")</f>
        <v>2026020620111040000</v>
      </c>
      <c r="C1395" t="str">
        <f>IF(원본데이터_리씽크!A491="","",TEXT(원본데이터_리씽크!A491,"YYYY-MM-DD"))</f>
        <v>2026-02-06</v>
      </c>
      <c r="D1395">
        <f>원본데이터_리씽크!S491</f>
        <v>143790</v>
      </c>
      <c r="E1395" t="str">
        <f>IFERROR(VLOOKUP(원본데이터_리씽크!S491,채널매핑!$B:$D,3,0),"미매핑")</f>
        <v>SKU001</v>
      </c>
      <c r="F1395">
        <f>IFERROR(VLOOKUP(원본데이터_리씽크!S491,채널매핑!$B:$E,4,0),1)</f>
        <v>4</v>
      </c>
      <c r="G1395">
        <f>원본데이터_리씽크!P491</f>
        <v>1</v>
      </c>
      <c r="H1395">
        <f>원본데이터_리씽크!O491</f>
        <v>45500</v>
      </c>
      <c r="I1395">
        <f>원본데이터_리씽크!X491</f>
        <v>45500</v>
      </c>
      <c r="J1395">
        <f>원본데이터_리씽크!X491</f>
        <v>45500</v>
      </c>
      <c r="K1395" t="str">
        <f>IFERROR(VLOOKUP(E1395,제품마스터!$A:$B,2,0),0)</f>
        <v>[워커힐] 시그니처 양념갈비 300G</v>
      </c>
      <c r="L1395">
        <f>원본데이터_리씽크!P491*원본데이터_리씽크!Q491*F1395</f>
        <v>0</v>
      </c>
    </row>
    <row r="1396" spans="1:12" x14ac:dyDescent="0.3">
      <c r="A1396" t="s">
        <v>196</v>
      </c>
      <c r="B1396" t="str">
        <f>TEXT(원본데이터_리씽크!B492,"0")</f>
        <v>2026020619565800000</v>
      </c>
      <c r="C1396" t="str">
        <f>IF(원본데이터_리씽크!A492="","",TEXT(원본데이터_리씽크!A492,"YYYY-MM-DD"))</f>
        <v>2026-02-06</v>
      </c>
      <c r="D1396">
        <f>원본데이터_리씽크!S492</f>
        <v>143790</v>
      </c>
      <c r="E1396" t="str">
        <f>IFERROR(VLOOKUP(원본데이터_리씽크!S492,채널매핑!$B:$D,3,0),"미매핑")</f>
        <v>SKU001</v>
      </c>
      <c r="F1396">
        <f>IFERROR(VLOOKUP(원본데이터_리씽크!S492,채널매핑!$B:$E,4,0),1)</f>
        <v>4</v>
      </c>
      <c r="G1396">
        <f>원본데이터_리씽크!P492</f>
        <v>1</v>
      </c>
      <c r="H1396">
        <f>원본데이터_리씽크!O492</f>
        <v>45500</v>
      </c>
      <c r="I1396">
        <f>원본데이터_리씽크!X492</f>
        <v>45500</v>
      </c>
      <c r="J1396">
        <f>원본데이터_리씽크!X492</f>
        <v>45500</v>
      </c>
      <c r="K1396" t="str">
        <f>IFERROR(VLOOKUP(E1396,제품마스터!$A:$B,2,0),0)</f>
        <v>[워커힐] 시그니처 양념갈비 300G</v>
      </c>
      <c r="L1396">
        <f>원본데이터_리씽크!P492*원본데이터_리씽크!Q492*F1396</f>
        <v>0</v>
      </c>
    </row>
    <row r="1397" spans="1:12" x14ac:dyDescent="0.3">
      <c r="A1397" t="s">
        <v>196</v>
      </c>
      <c r="B1397" t="str">
        <f>TEXT(원본데이터_리씽크!B493,"0")</f>
        <v>2026020619503150000</v>
      </c>
      <c r="C1397" t="str">
        <f>IF(원본데이터_리씽크!A493="","",TEXT(원본데이터_리씽크!A493,"YYYY-MM-DD"))</f>
        <v>2026-02-06</v>
      </c>
      <c r="D1397">
        <f>원본데이터_리씽크!S493</f>
        <v>143790</v>
      </c>
      <c r="E1397" t="str">
        <f>IFERROR(VLOOKUP(원본데이터_리씽크!S493,채널매핑!$B:$D,3,0),"미매핑")</f>
        <v>SKU001</v>
      </c>
      <c r="F1397">
        <f>IFERROR(VLOOKUP(원본데이터_리씽크!S493,채널매핑!$B:$E,4,0),1)</f>
        <v>4</v>
      </c>
      <c r="G1397">
        <f>원본데이터_리씽크!P493</f>
        <v>3</v>
      </c>
      <c r="H1397">
        <f>원본데이터_리씽크!O493</f>
        <v>45500</v>
      </c>
      <c r="I1397">
        <f>원본데이터_리씽크!X493</f>
        <v>136500</v>
      </c>
      <c r="J1397">
        <f>원본데이터_리씽크!X493</f>
        <v>136500</v>
      </c>
      <c r="K1397" t="str">
        <f>IFERROR(VLOOKUP(E1397,제품마스터!$A:$B,2,0),0)</f>
        <v>[워커힐] 시그니처 양념갈비 300G</v>
      </c>
      <c r="L1397">
        <f>원본데이터_리씽크!P493*원본데이터_리씽크!Q493*F1397</f>
        <v>0</v>
      </c>
    </row>
    <row r="1398" spans="1:12" x14ac:dyDescent="0.3">
      <c r="A1398" t="s">
        <v>196</v>
      </c>
      <c r="B1398" t="str">
        <f>TEXT(원본데이터_리씽크!B494,"0")</f>
        <v>2026020619491560000</v>
      </c>
      <c r="C1398" t="str">
        <f>IF(원본데이터_리씽크!A494="","",TEXT(원본데이터_리씽크!A494,"YYYY-MM-DD"))</f>
        <v>2026-02-06</v>
      </c>
      <c r="D1398">
        <f>원본데이터_리씽크!S494</f>
        <v>143790</v>
      </c>
      <c r="E1398" t="str">
        <f>IFERROR(VLOOKUP(원본데이터_리씽크!S494,채널매핑!$B:$D,3,0),"미매핑")</f>
        <v>SKU001</v>
      </c>
      <c r="F1398">
        <f>IFERROR(VLOOKUP(원본데이터_리씽크!S494,채널매핑!$B:$E,4,0),1)</f>
        <v>4</v>
      </c>
      <c r="G1398">
        <f>원본데이터_리씽크!P494</f>
        <v>1</v>
      </c>
      <c r="H1398">
        <f>원본데이터_리씽크!O494</f>
        <v>45500</v>
      </c>
      <c r="I1398">
        <f>원본데이터_리씽크!X494</f>
        <v>45500</v>
      </c>
      <c r="J1398">
        <f>원본데이터_리씽크!X494</f>
        <v>45500</v>
      </c>
      <c r="K1398" t="str">
        <f>IFERROR(VLOOKUP(E1398,제품마스터!$A:$B,2,0),0)</f>
        <v>[워커힐] 시그니처 양념갈비 300G</v>
      </c>
      <c r="L1398">
        <f>원본데이터_리씽크!P494*원본데이터_리씽크!Q494*F1398</f>
        <v>0</v>
      </c>
    </row>
    <row r="1399" spans="1:12" x14ac:dyDescent="0.3">
      <c r="A1399" t="s">
        <v>196</v>
      </c>
      <c r="B1399" t="str">
        <f>TEXT(원본데이터_리씽크!B495,"0")</f>
        <v>2026020619354280000</v>
      </c>
      <c r="C1399" t="str">
        <f>IF(원본데이터_리씽크!A495="","",TEXT(원본데이터_리씽크!A495,"YYYY-MM-DD"))</f>
        <v>2026-02-06</v>
      </c>
      <c r="D1399">
        <f>원본데이터_리씽크!S495</f>
        <v>143790</v>
      </c>
      <c r="E1399" t="str">
        <f>IFERROR(VLOOKUP(원본데이터_리씽크!S495,채널매핑!$B:$D,3,0),"미매핑")</f>
        <v>SKU001</v>
      </c>
      <c r="F1399">
        <f>IFERROR(VLOOKUP(원본데이터_리씽크!S495,채널매핑!$B:$E,4,0),1)</f>
        <v>4</v>
      </c>
      <c r="G1399">
        <f>원본데이터_리씽크!P495</f>
        <v>1</v>
      </c>
      <c r="H1399">
        <f>원본데이터_리씽크!O495</f>
        <v>45500</v>
      </c>
      <c r="I1399">
        <f>원본데이터_리씽크!X495</f>
        <v>45500</v>
      </c>
      <c r="J1399">
        <f>원본데이터_리씽크!X495</f>
        <v>45500</v>
      </c>
      <c r="K1399" t="str">
        <f>IFERROR(VLOOKUP(E1399,제품마스터!$A:$B,2,0),0)</f>
        <v>[워커힐] 시그니처 양념갈비 300G</v>
      </c>
      <c r="L1399">
        <f>원본데이터_리씽크!P495*원본데이터_리씽크!Q495*F1399</f>
        <v>0</v>
      </c>
    </row>
    <row r="1400" spans="1:12" x14ac:dyDescent="0.3">
      <c r="A1400" t="s">
        <v>196</v>
      </c>
      <c r="B1400" t="str">
        <f>TEXT(원본데이터_리씽크!B496,"0")</f>
        <v>2026020619331420000</v>
      </c>
      <c r="C1400" t="str">
        <f>IF(원본데이터_리씽크!A496="","",TEXT(원본데이터_리씽크!A496,"YYYY-MM-DD"))</f>
        <v>2026-02-06</v>
      </c>
      <c r="D1400">
        <f>원본데이터_리씽크!S496</f>
        <v>143790</v>
      </c>
      <c r="E1400" t="str">
        <f>IFERROR(VLOOKUP(원본데이터_리씽크!S496,채널매핑!$B:$D,3,0),"미매핑")</f>
        <v>SKU001</v>
      </c>
      <c r="F1400">
        <f>IFERROR(VLOOKUP(원본데이터_리씽크!S496,채널매핑!$B:$E,4,0),1)</f>
        <v>4</v>
      </c>
      <c r="G1400">
        <f>원본데이터_리씽크!P496</f>
        <v>1</v>
      </c>
      <c r="H1400">
        <f>원본데이터_리씽크!O496</f>
        <v>45500</v>
      </c>
      <c r="I1400">
        <f>원본데이터_리씽크!X496</f>
        <v>45500</v>
      </c>
      <c r="J1400">
        <f>원본데이터_리씽크!X496</f>
        <v>45500</v>
      </c>
      <c r="K1400" t="str">
        <f>IFERROR(VLOOKUP(E1400,제품마스터!$A:$B,2,0),0)</f>
        <v>[워커힐] 시그니처 양념갈비 300G</v>
      </c>
      <c r="L1400">
        <f>원본데이터_리씽크!P496*원본데이터_리씽크!Q496*F1400</f>
        <v>0</v>
      </c>
    </row>
    <row r="1401" spans="1:12" x14ac:dyDescent="0.3">
      <c r="A1401" t="s">
        <v>196</v>
      </c>
      <c r="B1401" t="str">
        <f>TEXT(원본데이터_리씽크!B497,"0")</f>
        <v>2026020619222430000</v>
      </c>
      <c r="C1401" t="str">
        <f>IF(원본데이터_리씽크!A497="","",TEXT(원본데이터_리씽크!A497,"YYYY-MM-DD"))</f>
        <v>2026-02-06</v>
      </c>
      <c r="D1401">
        <f>원본데이터_리씽크!S497</f>
        <v>143790</v>
      </c>
      <c r="E1401" t="str">
        <f>IFERROR(VLOOKUP(원본데이터_리씽크!S497,채널매핑!$B:$D,3,0),"미매핑")</f>
        <v>SKU001</v>
      </c>
      <c r="F1401">
        <f>IFERROR(VLOOKUP(원본데이터_리씽크!S497,채널매핑!$B:$E,4,0),1)</f>
        <v>4</v>
      </c>
      <c r="G1401">
        <f>원본데이터_리씽크!P497</f>
        <v>1</v>
      </c>
      <c r="H1401">
        <f>원본데이터_리씽크!O497</f>
        <v>45500</v>
      </c>
      <c r="I1401">
        <f>원본데이터_리씽크!X497</f>
        <v>45500</v>
      </c>
      <c r="J1401">
        <f>원본데이터_리씽크!X497</f>
        <v>45500</v>
      </c>
      <c r="K1401" t="str">
        <f>IFERROR(VLOOKUP(E1401,제품마스터!$A:$B,2,0),0)</f>
        <v>[워커힐] 시그니처 양념갈비 300G</v>
      </c>
      <c r="L1401">
        <f>원본데이터_리씽크!P497*원본데이터_리씽크!Q497*F1401</f>
        <v>0</v>
      </c>
    </row>
    <row r="1402" spans="1:12" x14ac:dyDescent="0.3">
      <c r="A1402" t="s">
        <v>196</v>
      </c>
      <c r="B1402" t="str">
        <f>TEXT(원본데이터_리씽크!B498,"0")</f>
        <v>2026020619193990000</v>
      </c>
      <c r="C1402" t="str">
        <f>IF(원본데이터_리씽크!A498="","",TEXT(원본데이터_리씽크!A498,"YYYY-MM-DD"))</f>
        <v>2026-02-06</v>
      </c>
      <c r="D1402">
        <f>원본데이터_리씽크!S498</f>
        <v>143790</v>
      </c>
      <c r="E1402" t="str">
        <f>IFERROR(VLOOKUP(원본데이터_리씽크!S498,채널매핑!$B:$D,3,0),"미매핑")</f>
        <v>SKU001</v>
      </c>
      <c r="F1402">
        <f>IFERROR(VLOOKUP(원본데이터_리씽크!S498,채널매핑!$B:$E,4,0),1)</f>
        <v>4</v>
      </c>
      <c r="G1402">
        <f>원본데이터_리씽크!P498</f>
        <v>1</v>
      </c>
      <c r="H1402">
        <f>원본데이터_리씽크!O498</f>
        <v>45500</v>
      </c>
      <c r="I1402">
        <f>원본데이터_리씽크!X498</f>
        <v>45500</v>
      </c>
      <c r="J1402">
        <f>원본데이터_리씽크!X498</f>
        <v>45500</v>
      </c>
      <c r="K1402" t="str">
        <f>IFERROR(VLOOKUP(E1402,제품마스터!$A:$B,2,0),0)</f>
        <v>[워커힐] 시그니처 양념갈비 300G</v>
      </c>
      <c r="L1402">
        <f>원본데이터_리씽크!P498*원본데이터_리씽크!Q498*F1402</f>
        <v>0</v>
      </c>
    </row>
    <row r="1403" spans="1:12" x14ac:dyDescent="0.3">
      <c r="A1403" t="s">
        <v>196</v>
      </c>
      <c r="B1403" t="str">
        <f>TEXT(원본데이터_리씽크!B499,"0")</f>
        <v>2026020619190060000</v>
      </c>
      <c r="C1403" t="str">
        <f>IF(원본데이터_리씽크!A499="","",TEXT(원본데이터_리씽크!A499,"YYYY-MM-DD"))</f>
        <v>2026-02-06</v>
      </c>
      <c r="D1403">
        <f>원본데이터_리씽크!S499</f>
        <v>143790</v>
      </c>
      <c r="E1403" t="str">
        <f>IFERROR(VLOOKUP(원본데이터_리씽크!S499,채널매핑!$B:$D,3,0),"미매핑")</f>
        <v>SKU001</v>
      </c>
      <c r="F1403">
        <f>IFERROR(VLOOKUP(원본데이터_리씽크!S499,채널매핑!$B:$E,4,0),1)</f>
        <v>4</v>
      </c>
      <c r="G1403">
        <f>원본데이터_리씽크!P499</f>
        <v>1</v>
      </c>
      <c r="H1403">
        <f>원본데이터_리씽크!O499</f>
        <v>45500</v>
      </c>
      <c r="I1403">
        <f>원본데이터_리씽크!X499</f>
        <v>45500</v>
      </c>
      <c r="J1403">
        <f>원본데이터_리씽크!X499</f>
        <v>45500</v>
      </c>
      <c r="K1403" t="str">
        <f>IFERROR(VLOOKUP(E1403,제품마스터!$A:$B,2,0),0)</f>
        <v>[워커힐] 시그니처 양념갈비 300G</v>
      </c>
      <c r="L1403">
        <f>원본데이터_리씽크!P499*원본데이터_리씽크!Q499*F1403</f>
        <v>0</v>
      </c>
    </row>
    <row r="1404" spans="1:12" x14ac:dyDescent="0.3">
      <c r="A1404" t="s">
        <v>196</v>
      </c>
      <c r="B1404" t="str">
        <f>TEXT(원본데이터_리씽크!B500,"0")</f>
        <v>2026020619184740000</v>
      </c>
      <c r="C1404" t="str">
        <f>IF(원본데이터_리씽크!A500="","",TEXT(원본데이터_리씽크!A500,"YYYY-MM-DD"))</f>
        <v>2026-02-06</v>
      </c>
      <c r="D1404">
        <f>원본데이터_리씽크!S500</f>
        <v>143790</v>
      </c>
      <c r="E1404" t="str">
        <f>IFERROR(VLOOKUP(원본데이터_리씽크!S500,채널매핑!$B:$D,3,0),"미매핑")</f>
        <v>SKU001</v>
      </c>
      <c r="F1404">
        <f>IFERROR(VLOOKUP(원본데이터_리씽크!S500,채널매핑!$B:$E,4,0),1)</f>
        <v>4</v>
      </c>
      <c r="G1404">
        <f>원본데이터_리씽크!P500</f>
        <v>1</v>
      </c>
      <c r="H1404">
        <f>원본데이터_리씽크!O500</f>
        <v>45500</v>
      </c>
      <c r="I1404">
        <f>원본데이터_리씽크!X500</f>
        <v>45500</v>
      </c>
      <c r="J1404">
        <f>원본데이터_리씽크!X500</f>
        <v>45500</v>
      </c>
      <c r="K1404" t="str">
        <f>IFERROR(VLOOKUP(E1404,제품마스터!$A:$B,2,0),0)</f>
        <v>[워커힐] 시그니처 양념갈비 300G</v>
      </c>
      <c r="L1404">
        <f>원본데이터_리씽크!P500*원본데이터_리씽크!Q500*F1404</f>
        <v>0</v>
      </c>
    </row>
    <row r="1405" spans="1:12" x14ac:dyDescent="0.3">
      <c r="A1405" t="s">
        <v>196</v>
      </c>
      <c r="B1405" t="str">
        <f>TEXT(원본데이터_리씽크!B501,"0")</f>
        <v>2026020619170620000</v>
      </c>
      <c r="C1405" t="str">
        <f>IF(원본데이터_리씽크!A501="","",TEXT(원본데이터_리씽크!A501,"YYYY-MM-DD"))</f>
        <v>2026-02-06</v>
      </c>
      <c r="D1405">
        <f>원본데이터_리씽크!S501</f>
        <v>143790</v>
      </c>
      <c r="E1405" t="str">
        <f>IFERROR(VLOOKUP(원본데이터_리씽크!S501,채널매핑!$B:$D,3,0),"미매핑")</f>
        <v>SKU001</v>
      </c>
      <c r="F1405">
        <f>IFERROR(VLOOKUP(원본데이터_리씽크!S501,채널매핑!$B:$E,4,0),1)</f>
        <v>4</v>
      </c>
      <c r="G1405">
        <f>원본데이터_리씽크!P501</f>
        <v>1</v>
      </c>
      <c r="H1405">
        <f>원본데이터_리씽크!O501</f>
        <v>45500</v>
      </c>
      <c r="I1405">
        <f>원본데이터_리씽크!X501</f>
        <v>45500</v>
      </c>
      <c r="J1405">
        <f>원본데이터_리씽크!X501</f>
        <v>45500</v>
      </c>
      <c r="K1405" t="str">
        <f>IFERROR(VLOOKUP(E1405,제품마스터!$A:$B,2,0),0)</f>
        <v>[워커힐] 시그니처 양념갈비 300G</v>
      </c>
      <c r="L1405">
        <f>원본데이터_리씽크!P501*원본데이터_리씽크!Q501*F1405</f>
        <v>0</v>
      </c>
    </row>
    <row r="1406" spans="1:12" x14ac:dyDescent="0.3">
      <c r="A1406" t="s">
        <v>196</v>
      </c>
      <c r="B1406" t="str">
        <f>TEXT(원본데이터_리씽크!B502,"0")</f>
        <v>2026020619170680000</v>
      </c>
      <c r="C1406" t="str">
        <f>IF(원본데이터_리씽크!A502="","",TEXT(원본데이터_리씽크!A502,"YYYY-MM-DD"))</f>
        <v>2026-02-06</v>
      </c>
      <c r="D1406">
        <f>원본데이터_리씽크!S502</f>
        <v>143790</v>
      </c>
      <c r="E1406" t="str">
        <f>IFERROR(VLOOKUP(원본데이터_리씽크!S502,채널매핑!$B:$D,3,0),"미매핑")</f>
        <v>SKU001</v>
      </c>
      <c r="F1406">
        <f>IFERROR(VLOOKUP(원본데이터_리씽크!S502,채널매핑!$B:$E,4,0),1)</f>
        <v>4</v>
      </c>
      <c r="G1406">
        <f>원본데이터_리씽크!P502</f>
        <v>1</v>
      </c>
      <c r="H1406">
        <f>원본데이터_리씽크!O502</f>
        <v>45500</v>
      </c>
      <c r="I1406">
        <f>원본데이터_리씽크!X502</f>
        <v>45500</v>
      </c>
      <c r="J1406">
        <f>원본데이터_리씽크!X502</f>
        <v>45500</v>
      </c>
      <c r="K1406" t="str">
        <f>IFERROR(VLOOKUP(E1406,제품마스터!$A:$B,2,0),0)</f>
        <v>[워커힐] 시그니처 양념갈비 300G</v>
      </c>
      <c r="L1406">
        <f>원본데이터_리씽크!P502*원본데이터_리씽크!Q502*F1406</f>
        <v>0</v>
      </c>
    </row>
    <row r="1407" spans="1:12" x14ac:dyDescent="0.3">
      <c r="A1407" t="s">
        <v>196</v>
      </c>
      <c r="B1407" t="str">
        <f>TEXT(원본데이터_리씽크!B503,"0")</f>
        <v>2026020619142650000</v>
      </c>
      <c r="C1407" t="str">
        <f>IF(원본데이터_리씽크!A503="","",TEXT(원본데이터_리씽크!A503,"YYYY-MM-DD"))</f>
        <v>2026-02-06</v>
      </c>
      <c r="D1407">
        <f>원본데이터_리씽크!S503</f>
        <v>143790</v>
      </c>
      <c r="E1407" t="str">
        <f>IFERROR(VLOOKUP(원본데이터_리씽크!S503,채널매핑!$B:$D,3,0),"미매핑")</f>
        <v>SKU001</v>
      </c>
      <c r="F1407">
        <f>IFERROR(VLOOKUP(원본데이터_리씽크!S503,채널매핑!$B:$E,4,0),1)</f>
        <v>4</v>
      </c>
      <c r="G1407">
        <f>원본데이터_리씽크!P503</f>
        <v>1</v>
      </c>
      <c r="H1407">
        <f>원본데이터_리씽크!O503</f>
        <v>45500</v>
      </c>
      <c r="I1407">
        <f>원본데이터_리씽크!X503</f>
        <v>45500</v>
      </c>
      <c r="J1407">
        <f>원본데이터_리씽크!X503</f>
        <v>45500</v>
      </c>
      <c r="K1407" t="str">
        <f>IFERROR(VLOOKUP(E1407,제품마스터!$A:$B,2,0),0)</f>
        <v>[워커힐] 시그니처 양념갈비 300G</v>
      </c>
      <c r="L1407">
        <f>원본데이터_리씽크!P503*원본데이터_리씽크!Q503*F1407</f>
        <v>0</v>
      </c>
    </row>
    <row r="1408" spans="1:12" x14ac:dyDescent="0.3">
      <c r="A1408" t="s">
        <v>196</v>
      </c>
      <c r="B1408" t="str">
        <f>TEXT(원본데이터_리씽크!B504,"0")</f>
        <v>2026020619144020000</v>
      </c>
      <c r="C1408" t="str">
        <f>IF(원본데이터_리씽크!A504="","",TEXT(원본데이터_리씽크!A504,"YYYY-MM-DD"))</f>
        <v>2026-02-06</v>
      </c>
      <c r="D1408">
        <f>원본데이터_리씽크!S504</f>
        <v>143790</v>
      </c>
      <c r="E1408" t="str">
        <f>IFERROR(VLOOKUP(원본데이터_리씽크!S504,채널매핑!$B:$D,3,0),"미매핑")</f>
        <v>SKU001</v>
      </c>
      <c r="F1408">
        <f>IFERROR(VLOOKUP(원본데이터_리씽크!S504,채널매핑!$B:$E,4,0),1)</f>
        <v>4</v>
      </c>
      <c r="G1408">
        <f>원본데이터_리씽크!P504</f>
        <v>1</v>
      </c>
      <c r="H1408">
        <f>원본데이터_리씽크!O504</f>
        <v>45500</v>
      </c>
      <c r="I1408">
        <f>원본데이터_리씽크!X504</f>
        <v>45500</v>
      </c>
      <c r="J1408">
        <f>원본데이터_리씽크!X504</f>
        <v>45500</v>
      </c>
      <c r="K1408" t="str">
        <f>IFERROR(VLOOKUP(E1408,제품마스터!$A:$B,2,0),0)</f>
        <v>[워커힐] 시그니처 양념갈비 300G</v>
      </c>
      <c r="L1408">
        <f>원본데이터_리씽크!P504*원본데이터_리씽크!Q504*F1408</f>
        <v>0</v>
      </c>
    </row>
    <row r="1409" spans="1:12" x14ac:dyDescent="0.3">
      <c r="A1409" t="s">
        <v>196</v>
      </c>
      <c r="B1409" t="str">
        <f>TEXT(원본데이터_리씽크!B505,"0")</f>
        <v>2026020619122480000</v>
      </c>
      <c r="C1409" t="str">
        <f>IF(원본데이터_리씽크!A505="","",TEXT(원본데이터_리씽크!A505,"YYYY-MM-DD"))</f>
        <v>2026-02-06</v>
      </c>
      <c r="D1409">
        <f>원본데이터_리씽크!S505</f>
        <v>143790</v>
      </c>
      <c r="E1409" t="str">
        <f>IFERROR(VLOOKUP(원본데이터_리씽크!S505,채널매핑!$B:$D,3,0),"미매핑")</f>
        <v>SKU001</v>
      </c>
      <c r="F1409">
        <f>IFERROR(VLOOKUP(원본데이터_리씽크!S505,채널매핑!$B:$E,4,0),1)</f>
        <v>4</v>
      </c>
      <c r="G1409">
        <f>원본데이터_리씽크!P505</f>
        <v>1</v>
      </c>
      <c r="H1409">
        <f>원본데이터_리씽크!O505</f>
        <v>45500</v>
      </c>
      <c r="I1409">
        <f>원본데이터_리씽크!X505</f>
        <v>45500</v>
      </c>
      <c r="J1409">
        <f>원본데이터_리씽크!X505</f>
        <v>45500</v>
      </c>
      <c r="K1409" t="str">
        <f>IFERROR(VLOOKUP(E1409,제품마스터!$A:$B,2,0),0)</f>
        <v>[워커힐] 시그니처 양념갈비 300G</v>
      </c>
      <c r="L1409">
        <f>원본데이터_리씽크!P505*원본데이터_리씽크!Q505*F1409</f>
        <v>0</v>
      </c>
    </row>
    <row r="1410" spans="1:12" x14ac:dyDescent="0.3">
      <c r="A1410" t="s">
        <v>196</v>
      </c>
      <c r="B1410" t="str">
        <f>TEXT(원본데이터_리씽크!B506,"0")</f>
        <v>2026020619131460000</v>
      </c>
      <c r="C1410" t="str">
        <f>IF(원본데이터_리씽크!A506="","",TEXT(원본데이터_리씽크!A506,"YYYY-MM-DD"))</f>
        <v>2026-02-06</v>
      </c>
      <c r="D1410">
        <f>원본데이터_리씽크!S506</f>
        <v>143790</v>
      </c>
      <c r="E1410" t="str">
        <f>IFERROR(VLOOKUP(원본데이터_리씽크!S506,채널매핑!$B:$D,3,0),"미매핑")</f>
        <v>SKU001</v>
      </c>
      <c r="F1410">
        <f>IFERROR(VLOOKUP(원본데이터_리씽크!S506,채널매핑!$B:$E,4,0),1)</f>
        <v>4</v>
      </c>
      <c r="G1410">
        <f>원본데이터_리씽크!P506</f>
        <v>2</v>
      </c>
      <c r="H1410">
        <f>원본데이터_리씽크!O506</f>
        <v>45500</v>
      </c>
      <c r="I1410">
        <f>원본데이터_리씽크!X506</f>
        <v>91000</v>
      </c>
      <c r="J1410">
        <f>원본데이터_리씽크!X506</f>
        <v>91000</v>
      </c>
      <c r="K1410" t="str">
        <f>IFERROR(VLOOKUP(E1410,제품마스터!$A:$B,2,0),0)</f>
        <v>[워커힐] 시그니처 양념갈비 300G</v>
      </c>
      <c r="L1410">
        <f>원본데이터_리씽크!P506*원본데이터_리씽크!Q506*F1410</f>
        <v>0</v>
      </c>
    </row>
    <row r="1411" spans="1:12" x14ac:dyDescent="0.3">
      <c r="A1411" t="s">
        <v>196</v>
      </c>
      <c r="B1411" t="str">
        <f>TEXT(원본데이터_리씽크!B507,"0")</f>
        <v>2026020619124630000</v>
      </c>
      <c r="C1411" t="str">
        <f>IF(원본데이터_리씽크!A507="","",TEXT(원본데이터_리씽크!A507,"YYYY-MM-DD"))</f>
        <v>2026-02-06</v>
      </c>
      <c r="D1411">
        <f>원본데이터_리씽크!S507</f>
        <v>143790</v>
      </c>
      <c r="E1411" t="str">
        <f>IFERROR(VLOOKUP(원본데이터_리씽크!S507,채널매핑!$B:$D,3,0),"미매핑")</f>
        <v>SKU001</v>
      </c>
      <c r="F1411">
        <f>IFERROR(VLOOKUP(원본데이터_리씽크!S507,채널매핑!$B:$E,4,0),1)</f>
        <v>4</v>
      </c>
      <c r="G1411">
        <f>원본데이터_리씽크!P507</f>
        <v>1</v>
      </c>
      <c r="H1411">
        <f>원본데이터_리씽크!O507</f>
        <v>45500</v>
      </c>
      <c r="I1411">
        <f>원본데이터_리씽크!X507</f>
        <v>45500</v>
      </c>
      <c r="J1411">
        <f>원본데이터_리씽크!X507</f>
        <v>45500</v>
      </c>
      <c r="K1411" t="str">
        <f>IFERROR(VLOOKUP(E1411,제품마스터!$A:$B,2,0),0)</f>
        <v>[워커힐] 시그니처 양념갈비 300G</v>
      </c>
      <c r="L1411">
        <f>원본데이터_리씽크!P507*원본데이터_리씽크!Q507*F1411</f>
        <v>0</v>
      </c>
    </row>
    <row r="1412" spans="1:12" x14ac:dyDescent="0.3">
      <c r="A1412" t="s">
        <v>196</v>
      </c>
      <c r="B1412" t="str">
        <f>TEXT(원본데이터_리씽크!B508,"0")</f>
        <v>2026020619132190000</v>
      </c>
      <c r="C1412" t="str">
        <f>IF(원본데이터_리씽크!A508="","",TEXT(원본데이터_리씽크!A508,"YYYY-MM-DD"))</f>
        <v>2026-02-06</v>
      </c>
      <c r="D1412">
        <f>원본데이터_리씽크!S508</f>
        <v>143790</v>
      </c>
      <c r="E1412" t="str">
        <f>IFERROR(VLOOKUP(원본데이터_리씽크!S508,채널매핑!$B:$D,3,0),"미매핑")</f>
        <v>SKU001</v>
      </c>
      <c r="F1412">
        <f>IFERROR(VLOOKUP(원본데이터_리씽크!S508,채널매핑!$B:$E,4,0),1)</f>
        <v>4</v>
      </c>
      <c r="G1412">
        <f>원본데이터_리씽크!P508</f>
        <v>1</v>
      </c>
      <c r="H1412">
        <f>원본데이터_리씽크!O508</f>
        <v>45500</v>
      </c>
      <c r="I1412">
        <f>원본데이터_리씽크!X508</f>
        <v>45500</v>
      </c>
      <c r="J1412">
        <f>원본데이터_리씽크!X508</f>
        <v>45500</v>
      </c>
      <c r="K1412" t="str">
        <f>IFERROR(VLOOKUP(E1412,제품마스터!$A:$B,2,0),0)</f>
        <v>[워커힐] 시그니처 양념갈비 300G</v>
      </c>
      <c r="L1412">
        <f>원본데이터_리씽크!P508*원본데이터_리씽크!Q508*F1412</f>
        <v>0</v>
      </c>
    </row>
    <row r="1413" spans="1:12" x14ac:dyDescent="0.3">
      <c r="A1413" t="s">
        <v>196</v>
      </c>
      <c r="B1413" t="str">
        <f>TEXT(원본데이터_리씽크!B509,"0")</f>
        <v>2026020619123230000</v>
      </c>
      <c r="C1413" t="str">
        <f>IF(원본데이터_리씽크!A509="","",TEXT(원본데이터_리씽크!A509,"YYYY-MM-DD"))</f>
        <v>2026-02-06</v>
      </c>
      <c r="D1413">
        <f>원본데이터_리씽크!S509</f>
        <v>143790</v>
      </c>
      <c r="E1413" t="str">
        <f>IFERROR(VLOOKUP(원본데이터_리씽크!S509,채널매핑!$B:$D,3,0),"미매핑")</f>
        <v>SKU001</v>
      </c>
      <c r="F1413">
        <f>IFERROR(VLOOKUP(원본데이터_리씽크!S509,채널매핑!$B:$E,4,0),1)</f>
        <v>4</v>
      </c>
      <c r="G1413">
        <f>원본데이터_리씽크!P509</f>
        <v>1</v>
      </c>
      <c r="H1413">
        <f>원본데이터_리씽크!O509</f>
        <v>45500</v>
      </c>
      <c r="I1413">
        <f>원본데이터_리씽크!X509</f>
        <v>45500</v>
      </c>
      <c r="J1413">
        <f>원본데이터_리씽크!X509</f>
        <v>45500</v>
      </c>
      <c r="K1413" t="str">
        <f>IFERROR(VLOOKUP(E1413,제품마스터!$A:$B,2,0),0)</f>
        <v>[워커힐] 시그니처 양념갈비 300G</v>
      </c>
      <c r="L1413">
        <f>원본데이터_리씽크!P509*원본데이터_리씽크!Q509*F1413</f>
        <v>0</v>
      </c>
    </row>
    <row r="1414" spans="1:12" x14ac:dyDescent="0.3">
      <c r="A1414" t="s">
        <v>196</v>
      </c>
      <c r="B1414" t="str">
        <f>TEXT(원본데이터_리씽크!B510,"0")</f>
        <v>2026020616360700000</v>
      </c>
      <c r="C1414" t="str">
        <f>IF(원본데이터_리씽크!A510="","",TEXT(원본데이터_리씽크!A510,"YYYY-MM-DD"))</f>
        <v>2026-02-06</v>
      </c>
      <c r="D1414">
        <f>원본데이터_리씽크!S510</f>
        <v>143790</v>
      </c>
      <c r="E1414" t="str">
        <f>IFERROR(VLOOKUP(원본데이터_리씽크!S510,채널매핑!$B:$D,3,0),"미매핑")</f>
        <v>SKU001</v>
      </c>
      <c r="F1414">
        <f>IFERROR(VLOOKUP(원본데이터_리씽크!S510,채널매핑!$B:$E,4,0),1)</f>
        <v>4</v>
      </c>
      <c r="G1414">
        <f>원본데이터_리씽크!P510</f>
        <v>1</v>
      </c>
      <c r="H1414">
        <f>원본데이터_리씽크!O510</f>
        <v>45500</v>
      </c>
      <c r="I1414">
        <f>원본데이터_리씽크!X510</f>
        <v>45500</v>
      </c>
      <c r="J1414">
        <f>원본데이터_리씽크!X510</f>
        <v>45500</v>
      </c>
      <c r="K1414" t="str">
        <f>IFERROR(VLOOKUP(E1414,제품마스터!$A:$B,2,0),0)</f>
        <v>[워커힐] 시그니처 양념갈비 300G</v>
      </c>
      <c r="L1414">
        <f>원본데이터_리씽크!P510*원본데이터_리씽크!Q510*F1414</f>
        <v>0</v>
      </c>
    </row>
    <row r="1415" spans="1:12" x14ac:dyDescent="0.3">
      <c r="A1415" t="s">
        <v>196</v>
      </c>
      <c r="B1415" t="str">
        <f>TEXT(원본데이터_리씽크!B511,"0")</f>
        <v>2026020616311100000</v>
      </c>
      <c r="C1415" t="str">
        <f>IF(원본데이터_리씽크!A511="","",TEXT(원본데이터_리씽크!A511,"YYYY-MM-DD"))</f>
        <v>2026-02-06</v>
      </c>
      <c r="D1415">
        <f>원본데이터_리씽크!S511</f>
        <v>143790</v>
      </c>
      <c r="E1415" t="str">
        <f>IFERROR(VLOOKUP(원본데이터_리씽크!S511,채널매핑!$B:$D,3,0),"미매핑")</f>
        <v>SKU001</v>
      </c>
      <c r="F1415">
        <f>IFERROR(VLOOKUP(원본데이터_리씽크!S511,채널매핑!$B:$E,4,0),1)</f>
        <v>4</v>
      </c>
      <c r="G1415">
        <f>원본데이터_리씽크!P511</f>
        <v>1</v>
      </c>
      <c r="H1415">
        <f>원본데이터_리씽크!O511</f>
        <v>45500</v>
      </c>
      <c r="I1415">
        <f>원본데이터_리씽크!X511</f>
        <v>45500</v>
      </c>
      <c r="J1415">
        <f>원본데이터_리씽크!X511</f>
        <v>45500</v>
      </c>
      <c r="K1415" t="str">
        <f>IFERROR(VLOOKUP(E1415,제품마스터!$A:$B,2,0),0)</f>
        <v>[워커힐] 시그니처 양념갈비 300G</v>
      </c>
      <c r="L1415">
        <f>원본데이터_리씽크!P511*원본데이터_리씽크!Q511*F1415</f>
        <v>0</v>
      </c>
    </row>
    <row r="1416" spans="1:12" x14ac:dyDescent="0.3">
      <c r="A1416" t="s">
        <v>196</v>
      </c>
      <c r="B1416" t="str">
        <f>TEXT(원본데이터_리씽크!B512,"0")</f>
        <v>2026020616221860000</v>
      </c>
      <c r="C1416" t="str">
        <f>IF(원본데이터_리씽크!A512="","",TEXT(원본데이터_리씽크!A512,"YYYY-MM-DD"))</f>
        <v>2026-02-06</v>
      </c>
      <c r="D1416">
        <f>원본데이터_리씽크!S512</f>
        <v>143790</v>
      </c>
      <c r="E1416" t="str">
        <f>IFERROR(VLOOKUP(원본데이터_리씽크!S512,채널매핑!$B:$D,3,0),"미매핑")</f>
        <v>SKU001</v>
      </c>
      <c r="F1416">
        <f>IFERROR(VLOOKUP(원본데이터_리씽크!S512,채널매핑!$B:$E,4,0),1)</f>
        <v>4</v>
      </c>
      <c r="G1416">
        <f>원본데이터_리씽크!P512</f>
        <v>1</v>
      </c>
      <c r="H1416">
        <f>원본데이터_리씽크!O512</f>
        <v>45500</v>
      </c>
      <c r="I1416">
        <f>원본데이터_리씽크!X512</f>
        <v>45500</v>
      </c>
      <c r="J1416">
        <f>원본데이터_리씽크!X512</f>
        <v>45500</v>
      </c>
      <c r="K1416" t="str">
        <f>IFERROR(VLOOKUP(E1416,제품마스터!$A:$B,2,0),0)</f>
        <v>[워커힐] 시그니처 양념갈비 300G</v>
      </c>
      <c r="L1416">
        <f>원본데이터_리씽크!P512*원본데이터_리씽크!Q512*F1416</f>
        <v>0</v>
      </c>
    </row>
    <row r="1417" spans="1:12" x14ac:dyDescent="0.3">
      <c r="A1417" t="s">
        <v>196</v>
      </c>
      <c r="B1417" t="str">
        <f>TEXT(원본데이터_리씽크!B513,"0")</f>
        <v>2026020616165720000</v>
      </c>
      <c r="C1417" t="str">
        <f>IF(원본데이터_리씽크!A513="","",TEXT(원본데이터_리씽크!A513,"YYYY-MM-DD"))</f>
        <v>2026-02-06</v>
      </c>
      <c r="D1417">
        <f>원본데이터_리씽크!S513</f>
        <v>143790</v>
      </c>
      <c r="E1417" t="str">
        <f>IFERROR(VLOOKUP(원본데이터_리씽크!S513,채널매핑!$B:$D,3,0),"미매핑")</f>
        <v>SKU001</v>
      </c>
      <c r="F1417">
        <f>IFERROR(VLOOKUP(원본데이터_리씽크!S513,채널매핑!$B:$E,4,0),1)</f>
        <v>4</v>
      </c>
      <c r="G1417">
        <f>원본데이터_리씽크!P513</f>
        <v>1</v>
      </c>
      <c r="H1417">
        <f>원본데이터_리씽크!O513</f>
        <v>45500</v>
      </c>
      <c r="I1417">
        <f>원본데이터_리씽크!X513</f>
        <v>45500</v>
      </c>
      <c r="J1417">
        <f>원본데이터_리씽크!X513</f>
        <v>45500</v>
      </c>
      <c r="K1417" t="str">
        <f>IFERROR(VLOOKUP(E1417,제품마스터!$A:$B,2,0),0)</f>
        <v>[워커힐] 시그니처 양념갈비 300G</v>
      </c>
      <c r="L1417">
        <f>원본데이터_리씽크!P513*원본데이터_리씽크!Q513*F1417</f>
        <v>0</v>
      </c>
    </row>
    <row r="1418" spans="1:12" x14ac:dyDescent="0.3">
      <c r="A1418" t="s">
        <v>196</v>
      </c>
      <c r="B1418" t="str">
        <f>TEXT(원본데이터_리씽크!B514,"0")</f>
        <v>2026020615365690000</v>
      </c>
      <c r="C1418" t="str">
        <f>IF(원본데이터_리씽크!A514="","",TEXT(원본데이터_리씽크!A514,"YYYY-MM-DD"))</f>
        <v>2026-02-06</v>
      </c>
      <c r="D1418">
        <f>원본데이터_리씽크!S514</f>
        <v>143790</v>
      </c>
      <c r="E1418" t="str">
        <f>IFERROR(VLOOKUP(원본데이터_리씽크!S514,채널매핑!$B:$D,3,0),"미매핑")</f>
        <v>SKU001</v>
      </c>
      <c r="F1418">
        <f>IFERROR(VLOOKUP(원본데이터_리씽크!S514,채널매핑!$B:$E,4,0),1)</f>
        <v>4</v>
      </c>
      <c r="G1418">
        <f>원본데이터_리씽크!P514</f>
        <v>1</v>
      </c>
      <c r="H1418">
        <f>원본데이터_리씽크!O514</f>
        <v>45500</v>
      </c>
      <c r="I1418">
        <f>원본데이터_리씽크!X514</f>
        <v>45500</v>
      </c>
      <c r="J1418">
        <f>원본데이터_리씽크!X514</f>
        <v>45500</v>
      </c>
      <c r="K1418" t="str">
        <f>IFERROR(VLOOKUP(E1418,제품마스터!$A:$B,2,0),0)</f>
        <v>[워커힐] 시그니처 양념갈비 300G</v>
      </c>
      <c r="L1418">
        <f>원본데이터_리씽크!P514*원본데이터_리씽크!Q514*F1418</f>
        <v>0</v>
      </c>
    </row>
    <row r="1419" spans="1:12" x14ac:dyDescent="0.3">
      <c r="A1419" t="s">
        <v>196</v>
      </c>
      <c r="B1419" t="str">
        <f>TEXT(원본데이터_리씽크!B515,"0")</f>
        <v>2026020615282750000</v>
      </c>
      <c r="C1419" t="str">
        <f>IF(원본데이터_리씽크!A515="","",TEXT(원본데이터_리씽크!A515,"YYYY-MM-DD"))</f>
        <v>2026-02-06</v>
      </c>
      <c r="D1419">
        <f>원본데이터_리씽크!S515</f>
        <v>143790</v>
      </c>
      <c r="E1419" t="str">
        <f>IFERROR(VLOOKUP(원본데이터_리씽크!S515,채널매핑!$B:$D,3,0),"미매핑")</f>
        <v>SKU001</v>
      </c>
      <c r="F1419">
        <f>IFERROR(VLOOKUP(원본데이터_리씽크!S515,채널매핑!$B:$E,4,0),1)</f>
        <v>4</v>
      </c>
      <c r="G1419">
        <f>원본데이터_리씽크!P515</f>
        <v>1</v>
      </c>
      <c r="H1419">
        <f>원본데이터_리씽크!O515</f>
        <v>45500</v>
      </c>
      <c r="I1419">
        <f>원본데이터_리씽크!X515</f>
        <v>45500</v>
      </c>
      <c r="J1419">
        <f>원본데이터_리씽크!X515</f>
        <v>45500</v>
      </c>
      <c r="K1419" t="str">
        <f>IFERROR(VLOOKUP(E1419,제품마스터!$A:$B,2,0),0)</f>
        <v>[워커힐] 시그니처 양념갈비 300G</v>
      </c>
      <c r="L1419">
        <f>원본데이터_리씽크!P515*원본데이터_리씽크!Q515*F1419</f>
        <v>0</v>
      </c>
    </row>
    <row r="1420" spans="1:12" x14ac:dyDescent="0.3">
      <c r="A1420" t="s">
        <v>196</v>
      </c>
      <c r="B1420" t="str">
        <f>TEXT(원본데이터_리씽크!B516,"0")</f>
        <v>2026020615274250000</v>
      </c>
      <c r="C1420" t="str">
        <f>IF(원본데이터_리씽크!A516="","",TEXT(원본데이터_리씽크!A516,"YYYY-MM-DD"))</f>
        <v>2026-02-06</v>
      </c>
      <c r="D1420">
        <f>원본데이터_리씽크!S516</f>
        <v>143790</v>
      </c>
      <c r="E1420" t="str">
        <f>IFERROR(VLOOKUP(원본데이터_리씽크!S516,채널매핑!$B:$D,3,0),"미매핑")</f>
        <v>SKU001</v>
      </c>
      <c r="F1420">
        <f>IFERROR(VLOOKUP(원본데이터_리씽크!S516,채널매핑!$B:$E,4,0),1)</f>
        <v>4</v>
      </c>
      <c r="G1420">
        <f>원본데이터_리씽크!P516</f>
        <v>1</v>
      </c>
      <c r="H1420">
        <f>원본데이터_리씽크!O516</f>
        <v>45500</v>
      </c>
      <c r="I1420">
        <f>원본데이터_리씽크!X516</f>
        <v>45500</v>
      </c>
      <c r="J1420">
        <f>원본데이터_리씽크!X516</f>
        <v>45500</v>
      </c>
      <c r="K1420" t="str">
        <f>IFERROR(VLOOKUP(E1420,제품마스터!$A:$B,2,0),0)</f>
        <v>[워커힐] 시그니처 양념갈비 300G</v>
      </c>
      <c r="L1420">
        <f>원본데이터_리씽크!P516*원본데이터_리씽크!Q516*F1420</f>
        <v>0</v>
      </c>
    </row>
    <row r="1421" spans="1:12" x14ac:dyDescent="0.3">
      <c r="A1421" t="s">
        <v>196</v>
      </c>
      <c r="B1421" t="str">
        <f>TEXT(원본데이터_리씽크!B517,"0")</f>
        <v>2026020615204160000</v>
      </c>
      <c r="C1421" t="str">
        <f>IF(원본데이터_리씽크!A517="","",TEXT(원본데이터_리씽크!A517,"YYYY-MM-DD"))</f>
        <v>2026-02-06</v>
      </c>
      <c r="D1421">
        <f>원본데이터_리씽크!S517</f>
        <v>143790</v>
      </c>
      <c r="E1421" t="str">
        <f>IFERROR(VLOOKUP(원본데이터_리씽크!S517,채널매핑!$B:$D,3,0),"미매핑")</f>
        <v>SKU001</v>
      </c>
      <c r="F1421">
        <f>IFERROR(VLOOKUP(원본데이터_리씽크!S517,채널매핑!$B:$E,4,0),1)</f>
        <v>4</v>
      </c>
      <c r="G1421">
        <f>원본데이터_리씽크!P517</f>
        <v>1</v>
      </c>
      <c r="H1421">
        <f>원본데이터_리씽크!O517</f>
        <v>45500</v>
      </c>
      <c r="I1421">
        <f>원본데이터_리씽크!X517</f>
        <v>45500</v>
      </c>
      <c r="J1421">
        <f>원본데이터_리씽크!X517</f>
        <v>45500</v>
      </c>
      <c r="K1421" t="str">
        <f>IFERROR(VLOOKUP(E1421,제품마스터!$A:$B,2,0),0)</f>
        <v>[워커힐] 시그니처 양념갈비 300G</v>
      </c>
      <c r="L1421">
        <f>원본데이터_리씽크!P517*원본데이터_리씽크!Q517*F1421</f>
        <v>0</v>
      </c>
    </row>
    <row r="1422" spans="1:12" x14ac:dyDescent="0.3">
      <c r="A1422" t="s">
        <v>196</v>
      </c>
      <c r="B1422" t="str">
        <f>TEXT(원본데이터_리씽크!B518,"0")</f>
        <v>2026020615202340000</v>
      </c>
      <c r="C1422" t="str">
        <f>IF(원본데이터_리씽크!A518="","",TEXT(원본데이터_리씽크!A518,"YYYY-MM-DD"))</f>
        <v>2026-02-06</v>
      </c>
      <c r="D1422">
        <f>원본데이터_리씽크!S518</f>
        <v>143790</v>
      </c>
      <c r="E1422" t="str">
        <f>IFERROR(VLOOKUP(원본데이터_리씽크!S518,채널매핑!$B:$D,3,0),"미매핑")</f>
        <v>SKU001</v>
      </c>
      <c r="F1422">
        <f>IFERROR(VLOOKUP(원본데이터_리씽크!S518,채널매핑!$B:$E,4,0),1)</f>
        <v>4</v>
      </c>
      <c r="G1422">
        <f>원본데이터_리씽크!P518</f>
        <v>1</v>
      </c>
      <c r="H1422">
        <f>원본데이터_리씽크!O518</f>
        <v>45500</v>
      </c>
      <c r="I1422">
        <f>원본데이터_리씽크!X518</f>
        <v>45500</v>
      </c>
      <c r="J1422">
        <f>원본데이터_리씽크!X518</f>
        <v>45500</v>
      </c>
      <c r="K1422" t="str">
        <f>IFERROR(VLOOKUP(E1422,제품마스터!$A:$B,2,0),0)</f>
        <v>[워커힐] 시그니처 양념갈비 300G</v>
      </c>
      <c r="L1422">
        <f>원본데이터_리씽크!P518*원본데이터_리씽크!Q518*F1422</f>
        <v>0</v>
      </c>
    </row>
    <row r="1423" spans="1:12" x14ac:dyDescent="0.3">
      <c r="A1423" t="s">
        <v>196</v>
      </c>
      <c r="B1423" t="str">
        <f>TEXT(원본데이터_리씽크!B519,"0")</f>
        <v>2026020615170880000</v>
      </c>
      <c r="C1423" t="str">
        <f>IF(원본데이터_리씽크!A519="","",TEXT(원본데이터_리씽크!A519,"YYYY-MM-DD"))</f>
        <v>2026-02-06</v>
      </c>
      <c r="D1423">
        <f>원본데이터_리씽크!S519</f>
        <v>143790</v>
      </c>
      <c r="E1423" t="str">
        <f>IFERROR(VLOOKUP(원본데이터_리씽크!S519,채널매핑!$B:$D,3,0),"미매핑")</f>
        <v>SKU001</v>
      </c>
      <c r="F1423">
        <f>IFERROR(VLOOKUP(원본데이터_리씽크!S519,채널매핑!$B:$E,4,0),1)</f>
        <v>4</v>
      </c>
      <c r="G1423">
        <f>원본데이터_리씽크!P519</f>
        <v>1</v>
      </c>
      <c r="H1423">
        <f>원본데이터_리씽크!O519</f>
        <v>45500</v>
      </c>
      <c r="I1423">
        <f>원본데이터_리씽크!X519</f>
        <v>45500</v>
      </c>
      <c r="J1423">
        <f>원본데이터_리씽크!X519</f>
        <v>45500</v>
      </c>
      <c r="K1423" t="str">
        <f>IFERROR(VLOOKUP(E1423,제품마스터!$A:$B,2,0),0)</f>
        <v>[워커힐] 시그니처 양념갈비 300G</v>
      </c>
      <c r="L1423">
        <f>원본데이터_리씽크!P519*원본데이터_리씽크!Q519*F1423</f>
        <v>0</v>
      </c>
    </row>
    <row r="1424" spans="1:12" x14ac:dyDescent="0.3">
      <c r="A1424" t="s">
        <v>196</v>
      </c>
      <c r="B1424" t="str">
        <f>TEXT(원본데이터_리씽크!B520,"0")</f>
        <v>2026020615144620000</v>
      </c>
      <c r="C1424" t="str">
        <f>IF(원본데이터_리씽크!A520="","",TEXT(원본데이터_리씽크!A520,"YYYY-MM-DD"))</f>
        <v>2026-02-06</v>
      </c>
      <c r="D1424">
        <f>원본데이터_리씽크!S520</f>
        <v>143790</v>
      </c>
      <c r="E1424" t="str">
        <f>IFERROR(VLOOKUP(원본데이터_리씽크!S520,채널매핑!$B:$D,3,0),"미매핑")</f>
        <v>SKU001</v>
      </c>
      <c r="F1424">
        <f>IFERROR(VLOOKUP(원본데이터_리씽크!S520,채널매핑!$B:$E,4,0),1)</f>
        <v>4</v>
      </c>
      <c r="G1424">
        <f>원본데이터_리씽크!P520</f>
        <v>1</v>
      </c>
      <c r="H1424">
        <f>원본데이터_리씽크!O520</f>
        <v>45500</v>
      </c>
      <c r="I1424">
        <f>원본데이터_리씽크!X520</f>
        <v>45500</v>
      </c>
      <c r="J1424">
        <f>원본데이터_리씽크!X520</f>
        <v>45500</v>
      </c>
      <c r="K1424" t="str">
        <f>IFERROR(VLOOKUP(E1424,제품마스터!$A:$B,2,0),0)</f>
        <v>[워커힐] 시그니처 양념갈비 300G</v>
      </c>
      <c r="L1424">
        <f>원본데이터_리씽크!P520*원본데이터_리씽크!Q520*F1424</f>
        <v>0</v>
      </c>
    </row>
    <row r="1425" spans="1:12" x14ac:dyDescent="0.3">
      <c r="A1425" t="s">
        <v>196</v>
      </c>
      <c r="B1425" t="str">
        <f>TEXT(원본데이터_리씽크!B521,"0")</f>
        <v>2026020615104970000</v>
      </c>
      <c r="C1425" t="str">
        <f>IF(원본데이터_리씽크!A521="","",TEXT(원본데이터_리씽크!A521,"YYYY-MM-DD"))</f>
        <v>2026-02-06</v>
      </c>
      <c r="D1425">
        <f>원본데이터_리씽크!S521</f>
        <v>143790</v>
      </c>
      <c r="E1425" t="str">
        <f>IFERROR(VLOOKUP(원본데이터_리씽크!S521,채널매핑!$B:$D,3,0),"미매핑")</f>
        <v>SKU001</v>
      </c>
      <c r="F1425">
        <f>IFERROR(VLOOKUP(원본데이터_리씽크!S521,채널매핑!$B:$E,4,0),1)</f>
        <v>4</v>
      </c>
      <c r="G1425">
        <f>원본데이터_리씽크!P521</f>
        <v>1</v>
      </c>
      <c r="H1425">
        <f>원본데이터_리씽크!O521</f>
        <v>45500</v>
      </c>
      <c r="I1425">
        <f>원본데이터_리씽크!X521</f>
        <v>45500</v>
      </c>
      <c r="J1425">
        <f>원본데이터_리씽크!X521</f>
        <v>45500</v>
      </c>
      <c r="K1425" t="str">
        <f>IFERROR(VLOOKUP(E1425,제품마스터!$A:$B,2,0),0)</f>
        <v>[워커힐] 시그니처 양념갈비 300G</v>
      </c>
      <c r="L1425">
        <f>원본데이터_리씽크!P521*원본데이터_리씽크!Q521*F1425</f>
        <v>0</v>
      </c>
    </row>
    <row r="1426" spans="1:12" x14ac:dyDescent="0.3">
      <c r="A1426" t="s">
        <v>196</v>
      </c>
      <c r="B1426" t="str">
        <f>TEXT(원본데이터_리씽크!B522,"0")</f>
        <v>2026020614473520000</v>
      </c>
      <c r="C1426" t="str">
        <f>IF(원본데이터_리씽크!A522="","",TEXT(원본데이터_리씽크!A522,"YYYY-MM-DD"))</f>
        <v>2026-02-06</v>
      </c>
      <c r="D1426">
        <f>원본데이터_리씽크!S522</f>
        <v>143790</v>
      </c>
      <c r="E1426" t="str">
        <f>IFERROR(VLOOKUP(원본데이터_리씽크!S522,채널매핑!$B:$D,3,0),"미매핑")</f>
        <v>SKU001</v>
      </c>
      <c r="F1426">
        <f>IFERROR(VLOOKUP(원본데이터_리씽크!S522,채널매핑!$B:$E,4,0),1)</f>
        <v>4</v>
      </c>
      <c r="G1426">
        <f>원본데이터_리씽크!P522</f>
        <v>1</v>
      </c>
      <c r="H1426">
        <f>원본데이터_리씽크!O522</f>
        <v>45500</v>
      </c>
      <c r="I1426">
        <f>원본데이터_리씽크!X522</f>
        <v>45500</v>
      </c>
      <c r="J1426">
        <f>원본데이터_리씽크!X522</f>
        <v>45500</v>
      </c>
      <c r="K1426" t="str">
        <f>IFERROR(VLOOKUP(E1426,제품마스터!$A:$B,2,0),0)</f>
        <v>[워커힐] 시그니처 양념갈비 300G</v>
      </c>
      <c r="L1426">
        <f>원본데이터_리씽크!P522*원본데이터_리씽크!Q522*F1426</f>
        <v>0</v>
      </c>
    </row>
    <row r="1427" spans="1:12" x14ac:dyDescent="0.3">
      <c r="A1427" t="s">
        <v>196</v>
      </c>
      <c r="B1427" t="str">
        <f>TEXT(원본데이터_리씽크!B523,"0")</f>
        <v>2026020614382690000</v>
      </c>
      <c r="C1427" t="str">
        <f>IF(원본데이터_리씽크!A523="","",TEXT(원본데이터_리씽크!A523,"YYYY-MM-DD"))</f>
        <v>2026-02-06</v>
      </c>
      <c r="D1427">
        <f>원본데이터_리씽크!S523</f>
        <v>143790</v>
      </c>
      <c r="E1427" t="str">
        <f>IFERROR(VLOOKUP(원본데이터_리씽크!S523,채널매핑!$B:$D,3,0),"미매핑")</f>
        <v>SKU001</v>
      </c>
      <c r="F1427">
        <f>IFERROR(VLOOKUP(원본데이터_리씽크!S523,채널매핑!$B:$E,4,0),1)</f>
        <v>4</v>
      </c>
      <c r="G1427">
        <f>원본데이터_리씽크!P523</f>
        <v>1</v>
      </c>
      <c r="H1427">
        <f>원본데이터_리씽크!O523</f>
        <v>45500</v>
      </c>
      <c r="I1427">
        <f>원본데이터_리씽크!X523</f>
        <v>45500</v>
      </c>
      <c r="J1427">
        <f>원본데이터_리씽크!X523</f>
        <v>45500</v>
      </c>
      <c r="K1427" t="str">
        <f>IFERROR(VLOOKUP(E1427,제품마스터!$A:$B,2,0),0)</f>
        <v>[워커힐] 시그니처 양념갈비 300G</v>
      </c>
      <c r="L1427">
        <f>원본데이터_리씽크!P523*원본데이터_리씽크!Q523*F1427</f>
        <v>0</v>
      </c>
    </row>
    <row r="1428" spans="1:12" x14ac:dyDescent="0.3">
      <c r="A1428" t="s">
        <v>196</v>
      </c>
      <c r="B1428" t="str">
        <f>TEXT(원본데이터_리씽크!B524,"0")</f>
        <v>2026020614265710000</v>
      </c>
      <c r="C1428" t="str">
        <f>IF(원본데이터_리씽크!A524="","",TEXT(원본데이터_리씽크!A524,"YYYY-MM-DD"))</f>
        <v>2026-02-06</v>
      </c>
      <c r="D1428">
        <f>원본데이터_리씽크!S524</f>
        <v>143790</v>
      </c>
      <c r="E1428" t="str">
        <f>IFERROR(VLOOKUP(원본데이터_리씽크!S524,채널매핑!$B:$D,3,0),"미매핑")</f>
        <v>SKU001</v>
      </c>
      <c r="F1428">
        <f>IFERROR(VLOOKUP(원본데이터_리씽크!S524,채널매핑!$B:$E,4,0),1)</f>
        <v>4</v>
      </c>
      <c r="G1428">
        <f>원본데이터_리씽크!P524</f>
        <v>1</v>
      </c>
      <c r="H1428">
        <f>원본데이터_리씽크!O524</f>
        <v>45500</v>
      </c>
      <c r="I1428">
        <f>원본데이터_리씽크!X524</f>
        <v>45500</v>
      </c>
      <c r="J1428">
        <f>원본데이터_리씽크!X524</f>
        <v>45500</v>
      </c>
      <c r="K1428" t="str">
        <f>IFERROR(VLOOKUP(E1428,제품마스터!$A:$B,2,0),0)</f>
        <v>[워커힐] 시그니처 양념갈비 300G</v>
      </c>
      <c r="L1428">
        <f>원본데이터_리씽크!P524*원본데이터_리씽크!Q524*F1428</f>
        <v>0</v>
      </c>
    </row>
    <row r="1429" spans="1:12" x14ac:dyDescent="0.3">
      <c r="A1429" t="s">
        <v>196</v>
      </c>
      <c r="B1429" t="str">
        <f>TEXT(원본데이터_리씽크!B525,"0")</f>
        <v>2026020613294560000</v>
      </c>
      <c r="C1429" t="str">
        <f>IF(원본데이터_리씽크!A525="","",TEXT(원본데이터_리씽크!A525,"YYYY-MM-DD"))</f>
        <v>2026-02-06</v>
      </c>
      <c r="D1429">
        <f>원본데이터_리씽크!S525</f>
        <v>143790</v>
      </c>
      <c r="E1429" t="str">
        <f>IFERROR(VLOOKUP(원본데이터_리씽크!S525,채널매핑!$B:$D,3,0),"미매핑")</f>
        <v>SKU001</v>
      </c>
      <c r="F1429">
        <f>IFERROR(VLOOKUP(원본데이터_리씽크!S525,채널매핑!$B:$E,4,0),1)</f>
        <v>4</v>
      </c>
      <c r="G1429">
        <f>원본데이터_리씽크!P525</f>
        <v>1</v>
      </c>
      <c r="H1429">
        <f>원본데이터_리씽크!O525</f>
        <v>45500</v>
      </c>
      <c r="I1429">
        <f>원본데이터_리씽크!X525</f>
        <v>45500</v>
      </c>
      <c r="J1429">
        <f>원본데이터_리씽크!X525</f>
        <v>45500</v>
      </c>
      <c r="K1429" t="str">
        <f>IFERROR(VLOOKUP(E1429,제품마스터!$A:$B,2,0),0)</f>
        <v>[워커힐] 시그니처 양념갈비 300G</v>
      </c>
      <c r="L1429">
        <f>원본데이터_리씽크!P525*원본데이터_리씽크!Q525*F1429</f>
        <v>0</v>
      </c>
    </row>
    <row r="1430" spans="1:12" x14ac:dyDescent="0.3">
      <c r="A1430" t="s">
        <v>196</v>
      </c>
      <c r="B1430" t="str">
        <f>TEXT(원본데이터_리씽크!B526,"0")</f>
        <v>2026020612424290000</v>
      </c>
      <c r="C1430" t="str">
        <f>IF(원본데이터_리씽크!A526="","",TEXT(원본데이터_리씽크!A526,"YYYY-MM-DD"))</f>
        <v>2026-02-06</v>
      </c>
      <c r="D1430">
        <f>원본데이터_리씽크!S526</f>
        <v>143790</v>
      </c>
      <c r="E1430" t="str">
        <f>IFERROR(VLOOKUP(원본데이터_리씽크!S526,채널매핑!$B:$D,3,0),"미매핑")</f>
        <v>SKU001</v>
      </c>
      <c r="F1430">
        <f>IFERROR(VLOOKUP(원본데이터_리씽크!S526,채널매핑!$B:$E,4,0),1)</f>
        <v>4</v>
      </c>
      <c r="G1430">
        <f>원본데이터_리씽크!P526</f>
        <v>2</v>
      </c>
      <c r="H1430">
        <f>원본데이터_리씽크!O526</f>
        <v>45500</v>
      </c>
      <c r="I1430">
        <f>원본데이터_리씽크!X526</f>
        <v>91000</v>
      </c>
      <c r="J1430">
        <f>원본데이터_리씽크!X526</f>
        <v>91000</v>
      </c>
      <c r="K1430" t="str">
        <f>IFERROR(VLOOKUP(E1430,제품마스터!$A:$B,2,0),0)</f>
        <v>[워커힐] 시그니처 양념갈비 300G</v>
      </c>
      <c r="L1430">
        <f>원본데이터_리씽크!P526*원본데이터_리씽크!Q526*F1430</f>
        <v>0</v>
      </c>
    </row>
    <row r="1431" spans="1:12" x14ac:dyDescent="0.3">
      <c r="A1431" t="s">
        <v>196</v>
      </c>
      <c r="B1431" t="str">
        <f>TEXT(원본데이터_리씽크!B527,"0")</f>
        <v>2026020612324100000</v>
      </c>
      <c r="C1431" t="str">
        <f>IF(원본데이터_리씽크!A527="","",TEXT(원본데이터_리씽크!A527,"YYYY-MM-DD"))</f>
        <v>2026-02-06</v>
      </c>
      <c r="D1431">
        <f>원본데이터_리씽크!S527</f>
        <v>143790</v>
      </c>
      <c r="E1431" t="str">
        <f>IFERROR(VLOOKUP(원본데이터_리씽크!S527,채널매핑!$B:$D,3,0),"미매핑")</f>
        <v>SKU001</v>
      </c>
      <c r="F1431">
        <f>IFERROR(VLOOKUP(원본데이터_리씽크!S527,채널매핑!$B:$E,4,0),1)</f>
        <v>4</v>
      </c>
      <c r="G1431">
        <f>원본데이터_리씽크!P527</f>
        <v>1</v>
      </c>
      <c r="H1431">
        <f>원본데이터_리씽크!O527</f>
        <v>45500</v>
      </c>
      <c r="I1431">
        <f>원본데이터_리씽크!X527</f>
        <v>45500</v>
      </c>
      <c r="J1431">
        <f>원본데이터_리씽크!X527</f>
        <v>45500</v>
      </c>
      <c r="K1431" t="str">
        <f>IFERROR(VLOOKUP(E1431,제품마스터!$A:$B,2,0),0)</f>
        <v>[워커힐] 시그니처 양념갈비 300G</v>
      </c>
      <c r="L1431">
        <f>원본데이터_리씽크!P527*원본데이터_리씽크!Q527*F1431</f>
        <v>0</v>
      </c>
    </row>
    <row r="1432" spans="1:12" x14ac:dyDescent="0.3">
      <c r="A1432" t="s">
        <v>196</v>
      </c>
      <c r="B1432" t="str">
        <f>TEXT(원본데이터_리씽크!B528,"0")</f>
        <v>2026020611213530000</v>
      </c>
      <c r="C1432" t="str">
        <f>IF(원본데이터_리씽크!A528="","",TEXT(원본데이터_리씽크!A528,"YYYY-MM-DD"))</f>
        <v>2026-02-06</v>
      </c>
      <c r="D1432">
        <f>원본데이터_리씽크!S528</f>
        <v>143790</v>
      </c>
      <c r="E1432" t="str">
        <f>IFERROR(VLOOKUP(원본데이터_리씽크!S528,채널매핑!$B:$D,3,0),"미매핑")</f>
        <v>SKU001</v>
      </c>
      <c r="F1432">
        <f>IFERROR(VLOOKUP(원본데이터_리씽크!S528,채널매핑!$B:$E,4,0),1)</f>
        <v>4</v>
      </c>
      <c r="G1432">
        <f>원본데이터_리씽크!P528</f>
        <v>2</v>
      </c>
      <c r="H1432">
        <f>원본데이터_리씽크!O528</f>
        <v>45500</v>
      </c>
      <c r="I1432">
        <f>원본데이터_리씽크!X528</f>
        <v>91000</v>
      </c>
      <c r="J1432">
        <f>원본데이터_리씽크!X528</f>
        <v>91000</v>
      </c>
      <c r="K1432" t="str">
        <f>IFERROR(VLOOKUP(E1432,제품마스터!$A:$B,2,0),0)</f>
        <v>[워커힐] 시그니처 양념갈비 300G</v>
      </c>
      <c r="L1432">
        <f>원본데이터_리씽크!P528*원본데이터_리씽크!Q528*F1432</f>
        <v>0</v>
      </c>
    </row>
    <row r="1433" spans="1:12" x14ac:dyDescent="0.3">
      <c r="A1433" t="s">
        <v>196</v>
      </c>
      <c r="B1433" t="str">
        <f>TEXT(원본데이터_리씽크!B529,"0")</f>
        <v>2026020611265910000</v>
      </c>
      <c r="C1433" t="str">
        <f>IF(원본데이터_리씽크!A529="","",TEXT(원본데이터_리씽크!A529,"YYYY-MM-DD"))</f>
        <v>2026-02-06</v>
      </c>
      <c r="D1433">
        <f>원본데이터_리씽크!S529</f>
        <v>143790</v>
      </c>
      <c r="E1433" t="str">
        <f>IFERROR(VLOOKUP(원본데이터_리씽크!S529,채널매핑!$B:$D,3,0),"미매핑")</f>
        <v>SKU001</v>
      </c>
      <c r="F1433">
        <f>IFERROR(VLOOKUP(원본데이터_리씽크!S529,채널매핑!$B:$E,4,0),1)</f>
        <v>4</v>
      </c>
      <c r="G1433">
        <f>원본데이터_리씽크!P529</f>
        <v>2</v>
      </c>
      <c r="H1433">
        <f>원본데이터_리씽크!O529</f>
        <v>45500</v>
      </c>
      <c r="I1433">
        <f>원본데이터_리씽크!X529</f>
        <v>91000</v>
      </c>
      <c r="J1433">
        <f>원본데이터_리씽크!X529</f>
        <v>91000</v>
      </c>
      <c r="K1433" t="str">
        <f>IFERROR(VLOOKUP(E1433,제품마스터!$A:$B,2,0),0)</f>
        <v>[워커힐] 시그니처 양념갈비 300G</v>
      </c>
      <c r="L1433">
        <f>원본데이터_리씽크!P529*원본데이터_리씽크!Q529*F1433</f>
        <v>0</v>
      </c>
    </row>
    <row r="1434" spans="1:12" x14ac:dyDescent="0.3">
      <c r="A1434" t="s">
        <v>196</v>
      </c>
      <c r="B1434" t="str">
        <f>TEXT(원본데이터_리씽크!B530,"0")</f>
        <v>2026020611153200000</v>
      </c>
      <c r="C1434" t="str">
        <f>IF(원본데이터_리씽크!A530="","",TEXT(원본데이터_리씽크!A530,"YYYY-MM-DD"))</f>
        <v>2026-02-06</v>
      </c>
      <c r="D1434">
        <f>원본데이터_리씽크!S530</f>
        <v>143790</v>
      </c>
      <c r="E1434" t="str">
        <f>IFERROR(VLOOKUP(원본데이터_리씽크!S530,채널매핑!$B:$D,3,0),"미매핑")</f>
        <v>SKU001</v>
      </c>
      <c r="F1434">
        <f>IFERROR(VLOOKUP(원본데이터_리씽크!S530,채널매핑!$B:$E,4,0),1)</f>
        <v>4</v>
      </c>
      <c r="G1434">
        <f>원본데이터_리씽크!P530</f>
        <v>1</v>
      </c>
      <c r="H1434">
        <f>원본데이터_리씽크!O530</f>
        <v>45500</v>
      </c>
      <c r="I1434">
        <f>원본데이터_리씽크!X530</f>
        <v>45500</v>
      </c>
      <c r="J1434">
        <f>원본데이터_리씽크!X530</f>
        <v>45500</v>
      </c>
      <c r="K1434" t="str">
        <f>IFERROR(VLOOKUP(E1434,제품마스터!$A:$B,2,0),0)</f>
        <v>[워커힐] 시그니처 양념갈비 300G</v>
      </c>
      <c r="L1434">
        <f>원본데이터_리씽크!P530*원본데이터_리씽크!Q530*F1434</f>
        <v>0</v>
      </c>
    </row>
    <row r="1435" spans="1:12" x14ac:dyDescent="0.3">
      <c r="A1435" t="s">
        <v>196</v>
      </c>
      <c r="B1435" t="str">
        <f>TEXT(원본데이터_리씽크!B531,"0")</f>
        <v>2026020604005710000</v>
      </c>
      <c r="C1435" t="str">
        <f>IF(원본데이터_리씽크!A531="","",TEXT(원본데이터_리씽크!A531,"YYYY-MM-DD"))</f>
        <v>2026-02-06</v>
      </c>
      <c r="D1435">
        <f>원본데이터_리씽크!S531</f>
        <v>143790</v>
      </c>
      <c r="E1435" t="str">
        <f>IFERROR(VLOOKUP(원본데이터_리씽크!S531,채널매핑!$B:$D,3,0),"미매핑")</f>
        <v>SKU001</v>
      </c>
      <c r="F1435">
        <f>IFERROR(VLOOKUP(원본데이터_리씽크!S531,채널매핑!$B:$E,4,0),1)</f>
        <v>4</v>
      </c>
      <c r="G1435">
        <f>원본데이터_리씽크!P531</f>
        <v>1</v>
      </c>
      <c r="H1435">
        <f>원본데이터_리씽크!O531</f>
        <v>45500</v>
      </c>
      <c r="I1435">
        <f>원본데이터_리씽크!X531</f>
        <v>45500</v>
      </c>
      <c r="J1435">
        <f>원본데이터_리씽크!X531</f>
        <v>45500</v>
      </c>
      <c r="K1435" t="str">
        <f>IFERROR(VLOOKUP(E1435,제품마스터!$A:$B,2,0),0)</f>
        <v>[워커힐] 시그니처 양념갈비 300G</v>
      </c>
      <c r="L1435">
        <f>원본데이터_리씽크!P531*원본데이터_리씽크!Q531*F1435</f>
        <v>0</v>
      </c>
    </row>
    <row r="1436" spans="1:12" x14ac:dyDescent="0.3">
      <c r="A1436" t="s">
        <v>196</v>
      </c>
      <c r="B1436" t="str">
        <f>TEXT(원본데이터_리씽크!B532,"0")</f>
        <v>2026020603591780000</v>
      </c>
      <c r="C1436" t="str">
        <f>IF(원본데이터_리씽크!A532="","",TEXT(원본데이터_리씽크!A532,"YYYY-MM-DD"))</f>
        <v>2026-02-06</v>
      </c>
      <c r="D1436">
        <f>원본데이터_리씽크!S532</f>
        <v>143790</v>
      </c>
      <c r="E1436" t="str">
        <f>IFERROR(VLOOKUP(원본데이터_리씽크!S532,채널매핑!$B:$D,3,0),"미매핑")</f>
        <v>SKU001</v>
      </c>
      <c r="F1436">
        <f>IFERROR(VLOOKUP(원본데이터_리씽크!S532,채널매핑!$B:$E,4,0),1)</f>
        <v>4</v>
      </c>
      <c r="G1436">
        <f>원본데이터_리씽크!P532</f>
        <v>1</v>
      </c>
      <c r="H1436">
        <f>원본데이터_리씽크!O532</f>
        <v>45500</v>
      </c>
      <c r="I1436">
        <f>원본데이터_리씽크!X532</f>
        <v>45500</v>
      </c>
      <c r="J1436">
        <f>원본데이터_리씽크!X532</f>
        <v>45500</v>
      </c>
      <c r="K1436" t="str">
        <f>IFERROR(VLOOKUP(E1436,제품마스터!$A:$B,2,0),0)</f>
        <v>[워커힐] 시그니처 양념갈비 300G</v>
      </c>
      <c r="L1436">
        <f>원본데이터_리씽크!P532*원본데이터_리씽크!Q532*F1436</f>
        <v>0</v>
      </c>
    </row>
    <row r="1437" spans="1:12" x14ac:dyDescent="0.3">
      <c r="A1437" t="s">
        <v>196</v>
      </c>
      <c r="B1437" t="str">
        <f>TEXT(원본데이터_리씽크!B533,"0")</f>
        <v>2026020600085630000</v>
      </c>
      <c r="C1437" t="str">
        <f>IF(원본데이터_리씽크!A533="","",TEXT(원본데이터_리씽크!A533,"YYYY-MM-DD"))</f>
        <v>2026-02-06</v>
      </c>
      <c r="D1437">
        <f>원본데이터_리씽크!S533</f>
        <v>143790</v>
      </c>
      <c r="E1437" t="str">
        <f>IFERROR(VLOOKUP(원본데이터_리씽크!S533,채널매핑!$B:$D,3,0),"미매핑")</f>
        <v>SKU001</v>
      </c>
      <c r="F1437">
        <f>IFERROR(VLOOKUP(원본데이터_리씽크!S533,채널매핑!$B:$E,4,0),1)</f>
        <v>4</v>
      </c>
      <c r="G1437">
        <f>원본데이터_리씽크!P533</f>
        <v>1</v>
      </c>
      <c r="H1437">
        <f>원본데이터_리씽크!O533</f>
        <v>45500</v>
      </c>
      <c r="I1437">
        <f>원본데이터_리씽크!X533</f>
        <v>45500</v>
      </c>
      <c r="J1437">
        <f>원본데이터_리씽크!X533</f>
        <v>45500</v>
      </c>
      <c r="K1437" t="str">
        <f>IFERROR(VLOOKUP(E1437,제품마스터!$A:$B,2,0),0)</f>
        <v>[워커힐] 시그니처 양념갈비 300G</v>
      </c>
      <c r="L1437">
        <f>원본데이터_리씽크!P533*원본데이터_리씽크!Q533*F1437</f>
        <v>0</v>
      </c>
    </row>
    <row r="1438" spans="1:12" x14ac:dyDescent="0.3">
      <c r="A1438" t="s">
        <v>196</v>
      </c>
      <c r="B1438" t="str">
        <f>TEXT(원본데이터_리씽크!B534,"0")</f>
        <v>2026020909032390000</v>
      </c>
      <c r="C1438" t="str">
        <f>IF(원본데이터_리씽크!A534="","",TEXT(원본데이터_리씽크!A534,"YYYY-MM-DD"))</f>
        <v>2026-02-09</v>
      </c>
      <c r="D1438">
        <f>원본데이터_리씽크!S534</f>
        <v>143812</v>
      </c>
      <c r="E1438" t="str">
        <f>IFERROR(VLOOKUP(원본데이터_리씽크!S534,채널매핑!$B:$D,3,0),"미매핑")</f>
        <v>SKU001</v>
      </c>
      <c r="F1438">
        <f>IFERROR(VLOOKUP(원본데이터_리씽크!S534,채널매핑!$B:$E,4,0),1)</f>
        <v>2</v>
      </c>
      <c r="G1438">
        <f>원본데이터_리씽크!P534</f>
        <v>1</v>
      </c>
      <c r="H1438">
        <f>원본데이터_리씽크!O534</f>
        <v>45500</v>
      </c>
      <c r="I1438">
        <f>원본데이터_리씽크!X534</f>
        <v>45500</v>
      </c>
      <c r="J1438">
        <f>원본데이터_리씽크!X534</f>
        <v>45500</v>
      </c>
      <c r="K1438" t="str">
        <f>IFERROR(VLOOKUP(E1438,제품마스터!$A:$B,2,0),0)</f>
        <v>[워커힐] 시그니처 양념갈비 300G</v>
      </c>
      <c r="L1438">
        <f>원본데이터_리씽크!P534*원본데이터_리씽크!Q534*F1438</f>
        <v>0</v>
      </c>
    </row>
    <row r="1439" spans="1:12" x14ac:dyDescent="0.3">
      <c r="A1439" t="s">
        <v>196</v>
      </c>
      <c r="B1439" t="str">
        <f>TEXT(원본데이터_리씽크!B535,"0")</f>
        <v>2026020908075970000</v>
      </c>
      <c r="C1439" t="str">
        <f>IF(원본데이터_리씽크!A535="","",TEXT(원본데이터_리씽크!A535,"YYYY-MM-DD"))</f>
        <v>2026-02-09</v>
      </c>
      <c r="D1439">
        <f>원본데이터_리씽크!S535</f>
        <v>143812</v>
      </c>
      <c r="E1439" t="str">
        <f>IFERROR(VLOOKUP(원본데이터_리씽크!S535,채널매핑!$B:$D,3,0),"미매핑")</f>
        <v>SKU001</v>
      </c>
      <c r="F1439">
        <f>IFERROR(VLOOKUP(원본데이터_리씽크!S535,채널매핑!$B:$E,4,0),1)</f>
        <v>2</v>
      </c>
      <c r="G1439">
        <f>원본데이터_리씽크!P535</f>
        <v>1</v>
      </c>
      <c r="H1439">
        <f>원본데이터_리씽크!O535</f>
        <v>45500</v>
      </c>
      <c r="I1439">
        <f>원본데이터_리씽크!X535</f>
        <v>45500</v>
      </c>
      <c r="J1439">
        <f>원본데이터_리씽크!X535</f>
        <v>45500</v>
      </c>
      <c r="K1439" t="str">
        <f>IFERROR(VLOOKUP(E1439,제품마스터!$A:$B,2,0),0)</f>
        <v>[워커힐] 시그니처 양념갈비 300G</v>
      </c>
      <c r="L1439">
        <f>원본데이터_리씽크!P535*원본데이터_리씽크!Q535*F1439</f>
        <v>0</v>
      </c>
    </row>
    <row r="1440" spans="1:12" x14ac:dyDescent="0.3">
      <c r="A1440" t="s">
        <v>196</v>
      </c>
      <c r="B1440" t="str">
        <f>TEXT(원본데이터_리씽크!B536,"0")</f>
        <v>2026020907055370000</v>
      </c>
      <c r="C1440" t="str">
        <f>IF(원본데이터_리씽크!A536="","",TEXT(원본데이터_리씽크!A536,"YYYY-MM-DD"))</f>
        <v>2026-02-09</v>
      </c>
      <c r="D1440">
        <f>원본데이터_리씽크!S536</f>
        <v>143812</v>
      </c>
      <c r="E1440" t="str">
        <f>IFERROR(VLOOKUP(원본데이터_리씽크!S536,채널매핑!$B:$D,3,0),"미매핑")</f>
        <v>SKU001</v>
      </c>
      <c r="F1440">
        <f>IFERROR(VLOOKUP(원본데이터_리씽크!S536,채널매핑!$B:$E,4,0),1)</f>
        <v>2</v>
      </c>
      <c r="G1440">
        <f>원본데이터_리씽크!P536</f>
        <v>1</v>
      </c>
      <c r="H1440">
        <f>원본데이터_리씽크!O536</f>
        <v>45500</v>
      </c>
      <c r="I1440">
        <f>원본데이터_리씽크!X536</f>
        <v>45500</v>
      </c>
      <c r="J1440">
        <f>원본데이터_리씽크!X536</f>
        <v>45500</v>
      </c>
      <c r="K1440" t="str">
        <f>IFERROR(VLOOKUP(E1440,제품마스터!$A:$B,2,0),0)</f>
        <v>[워커힐] 시그니처 양념갈비 300G</v>
      </c>
      <c r="L1440">
        <f>원본데이터_리씽크!P536*원본데이터_리씽크!Q536*F1440</f>
        <v>0</v>
      </c>
    </row>
    <row r="1441" spans="1:12" x14ac:dyDescent="0.3">
      <c r="A1441" t="s">
        <v>196</v>
      </c>
      <c r="B1441" t="str">
        <f>TEXT(원본데이터_리씽크!B537,"0")</f>
        <v>2026020818492380000</v>
      </c>
      <c r="C1441" t="str">
        <f>IF(원본데이터_리씽크!A537="","",TEXT(원본데이터_리씽크!A537,"YYYY-MM-DD"))</f>
        <v>2026-02-08</v>
      </c>
      <c r="D1441">
        <f>원본데이터_리씽크!S537</f>
        <v>143790</v>
      </c>
      <c r="E1441" t="str">
        <f>IFERROR(VLOOKUP(원본데이터_리씽크!S537,채널매핑!$B:$D,3,0),"미매핑")</f>
        <v>SKU001</v>
      </c>
      <c r="F1441">
        <f>IFERROR(VLOOKUP(원본데이터_리씽크!S537,채널매핑!$B:$E,4,0),1)</f>
        <v>4</v>
      </c>
      <c r="G1441">
        <f>원본데이터_리씽크!P537</f>
        <v>1</v>
      </c>
      <c r="H1441">
        <f>원본데이터_리씽크!O537</f>
        <v>63000</v>
      </c>
      <c r="I1441">
        <f>원본데이터_리씽크!X537</f>
        <v>63000</v>
      </c>
      <c r="J1441">
        <f>원본데이터_리씽크!X537</f>
        <v>63000</v>
      </c>
      <c r="K1441" t="str">
        <f>IFERROR(VLOOKUP(E1441,제품마스터!$A:$B,2,0),0)</f>
        <v>[워커힐] 시그니처 양념갈비 300G</v>
      </c>
      <c r="L1441" t="e">
        <f>원본데이터_리씽크!P537*원본데이터_리씽크!Q537*F1441</f>
        <v>#VALUE!</v>
      </c>
    </row>
    <row r="1442" spans="1:12" x14ac:dyDescent="0.3">
      <c r="A1442" t="s">
        <v>196</v>
      </c>
      <c r="B1442" t="str">
        <f>TEXT(원본데이터_리씽크!B538,"0")</f>
        <v>2026020818123390000</v>
      </c>
      <c r="C1442" t="str">
        <f>IF(원본데이터_리씽크!A538="","",TEXT(원본데이터_리씽크!A538,"YYYY-MM-DD"))</f>
        <v>2026-02-08</v>
      </c>
      <c r="D1442">
        <f>원본데이터_리씽크!S538</f>
        <v>143790</v>
      </c>
      <c r="E1442" t="str">
        <f>IFERROR(VLOOKUP(원본데이터_리씽크!S538,채널매핑!$B:$D,3,0),"미매핑")</f>
        <v>SKU001</v>
      </c>
      <c r="F1442">
        <f>IFERROR(VLOOKUP(원본데이터_리씽크!S538,채널매핑!$B:$E,4,0),1)</f>
        <v>4</v>
      </c>
      <c r="G1442">
        <f>원본데이터_리씽크!P538</f>
        <v>2</v>
      </c>
      <c r="H1442">
        <f>원본데이터_리씽크!O538</f>
        <v>63000</v>
      </c>
      <c r="I1442">
        <f>원본데이터_리씽크!X538</f>
        <v>126000</v>
      </c>
      <c r="J1442">
        <f>원본데이터_리씽크!X538</f>
        <v>126000</v>
      </c>
      <c r="K1442" t="str">
        <f>IFERROR(VLOOKUP(E1442,제품마스터!$A:$B,2,0),0)</f>
        <v>[워커힐] 시그니처 양념갈비 300G</v>
      </c>
      <c r="L1442" t="e">
        <f>원본데이터_리씽크!P538*원본데이터_리씽크!Q538*F1442</f>
        <v>#VALUE!</v>
      </c>
    </row>
    <row r="1443" spans="1:12" x14ac:dyDescent="0.3">
      <c r="A1443" t="s">
        <v>196</v>
      </c>
      <c r="B1443" t="str">
        <f>TEXT(원본데이터_리씽크!B539,"0")</f>
        <v>2026020817550160000</v>
      </c>
      <c r="C1443" t="str">
        <f>IF(원본데이터_리씽크!A539="","",TEXT(원본데이터_리씽크!A539,"YYYY-MM-DD"))</f>
        <v>2026-02-08</v>
      </c>
      <c r="D1443">
        <f>원본데이터_리씽크!S539</f>
        <v>143790</v>
      </c>
      <c r="E1443" t="str">
        <f>IFERROR(VLOOKUP(원본데이터_리씽크!S539,채널매핑!$B:$D,3,0),"미매핑")</f>
        <v>SKU001</v>
      </c>
      <c r="F1443">
        <f>IFERROR(VLOOKUP(원본데이터_리씽크!S539,채널매핑!$B:$E,4,0),1)</f>
        <v>4</v>
      </c>
      <c r="G1443">
        <f>원본데이터_리씽크!P539</f>
        <v>1</v>
      </c>
      <c r="H1443">
        <f>원본데이터_리씽크!O539</f>
        <v>63000</v>
      </c>
      <c r="I1443">
        <f>원본데이터_리씽크!X539</f>
        <v>63000</v>
      </c>
      <c r="J1443">
        <f>원본데이터_리씽크!X539</f>
        <v>63000</v>
      </c>
      <c r="K1443" t="str">
        <f>IFERROR(VLOOKUP(E1443,제품마스터!$A:$B,2,0),0)</f>
        <v>[워커힐] 시그니처 양념갈비 300G</v>
      </c>
      <c r="L1443" t="e">
        <f>원본데이터_리씽크!P539*원본데이터_리씽크!Q539*F1443</f>
        <v>#VALUE!</v>
      </c>
    </row>
    <row r="1444" spans="1:12" x14ac:dyDescent="0.3">
      <c r="A1444" t="s">
        <v>196</v>
      </c>
      <c r="B1444" t="str">
        <f>TEXT(원본데이터_리씽크!B540,"0")</f>
        <v>2026020817520760000</v>
      </c>
      <c r="C1444" t="str">
        <f>IF(원본데이터_리씽크!A540="","",TEXT(원본데이터_리씽크!A540,"YYYY-MM-DD"))</f>
        <v>2026-02-08</v>
      </c>
      <c r="D1444">
        <f>원본데이터_리씽크!S540</f>
        <v>143790</v>
      </c>
      <c r="E1444" t="str">
        <f>IFERROR(VLOOKUP(원본데이터_리씽크!S540,채널매핑!$B:$D,3,0),"미매핑")</f>
        <v>SKU001</v>
      </c>
      <c r="F1444">
        <f>IFERROR(VLOOKUP(원본데이터_리씽크!S540,채널매핑!$B:$E,4,0),1)</f>
        <v>4</v>
      </c>
      <c r="G1444">
        <f>원본데이터_리씽크!P540</f>
        <v>1</v>
      </c>
      <c r="H1444">
        <f>원본데이터_리씽크!O540</f>
        <v>63000</v>
      </c>
      <c r="I1444">
        <f>원본데이터_리씽크!X540</f>
        <v>63000</v>
      </c>
      <c r="J1444">
        <f>원본데이터_리씽크!X540</f>
        <v>63000</v>
      </c>
      <c r="K1444" t="str">
        <f>IFERROR(VLOOKUP(E1444,제품마스터!$A:$B,2,0),0)</f>
        <v>[워커힐] 시그니처 양념갈비 300G</v>
      </c>
      <c r="L1444" t="e">
        <f>원본데이터_리씽크!P540*원본데이터_리씽크!Q540*F1444</f>
        <v>#VALUE!</v>
      </c>
    </row>
    <row r="1445" spans="1:12" x14ac:dyDescent="0.3">
      <c r="A1445" t="s">
        <v>196</v>
      </c>
      <c r="B1445" t="str">
        <f>TEXT(원본데이터_리씽크!B541,"0")</f>
        <v>2026020817440710000</v>
      </c>
      <c r="C1445" t="str">
        <f>IF(원본데이터_리씽크!A541="","",TEXT(원본데이터_리씽크!A541,"YYYY-MM-DD"))</f>
        <v>2026-02-08</v>
      </c>
      <c r="D1445">
        <f>원본데이터_리씽크!S541</f>
        <v>143790</v>
      </c>
      <c r="E1445" t="str">
        <f>IFERROR(VLOOKUP(원본데이터_리씽크!S541,채널매핑!$B:$D,3,0),"미매핑")</f>
        <v>SKU001</v>
      </c>
      <c r="F1445">
        <f>IFERROR(VLOOKUP(원본데이터_리씽크!S541,채널매핑!$B:$E,4,0),1)</f>
        <v>4</v>
      </c>
      <c r="G1445">
        <f>원본데이터_리씽크!P541</f>
        <v>1</v>
      </c>
      <c r="H1445">
        <f>원본데이터_리씽크!O541</f>
        <v>63000</v>
      </c>
      <c r="I1445">
        <f>원본데이터_리씽크!X541</f>
        <v>63000</v>
      </c>
      <c r="J1445">
        <f>원본데이터_리씽크!X541</f>
        <v>63000</v>
      </c>
      <c r="K1445" t="str">
        <f>IFERROR(VLOOKUP(E1445,제품마스터!$A:$B,2,0),0)</f>
        <v>[워커힐] 시그니처 양념갈비 300G</v>
      </c>
      <c r="L1445" t="e">
        <f>원본데이터_리씽크!P541*원본데이터_리씽크!Q541*F1445</f>
        <v>#VALUE!</v>
      </c>
    </row>
    <row r="1446" spans="1:12" x14ac:dyDescent="0.3">
      <c r="A1446" t="s">
        <v>196</v>
      </c>
      <c r="B1446" t="str">
        <f>TEXT(원본데이터_리씽크!B542,"0")</f>
        <v>2026020814173700000</v>
      </c>
      <c r="C1446" t="str">
        <f>IF(원본데이터_리씽크!A542="","",TEXT(원본데이터_리씽크!A542,"YYYY-MM-DD"))</f>
        <v>2026-02-08</v>
      </c>
      <c r="D1446">
        <f>원본데이터_리씽크!S542</f>
        <v>143790</v>
      </c>
      <c r="E1446" t="str">
        <f>IFERROR(VLOOKUP(원본데이터_리씽크!S542,채널매핑!$B:$D,3,0),"미매핑")</f>
        <v>SKU001</v>
      </c>
      <c r="F1446">
        <f>IFERROR(VLOOKUP(원본데이터_리씽크!S542,채널매핑!$B:$E,4,0),1)</f>
        <v>4</v>
      </c>
      <c r="G1446">
        <f>원본데이터_리씽크!P542</f>
        <v>1</v>
      </c>
      <c r="H1446">
        <f>원본데이터_리씽크!O542</f>
        <v>63000</v>
      </c>
      <c r="I1446">
        <f>원본데이터_리씽크!X542</f>
        <v>63000</v>
      </c>
      <c r="J1446">
        <f>원본데이터_리씽크!X542</f>
        <v>63000</v>
      </c>
      <c r="K1446" t="str">
        <f>IFERROR(VLOOKUP(E1446,제품마스터!$A:$B,2,0),0)</f>
        <v>[워커힐] 시그니처 양념갈비 300G</v>
      </c>
      <c r="L1446" t="e">
        <f>원본데이터_리씽크!P542*원본데이터_리씽크!Q542*F1446</f>
        <v>#VALUE!</v>
      </c>
    </row>
    <row r="1447" spans="1:12" x14ac:dyDescent="0.3">
      <c r="A1447" t="s">
        <v>196</v>
      </c>
      <c r="B1447" t="str">
        <f>TEXT(원본데이터_리씽크!B543,"0")</f>
        <v>2026020813270740000</v>
      </c>
      <c r="C1447" t="str">
        <f>IF(원본데이터_리씽크!A543="","",TEXT(원본데이터_리씽크!A543,"YYYY-MM-DD"))</f>
        <v>2026-02-08</v>
      </c>
      <c r="D1447">
        <f>원본데이터_리씽크!S543</f>
        <v>143790</v>
      </c>
      <c r="E1447" t="str">
        <f>IFERROR(VLOOKUP(원본데이터_리씽크!S543,채널매핑!$B:$D,3,0),"미매핑")</f>
        <v>SKU001</v>
      </c>
      <c r="F1447">
        <f>IFERROR(VLOOKUP(원본데이터_리씽크!S543,채널매핑!$B:$E,4,0),1)</f>
        <v>4</v>
      </c>
      <c r="G1447">
        <f>원본데이터_리씽크!P543</f>
        <v>1</v>
      </c>
      <c r="H1447">
        <f>원본데이터_리씽크!O543</f>
        <v>63000</v>
      </c>
      <c r="I1447">
        <f>원본데이터_리씽크!X543</f>
        <v>63000</v>
      </c>
      <c r="J1447">
        <f>원본데이터_리씽크!X543</f>
        <v>63000</v>
      </c>
      <c r="K1447" t="str">
        <f>IFERROR(VLOOKUP(E1447,제품마스터!$A:$B,2,0),0)</f>
        <v>[워커힐] 시그니처 양념갈비 300G</v>
      </c>
      <c r="L1447" t="e">
        <f>원본데이터_리씽크!P543*원본데이터_리씽크!Q543*F1447</f>
        <v>#VALUE!</v>
      </c>
    </row>
    <row r="1448" spans="1:12" x14ac:dyDescent="0.3">
      <c r="A1448" t="s">
        <v>196</v>
      </c>
      <c r="B1448" t="str">
        <f>TEXT(원본데이터_리씽크!B544,"0")</f>
        <v>2026020813262460000</v>
      </c>
      <c r="C1448" t="str">
        <f>IF(원본데이터_리씽크!A544="","",TEXT(원본데이터_리씽크!A544,"YYYY-MM-DD"))</f>
        <v>2026-02-08</v>
      </c>
      <c r="D1448">
        <f>원본데이터_리씽크!S544</f>
        <v>143790</v>
      </c>
      <c r="E1448" t="str">
        <f>IFERROR(VLOOKUP(원본데이터_리씽크!S544,채널매핑!$B:$D,3,0),"미매핑")</f>
        <v>SKU001</v>
      </c>
      <c r="F1448">
        <f>IFERROR(VLOOKUP(원본데이터_리씽크!S544,채널매핑!$B:$E,4,0),1)</f>
        <v>4</v>
      </c>
      <c r="G1448">
        <f>원본데이터_리씽크!P544</f>
        <v>1</v>
      </c>
      <c r="H1448">
        <f>원본데이터_리씽크!O544</f>
        <v>63000</v>
      </c>
      <c r="I1448">
        <f>원본데이터_리씽크!X544</f>
        <v>63000</v>
      </c>
      <c r="J1448">
        <f>원본데이터_리씽크!X544</f>
        <v>63000</v>
      </c>
      <c r="K1448" t="str">
        <f>IFERROR(VLOOKUP(E1448,제품마스터!$A:$B,2,0),0)</f>
        <v>[워커힐] 시그니처 양념갈비 300G</v>
      </c>
      <c r="L1448" t="e">
        <f>원본데이터_리씽크!P544*원본데이터_리씽크!Q544*F1448</f>
        <v>#VALUE!</v>
      </c>
    </row>
    <row r="1449" spans="1:12" x14ac:dyDescent="0.3">
      <c r="A1449" t="s">
        <v>196</v>
      </c>
      <c r="B1449" t="str">
        <f>TEXT(원본데이터_리씽크!B545,"0")</f>
        <v>2026020721075220000</v>
      </c>
      <c r="C1449" t="str">
        <f>IF(원본데이터_리씽크!A545="","",TEXT(원본데이터_리씽크!A545,"YYYY-MM-DD"))</f>
        <v>2026-02-07</v>
      </c>
      <c r="D1449">
        <f>원본데이터_리씽크!S545</f>
        <v>143790</v>
      </c>
      <c r="E1449" t="str">
        <f>IFERROR(VLOOKUP(원본데이터_리씽크!S545,채널매핑!$B:$D,3,0),"미매핑")</f>
        <v>SKU001</v>
      </c>
      <c r="F1449">
        <f>IFERROR(VLOOKUP(원본데이터_리씽크!S545,채널매핑!$B:$E,4,0),1)</f>
        <v>4</v>
      </c>
      <c r="G1449">
        <f>원본데이터_리씽크!P545</f>
        <v>1</v>
      </c>
      <c r="H1449">
        <f>원본데이터_리씽크!O545</f>
        <v>63000</v>
      </c>
      <c r="I1449">
        <f>원본데이터_리씽크!X545</f>
        <v>63000</v>
      </c>
      <c r="J1449">
        <f>원본데이터_리씽크!X545</f>
        <v>63000</v>
      </c>
      <c r="K1449" t="str">
        <f>IFERROR(VLOOKUP(E1449,제품마스터!$A:$B,2,0),0)</f>
        <v>[워커힐] 시그니처 양념갈비 300G</v>
      </c>
      <c r="L1449" t="e">
        <f>원본데이터_리씽크!P545*원본데이터_리씽크!Q545*F1449</f>
        <v>#VALUE!</v>
      </c>
    </row>
    <row r="1450" spans="1:12" x14ac:dyDescent="0.3">
      <c r="A1450" t="s">
        <v>196</v>
      </c>
      <c r="B1450" t="str">
        <f>TEXT(원본데이터_리씽크!B546,"0")</f>
        <v>2026020721033650000</v>
      </c>
      <c r="C1450" t="str">
        <f>IF(원본데이터_리씽크!A546="","",TEXT(원본데이터_리씽크!A546,"YYYY-MM-DD"))</f>
        <v>2026-02-07</v>
      </c>
      <c r="D1450">
        <f>원본데이터_리씽크!S546</f>
        <v>143790</v>
      </c>
      <c r="E1450" t="str">
        <f>IFERROR(VLOOKUP(원본데이터_리씽크!S546,채널매핑!$B:$D,3,0),"미매핑")</f>
        <v>SKU001</v>
      </c>
      <c r="F1450">
        <f>IFERROR(VLOOKUP(원본데이터_리씽크!S546,채널매핑!$B:$E,4,0),1)</f>
        <v>4</v>
      </c>
      <c r="G1450">
        <f>원본데이터_리씽크!P546</f>
        <v>1</v>
      </c>
      <c r="H1450">
        <f>원본데이터_리씽크!O546</f>
        <v>63000</v>
      </c>
      <c r="I1450">
        <f>원본데이터_리씽크!X546</f>
        <v>63000</v>
      </c>
      <c r="J1450">
        <f>원본데이터_리씽크!X546</f>
        <v>63000</v>
      </c>
      <c r="K1450" t="str">
        <f>IFERROR(VLOOKUP(E1450,제품마스터!$A:$B,2,0),0)</f>
        <v>[워커힐] 시그니처 양념갈비 300G</v>
      </c>
      <c r="L1450" t="e">
        <f>원본데이터_리씽크!P546*원본데이터_리씽크!Q546*F1450</f>
        <v>#VALUE!</v>
      </c>
    </row>
    <row r="1451" spans="1:12" x14ac:dyDescent="0.3">
      <c r="A1451" t="s">
        <v>196</v>
      </c>
      <c r="B1451" t="str">
        <f>TEXT(원본데이터_리씽크!B547,"0")</f>
        <v>2026020717552980000</v>
      </c>
      <c r="C1451" t="str">
        <f>IF(원본데이터_리씽크!A547="","",TEXT(원본데이터_리씽크!A547,"YYYY-MM-DD"))</f>
        <v>2026-02-07</v>
      </c>
      <c r="D1451">
        <f>원본데이터_리씽크!S547</f>
        <v>143790</v>
      </c>
      <c r="E1451" t="str">
        <f>IFERROR(VLOOKUP(원본데이터_리씽크!S547,채널매핑!$B:$D,3,0),"미매핑")</f>
        <v>SKU001</v>
      </c>
      <c r="F1451">
        <f>IFERROR(VLOOKUP(원본데이터_리씽크!S547,채널매핑!$B:$E,4,0),1)</f>
        <v>4</v>
      </c>
      <c r="G1451">
        <f>원본데이터_리씽크!P547</f>
        <v>1</v>
      </c>
      <c r="H1451">
        <f>원본데이터_리씽크!O547</f>
        <v>63000</v>
      </c>
      <c r="I1451">
        <f>원본데이터_리씽크!X547</f>
        <v>63000</v>
      </c>
      <c r="J1451">
        <f>원본데이터_리씽크!X547</f>
        <v>63000</v>
      </c>
      <c r="K1451" t="str">
        <f>IFERROR(VLOOKUP(E1451,제품마스터!$A:$B,2,0),0)</f>
        <v>[워커힐] 시그니처 양념갈비 300G</v>
      </c>
      <c r="L1451" t="e">
        <f>원본데이터_리씽크!P547*원본데이터_리씽크!Q547*F1451</f>
        <v>#VALUE!</v>
      </c>
    </row>
    <row r="1452" spans="1:12" x14ac:dyDescent="0.3">
      <c r="A1452" t="s">
        <v>196</v>
      </c>
      <c r="B1452" t="str">
        <f>TEXT(원본데이터_리씽크!B548,"0")</f>
        <v>2026020717440710000</v>
      </c>
      <c r="C1452" t="str">
        <f>IF(원본데이터_리씽크!A548="","",TEXT(원본데이터_리씽크!A548,"YYYY-MM-DD"))</f>
        <v>2026-02-07</v>
      </c>
      <c r="D1452">
        <f>원본데이터_리씽크!S548</f>
        <v>143790</v>
      </c>
      <c r="E1452" t="str">
        <f>IFERROR(VLOOKUP(원본데이터_리씽크!S548,채널매핑!$B:$D,3,0),"미매핑")</f>
        <v>SKU001</v>
      </c>
      <c r="F1452">
        <f>IFERROR(VLOOKUP(원본데이터_리씽크!S548,채널매핑!$B:$E,4,0),1)</f>
        <v>4</v>
      </c>
      <c r="G1452">
        <f>원본데이터_리씽크!P548</f>
        <v>1</v>
      </c>
      <c r="H1452">
        <f>원본데이터_리씽크!O548</f>
        <v>63000</v>
      </c>
      <c r="I1452">
        <f>원본데이터_리씽크!X548</f>
        <v>63000</v>
      </c>
      <c r="J1452">
        <f>원본데이터_리씽크!X548</f>
        <v>63000</v>
      </c>
      <c r="K1452" t="str">
        <f>IFERROR(VLOOKUP(E1452,제품마스터!$A:$B,2,0),0)</f>
        <v>[워커힐] 시그니처 양념갈비 300G</v>
      </c>
      <c r="L1452" t="e">
        <f>원본데이터_리씽크!P548*원본데이터_리씽크!Q548*F1452</f>
        <v>#VALUE!</v>
      </c>
    </row>
    <row r="1453" spans="1:12" x14ac:dyDescent="0.3">
      <c r="A1453" t="s">
        <v>196</v>
      </c>
      <c r="B1453" t="str">
        <f>TEXT(원본데이터_리씽크!B549,"0")</f>
        <v>2026020716415410000</v>
      </c>
      <c r="C1453" t="str">
        <f>IF(원본데이터_리씽크!A549="","",TEXT(원본데이터_리씽크!A549,"YYYY-MM-DD"))</f>
        <v>2026-02-07</v>
      </c>
      <c r="D1453">
        <f>원본데이터_리씽크!S549</f>
        <v>143790</v>
      </c>
      <c r="E1453" t="str">
        <f>IFERROR(VLOOKUP(원본데이터_리씽크!S549,채널매핑!$B:$D,3,0),"미매핑")</f>
        <v>SKU001</v>
      </c>
      <c r="F1453">
        <f>IFERROR(VLOOKUP(원본데이터_리씽크!S549,채널매핑!$B:$E,4,0),1)</f>
        <v>4</v>
      </c>
      <c r="G1453">
        <f>원본데이터_리씽크!P549</f>
        <v>1</v>
      </c>
      <c r="H1453">
        <f>원본데이터_리씽크!O549</f>
        <v>63000</v>
      </c>
      <c r="I1453">
        <f>원본데이터_리씽크!X549</f>
        <v>63000</v>
      </c>
      <c r="J1453">
        <f>원본데이터_리씽크!X549</f>
        <v>63000</v>
      </c>
      <c r="K1453" t="str">
        <f>IFERROR(VLOOKUP(E1453,제품마스터!$A:$B,2,0),0)</f>
        <v>[워커힐] 시그니처 양념갈비 300G</v>
      </c>
      <c r="L1453" t="e">
        <f>원본데이터_리씽크!P549*원본데이터_리씽크!Q549*F1453</f>
        <v>#VALUE!</v>
      </c>
    </row>
    <row r="1454" spans="1:12" x14ac:dyDescent="0.3">
      <c r="A1454" t="s">
        <v>196</v>
      </c>
      <c r="B1454" t="str">
        <f>TEXT(원본데이터_리씽크!B550,"0")</f>
        <v>2026020714411330000</v>
      </c>
      <c r="C1454" t="str">
        <f>IF(원본데이터_리씽크!A550="","",TEXT(원본데이터_리씽크!A550,"YYYY-MM-DD"))</f>
        <v>2026-02-07</v>
      </c>
      <c r="D1454">
        <f>원본데이터_리씽크!S550</f>
        <v>143790</v>
      </c>
      <c r="E1454" t="str">
        <f>IFERROR(VLOOKUP(원본데이터_리씽크!S550,채널매핑!$B:$D,3,0),"미매핑")</f>
        <v>SKU001</v>
      </c>
      <c r="F1454">
        <f>IFERROR(VLOOKUP(원본데이터_리씽크!S550,채널매핑!$B:$E,4,0),1)</f>
        <v>4</v>
      </c>
      <c r="G1454">
        <f>원본데이터_리씽크!P550</f>
        <v>1</v>
      </c>
      <c r="H1454">
        <f>원본데이터_리씽크!O550</f>
        <v>63000</v>
      </c>
      <c r="I1454">
        <f>원본데이터_리씽크!X550</f>
        <v>63000</v>
      </c>
      <c r="J1454">
        <f>원본데이터_리씽크!X550</f>
        <v>63000</v>
      </c>
      <c r="K1454" t="str">
        <f>IFERROR(VLOOKUP(E1454,제품마스터!$A:$B,2,0),0)</f>
        <v>[워커힐] 시그니처 양념갈비 300G</v>
      </c>
      <c r="L1454" t="e">
        <f>원본데이터_리씽크!P550*원본데이터_리씽크!Q550*F1454</f>
        <v>#VALUE!</v>
      </c>
    </row>
    <row r="1455" spans="1:12" x14ac:dyDescent="0.3">
      <c r="A1455" t="s">
        <v>196</v>
      </c>
      <c r="B1455" t="str">
        <f>TEXT(원본데이터_리씽크!B551,"0")</f>
        <v>2026020713010330000</v>
      </c>
      <c r="C1455" t="str">
        <f>IF(원본데이터_리씽크!A551="","",TEXT(원본데이터_리씽크!A551,"YYYY-MM-DD"))</f>
        <v>2026-02-07</v>
      </c>
      <c r="D1455">
        <f>원본데이터_리씽크!S551</f>
        <v>143790</v>
      </c>
      <c r="E1455" t="str">
        <f>IFERROR(VLOOKUP(원본데이터_리씽크!S551,채널매핑!$B:$D,3,0),"미매핑")</f>
        <v>SKU001</v>
      </c>
      <c r="F1455">
        <f>IFERROR(VLOOKUP(원본데이터_리씽크!S551,채널매핑!$B:$E,4,0),1)</f>
        <v>4</v>
      </c>
      <c r="G1455">
        <f>원본데이터_리씽크!P551</f>
        <v>1</v>
      </c>
      <c r="H1455">
        <f>원본데이터_리씽크!O551</f>
        <v>63000</v>
      </c>
      <c r="I1455">
        <f>원본데이터_리씽크!X551</f>
        <v>63000</v>
      </c>
      <c r="J1455">
        <f>원본데이터_리씽크!X551</f>
        <v>63000</v>
      </c>
      <c r="K1455" t="str">
        <f>IFERROR(VLOOKUP(E1455,제품마스터!$A:$B,2,0),0)</f>
        <v>[워커힐] 시그니처 양념갈비 300G</v>
      </c>
      <c r="L1455" t="e">
        <f>원본데이터_리씽크!P551*원본데이터_리씽크!Q551*F1455</f>
        <v>#VALUE!</v>
      </c>
    </row>
    <row r="1456" spans="1:12" x14ac:dyDescent="0.3">
      <c r="A1456" t="s">
        <v>196</v>
      </c>
      <c r="B1456" t="str">
        <f>TEXT(원본데이터_리씽크!B552,"0")</f>
        <v>2026020707445610000</v>
      </c>
      <c r="C1456" t="str">
        <f>IF(원본데이터_리씽크!A552="","",TEXT(원본데이터_리씽크!A552,"YYYY-MM-DD"))</f>
        <v>2026-02-07</v>
      </c>
      <c r="D1456">
        <f>원본데이터_리씽크!S552</f>
        <v>143790</v>
      </c>
      <c r="E1456" t="str">
        <f>IFERROR(VLOOKUP(원본데이터_리씽크!S552,채널매핑!$B:$D,3,0),"미매핑")</f>
        <v>SKU001</v>
      </c>
      <c r="F1456">
        <f>IFERROR(VLOOKUP(원본데이터_리씽크!S552,채널매핑!$B:$E,4,0),1)</f>
        <v>4</v>
      </c>
      <c r="G1456">
        <f>원본데이터_리씽크!P552</f>
        <v>1</v>
      </c>
      <c r="H1456">
        <f>원본데이터_리씽크!O552</f>
        <v>63000</v>
      </c>
      <c r="I1456">
        <f>원본데이터_리씽크!X552</f>
        <v>63000</v>
      </c>
      <c r="J1456">
        <f>원본데이터_리씽크!X552</f>
        <v>63000</v>
      </c>
      <c r="K1456" t="str">
        <f>IFERROR(VLOOKUP(E1456,제품마스터!$A:$B,2,0),0)</f>
        <v>[워커힐] 시그니처 양념갈비 300G</v>
      </c>
      <c r="L1456" t="e">
        <f>원본데이터_리씽크!P552*원본데이터_리씽크!Q552*F1456</f>
        <v>#VALUE!</v>
      </c>
    </row>
    <row r="1457" spans="1:12" x14ac:dyDescent="0.3">
      <c r="A1457" t="s">
        <v>196</v>
      </c>
      <c r="B1457" t="str">
        <f>TEXT(원본데이터_리씽크!B553,"0")</f>
        <v>2026020622244310000</v>
      </c>
      <c r="C1457" t="str">
        <f>IF(원본데이터_리씽크!A553="","",TEXT(원본데이터_리씽크!A553,"YYYY-MM-DD"))</f>
        <v>2026-02-06</v>
      </c>
      <c r="D1457">
        <f>원본데이터_리씽크!S553</f>
        <v>143790</v>
      </c>
      <c r="E1457" t="str">
        <f>IFERROR(VLOOKUP(원본데이터_리씽크!S553,채널매핑!$B:$D,3,0),"미매핑")</f>
        <v>SKU001</v>
      </c>
      <c r="F1457">
        <f>IFERROR(VLOOKUP(원본데이터_리씽크!S553,채널매핑!$B:$E,4,0),1)</f>
        <v>4</v>
      </c>
      <c r="G1457">
        <f>원본데이터_리씽크!P553</f>
        <v>1</v>
      </c>
      <c r="H1457">
        <f>원본데이터_리씽크!O553</f>
        <v>63000</v>
      </c>
      <c r="I1457">
        <f>원본데이터_리씽크!X553</f>
        <v>63000</v>
      </c>
      <c r="J1457">
        <f>원본데이터_리씽크!X553</f>
        <v>63000</v>
      </c>
      <c r="K1457" t="str">
        <f>IFERROR(VLOOKUP(E1457,제품마스터!$A:$B,2,0),0)</f>
        <v>[워커힐] 시그니처 양념갈비 300G</v>
      </c>
      <c r="L1457" t="e">
        <f>원본데이터_리씽크!P553*원본데이터_리씽크!Q553*F1457</f>
        <v>#VALUE!</v>
      </c>
    </row>
    <row r="1458" spans="1:12" x14ac:dyDescent="0.3">
      <c r="A1458" t="s">
        <v>196</v>
      </c>
      <c r="B1458" t="str">
        <f>TEXT(원본데이터_리씽크!B554,"0")</f>
        <v>2026020621342590000</v>
      </c>
      <c r="C1458" t="str">
        <f>IF(원본데이터_리씽크!A554="","",TEXT(원본데이터_리씽크!A554,"YYYY-MM-DD"))</f>
        <v>2026-02-06</v>
      </c>
      <c r="D1458">
        <f>원본데이터_리씽크!S554</f>
        <v>143790</v>
      </c>
      <c r="E1458" t="str">
        <f>IFERROR(VLOOKUP(원본데이터_리씽크!S554,채널매핑!$B:$D,3,0),"미매핑")</f>
        <v>SKU001</v>
      </c>
      <c r="F1458">
        <f>IFERROR(VLOOKUP(원본데이터_리씽크!S554,채널매핑!$B:$E,4,0),1)</f>
        <v>4</v>
      </c>
      <c r="G1458">
        <f>원본데이터_리씽크!P554</f>
        <v>1</v>
      </c>
      <c r="H1458">
        <f>원본데이터_리씽크!O554</f>
        <v>63000</v>
      </c>
      <c r="I1458">
        <f>원본데이터_리씽크!X554</f>
        <v>63000</v>
      </c>
      <c r="J1458">
        <f>원본데이터_리씽크!X554</f>
        <v>63000</v>
      </c>
      <c r="K1458" t="str">
        <f>IFERROR(VLOOKUP(E1458,제품마스터!$A:$B,2,0),0)</f>
        <v>[워커힐] 시그니처 양념갈비 300G</v>
      </c>
      <c r="L1458" t="e">
        <f>원본데이터_리씽크!P554*원본데이터_리씽크!Q554*F1458</f>
        <v>#VALUE!</v>
      </c>
    </row>
    <row r="1459" spans="1:12" x14ac:dyDescent="0.3">
      <c r="A1459" t="s">
        <v>196</v>
      </c>
      <c r="B1459" t="str">
        <f>TEXT(원본데이터_리씽크!B555,"0")</f>
        <v>2026020620594780000</v>
      </c>
      <c r="C1459" t="str">
        <f>IF(원본데이터_리씽크!A555="","",TEXT(원본데이터_리씽크!A555,"YYYY-MM-DD"))</f>
        <v>2026-02-06</v>
      </c>
      <c r="D1459">
        <f>원본데이터_리씽크!S555</f>
        <v>143790</v>
      </c>
      <c r="E1459" t="str">
        <f>IFERROR(VLOOKUP(원본데이터_리씽크!S555,채널매핑!$B:$D,3,0),"미매핑")</f>
        <v>SKU001</v>
      </c>
      <c r="F1459">
        <f>IFERROR(VLOOKUP(원본데이터_리씽크!S555,채널매핑!$B:$E,4,0),1)</f>
        <v>4</v>
      </c>
      <c r="G1459">
        <f>원본데이터_리씽크!P555</f>
        <v>1</v>
      </c>
      <c r="H1459">
        <f>원본데이터_리씽크!O555</f>
        <v>63000</v>
      </c>
      <c r="I1459">
        <f>원본데이터_리씽크!X555</f>
        <v>63000</v>
      </c>
      <c r="J1459">
        <f>원본데이터_리씽크!X555</f>
        <v>63000</v>
      </c>
      <c r="K1459" t="str">
        <f>IFERROR(VLOOKUP(E1459,제품마스터!$A:$B,2,0),0)</f>
        <v>[워커힐] 시그니처 양념갈비 300G</v>
      </c>
      <c r="L1459" t="e">
        <f>원본데이터_리씽크!P555*원본데이터_리씽크!Q555*F1459</f>
        <v>#VALUE!</v>
      </c>
    </row>
    <row r="1460" spans="1:12" x14ac:dyDescent="0.3">
      <c r="A1460" t="s">
        <v>196</v>
      </c>
      <c r="B1460" t="str">
        <f>TEXT(원본데이터_리씽크!B556,"0")</f>
        <v>2026020620341760000</v>
      </c>
      <c r="C1460" t="str">
        <f>IF(원본데이터_리씽크!A556="","",TEXT(원본데이터_리씽크!A556,"YYYY-MM-DD"))</f>
        <v>2026-02-06</v>
      </c>
      <c r="D1460">
        <f>원본데이터_리씽크!S556</f>
        <v>143790</v>
      </c>
      <c r="E1460" t="str">
        <f>IFERROR(VLOOKUP(원본데이터_리씽크!S556,채널매핑!$B:$D,3,0),"미매핑")</f>
        <v>SKU001</v>
      </c>
      <c r="F1460">
        <f>IFERROR(VLOOKUP(원본데이터_리씽크!S556,채널매핑!$B:$E,4,0),1)</f>
        <v>4</v>
      </c>
      <c r="G1460">
        <f>원본데이터_리씽크!P556</f>
        <v>1</v>
      </c>
      <c r="H1460">
        <f>원본데이터_리씽크!O556</f>
        <v>63000</v>
      </c>
      <c r="I1460">
        <f>원본데이터_리씽크!X556</f>
        <v>63000</v>
      </c>
      <c r="J1460">
        <f>원본데이터_리씽크!X556</f>
        <v>63000</v>
      </c>
      <c r="K1460" t="str">
        <f>IFERROR(VLOOKUP(E1460,제품마스터!$A:$B,2,0),0)</f>
        <v>[워커힐] 시그니처 양념갈비 300G</v>
      </c>
      <c r="L1460" t="e">
        <f>원본데이터_리씽크!P556*원본데이터_리씽크!Q556*F1460</f>
        <v>#VALUE!</v>
      </c>
    </row>
    <row r="1461" spans="1:12" x14ac:dyDescent="0.3">
      <c r="A1461" t="s">
        <v>196</v>
      </c>
      <c r="B1461" t="str">
        <f>TEXT(원본데이터_리씽크!B557,"0")</f>
        <v>2026020620293540000</v>
      </c>
      <c r="C1461" t="str">
        <f>IF(원본데이터_리씽크!A557="","",TEXT(원본데이터_리씽크!A557,"YYYY-MM-DD"))</f>
        <v>2026-02-06</v>
      </c>
      <c r="D1461">
        <f>원본데이터_리씽크!S557</f>
        <v>143790</v>
      </c>
      <c r="E1461" t="str">
        <f>IFERROR(VLOOKUP(원본데이터_리씽크!S557,채널매핑!$B:$D,3,0),"미매핑")</f>
        <v>SKU001</v>
      </c>
      <c r="F1461">
        <f>IFERROR(VLOOKUP(원본데이터_리씽크!S557,채널매핑!$B:$E,4,0),1)</f>
        <v>4</v>
      </c>
      <c r="G1461">
        <f>원본데이터_리씽크!P557</f>
        <v>1</v>
      </c>
      <c r="H1461">
        <f>원본데이터_리씽크!O557</f>
        <v>63000</v>
      </c>
      <c r="I1461">
        <f>원본데이터_리씽크!X557</f>
        <v>63000</v>
      </c>
      <c r="J1461">
        <f>원본데이터_리씽크!X557</f>
        <v>63000</v>
      </c>
      <c r="K1461" t="str">
        <f>IFERROR(VLOOKUP(E1461,제품마스터!$A:$B,2,0),0)</f>
        <v>[워커힐] 시그니처 양념갈비 300G</v>
      </c>
      <c r="L1461" t="e">
        <f>원본데이터_리씽크!P557*원본데이터_리씽크!Q557*F1461</f>
        <v>#VALUE!</v>
      </c>
    </row>
    <row r="1462" spans="1:12" x14ac:dyDescent="0.3">
      <c r="A1462" t="s">
        <v>196</v>
      </c>
      <c r="B1462" t="str">
        <f>TEXT(원본데이터_리씽크!B558,"0")</f>
        <v>2026020620075500000</v>
      </c>
      <c r="C1462" t="str">
        <f>IF(원본데이터_리씽크!A558="","",TEXT(원본데이터_리씽크!A558,"YYYY-MM-DD"))</f>
        <v>2026-02-06</v>
      </c>
      <c r="D1462">
        <f>원본데이터_리씽크!S558</f>
        <v>143790</v>
      </c>
      <c r="E1462" t="str">
        <f>IFERROR(VLOOKUP(원본데이터_리씽크!S558,채널매핑!$B:$D,3,0),"미매핑")</f>
        <v>SKU001</v>
      </c>
      <c r="F1462">
        <f>IFERROR(VLOOKUP(원본데이터_리씽크!S558,채널매핑!$B:$E,4,0),1)</f>
        <v>4</v>
      </c>
      <c r="G1462">
        <f>원본데이터_리씽크!P558</f>
        <v>1</v>
      </c>
      <c r="H1462">
        <f>원본데이터_리씽크!O558</f>
        <v>63000</v>
      </c>
      <c r="I1462">
        <f>원본데이터_리씽크!X558</f>
        <v>63000</v>
      </c>
      <c r="J1462">
        <f>원본데이터_리씽크!X558</f>
        <v>63000</v>
      </c>
      <c r="K1462" t="str">
        <f>IFERROR(VLOOKUP(E1462,제품마스터!$A:$B,2,0),0)</f>
        <v>[워커힐] 시그니처 양념갈비 300G</v>
      </c>
      <c r="L1462" t="e">
        <f>원본데이터_리씽크!P558*원본데이터_리씽크!Q558*F1462</f>
        <v>#VALUE!</v>
      </c>
    </row>
    <row r="1463" spans="1:12" x14ac:dyDescent="0.3">
      <c r="A1463" t="s">
        <v>196</v>
      </c>
      <c r="B1463" t="str">
        <f>TEXT(원본데이터_리씽크!B559,"0")</f>
        <v>2026020619591920000</v>
      </c>
      <c r="C1463" t="str">
        <f>IF(원본데이터_리씽크!A559="","",TEXT(원본데이터_리씽크!A559,"YYYY-MM-DD"))</f>
        <v>2026-02-06</v>
      </c>
      <c r="D1463">
        <f>원본데이터_리씽크!S559</f>
        <v>143790</v>
      </c>
      <c r="E1463" t="str">
        <f>IFERROR(VLOOKUP(원본데이터_리씽크!S559,채널매핑!$B:$D,3,0),"미매핑")</f>
        <v>SKU001</v>
      </c>
      <c r="F1463">
        <f>IFERROR(VLOOKUP(원본데이터_리씽크!S559,채널매핑!$B:$E,4,0),1)</f>
        <v>4</v>
      </c>
      <c r="G1463">
        <f>원본데이터_리씽크!P559</f>
        <v>1</v>
      </c>
      <c r="H1463">
        <f>원본데이터_리씽크!O559</f>
        <v>63000</v>
      </c>
      <c r="I1463">
        <f>원본데이터_리씽크!X559</f>
        <v>63000</v>
      </c>
      <c r="J1463">
        <f>원본데이터_리씽크!X559</f>
        <v>63000</v>
      </c>
      <c r="K1463" t="str">
        <f>IFERROR(VLOOKUP(E1463,제품마스터!$A:$B,2,0),0)</f>
        <v>[워커힐] 시그니처 양념갈비 300G</v>
      </c>
      <c r="L1463" t="e">
        <f>원본데이터_리씽크!P559*원본데이터_리씽크!Q559*F1463</f>
        <v>#VALUE!</v>
      </c>
    </row>
    <row r="1464" spans="1:12" x14ac:dyDescent="0.3">
      <c r="A1464" t="s">
        <v>196</v>
      </c>
      <c r="B1464" t="str">
        <f>TEXT(원본데이터_리씽크!B560,"0")</f>
        <v>2026020619064000000</v>
      </c>
      <c r="C1464" t="str">
        <f>IF(원본데이터_리씽크!A560="","",TEXT(원본데이터_리씽크!A560,"YYYY-MM-DD"))</f>
        <v>2026-02-06</v>
      </c>
      <c r="D1464">
        <f>원본데이터_리씽크!S560</f>
        <v>143790</v>
      </c>
      <c r="E1464" t="str">
        <f>IFERROR(VLOOKUP(원본데이터_리씽크!S560,채널매핑!$B:$D,3,0),"미매핑")</f>
        <v>SKU001</v>
      </c>
      <c r="F1464">
        <f>IFERROR(VLOOKUP(원본데이터_리씽크!S560,채널매핑!$B:$E,4,0),1)</f>
        <v>4</v>
      </c>
      <c r="G1464">
        <f>원본데이터_리씽크!P560</f>
        <v>1</v>
      </c>
      <c r="H1464">
        <f>원본데이터_리씽크!O560</f>
        <v>63000</v>
      </c>
      <c r="I1464">
        <f>원본데이터_리씽크!X560</f>
        <v>63000</v>
      </c>
      <c r="J1464">
        <f>원본데이터_리씽크!X560</f>
        <v>63000</v>
      </c>
      <c r="K1464" t="str">
        <f>IFERROR(VLOOKUP(E1464,제품마스터!$A:$B,2,0),0)</f>
        <v>[워커힐] 시그니처 양념갈비 300G</v>
      </c>
      <c r="L1464" t="e">
        <f>원본데이터_리씽크!P560*원본데이터_리씽크!Q560*F1464</f>
        <v>#VALUE!</v>
      </c>
    </row>
    <row r="1465" spans="1:12" x14ac:dyDescent="0.3">
      <c r="A1465" t="s">
        <v>196</v>
      </c>
      <c r="B1465" t="str">
        <f>TEXT(원본데이터_리씽크!B561,"0")</f>
        <v>2026020616562110000</v>
      </c>
      <c r="C1465" t="str">
        <f>IF(원본데이터_리씽크!A561="","",TEXT(원본데이터_리씽크!A561,"YYYY-MM-DD"))</f>
        <v>2026-02-06</v>
      </c>
      <c r="D1465">
        <f>원본데이터_리씽크!S561</f>
        <v>143790</v>
      </c>
      <c r="E1465" t="str">
        <f>IFERROR(VLOOKUP(원본데이터_리씽크!S561,채널매핑!$B:$D,3,0),"미매핑")</f>
        <v>SKU001</v>
      </c>
      <c r="F1465">
        <f>IFERROR(VLOOKUP(원본데이터_리씽크!S561,채널매핑!$B:$E,4,0),1)</f>
        <v>4</v>
      </c>
      <c r="G1465">
        <f>원본데이터_리씽크!P561</f>
        <v>1</v>
      </c>
      <c r="H1465">
        <f>원본데이터_리씽크!O561</f>
        <v>63000</v>
      </c>
      <c r="I1465">
        <f>원본데이터_리씽크!X561</f>
        <v>63000</v>
      </c>
      <c r="J1465">
        <f>원본데이터_리씽크!X561</f>
        <v>63000</v>
      </c>
      <c r="K1465" t="str">
        <f>IFERROR(VLOOKUP(E1465,제품마스터!$A:$B,2,0),0)</f>
        <v>[워커힐] 시그니처 양념갈비 300G</v>
      </c>
      <c r="L1465" t="e">
        <f>원본데이터_리씽크!P561*원본데이터_리씽크!Q561*F1465</f>
        <v>#VALUE!</v>
      </c>
    </row>
    <row r="1466" spans="1:12" x14ac:dyDescent="0.3">
      <c r="A1466" t="s">
        <v>196</v>
      </c>
      <c r="B1466" t="str">
        <f>TEXT(원본데이터_리씽크!B562,"0")</f>
        <v>2026020614402570000</v>
      </c>
      <c r="C1466" t="str">
        <f>IF(원본데이터_리씽크!A562="","",TEXT(원본데이터_리씽크!A562,"YYYY-MM-DD"))</f>
        <v>2026-02-06</v>
      </c>
      <c r="D1466">
        <f>원본데이터_리씽크!S562</f>
        <v>143790</v>
      </c>
      <c r="E1466" t="str">
        <f>IFERROR(VLOOKUP(원본데이터_리씽크!S562,채널매핑!$B:$D,3,0),"미매핑")</f>
        <v>SKU001</v>
      </c>
      <c r="F1466">
        <f>IFERROR(VLOOKUP(원본데이터_리씽크!S562,채널매핑!$B:$E,4,0),1)</f>
        <v>4</v>
      </c>
      <c r="G1466">
        <f>원본데이터_리씽크!P562</f>
        <v>2</v>
      </c>
      <c r="H1466">
        <f>원본데이터_리씽크!O562</f>
        <v>63000</v>
      </c>
      <c r="I1466">
        <f>원본데이터_리씽크!X562</f>
        <v>126000</v>
      </c>
      <c r="J1466">
        <f>원본데이터_리씽크!X562</f>
        <v>126000</v>
      </c>
      <c r="K1466" t="str">
        <f>IFERROR(VLOOKUP(E1466,제품마스터!$A:$B,2,0),0)</f>
        <v>[워커힐] 시그니처 양념갈비 300G</v>
      </c>
      <c r="L1466" t="e">
        <f>원본데이터_리씽크!P562*원본데이터_리씽크!Q562*F1466</f>
        <v>#VALUE!</v>
      </c>
    </row>
    <row r="1467" spans="1:12" x14ac:dyDescent="0.3">
      <c r="A1467" t="s">
        <v>196</v>
      </c>
      <c r="B1467" t="str">
        <f>TEXT(원본데이터_리씽크!B563,"0")</f>
        <v>2026020614370040000</v>
      </c>
      <c r="C1467" t="str">
        <f>IF(원본데이터_리씽크!A563="","",TEXT(원본데이터_리씽크!A563,"YYYY-MM-DD"))</f>
        <v>2026-02-06</v>
      </c>
      <c r="D1467">
        <f>원본데이터_리씽크!S563</f>
        <v>143790</v>
      </c>
      <c r="E1467" t="str">
        <f>IFERROR(VLOOKUP(원본데이터_리씽크!S563,채널매핑!$B:$D,3,0),"미매핑")</f>
        <v>SKU001</v>
      </c>
      <c r="F1467">
        <f>IFERROR(VLOOKUP(원본데이터_리씽크!S563,채널매핑!$B:$E,4,0),1)</f>
        <v>4</v>
      </c>
      <c r="G1467">
        <f>원본데이터_리씽크!P563</f>
        <v>2</v>
      </c>
      <c r="H1467">
        <f>원본데이터_리씽크!O563</f>
        <v>63000</v>
      </c>
      <c r="I1467">
        <f>원본데이터_리씽크!X563</f>
        <v>126000</v>
      </c>
      <c r="J1467">
        <f>원본데이터_리씽크!X563</f>
        <v>126000</v>
      </c>
      <c r="K1467" t="str">
        <f>IFERROR(VLOOKUP(E1467,제품마스터!$A:$B,2,0),0)</f>
        <v>[워커힐] 시그니처 양념갈비 300G</v>
      </c>
      <c r="L1467" t="e">
        <f>원본데이터_리씽크!P563*원본데이터_리씽크!Q563*F1467</f>
        <v>#VALUE!</v>
      </c>
    </row>
    <row r="1468" spans="1:12" x14ac:dyDescent="0.3">
      <c r="A1468" t="s">
        <v>196</v>
      </c>
      <c r="B1468" t="str">
        <f>TEXT(원본데이터_리씽크!B564,"0")</f>
        <v>2026020613542710000</v>
      </c>
      <c r="C1468" t="str">
        <f>IF(원본데이터_리씽크!A564="","",TEXT(원본데이터_리씽크!A564,"YYYY-MM-DD"))</f>
        <v>2026-02-06</v>
      </c>
      <c r="D1468">
        <f>원본데이터_리씽크!S564</f>
        <v>143790</v>
      </c>
      <c r="E1468" t="str">
        <f>IFERROR(VLOOKUP(원본데이터_리씽크!S564,채널매핑!$B:$D,3,0),"미매핑")</f>
        <v>SKU001</v>
      </c>
      <c r="F1468">
        <f>IFERROR(VLOOKUP(원본데이터_리씽크!S564,채널매핑!$B:$E,4,0),1)</f>
        <v>4</v>
      </c>
      <c r="G1468">
        <f>원본데이터_리씽크!P564</f>
        <v>1</v>
      </c>
      <c r="H1468">
        <f>원본데이터_리씽크!O564</f>
        <v>63000</v>
      </c>
      <c r="I1468">
        <f>원본데이터_리씽크!X564</f>
        <v>63000</v>
      </c>
      <c r="J1468">
        <f>원본데이터_리씽크!X564</f>
        <v>63000</v>
      </c>
      <c r="K1468" t="str">
        <f>IFERROR(VLOOKUP(E1468,제품마스터!$A:$B,2,0),0)</f>
        <v>[워커힐] 시그니처 양념갈비 300G</v>
      </c>
      <c r="L1468" t="e">
        <f>원본데이터_리씽크!P564*원본데이터_리씽크!Q564*F1468</f>
        <v>#VALUE!</v>
      </c>
    </row>
    <row r="1469" spans="1:12" x14ac:dyDescent="0.3">
      <c r="A1469" t="s">
        <v>196</v>
      </c>
      <c r="B1469" t="str">
        <f>TEXT(원본데이터_리씽크!B565,"0")</f>
        <v>2026021008005590000</v>
      </c>
      <c r="C1469" t="str">
        <f>IF(원본데이터_리씽크!A565="","",TEXT(원본데이터_리씽크!A565,"YYYY-MM-DD"))</f>
        <v>2026-02-10</v>
      </c>
      <c r="D1469">
        <f>원본데이터_리씽크!S565</f>
        <v>143790</v>
      </c>
      <c r="E1469" t="str">
        <f>IFERROR(VLOOKUP(원본데이터_리씽크!S565,채널매핑!$B:$D,3,0),"미매핑")</f>
        <v>SKU001</v>
      </c>
      <c r="F1469">
        <f>IFERROR(VLOOKUP(원본데이터_리씽크!S565,채널매핑!$B:$E,4,0),1)</f>
        <v>4</v>
      </c>
      <c r="G1469">
        <f>원본데이터_리씽크!P565</f>
        <v>1</v>
      </c>
      <c r="H1469">
        <f>원본데이터_리씽크!O565</f>
        <v>45500</v>
      </c>
      <c r="I1469">
        <f>원본데이터_리씽크!X565</f>
        <v>45500</v>
      </c>
      <c r="J1469">
        <f>원본데이터_리씽크!X565</f>
        <v>45500</v>
      </c>
      <c r="K1469" t="str">
        <f>IFERROR(VLOOKUP(E1469,제품마스터!$A:$B,2,0),0)</f>
        <v>[워커힐] 시그니처 양념갈비 300G</v>
      </c>
      <c r="L1469">
        <f>원본데이터_리씽크!P565*원본데이터_리씽크!Q565*F1469</f>
        <v>0</v>
      </c>
    </row>
    <row r="1470" spans="1:12" x14ac:dyDescent="0.3">
      <c r="A1470" t="s">
        <v>196</v>
      </c>
      <c r="B1470" t="str">
        <f>TEXT(원본데이터_리씽크!B566,"0")</f>
        <v>2026021007171170000</v>
      </c>
      <c r="C1470" t="str">
        <f>IF(원본데이터_리씽크!A566="","",TEXT(원본데이터_리씽크!A566,"YYYY-MM-DD"))</f>
        <v>2026-02-10</v>
      </c>
      <c r="D1470">
        <f>원본데이터_리씽크!S566</f>
        <v>143790</v>
      </c>
      <c r="E1470" t="str">
        <f>IFERROR(VLOOKUP(원본데이터_리씽크!S566,채널매핑!$B:$D,3,0),"미매핑")</f>
        <v>SKU001</v>
      </c>
      <c r="F1470">
        <f>IFERROR(VLOOKUP(원본데이터_리씽크!S566,채널매핑!$B:$E,4,0),1)</f>
        <v>4</v>
      </c>
      <c r="G1470">
        <f>원본데이터_리씽크!P566</f>
        <v>1</v>
      </c>
      <c r="H1470">
        <f>원본데이터_리씽크!O566</f>
        <v>45500</v>
      </c>
      <c r="I1470">
        <f>원본데이터_리씽크!X566</f>
        <v>45500</v>
      </c>
      <c r="J1470">
        <f>원본데이터_리씽크!X566</f>
        <v>45500</v>
      </c>
      <c r="K1470" t="str">
        <f>IFERROR(VLOOKUP(E1470,제품마스터!$A:$B,2,0),0)</f>
        <v>[워커힐] 시그니처 양념갈비 300G</v>
      </c>
      <c r="L1470">
        <f>원본데이터_리씽크!P566*원본데이터_리씽크!Q566*F1470</f>
        <v>0</v>
      </c>
    </row>
    <row r="1471" spans="1:12" x14ac:dyDescent="0.3">
      <c r="A1471" t="s">
        <v>196</v>
      </c>
      <c r="B1471" t="str">
        <f>TEXT(원본데이터_리씽크!B567,"0")</f>
        <v>2026021007055700000</v>
      </c>
      <c r="C1471" t="str">
        <f>IF(원본데이터_리씽크!A567="","",TEXT(원본데이터_리씽크!A567,"YYYY-MM-DD"))</f>
        <v>2026-02-10</v>
      </c>
      <c r="D1471">
        <f>원본데이터_리씽크!S567</f>
        <v>143790</v>
      </c>
      <c r="E1471" t="str">
        <f>IFERROR(VLOOKUP(원본데이터_리씽크!S567,채널매핑!$B:$D,3,0),"미매핑")</f>
        <v>SKU001</v>
      </c>
      <c r="F1471">
        <f>IFERROR(VLOOKUP(원본데이터_리씽크!S567,채널매핑!$B:$E,4,0),1)</f>
        <v>4</v>
      </c>
      <c r="G1471">
        <f>원본데이터_리씽크!P567</f>
        <v>1</v>
      </c>
      <c r="H1471">
        <f>원본데이터_리씽크!O567</f>
        <v>45500</v>
      </c>
      <c r="I1471">
        <f>원본데이터_리씽크!X567</f>
        <v>45500</v>
      </c>
      <c r="J1471">
        <f>원본데이터_리씽크!X567</f>
        <v>45500</v>
      </c>
      <c r="K1471" t="str">
        <f>IFERROR(VLOOKUP(E1471,제품마스터!$A:$B,2,0),0)</f>
        <v>[워커힐] 시그니처 양념갈비 300G</v>
      </c>
      <c r="L1471">
        <f>원본데이터_리씽크!P567*원본데이터_리씽크!Q567*F1471</f>
        <v>0</v>
      </c>
    </row>
    <row r="1472" spans="1:12" x14ac:dyDescent="0.3">
      <c r="A1472" t="s">
        <v>196</v>
      </c>
      <c r="B1472" t="str">
        <f>TEXT(원본데이터_리씽크!B568,"0")</f>
        <v>2026021000203020000</v>
      </c>
      <c r="C1472" t="str">
        <f>IF(원본데이터_리씽크!A568="","",TEXT(원본데이터_리씽크!A568,"YYYY-MM-DD"))</f>
        <v>2026-02-10</v>
      </c>
      <c r="D1472">
        <f>원본데이터_리씽크!S568</f>
        <v>143790</v>
      </c>
      <c r="E1472" t="str">
        <f>IFERROR(VLOOKUP(원본데이터_리씽크!S568,채널매핑!$B:$D,3,0),"미매핑")</f>
        <v>SKU001</v>
      </c>
      <c r="F1472">
        <f>IFERROR(VLOOKUP(원본데이터_리씽크!S568,채널매핑!$B:$E,4,0),1)</f>
        <v>4</v>
      </c>
      <c r="G1472">
        <f>원본데이터_리씽크!P568</f>
        <v>1</v>
      </c>
      <c r="H1472">
        <f>원본데이터_리씽크!O568</f>
        <v>45500</v>
      </c>
      <c r="I1472">
        <f>원본데이터_리씽크!X568</f>
        <v>45500</v>
      </c>
      <c r="J1472">
        <f>원본데이터_리씽크!X568</f>
        <v>45500</v>
      </c>
      <c r="K1472" t="str">
        <f>IFERROR(VLOOKUP(E1472,제품마스터!$A:$B,2,0),0)</f>
        <v>[워커힐] 시그니처 양념갈비 300G</v>
      </c>
      <c r="L1472">
        <f>원본데이터_리씽크!P568*원본데이터_리씽크!Q568*F1472</f>
        <v>0</v>
      </c>
    </row>
    <row r="1473" spans="1:12" x14ac:dyDescent="0.3">
      <c r="A1473" t="s">
        <v>196</v>
      </c>
      <c r="B1473" t="str">
        <f>TEXT(원본데이터_리씽크!B569,"0")</f>
        <v>2026020920475760000</v>
      </c>
      <c r="C1473" t="str">
        <f>IF(원본데이터_리씽크!A569="","",TEXT(원본데이터_리씽크!A569,"YYYY-MM-DD"))</f>
        <v>2026-02-09</v>
      </c>
      <c r="D1473">
        <f>원본데이터_리씽크!S569</f>
        <v>143790</v>
      </c>
      <c r="E1473" t="str">
        <f>IFERROR(VLOOKUP(원본데이터_리씽크!S569,채널매핑!$B:$D,3,0),"미매핑")</f>
        <v>SKU001</v>
      </c>
      <c r="F1473">
        <f>IFERROR(VLOOKUP(원본데이터_리씽크!S569,채널매핑!$B:$E,4,0),1)</f>
        <v>4</v>
      </c>
      <c r="G1473">
        <f>원본데이터_리씽크!P569</f>
        <v>2</v>
      </c>
      <c r="H1473">
        <f>원본데이터_리씽크!O569</f>
        <v>45500</v>
      </c>
      <c r="I1473">
        <f>원본데이터_리씽크!X569</f>
        <v>91000</v>
      </c>
      <c r="J1473">
        <f>원본데이터_리씽크!X569</f>
        <v>91000</v>
      </c>
      <c r="K1473" t="str">
        <f>IFERROR(VLOOKUP(E1473,제품마스터!$A:$B,2,0),0)</f>
        <v>[워커힐] 시그니처 양념갈비 300G</v>
      </c>
      <c r="L1473">
        <f>원본데이터_리씽크!P569*원본데이터_리씽크!Q569*F1473</f>
        <v>0</v>
      </c>
    </row>
    <row r="1474" spans="1:12" x14ac:dyDescent="0.3">
      <c r="A1474" t="s">
        <v>196</v>
      </c>
      <c r="B1474" t="str">
        <f>TEXT(원본데이터_리씽크!B570,"0")</f>
        <v>2026020919184090000</v>
      </c>
      <c r="C1474" t="str">
        <f>IF(원본데이터_리씽크!A570="","",TEXT(원본데이터_리씽크!A570,"YYYY-MM-DD"))</f>
        <v>2026-02-09</v>
      </c>
      <c r="D1474">
        <f>원본데이터_리씽크!S570</f>
        <v>143790</v>
      </c>
      <c r="E1474" t="str">
        <f>IFERROR(VLOOKUP(원본데이터_리씽크!S570,채널매핑!$B:$D,3,0),"미매핑")</f>
        <v>SKU001</v>
      </c>
      <c r="F1474">
        <f>IFERROR(VLOOKUP(원본데이터_리씽크!S570,채널매핑!$B:$E,4,0),1)</f>
        <v>4</v>
      </c>
      <c r="G1474">
        <f>원본데이터_리씽크!P570</f>
        <v>2</v>
      </c>
      <c r="H1474">
        <f>원본데이터_리씽크!O570</f>
        <v>45500</v>
      </c>
      <c r="I1474">
        <f>원본데이터_리씽크!X570</f>
        <v>91000</v>
      </c>
      <c r="J1474">
        <f>원본데이터_리씽크!X570</f>
        <v>91000</v>
      </c>
      <c r="K1474" t="str">
        <f>IFERROR(VLOOKUP(E1474,제품마스터!$A:$B,2,0),0)</f>
        <v>[워커힐] 시그니처 양념갈비 300G</v>
      </c>
      <c r="L1474">
        <f>원본데이터_리씽크!P570*원본데이터_리씽크!Q570*F1474</f>
        <v>0</v>
      </c>
    </row>
    <row r="1475" spans="1:12" x14ac:dyDescent="0.3">
      <c r="A1475" t="s">
        <v>196</v>
      </c>
      <c r="B1475" t="str">
        <f>TEXT(원본데이터_리씽크!B571,"0")</f>
        <v>2026020919161020000</v>
      </c>
      <c r="C1475" t="str">
        <f>IF(원본데이터_리씽크!A571="","",TEXT(원본데이터_리씽크!A571,"YYYY-MM-DD"))</f>
        <v>2026-02-09</v>
      </c>
      <c r="D1475">
        <f>원본데이터_리씽크!S571</f>
        <v>143790</v>
      </c>
      <c r="E1475" t="str">
        <f>IFERROR(VLOOKUP(원본데이터_리씽크!S571,채널매핑!$B:$D,3,0),"미매핑")</f>
        <v>SKU001</v>
      </c>
      <c r="F1475">
        <f>IFERROR(VLOOKUP(원본데이터_리씽크!S571,채널매핑!$B:$E,4,0),1)</f>
        <v>4</v>
      </c>
      <c r="G1475">
        <f>원본데이터_리씽크!P571</f>
        <v>1</v>
      </c>
      <c r="H1475">
        <f>원본데이터_리씽크!O571</f>
        <v>45500</v>
      </c>
      <c r="I1475">
        <f>원본데이터_리씽크!X571</f>
        <v>45500</v>
      </c>
      <c r="J1475">
        <f>원본데이터_리씽크!X571</f>
        <v>45500</v>
      </c>
      <c r="K1475" t="str">
        <f>IFERROR(VLOOKUP(E1475,제품마스터!$A:$B,2,0),0)</f>
        <v>[워커힐] 시그니처 양념갈비 300G</v>
      </c>
      <c r="L1475">
        <f>원본데이터_리씽크!P571*원본데이터_리씽크!Q571*F1475</f>
        <v>0</v>
      </c>
    </row>
    <row r="1476" spans="1:12" x14ac:dyDescent="0.3">
      <c r="A1476" t="s">
        <v>196</v>
      </c>
      <c r="B1476" t="str">
        <f>TEXT(원본데이터_리씽크!B572,"0")</f>
        <v>2026020919133670000</v>
      </c>
      <c r="C1476" t="str">
        <f>IF(원본데이터_리씽크!A572="","",TEXT(원본데이터_리씽크!A572,"YYYY-MM-DD"))</f>
        <v>2026-02-09</v>
      </c>
      <c r="D1476">
        <f>원본데이터_리씽크!S572</f>
        <v>143790</v>
      </c>
      <c r="E1476" t="str">
        <f>IFERROR(VLOOKUP(원본데이터_리씽크!S572,채널매핑!$B:$D,3,0),"미매핑")</f>
        <v>SKU001</v>
      </c>
      <c r="F1476">
        <f>IFERROR(VLOOKUP(원본데이터_리씽크!S572,채널매핑!$B:$E,4,0),1)</f>
        <v>4</v>
      </c>
      <c r="G1476">
        <f>원본데이터_리씽크!P572</f>
        <v>1</v>
      </c>
      <c r="H1476">
        <f>원본데이터_리씽크!O572</f>
        <v>45500</v>
      </c>
      <c r="I1476">
        <f>원본데이터_리씽크!X572</f>
        <v>45500</v>
      </c>
      <c r="J1476">
        <f>원본데이터_리씽크!X572</f>
        <v>45500</v>
      </c>
      <c r="K1476" t="str">
        <f>IFERROR(VLOOKUP(E1476,제품마스터!$A:$B,2,0),0)</f>
        <v>[워커힐] 시그니처 양념갈비 300G</v>
      </c>
      <c r="L1476">
        <f>원본데이터_리씽크!P572*원본데이터_리씽크!Q572*F1476</f>
        <v>0</v>
      </c>
    </row>
    <row r="1477" spans="1:12" x14ac:dyDescent="0.3">
      <c r="A1477" t="s">
        <v>196</v>
      </c>
      <c r="B1477" t="str">
        <f>TEXT(원본데이터_리씽크!B573,"0")</f>
        <v>2026020919005540000</v>
      </c>
      <c r="C1477" t="str">
        <f>IF(원본데이터_리씽크!A573="","",TEXT(원본데이터_리씽크!A573,"YYYY-MM-DD"))</f>
        <v>2026-02-09</v>
      </c>
      <c r="D1477">
        <f>원본데이터_리씽크!S573</f>
        <v>143790</v>
      </c>
      <c r="E1477" t="str">
        <f>IFERROR(VLOOKUP(원본데이터_리씽크!S573,채널매핑!$B:$D,3,0),"미매핑")</f>
        <v>SKU001</v>
      </c>
      <c r="F1477">
        <f>IFERROR(VLOOKUP(원본데이터_리씽크!S573,채널매핑!$B:$E,4,0),1)</f>
        <v>4</v>
      </c>
      <c r="G1477">
        <f>원본데이터_리씽크!P573</f>
        <v>1</v>
      </c>
      <c r="H1477">
        <f>원본데이터_리씽크!O573</f>
        <v>45500</v>
      </c>
      <c r="I1477">
        <f>원본데이터_리씽크!X573</f>
        <v>45500</v>
      </c>
      <c r="J1477">
        <f>원본데이터_리씽크!X573</f>
        <v>45500</v>
      </c>
      <c r="K1477" t="str">
        <f>IFERROR(VLOOKUP(E1477,제품마스터!$A:$B,2,0),0)</f>
        <v>[워커힐] 시그니처 양념갈비 300G</v>
      </c>
      <c r="L1477">
        <f>원본데이터_리씽크!P573*원본데이터_리씽크!Q573*F1477</f>
        <v>0</v>
      </c>
    </row>
    <row r="1478" spans="1:12" x14ac:dyDescent="0.3">
      <c r="A1478" t="s">
        <v>196</v>
      </c>
      <c r="B1478" t="str">
        <f>TEXT(원본데이터_리씽크!B574,"0")</f>
        <v>2026020918520970000</v>
      </c>
      <c r="C1478" t="str">
        <f>IF(원본데이터_리씽크!A574="","",TEXT(원본데이터_리씽크!A574,"YYYY-MM-DD"))</f>
        <v>2026-02-09</v>
      </c>
      <c r="D1478">
        <f>원본데이터_리씽크!S574</f>
        <v>143790</v>
      </c>
      <c r="E1478" t="str">
        <f>IFERROR(VLOOKUP(원본데이터_리씽크!S574,채널매핑!$B:$D,3,0),"미매핑")</f>
        <v>SKU001</v>
      </c>
      <c r="F1478">
        <f>IFERROR(VLOOKUP(원본데이터_리씽크!S574,채널매핑!$B:$E,4,0),1)</f>
        <v>4</v>
      </c>
      <c r="G1478">
        <f>원본데이터_리씽크!P574</f>
        <v>2</v>
      </c>
      <c r="H1478">
        <f>원본데이터_리씽크!O574</f>
        <v>45500</v>
      </c>
      <c r="I1478">
        <f>원본데이터_리씽크!X574</f>
        <v>91000</v>
      </c>
      <c r="J1478">
        <f>원본데이터_리씽크!X574</f>
        <v>91000</v>
      </c>
      <c r="K1478" t="str">
        <f>IFERROR(VLOOKUP(E1478,제품마스터!$A:$B,2,0),0)</f>
        <v>[워커힐] 시그니처 양념갈비 300G</v>
      </c>
      <c r="L1478">
        <f>원본데이터_리씽크!P574*원본데이터_리씽크!Q574*F1478</f>
        <v>0</v>
      </c>
    </row>
    <row r="1479" spans="1:12" x14ac:dyDescent="0.3">
      <c r="A1479" t="s">
        <v>196</v>
      </c>
      <c r="B1479" t="str">
        <f>TEXT(원본데이터_리씽크!B575,"0")</f>
        <v>2026020918490390000</v>
      </c>
      <c r="C1479" t="str">
        <f>IF(원본데이터_리씽크!A575="","",TEXT(원본데이터_리씽크!A575,"YYYY-MM-DD"))</f>
        <v>2026-02-09</v>
      </c>
      <c r="D1479">
        <f>원본데이터_리씽크!S575</f>
        <v>143790</v>
      </c>
      <c r="E1479" t="str">
        <f>IFERROR(VLOOKUP(원본데이터_리씽크!S575,채널매핑!$B:$D,3,0),"미매핑")</f>
        <v>SKU001</v>
      </c>
      <c r="F1479">
        <f>IFERROR(VLOOKUP(원본데이터_리씽크!S575,채널매핑!$B:$E,4,0),1)</f>
        <v>4</v>
      </c>
      <c r="G1479">
        <f>원본데이터_리씽크!P575</f>
        <v>1</v>
      </c>
      <c r="H1479">
        <f>원본데이터_리씽크!O575</f>
        <v>45500</v>
      </c>
      <c r="I1479">
        <f>원본데이터_리씽크!X575</f>
        <v>45500</v>
      </c>
      <c r="J1479">
        <f>원본데이터_리씽크!X575</f>
        <v>45500</v>
      </c>
      <c r="K1479" t="str">
        <f>IFERROR(VLOOKUP(E1479,제품마스터!$A:$B,2,0),0)</f>
        <v>[워커힐] 시그니처 양념갈비 300G</v>
      </c>
      <c r="L1479">
        <f>원본데이터_리씽크!P575*원본데이터_리씽크!Q575*F1479</f>
        <v>0</v>
      </c>
    </row>
    <row r="1480" spans="1:12" x14ac:dyDescent="0.3">
      <c r="A1480" t="s">
        <v>196</v>
      </c>
      <c r="B1480" t="str">
        <f>TEXT(원본데이터_리씽크!B576,"0")</f>
        <v>2026020918394100000</v>
      </c>
      <c r="C1480" t="str">
        <f>IF(원본데이터_리씽크!A576="","",TEXT(원본데이터_리씽크!A576,"YYYY-MM-DD"))</f>
        <v>2026-02-09</v>
      </c>
      <c r="D1480">
        <f>원본데이터_리씽크!S576</f>
        <v>143790</v>
      </c>
      <c r="E1480" t="str">
        <f>IFERROR(VLOOKUP(원본데이터_리씽크!S576,채널매핑!$B:$D,3,0),"미매핑")</f>
        <v>SKU001</v>
      </c>
      <c r="F1480">
        <f>IFERROR(VLOOKUP(원본데이터_리씽크!S576,채널매핑!$B:$E,4,0),1)</f>
        <v>4</v>
      </c>
      <c r="G1480">
        <f>원본데이터_리씽크!P576</f>
        <v>1</v>
      </c>
      <c r="H1480">
        <f>원본데이터_리씽크!O576</f>
        <v>45500</v>
      </c>
      <c r="I1480">
        <f>원본데이터_리씽크!X576</f>
        <v>45500</v>
      </c>
      <c r="J1480">
        <f>원본데이터_리씽크!X576</f>
        <v>45500</v>
      </c>
      <c r="K1480" t="str">
        <f>IFERROR(VLOOKUP(E1480,제품마스터!$A:$B,2,0),0)</f>
        <v>[워커힐] 시그니처 양념갈비 300G</v>
      </c>
      <c r="L1480">
        <f>원본데이터_리씽크!P576*원본데이터_리씽크!Q576*F1480</f>
        <v>0</v>
      </c>
    </row>
    <row r="1481" spans="1:12" x14ac:dyDescent="0.3">
      <c r="A1481" t="s">
        <v>196</v>
      </c>
      <c r="B1481" t="str">
        <f>TEXT(원본데이터_리씽크!B577,"0")</f>
        <v>2026020918131660000</v>
      </c>
      <c r="C1481" t="str">
        <f>IF(원본데이터_리씽크!A577="","",TEXT(원본데이터_리씽크!A577,"YYYY-MM-DD"))</f>
        <v>2026-02-09</v>
      </c>
      <c r="D1481">
        <f>원본데이터_리씽크!S577</f>
        <v>143790</v>
      </c>
      <c r="E1481" t="str">
        <f>IFERROR(VLOOKUP(원본데이터_리씽크!S577,채널매핑!$B:$D,3,0),"미매핑")</f>
        <v>SKU001</v>
      </c>
      <c r="F1481">
        <f>IFERROR(VLOOKUP(원본데이터_리씽크!S577,채널매핑!$B:$E,4,0),1)</f>
        <v>4</v>
      </c>
      <c r="G1481">
        <f>원본데이터_리씽크!P577</f>
        <v>1</v>
      </c>
      <c r="H1481">
        <f>원본데이터_리씽크!O577</f>
        <v>45500</v>
      </c>
      <c r="I1481">
        <f>원본데이터_리씽크!X577</f>
        <v>45500</v>
      </c>
      <c r="J1481">
        <f>원본데이터_리씽크!X577</f>
        <v>45500</v>
      </c>
      <c r="K1481" t="str">
        <f>IFERROR(VLOOKUP(E1481,제품마스터!$A:$B,2,0),0)</f>
        <v>[워커힐] 시그니처 양념갈비 300G</v>
      </c>
      <c r="L1481">
        <f>원본데이터_리씽크!P577*원본데이터_리씽크!Q577*F1481</f>
        <v>0</v>
      </c>
    </row>
    <row r="1482" spans="1:12" x14ac:dyDescent="0.3">
      <c r="A1482" t="s">
        <v>196</v>
      </c>
      <c r="B1482" t="str">
        <f>TEXT(원본데이터_리씽크!B578,"0")</f>
        <v>2026020918085220000</v>
      </c>
      <c r="C1482" t="str">
        <f>IF(원본데이터_리씽크!A578="","",TEXT(원본데이터_리씽크!A578,"YYYY-MM-DD"))</f>
        <v>2026-02-09</v>
      </c>
      <c r="D1482">
        <f>원본데이터_리씽크!S578</f>
        <v>143790</v>
      </c>
      <c r="E1482" t="str">
        <f>IFERROR(VLOOKUP(원본데이터_리씽크!S578,채널매핑!$B:$D,3,0),"미매핑")</f>
        <v>SKU001</v>
      </c>
      <c r="F1482">
        <f>IFERROR(VLOOKUP(원본데이터_리씽크!S578,채널매핑!$B:$E,4,0),1)</f>
        <v>4</v>
      </c>
      <c r="G1482">
        <f>원본데이터_리씽크!P578</f>
        <v>1</v>
      </c>
      <c r="H1482">
        <f>원본데이터_리씽크!O578</f>
        <v>45500</v>
      </c>
      <c r="I1482">
        <f>원본데이터_리씽크!X578</f>
        <v>45500</v>
      </c>
      <c r="J1482">
        <f>원본데이터_리씽크!X578</f>
        <v>45500</v>
      </c>
      <c r="K1482" t="str">
        <f>IFERROR(VLOOKUP(E1482,제품마스터!$A:$B,2,0),0)</f>
        <v>[워커힐] 시그니처 양념갈비 300G</v>
      </c>
      <c r="L1482">
        <f>원본데이터_리씽크!P578*원본데이터_리씽크!Q578*F1482</f>
        <v>0</v>
      </c>
    </row>
    <row r="1483" spans="1:12" x14ac:dyDescent="0.3">
      <c r="A1483" t="s">
        <v>196</v>
      </c>
      <c r="B1483" t="str">
        <f>TEXT(원본데이터_리씽크!B579,"0")</f>
        <v>2026020918013380000</v>
      </c>
      <c r="C1483" t="str">
        <f>IF(원본데이터_리씽크!A579="","",TEXT(원본데이터_리씽크!A579,"YYYY-MM-DD"))</f>
        <v>2026-02-09</v>
      </c>
      <c r="D1483">
        <f>원본데이터_리씽크!S579</f>
        <v>143790</v>
      </c>
      <c r="E1483" t="str">
        <f>IFERROR(VLOOKUP(원본데이터_리씽크!S579,채널매핑!$B:$D,3,0),"미매핑")</f>
        <v>SKU001</v>
      </c>
      <c r="F1483">
        <f>IFERROR(VLOOKUP(원본데이터_리씽크!S579,채널매핑!$B:$E,4,0),1)</f>
        <v>4</v>
      </c>
      <c r="G1483">
        <f>원본데이터_리씽크!P579</f>
        <v>1</v>
      </c>
      <c r="H1483">
        <f>원본데이터_리씽크!O579</f>
        <v>45500</v>
      </c>
      <c r="I1483">
        <f>원본데이터_리씽크!X579</f>
        <v>45500</v>
      </c>
      <c r="J1483">
        <f>원본데이터_리씽크!X579</f>
        <v>45500</v>
      </c>
      <c r="K1483" t="str">
        <f>IFERROR(VLOOKUP(E1483,제품마스터!$A:$B,2,0),0)</f>
        <v>[워커힐] 시그니처 양념갈비 300G</v>
      </c>
      <c r="L1483">
        <f>원본데이터_리씽크!P579*원본데이터_리씽크!Q579*F1483</f>
        <v>0</v>
      </c>
    </row>
    <row r="1484" spans="1:12" x14ac:dyDescent="0.3">
      <c r="A1484" t="s">
        <v>196</v>
      </c>
      <c r="B1484" t="str">
        <f>TEXT(원본데이터_리씽크!B580,"0")</f>
        <v>2026020912142860000</v>
      </c>
      <c r="C1484" t="str">
        <f>IF(원본데이터_리씽크!A580="","",TEXT(원본데이터_리씽크!A580,"YYYY-MM-DD"))</f>
        <v>2026-02-09</v>
      </c>
      <c r="D1484">
        <f>원본데이터_리씽크!S580</f>
        <v>143790</v>
      </c>
      <c r="E1484" t="str">
        <f>IFERROR(VLOOKUP(원본데이터_리씽크!S580,채널매핑!$B:$D,3,0),"미매핑")</f>
        <v>SKU001</v>
      </c>
      <c r="F1484">
        <f>IFERROR(VLOOKUP(원본데이터_리씽크!S580,채널매핑!$B:$E,4,0),1)</f>
        <v>4</v>
      </c>
      <c r="G1484">
        <f>원본데이터_리씽크!P580</f>
        <v>1</v>
      </c>
      <c r="H1484">
        <f>원본데이터_리씽크!O580</f>
        <v>45500</v>
      </c>
      <c r="I1484">
        <f>원본데이터_리씽크!X580</f>
        <v>45500</v>
      </c>
      <c r="J1484">
        <f>원본데이터_리씽크!X580</f>
        <v>45500</v>
      </c>
      <c r="K1484" t="str">
        <f>IFERROR(VLOOKUP(E1484,제품마스터!$A:$B,2,0),0)</f>
        <v>[워커힐] 시그니처 양념갈비 300G</v>
      </c>
      <c r="L1484">
        <f>원본데이터_리씽크!P580*원본데이터_리씽크!Q580*F1484</f>
        <v>0</v>
      </c>
    </row>
    <row r="1485" spans="1:12" x14ac:dyDescent="0.3">
      <c r="A1485" t="s">
        <v>196</v>
      </c>
      <c r="B1485" t="str">
        <f>TEXT(원본데이터_리씽크!B581,"0")</f>
        <v>2026020912043190000</v>
      </c>
      <c r="C1485" t="str">
        <f>IF(원본데이터_리씽크!A581="","",TEXT(원본데이터_리씽크!A581,"YYYY-MM-DD"))</f>
        <v>2026-02-09</v>
      </c>
      <c r="D1485">
        <f>원본데이터_리씽크!S581</f>
        <v>143790</v>
      </c>
      <c r="E1485" t="str">
        <f>IFERROR(VLOOKUP(원본데이터_리씽크!S581,채널매핑!$B:$D,3,0),"미매핑")</f>
        <v>SKU001</v>
      </c>
      <c r="F1485">
        <f>IFERROR(VLOOKUP(원본데이터_리씽크!S581,채널매핑!$B:$E,4,0),1)</f>
        <v>4</v>
      </c>
      <c r="G1485">
        <f>원본데이터_리씽크!P581</f>
        <v>1</v>
      </c>
      <c r="H1485">
        <f>원본데이터_리씽크!O581</f>
        <v>45500</v>
      </c>
      <c r="I1485">
        <f>원본데이터_리씽크!X581</f>
        <v>45500</v>
      </c>
      <c r="J1485">
        <f>원본데이터_리씽크!X581</f>
        <v>45500</v>
      </c>
      <c r="K1485" t="str">
        <f>IFERROR(VLOOKUP(E1485,제품마스터!$A:$B,2,0),0)</f>
        <v>[워커힐] 시그니처 양념갈비 300G</v>
      </c>
      <c r="L1485">
        <f>원본데이터_리씽크!P581*원본데이터_리씽크!Q581*F1485</f>
        <v>0</v>
      </c>
    </row>
    <row r="1486" spans="1:12" x14ac:dyDescent="0.3">
      <c r="A1486" t="s">
        <v>196</v>
      </c>
      <c r="B1486" t="str">
        <f>TEXT(원본데이터_리씽크!B582,"0")</f>
        <v>2026020911323750000</v>
      </c>
      <c r="C1486" t="str">
        <f>IF(원본데이터_리씽크!A582="","",TEXT(원본데이터_리씽크!A582,"YYYY-MM-DD"))</f>
        <v>2026-02-09</v>
      </c>
      <c r="D1486">
        <f>원본데이터_리씽크!S582</f>
        <v>143790</v>
      </c>
      <c r="E1486" t="str">
        <f>IFERROR(VLOOKUP(원본데이터_리씽크!S582,채널매핑!$B:$D,3,0),"미매핑")</f>
        <v>SKU001</v>
      </c>
      <c r="F1486">
        <f>IFERROR(VLOOKUP(원본데이터_리씽크!S582,채널매핑!$B:$E,4,0),1)</f>
        <v>4</v>
      </c>
      <c r="G1486">
        <f>원본데이터_리씽크!P582</f>
        <v>2</v>
      </c>
      <c r="H1486">
        <f>원본데이터_리씽크!O582</f>
        <v>45500</v>
      </c>
      <c r="I1486">
        <f>원본데이터_리씽크!X582</f>
        <v>91000</v>
      </c>
      <c r="J1486">
        <f>원본데이터_리씽크!X582</f>
        <v>91000</v>
      </c>
      <c r="K1486" t="str">
        <f>IFERROR(VLOOKUP(E1486,제품마스터!$A:$B,2,0),0)</f>
        <v>[워커힐] 시그니처 양념갈비 300G</v>
      </c>
      <c r="L1486">
        <f>원본데이터_리씽크!P582*원본데이터_리씽크!Q582*F1486</f>
        <v>0</v>
      </c>
    </row>
    <row r="1487" spans="1:12" x14ac:dyDescent="0.3">
      <c r="A1487" t="s">
        <v>196</v>
      </c>
      <c r="B1487" t="str">
        <f>TEXT(원본데이터_리씽크!B583,"0")</f>
        <v>2026020911201560000</v>
      </c>
      <c r="C1487" t="str">
        <f>IF(원본데이터_리씽크!A583="","",TEXT(원본데이터_리씽크!A583,"YYYY-MM-DD"))</f>
        <v>2026-02-09</v>
      </c>
      <c r="D1487">
        <f>원본데이터_리씽크!S583</f>
        <v>143790</v>
      </c>
      <c r="E1487" t="str">
        <f>IFERROR(VLOOKUP(원본데이터_리씽크!S583,채널매핑!$B:$D,3,0),"미매핑")</f>
        <v>SKU001</v>
      </c>
      <c r="F1487">
        <f>IFERROR(VLOOKUP(원본데이터_리씽크!S583,채널매핑!$B:$E,4,0),1)</f>
        <v>4</v>
      </c>
      <c r="G1487">
        <f>원본데이터_리씽크!P583</f>
        <v>1</v>
      </c>
      <c r="H1487">
        <f>원본데이터_리씽크!O583</f>
        <v>45500</v>
      </c>
      <c r="I1487">
        <f>원본데이터_리씽크!X583</f>
        <v>45500</v>
      </c>
      <c r="J1487">
        <f>원본데이터_리씽크!X583</f>
        <v>45500</v>
      </c>
      <c r="K1487" t="str">
        <f>IFERROR(VLOOKUP(E1487,제품마스터!$A:$B,2,0),0)</f>
        <v>[워커힐] 시그니처 양념갈비 300G</v>
      </c>
      <c r="L1487">
        <f>원본데이터_리씽크!P583*원본데이터_리씽크!Q583*F1487</f>
        <v>0</v>
      </c>
    </row>
    <row r="1488" spans="1:12" x14ac:dyDescent="0.3">
      <c r="A1488" t="s">
        <v>196</v>
      </c>
      <c r="B1488" t="str">
        <f>TEXT(원본데이터_리씽크!B584,"0")</f>
        <v>2026020911091120000</v>
      </c>
      <c r="C1488" t="str">
        <f>IF(원본데이터_리씽크!A584="","",TEXT(원본데이터_리씽크!A584,"YYYY-MM-DD"))</f>
        <v>2026-02-09</v>
      </c>
      <c r="D1488">
        <f>원본데이터_리씽크!S584</f>
        <v>143790</v>
      </c>
      <c r="E1488" t="str">
        <f>IFERROR(VLOOKUP(원본데이터_리씽크!S584,채널매핑!$B:$D,3,0),"미매핑")</f>
        <v>SKU001</v>
      </c>
      <c r="F1488">
        <f>IFERROR(VLOOKUP(원본데이터_리씽크!S584,채널매핑!$B:$E,4,0),1)</f>
        <v>4</v>
      </c>
      <c r="G1488">
        <f>원본데이터_리씽크!P584</f>
        <v>1</v>
      </c>
      <c r="H1488">
        <f>원본데이터_리씽크!O584</f>
        <v>45500</v>
      </c>
      <c r="I1488">
        <f>원본데이터_리씽크!X584</f>
        <v>45500</v>
      </c>
      <c r="J1488">
        <f>원본데이터_리씽크!X584</f>
        <v>45500</v>
      </c>
      <c r="K1488" t="str">
        <f>IFERROR(VLOOKUP(E1488,제품마스터!$A:$B,2,0),0)</f>
        <v>[워커힐] 시그니처 양념갈비 300G</v>
      </c>
      <c r="L1488">
        <f>원본데이터_리씽크!P584*원본데이터_리씽크!Q584*F1488</f>
        <v>0</v>
      </c>
    </row>
    <row r="1489" spans="1:12" x14ac:dyDescent="0.3">
      <c r="A1489" t="s">
        <v>196</v>
      </c>
      <c r="B1489" t="str">
        <f>TEXT(원본데이터_리씽크!B585,"0")</f>
        <v>2026020910542050000</v>
      </c>
      <c r="C1489" t="str">
        <f>IF(원본데이터_리씽크!A585="","",TEXT(원본데이터_리씽크!A585,"YYYY-MM-DD"))</f>
        <v>2026-02-09</v>
      </c>
      <c r="D1489">
        <f>원본데이터_리씽크!S585</f>
        <v>143790</v>
      </c>
      <c r="E1489" t="str">
        <f>IFERROR(VLOOKUP(원본데이터_리씽크!S585,채널매핑!$B:$D,3,0),"미매핑")</f>
        <v>SKU001</v>
      </c>
      <c r="F1489">
        <f>IFERROR(VLOOKUP(원본데이터_리씽크!S585,채널매핑!$B:$E,4,0),1)</f>
        <v>4</v>
      </c>
      <c r="G1489">
        <f>원본데이터_리씽크!P585</f>
        <v>1</v>
      </c>
      <c r="H1489">
        <f>원본데이터_리씽크!O585</f>
        <v>45500</v>
      </c>
      <c r="I1489">
        <f>원본데이터_리씽크!X585</f>
        <v>45500</v>
      </c>
      <c r="J1489">
        <f>원본데이터_리씽크!X585</f>
        <v>45500</v>
      </c>
      <c r="K1489" t="str">
        <f>IFERROR(VLOOKUP(E1489,제품마스터!$A:$B,2,0),0)</f>
        <v>[워커힐] 시그니처 양념갈비 300G</v>
      </c>
      <c r="L1489">
        <f>원본데이터_리씽크!P585*원본데이터_리씽크!Q585*F1489</f>
        <v>0</v>
      </c>
    </row>
    <row r="1490" spans="1:12" x14ac:dyDescent="0.3">
      <c r="A1490" t="s">
        <v>196</v>
      </c>
      <c r="B1490" t="str">
        <f>TEXT(원본데이터_리씽크!B586,"0")</f>
        <v>2026020910273620000</v>
      </c>
      <c r="C1490" t="str">
        <f>IF(원본데이터_리씽크!A586="","",TEXT(원본데이터_리씽크!A586,"YYYY-MM-DD"))</f>
        <v>2026-02-09</v>
      </c>
      <c r="D1490">
        <f>원본데이터_리씽크!S586</f>
        <v>143790</v>
      </c>
      <c r="E1490" t="str">
        <f>IFERROR(VLOOKUP(원본데이터_리씽크!S586,채널매핑!$B:$D,3,0),"미매핑")</f>
        <v>SKU001</v>
      </c>
      <c r="F1490">
        <f>IFERROR(VLOOKUP(원본데이터_리씽크!S586,채널매핑!$B:$E,4,0),1)</f>
        <v>4</v>
      </c>
      <c r="G1490">
        <f>원본데이터_리씽크!P586</f>
        <v>1</v>
      </c>
      <c r="H1490">
        <f>원본데이터_리씽크!O586</f>
        <v>45500</v>
      </c>
      <c r="I1490">
        <f>원본데이터_리씽크!X586</f>
        <v>45500</v>
      </c>
      <c r="J1490">
        <f>원본데이터_리씽크!X586</f>
        <v>45500</v>
      </c>
      <c r="K1490" t="str">
        <f>IFERROR(VLOOKUP(E1490,제품마스터!$A:$B,2,0),0)</f>
        <v>[워커힐] 시그니처 양념갈비 300G</v>
      </c>
      <c r="L1490">
        <f>원본데이터_리씽크!P586*원본데이터_리씽크!Q586*F1490</f>
        <v>0</v>
      </c>
    </row>
    <row r="1491" spans="1:12" x14ac:dyDescent="0.3">
      <c r="A1491" t="s">
        <v>196</v>
      </c>
      <c r="B1491" t="str">
        <f>TEXT(원본데이터_리씽크!B587,"0")</f>
        <v>2026020814284460000</v>
      </c>
      <c r="C1491" t="str">
        <f>IF(원본데이터_리씽크!A587="","",TEXT(원본데이터_리씽크!A587,"YYYY-MM-DD"))</f>
        <v>2026-02-08</v>
      </c>
      <c r="D1491">
        <f>원본데이터_리씽크!S587</f>
        <v>143790</v>
      </c>
      <c r="E1491" t="str">
        <f>IFERROR(VLOOKUP(원본데이터_리씽크!S587,채널매핑!$B:$D,3,0),"미매핑")</f>
        <v>SKU001</v>
      </c>
      <c r="F1491">
        <f>IFERROR(VLOOKUP(원본데이터_리씽크!S587,채널매핑!$B:$E,4,0),1)</f>
        <v>4</v>
      </c>
      <c r="G1491">
        <f>원본데이터_리씽크!P587</f>
        <v>1</v>
      </c>
      <c r="H1491">
        <f>원본데이터_리씽크!O587</f>
        <v>45500</v>
      </c>
      <c r="I1491">
        <f>원본데이터_리씽크!X587</f>
        <v>45500</v>
      </c>
      <c r="J1491">
        <f>원본데이터_리씽크!X587</f>
        <v>45500</v>
      </c>
      <c r="K1491" t="str">
        <f>IFERROR(VLOOKUP(E1491,제품마스터!$A:$B,2,0),0)</f>
        <v>[워커힐] 시그니처 양념갈비 300G</v>
      </c>
      <c r="L1491">
        <f>원본데이터_리씽크!P587*원본데이터_리씽크!Q587*F1491</f>
        <v>0</v>
      </c>
    </row>
    <row r="1492" spans="1:12" x14ac:dyDescent="0.3">
      <c r="A1492" t="s">
        <v>196</v>
      </c>
      <c r="B1492" t="str">
        <f>TEXT(원본데이터_리씽크!B588,"0")</f>
        <v>2026020813362900000</v>
      </c>
      <c r="C1492" t="str">
        <f>IF(원본데이터_리씽크!A588="","",TEXT(원본데이터_리씽크!A588,"YYYY-MM-DD"))</f>
        <v>2026-02-08</v>
      </c>
      <c r="D1492">
        <f>원본데이터_리씽크!S588</f>
        <v>143790</v>
      </c>
      <c r="E1492" t="str">
        <f>IFERROR(VLOOKUP(원본데이터_리씽크!S588,채널매핑!$B:$D,3,0),"미매핑")</f>
        <v>SKU001</v>
      </c>
      <c r="F1492">
        <f>IFERROR(VLOOKUP(원본데이터_리씽크!S588,채널매핑!$B:$E,4,0),1)</f>
        <v>4</v>
      </c>
      <c r="G1492">
        <f>원본데이터_리씽크!P588</f>
        <v>1</v>
      </c>
      <c r="H1492">
        <f>원본데이터_리씽크!O588</f>
        <v>45500</v>
      </c>
      <c r="I1492">
        <f>원본데이터_리씽크!X588</f>
        <v>45500</v>
      </c>
      <c r="J1492">
        <f>원본데이터_리씽크!X588</f>
        <v>45500</v>
      </c>
      <c r="K1492" t="str">
        <f>IFERROR(VLOOKUP(E1492,제품마스터!$A:$B,2,0),0)</f>
        <v>[워커힐] 시그니처 양념갈비 300G</v>
      </c>
      <c r="L1492">
        <f>원본데이터_리씽크!P588*원본데이터_리씽크!Q588*F1492</f>
        <v>0</v>
      </c>
    </row>
    <row r="1493" spans="1:12" x14ac:dyDescent="0.3">
      <c r="A1493" t="s">
        <v>196</v>
      </c>
      <c r="B1493" t="str">
        <f>TEXT(원본데이터_리씽크!B589,"0")</f>
        <v>2026020714522710000</v>
      </c>
      <c r="C1493" t="str">
        <f>IF(원본데이터_리씽크!A589="","",TEXT(원본데이터_리씽크!A589,"YYYY-MM-DD"))</f>
        <v>2026-02-07</v>
      </c>
      <c r="D1493">
        <f>원본데이터_리씽크!S589</f>
        <v>143790</v>
      </c>
      <c r="E1493" t="str">
        <f>IFERROR(VLOOKUP(원본데이터_리씽크!S589,채널매핑!$B:$D,3,0),"미매핑")</f>
        <v>SKU001</v>
      </c>
      <c r="F1493">
        <f>IFERROR(VLOOKUP(원본데이터_리씽크!S589,채널매핑!$B:$E,4,0),1)</f>
        <v>4</v>
      </c>
      <c r="G1493">
        <f>원본데이터_리씽크!P589</f>
        <v>1</v>
      </c>
      <c r="H1493">
        <f>원본데이터_리씽크!O589</f>
        <v>45500</v>
      </c>
      <c r="I1493">
        <f>원본데이터_리씽크!X589</f>
        <v>45500</v>
      </c>
      <c r="J1493">
        <f>원본데이터_리씽크!X589</f>
        <v>45500</v>
      </c>
      <c r="K1493" t="str">
        <f>IFERROR(VLOOKUP(E1493,제품마스터!$A:$B,2,0),0)</f>
        <v>[워커힐] 시그니처 양념갈비 300G</v>
      </c>
      <c r="L1493">
        <f>원본데이터_리씽크!P589*원본데이터_리씽크!Q589*F1493</f>
        <v>0</v>
      </c>
    </row>
    <row r="1494" spans="1:12" x14ac:dyDescent="0.3">
      <c r="A1494" t="s">
        <v>196</v>
      </c>
      <c r="B1494" t="str">
        <f>TEXT(원본데이터_리씽크!B590,"0")</f>
        <v>2026020713373060000</v>
      </c>
      <c r="C1494" t="str">
        <f>IF(원본데이터_리씽크!A590="","",TEXT(원본데이터_리씽크!A590,"YYYY-MM-DD"))</f>
        <v>2026-02-07</v>
      </c>
      <c r="D1494">
        <f>원본데이터_리씽크!S590</f>
        <v>143790</v>
      </c>
      <c r="E1494" t="str">
        <f>IFERROR(VLOOKUP(원본데이터_리씽크!S590,채널매핑!$B:$D,3,0),"미매핑")</f>
        <v>SKU001</v>
      </c>
      <c r="F1494">
        <f>IFERROR(VLOOKUP(원본데이터_리씽크!S590,채널매핑!$B:$E,4,0),1)</f>
        <v>4</v>
      </c>
      <c r="G1494">
        <f>원본데이터_리씽크!P590</f>
        <v>2</v>
      </c>
      <c r="H1494">
        <f>원본데이터_리씽크!O590</f>
        <v>45500</v>
      </c>
      <c r="I1494">
        <f>원본데이터_리씽크!X590</f>
        <v>91000</v>
      </c>
      <c r="J1494">
        <f>원본데이터_리씽크!X590</f>
        <v>91000</v>
      </c>
      <c r="K1494" t="str">
        <f>IFERROR(VLOOKUP(E1494,제품마스터!$A:$B,2,0),0)</f>
        <v>[워커힐] 시그니처 양념갈비 300G</v>
      </c>
      <c r="L1494">
        <f>원본데이터_리씽크!P590*원본데이터_리씽크!Q590*F1494</f>
        <v>0</v>
      </c>
    </row>
    <row r="1495" spans="1:12" x14ac:dyDescent="0.3">
      <c r="A1495" t="s">
        <v>196</v>
      </c>
      <c r="B1495" t="str">
        <f>TEXT(원본데이터_리씽크!B591,"0")</f>
        <v>2026020709221760000</v>
      </c>
      <c r="C1495" t="str">
        <f>IF(원본데이터_리씽크!A591="","",TEXT(원본데이터_리씽크!A591,"YYYY-MM-DD"))</f>
        <v>2026-02-07</v>
      </c>
      <c r="D1495">
        <f>원본데이터_리씽크!S591</f>
        <v>143790</v>
      </c>
      <c r="E1495" t="str">
        <f>IFERROR(VLOOKUP(원본데이터_리씽크!S591,채널매핑!$B:$D,3,0),"미매핑")</f>
        <v>SKU001</v>
      </c>
      <c r="F1495">
        <f>IFERROR(VLOOKUP(원본데이터_리씽크!S591,채널매핑!$B:$E,4,0),1)</f>
        <v>4</v>
      </c>
      <c r="G1495">
        <f>원본데이터_리씽크!P591</f>
        <v>1</v>
      </c>
      <c r="H1495">
        <f>원본데이터_리씽크!O591</f>
        <v>45500</v>
      </c>
      <c r="I1495">
        <f>원본데이터_리씽크!X591</f>
        <v>45500</v>
      </c>
      <c r="J1495">
        <f>원본데이터_리씽크!X591</f>
        <v>45500</v>
      </c>
      <c r="K1495" t="str">
        <f>IFERROR(VLOOKUP(E1495,제품마스터!$A:$B,2,0),0)</f>
        <v>[워커힐] 시그니처 양념갈비 300G</v>
      </c>
      <c r="L1495">
        <f>원본데이터_리씽크!P591*원본데이터_리씽크!Q591*F1495</f>
        <v>0</v>
      </c>
    </row>
    <row r="1496" spans="1:12" x14ac:dyDescent="0.3">
      <c r="A1496" t="s">
        <v>196</v>
      </c>
      <c r="B1496" t="str">
        <f>TEXT(원본데이터_리씽크!B592,"0")</f>
        <v>2026020604020020000</v>
      </c>
      <c r="C1496" t="str">
        <f>IF(원본데이터_리씽크!A592="","",TEXT(원본데이터_리씽크!A592,"YYYY-MM-DD"))</f>
        <v>2026-02-06</v>
      </c>
      <c r="D1496">
        <f>원본데이터_리씽크!S592</f>
        <v>143790</v>
      </c>
      <c r="E1496" t="str">
        <f>IFERROR(VLOOKUP(원본데이터_리씽크!S592,채널매핑!$B:$D,3,0),"미매핑")</f>
        <v>SKU001</v>
      </c>
      <c r="F1496">
        <f>IFERROR(VLOOKUP(원본데이터_리씽크!S592,채널매핑!$B:$E,4,0),1)</f>
        <v>4</v>
      </c>
      <c r="G1496">
        <f>원본데이터_리씽크!P592</f>
        <v>1</v>
      </c>
      <c r="H1496">
        <f>원본데이터_리씽크!O592</f>
        <v>45500</v>
      </c>
      <c r="I1496">
        <f>원본데이터_리씽크!X592</f>
        <v>45500</v>
      </c>
      <c r="J1496">
        <f>원본데이터_리씽크!X592</f>
        <v>45500</v>
      </c>
      <c r="K1496" t="str">
        <f>IFERROR(VLOOKUP(E1496,제품마스터!$A:$B,2,0),0)</f>
        <v>[워커힐] 시그니처 양념갈비 300G</v>
      </c>
      <c r="L1496">
        <f>원본데이터_리씽크!P592*원본데이터_리씽크!Q592*F1496</f>
        <v>0</v>
      </c>
    </row>
    <row r="1497" spans="1:12" x14ac:dyDescent="0.3">
      <c r="A1497" t="s">
        <v>196</v>
      </c>
      <c r="B1497" t="str">
        <f>TEXT(원본데이터_리씽크!B593,"0")</f>
        <v>2026020603283530000</v>
      </c>
      <c r="C1497" t="str">
        <f>IF(원본데이터_리씽크!A593="","",TEXT(원본데이터_리씽크!A593,"YYYY-MM-DD"))</f>
        <v>2026-02-06</v>
      </c>
      <c r="D1497">
        <f>원본데이터_리씽크!S593</f>
        <v>143790</v>
      </c>
      <c r="E1497" t="str">
        <f>IFERROR(VLOOKUP(원본데이터_리씽크!S593,채널매핑!$B:$D,3,0),"미매핑")</f>
        <v>SKU001</v>
      </c>
      <c r="F1497">
        <f>IFERROR(VLOOKUP(원본데이터_리씽크!S593,채널매핑!$B:$E,4,0),1)</f>
        <v>4</v>
      </c>
      <c r="G1497">
        <f>원본데이터_리씽크!P593</f>
        <v>1</v>
      </c>
      <c r="H1497">
        <f>원본데이터_리씽크!O593</f>
        <v>45500</v>
      </c>
      <c r="I1497">
        <f>원본데이터_리씽크!X593</f>
        <v>45500</v>
      </c>
      <c r="J1497">
        <f>원본데이터_리씽크!X593</f>
        <v>45500</v>
      </c>
      <c r="K1497" t="str">
        <f>IFERROR(VLOOKUP(E1497,제품마스터!$A:$B,2,0),0)</f>
        <v>[워커힐] 시그니처 양념갈비 300G</v>
      </c>
      <c r="L1497">
        <f>원본데이터_리씽크!P593*원본데이터_리씽크!Q593*F1497</f>
        <v>0</v>
      </c>
    </row>
    <row r="1498" spans="1:12" x14ac:dyDescent="0.3">
      <c r="A1498" t="s">
        <v>196</v>
      </c>
      <c r="B1498" t="str">
        <f>TEXT(원본데이터_리씽크!B594,"0")</f>
        <v>2026020509415660000</v>
      </c>
      <c r="C1498" t="str">
        <f>IF(원본데이터_리씽크!A594="","",TEXT(원본데이터_리씽크!A594,"YYYY-MM-DD"))</f>
        <v>2026-02-05</v>
      </c>
      <c r="D1498">
        <f>원본데이터_리씽크!S594</f>
        <v>143790</v>
      </c>
      <c r="E1498" t="str">
        <f>IFERROR(VLOOKUP(원본데이터_리씽크!S594,채널매핑!$B:$D,3,0),"미매핑")</f>
        <v>SKU001</v>
      </c>
      <c r="F1498">
        <f>IFERROR(VLOOKUP(원본데이터_리씽크!S594,채널매핑!$B:$E,4,0),1)</f>
        <v>4</v>
      </c>
      <c r="G1498">
        <f>원본데이터_리씽크!P594</f>
        <v>1</v>
      </c>
      <c r="H1498">
        <f>원본데이터_리씽크!O594</f>
        <v>45500</v>
      </c>
      <c r="I1498">
        <f>원본데이터_리씽크!X594</f>
        <v>45500</v>
      </c>
      <c r="J1498">
        <f>원본데이터_리씽크!X594</f>
        <v>45500</v>
      </c>
      <c r="K1498" t="str">
        <f>IFERROR(VLOOKUP(E1498,제품마스터!$A:$B,2,0),0)</f>
        <v>[워커힐] 시그니처 양념갈비 300G</v>
      </c>
      <c r="L1498">
        <f>원본데이터_리씽크!P594*원본데이터_리씽크!Q594*F1498</f>
        <v>0</v>
      </c>
    </row>
    <row r="1499" spans="1:12" x14ac:dyDescent="0.3">
      <c r="A1499" t="s">
        <v>196</v>
      </c>
      <c r="B1499" t="str">
        <f>TEXT(원본데이터_리씽크!B595,"0")</f>
        <v>2026021011000810000</v>
      </c>
      <c r="C1499" t="str">
        <f>IF(원본데이터_리씽크!A595="","",TEXT(원본데이터_리씽크!A595,"YYYY-MM-DD"))</f>
        <v>2026-02-10</v>
      </c>
      <c r="D1499">
        <f>원본데이터_리씽크!S595</f>
        <v>143812</v>
      </c>
      <c r="E1499" t="str">
        <f>IFERROR(VLOOKUP(원본데이터_리씽크!S595,채널매핑!$B:$D,3,0),"미매핑")</f>
        <v>SKU001</v>
      </c>
      <c r="F1499">
        <f>IFERROR(VLOOKUP(원본데이터_리씽크!S595,채널매핑!$B:$E,4,0),1)</f>
        <v>2</v>
      </c>
      <c r="G1499">
        <f>원본데이터_리씽크!P595</f>
        <v>1</v>
      </c>
      <c r="H1499">
        <f>원본데이터_리씽크!O595</f>
        <v>45500</v>
      </c>
      <c r="I1499">
        <f>원본데이터_리씽크!X595</f>
        <v>45500</v>
      </c>
      <c r="J1499">
        <f>원본데이터_리씽크!X595</f>
        <v>45500</v>
      </c>
      <c r="K1499" t="str">
        <f>IFERROR(VLOOKUP(E1499,제품마스터!$A:$B,2,0),0)</f>
        <v>[워커힐] 시그니처 양념갈비 300G</v>
      </c>
      <c r="L1499">
        <f>원본데이터_리씽크!P595*원본데이터_리씽크!Q595*F1499</f>
        <v>0</v>
      </c>
    </row>
    <row r="1500" spans="1:12" x14ac:dyDescent="0.3">
      <c r="A1500" t="s">
        <v>196</v>
      </c>
      <c r="B1500" t="str">
        <f>TEXT(원본데이터_리씽크!B596,"0")</f>
        <v>2026021010503510000</v>
      </c>
      <c r="C1500" t="str">
        <f>IF(원본데이터_리씽크!A596="","",TEXT(원본데이터_리씽크!A596,"YYYY-MM-DD"))</f>
        <v>2026-02-10</v>
      </c>
      <c r="D1500">
        <f>원본데이터_리씽크!S596</f>
        <v>143812</v>
      </c>
      <c r="E1500" t="str">
        <f>IFERROR(VLOOKUP(원본데이터_리씽크!S596,채널매핑!$B:$D,3,0),"미매핑")</f>
        <v>SKU001</v>
      </c>
      <c r="F1500">
        <f>IFERROR(VLOOKUP(원본데이터_리씽크!S596,채널매핑!$B:$E,4,0),1)</f>
        <v>2</v>
      </c>
      <c r="G1500">
        <f>원본데이터_리씽크!P596</f>
        <v>1</v>
      </c>
      <c r="H1500">
        <f>원본데이터_리씽크!O596</f>
        <v>45500</v>
      </c>
      <c r="I1500">
        <f>원본데이터_리씽크!X596</f>
        <v>45500</v>
      </c>
      <c r="J1500">
        <f>원본데이터_리씽크!X596</f>
        <v>45500</v>
      </c>
      <c r="K1500" t="str">
        <f>IFERROR(VLOOKUP(E1500,제품마스터!$A:$B,2,0),0)</f>
        <v>[워커힐] 시그니처 양념갈비 300G</v>
      </c>
      <c r="L1500">
        <f>원본데이터_리씽크!P596*원본데이터_리씽크!Q596*F1500</f>
        <v>0</v>
      </c>
    </row>
    <row r="1501" spans="1:12" x14ac:dyDescent="0.3">
      <c r="A1501" t="s">
        <v>196</v>
      </c>
      <c r="B1501" t="str">
        <f>TEXT(원본데이터_리씽크!B597,"0")</f>
        <v>2026021010410350000</v>
      </c>
      <c r="C1501" t="str">
        <f>IF(원본데이터_리씽크!A597="","",TEXT(원본데이터_리씽크!A597,"YYYY-MM-DD"))</f>
        <v>2026-02-10</v>
      </c>
      <c r="D1501">
        <f>원본데이터_리씽크!S597</f>
        <v>143812</v>
      </c>
      <c r="E1501" t="str">
        <f>IFERROR(VLOOKUP(원본데이터_리씽크!S597,채널매핑!$B:$D,3,0),"미매핑")</f>
        <v>SKU001</v>
      </c>
      <c r="F1501">
        <f>IFERROR(VLOOKUP(원본데이터_리씽크!S597,채널매핑!$B:$E,4,0),1)</f>
        <v>2</v>
      </c>
      <c r="G1501">
        <f>원본데이터_리씽크!P597</f>
        <v>2</v>
      </c>
      <c r="H1501">
        <f>원본데이터_리씽크!O597</f>
        <v>45500</v>
      </c>
      <c r="I1501">
        <f>원본데이터_리씽크!X597</f>
        <v>91000</v>
      </c>
      <c r="J1501">
        <f>원본데이터_리씽크!X597</f>
        <v>91000</v>
      </c>
      <c r="K1501" t="str">
        <f>IFERROR(VLOOKUP(E1501,제품마스터!$A:$B,2,0),0)</f>
        <v>[워커힐] 시그니처 양념갈비 300G</v>
      </c>
      <c r="L1501">
        <f>원본데이터_리씽크!P597*원본데이터_리씽크!Q597*F1501</f>
        <v>0</v>
      </c>
    </row>
    <row r="1502" spans="1:12" x14ac:dyDescent="0.3">
      <c r="A1502" t="s">
        <v>196</v>
      </c>
      <c r="B1502" t="str">
        <f>TEXT(원본데이터_리씽크!B598,"0")</f>
        <v>2026021010245150000</v>
      </c>
      <c r="C1502" t="str">
        <f>IF(원본데이터_리씽크!A598="","",TEXT(원본데이터_리씽크!A598,"YYYY-MM-DD"))</f>
        <v>2026-02-10</v>
      </c>
      <c r="D1502">
        <f>원본데이터_리씽크!S598</f>
        <v>143812</v>
      </c>
      <c r="E1502" t="str">
        <f>IFERROR(VLOOKUP(원본데이터_리씽크!S598,채널매핑!$B:$D,3,0),"미매핑")</f>
        <v>SKU001</v>
      </c>
      <c r="F1502">
        <f>IFERROR(VLOOKUP(원본데이터_리씽크!S598,채널매핑!$B:$E,4,0),1)</f>
        <v>2</v>
      </c>
      <c r="G1502">
        <f>원본데이터_리씽크!P598</f>
        <v>2</v>
      </c>
      <c r="H1502">
        <f>원본데이터_리씽크!O598</f>
        <v>45500</v>
      </c>
      <c r="I1502">
        <f>원본데이터_리씽크!X598</f>
        <v>91000</v>
      </c>
      <c r="J1502">
        <f>원본데이터_리씽크!X598</f>
        <v>91000</v>
      </c>
      <c r="K1502" t="str">
        <f>IFERROR(VLOOKUP(E1502,제품마스터!$A:$B,2,0),0)</f>
        <v>[워커힐] 시그니처 양념갈비 300G</v>
      </c>
      <c r="L1502">
        <f>원본데이터_리씽크!P598*원본데이터_리씽크!Q598*F1502</f>
        <v>0</v>
      </c>
    </row>
    <row r="1503" spans="1:12" x14ac:dyDescent="0.3">
      <c r="A1503" t="s">
        <v>196</v>
      </c>
      <c r="B1503" t="str">
        <f>TEXT(원본데이터_리씽크!B599,"0")</f>
        <v>2026021008120310000</v>
      </c>
      <c r="C1503" t="str">
        <f>IF(원본데이터_리씽크!A599="","",TEXT(원본데이터_리씽크!A599,"YYYY-MM-DD"))</f>
        <v>2026-02-10</v>
      </c>
      <c r="D1503">
        <f>원본데이터_리씽크!S599</f>
        <v>143812</v>
      </c>
      <c r="E1503" t="str">
        <f>IFERROR(VLOOKUP(원본데이터_리씽크!S599,채널매핑!$B:$D,3,0),"미매핑")</f>
        <v>SKU001</v>
      </c>
      <c r="F1503">
        <f>IFERROR(VLOOKUP(원본데이터_리씽크!S599,채널매핑!$B:$E,4,0),1)</f>
        <v>2</v>
      </c>
      <c r="G1503">
        <f>원본데이터_리씽크!P599</f>
        <v>1</v>
      </c>
      <c r="H1503">
        <f>원본데이터_리씽크!O599</f>
        <v>45500</v>
      </c>
      <c r="I1503">
        <f>원본데이터_리씽크!X599</f>
        <v>45500</v>
      </c>
      <c r="J1503">
        <f>원본데이터_리씽크!X599</f>
        <v>45500</v>
      </c>
      <c r="K1503" t="str">
        <f>IFERROR(VLOOKUP(E1503,제품마스터!$A:$B,2,0),0)</f>
        <v>[워커힐] 시그니처 양념갈비 300G</v>
      </c>
      <c r="L1503">
        <f>원본데이터_리씽크!P599*원본데이터_리씽크!Q599*F1503</f>
        <v>0</v>
      </c>
    </row>
    <row r="1504" spans="1:12" x14ac:dyDescent="0.3">
      <c r="A1504" t="s">
        <v>196</v>
      </c>
      <c r="B1504" t="str">
        <f>TEXT(원본데이터_리씽크!B600,"0")</f>
        <v>2026020919050570000</v>
      </c>
      <c r="C1504" t="str">
        <f>IF(원본데이터_리씽크!A600="","",TEXT(원본데이터_리씽크!A600,"YYYY-MM-DD"))</f>
        <v>2026-02-09</v>
      </c>
      <c r="D1504">
        <f>원본데이터_리씽크!S600</f>
        <v>143812</v>
      </c>
      <c r="E1504" t="str">
        <f>IFERROR(VLOOKUP(원본데이터_리씽크!S600,채널매핑!$B:$D,3,0),"미매핑")</f>
        <v>SKU001</v>
      </c>
      <c r="F1504">
        <f>IFERROR(VLOOKUP(원본데이터_리씽크!S600,채널매핑!$B:$E,4,0),1)</f>
        <v>2</v>
      </c>
      <c r="G1504">
        <f>원본데이터_리씽크!P600</f>
        <v>1</v>
      </c>
      <c r="H1504">
        <f>원본데이터_리씽크!O600</f>
        <v>45500</v>
      </c>
      <c r="I1504">
        <f>원본데이터_리씽크!X600</f>
        <v>45500</v>
      </c>
      <c r="J1504">
        <f>원본데이터_리씽크!X600</f>
        <v>45500</v>
      </c>
      <c r="K1504" t="str">
        <f>IFERROR(VLOOKUP(E1504,제품마스터!$A:$B,2,0),0)</f>
        <v>[워커힐] 시그니처 양념갈비 300G</v>
      </c>
      <c r="L1504">
        <f>원본데이터_리씽크!P600*원본데이터_리씽크!Q600*F1504</f>
        <v>0</v>
      </c>
    </row>
    <row r="1505" spans="1:12" x14ac:dyDescent="0.3">
      <c r="A1505" t="s">
        <v>196</v>
      </c>
      <c r="B1505" t="str">
        <f>TEXT(원본데이터_리씽크!B601,"0")</f>
        <v>2026020918062360000</v>
      </c>
      <c r="C1505" t="str">
        <f>IF(원본데이터_리씽크!A601="","",TEXT(원본데이터_리씽크!A601,"YYYY-MM-DD"))</f>
        <v>2026-02-09</v>
      </c>
      <c r="D1505">
        <f>원본데이터_리씽크!S601</f>
        <v>143812</v>
      </c>
      <c r="E1505" t="str">
        <f>IFERROR(VLOOKUP(원본데이터_리씽크!S601,채널매핑!$B:$D,3,0),"미매핑")</f>
        <v>SKU001</v>
      </c>
      <c r="F1505">
        <f>IFERROR(VLOOKUP(원본데이터_리씽크!S601,채널매핑!$B:$E,4,0),1)</f>
        <v>2</v>
      </c>
      <c r="G1505">
        <f>원본데이터_리씽크!P601</f>
        <v>1</v>
      </c>
      <c r="H1505">
        <f>원본데이터_리씽크!O601</f>
        <v>45500</v>
      </c>
      <c r="I1505">
        <f>원본데이터_리씽크!X601</f>
        <v>45500</v>
      </c>
      <c r="J1505">
        <f>원본데이터_리씽크!X601</f>
        <v>45500</v>
      </c>
      <c r="K1505" t="str">
        <f>IFERROR(VLOOKUP(E1505,제품마스터!$A:$B,2,0),0)</f>
        <v>[워커힐] 시그니처 양념갈비 300G</v>
      </c>
      <c r="L1505">
        <f>원본데이터_리씽크!P601*원본데이터_리씽크!Q601*F1505</f>
        <v>0</v>
      </c>
    </row>
    <row r="1506" spans="1:12" x14ac:dyDescent="0.3">
      <c r="A1506" t="s">
        <v>196</v>
      </c>
      <c r="B1506" t="str">
        <f>TEXT(원본데이터_리씽크!B602,"0")</f>
        <v>2026020917534670000</v>
      </c>
      <c r="C1506" t="str">
        <f>IF(원본데이터_리씽크!A602="","",TEXT(원본데이터_리씽크!A602,"YYYY-MM-DD"))</f>
        <v>2026-02-09</v>
      </c>
      <c r="D1506">
        <f>원본데이터_리씽크!S602</f>
        <v>143812</v>
      </c>
      <c r="E1506" t="str">
        <f>IFERROR(VLOOKUP(원본데이터_리씽크!S602,채널매핑!$B:$D,3,0),"미매핑")</f>
        <v>SKU001</v>
      </c>
      <c r="F1506">
        <f>IFERROR(VLOOKUP(원본데이터_리씽크!S602,채널매핑!$B:$E,4,0),1)</f>
        <v>2</v>
      </c>
      <c r="G1506">
        <f>원본데이터_리씽크!P602</f>
        <v>1</v>
      </c>
      <c r="H1506">
        <f>원본데이터_리씽크!O602</f>
        <v>45500</v>
      </c>
      <c r="I1506">
        <f>원본데이터_리씽크!X602</f>
        <v>45500</v>
      </c>
      <c r="J1506">
        <f>원본데이터_리씽크!X602</f>
        <v>45500</v>
      </c>
      <c r="K1506" t="str">
        <f>IFERROR(VLOOKUP(E1506,제품마스터!$A:$B,2,0),0)</f>
        <v>[워커힐] 시그니처 양념갈비 300G</v>
      </c>
      <c r="L1506">
        <f>원본데이터_리씽크!P602*원본데이터_리씽크!Q602*F1506</f>
        <v>0</v>
      </c>
    </row>
    <row r="1507" spans="1:12" x14ac:dyDescent="0.3">
      <c r="A1507" t="s">
        <v>196</v>
      </c>
      <c r="B1507" t="str">
        <f>TEXT(원본데이터_리씽크!B603,"0")</f>
        <v>2026020916550220000</v>
      </c>
      <c r="C1507" t="str">
        <f>IF(원본데이터_리씽크!A603="","",TEXT(원본데이터_리씽크!A603,"YYYY-MM-DD"))</f>
        <v>2026-02-09</v>
      </c>
      <c r="D1507">
        <f>원본데이터_리씽크!S603</f>
        <v>143812</v>
      </c>
      <c r="E1507" t="str">
        <f>IFERROR(VLOOKUP(원본데이터_리씽크!S603,채널매핑!$B:$D,3,0),"미매핑")</f>
        <v>SKU001</v>
      </c>
      <c r="F1507">
        <f>IFERROR(VLOOKUP(원본데이터_리씽크!S603,채널매핑!$B:$E,4,0),1)</f>
        <v>2</v>
      </c>
      <c r="G1507">
        <f>원본데이터_리씽크!P603</f>
        <v>1</v>
      </c>
      <c r="H1507">
        <f>원본데이터_리씽크!O603</f>
        <v>45500</v>
      </c>
      <c r="I1507">
        <f>원본데이터_리씽크!X603</f>
        <v>45500</v>
      </c>
      <c r="J1507">
        <f>원본데이터_리씽크!X603</f>
        <v>45500</v>
      </c>
      <c r="K1507" t="str">
        <f>IFERROR(VLOOKUP(E1507,제품마스터!$A:$B,2,0),0)</f>
        <v>[워커힐] 시그니처 양념갈비 300G</v>
      </c>
      <c r="L1507">
        <f>원본데이터_리씽크!P603*원본데이터_리씽크!Q603*F1507</f>
        <v>0</v>
      </c>
    </row>
    <row r="1508" spans="1:12" x14ac:dyDescent="0.3">
      <c r="A1508" t="s">
        <v>196</v>
      </c>
      <c r="B1508" t="str">
        <f>TEXT(원본데이터_리씽크!B604,"0")</f>
        <v>2026020912214720000</v>
      </c>
      <c r="C1508" t="str">
        <f>IF(원본데이터_리씽크!A604="","",TEXT(원본데이터_리씽크!A604,"YYYY-MM-DD"))</f>
        <v>2026-02-09</v>
      </c>
      <c r="D1508">
        <f>원본데이터_리씽크!S604</f>
        <v>143812</v>
      </c>
      <c r="E1508" t="str">
        <f>IFERROR(VLOOKUP(원본데이터_리씽크!S604,채널매핑!$B:$D,3,0),"미매핑")</f>
        <v>SKU001</v>
      </c>
      <c r="F1508">
        <f>IFERROR(VLOOKUP(원본데이터_리씽크!S604,채널매핑!$B:$E,4,0),1)</f>
        <v>2</v>
      </c>
      <c r="G1508">
        <f>원본데이터_리씽크!P604</f>
        <v>1</v>
      </c>
      <c r="H1508">
        <f>원본데이터_리씽크!O604</f>
        <v>45500</v>
      </c>
      <c r="I1508">
        <f>원본데이터_리씽크!X604</f>
        <v>45500</v>
      </c>
      <c r="J1508">
        <f>원본데이터_리씽크!X604</f>
        <v>45500</v>
      </c>
      <c r="K1508" t="str">
        <f>IFERROR(VLOOKUP(E1508,제품마스터!$A:$B,2,0),0)</f>
        <v>[워커힐] 시그니처 양념갈비 300G</v>
      </c>
      <c r="L1508">
        <f>원본데이터_리씽크!P604*원본데이터_리씽크!Q604*F1508</f>
        <v>0</v>
      </c>
    </row>
    <row r="1509" spans="1:12" x14ac:dyDescent="0.3">
      <c r="A1509" t="s">
        <v>196</v>
      </c>
      <c r="B1509" t="str">
        <f>TEXT(원본데이터_리씽크!B605,"0")</f>
        <v>2026020922501460000</v>
      </c>
      <c r="C1509" t="str">
        <f>IF(원본데이터_리씽크!A605="","",TEXT(원본데이터_리씽크!A605,"YYYY-MM-DD"))</f>
        <v>2026-02-09</v>
      </c>
      <c r="D1509">
        <f>원본데이터_리씽크!S605</f>
        <v>143790</v>
      </c>
      <c r="E1509" t="str">
        <f>IFERROR(VLOOKUP(원본데이터_리씽크!S605,채널매핑!$B:$D,3,0),"미매핑")</f>
        <v>SKU001</v>
      </c>
      <c r="F1509">
        <f>IFERROR(VLOOKUP(원본데이터_리씽크!S605,채널매핑!$B:$E,4,0),1)</f>
        <v>4</v>
      </c>
      <c r="G1509">
        <f>원본데이터_리씽크!P605</f>
        <v>1</v>
      </c>
      <c r="H1509">
        <f>원본데이터_리씽크!O605</f>
        <v>63000</v>
      </c>
      <c r="I1509">
        <f>원본데이터_리씽크!X605</f>
        <v>63000</v>
      </c>
      <c r="J1509">
        <f>원본데이터_리씽크!X605</f>
        <v>63000</v>
      </c>
      <c r="K1509" t="str">
        <f>IFERROR(VLOOKUP(E1509,제품마스터!$A:$B,2,0),0)</f>
        <v>[워커힐] 시그니처 양념갈비 300G</v>
      </c>
      <c r="L1509" t="e">
        <f>원본데이터_리씽크!P605*원본데이터_리씽크!Q605*F1509</f>
        <v>#VALUE!</v>
      </c>
    </row>
    <row r="1510" spans="1:12" x14ac:dyDescent="0.3">
      <c r="A1510" t="s">
        <v>196</v>
      </c>
      <c r="B1510" t="str">
        <f>TEXT(원본데이터_리씽크!B606,"0")</f>
        <v>2026020919155720000</v>
      </c>
      <c r="C1510" t="str">
        <f>IF(원본데이터_리씽크!A606="","",TEXT(원본데이터_리씽크!A606,"YYYY-MM-DD"))</f>
        <v>2026-02-09</v>
      </c>
      <c r="D1510">
        <f>원본데이터_리씽크!S606</f>
        <v>143790</v>
      </c>
      <c r="E1510" t="str">
        <f>IFERROR(VLOOKUP(원본데이터_리씽크!S606,채널매핑!$B:$D,3,0),"미매핑")</f>
        <v>SKU001</v>
      </c>
      <c r="F1510">
        <f>IFERROR(VLOOKUP(원본데이터_리씽크!S606,채널매핑!$B:$E,4,0),1)</f>
        <v>4</v>
      </c>
      <c r="G1510">
        <f>원본데이터_리씽크!P606</f>
        <v>1</v>
      </c>
      <c r="H1510">
        <f>원본데이터_리씽크!O606</f>
        <v>63000</v>
      </c>
      <c r="I1510">
        <f>원본데이터_리씽크!X606</f>
        <v>63000</v>
      </c>
      <c r="J1510">
        <f>원본데이터_리씽크!X606</f>
        <v>63000</v>
      </c>
      <c r="K1510" t="str">
        <f>IFERROR(VLOOKUP(E1510,제품마스터!$A:$B,2,0),0)</f>
        <v>[워커힐] 시그니처 양념갈비 300G</v>
      </c>
      <c r="L1510" t="e">
        <f>원본데이터_리씽크!P606*원본데이터_리씽크!Q606*F1510</f>
        <v>#VALUE!</v>
      </c>
    </row>
    <row r="1511" spans="1:12" x14ac:dyDescent="0.3">
      <c r="A1511" t="s">
        <v>196</v>
      </c>
      <c r="B1511" t="str">
        <f>TEXT(원본데이터_리씽크!B607,"0")</f>
        <v>2026020917352060000</v>
      </c>
      <c r="C1511" t="str">
        <f>IF(원본데이터_리씽크!A607="","",TEXT(원본데이터_리씽크!A607,"YYYY-MM-DD"))</f>
        <v>2026-02-09</v>
      </c>
      <c r="D1511">
        <f>원본데이터_리씽크!S607</f>
        <v>143790</v>
      </c>
      <c r="E1511" t="str">
        <f>IFERROR(VLOOKUP(원본데이터_리씽크!S607,채널매핑!$B:$D,3,0),"미매핑")</f>
        <v>SKU001</v>
      </c>
      <c r="F1511">
        <f>IFERROR(VLOOKUP(원본데이터_리씽크!S607,채널매핑!$B:$E,4,0),1)</f>
        <v>4</v>
      </c>
      <c r="G1511">
        <f>원본데이터_리씽크!P607</f>
        <v>1</v>
      </c>
      <c r="H1511">
        <f>원본데이터_리씽크!O607</f>
        <v>63000</v>
      </c>
      <c r="I1511">
        <f>원본데이터_리씽크!X607</f>
        <v>63000</v>
      </c>
      <c r="J1511">
        <f>원본데이터_리씽크!X607</f>
        <v>63000</v>
      </c>
      <c r="K1511" t="str">
        <f>IFERROR(VLOOKUP(E1511,제품마스터!$A:$B,2,0),0)</f>
        <v>[워커힐] 시그니처 양념갈비 300G</v>
      </c>
      <c r="L1511" t="e">
        <f>원본데이터_리씽크!P607*원본데이터_리씽크!Q607*F1511</f>
        <v>#VALUE!</v>
      </c>
    </row>
    <row r="1512" spans="1:12" x14ac:dyDescent="0.3">
      <c r="A1512" t="s">
        <v>196</v>
      </c>
      <c r="B1512" t="str">
        <f>TEXT(원본데이터_리씽크!B608,"0")</f>
        <v>2026020912572770000</v>
      </c>
      <c r="C1512" t="str">
        <f>IF(원본데이터_리씽크!A608="","",TEXT(원본데이터_리씽크!A608,"YYYY-MM-DD"))</f>
        <v>2026-02-09</v>
      </c>
      <c r="D1512">
        <f>원본데이터_리씽크!S608</f>
        <v>143790</v>
      </c>
      <c r="E1512" t="str">
        <f>IFERROR(VLOOKUP(원본데이터_리씽크!S608,채널매핑!$B:$D,3,0),"미매핑")</f>
        <v>SKU001</v>
      </c>
      <c r="F1512">
        <f>IFERROR(VLOOKUP(원본데이터_리씽크!S608,채널매핑!$B:$E,4,0),1)</f>
        <v>4</v>
      </c>
      <c r="G1512">
        <f>원본데이터_리씽크!P608</f>
        <v>1</v>
      </c>
      <c r="H1512">
        <f>원본데이터_리씽크!O608</f>
        <v>63000</v>
      </c>
      <c r="I1512">
        <f>원본데이터_리씽크!X608</f>
        <v>63000</v>
      </c>
      <c r="J1512">
        <f>원본데이터_리씽크!X608</f>
        <v>63000</v>
      </c>
      <c r="K1512" t="str">
        <f>IFERROR(VLOOKUP(E1512,제품마스터!$A:$B,2,0),0)</f>
        <v>[워커힐] 시그니처 양념갈비 300G</v>
      </c>
      <c r="L1512" t="e">
        <f>원본데이터_리씽크!P608*원본데이터_리씽크!Q608*F1512</f>
        <v>#VALUE!</v>
      </c>
    </row>
    <row r="1513" spans="1:12" x14ac:dyDescent="0.3">
      <c r="A1513" t="s">
        <v>196</v>
      </c>
      <c r="B1513" t="str">
        <f>TEXT(원본데이터_리씽크!B609,"0")</f>
        <v>2026020614341720000</v>
      </c>
      <c r="C1513" t="str">
        <f>IF(원본데이터_리씽크!A609="","",TEXT(원본데이터_리씽크!A609,"YYYY-MM-DD"))</f>
        <v>2026-02-06</v>
      </c>
      <c r="D1513">
        <f>원본데이터_리씽크!S609</f>
        <v>143790</v>
      </c>
      <c r="E1513" t="str">
        <f>IFERROR(VLOOKUP(원본데이터_리씽크!S609,채널매핑!$B:$D,3,0),"미매핑")</f>
        <v>SKU001</v>
      </c>
      <c r="F1513">
        <f>IFERROR(VLOOKUP(원본데이터_리씽크!S609,채널매핑!$B:$E,4,0),1)</f>
        <v>4</v>
      </c>
      <c r="G1513">
        <f>원본데이터_리씽크!P609</f>
        <v>2</v>
      </c>
      <c r="H1513">
        <f>원본데이터_리씽크!O609</f>
        <v>63000</v>
      </c>
      <c r="I1513">
        <f>원본데이터_리씽크!X609</f>
        <v>126000</v>
      </c>
      <c r="J1513">
        <f>원본데이터_리씽크!X609</f>
        <v>126000</v>
      </c>
      <c r="K1513" t="str">
        <f>IFERROR(VLOOKUP(E1513,제품마스터!$A:$B,2,0),0)</f>
        <v>[워커힐] 시그니처 양념갈비 300G</v>
      </c>
      <c r="L1513" t="e">
        <f>원본데이터_리씽크!P609*원본데이터_리씽크!Q609*F1513</f>
        <v>#VALUE!</v>
      </c>
    </row>
    <row r="1514" spans="1:12" x14ac:dyDescent="0.3">
      <c r="A1514" t="s">
        <v>196</v>
      </c>
      <c r="B1514" t="str">
        <f>TEXT(원본데이터_리씽크!B610,"0")</f>
        <v>2026021109455140000</v>
      </c>
      <c r="C1514" t="str">
        <f>IF(원본데이터_리씽크!A610="","",TEXT(원본데이터_리씽크!A610,"YYYY-MM-DD"))</f>
        <v>2026-02-11</v>
      </c>
      <c r="D1514">
        <f>원본데이터_리씽크!S610</f>
        <v>143790</v>
      </c>
      <c r="E1514" t="str">
        <f>IFERROR(VLOOKUP(원본데이터_리씽크!S610,채널매핑!$B:$D,3,0),"미매핑")</f>
        <v>SKU001</v>
      </c>
      <c r="F1514">
        <f>IFERROR(VLOOKUP(원본데이터_리씽크!S610,채널매핑!$B:$E,4,0),1)</f>
        <v>4</v>
      </c>
      <c r="G1514">
        <f>원본데이터_리씽크!P610</f>
        <v>1</v>
      </c>
      <c r="H1514">
        <f>원본데이터_리씽크!O610</f>
        <v>45500</v>
      </c>
      <c r="I1514">
        <f>원본데이터_리씽크!X610</f>
        <v>45500</v>
      </c>
      <c r="J1514">
        <f>원본데이터_리씽크!X610</f>
        <v>45500</v>
      </c>
      <c r="K1514" t="str">
        <f>IFERROR(VLOOKUP(E1514,제품마스터!$A:$B,2,0),0)</f>
        <v>[워커힐] 시그니처 양념갈비 300G</v>
      </c>
      <c r="L1514">
        <f>원본데이터_리씽크!P610*원본데이터_리씽크!Q610*F1514</f>
        <v>0</v>
      </c>
    </row>
    <row r="1515" spans="1:12" x14ac:dyDescent="0.3">
      <c r="A1515" t="s">
        <v>196</v>
      </c>
      <c r="B1515" t="str">
        <f>TEXT(원본데이터_리씽크!B611,"0")</f>
        <v>2026021109455870000</v>
      </c>
      <c r="C1515" t="str">
        <f>IF(원본데이터_리씽크!A611="","",TEXT(원본데이터_리씽크!A611,"YYYY-MM-DD"))</f>
        <v>2026-02-11</v>
      </c>
      <c r="D1515">
        <f>원본데이터_리씽크!S611</f>
        <v>143790</v>
      </c>
      <c r="E1515" t="str">
        <f>IFERROR(VLOOKUP(원본데이터_리씽크!S611,채널매핑!$B:$D,3,0),"미매핑")</f>
        <v>SKU001</v>
      </c>
      <c r="F1515">
        <f>IFERROR(VLOOKUP(원본데이터_리씽크!S611,채널매핑!$B:$E,4,0),1)</f>
        <v>4</v>
      </c>
      <c r="G1515">
        <f>원본데이터_리씽크!P611</f>
        <v>1</v>
      </c>
      <c r="H1515">
        <f>원본데이터_리씽크!O611</f>
        <v>45500</v>
      </c>
      <c r="I1515">
        <f>원본데이터_리씽크!X611</f>
        <v>45500</v>
      </c>
      <c r="J1515">
        <f>원본데이터_리씽크!X611</f>
        <v>45500</v>
      </c>
      <c r="K1515" t="str">
        <f>IFERROR(VLOOKUP(E1515,제품마스터!$A:$B,2,0),0)</f>
        <v>[워커힐] 시그니처 양념갈비 300G</v>
      </c>
      <c r="L1515">
        <f>원본데이터_리씽크!P611*원본데이터_리씽크!Q611*F1515</f>
        <v>0</v>
      </c>
    </row>
    <row r="1516" spans="1:12" x14ac:dyDescent="0.3">
      <c r="A1516" t="s">
        <v>196</v>
      </c>
      <c r="B1516" t="str">
        <f>TEXT(원본데이터_리씽크!B612,"0")</f>
        <v>2026021108110040000</v>
      </c>
      <c r="C1516" t="str">
        <f>IF(원본데이터_리씽크!A612="","",TEXT(원본데이터_리씽크!A612,"YYYY-MM-DD"))</f>
        <v>2026-02-11</v>
      </c>
      <c r="D1516">
        <f>원본데이터_리씽크!S612</f>
        <v>143790</v>
      </c>
      <c r="E1516" t="str">
        <f>IFERROR(VLOOKUP(원본데이터_리씽크!S612,채널매핑!$B:$D,3,0),"미매핑")</f>
        <v>SKU001</v>
      </c>
      <c r="F1516">
        <f>IFERROR(VLOOKUP(원본데이터_리씽크!S612,채널매핑!$B:$E,4,0),1)</f>
        <v>4</v>
      </c>
      <c r="G1516">
        <f>원본데이터_리씽크!P612</f>
        <v>1</v>
      </c>
      <c r="H1516">
        <f>원본데이터_리씽크!O612</f>
        <v>45500</v>
      </c>
      <c r="I1516">
        <f>원본데이터_리씽크!X612</f>
        <v>45500</v>
      </c>
      <c r="J1516">
        <f>원본데이터_리씽크!X612</f>
        <v>45500</v>
      </c>
      <c r="K1516" t="str">
        <f>IFERROR(VLOOKUP(E1516,제품마스터!$A:$B,2,0),0)</f>
        <v>[워커힐] 시그니처 양념갈비 300G</v>
      </c>
      <c r="L1516">
        <f>원본데이터_리씽크!P612*원본데이터_리씽크!Q612*F1516</f>
        <v>0</v>
      </c>
    </row>
    <row r="1517" spans="1:12" x14ac:dyDescent="0.3">
      <c r="A1517" t="s">
        <v>196</v>
      </c>
      <c r="B1517" t="str">
        <f>TEXT(원본데이터_리씽크!B613,"0")</f>
        <v>2026021102411080000</v>
      </c>
      <c r="C1517" t="str">
        <f>IF(원본데이터_리씽크!A613="","",TEXT(원본데이터_리씽크!A613,"YYYY-MM-DD"))</f>
        <v>2026-02-11</v>
      </c>
      <c r="D1517">
        <f>원본데이터_리씽크!S613</f>
        <v>143790</v>
      </c>
      <c r="E1517" t="str">
        <f>IFERROR(VLOOKUP(원본데이터_리씽크!S613,채널매핑!$B:$D,3,0),"미매핑")</f>
        <v>SKU001</v>
      </c>
      <c r="F1517">
        <f>IFERROR(VLOOKUP(원본데이터_리씽크!S613,채널매핑!$B:$E,4,0),1)</f>
        <v>4</v>
      </c>
      <c r="G1517">
        <f>원본데이터_리씽크!P613</f>
        <v>1</v>
      </c>
      <c r="H1517">
        <f>원본데이터_리씽크!O613</f>
        <v>45500</v>
      </c>
      <c r="I1517">
        <f>원본데이터_리씽크!X613</f>
        <v>45500</v>
      </c>
      <c r="J1517">
        <f>원본데이터_리씽크!X613</f>
        <v>45500</v>
      </c>
      <c r="K1517" t="str">
        <f>IFERROR(VLOOKUP(E1517,제품마스터!$A:$B,2,0),0)</f>
        <v>[워커힐] 시그니처 양념갈비 300G</v>
      </c>
      <c r="L1517">
        <f>원본데이터_리씽크!P613*원본데이터_리씽크!Q613*F1517</f>
        <v>0</v>
      </c>
    </row>
    <row r="1518" spans="1:12" x14ac:dyDescent="0.3">
      <c r="A1518" t="s">
        <v>196</v>
      </c>
      <c r="B1518" t="str">
        <f>TEXT(원본데이터_리씽크!B614,"0")</f>
        <v>2026021102383210000</v>
      </c>
      <c r="C1518" t="str">
        <f>IF(원본데이터_리씽크!A614="","",TEXT(원본데이터_리씽크!A614,"YYYY-MM-DD"))</f>
        <v>2026-02-11</v>
      </c>
      <c r="D1518">
        <f>원본데이터_리씽크!S614</f>
        <v>143790</v>
      </c>
      <c r="E1518" t="str">
        <f>IFERROR(VLOOKUP(원본데이터_리씽크!S614,채널매핑!$B:$D,3,0),"미매핑")</f>
        <v>SKU001</v>
      </c>
      <c r="F1518">
        <f>IFERROR(VLOOKUP(원본데이터_리씽크!S614,채널매핑!$B:$E,4,0),1)</f>
        <v>4</v>
      </c>
      <c r="G1518">
        <f>원본데이터_리씽크!P614</f>
        <v>1</v>
      </c>
      <c r="H1518">
        <f>원본데이터_리씽크!O614</f>
        <v>45500</v>
      </c>
      <c r="I1518">
        <f>원본데이터_리씽크!X614</f>
        <v>45500</v>
      </c>
      <c r="J1518">
        <f>원본데이터_리씽크!X614</f>
        <v>45500</v>
      </c>
      <c r="K1518" t="str">
        <f>IFERROR(VLOOKUP(E1518,제품마스터!$A:$B,2,0),0)</f>
        <v>[워커힐] 시그니처 양념갈비 300G</v>
      </c>
      <c r="L1518">
        <f>원본데이터_리씽크!P614*원본데이터_리씽크!Q614*F1518</f>
        <v>0</v>
      </c>
    </row>
    <row r="1519" spans="1:12" x14ac:dyDescent="0.3">
      <c r="A1519" t="s">
        <v>196</v>
      </c>
      <c r="B1519" t="str">
        <f>TEXT(원본데이터_리씽크!B615,"0")</f>
        <v>2026021102351320000</v>
      </c>
      <c r="C1519" t="str">
        <f>IF(원본데이터_리씽크!A615="","",TEXT(원본데이터_리씽크!A615,"YYYY-MM-DD"))</f>
        <v>2026-02-11</v>
      </c>
      <c r="D1519">
        <f>원본데이터_리씽크!S615</f>
        <v>143790</v>
      </c>
      <c r="E1519" t="str">
        <f>IFERROR(VLOOKUP(원본데이터_리씽크!S615,채널매핑!$B:$D,3,0),"미매핑")</f>
        <v>SKU001</v>
      </c>
      <c r="F1519">
        <f>IFERROR(VLOOKUP(원본데이터_리씽크!S615,채널매핑!$B:$E,4,0),1)</f>
        <v>4</v>
      </c>
      <c r="G1519">
        <f>원본데이터_리씽크!P615</f>
        <v>1</v>
      </c>
      <c r="H1519">
        <f>원본데이터_리씽크!O615</f>
        <v>45500</v>
      </c>
      <c r="I1519">
        <f>원본데이터_리씽크!X615</f>
        <v>45500</v>
      </c>
      <c r="J1519">
        <f>원본데이터_리씽크!X615</f>
        <v>45500</v>
      </c>
      <c r="K1519" t="str">
        <f>IFERROR(VLOOKUP(E1519,제품마스터!$A:$B,2,0),0)</f>
        <v>[워커힐] 시그니처 양념갈비 300G</v>
      </c>
      <c r="L1519">
        <f>원본데이터_리씽크!P615*원본데이터_리씽크!Q615*F1519</f>
        <v>0</v>
      </c>
    </row>
    <row r="1520" spans="1:12" x14ac:dyDescent="0.3">
      <c r="A1520" t="s">
        <v>196</v>
      </c>
      <c r="B1520" t="str">
        <f>TEXT(원본데이터_리씽크!B616,"0")</f>
        <v>2026021102245680000</v>
      </c>
      <c r="C1520" t="str">
        <f>IF(원본데이터_리씽크!A616="","",TEXT(원본데이터_리씽크!A616,"YYYY-MM-DD"))</f>
        <v>2026-02-11</v>
      </c>
      <c r="D1520">
        <f>원본데이터_리씽크!S616</f>
        <v>143790</v>
      </c>
      <c r="E1520" t="str">
        <f>IFERROR(VLOOKUP(원본데이터_리씽크!S616,채널매핑!$B:$D,3,0),"미매핑")</f>
        <v>SKU001</v>
      </c>
      <c r="F1520">
        <f>IFERROR(VLOOKUP(원본데이터_리씽크!S616,채널매핑!$B:$E,4,0),1)</f>
        <v>4</v>
      </c>
      <c r="G1520">
        <f>원본데이터_리씽크!P616</f>
        <v>1</v>
      </c>
      <c r="H1520">
        <f>원본데이터_리씽크!O616</f>
        <v>45500</v>
      </c>
      <c r="I1520">
        <f>원본데이터_리씽크!X616</f>
        <v>45500</v>
      </c>
      <c r="J1520">
        <f>원본데이터_리씽크!X616</f>
        <v>45500</v>
      </c>
      <c r="K1520" t="str">
        <f>IFERROR(VLOOKUP(E1520,제품마스터!$A:$B,2,0),0)</f>
        <v>[워커힐] 시그니처 양념갈비 300G</v>
      </c>
      <c r="L1520">
        <f>원본데이터_리씽크!P616*원본데이터_리씽크!Q616*F1520</f>
        <v>0</v>
      </c>
    </row>
    <row r="1521" spans="1:12" x14ac:dyDescent="0.3">
      <c r="A1521" t="s">
        <v>196</v>
      </c>
      <c r="B1521" t="str">
        <f>TEXT(원본데이터_리씽크!B617,"0")</f>
        <v>2026021020212790000</v>
      </c>
      <c r="C1521" t="str">
        <f>IF(원본데이터_리씽크!A617="","",TEXT(원본데이터_리씽크!A617,"YYYY-MM-DD"))</f>
        <v>2026-02-10</v>
      </c>
      <c r="D1521">
        <f>원본데이터_리씽크!S617</f>
        <v>143790</v>
      </c>
      <c r="E1521" t="str">
        <f>IFERROR(VLOOKUP(원본데이터_리씽크!S617,채널매핑!$B:$D,3,0),"미매핑")</f>
        <v>SKU001</v>
      </c>
      <c r="F1521">
        <f>IFERROR(VLOOKUP(원본데이터_리씽크!S617,채널매핑!$B:$E,4,0),1)</f>
        <v>4</v>
      </c>
      <c r="G1521">
        <f>원본데이터_리씽크!P617</f>
        <v>1</v>
      </c>
      <c r="H1521">
        <f>원본데이터_리씽크!O617</f>
        <v>45500</v>
      </c>
      <c r="I1521">
        <f>원본데이터_리씽크!X617</f>
        <v>45500</v>
      </c>
      <c r="J1521">
        <f>원본데이터_리씽크!X617</f>
        <v>45500</v>
      </c>
      <c r="K1521" t="str">
        <f>IFERROR(VLOOKUP(E1521,제품마스터!$A:$B,2,0),0)</f>
        <v>[워커힐] 시그니처 양념갈비 300G</v>
      </c>
      <c r="L1521">
        <f>원본데이터_리씽크!P617*원본데이터_리씽크!Q617*F1521</f>
        <v>0</v>
      </c>
    </row>
    <row r="1522" spans="1:12" x14ac:dyDescent="0.3">
      <c r="A1522" t="s">
        <v>196</v>
      </c>
      <c r="B1522" t="str">
        <f>TEXT(원본데이터_리씽크!B618,"0")</f>
        <v>2026021017554000000</v>
      </c>
      <c r="C1522" t="str">
        <f>IF(원본데이터_리씽크!A618="","",TEXT(원본데이터_리씽크!A618,"YYYY-MM-DD"))</f>
        <v>2026-02-10</v>
      </c>
      <c r="D1522">
        <f>원본데이터_리씽크!S618</f>
        <v>143790</v>
      </c>
      <c r="E1522" t="str">
        <f>IFERROR(VLOOKUP(원본데이터_리씽크!S618,채널매핑!$B:$D,3,0),"미매핑")</f>
        <v>SKU001</v>
      </c>
      <c r="F1522">
        <f>IFERROR(VLOOKUP(원본데이터_리씽크!S618,채널매핑!$B:$E,4,0),1)</f>
        <v>4</v>
      </c>
      <c r="G1522">
        <f>원본데이터_리씽크!P618</f>
        <v>1</v>
      </c>
      <c r="H1522">
        <f>원본데이터_리씽크!O618</f>
        <v>45500</v>
      </c>
      <c r="I1522">
        <f>원본데이터_리씽크!X618</f>
        <v>45500</v>
      </c>
      <c r="J1522">
        <f>원본데이터_리씽크!X618</f>
        <v>45500</v>
      </c>
      <c r="K1522" t="str">
        <f>IFERROR(VLOOKUP(E1522,제품마스터!$A:$B,2,0),0)</f>
        <v>[워커힐] 시그니처 양념갈비 300G</v>
      </c>
      <c r="L1522">
        <f>원본데이터_리씽크!P618*원본데이터_리씽크!Q618*F1522</f>
        <v>0</v>
      </c>
    </row>
    <row r="1523" spans="1:12" x14ac:dyDescent="0.3">
      <c r="A1523" t="s">
        <v>196</v>
      </c>
      <c r="B1523" t="str">
        <f>TEXT(원본데이터_리씽크!B619,"0")</f>
        <v>2026021014175900000</v>
      </c>
      <c r="C1523" t="str">
        <f>IF(원본데이터_리씽크!A619="","",TEXT(원본데이터_리씽크!A619,"YYYY-MM-DD"))</f>
        <v>2026-02-10</v>
      </c>
      <c r="D1523">
        <f>원본데이터_리씽크!S619</f>
        <v>143790</v>
      </c>
      <c r="E1523" t="str">
        <f>IFERROR(VLOOKUP(원본데이터_리씽크!S619,채널매핑!$B:$D,3,0),"미매핑")</f>
        <v>SKU001</v>
      </c>
      <c r="F1523">
        <f>IFERROR(VLOOKUP(원본데이터_리씽크!S619,채널매핑!$B:$E,4,0),1)</f>
        <v>4</v>
      </c>
      <c r="G1523">
        <f>원본데이터_리씽크!P619</f>
        <v>1</v>
      </c>
      <c r="H1523">
        <f>원본데이터_리씽크!O619</f>
        <v>45500</v>
      </c>
      <c r="I1523">
        <f>원본데이터_리씽크!X619</f>
        <v>45500</v>
      </c>
      <c r="J1523">
        <f>원본데이터_리씽크!X619</f>
        <v>45500</v>
      </c>
      <c r="K1523" t="str">
        <f>IFERROR(VLOOKUP(E1523,제품마스터!$A:$B,2,0),0)</f>
        <v>[워커힐] 시그니처 양념갈비 300G</v>
      </c>
      <c r="L1523">
        <f>원본데이터_리씽크!P619*원본데이터_리씽크!Q619*F1523</f>
        <v>0</v>
      </c>
    </row>
    <row r="1524" spans="1:12" x14ac:dyDescent="0.3">
      <c r="A1524" t="s">
        <v>196</v>
      </c>
      <c r="B1524" t="str">
        <f>TEXT(원본데이터_리씽크!B620,"0")</f>
        <v>2026021012240740000</v>
      </c>
      <c r="C1524" t="str">
        <f>IF(원본데이터_리씽크!A620="","",TEXT(원본데이터_리씽크!A620,"YYYY-MM-DD"))</f>
        <v>2026-02-10</v>
      </c>
      <c r="D1524">
        <f>원본데이터_리씽크!S620</f>
        <v>143790</v>
      </c>
      <c r="E1524" t="str">
        <f>IFERROR(VLOOKUP(원본데이터_리씽크!S620,채널매핑!$B:$D,3,0),"미매핑")</f>
        <v>SKU001</v>
      </c>
      <c r="F1524">
        <f>IFERROR(VLOOKUP(원본데이터_리씽크!S620,채널매핑!$B:$E,4,0),1)</f>
        <v>4</v>
      </c>
      <c r="G1524">
        <f>원본데이터_리씽크!P620</f>
        <v>1</v>
      </c>
      <c r="H1524">
        <f>원본데이터_리씽크!O620</f>
        <v>45500</v>
      </c>
      <c r="I1524">
        <f>원본데이터_리씽크!X620</f>
        <v>45500</v>
      </c>
      <c r="J1524">
        <f>원본데이터_리씽크!X620</f>
        <v>45500</v>
      </c>
      <c r="K1524" t="str">
        <f>IFERROR(VLOOKUP(E1524,제품마스터!$A:$B,2,0),0)</f>
        <v>[워커힐] 시그니처 양념갈비 300G</v>
      </c>
      <c r="L1524">
        <f>원본데이터_리씽크!P620*원본데이터_리씽크!Q620*F1524</f>
        <v>0</v>
      </c>
    </row>
    <row r="1525" spans="1:12" x14ac:dyDescent="0.3">
      <c r="A1525" t="s">
        <v>196</v>
      </c>
      <c r="B1525" t="str">
        <f>TEXT(원본데이터_리씽크!B621,"0")</f>
        <v>2026021011183570000</v>
      </c>
      <c r="C1525" t="str">
        <f>IF(원본데이터_리씽크!A621="","",TEXT(원본데이터_리씽크!A621,"YYYY-MM-DD"))</f>
        <v>2026-02-10</v>
      </c>
      <c r="D1525">
        <f>원본데이터_리씽크!S621</f>
        <v>143790</v>
      </c>
      <c r="E1525" t="str">
        <f>IFERROR(VLOOKUP(원본데이터_리씽크!S621,채널매핑!$B:$D,3,0),"미매핑")</f>
        <v>SKU001</v>
      </c>
      <c r="F1525">
        <f>IFERROR(VLOOKUP(원본데이터_리씽크!S621,채널매핑!$B:$E,4,0),1)</f>
        <v>4</v>
      </c>
      <c r="G1525">
        <f>원본데이터_리씽크!P621</f>
        <v>2</v>
      </c>
      <c r="H1525">
        <f>원본데이터_리씽크!O621</f>
        <v>45500</v>
      </c>
      <c r="I1525">
        <f>원본데이터_리씽크!X621</f>
        <v>91000</v>
      </c>
      <c r="J1525">
        <f>원본데이터_리씽크!X621</f>
        <v>91000</v>
      </c>
      <c r="K1525" t="str">
        <f>IFERROR(VLOOKUP(E1525,제품마스터!$A:$B,2,0),0)</f>
        <v>[워커힐] 시그니처 양념갈비 300G</v>
      </c>
      <c r="L1525">
        <f>원본데이터_리씽크!P621*원본데이터_리씽크!Q621*F1525</f>
        <v>0</v>
      </c>
    </row>
    <row r="1526" spans="1:12" x14ac:dyDescent="0.3">
      <c r="A1526" t="s">
        <v>196</v>
      </c>
      <c r="B1526" t="str">
        <f>TEXT(원본데이터_리씽크!B622,"0")</f>
        <v>2026021011152880000</v>
      </c>
      <c r="C1526" t="str">
        <f>IF(원본데이터_리씽크!A622="","",TEXT(원본데이터_리씽크!A622,"YYYY-MM-DD"))</f>
        <v>2026-02-10</v>
      </c>
      <c r="D1526">
        <f>원본데이터_리씽크!S622</f>
        <v>143790</v>
      </c>
      <c r="E1526" t="str">
        <f>IFERROR(VLOOKUP(원본데이터_리씽크!S622,채널매핑!$B:$D,3,0),"미매핑")</f>
        <v>SKU001</v>
      </c>
      <c r="F1526">
        <f>IFERROR(VLOOKUP(원본데이터_리씽크!S622,채널매핑!$B:$E,4,0),1)</f>
        <v>4</v>
      </c>
      <c r="G1526">
        <f>원본데이터_리씽크!P622</f>
        <v>1</v>
      </c>
      <c r="H1526">
        <f>원본데이터_리씽크!O622</f>
        <v>45500</v>
      </c>
      <c r="I1526">
        <f>원본데이터_리씽크!X622</f>
        <v>45500</v>
      </c>
      <c r="J1526">
        <f>원본데이터_리씽크!X622</f>
        <v>45500</v>
      </c>
      <c r="K1526" t="str">
        <f>IFERROR(VLOOKUP(E1526,제품마스터!$A:$B,2,0),0)</f>
        <v>[워커힐] 시그니처 양념갈비 300G</v>
      </c>
      <c r="L1526">
        <f>원본데이터_리씽크!P622*원본데이터_리씽크!Q622*F1526</f>
        <v>0</v>
      </c>
    </row>
    <row r="1527" spans="1:12" x14ac:dyDescent="0.3">
      <c r="A1527" t="s">
        <v>196</v>
      </c>
      <c r="B1527" t="str">
        <f>TEXT(원본데이터_리씽크!B623,"0")</f>
        <v>2026021109364730000</v>
      </c>
      <c r="C1527" t="str">
        <f>IF(원본데이터_리씽크!A623="","",TEXT(원본데이터_리씽크!A623,"YYYY-MM-DD"))</f>
        <v>2026-02-11</v>
      </c>
      <c r="D1527">
        <f>원본데이터_리씽크!S623</f>
        <v>143812</v>
      </c>
      <c r="E1527" t="str">
        <f>IFERROR(VLOOKUP(원본데이터_리씽크!S623,채널매핑!$B:$D,3,0),"미매핑")</f>
        <v>SKU001</v>
      </c>
      <c r="F1527">
        <f>IFERROR(VLOOKUP(원본데이터_리씽크!S623,채널매핑!$B:$E,4,0),1)</f>
        <v>2</v>
      </c>
      <c r="G1527">
        <f>원본데이터_리씽크!P623</f>
        <v>1</v>
      </c>
      <c r="H1527">
        <f>원본데이터_리씽크!O623</f>
        <v>45500</v>
      </c>
      <c r="I1527">
        <f>원본데이터_리씽크!X623</f>
        <v>45500</v>
      </c>
      <c r="J1527">
        <f>원본데이터_리씽크!X623</f>
        <v>45500</v>
      </c>
      <c r="K1527" t="str">
        <f>IFERROR(VLOOKUP(E1527,제품마스터!$A:$B,2,0),0)</f>
        <v>[워커힐] 시그니처 양념갈비 300G</v>
      </c>
      <c r="L1527">
        <f>원본데이터_리씽크!P623*원본데이터_리씽크!Q623*F1527</f>
        <v>0</v>
      </c>
    </row>
    <row r="1528" spans="1:12" x14ac:dyDescent="0.3">
      <c r="A1528" t="s">
        <v>196</v>
      </c>
      <c r="B1528" t="str">
        <f>TEXT(원본데이터_리씽크!B624,"0")</f>
        <v>2026021108195170000</v>
      </c>
      <c r="C1528" t="str">
        <f>IF(원본데이터_리씽크!A624="","",TEXT(원본데이터_리씽크!A624,"YYYY-MM-DD"))</f>
        <v>2026-02-11</v>
      </c>
      <c r="D1528">
        <f>원본데이터_리씽크!S624</f>
        <v>143812</v>
      </c>
      <c r="E1528" t="str">
        <f>IFERROR(VLOOKUP(원본데이터_리씽크!S624,채널매핑!$B:$D,3,0),"미매핑")</f>
        <v>SKU001</v>
      </c>
      <c r="F1528">
        <f>IFERROR(VLOOKUP(원본데이터_리씽크!S624,채널매핑!$B:$E,4,0),1)</f>
        <v>2</v>
      </c>
      <c r="G1528">
        <f>원본데이터_리씽크!P624</f>
        <v>2</v>
      </c>
      <c r="H1528">
        <f>원본데이터_리씽크!O624</f>
        <v>45500</v>
      </c>
      <c r="I1528">
        <f>원본데이터_리씽크!X624</f>
        <v>91000</v>
      </c>
      <c r="J1528">
        <f>원본데이터_리씽크!X624</f>
        <v>91000</v>
      </c>
      <c r="K1528" t="str">
        <f>IFERROR(VLOOKUP(E1528,제품마스터!$A:$B,2,0),0)</f>
        <v>[워커힐] 시그니처 양념갈비 300G</v>
      </c>
      <c r="L1528">
        <f>원본데이터_리씽크!P624*원본데이터_리씽크!Q624*F1528</f>
        <v>0</v>
      </c>
    </row>
    <row r="1529" spans="1:12" x14ac:dyDescent="0.3">
      <c r="A1529" t="s">
        <v>196</v>
      </c>
      <c r="B1529" t="str">
        <f>TEXT(원본데이터_리씽크!B625,"0")</f>
        <v>2026021108155020000</v>
      </c>
      <c r="C1529" t="str">
        <f>IF(원본데이터_리씽크!A625="","",TEXT(원본데이터_리씽크!A625,"YYYY-MM-DD"))</f>
        <v>2026-02-11</v>
      </c>
      <c r="D1529">
        <f>원본데이터_리씽크!S625</f>
        <v>143812</v>
      </c>
      <c r="E1529" t="str">
        <f>IFERROR(VLOOKUP(원본데이터_리씽크!S625,채널매핑!$B:$D,3,0),"미매핑")</f>
        <v>SKU001</v>
      </c>
      <c r="F1529">
        <f>IFERROR(VLOOKUP(원본데이터_리씽크!S625,채널매핑!$B:$E,4,0),1)</f>
        <v>2</v>
      </c>
      <c r="G1529">
        <f>원본데이터_리씽크!P625</f>
        <v>1</v>
      </c>
      <c r="H1529">
        <f>원본데이터_리씽크!O625</f>
        <v>45500</v>
      </c>
      <c r="I1529">
        <f>원본데이터_리씽크!X625</f>
        <v>45500</v>
      </c>
      <c r="J1529">
        <f>원본데이터_리씽크!X625</f>
        <v>45500</v>
      </c>
      <c r="K1529" t="str">
        <f>IFERROR(VLOOKUP(E1529,제품마스터!$A:$B,2,0),0)</f>
        <v>[워커힐] 시그니처 양념갈비 300G</v>
      </c>
      <c r="L1529">
        <f>원본데이터_리씽크!P625*원본데이터_리씽크!Q625*F1529</f>
        <v>0</v>
      </c>
    </row>
    <row r="1530" spans="1:12" x14ac:dyDescent="0.3">
      <c r="A1530" t="s">
        <v>196</v>
      </c>
      <c r="B1530" t="str">
        <f>TEXT(원본데이터_리씽크!B626,"0")</f>
        <v>2026021107460180000</v>
      </c>
      <c r="C1530" t="str">
        <f>IF(원본데이터_리씽크!A626="","",TEXT(원본데이터_리씽크!A626,"YYYY-MM-DD"))</f>
        <v>2026-02-11</v>
      </c>
      <c r="D1530">
        <f>원본데이터_리씽크!S626</f>
        <v>143812</v>
      </c>
      <c r="E1530" t="str">
        <f>IFERROR(VLOOKUP(원본데이터_리씽크!S626,채널매핑!$B:$D,3,0),"미매핑")</f>
        <v>SKU001</v>
      </c>
      <c r="F1530">
        <f>IFERROR(VLOOKUP(원본데이터_리씽크!S626,채널매핑!$B:$E,4,0),1)</f>
        <v>2</v>
      </c>
      <c r="G1530">
        <f>원본데이터_리씽크!P626</f>
        <v>1</v>
      </c>
      <c r="H1530">
        <f>원본데이터_리씽크!O626</f>
        <v>45500</v>
      </c>
      <c r="I1530">
        <f>원본데이터_리씽크!X626</f>
        <v>45500</v>
      </c>
      <c r="J1530">
        <f>원본데이터_리씽크!X626</f>
        <v>45500</v>
      </c>
      <c r="K1530" t="str">
        <f>IFERROR(VLOOKUP(E1530,제품마스터!$A:$B,2,0),0)</f>
        <v>[워커힐] 시그니처 양념갈비 300G</v>
      </c>
      <c r="L1530">
        <f>원본데이터_리씽크!P626*원본데이터_리씽크!Q626*F1530</f>
        <v>0</v>
      </c>
    </row>
    <row r="1531" spans="1:12" x14ac:dyDescent="0.3">
      <c r="A1531" t="s">
        <v>196</v>
      </c>
      <c r="B1531" t="str">
        <f>TEXT(원본데이터_리씽크!B627,"0")</f>
        <v>2026021023073460000</v>
      </c>
      <c r="C1531" t="str">
        <f>IF(원본데이터_리씽크!A627="","",TEXT(원본데이터_리씽크!A627,"YYYY-MM-DD"))</f>
        <v>2026-02-10</v>
      </c>
      <c r="D1531">
        <f>원본데이터_리씽크!S627</f>
        <v>143812</v>
      </c>
      <c r="E1531" t="str">
        <f>IFERROR(VLOOKUP(원본데이터_리씽크!S627,채널매핑!$B:$D,3,0),"미매핑")</f>
        <v>SKU001</v>
      </c>
      <c r="F1531">
        <f>IFERROR(VLOOKUP(원본데이터_리씽크!S627,채널매핑!$B:$E,4,0),1)</f>
        <v>2</v>
      </c>
      <c r="G1531">
        <f>원본데이터_리씽크!P627</f>
        <v>1</v>
      </c>
      <c r="H1531">
        <f>원본데이터_리씽크!O627</f>
        <v>45500</v>
      </c>
      <c r="I1531">
        <f>원본데이터_리씽크!X627</f>
        <v>45500</v>
      </c>
      <c r="J1531">
        <f>원본데이터_리씽크!X627</f>
        <v>45500</v>
      </c>
      <c r="K1531" t="str">
        <f>IFERROR(VLOOKUP(E1531,제품마스터!$A:$B,2,0),0)</f>
        <v>[워커힐] 시그니처 양념갈비 300G</v>
      </c>
      <c r="L1531">
        <f>원본데이터_리씽크!P627*원본데이터_리씽크!Q627*F1531</f>
        <v>0</v>
      </c>
    </row>
    <row r="1532" spans="1:12" x14ac:dyDescent="0.3">
      <c r="A1532" t="s">
        <v>196</v>
      </c>
      <c r="B1532" t="str">
        <f>TEXT(원본데이터_리씽크!B628,"0")</f>
        <v>2026021022075040000</v>
      </c>
      <c r="C1532" t="str">
        <f>IF(원본데이터_리씽크!A628="","",TEXT(원본데이터_리씽크!A628,"YYYY-MM-DD"))</f>
        <v>2026-02-10</v>
      </c>
      <c r="D1532">
        <f>원본데이터_리씽크!S628</f>
        <v>143812</v>
      </c>
      <c r="E1532" t="str">
        <f>IFERROR(VLOOKUP(원본데이터_리씽크!S628,채널매핑!$B:$D,3,0),"미매핑")</f>
        <v>SKU001</v>
      </c>
      <c r="F1532">
        <f>IFERROR(VLOOKUP(원본데이터_리씽크!S628,채널매핑!$B:$E,4,0),1)</f>
        <v>2</v>
      </c>
      <c r="G1532">
        <f>원본데이터_리씽크!P628</f>
        <v>3</v>
      </c>
      <c r="H1532">
        <f>원본데이터_리씽크!O628</f>
        <v>45500</v>
      </c>
      <c r="I1532">
        <f>원본데이터_리씽크!X628</f>
        <v>136500</v>
      </c>
      <c r="J1532">
        <f>원본데이터_리씽크!X628</f>
        <v>136500</v>
      </c>
      <c r="K1532" t="str">
        <f>IFERROR(VLOOKUP(E1532,제품마스터!$A:$B,2,0),0)</f>
        <v>[워커힐] 시그니처 양념갈비 300G</v>
      </c>
      <c r="L1532">
        <f>원본데이터_리씽크!P628*원본데이터_리씽크!Q628*F1532</f>
        <v>0</v>
      </c>
    </row>
    <row r="1533" spans="1:12" x14ac:dyDescent="0.3">
      <c r="A1533" t="s">
        <v>196</v>
      </c>
      <c r="B1533" t="str">
        <f>TEXT(원본데이터_리씽크!B629,"0")</f>
        <v>2026021021295580000</v>
      </c>
      <c r="C1533" t="str">
        <f>IF(원본데이터_리씽크!A629="","",TEXT(원본데이터_리씽크!A629,"YYYY-MM-DD"))</f>
        <v>2026-02-10</v>
      </c>
      <c r="D1533">
        <f>원본데이터_리씽크!S629</f>
        <v>143812</v>
      </c>
      <c r="E1533" t="str">
        <f>IFERROR(VLOOKUP(원본데이터_리씽크!S629,채널매핑!$B:$D,3,0),"미매핑")</f>
        <v>SKU001</v>
      </c>
      <c r="F1533">
        <f>IFERROR(VLOOKUP(원본데이터_리씽크!S629,채널매핑!$B:$E,4,0),1)</f>
        <v>2</v>
      </c>
      <c r="G1533">
        <f>원본데이터_리씽크!P629</f>
        <v>1</v>
      </c>
      <c r="H1533">
        <f>원본데이터_리씽크!O629</f>
        <v>45500</v>
      </c>
      <c r="I1533">
        <f>원본데이터_리씽크!X629</f>
        <v>45500</v>
      </c>
      <c r="J1533">
        <f>원본데이터_리씽크!X629</f>
        <v>45500</v>
      </c>
      <c r="K1533" t="str">
        <f>IFERROR(VLOOKUP(E1533,제품마스터!$A:$B,2,0),0)</f>
        <v>[워커힐] 시그니처 양념갈비 300G</v>
      </c>
      <c r="L1533">
        <f>원본데이터_리씽크!P629*원본데이터_리씽크!Q629*F1533</f>
        <v>0</v>
      </c>
    </row>
    <row r="1534" spans="1:12" x14ac:dyDescent="0.3">
      <c r="A1534" t="s">
        <v>196</v>
      </c>
      <c r="B1534" t="str">
        <f>TEXT(원본데이터_리씽크!B630,"0")</f>
        <v>2026021021143540000</v>
      </c>
      <c r="C1534" t="str">
        <f>IF(원본데이터_리씽크!A630="","",TEXT(원본데이터_리씽크!A630,"YYYY-MM-DD"))</f>
        <v>2026-02-10</v>
      </c>
      <c r="D1534">
        <f>원본데이터_리씽크!S630</f>
        <v>143812</v>
      </c>
      <c r="E1534" t="str">
        <f>IFERROR(VLOOKUP(원본데이터_리씽크!S630,채널매핑!$B:$D,3,0),"미매핑")</f>
        <v>SKU001</v>
      </c>
      <c r="F1534">
        <f>IFERROR(VLOOKUP(원본데이터_리씽크!S630,채널매핑!$B:$E,4,0),1)</f>
        <v>2</v>
      </c>
      <c r="G1534">
        <f>원본데이터_리씽크!P630</f>
        <v>1</v>
      </c>
      <c r="H1534">
        <f>원본데이터_리씽크!O630</f>
        <v>45500</v>
      </c>
      <c r="I1534">
        <f>원본데이터_리씽크!X630</f>
        <v>45500</v>
      </c>
      <c r="J1534">
        <f>원본데이터_리씽크!X630</f>
        <v>45500</v>
      </c>
      <c r="K1534" t="str">
        <f>IFERROR(VLOOKUP(E1534,제품마스터!$A:$B,2,0),0)</f>
        <v>[워커힐] 시그니처 양념갈비 300G</v>
      </c>
      <c r="L1534">
        <f>원본데이터_리씽크!P630*원본데이터_리씽크!Q630*F1534</f>
        <v>0</v>
      </c>
    </row>
    <row r="1535" spans="1:12" x14ac:dyDescent="0.3">
      <c r="A1535" t="s">
        <v>196</v>
      </c>
      <c r="B1535" t="str">
        <f>TEXT(원본데이터_리씽크!B631,"0")</f>
        <v>2026021019193700000</v>
      </c>
      <c r="C1535" t="str">
        <f>IF(원본데이터_리씽크!A631="","",TEXT(원본데이터_리씽크!A631,"YYYY-MM-DD"))</f>
        <v>2026-02-10</v>
      </c>
      <c r="D1535">
        <f>원본데이터_리씽크!S631</f>
        <v>143812</v>
      </c>
      <c r="E1535" t="str">
        <f>IFERROR(VLOOKUP(원본데이터_리씽크!S631,채널매핑!$B:$D,3,0),"미매핑")</f>
        <v>SKU001</v>
      </c>
      <c r="F1535">
        <f>IFERROR(VLOOKUP(원본데이터_리씽크!S631,채널매핑!$B:$E,4,0),1)</f>
        <v>2</v>
      </c>
      <c r="G1535">
        <f>원본데이터_리씽크!P631</f>
        <v>1</v>
      </c>
      <c r="H1535">
        <f>원본데이터_리씽크!O631</f>
        <v>45500</v>
      </c>
      <c r="I1535">
        <f>원본데이터_리씽크!X631</f>
        <v>45500</v>
      </c>
      <c r="J1535">
        <f>원본데이터_리씽크!X631</f>
        <v>45500</v>
      </c>
      <c r="K1535" t="str">
        <f>IFERROR(VLOOKUP(E1535,제품마스터!$A:$B,2,0),0)</f>
        <v>[워커힐] 시그니처 양념갈비 300G</v>
      </c>
      <c r="L1535">
        <f>원본데이터_리씽크!P631*원본데이터_리씽크!Q631*F1535</f>
        <v>0</v>
      </c>
    </row>
    <row r="1536" spans="1:12" x14ac:dyDescent="0.3">
      <c r="A1536" t="s">
        <v>196</v>
      </c>
      <c r="B1536" t="str">
        <f>TEXT(원본데이터_리씽크!B632,"0")</f>
        <v>2026021019162700000</v>
      </c>
      <c r="C1536" t="str">
        <f>IF(원본데이터_리씽크!A632="","",TEXT(원본데이터_리씽크!A632,"YYYY-MM-DD"))</f>
        <v>2026-02-10</v>
      </c>
      <c r="D1536">
        <f>원본데이터_리씽크!S632</f>
        <v>143812</v>
      </c>
      <c r="E1536" t="str">
        <f>IFERROR(VLOOKUP(원본데이터_리씽크!S632,채널매핑!$B:$D,3,0),"미매핑")</f>
        <v>SKU001</v>
      </c>
      <c r="F1536">
        <f>IFERROR(VLOOKUP(원본데이터_리씽크!S632,채널매핑!$B:$E,4,0),1)</f>
        <v>2</v>
      </c>
      <c r="G1536">
        <f>원본데이터_리씽크!P632</f>
        <v>1</v>
      </c>
      <c r="H1536">
        <f>원본데이터_리씽크!O632</f>
        <v>45500</v>
      </c>
      <c r="I1536">
        <f>원본데이터_리씽크!X632</f>
        <v>45500</v>
      </c>
      <c r="J1536">
        <f>원본데이터_리씽크!X632</f>
        <v>45500</v>
      </c>
      <c r="K1536" t="str">
        <f>IFERROR(VLOOKUP(E1536,제품마스터!$A:$B,2,0),0)</f>
        <v>[워커힐] 시그니처 양념갈비 300G</v>
      </c>
      <c r="L1536">
        <f>원본데이터_리씽크!P632*원본데이터_리씽크!Q632*F1536</f>
        <v>0</v>
      </c>
    </row>
    <row r="1537" spans="1:12" x14ac:dyDescent="0.3">
      <c r="A1537" t="s">
        <v>196</v>
      </c>
      <c r="B1537" t="str">
        <f>TEXT(원본데이터_리씽크!B633,"0")</f>
        <v>2026021016584550000</v>
      </c>
      <c r="C1537" t="str">
        <f>IF(원본데이터_리씽크!A633="","",TEXT(원본데이터_리씽크!A633,"YYYY-MM-DD"))</f>
        <v>2026-02-10</v>
      </c>
      <c r="D1537">
        <f>원본데이터_리씽크!S633</f>
        <v>143812</v>
      </c>
      <c r="E1537" t="str">
        <f>IFERROR(VLOOKUP(원본데이터_리씽크!S633,채널매핑!$B:$D,3,0),"미매핑")</f>
        <v>SKU001</v>
      </c>
      <c r="F1537">
        <f>IFERROR(VLOOKUP(원본데이터_리씽크!S633,채널매핑!$B:$E,4,0),1)</f>
        <v>2</v>
      </c>
      <c r="G1537">
        <f>원본데이터_리씽크!P633</f>
        <v>2</v>
      </c>
      <c r="H1537">
        <f>원본데이터_리씽크!O633</f>
        <v>45500</v>
      </c>
      <c r="I1537">
        <f>원본데이터_리씽크!X633</f>
        <v>91000</v>
      </c>
      <c r="J1537">
        <f>원본데이터_리씽크!X633</f>
        <v>91000</v>
      </c>
      <c r="K1537" t="str">
        <f>IFERROR(VLOOKUP(E1537,제품마스터!$A:$B,2,0),0)</f>
        <v>[워커힐] 시그니처 양념갈비 300G</v>
      </c>
      <c r="L1537">
        <f>원본데이터_리씽크!P633*원본데이터_리씽크!Q633*F1537</f>
        <v>0</v>
      </c>
    </row>
    <row r="1538" spans="1:12" x14ac:dyDescent="0.3">
      <c r="A1538" t="s">
        <v>196</v>
      </c>
      <c r="B1538" t="str">
        <f>TEXT(원본데이터_리씽크!B634,"0")</f>
        <v>2026021011392820000</v>
      </c>
      <c r="C1538" t="str">
        <f>IF(원본데이터_리씽크!A634="","",TEXT(원본데이터_리씽크!A634,"YYYY-MM-DD"))</f>
        <v>2026-02-10</v>
      </c>
      <c r="D1538">
        <f>원본데이터_리씽크!S634</f>
        <v>143812</v>
      </c>
      <c r="E1538" t="str">
        <f>IFERROR(VLOOKUP(원본데이터_리씽크!S634,채널매핑!$B:$D,3,0),"미매핑")</f>
        <v>SKU001</v>
      </c>
      <c r="F1538">
        <f>IFERROR(VLOOKUP(원본데이터_리씽크!S634,채널매핑!$B:$E,4,0),1)</f>
        <v>2</v>
      </c>
      <c r="G1538">
        <f>원본데이터_리씽크!P634</f>
        <v>1</v>
      </c>
      <c r="H1538">
        <f>원본데이터_리씽크!O634</f>
        <v>45500</v>
      </c>
      <c r="I1538">
        <f>원본데이터_리씽크!X634</f>
        <v>45500</v>
      </c>
      <c r="J1538">
        <f>원본데이터_리씽크!X634</f>
        <v>45500</v>
      </c>
      <c r="K1538" t="str">
        <f>IFERROR(VLOOKUP(E1538,제품마스터!$A:$B,2,0),0)</f>
        <v>[워커힐] 시그니처 양념갈비 300G</v>
      </c>
      <c r="L1538">
        <f>원본데이터_리씽크!P634*원본데이터_리씽크!Q634*F1538</f>
        <v>0</v>
      </c>
    </row>
    <row r="1539" spans="1:12" x14ac:dyDescent="0.3">
      <c r="A1539" t="s">
        <v>196</v>
      </c>
      <c r="B1539" t="str">
        <f>TEXT(원본데이터_리씽크!B635,"0")</f>
        <v>2026021108002640000</v>
      </c>
      <c r="C1539" t="str">
        <f>IF(원본데이터_리씽크!A635="","",TEXT(원본데이터_리씽크!A635,"YYYY-MM-DD"))</f>
        <v>2026-02-11</v>
      </c>
      <c r="D1539">
        <f>원본데이터_리씽크!S635</f>
        <v>143790</v>
      </c>
      <c r="E1539" t="str">
        <f>IFERROR(VLOOKUP(원본데이터_리씽크!S635,채널매핑!$B:$D,3,0),"미매핑")</f>
        <v>SKU001</v>
      </c>
      <c r="F1539">
        <f>IFERROR(VLOOKUP(원본데이터_리씽크!S635,채널매핑!$B:$E,4,0),1)</f>
        <v>4</v>
      </c>
      <c r="G1539">
        <f>원본데이터_리씽크!P635</f>
        <v>1</v>
      </c>
      <c r="H1539">
        <f>원본데이터_리씽크!O635</f>
        <v>63000</v>
      </c>
      <c r="I1539">
        <f>원본데이터_리씽크!X635</f>
        <v>63000</v>
      </c>
      <c r="J1539">
        <f>원본데이터_리씽크!X635</f>
        <v>63000</v>
      </c>
      <c r="K1539" t="str">
        <f>IFERROR(VLOOKUP(E1539,제품마스터!$A:$B,2,0),0)</f>
        <v>[워커힐] 시그니처 양념갈비 300G</v>
      </c>
      <c r="L1539" t="e">
        <f>원본데이터_리씽크!P635*원본데이터_리씽크!Q635*F1539</f>
        <v>#VALUE!</v>
      </c>
    </row>
    <row r="1540" spans="1:12" x14ac:dyDescent="0.3">
      <c r="A1540" t="s">
        <v>196</v>
      </c>
      <c r="B1540" t="str">
        <f>TEXT(원본데이터_리씽크!B636,"0")</f>
        <v>2026021100274140000</v>
      </c>
      <c r="C1540" t="str">
        <f>IF(원본데이터_리씽크!A636="","",TEXT(원본데이터_리씽크!A636,"YYYY-MM-DD"))</f>
        <v>2026-02-11</v>
      </c>
      <c r="D1540">
        <f>원본데이터_리씽크!S636</f>
        <v>143790</v>
      </c>
      <c r="E1540" t="str">
        <f>IFERROR(VLOOKUP(원본데이터_리씽크!S636,채널매핑!$B:$D,3,0),"미매핑")</f>
        <v>SKU001</v>
      </c>
      <c r="F1540">
        <f>IFERROR(VLOOKUP(원본데이터_리씽크!S636,채널매핑!$B:$E,4,0),1)</f>
        <v>4</v>
      </c>
      <c r="G1540">
        <f>원본데이터_리씽크!P636</f>
        <v>1</v>
      </c>
      <c r="H1540">
        <f>원본데이터_리씽크!O636</f>
        <v>63000</v>
      </c>
      <c r="I1540">
        <f>원본데이터_리씽크!X636</f>
        <v>63000</v>
      </c>
      <c r="J1540">
        <f>원본데이터_리씽크!X636</f>
        <v>63000</v>
      </c>
      <c r="K1540" t="str">
        <f>IFERROR(VLOOKUP(E1540,제품마스터!$A:$B,2,0),0)</f>
        <v>[워커힐] 시그니처 양념갈비 300G</v>
      </c>
      <c r="L1540" t="e">
        <f>원본데이터_리씽크!P636*원본데이터_리씽크!Q636*F1540</f>
        <v>#VALUE!</v>
      </c>
    </row>
    <row r="1541" spans="1:12" x14ac:dyDescent="0.3">
      <c r="A1541" t="s">
        <v>196</v>
      </c>
      <c r="B1541" t="str">
        <f>TEXT(원본데이터_리씽크!B637,"0")</f>
        <v>2026021023335290000</v>
      </c>
      <c r="C1541" t="str">
        <f>IF(원본데이터_리씽크!A637="","",TEXT(원본데이터_리씽크!A637,"YYYY-MM-DD"))</f>
        <v>2026-02-10</v>
      </c>
      <c r="D1541">
        <f>원본데이터_리씽크!S637</f>
        <v>143790</v>
      </c>
      <c r="E1541" t="str">
        <f>IFERROR(VLOOKUP(원본데이터_리씽크!S637,채널매핑!$B:$D,3,0),"미매핑")</f>
        <v>SKU001</v>
      </c>
      <c r="F1541">
        <f>IFERROR(VLOOKUP(원본데이터_리씽크!S637,채널매핑!$B:$E,4,0),1)</f>
        <v>4</v>
      </c>
      <c r="G1541">
        <f>원본데이터_리씽크!P637</f>
        <v>1</v>
      </c>
      <c r="H1541">
        <f>원본데이터_리씽크!O637</f>
        <v>63000</v>
      </c>
      <c r="I1541">
        <f>원본데이터_리씽크!X637</f>
        <v>63000</v>
      </c>
      <c r="J1541">
        <f>원본데이터_리씽크!X637</f>
        <v>63000</v>
      </c>
      <c r="K1541" t="str">
        <f>IFERROR(VLOOKUP(E1541,제품마스터!$A:$B,2,0),0)</f>
        <v>[워커힐] 시그니처 양념갈비 300G</v>
      </c>
      <c r="L1541" t="e">
        <f>원본데이터_리씽크!P637*원본데이터_리씽크!Q637*F1541</f>
        <v>#VALUE!</v>
      </c>
    </row>
    <row r="1542" spans="1:12" x14ac:dyDescent="0.3">
      <c r="A1542" t="s">
        <v>196</v>
      </c>
      <c r="B1542" t="str">
        <f>TEXT(원본데이터_리씽크!B638,"0")</f>
        <v>2026021021530710000</v>
      </c>
      <c r="C1542" t="str">
        <f>IF(원본데이터_리씽크!A638="","",TEXT(원본데이터_리씽크!A638,"YYYY-MM-DD"))</f>
        <v>2026-02-10</v>
      </c>
      <c r="D1542">
        <f>원본데이터_리씽크!S638</f>
        <v>143790</v>
      </c>
      <c r="E1542" t="str">
        <f>IFERROR(VLOOKUP(원본데이터_리씽크!S638,채널매핑!$B:$D,3,0),"미매핑")</f>
        <v>SKU001</v>
      </c>
      <c r="F1542">
        <f>IFERROR(VLOOKUP(원본데이터_리씽크!S638,채널매핑!$B:$E,4,0),1)</f>
        <v>4</v>
      </c>
      <c r="G1542">
        <f>원본데이터_리씽크!P638</f>
        <v>1</v>
      </c>
      <c r="H1542">
        <f>원본데이터_리씽크!O638</f>
        <v>63000</v>
      </c>
      <c r="I1542">
        <f>원본데이터_리씽크!X638</f>
        <v>63000</v>
      </c>
      <c r="J1542">
        <f>원본데이터_리씽크!X638</f>
        <v>63000</v>
      </c>
      <c r="K1542" t="str">
        <f>IFERROR(VLOOKUP(E1542,제품마스터!$A:$B,2,0),0)</f>
        <v>[워커힐] 시그니처 양념갈비 300G</v>
      </c>
      <c r="L1542" t="e">
        <f>원본데이터_리씽크!P638*원본데이터_리씽크!Q638*F1542</f>
        <v>#VALUE!</v>
      </c>
    </row>
    <row r="1543" spans="1:12" x14ac:dyDescent="0.3">
      <c r="A1543" t="s">
        <v>196</v>
      </c>
      <c r="B1543" t="str">
        <f>TEXT(원본데이터_리씽크!B639,"0")</f>
        <v>2026021020101620000</v>
      </c>
      <c r="C1543" t="str">
        <f>IF(원본데이터_리씽크!A639="","",TEXT(원본데이터_리씽크!A639,"YYYY-MM-DD"))</f>
        <v>2026-02-10</v>
      </c>
      <c r="D1543">
        <f>원본데이터_리씽크!S639</f>
        <v>143790</v>
      </c>
      <c r="E1543" t="str">
        <f>IFERROR(VLOOKUP(원본데이터_리씽크!S639,채널매핑!$B:$D,3,0),"미매핑")</f>
        <v>SKU001</v>
      </c>
      <c r="F1543">
        <f>IFERROR(VLOOKUP(원본데이터_리씽크!S639,채널매핑!$B:$E,4,0),1)</f>
        <v>4</v>
      </c>
      <c r="G1543">
        <f>원본데이터_리씽크!P639</f>
        <v>2</v>
      </c>
      <c r="H1543">
        <f>원본데이터_리씽크!O639</f>
        <v>63000</v>
      </c>
      <c r="I1543">
        <f>원본데이터_리씽크!X639</f>
        <v>126000</v>
      </c>
      <c r="J1543">
        <f>원본데이터_리씽크!X639</f>
        <v>126000</v>
      </c>
      <c r="K1543" t="str">
        <f>IFERROR(VLOOKUP(E1543,제품마스터!$A:$B,2,0),0)</f>
        <v>[워커힐] 시그니처 양념갈비 300G</v>
      </c>
      <c r="L1543" t="e">
        <f>원본데이터_리씽크!P639*원본데이터_리씽크!Q639*F1543</f>
        <v>#VALUE!</v>
      </c>
    </row>
    <row r="1544" spans="1:12" x14ac:dyDescent="0.3">
      <c r="A1544" t="s">
        <v>196</v>
      </c>
      <c r="B1544" t="str">
        <f>TEXT(원본데이터_리씽크!B640,"0")</f>
        <v>2026021013521610000</v>
      </c>
      <c r="C1544" t="str">
        <f>IF(원본데이터_리씽크!A640="","",TEXT(원본데이터_리씽크!A640,"YYYY-MM-DD"))</f>
        <v>2026-02-10</v>
      </c>
      <c r="D1544">
        <f>원본데이터_리씽크!S640</f>
        <v>143790</v>
      </c>
      <c r="E1544" t="str">
        <f>IFERROR(VLOOKUP(원본데이터_리씽크!S640,채널매핑!$B:$D,3,0),"미매핑")</f>
        <v>SKU001</v>
      </c>
      <c r="F1544">
        <f>IFERROR(VLOOKUP(원본데이터_리씽크!S640,채널매핑!$B:$E,4,0),1)</f>
        <v>4</v>
      </c>
      <c r="G1544">
        <f>원본데이터_리씽크!P640</f>
        <v>1</v>
      </c>
      <c r="H1544">
        <f>원본데이터_리씽크!O640</f>
        <v>63000</v>
      </c>
      <c r="I1544">
        <f>원본데이터_리씽크!X640</f>
        <v>63000</v>
      </c>
      <c r="J1544">
        <f>원본데이터_리씽크!X640</f>
        <v>63000</v>
      </c>
      <c r="K1544" t="str">
        <f>IFERROR(VLOOKUP(E1544,제품마스터!$A:$B,2,0),0)</f>
        <v>[워커힐] 시그니처 양념갈비 300G</v>
      </c>
      <c r="L1544" t="e">
        <f>원본데이터_리씽크!P640*원본데이터_리씽크!Q640*F1544</f>
        <v>#VALUE!</v>
      </c>
    </row>
    <row r="1545" spans="1:12" x14ac:dyDescent="0.3">
      <c r="A1545" t="s">
        <v>196</v>
      </c>
      <c r="B1545" t="str">
        <f>TEXT(원본데이터_리씽크!B641,"0")</f>
        <v>2026021011221990000</v>
      </c>
      <c r="C1545" t="str">
        <f>IF(원본데이터_리씽크!A641="","",TEXT(원본데이터_리씽크!A641,"YYYY-MM-DD"))</f>
        <v>2026-02-10</v>
      </c>
      <c r="D1545">
        <f>원본데이터_리씽크!S641</f>
        <v>143790</v>
      </c>
      <c r="E1545" t="str">
        <f>IFERROR(VLOOKUP(원본데이터_리씽크!S641,채널매핑!$B:$D,3,0),"미매핑")</f>
        <v>SKU001</v>
      </c>
      <c r="F1545">
        <f>IFERROR(VLOOKUP(원본데이터_리씽크!S641,채널매핑!$B:$E,4,0),1)</f>
        <v>4</v>
      </c>
      <c r="G1545">
        <f>원본데이터_리씽크!P641</f>
        <v>1</v>
      </c>
      <c r="H1545">
        <f>원본데이터_리씽크!O641</f>
        <v>63000</v>
      </c>
      <c r="I1545">
        <f>원본데이터_리씽크!X641</f>
        <v>63000</v>
      </c>
      <c r="J1545">
        <f>원본데이터_리씽크!X641</f>
        <v>63000</v>
      </c>
      <c r="K1545" t="str">
        <f>IFERROR(VLOOKUP(E1545,제품마스터!$A:$B,2,0),0)</f>
        <v>[워커힐] 시그니처 양념갈비 300G</v>
      </c>
      <c r="L1545" t="e">
        <f>원본데이터_리씽크!P641*원본데이터_리씽크!Q641*F1545</f>
        <v>#VALUE!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3"/>
  <sheetViews>
    <sheetView showGridLines="0" tabSelected="1" workbookViewId="0">
      <selection activeCell="D26" sqref="D26"/>
    </sheetView>
  </sheetViews>
  <sheetFormatPr defaultRowHeight="16.5" x14ac:dyDescent="0.3"/>
  <cols>
    <col min="1" max="1" width="12.875" style="64" customWidth="1"/>
    <col min="2" max="2" width="31.75" style="64" bestFit="1" customWidth="1"/>
    <col min="3" max="8" width="18.375" style="64" customWidth="1"/>
  </cols>
  <sheetData>
    <row r="1" spans="1:11" ht="17.25" customHeight="1" x14ac:dyDescent="0.3">
      <c r="A1" s="14" t="s">
        <v>171</v>
      </c>
      <c r="B1" s="14" t="s">
        <v>127</v>
      </c>
      <c r="C1" s="14" t="s">
        <v>130</v>
      </c>
      <c r="D1" s="14" t="s">
        <v>2509</v>
      </c>
      <c r="E1" s="14" t="s">
        <v>2510</v>
      </c>
      <c r="F1" s="14" t="s">
        <v>131</v>
      </c>
      <c r="G1" s="14" t="s">
        <v>2511</v>
      </c>
      <c r="H1" s="14" t="s">
        <v>2512</v>
      </c>
      <c r="J1" s="11" t="s">
        <v>2513</v>
      </c>
    </row>
    <row r="2" spans="1:11" x14ac:dyDescent="0.3">
      <c r="A2" s="9" t="str">
        <f>제품마스터!A2</f>
        <v>SKU001</v>
      </c>
      <c r="B2" s="9" t="str">
        <f>제품마스터!B2</f>
        <v>[워커힐] 시그니처 양념갈비 300G</v>
      </c>
      <c r="C2" s="10">
        <f>제품마스터!E2</f>
        <v>25000</v>
      </c>
      <c r="D2" s="10">
        <f>SUMIF(정규화데이터!$C:$C,$A2,정규화데이터!$G:$G)</f>
        <v>0</v>
      </c>
      <c r="E2" s="10">
        <f>C2-D2</f>
        <v>25000</v>
      </c>
      <c r="F2" s="10">
        <f>제품마스터!F2</f>
        <v>5000</v>
      </c>
      <c r="G2" s="9" t="str">
        <f>IF(E2&lt;F2,"⚠️ 발주필요",IF(E2&lt;F2*1.5,"⚡ 주의","✅ 정상"))</f>
        <v>✅ 정상</v>
      </c>
      <c r="H2" s="10" t="str">
        <f>IF(E2&lt;F2,MAX(F2*3-E2,0),"")</f>
        <v/>
      </c>
      <c r="J2" s="7" t="s">
        <v>2514</v>
      </c>
      <c r="K2" t="s">
        <v>2515</v>
      </c>
    </row>
    <row r="3" spans="1:11" x14ac:dyDescent="0.3">
      <c r="A3" s="9"/>
      <c r="B3" s="9"/>
      <c r="C3" s="10"/>
      <c r="D3" s="10"/>
      <c r="E3" s="10"/>
      <c r="F3" s="10"/>
      <c r="G3" s="9"/>
      <c r="H3" s="10"/>
      <c r="J3" s="7" t="s">
        <v>2516</v>
      </c>
      <c r="K3" t="s">
        <v>2517</v>
      </c>
    </row>
    <row r="4" spans="1:11" x14ac:dyDescent="0.3">
      <c r="A4" s="9"/>
      <c r="B4" s="9"/>
      <c r="C4" s="10"/>
      <c r="D4" s="10"/>
      <c r="E4" s="10"/>
      <c r="F4" s="10"/>
      <c r="G4" s="9"/>
      <c r="H4" s="10"/>
      <c r="K4" t="s">
        <v>2518</v>
      </c>
    </row>
    <row r="5" spans="1:11" x14ac:dyDescent="0.3">
      <c r="A5" s="9"/>
      <c r="B5" s="9"/>
      <c r="C5" s="10"/>
      <c r="D5" s="10"/>
      <c r="E5" s="10"/>
      <c r="F5" s="10"/>
      <c r="G5" s="9"/>
      <c r="H5" s="10"/>
      <c r="J5" s="8" t="s">
        <v>2519</v>
      </c>
    </row>
    <row r="6" spans="1:11" x14ac:dyDescent="0.3">
      <c r="A6" s="9"/>
      <c r="B6" s="9"/>
      <c r="C6" s="10"/>
      <c r="D6" s="10"/>
      <c r="E6" s="10"/>
      <c r="F6" s="10"/>
      <c r="G6" s="9"/>
      <c r="H6" s="10"/>
      <c r="J6" s="28" t="s">
        <v>2519</v>
      </c>
      <c r="K6" t="s">
        <v>2520</v>
      </c>
    </row>
    <row r="7" spans="1:11" x14ac:dyDescent="0.3">
      <c r="A7" s="9"/>
      <c r="B7" s="9"/>
      <c r="C7" s="10"/>
      <c r="D7" s="10"/>
      <c r="E7" s="10"/>
      <c r="F7" s="10"/>
      <c r="G7" s="9"/>
      <c r="H7" s="10"/>
      <c r="J7" s="12" t="s">
        <v>2521</v>
      </c>
      <c r="K7" t="s">
        <v>2520</v>
      </c>
    </row>
    <row r="8" spans="1:11" x14ac:dyDescent="0.3">
      <c r="A8" s="9"/>
      <c r="B8" s="9"/>
      <c r="C8" s="10"/>
      <c r="D8" s="10"/>
      <c r="E8" s="10"/>
      <c r="F8" s="10"/>
      <c r="G8" s="9"/>
      <c r="H8" s="10"/>
      <c r="J8" s="15" t="s">
        <v>2522</v>
      </c>
      <c r="K8" t="s">
        <v>2523</v>
      </c>
    </row>
    <row r="9" spans="1:11" x14ac:dyDescent="0.3">
      <c r="A9" s="9"/>
      <c r="B9" s="9"/>
      <c r="C9" s="10"/>
      <c r="D9" s="10"/>
      <c r="E9" s="10"/>
      <c r="F9" s="10"/>
      <c r="G9" s="9"/>
      <c r="H9" s="10"/>
      <c r="J9" s="16" t="s">
        <v>2524</v>
      </c>
      <c r="K9" t="s">
        <v>2525</v>
      </c>
    </row>
    <row r="10" spans="1:11" x14ac:dyDescent="0.3">
      <c r="A10" s="9"/>
      <c r="B10" s="9"/>
      <c r="C10" s="10"/>
      <c r="D10" s="10"/>
      <c r="E10" s="10"/>
      <c r="F10" s="10"/>
      <c r="G10" s="9"/>
      <c r="H10" s="10"/>
      <c r="J10" s="7" t="s">
        <v>2526</v>
      </c>
      <c r="K10" t="s">
        <v>2527</v>
      </c>
    </row>
    <row r="11" spans="1:11" x14ac:dyDescent="0.3">
      <c r="A11" s="9"/>
      <c r="B11" s="9"/>
      <c r="C11" s="10"/>
      <c r="D11" s="10"/>
      <c r="E11" s="10"/>
      <c r="F11" s="10"/>
      <c r="G11" s="9"/>
      <c r="H11" s="10"/>
      <c r="J11" s="7" t="s">
        <v>2526</v>
      </c>
      <c r="K11" t="s">
        <v>2527</v>
      </c>
    </row>
    <row r="12" spans="1:11" x14ac:dyDescent="0.3">
      <c r="J12" s="7" t="s">
        <v>2528</v>
      </c>
      <c r="K12" t="s">
        <v>2529</v>
      </c>
    </row>
    <row r="13" spans="1:11" x14ac:dyDescent="0.3">
      <c r="J13" s="7" t="s">
        <v>2528</v>
      </c>
      <c r="K13" t="s">
        <v>2530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545"/>
  <sheetViews>
    <sheetView showGridLines="0" workbookViewId="0">
      <selection activeCell="C27" sqref="C27"/>
    </sheetView>
  </sheetViews>
  <sheetFormatPr defaultRowHeight="16.5" x14ac:dyDescent="0.3"/>
  <cols>
    <col min="1" max="2" width="18.375" style="64" customWidth="1"/>
    <col min="3" max="3" width="200.625" style="64" bestFit="1" customWidth="1"/>
    <col min="4" max="4" width="31.75" style="64" bestFit="1" customWidth="1"/>
    <col min="5" max="11" width="18.375" style="64" customWidth="1"/>
    <col min="14" max="14" width="13.25" style="64" bestFit="1" customWidth="1"/>
  </cols>
  <sheetData>
    <row r="1" spans="1:14" x14ac:dyDescent="0.3">
      <c r="A1" s="29" t="s">
        <v>2501</v>
      </c>
      <c r="B1" s="29" t="s">
        <v>205</v>
      </c>
      <c r="C1" s="29" t="s">
        <v>209</v>
      </c>
      <c r="D1" s="29" t="s">
        <v>207</v>
      </c>
      <c r="E1" s="29" t="s">
        <v>171</v>
      </c>
      <c r="F1" s="29" t="s">
        <v>2504</v>
      </c>
      <c r="G1" s="29" t="s">
        <v>216</v>
      </c>
      <c r="H1" s="29" t="s">
        <v>2505</v>
      </c>
      <c r="I1" s="29" t="s">
        <v>2506</v>
      </c>
      <c r="J1" s="29" t="s">
        <v>2531</v>
      </c>
      <c r="K1" s="29" t="s">
        <v>2507</v>
      </c>
      <c r="L1" s="29" t="s">
        <v>2508</v>
      </c>
      <c r="M1" s="29" t="s">
        <v>12</v>
      </c>
      <c r="N1" s="29" t="s">
        <v>2532</v>
      </c>
    </row>
    <row r="2" spans="1:14" x14ac:dyDescent="0.3">
      <c r="A2" t="str">
        <f>정규화데이터!A2</f>
        <v>SK스토아</v>
      </c>
      <c r="B2" t="str">
        <f>정규화데이터!B2</f>
        <v>20260204818446</v>
      </c>
      <c r="C2" t="str">
        <f>정규화데이터!C2</f>
        <v>2026-02-06</v>
      </c>
      <c r="D2" t="str">
        <f>정규화데이터!D2</f>
        <v>58481090</v>
      </c>
      <c r="E2" s="16" t="str">
        <f>정규화데이터!E2</f>
        <v>미매핑</v>
      </c>
      <c r="F2" s="3">
        <f>정규화데이터!F2</f>
        <v>1</v>
      </c>
      <c r="G2" s="3">
        <f>정규화데이터!G2</f>
        <v>1</v>
      </c>
      <c r="H2" s="3">
        <f>정규화데이터!H2</f>
        <v>119000</v>
      </c>
      <c r="I2" s="3">
        <f>정규화데이터!I2</f>
        <v>109000</v>
      </c>
      <c r="J2" s="3">
        <f>정규화데이터!J2</f>
        <v>82110</v>
      </c>
      <c r="K2" s="25">
        <f>정규화데이터!K2</f>
        <v>0</v>
      </c>
      <c r="L2" s="25">
        <f>정규화데이터!L2</f>
        <v>82110</v>
      </c>
      <c r="M2" s="21">
        <f t="shared" ref="M2:M65" si="0">J2-L2</f>
        <v>0</v>
      </c>
      <c r="N2" s="52">
        <f t="shared" ref="N2:N65" si="1">IF(J2=0,0,M2/J2)</f>
        <v>0</v>
      </c>
    </row>
    <row r="3" spans="1:14" x14ac:dyDescent="0.3">
      <c r="A3" t="str">
        <f>정규화데이터!A3</f>
        <v>SK스토아</v>
      </c>
      <c r="B3" t="str">
        <f>정규화데이터!B3</f>
        <v>20260204842609</v>
      </c>
      <c r="C3" t="str">
        <f>정규화데이터!C3</f>
        <v>2026-02-06</v>
      </c>
      <c r="D3" t="str">
        <f>정규화데이터!D3</f>
        <v>58481090</v>
      </c>
      <c r="E3" s="16" t="str">
        <f>정규화데이터!E3</f>
        <v>미매핑</v>
      </c>
      <c r="F3" s="3">
        <f>정규화데이터!F3</f>
        <v>1</v>
      </c>
      <c r="G3" s="3">
        <f>정규화데이터!G3</f>
        <v>1</v>
      </c>
      <c r="H3" s="3">
        <f>정규화데이터!H3</f>
        <v>119000</v>
      </c>
      <c r="I3" s="3">
        <f>정규화데이터!I3</f>
        <v>98800</v>
      </c>
      <c r="J3" s="3">
        <f>정규화데이터!J3</f>
        <v>82110</v>
      </c>
      <c r="K3" s="25">
        <f>정규화데이터!K3</f>
        <v>0</v>
      </c>
      <c r="L3" s="25">
        <f>정규화데이터!L3</f>
        <v>82110</v>
      </c>
      <c r="M3" s="21">
        <f t="shared" si="0"/>
        <v>0</v>
      </c>
      <c r="N3" s="52">
        <f t="shared" si="1"/>
        <v>0</v>
      </c>
    </row>
    <row r="4" spans="1:14" x14ac:dyDescent="0.3">
      <c r="A4" t="str">
        <f>정규화데이터!A4</f>
        <v>SK스토아</v>
      </c>
      <c r="B4" t="str">
        <f>정규화데이터!B4</f>
        <v>20260205994554</v>
      </c>
      <c r="C4" t="str">
        <f>정규화데이터!C4</f>
        <v>2026-02-06</v>
      </c>
      <c r="D4" t="str">
        <f>정규화데이터!D4</f>
        <v>58481090</v>
      </c>
      <c r="E4" s="16" t="str">
        <f>정규화데이터!E4</f>
        <v>미매핑</v>
      </c>
      <c r="F4" s="3">
        <f>정규화데이터!F4</f>
        <v>1</v>
      </c>
      <c r="G4" s="3">
        <f>정규화데이터!G4</f>
        <v>-1</v>
      </c>
      <c r="H4" s="3">
        <f>정규화데이터!H4</f>
        <v>119000</v>
      </c>
      <c r="I4" s="3">
        <f>정규화데이터!I4</f>
        <v>-113050</v>
      </c>
      <c r="J4" s="3">
        <f>정규화데이터!J4</f>
        <v>-82110</v>
      </c>
      <c r="K4" s="25">
        <f>정규화데이터!K4</f>
        <v>0</v>
      </c>
      <c r="L4" s="25">
        <f>정규화데이터!L4</f>
        <v>-82110</v>
      </c>
      <c r="M4" s="21">
        <f t="shared" si="0"/>
        <v>0</v>
      </c>
      <c r="N4" s="52">
        <f t="shared" si="1"/>
        <v>0</v>
      </c>
    </row>
    <row r="5" spans="1:14" x14ac:dyDescent="0.3">
      <c r="A5" t="str">
        <f>정규화데이터!A5</f>
        <v>SK스토아</v>
      </c>
      <c r="B5" t="str">
        <f>정규화데이터!B5</f>
        <v>20260205994554</v>
      </c>
      <c r="C5" t="str">
        <f>정규화데이터!C5</f>
        <v>2026-02-06</v>
      </c>
      <c r="D5" t="str">
        <f>정규화데이터!D5</f>
        <v>58481090</v>
      </c>
      <c r="E5" s="16" t="str">
        <f>정규화데이터!E5</f>
        <v>미매핑</v>
      </c>
      <c r="F5" s="3">
        <f>정규화데이터!F5</f>
        <v>1</v>
      </c>
      <c r="G5" s="3">
        <f>정규화데이터!G5</f>
        <v>1</v>
      </c>
      <c r="H5" s="3">
        <f>정규화데이터!H5</f>
        <v>119000</v>
      </c>
      <c r="I5" s="3">
        <f>정규화데이터!I5</f>
        <v>113050</v>
      </c>
      <c r="J5" s="3">
        <f>정규화데이터!J5</f>
        <v>82110</v>
      </c>
      <c r="K5" s="25">
        <f>정규화데이터!K5</f>
        <v>0</v>
      </c>
      <c r="L5" s="25">
        <f>정규화데이터!L5</f>
        <v>82110</v>
      </c>
      <c r="M5" s="21">
        <f t="shared" si="0"/>
        <v>0</v>
      </c>
      <c r="N5" s="52">
        <f t="shared" si="1"/>
        <v>0</v>
      </c>
    </row>
    <row r="6" spans="1:14" x14ac:dyDescent="0.3">
      <c r="A6" t="str">
        <f>정규화데이터!A6</f>
        <v>SK스토아</v>
      </c>
      <c r="B6" t="str">
        <f>정규화데이터!B6</f>
        <v>20260205974443</v>
      </c>
      <c r="C6" t="str">
        <f>정규화데이터!C6</f>
        <v>2026-02-06</v>
      </c>
      <c r="D6" t="str">
        <f>정규화데이터!D6</f>
        <v>58999583</v>
      </c>
      <c r="E6" s="16" t="str">
        <f>정규화데이터!E6</f>
        <v>미매핑</v>
      </c>
      <c r="F6" s="3">
        <f>정규화데이터!F6</f>
        <v>1</v>
      </c>
      <c r="G6" s="3">
        <f>정규화데이터!G6</f>
        <v>1</v>
      </c>
      <c r="H6" s="3">
        <f>정규화데이터!H6</f>
        <v>119000</v>
      </c>
      <c r="I6" s="3">
        <f>정규화데이터!I6</f>
        <v>119000</v>
      </c>
      <c r="J6" s="3">
        <f>정규화데이터!J6</f>
        <v>82110</v>
      </c>
      <c r="K6" s="25">
        <f>정규화데이터!K6</f>
        <v>0</v>
      </c>
      <c r="L6" s="25">
        <f>정규화데이터!L6</f>
        <v>82110</v>
      </c>
      <c r="M6" s="21">
        <f t="shared" si="0"/>
        <v>0</v>
      </c>
      <c r="N6" s="52">
        <f t="shared" si="1"/>
        <v>0</v>
      </c>
    </row>
    <row r="7" spans="1:14" x14ac:dyDescent="0.3">
      <c r="A7" t="str">
        <f>정규화데이터!A7</f>
        <v>SK스토아</v>
      </c>
      <c r="B7" t="str">
        <f>정규화데이터!B7</f>
        <v>20260204816757</v>
      </c>
      <c r="C7" t="str">
        <f>정규화데이터!C7</f>
        <v>2026-02-06</v>
      </c>
      <c r="D7" t="str">
        <f>정규화데이터!D7</f>
        <v>58999583</v>
      </c>
      <c r="E7" s="16" t="str">
        <f>정규화데이터!E7</f>
        <v>미매핑</v>
      </c>
      <c r="F7" s="3">
        <f>정규화데이터!F7</f>
        <v>1</v>
      </c>
      <c r="G7" s="3">
        <f>정규화데이터!G7</f>
        <v>1</v>
      </c>
      <c r="H7" s="3">
        <f>정규화데이터!H7</f>
        <v>119000</v>
      </c>
      <c r="I7" s="3">
        <f>정규화데이터!I7</f>
        <v>119000</v>
      </c>
      <c r="J7" s="3">
        <f>정규화데이터!J7</f>
        <v>82110</v>
      </c>
      <c r="K7" s="25">
        <f>정규화데이터!K7</f>
        <v>0</v>
      </c>
      <c r="L7" s="25">
        <f>정규화데이터!L7</f>
        <v>82110</v>
      </c>
      <c r="M7" s="21">
        <f t="shared" si="0"/>
        <v>0</v>
      </c>
      <c r="N7" s="52">
        <f t="shared" si="1"/>
        <v>0</v>
      </c>
    </row>
    <row r="8" spans="1:14" x14ac:dyDescent="0.3">
      <c r="A8" t="str">
        <f>정규화데이터!A8</f>
        <v>SK스토아</v>
      </c>
      <c r="B8" t="str">
        <f>정규화데이터!B8</f>
        <v>20260204838783</v>
      </c>
      <c r="C8" t="str">
        <f>정규화데이터!C8</f>
        <v>2026-02-06</v>
      </c>
      <c r="D8" t="str">
        <f>정규화데이터!D8</f>
        <v>58999583</v>
      </c>
      <c r="E8" s="16" t="str">
        <f>정규화데이터!E8</f>
        <v>미매핑</v>
      </c>
      <c r="F8" s="3">
        <f>정규화데이터!F8</f>
        <v>1</v>
      </c>
      <c r="G8" s="3">
        <f>정규화데이터!G8</f>
        <v>1</v>
      </c>
      <c r="H8" s="3">
        <f>정규화데이터!H8</f>
        <v>119000</v>
      </c>
      <c r="I8" s="3">
        <f>정규화데이터!I8</f>
        <v>101150</v>
      </c>
      <c r="J8" s="3">
        <f>정규화데이터!J8</f>
        <v>82110</v>
      </c>
      <c r="K8" s="25">
        <f>정규화데이터!K8</f>
        <v>0</v>
      </c>
      <c r="L8" s="25">
        <f>정규화데이터!L8</f>
        <v>82110</v>
      </c>
      <c r="M8" s="21">
        <f t="shared" si="0"/>
        <v>0</v>
      </c>
      <c r="N8" s="52">
        <f t="shared" si="1"/>
        <v>0</v>
      </c>
    </row>
    <row r="9" spans="1:14" x14ac:dyDescent="0.3">
      <c r="A9" t="str">
        <f>정규화데이터!A9</f>
        <v>SK스토아</v>
      </c>
      <c r="B9" t="str">
        <f>정규화데이터!B9</f>
        <v>20260205993814</v>
      </c>
      <c r="C9" t="str">
        <f>정규화데이터!C9</f>
        <v>2026-02-07</v>
      </c>
      <c r="D9" t="str">
        <f>정규화데이터!D9</f>
        <v>58481090</v>
      </c>
      <c r="E9" s="16" t="str">
        <f>정규화데이터!E9</f>
        <v>미매핑</v>
      </c>
      <c r="F9" s="3">
        <f>정규화데이터!F9</f>
        <v>1</v>
      </c>
      <c r="G9" s="3">
        <f>정규화데이터!G9</f>
        <v>2</v>
      </c>
      <c r="H9" s="3">
        <f>정규화데이터!H9</f>
        <v>119000</v>
      </c>
      <c r="I9" s="3">
        <f>정규화데이터!I9</f>
        <v>238000</v>
      </c>
      <c r="J9" s="3">
        <f>정규화데이터!J9</f>
        <v>164220</v>
      </c>
      <c r="K9" s="25">
        <f>정규화데이터!K9</f>
        <v>0</v>
      </c>
      <c r="L9" s="25">
        <f>정규화데이터!L9</f>
        <v>164220</v>
      </c>
      <c r="M9" s="21">
        <f t="shared" si="0"/>
        <v>0</v>
      </c>
      <c r="N9" s="52">
        <f t="shared" si="1"/>
        <v>0</v>
      </c>
    </row>
    <row r="10" spans="1:14" x14ac:dyDescent="0.3">
      <c r="A10" t="str">
        <f>정규화데이터!A10</f>
        <v>SK스토아</v>
      </c>
      <c r="B10" t="str">
        <f>정규화데이터!B10</f>
        <v>20260205994105</v>
      </c>
      <c r="C10" t="str">
        <f>정규화데이터!C10</f>
        <v>2026-02-07</v>
      </c>
      <c r="D10" t="str">
        <f>정규화데이터!D10</f>
        <v>58481090</v>
      </c>
      <c r="E10" s="16" t="str">
        <f>정규화데이터!E10</f>
        <v>미매핑</v>
      </c>
      <c r="F10" s="3">
        <f>정규화데이터!F10</f>
        <v>1</v>
      </c>
      <c r="G10" s="3">
        <f>정규화데이터!G10</f>
        <v>1</v>
      </c>
      <c r="H10" s="3">
        <f>정규화데이터!H10</f>
        <v>119000</v>
      </c>
      <c r="I10" s="3">
        <f>정규화데이터!I10</f>
        <v>119000</v>
      </c>
      <c r="J10" s="3">
        <f>정규화데이터!J10</f>
        <v>82110</v>
      </c>
      <c r="K10" s="25">
        <f>정규화데이터!K10</f>
        <v>0</v>
      </c>
      <c r="L10" s="25">
        <f>정규화데이터!L10</f>
        <v>82110</v>
      </c>
      <c r="M10" s="21">
        <f t="shared" si="0"/>
        <v>0</v>
      </c>
      <c r="N10" s="52">
        <f t="shared" si="1"/>
        <v>0</v>
      </c>
    </row>
    <row r="11" spans="1:14" x14ac:dyDescent="0.3">
      <c r="A11" t="str">
        <f>정규화데이터!A11</f>
        <v>SK스토아</v>
      </c>
      <c r="B11" t="str">
        <f>정규화데이터!B11</f>
        <v>20260205995257</v>
      </c>
      <c r="C11" t="str">
        <f>정규화데이터!C11</f>
        <v>2026-02-07</v>
      </c>
      <c r="D11" t="str">
        <f>정규화데이터!D11</f>
        <v>58481090</v>
      </c>
      <c r="E11" s="16" t="str">
        <f>정규화데이터!E11</f>
        <v>미매핑</v>
      </c>
      <c r="F11" s="3">
        <f>정규화데이터!F11</f>
        <v>1</v>
      </c>
      <c r="G11" s="3">
        <f>정규화데이터!G11</f>
        <v>1</v>
      </c>
      <c r="H11" s="3">
        <f>정규화데이터!H11</f>
        <v>119000</v>
      </c>
      <c r="I11" s="3">
        <f>정규화데이터!I11</f>
        <v>119000</v>
      </c>
      <c r="J11" s="3">
        <f>정규화데이터!J11</f>
        <v>82110</v>
      </c>
      <c r="K11" s="25">
        <f>정규화데이터!K11</f>
        <v>0</v>
      </c>
      <c r="L11" s="25">
        <f>정규화데이터!L11</f>
        <v>82110</v>
      </c>
      <c r="M11" s="21">
        <f t="shared" si="0"/>
        <v>0</v>
      </c>
      <c r="N11" s="52">
        <f t="shared" si="1"/>
        <v>0</v>
      </c>
    </row>
    <row r="12" spans="1:14" x14ac:dyDescent="0.3">
      <c r="A12" t="str">
        <f>정규화데이터!A12</f>
        <v>SK스토아</v>
      </c>
      <c r="B12" t="str">
        <f>정규화데이터!B12</f>
        <v>20260205993931</v>
      </c>
      <c r="C12" t="str">
        <f>정규화데이터!C12</f>
        <v>2026-02-07</v>
      </c>
      <c r="D12" t="str">
        <f>정규화데이터!D12</f>
        <v>58481090</v>
      </c>
      <c r="E12" s="16" t="str">
        <f>정규화데이터!E12</f>
        <v>미매핑</v>
      </c>
      <c r="F12" s="3">
        <f>정규화데이터!F12</f>
        <v>1</v>
      </c>
      <c r="G12" s="3">
        <f>정규화데이터!G12</f>
        <v>1</v>
      </c>
      <c r="H12" s="3">
        <f>정규화데이터!H12</f>
        <v>119000</v>
      </c>
      <c r="I12" s="3">
        <f>정규화데이터!I12</f>
        <v>119000</v>
      </c>
      <c r="J12" s="3">
        <f>정규화데이터!J12</f>
        <v>82110</v>
      </c>
      <c r="K12" s="25">
        <f>정규화데이터!K12</f>
        <v>0</v>
      </c>
      <c r="L12" s="25">
        <f>정규화데이터!L12</f>
        <v>82110</v>
      </c>
      <c r="M12" s="21">
        <f t="shared" si="0"/>
        <v>0</v>
      </c>
      <c r="N12" s="52">
        <f t="shared" si="1"/>
        <v>0</v>
      </c>
    </row>
    <row r="13" spans="1:14" x14ac:dyDescent="0.3">
      <c r="A13" t="str">
        <f>정규화데이터!A13</f>
        <v>SK스토아</v>
      </c>
      <c r="B13" t="str">
        <f>정규화데이터!B13</f>
        <v>20260205992438</v>
      </c>
      <c r="C13" t="str">
        <f>정규화데이터!C13</f>
        <v>2026-02-07</v>
      </c>
      <c r="D13" t="str">
        <f>정규화데이터!D13</f>
        <v>58481090</v>
      </c>
      <c r="E13" s="16" t="str">
        <f>정규화데이터!E13</f>
        <v>미매핑</v>
      </c>
      <c r="F13" s="3">
        <f>정규화데이터!F13</f>
        <v>1</v>
      </c>
      <c r="G13" s="3">
        <f>정규화데이터!G13</f>
        <v>1</v>
      </c>
      <c r="H13" s="3">
        <f>정규화데이터!H13</f>
        <v>119000</v>
      </c>
      <c r="I13" s="3">
        <f>정규화데이터!I13</f>
        <v>119000</v>
      </c>
      <c r="J13" s="3">
        <f>정규화데이터!J13</f>
        <v>82110</v>
      </c>
      <c r="K13" s="25">
        <f>정규화데이터!K13</f>
        <v>0</v>
      </c>
      <c r="L13" s="25">
        <f>정규화데이터!L13</f>
        <v>82110</v>
      </c>
      <c r="M13" s="21">
        <f t="shared" si="0"/>
        <v>0</v>
      </c>
      <c r="N13" s="52">
        <f t="shared" si="1"/>
        <v>0</v>
      </c>
    </row>
    <row r="14" spans="1:14" x14ac:dyDescent="0.3">
      <c r="A14" t="str">
        <f>정규화데이터!A14</f>
        <v>SK스토아</v>
      </c>
      <c r="B14" t="str">
        <f>정규화데이터!B14</f>
        <v>20260205992964</v>
      </c>
      <c r="C14" t="str">
        <f>정규화데이터!C14</f>
        <v>2026-02-07</v>
      </c>
      <c r="D14" t="str">
        <f>정규화데이터!D14</f>
        <v>58481090</v>
      </c>
      <c r="E14" s="16" t="str">
        <f>정규화데이터!E14</f>
        <v>미매핑</v>
      </c>
      <c r="F14" s="3">
        <f>정규화데이터!F14</f>
        <v>1</v>
      </c>
      <c r="G14" s="3">
        <f>정규화데이터!G14</f>
        <v>1</v>
      </c>
      <c r="H14" s="3">
        <f>정규화데이터!H14</f>
        <v>119000</v>
      </c>
      <c r="I14" s="3">
        <f>정규화데이터!I14</f>
        <v>113050</v>
      </c>
      <c r="J14" s="3">
        <f>정규화데이터!J14</f>
        <v>82110</v>
      </c>
      <c r="K14" s="25">
        <f>정규화데이터!K14</f>
        <v>0</v>
      </c>
      <c r="L14" s="25">
        <f>정규화데이터!L14</f>
        <v>82110</v>
      </c>
      <c r="M14" s="21">
        <f t="shared" si="0"/>
        <v>0</v>
      </c>
      <c r="N14" s="52">
        <f t="shared" si="1"/>
        <v>0</v>
      </c>
    </row>
    <row r="15" spans="1:14" x14ac:dyDescent="0.3">
      <c r="A15" t="str">
        <f>정규화데이터!A15</f>
        <v>SK스토아</v>
      </c>
      <c r="B15" t="str">
        <f>정규화데이터!B15</f>
        <v>20260205995526</v>
      </c>
      <c r="C15" t="str">
        <f>정규화데이터!C15</f>
        <v>2026-02-07</v>
      </c>
      <c r="D15" t="str">
        <f>정규화데이터!D15</f>
        <v>58481090</v>
      </c>
      <c r="E15" s="16" t="str">
        <f>정규화데이터!E15</f>
        <v>미매핑</v>
      </c>
      <c r="F15" s="3">
        <f>정규화데이터!F15</f>
        <v>1</v>
      </c>
      <c r="G15" s="3">
        <f>정규화데이터!G15</f>
        <v>1</v>
      </c>
      <c r="H15" s="3">
        <f>정규화데이터!H15</f>
        <v>119000</v>
      </c>
      <c r="I15" s="3">
        <f>정규화데이터!I15</f>
        <v>119000</v>
      </c>
      <c r="J15" s="3">
        <f>정규화데이터!J15</f>
        <v>82110</v>
      </c>
      <c r="K15" s="25">
        <f>정규화데이터!K15</f>
        <v>0</v>
      </c>
      <c r="L15" s="25">
        <f>정규화데이터!L15</f>
        <v>82110</v>
      </c>
      <c r="M15" s="21">
        <f t="shared" si="0"/>
        <v>0</v>
      </c>
      <c r="N15" s="52">
        <f t="shared" si="1"/>
        <v>0</v>
      </c>
    </row>
    <row r="16" spans="1:14" x14ac:dyDescent="0.3">
      <c r="A16" t="str">
        <f>정규화데이터!A16</f>
        <v>SK스토아</v>
      </c>
      <c r="B16" t="str">
        <f>정규화데이터!B16</f>
        <v>20260205995622</v>
      </c>
      <c r="C16" t="str">
        <f>정규화데이터!C16</f>
        <v>2026-02-07</v>
      </c>
      <c r="D16" t="str">
        <f>정규화데이터!D16</f>
        <v>58481090</v>
      </c>
      <c r="E16" s="16" t="str">
        <f>정규화데이터!E16</f>
        <v>미매핑</v>
      </c>
      <c r="F16" s="3">
        <f>정규화데이터!F16</f>
        <v>1</v>
      </c>
      <c r="G16" s="3">
        <f>정규화데이터!G16</f>
        <v>1</v>
      </c>
      <c r="H16" s="3">
        <f>정규화데이터!H16</f>
        <v>119000</v>
      </c>
      <c r="I16" s="3">
        <f>정규화데이터!I16</f>
        <v>119000</v>
      </c>
      <c r="J16" s="3">
        <f>정규화데이터!J16</f>
        <v>82110</v>
      </c>
      <c r="K16" s="25">
        <f>정규화데이터!K16</f>
        <v>0</v>
      </c>
      <c r="L16" s="25">
        <f>정규화데이터!L16</f>
        <v>82110</v>
      </c>
      <c r="M16" s="21">
        <f t="shared" si="0"/>
        <v>0</v>
      </c>
      <c r="N16" s="52">
        <f t="shared" si="1"/>
        <v>0</v>
      </c>
    </row>
    <row r="17" spans="1:14" x14ac:dyDescent="0.3">
      <c r="A17" t="str">
        <f>정규화데이터!A17</f>
        <v>SK스토아</v>
      </c>
      <c r="B17" t="str">
        <f>정규화데이터!B17</f>
        <v>20260205997344</v>
      </c>
      <c r="C17" t="str">
        <f>정규화데이터!C17</f>
        <v>2026-02-07</v>
      </c>
      <c r="D17" t="str">
        <f>정규화데이터!D17</f>
        <v>58481090</v>
      </c>
      <c r="E17" s="16" t="str">
        <f>정규화데이터!E17</f>
        <v>미매핑</v>
      </c>
      <c r="F17" s="3">
        <f>정규화데이터!F17</f>
        <v>1</v>
      </c>
      <c r="G17" s="3">
        <f>정규화데이터!G17</f>
        <v>1</v>
      </c>
      <c r="H17" s="3">
        <f>정규화데이터!H17</f>
        <v>119000</v>
      </c>
      <c r="I17" s="3">
        <f>정규화데이터!I17</f>
        <v>113050</v>
      </c>
      <c r="J17" s="3">
        <f>정규화데이터!J17</f>
        <v>82110</v>
      </c>
      <c r="K17" s="25">
        <f>정규화데이터!K17</f>
        <v>0</v>
      </c>
      <c r="L17" s="25">
        <f>정규화데이터!L17</f>
        <v>82110</v>
      </c>
      <c r="M17" s="21">
        <f t="shared" si="0"/>
        <v>0</v>
      </c>
      <c r="N17" s="52">
        <f t="shared" si="1"/>
        <v>0</v>
      </c>
    </row>
    <row r="18" spans="1:14" x14ac:dyDescent="0.3">
      <c r="A18" t="str">
        <f>정규화데이터!A18</f>
        <v>SK스토아</v>
      </c>
      <c r="B18" t="str">
        <f>정규화데이터!B18</f>
        <v>20260205995265</v>
      </c>
      <c r="C18" t="str">
        <f>정규화데이터!C18</f>
        <v>2026-02-07</v>
      </c>
      <c r="D18" t="str">
        <f>정규화데이터!D18</f>
        <v>58481090</v>
      </c>
      <c r="E18" s="16" t="str">
        <f>정규화데이터!E18</f>
        <v>미매핑</v>
      </c>
      <c r="F18" s="3">
        <f>정규화데이터!F18</f>
        <v>1</v>
      </c>
      <c r="G18" s="3">
        <f>정규화데이터!G18</f>
        <v>1</v>
      </c>
      <c r="H18" s="3">
        <f>정규화데이터!H18</f>
        <v>119000</v>
      </c>
      <c r="I18" s="3">
        <f>정규화데이터!I18</f>
        <v>119000</v>
      </c>
      <c r="J18" s="3">
        <f>정규화데이터!J18</f>
        <v>82110</v>
      </c>
      <c r="K18" s="25">
        <f>정규화데이터!K18</f>
        <v>0</v>
      </c>
      <c r="L18" s="25">
        <f>정규화데이터!L18</f>
        <v>82110</v>
      </c>
      <c r="M18" s="21">
        <f t="shared" si="0"/>
        <v>0</v>
      </c>
      <c r="N18" s="52">
        <f t="shared" si="1"/>
        <v>0</v>
      </c>
    </row>
    <row r="19" spans="1:14" x14ac:dyDescent="0.3">
      <c r="A19" t="str">
        <f>정규화데이터!A19</f>
        <v>SK스토아</v>
      </c>
      <c r="B19" t="str">
        <f>정규화데이터!B19</f>
        <v>20260205994047</v>
      </c>
      <c r="C19" t="str">
        <f>정규화데이터!C19</f>
        <v>2026-02-07</v>
      </c>
      <c r="D19" t="str">
        <f>정규화데이터!D19</f>
        <v>58481090</v>
      </c>
      <c r="E19" s="16" t="str">
        <f>정규화데이터!E19</f>
        <v>미매핑</v>
      </c>
      <c r="F19" s="3">
        <f>정규화데이터!F19</f>
        <v>1</v>
      </c>
      <c r="G19" s="3">
        <f>정규화데이터!G19</f>
        <v>1</v>
      </c>
      <c r="H19" s="3">
        <f>정규화데이터!H19</f>
        <v>119000</v>
      </c>
      <c r="I19" s="3">
        <f>정규화데이터!I19</f>
        <v>114000</v>
      </c>
      <c r="J19" s="3">
        <f>정규화데이터!J19</f>
        <v>82110</v>
      </c>
      <c r="K19" s="25">
        <f>정규화데이터!K19</f>
        <v>0</v>
      </c>
      <c r="L19" s="25">
        <f>정규화데이터!L19</f>
        <v>82110</v>
      </c>
      <c r="M19" s="21">
        <f t="shared" si="0"/>
        <v>0</v>
      </c>
      <c r="N19" s="52">
        <f t="shared" si="1"/>
        <v>0</v>
      </c>
    </row>
    <row r="20" spans="1:14" x14ac:dyDescent="0.3">
      <c r="A20" t="str">
        <f>정규화데이터!A20</f>
        <v>SK스토아</v>
      </c>
      <c r="B20" t="str">
        <f>정규화데이터!B20</f>
        <v>20260205995035</v>
      </c>
      <c r="C20" t="str">
        <f>정규화데이터!C20</f>
        <v>2026-02-07</v>
      </c>
      <c r="D20" t="str">
        <f>정규화데이터!D20</f>
        <v>58481090</v>
      </c>
      <c r="E20" s="16" t="str">
        <f>정규화데이터!E20</f>
        <v>미매핑</v>
      </c>
      <c r="F20" s="3">
        <f>정규화데이터!F20</f>
        <v>1</v>
      </c>
      <c r="G20" s="3">
        <f>정규화데이터!G20</f>
        <v>1</v>
      </c>
      <c r="H20" s="3">
        <f>정규화데이터!H20</f>
        <v>119000</v>
      </c>
      <c r="I20" s="3">
        <f>정규화데이터!I20</f>
        <v>119000</v>
      </c>
      <c r="J20" s="3">
        <f>정규화데이터!J20</f>
        <v>82110</v>
      </c>
      <c r="K20" s="25">
        <f>정규화데이터!K20</f>
        <v>0</v>
      </c>
      <c r="L20" s="25">
        <f>정규화데이터!L20</f>
        <v>82110</v>
      </c>
      <c r="M20" s="21">
        <f t="shared" si="0"/>
        <v>0</v>
      </c>
      <c r="N20" s="52">
        <f t="shared" si="1"/>
        <v>0</v>
      </c>
    </row>
    <row r="21" spans="1:14" x14ac:dyDescent="0.3">
      <c r="A21" t="str">
        <f>정규화데이터!A21</f>
        <v>SK스토아</v>
      </c>
      <c r="B21" t="str">
        <f>정규화데이터!B21</f>
        <v>20260205994804</v>
      </c>
      <c r="C21" t="str">
        <f>정규화데이터!C21</f>
        <v>2026-02-07</v>
      </c>
      <c r="D21" t="str">
        <f>정규화데이터!D21</f>
        <v>58481090</v>
      </c>
      <c r="E21" s="16" t="str">
        <f>정규화데이터!E21</f>
        <v>미매핑</v>
      </c>
      <c r="F21" s="3">
        <f>정규화데이터!F21</f>
        <v>1</v>
      </c>
      <c r="G21" s="3">
        <f>정규화데이터!G21</f>
        <v>1</v>
      </c>
      <c r="H21" s="3">
        <f>정규화데이터!H21</f>
        <v>119000</v>
      </c>
      <c r="I21" s="3">
        <f>정규화데이터!I21</f>
        <v>119000</v>
      </c>
      <c r="J21" s="3">
        <f>정규화데이터!J21</f>
        <v>82110</v>
      </c>
      <c r="K21" s="25">
        <f>정규화데이터!K21</f>
        <v>0</v>
      </c>
      <c r="L21" s="25">
        <f>정규화데이터!L21</f>
        <v>82110</v>
      </c>
      <c r="M21" s="21">
        <f t="shared" si="0"/>
        <v>0</v>
      </c>
      <c r="N21" s="52">
        <f t="shared" si="1"/>
        <v>0</v>
      </c>
    </row>
    <row r="22" spans="1:14" x14ac:dyDescent="0.3">
      <c r="A22" t="str">
        <f>정규화데이터!A22</f>
        <v>SK스토아</v>
      </c>
      <c r="B22" t="str">
        <f>정규화데이터!B22</f>
        <v>20260205993699</v>
      </c>
      <c r="C22" t="str">
        <f>정규화데이터!C22</f>
        <v>2026-02-07</v>
      </c>
      <c r="D22" t="str">
        <f>정규화데이터!D22</f>
        <v>58481090</v>
      </c>
      <c r="E22" s="16" t="str">
        <f>정규화데이터!E22</f>
        <v>미매핑</v>
      </c>
      <c r="F22" s="3">
        <f>정규화데이터!F22</f>
        <v>1</v>
      </c>
      <c r="G22" s="3">
        <f>정규화데이터!G22</f>
        <v>1</v>
      </c>
      <c r="H22" s="3">
        <f>정규화데이터!H22</f>
        <v>119000</v>
      </c>
      <c r="I22" s="3">
        <f>정규화데이터!I22</f>
        <v>105910</v>
      </c>
      <c r="J22" s="3">
        <f>정규화데이터!J22</f>
        <v>82110</v>
      </c>
      <c r="K22" s="25">
        <f>정규화데이터!K22</f>
        <v>0</v>
      </c>
      <c r="L22" s="25">
        <f>정규화데이터!L22</f>
        <v>82110</v>
      </c>
      <c r="M22" s="21">
        <f t="shared" si="0"/>
        <v>0</v>
      </c>
      <c r="N22" s="52">
        <f t="shared" si="1"/>
        <v>0</v>
      </c>
    </row>
    <row r="23" spans="1:14" x14ac:dyDescent="0.3">
      <c r="A23" t="str">
        <f>정규화데이터!A23</f>
        <v>SK스토아</v>
      </c>
      <c r="B23" t="str">
        <f>정규화데이터!B23</f>
        <v>20260205995624</v>
      </c>
      <c r="C23" t="str">
        <f>정규화데이터!C23</f>
        <v>2026-02-07</v>
      </c>
      <c r="D23" t="str">
        <f>정규화데이터!D23</f>
        <v>58481090</v>
      </c>
      <c r="E23" s="16" t="str">
        <f>정규화데이터!E23</f>
        <v>미매핑</v>
      </c>
      <c r="F23" s="3">
        <f>정규화데이터!F23</f>
        <v>1</v>
      </c>
      <c r="G23" s="3">
        <f>정규화데이터!G23</f>
        <v>1</v>
      </c>
      <c r="H23" s="3">
        <f>정규화데이터!H23</f>
        <v>119000</v>
      </c>
      <c r="I23" s="3">
        <f>정규화데이터!I23</f>
        <v>119000</v>
      </c>
      <c r="J23" s="3">
        <f>정규화데이터!J23</f>
        <v>82110</v>
      </c>
      <c r="K23" s="25">
        <f>정규화데이터!K23</f>
        <v>0</v>
      </c>
      <c r="L23" s="25">
        <f>정규화데이터!L23</f>
        <v>82110</v>
      </c>
      <c r="M23" s="21">
        <f t="shared" si="0"/>
        <v>0</v>
      </c>
      <c r="N23" s="52">
        <f t="shared" si="1"/>
        <v>0</v>
      </c>
    </row>
    <row r="24" spans="1:14" x14ac:dyDescent="0.3">
      <c r="A24" t="str">
        <f>정규화데이터!A24</f>
        <v>SK스토아</v>
      </c>
      <c r="B24" t="str">
        <f>정규화데이터!B24</f>
        <v>20260205994327</v>
      </c>
      <c r="C24" t="str">
        <f>정규화데이터!C24</f>
        <v>2026-02-07</v>
      </c>
      <c r="D24" t="str">
        <f>정규화데이터!D24</f>
        <v>58481090</v>
      </c>
      <c r="E24" s="16" t="str">
        <f>정규화데이터!E24</f>
        <v>미매핑</v>
      </c>
      <c r="F24" s="3">
        <f>정규화데이터!F24</f>
        <v>1</v>
      </c>
      <c r="G24" s="3">
        <f>정규화데이터!G24</f>
        <v>1</v>
      </c>
      <c r="H24" s="3">
        <f>정규화데이터!H24</f>
        <v>119000</v>
      </c>
      <c r="I24" s="3">
        <f>정규화데이터!I24</f>
        <v>119000</v>
      </c>
      <c r="J24" s="3">
        <f>정규화데이터!J24</f>
        <v>82110</v>
      </c>
      <c r="K24" s="25">
        <f>정규화데이터!K24</f>
        <v>0</v>
      </c>
      <c r="L24" s="25">
        <f>정규화데이터!L24</f>
        <v>82110</v>
      </c>
      <c r="M24" s="21">
        <f t="shared" si="0"/>
        <v>0</v>
      </c>
      <c r="N24" s="52">
        <f t="shared" si="1"/>
        <v>0</v>
      </c>
    </row>
    <row r="25" spans="1:14" x14ac:dyDescent="0.3">
      <c r="A25" t="str">
        <f>정규화데이터!A25</f>
        <v>SK스토아</v>
      </c>
      <c r="B25" t="str">
        <f>정규화데이터!B25</f>
        <v>20260205994708</v>
      </c>
      <c r="C25" t="str">
        <f>정규화데이터!C25</f>
        <v>2026-02-07</v>
      </c>
      <c r="D25" t="str">
        <f>정규화데이터!D25</f>
        <v>58481090</v>
      </c>
      <c r="E25" s="16" t="str">
        <f>정규화데이터!E25</f>
        <v>미매핑</v>
      </c>
      <c r="F25" s="3">
        <f>정규화데이터!F25</f>
        <v>1</v>
      </c>
      <c r="G25" s="3">
        <f>정규화데이터!G25</f>
        <v>1</v>
      </c>
      <c r="H25" s="3">
        <f>정규화데이터!H25</f>
        <v>119000</v>
      </c>
      <c r="I25" s="3">
        <f>정규화데이터!I25</f>
        <v>119000</v>
      </c>
      <c r="J25" s="3">
        <f>정규화데이터!J25</f>
        <v>82110</v>
      </c>
      <c r="K25" s="25">
        <f>정규화데이터!K25</f>
        <v>0</v>
      </c>
      <c r="L25" s="25">
        <f>정규화데이터!L25</f>
        <v>82110</v>
      </c>
      <c r="M25" s="21">
        <f t="shared" si="0"/>
        <v>0</v>
      </c>
      <c r="N25" s="52">
        <f t="shared" si="1"/>
        <v>0</v>
      </c>
    </row>
    <row r="26" spans="1:14" x14ac:dyDescent="0.3">
      <c r="A26" t="str">
        <f>정규화데이터!A26</f>
        <v>SK스토아</v>
      </c>
      <c r="B26" t="str">
        <f>정규화데이터!B26</f>
        <v>20260205994944</v>
      </c>
      <c r="C26" t="str">
        <f>정규화데이터!C26</f>
        <v>2026-02-07</v>
      </c>
      <c r="D26" t="str">
        <f>정규화데이터!D26</f>
        <v>58481090</v>
      </c>
      <c r="E26" s="16" t="str">
        <f>정규화데이터!E26</f>
        <v>미매핑</v>
      </c>
      <c r="F26" s="3">
        <f>정규화데이터!F26</f>
        <v>1</v>
      </c>
      <c r="G26" s="3">
        <f>정규화데이터!G26</f>
        <v>1</v>
      </c>
      <c r="H26" s="3">
        <f>정규화데이터!H26</f>
        <v>119000</v>
      </c>
      <c r="I26" s="3">
        <f>정규화데이터!I26</f>
        <v>105910</v>
      </c>
      <c r="J26" s="3">
        <f>정규화데이터!J26</f>
        <v>82110</v>
      </c>
      <c r="K26" s="25">
        <f>정규화데이터!K26</f>
        <v>0</v>
      </c>
      <c r="L26" s="25">
        <f>정규화데이터!L26</f>
        <v>82110</v>
      </c>
      <c r="M26" s="21">
        <f t="shared" si="0"/>
        <v>0</v>
      </c>
      <c r="N26" s="52">
        <f t="shared" si="1"/>
        <v>0</v>
      </c>
    </row>
    <row r="27" spans="1:14" x14ac:dyDescent="0.3">
      <c r="A27" t="str">
        <f>정규화데이터!A27</f>
        <v>SK스토아</v>
      </c>
      <c r="B27" t="str">
        <f>정규화데이터!B27</f>
        <v>20260205993006</v>
      </c>
      <c r="C27" t="str">
        <f>정규화데이터!C27</f>
        <v>2026-02-07</v>
      </c>
      <c r="D27" t="str">
        <f>정규화데이터!D27</f>
        <v>58481090</v>
      </c>
      <c r="E27" s="16" t="str">
        <f>정규화데이터!E27</f>
        <v>미매핑</v>
      </c>
      <c r="F27" s="3">
        <f>정규화데이터!F27</f>
        <v>1</v>
      </c>
      <c r="G27" s="3">
        <f>정규화데이터!G27</f>
        <v>1</v>
      </c>
      <c r="H27" s="3">
        <f>정규화데이터!H27</f>
        <v>119000</v>
      </c>
      <c r="I27" s="3">
        <f>정규화데이터!I27</f>
        <v>119000</v>
      </c>
      <c r="J27" s="3">
        <f>정규화데이터!J27</f>
        <v>82110</v>
      </c>
      <c r="K27" s="25">
        <f>정규화데이터!K27</f>
        <v>0</v>
      </c>
      <c r="L27" s="25">
        <f>정규화데이터!L27</f>
        <v>82110</v>
      </c>
      <c r="M27" s="21">
        <f t="shared" si="0"/>
        <v>0</v>
      </c>
      <c r="N27" s="52">
        <f t="shared" si="1"/>
        <v>0</v>
      </c>
    </row>
    <row r="28" spans="1:14" x14ac:dyDescent="0.3">
      <c r="A28" t="str">
        <f>정규화데이터!A28</f>
        <v>SK스토아</v>
      </c>
      <c r="B28" t="str">
        <f>정규화데이터!B28</f>
        <v>20260205993208</v>
      </c>
      <c r="C28" t="str">
        <f>정규화데이터!C28</f>
        <v>2026-02-07</v>
      </c>
      <c r="D28" t="str">
        <f>정규화데이터!D28</f>
        <v>58481090</v>
      </c>
      <c r="E28" s="16" t="str">
        <f>정규화데이터!E28</f>
        <v>미매핑</v>
      </c>
      <c r="F28" s="3">
        <f>정규화데이터!F28</f>
        <v>1</v>
      </c>
      <c r="G28" s="3">
        <f>정규화데이터!G28</f>
        <v>1</v>
      </c>
      <c r="H28" s="3">
        <f>정규화데이터!H28</f>
        <v>119000</v>
      </c>
      <c r="I28" s="3">
        <f>정규화데이터!I28</f>
        <v>96390</v>
      </c>
      <c r="J28" s="3">
        <f>정규화데이터!J28</f>
        <v>82110</v>
      </c>
      <c r="K28" s="25">
        <f>정규화데이터!K28</f>
        <v>0</v>
      </c>
      <c r="L28" s="25">
        <f>정규화데이터!L28</f>
        <v>82110</v>
      </c>
      <c r="M28" s="21">
        <f t="shared" si="0"/>
        <v>0</v>
      </c>
      <c r="N28" s="52">
        <f t="shared" si="1"/>
        <v>0</v>
      </c>
    </row>
    <row r="29" spans="1:14" x14ac:dyDescent="0.3">
      <c r="A29" t="str">
        <f>정규화데이터!A29</f>
        <v>SK스토아</v>
      </c>
      <c r="B29" t="str">
        <f>정규화데이터!B29</f>
        <v>20260205994165</v>
      </c>
      <c r="C29" t="str">
        <f>정규화데이터!C29</f>
        <v>2026-02-07</v>
      </c>
      <c r="D29" t="str">
        <f>정규화데이터!D29</f>
        <v>58481090</v>
      </c>
      <c r="E29" s="16" t="str">
        <f>정규화데이터!E29</f>
        <v>미매핑</v>
      </c>
      <c r="F29" s="3">
        <f>정규화데이터!F29</f>
        <v>1</v>
      </c>
      <c r="G29" s="3">
        <f>정규화데이터!G29</f>
        <v>1</v>
      </c>
      <c r="H29" s="3">
        <f>정규화데이터!H29</f>
        <v>119000</v>
      </c>
      <c r="I29" s="3">
        <f>정규화데이터!I29</f>
        <v>109000</v>
      </c>
      <c r="J29" s="3">
        <f>정규화데이터!J29</f>
        <v>82110</v>
      </c>
      <c r="K29" s="25">
        <f>정규화데이터!K29</f>
        <v>0</v>
      </c>
      <c r="L29" s="25">
        <f>정규화데이터!L29</f>
        <v>82110</v>
      </c>
      <c r="M29" s="21">
        <f t="shared" si="0"/>
        <v>0</v>
      </c>
      <c r="N29" s="52">
        <f t="shared" si="1"/>
        <v>0</v>
      </c>
    </row>
    <row r="30" spans="1:14" x14ac:dyDescent="0.3">
      <c r="A30" t="str">
        <f>정규화데이터!A30</f>
        <v>SK스토아</v>
      </c>
      <c r="B30" t="str">
        <f>정규화데이터!B30</f>
        <v>20260205994774</v>
      </c>
      <c r="C30" t="str">
        <f>정규화데이터!C30</f>
        <v>2026-02-07</v>
      </c>
      <c r="D30" t="str">
        <f>정규화데이터!D30</f>
        <v>58481090</v>
      </c>
      <c r="E30" s="16" t="str">
        <f>정규화데이터!E30</f>
        <v>미매핑</v>
      </c>
      <c r="F30" s="3">
        <f>정규화데이터!F30</f>
        <v>1</v>
      </c>
      <c r="G30" s="3">
        <f>정규화데이터!G30</f>
        <v>1</v>
      </c>
      <c r="H30" s="3">
        <f>정규화데이터!H30</f>
        <v>119000</v>
      </c>
      <c r="I30" s="3">
        <f>정규화데이터!I30</f>
        <v>119000</v>
      </c>
      <c r="J30" s="3">
        <f>정규화데이터!J30</f>
        <v>82110</v>
      </c>
      <c r="K30" s="25">
        <f>정규화데이터!K30</f>
        <v>0</v>
      </c>
      <c r="L30" s="25">
        <f>정규화데이터!L30</f>
        <v>82110</v>
      </c>
      <c r="M30" s="21">
        <f t="shared" si="0"/>
        <v>0</v>
      </c>
      <c r="N30" s="52">
        <f t="shared" si="1"/>
        <v>0</v>
      </c>
    </row>
    <row r="31" spans="1:14" x14ac:dyDescent="0.3">
      <c r="A31" t="str">
        <f>정규화데이터!A31</f>
        <v>SK스토아</v>
      </c>
      <c r="B31" t="str">
        <f>정규화데이터!B31</f>
        <v>20260205993002</v>
      </c>
      <c r="C31" t="str">
        <f>정규화데이터!C31</f>
        <v>2026-02-07</v>
      </c>
      <c r="D31" t="str">
        <f>정규화데이터!D31</f>
        <v>58481090</v>
      </c>
      <c r="E31" s="16" t="str">
        <f>정규화데이터!E31</f>
        <v>미매핑</v>
      </c>
      <c r="F31" s="3">
        <f>정규화데이터!F31</f>
        <v>1</v>
      </c>
      <c r="G31" s="3">
        <f>정규화데이터!G31</f>
        <v>1</v>
      </c>
      <c r="H31" s="3">
        <f>정규화데이터!H31</f>
        <v>119000</v>
      </c>
      <c r="I31" s="3">
        <f>정규화데이터!I31</f>
        <v>119000</v>
      </c>
      <c r="J31" s="3">
        <f>정규화데이터!J31</f>
        <v>82110</v>
      </c>
      <c r="K31" s="25">
        <f>정규화데이터!K31</f>
        <v>0</v>
      </c>
      <c r="L31" s="25">
        <f>정규화데이터!L31</f>
        <v>82110</v>
      </c>
      <c r="M31" s="21">
        <f t="shared" si="0"/>
        <v>0</v>
      </c>
      <c r="N31" s="52">
        <f t="shared" si="1"/>
        <v>0</v>
      </c>
    </row>
    <row r="32" spans="1:14" x14ac:dyDescent="0.3">
      <c r="A32" t="str">
        <f>정규화데이터!A32</f>
        <v>SK스토아</v>
      </c>
      <c r="B32" t="str">
        <f>정규화데이터!B32</f>
        <v>20260205995233</v>
      </c>
      <c r="C32" t="str">
        <f>정규화데이터!C32</f>
        <v>2026-02-07</v>
      </c>
      <c r="D32" t="str">
        <f>정규화데이터!D32</f>
        <v>58481090</v>
      </c>
      <c r="E32" s="16" t="str">
        <f>정규화데이터!E32</f>
        <v>미매핑</v>
      </c>
      <c r="F32" s="3">
        <f>정규화데이터!F32</f>
        <v>1</v>
      </c>
      <c r="G32" s="3">
        <f>정규화데이터!G32</f>
        <v>1</v>
      </c>
      <c r="H32" s="3">
        <f>정규화데이터!H32</f>
        <v>119000</v>
      </c>
      <c r="I32" s="3">
        <f>정규화데이터!I32</f>
        <v>119000</v>
      </c>
      <c r="J32" s="3">
        <f>정규화데이터!J32</f>
        <v>82110</v>
      </c>
      <c r="K32" s="25">
        <f>정규화데이터!K32</f>
        <v>0</v>
      </c>
      <c r="L32" s="25">
        <f>정규화데이터!L32</f>
        <v>82110</v>
      </c>
      <c r="M32" s="21">
        <f t="shared" si="0"/>
        <v>0</v>
      </c>
      <c r="N32" s="52">
        <f t="shared" si="1"/>
        <v>0</v>
      </c>
    </row>
    <row r="33" spans="1:14" x14ac:dyDescent="0.3">
      <c r="A33" t="str">
        <f>정규화데이터!A33</f>
        <v>SK스토아</v>
      </c>
      <c r="B33" t="str">
        <f>정규화데이터!B33</f>
        <v>20260205995590</v>
      </c>
      <c r="C33" t="str">
        <f>정규화데이터!C33</f>
        <v>2026-02-07</v>
      </c>
      <c r="D33" t="str">
        <f>정규화데이터!D33</f>
        <v>58481090</v>
      </c>
      <c r="E33" s="16" t="str">
        <f>정규화데이터!E33</f>
        <v>미매핑</v>
      </c>
      <c r="F33" s="3">
        <f>정규화데이터!F33</f>
        <v>1</v>
      </c>
      <c r="G33" s="3">
        <f>정규화데이터!G33</f>
        <v>1</v>
      </c>
      <c r="H33" s="3">
        <f>정규화데이터!H33</f>
        <v>119000</v>
      </c>
      <c r="I33" s="3">
        <f>정규화데이터!I33</f>
        <v>113050</v>
      </c>
      <c r="J33" s="3">
        <f>정규화데이터!J33</f>
        <v>82110</v>
      </c>
      <c r="K33" s="25">
        <f>정규화데이터!K33</f>
        <v>0</v>
      </c>
      <c r="L33" s="25">
        <f>정규화데이터!L33</f>
        <v>82110</v>
      </c>
      <c r="M33" s="21">
        <f t="shared" si="0"/>
        <v>0</v>
      </c>
      <c r="N33" s="52">
        <f t="shared" si="1"/>
        <v>0</v>
      </c>
    </row>
    <row r="34" spans="1:14" x14ac:dyDescent="0.3">
      <c r="A34" t="str">
        <f>정규화데이터!A34</f>
        <v>SK스토아</v>
      </c>
      <c r="B34" t="str">
        <f>정규화데이터!B34</f>
        <v>20260205994071</v>
      </c>
      <c r="C34" t="str">
        <f>정규화데이터!C34</f>
        <v>2026-02-07</v>
      </c>
      <c r="D34" t="str">
        <f>정규화데이터!D34</f>
        <v>58481090</v>
      </c>
      <c r="E34" s="16" t="str">
        <f>정규화데이터!E34</f>
        <v>미매핑</v>
      </c>
      <c r="F34" s="3">
        <f>정규화데이터!F34</f>
        <v>1</v>
      </c>
      <c r="G34" s="3">
        <f>정규화데이터!G34</f>
        <v>1</v>
      </c>
      <c r="H34" s="3">
        <f>정규화데이터!H34</f>
        <v>119000</v>
      </c>
      <c r="I34" s="3">
        <f>정규화데이터!I34</f>
        <v>119000</v>
      </c>
      <c r="J34" s="3">
        <f>정규화데이터!J34</f>
        <v>82110</v>
      </c>
      <c r="K34" s="25">
        <f>정규화데이터!K34</f>
        <v>0</v>
      </c>
      <c r="L34" s="25">
        <f>정규화데이터!L34</f>
        <v>82110</v>
      </c>
      <c r="M34" s="21">
        <f t="shared" si="0"/>
        <v>0</v>
      </c>
      <c r="N34" s="52">
        <f t="shared" si="1"/>
        <v>0</v>
      </c>
    </row>
    <row r="35" spans="1:14" x14ac:dyDescent="0.3">
      <c r="A35" t="str">
        <f>정규화데이터!A35</f>
        <v>SK스토아</v>
      </c>
      <c r="B35" t="str">
        <f>정규화데이터!B35</f>
        <v>20260205995236</v>
      </c>
      <c r="C35" t="str">
        <f>정규화데이터!C35</f>
        <v>2026-02-07</v>
      </c>
      <c r="D35" t="str">
        <f>정규화데이터!D35</f>
        <v>58481090</v>
      </c>
      <c r="E35" s="16" t="str">
        <f>정규화데이터!E35</f>
        <v>미매핑</v>
      </c>
      <c r="F35" s="3">
        <f>정규화데이터!F35</f>
        <v>1</v>
      </c>
      <c r="G35" s="3">
        <f>정규화데이터!G35</f>
        <v>1</v>
      </c>
      <c r="H35" s="3">
        <f>정규화데이터!H35</f>
        <v>119000</v>
      </c>
      <c r="I35" s="3">
        <f>정규화데이터!I35</f>
        <v>119000</v>
      </c>
      <c r="J35" s="3">
        <f>정규화데이터!J35</f>
        <v>82110</v>
      </c>
      <c r="K35" s="25">
        <f>정규화데이터!K35</f>
        <v>0</v>
      </c>
      <c r="L35" s="25">
        <f>정규화데이터!L35</f>
        <v>82110</v>
      </c>
      <c r="M35" s="21">
        <f t="shared" si="0"/>
        <v>0</v>
      </c>
      <c r="N35" s="52">
        <f t="shared" si="1"/>
        <v>0</v>
      </c>
    </row>
    <row r="36" spans="1:14" x14ac:dyDescent="0.3">
      <c r="A36" t="str">
        <f>정규화데이터!A36</f>
        <v>SK스토아</v>
      </c>
      <c r="B36" t="str">
        <f>정규화데이터!B36</f>
        <v>20260205992736</v>
      </c>
      <c r="C36" t="str">
        <f>정규화데이터!C36</f>
        <v>2026-02-07</v>
      </c>
      <c r="D36" t="str">
        <f>정규화데이터!D36</f>
        <v>58481090</v>
      </c>
      <c r="E36" s="16" t="str">
        <f>정규화데이터!E36</f>
        <v>미매핑</v>
      </c>
      <c r="F36" s="3">
        <f>정규화데이터!F36</f>
        <v>1</v>
      </c>
      <c r="G36" s="3">
        <f>정규화데이터!G36</f>
        <v>1</v>
      </c>
      <c r="H36" s="3">
        <f>정규화데이터!H36</f>
        <v>119000</v>
      </c>
      <c r="I36" s="3">
        <f>정규화데이터!I36</f>
        <v>119000</v>
      </c>
      <c r="J36" s="3">
        <f>정규화데이터!J36</f>
        <v>82110</v>
      </c>
      <c r="K36" s="25">
        <f>정규화데이터!K36</f>
        <v>0</v>
      </c>
      <c r="L36" s="25">
        <f>정규화데이터!L36</f>
        <v>82110</v>
      </c>
      <c r="M36" s="21">
        <f t="shared" si="0"/>
        <v>0</v>
      </c>
      <c r="N36" s="52">
        <f t="shared" si="1"/>
        <v>0</v>
      </c>
    </row>
    <row r="37" spans="1:14" x14ac:dyDescent="0.3">
      <c r="A37" t="str">
        <f>정규화데이터!A37</f>
        <v>SK스토아</v>
      </c>
      <c r="B37" t="str">
        <f>정규화데이터!B37</f>
        <v>20260205993184</v>
      </c>
      <c r="C37" t="str">
        <f>정규화데이터!C37</f>
        <v>2026-02-07</v>
      </c>
      <c r="D37" t="str">
        <f>정규화데이터!D37</f>
        <v>58481090</v>
      </c>
      <c r="E37" s="16" t="str">
        <f>정규화데이터!E37</f>
        <v>미매핑</v>
      </c>
      <c r="F37" s="3">
        <f>정규화데이터!F37</f>
        <v>1</v>
      </c>
      <c r="G37" s="3">
        <f>정규화데이터!G37</f>
        <v>1</v>
      </c>
      <c r="H37" s="3">
        <f>정규화데이터!H37</f>
        <v>119000</v>
      </c>
      <c r="I37" s="3">
        <f>정규화데이터!I37</f>
        <v>119000</v>
      </c>
      <c r="J37" s="3">
        <f>정규화데이터!J37</f>
        <v>82110</v>
      </c>
      <c r="K37" s="25">
        <f>정규화데이터!K37</f>
        <v>0</v>
      </c>
      <c r="L37" s="25">
        <f>정규화데이터!L37</f>
        <v>82110</v>
      </c>
      <c r="M37" s="21">
        <f t="shared" si="0"/>
        <v>0</v>
      </c>
      <c r="N37" s="52">
        <f t="shared" si="1"/>
        <v>0</v>
      </c>
    </row>
    <row r="38" spans="1:14" x14ac:dyDescent="0.3">
      <c r="A38" t="str">
        <f>정규화데이터!A38</f>
        <v>SK스토아</v>
      </c>
      <c r="B38" t="str">
        <f>정규화데이터!B38</f>
        <v>20260205994068</v>
      </c>
      <c r="C38" t="str">
        <f>정규화데이터!C38</f>
        <v>2026-02-07</v>
      </c>
      <c r="D38" t="str">
        <f>정규화데이터!D38</f>
        <v>58481090</v>
      </c>
      <c r="E38" s="16" t="str">
        <f>정규화데이터!E38</f>
        <v>미매핑</v>
      </c>
      <c r="F38" s="3">
        <f>정규화데이터!F38</f>
        <v>1</v>
      </c>
      <c r="G38" s="3">
        <f>정규화데이터!G38</f>
        <v>1</v>
      </c>
      <c r="H38" s="3">
        <f>정규화데이터!H38</f>
        <v>119000</v>
      </c>
      <c r="I38" s="3">
        <f>정규화데이터!I38</f>
        <v>119000</v>
      </c>
      <c r="J38" s="3">
        <f>정규화데이터!J38</f>
        <v>82110</v>
      </c>
      <c r="K38" s="25">
        <f>정규화데이터!K38</f>
        <v>0</v>
      </c>
      <c r="L38" s="25">
        <f>정규화데이터!L38</f>
        <v>82110</v>
      </c>
      <c r="M38" s="21">
        <f t="shared" si="0"/>
        <v>0</v>
      </c>
      <c r="N38" s="52">
        <f t="shared" si="1"/>
        <v>0</v>
      </c>
    </row>
    <row r="39" spans="1:14" x14ac:dyDescent="0.3">
      <c r="A39" t="str">
        <f>정규화데이터!A39</f>
        <v>SK스토아</v>
      </c>
      <c r="B39" t="str">
        <f>정규화데이터!B39</f>
        <v>20260205994704</v>
      </c>
      <c r="C39" t="str">
        <f>정규화데이터!C39</f>
        <v>2026-02-07</v>
      </c>
      <c r="D39" t="str">
        <f>정규화데이터!D39</f>
        <v>58481090</v>
      </c>
      <c r="E39" s="16" t="str">
        <f>정규화데이터!E39</f>
        <v>미매핑</v>
      </c>
      <c r="F39" s="3">
        <f>정규화데이터!F39</f>
        <v>1</v>
      </c>
      <c r="G39" s="3">
        <f>정규화데이터!G39</f>
        <v>1</v>
      </c>
      <c r="H39" s="3">
        <f>정규화데이터!H39</f>
        <v>119000</v>
      </c>
      <c r="I39" s="3">
        <f>정규화데이터!I39</f>
        <v>119000</v>
      </c>
      <c r="J39" s="3">
        <f>정규화데이터!J39</f>
        <v>82110</v>
      </c>
      <c r="K39" s="25">
        <f>정규화데이터!K39</f>
        <v>0</v>
      </c>
      <c r="L39" s="25">
        <f>정규화데이터!L39</f>
        <v>82110</v>
      </c>
      <c r="M39" s="21">
        <f t="shared" si="0"/>
        <v>0</v>
      </c>
      <c r="N39" s="52">
        <f t="shared" si="1"/>
        <v>0</v>
      </c>
    </row>
    <row r="40" spans="1:14" x14ac:dyDescent="0.3">
      <c r="A40" t="str">
        <f>정규화데이터!A40</f>
        <v>SK스토아</v>
      </c>
      <c r="B40" t="str">
        <f>정규화데이터!B40</f>
        <v>20260205993640</v>
      </c>
      <c r="C40" t="str">
        <f>정규화데이터!C40</f>
        <v>2026-02-07</v>
      </c>
      <c r="D40" t="str">
        <f>정규화데이터!D40</f>
        <v>58481090</v>
      </c>
      <c r="E40" s="16" t="str">
        <f>정규화데이터!E40</f>
        <v>미매핑</v>
      </c>
      <c r="F40" s="3">
        <f>정규화데이터!F40</f>
        <v>1</v>
      </c>
      <c r="G40" s="3">
        <f>정규화데이터!G40</f>
        <v>1</v>
      </c>
      <c r="H40" s="3">
        <f>정규화데이터!H40</f>
        <v>119000</v>
      </c>
      <c r="I40" s="3">
        <f>정규화데이터!I40</f>
        <v>119000</v>
      </c>
      <c r="J40" s="3">
        <f>정규화데이터!J40</f>
        <v>82110</v>
      </c>
      <c r="K40" s="25">
        <f>정규화데이터!K40</f>
        <v>0</v>
      </c>
      <c r="L40" s="25">
        <f>정규화데이터!L40</f>
        <v>82110</v>
      </c>
      <c r="M40" s="21">
        <f t="shared" si="0"/>
        <v>0</v>
      </c>
      <c r="N40" s="52">
        <f t="shared" si="1"/>
        <v>0</v>
      </c>
    </row>
    <row r="41" spans="1:14" x14ac:dyDescent="0.3">
      <c r="A41" t="str">
        <f>정규화데이터!A41</f>
        <v>SK스토아</v>
      </c>
      <c r="B41" t="str">
        <f>정규화데이터!B41</f>
        <v>20260205994989</v>
      </c>
      <c r="C41" t="str">
        <f>정규화데이터!C41</f>
        <v>2026-02-07</v>
      </c>
      <c r="D41" t="str">
        <f>정규화데이터!D41</f>
        <v>58481090</v>
      </c>
      <c r="E41" s="16" t="str">
        <f>정규화데이터!E41</f>
        <v>미매핑</v>
      </c>
      <c r="F41" s="3">
        <f>정규화데이터!F41</f>
        <v>1</v>
      </c>
      <c r="G41" s="3">
        <f>정규화데이터!G41</f>
        <v>1</v>
      </c>
      <c r="H41" s="3">
        <f>정규화데이터!H41</f>
        <v>119000</v>
      </c>
      <c r="I41" s="3">
        <f>정규화데이터!I41</f>
        <v>113050</v>
      </c>
      <c r="J41" s="3">
        <f>정규화데이터!J41</f>
        <v>82110</v>
      </c>
      <c r="K41" s="25">
        <f>정규화데이터!K41</f>
        <v>0</v>
      </c>
      <c r="L41" s="25">
        <f>정규화데이터!L41</f>
        <v>82110</v>
      </c>
      <c r="M41" s="21">
        <f t="shared" si="0"/>
        <v>0</v>
      </c>
      <c r="N41" s="52">
        <f t="shared" si="1"/>
        <v>0</v>
      </c>
    </row>
    <row r="42" spans="1:14" x14ac:dyDescent="0.3">
      <c r="A42" t="str">
        <f>정규화데이터!A42</f>
        <v>SK스토아</v>
      </c>
      <c r="B42" t="str">
        <f>정규화데이터!B42</f>
        <v>20260205993988</v>
      </c>
      <c r="C42" t="str">
        <f>정규화데이터!C42</f>
        <v>2026-02-07</v>
      </c>
      <c r="D42" t="str">
        <f>정규화데이터!D42</f>
        <v>58481090</v>
      </c>
      <c r="E42" s="16" t="str">
        <f>정규화데이터!E42</f>
        <v>미매핑</v>
      </c>
      <c r="F42" s="3">
        <f>정규화데이터!F42</f>
        <v>1</v>
      </c>
      <c r="G42" s="3">
        <f>정규화데이터!G42</f>
        <v>1</v>
      </c>
      <c r="H42" s="3">
        <f>정규화데이터!H42</f>
        <v>119000</v>
      </c>
      <c r="I42" s="3">
        <f>정규화데이터!I42</f>
        <v>119000</v>
      </c>
      <c r="J42" s="3">
        <f>정규화데이터!J42</f>
        <v>82110</v>
      </c>
      <c r="K42" s="25">
        <f>정규화데이터!K42</f>
        <v>0</v>
      </c>
      <c r="L42" s="25">
        <f>정규화데이터!L42</f>
        <v>82110</v>
      </c>
      <c r="M42" s="21">
        <f t="shared" si="0"/>
        <v>0</v>
      </c>
      <c r="N42" s="52">
        <f t="shared" si="1"/>
        <v>0</v>
      </c>
    </row>
    <row r="43" spans="1:14" x14ac:dyDescent="0.3">
      <c r="A43" t="str">
        <f>정규화데이터!A43</f>
        <v>SK스토아</v>
      </c>
      <c r="B43" t="str">
        <f>정규화데이터!B43</f>
        <v>20260205995073</v>
      </c>
      <c r="C43" t="str">
        <f>정규화데이터!C43</f>
        <v>2026-02-07</v>
      </c>
      <c r="D43" t="str">
        <f>정규화데이터!D43</f>
        <v>58481090</v>
      </c>
      <c r="E43" s="16" t="str">
        <f>정규화데이터!E43</f>
        <v>미매핑</v>
      </c>
      <c r="F43" s="3">
        <f>정규화데이터!F43</f>
        <v>1</v>
      </c>
      <c r="G43" s="3">
        <f>정규화데이터!G43</f>
        <v>1</v>
      </c>
      <c r="H43" s="3">
        <f>정규화데이터!H43</f>
        <v>119000</v>
      </c>
      <c r="I43" s="3">
        <f>정규화데이터!I43</f>
        <v>119000</v>
      </c>
      <c r="J43" s="3">
        <f>정규화데이터!J43</f>
        <v>82110</v>
      </c>
      <c r="K43" s="25">
        <f>정규화데이터!K43</f>
        <v>0</v>
      </c>
      <c r="L43" s="25">
        <f>정규화데이터!L43</f>
        <v>82110</v>
      </c>
      <c r="M43" s="21">
        <f t="shared" si="0"/>
        <v>0</v>
      </c>
      <c r="N43" s="52">
        <f t="shared" si="1"/>
        <v>0</v>
      </c>
    </row>
    <row r="44" spans="1:14" x14ac:dyDescent="0.3">
      <c r="A44" t="str">
        <f>정규화데이터!A44</f>
        <v>SK스토아</v>
      </c>
      <c r="B44" t="str">
        <f>정규화데이터!B44</f>
        <v>20260205993674</v>
      </c>
      <c r="C44" t="str">
        <f>정규화데이터!C44</f>
        <v>2026-02-07</v>
      </c>
      <c r="D44" t="str">
        <f>정규화데이터!D44</f>
        <v>58481090</v>
      </c>
      <c r="E44" s="16" t="str">
        <f>정규화데이터!E44</f>
        <v>미매핑</v>
      </c>
      <c r="F44" s="3">
        <f>정규화데이터!F44</f>
        <v>1</v>
      </c>
      <c r="G44" s="3">
        <f>정규화데이터!G44</f>
        <v>1</v>
      </c>
      <c r="H44" s="3">
        <f>정규화데이터!H44</f>
        <v>119000</v>
      </c>
      <c r="I44" s="3">
        <f>정규화데이터!I44</f>
        <v>119000</v>
      </c>
      <c r="J44" s="3">
        <f>정규화데이터!J44</f>
        <v>82110</v>
      </c>
      <c r="K44" s="25">
        <f>정규화데이터!K44</f>
        <v>0</v>
      </c>
      <c r="L44" s="25">
        <f>정규화데이터!L44</f>
        <v>82110</v>
      </c>
      <c r="M44" s="21">
        <f t="shared" si="0"/>
        <v>0</v>
      </c>
      <c r="N44" s="52">
        <f t="shared" si="1"/>
        <v>0</v>
      </c>
    </row>
    <row r="45" spans="1:14" x14ac:dyDescent="0.3">
      <c r="A45" t="str">
        <f>정규화데이터!A45</f>
        <v>SK스토아</v>
      </c>
      <c r="B45" t="str">
        <f>정규화데이터!B45</f>
        <v>20260205993680</v>
      </c>
      <c r="C45" t="str">
        <f>정규화데이터!C45</f>
        <v>2026-02-07</v>
      </c>
      <c r="D45" t="str">
        <f>정규화데이터!D45</f>
        <v>58481090</v>
      </c>
      <c r="E45" s="16" t="str">
        <f>정규화데이터!E45</f>
        <v>미매핑</v>
      </c>
      <c r="F45" s="3">
        <f>정규화데이터!F45</f>
        <v>1</v>
      </c>
      <c r="G45" s="3">
        <f>정규화데이터!G45</f>
        <v>1</v>
      </c>
      <c r="H45" s="3">
        <f>정규화데이터!H45</f>
        <v>119000</v>
      </c>
      <c r="I45" s="3">
        <f>정규화데이터!I45</f>
        <v>119000</v>
      </c>
      <c r="J45" s="3">
        <f>정규화데이터!J45</f>
        <v>82110</v>
      </c>
      <c r="K45" s="25">
        <f>정규화데이터!K45</f>
        <v>0</v>
      </c>
      <c r="L45" s="25">
        <f>정규화데이터!L45</f>
        <v>82110</v>
      </c>
      <c r="M45" s="21">
        <f t="shared" si="0"/>
        <v>0</v>
      </c>
      <c r="N45" s="52">
        <f t="shared" si="1"/>
        <v>0</v>
      </c>
    </row>
    <row r="46" spans="1:14" x14ac:dyDescent="0.3">
      <c r="A46" t="str">
        <f>정규화데이터!A46</f>
        <v>SK스토아</v>
      </c>
      <c r="B46" t="str">
        <f>정규화데이터!B46</f>
        <v>20260205993664</v>
      </c>
      <c r="C46" t="str">
        <f>정규화데이터!C46</f>
        <v>2026-02-07</v>
      </c>
      <c r="D46" t="str">
        <f>정규화데이터!D46</f>
        <v>58481090</v>
      </c>
      <c r="E46" s="16" t="str">
        <f>정규화데이터!E46</f>
        <v>미매핑</v>
      </c>
      <c r="F46" s="3">
        <f>정규화데이터!F46</f>
        <v>1</v>
      </c>
      <c r="G46" s="3">
        <f>정규화데이터!G46</f>
        <v>1</v>
      </c>
      <c r="H46" s="3">
        <f>정규화데이터!H46</f>
        <v>119000</v>
      </c>
      <c r="I46" s="3">
        <f>정규화데이터!I46</f>
        <v>119000</v>
      </c>
      <c r="J46" s="3">
        <f>정규화데이터!J46</f>
        <v>82110</v>
      </c>
      <c r="K46" s="25">
        <f>정규화데이터!K46</f>
        <v>0</v>
      </c>
      <c r="L46" s="25">
        <f>정규화데이터!L46</f>
        <v>82110</v>
      </c>
      <c r="M46" s="21">
        <f t="shared" si="0"/>
        <v>0</v>
      </c>
      <c r="N46" s="52">
        <f t="shared" si="1"/>
        <v>0</v>
      </c>
    </row>
    <row r="47" spans="1:14" x14ac:dyDescent="0.3">
      <c r="A47" t="str">
        <f>정규화데이터!A47</f>
        <v>SK스토아</v>
      </c>
      <c r="B47" t="str">
        <f>정규화데이터!B47</f>
        <v>20260205993052</v>
      </c>
      <c r="C47" t="str">
        <f>정규화데이터!C47</f>
        <v>2026-02-07</v>
      </c>
      <c r="D47" t="str">
        <f>정규화데이터!D47</f>
        <v>58481090</v>
      </c>
      <c r="E47" s="16" t="str">
        <f>정규화데이터!E47</f>
        <v>미매핑</v>
      </c>
      <c r="F47" s="3">
        <f>정규화데이터!F47</f>
        <v>1</v>
      </c>
      <c r="G47" s="3">
        <f>정규화데이터!G47</f>
        <v>1</v>
      </c>
      <c r="H47" s="3">
        <f>정규화데이터!H47</f>
        <v>119000</v>
      </c>
      <c r="I47" s="3">
        <f>정규화데이터!I47</f>
        <v>119000</v>
      </c>
      <c r="J47" s="3">
        <f>정규화데이터!J47</f>
        <v>82110</v>
      </c>
      <c r="K47" s="25">
        <f>정규화데이터!K47</f>
        <v>0</v>
      </c>
      <c r="L47" s="25">
        <f>정규화데이터!L47</f>
        <v>82110</v>
      </c>
      <c r="M47" s="21">
        <f t="shared" si="0"/>
        <v>0</v>
      </c>
      <c r="N47" s="52">
        <f t="shared" si="1"/>
        <v>0</v>
      </c>
    </row>
    <row r="48" spans="1:14" x14ac:dyDescent="0.3">
      <c r="A48" t="str">
        <f>정규화데이터!A48</f>
        <v>SK스토아</v>
      </c>
      <c r="B48" t="str">
        <f>정규화데이터!B48</f>
        <v>20260205995037</v>
      </c>
      <c r="C48" t="str">
        <f>정규화데이터!C48</f>
        <v>2026-02-07</v>
      </c>
      <c r="D48" t="str">
        <f>정규화데이터!D48</f>
        <v>58481090</v>
      </c>
      <c r="E48" s="16" t="str">
        <f>정규화데이터!E48</f>
        <v>미매핑</v>
      </c>
      <c r="F48" s="3">
        <f>정규화데이터!F48</f>
        <v>1</v>
      </c>
      <c r="G48" s="3">
        <f>정규화데이터!G48</f>
        <v>1</v>
      </c>
      <c r="H48" s="3">
        <f>정규화데이터!H48</f>
        <v>119000</v>
      </c>
      <c r="I48" s="3">
        <f>정규화데이터!I48</f>
        <v>119000</v>
      </c>
      <c r="J48" s="3">
        <f>정규화데이터!J48</f>
        <v>82110</v>
      </c>
      <c r="K48" s="25">
        <f>정규화데이터!K48</f>
        <v>0</v>
      </c>
      <c r="L48" s="25">
        <f>정규화데이터!L48</f>
        <v>82110</v>
      </c>
      <c r="M48" s="21">
        <f t="shared" si="0"/>
        <v>0</v>
      </c>
      <c r="N48" s="52">
        <f t="shared" si="1"/>
        <v>0</v>
      </c>
    </row>
    <row r="49" spans="1:14" x14ac:dyDescent="0.3">
      <c r="A49" t="str">
        <f>정규화데이터!A49</f>
        <v>SK스토아</v>
      </c>
      <c r="B49" t="str">
        <f>정규화데이터!B49</f>
        <v>20260205995009</v>
      </c>
      <c r="C49" t="str">
        <f>정규화데이터!C49</f>
        <v>2026-02-07</v>
      </c>
      <c r="D49" t="str">
        <f>정규화데이터!D49</f>
        <v>58481090</v>
      </c>
      <c r="E49" s="16" t="str">
        <f>정규화데이터!E49</f>
        <v>미매핑</v>
      </c>
      <c r="F49" s="3">
        <f>정규화데이터!F49</f>
        <v>1</v>
      </c>
      <c r="G49" s="3">
        <f>정규화데이터!G49</f>
        <v>1</v>
      </c>
      <c r="H49" s="3">
        <f>정규화데이터!H49</f>
        <v>119000</v>
      </c>
      <c r="I49" s="3">
        <f>정규화데이터!I49</f>
        <v>119000</v>
      </c>
      <c r="J49" s="3">
        <f>정규화데이터!J49</f>
        <v>82110</v>
      </c>
      <c r="K49" s="25">
        <f>정규화데이터!K49</f>
        <v>0</v>
      </c>
      <c r="L49" s="25">
        <f>정규화데이터!L49</f>
        <v>82110</v>
      </c>
      <c r="M49" s="21">
        <f t="shared" si="0"/>
        <v>0</v>
      </c>
      <c r="N49" s="52">
        <f t="shared" si="1"/>
        <v>0</v>
      </c>
    </row>
    <row r="50" spans="1:14" x14ac:dyDescent="0.3">
      <c r="A50" t="str">
        <f>정규화데이터!A50</f>
        <v>SK스토아</v>
      </c>
      <c r="B50" t="str">
        <f>정규화데이터!B50</f>
        <v>20260205994035</v>
      </c>
      <c r="C50" t="str">
        <f>정규화데이터!C50</f>
        <v>2026-02-07</v>
      </c>
      <c r="D50" t="str">
        <f>정규화데이터!D50</f>
        <v>58481090</v>
      </c>
      <c r="E50" s="16" t="str">
        <f>정규화데이터!E50</f>
        <v>미매핑</v>
      </c>
      <c r="F50" s="3">
        <f>정규화데이터!F50</f>
        <v>1</v>
      </c>
      <c r="G50" s="3">
        <f>정규화데이터!G50</f>
        <v>1</v>
      </c>
      <c r="H50" s="3">
        <f>정규화데이터!H50</f>
        <v>119000</v>
      </c>
      <c r="I50" s="3">
        <f>정규화데이터!I50</f>
        <v>119000</v>
      </c>
      <c r="J50" s="3">
        <f>정규화데이터!J50</f>
        <v>82110</v>
      </c>
      <c r="K50" s="25">
        <f>정규화데이터!K50</f>
        <v>0</v>
      </c>
      <c r="L50" s="25">
        <f>정규화데이터!L50</f>
        <v>82110</v>
      </c>
      <c r="M50" s="21">
        <f t="shared" si="0"/>
        <v>0</v>
      </c>
      <c r="N50" s="52">
        <f t="shared" si="1"/>
        <v>0</v>
      </c>
    </row>
    <row r="51" spans="1:14" x14ac:dyDescent="0.3">
      <c r="A51" t="str">
        <f>정규화데이터!A51</f>
        <v>SK스토아</v>
      </c>
      <c r="B51" t="str">
        <f>정규화데이터!B51</f>
        <v>20260205995023</v>
      </c>
      <c r="C51" t="str">
        <f>정규화데이터!C51</f>
        <v>2026-02-07</v>
      </c>
      <c r="D51" t="str">
        <f>정규화데이터!D51</f>
        <v>58481090</v>
      </c>
      <c r="E51" s="16" t="str">
        <f>정규화데이터!E51</f>
        <v>미매핑</v>
      </c>
      <c r="F51" s="3">
        <f>정규화데이터!F51</f>
        <v>1</v>
      </c>
      <c r="G51" s="3">
        <f>정규화데이터!G51</f>
        <v>1</v>
      </c>
      <c r="H51" s="3">
        <f>정규화데이터!H51</f>
        <v>119000</v>
      </c>
      <c r="I51" s="3">
        <f>정규화데이터!I51</f>
        <v>119000</v>
      </c>
      <c r="J51" s="3">
        <f>정규화데이터!J51</f>
        <v>82110</v>
      </c>
      <c r="K51" s="25">
        <f>정규화데이터!K51</f>
        <v>0</v>
      </c>
      <c r="L51" s="25">
        <f>정규화데이터!L51</f>
        <v>82110</v>
      </c>
      <c r="M51" s="21">
        <f t="shared" si="0"/>
        <v>0</v>
      </c>
      <c r="N51" s="52">
        <f t="shared" si="1"/>
        <v>0</v>
      </c>
    </row>
    <row r="52" spans="1:14" x14ac:dyDescent="0.3">
      <c r="A52" t="str">
        <f>정규화데이터!A52</f>
        <v>SK스토아</v>
      </c>
      <c r="B52" t="str">
        <f>정규화데이터!B52</f>
        <v>20260205994048</v>
      </c>
      <c r="C52" t="str">
        <f>정규화데이터!C52</f>
        <v>2026-02-07</v>
      </c>
      <c r="D52" t="str">
        <f>정규화데이터!D52</f>
        <v>58481090</v>
      </c>
      <c r="E52" s="16" t="str">
        <f>정규화데이터!E52</f>
        <v>미매핑</v>
      </c>
      <c r="F52" s="3">
        <f>정규화데이터!F52</f>
        <v>1</v>
      </c>
      <c r="G52" s="3">
        <f>정규화데이터!G52</f>
        <v>1</v>
      </c>
      <c r="H52" s="3">
        <f>정규화데이터!H52</f>
        <v>119000</v>
      </c>
      <c r="I52" s="3">
        <f>정규화데이터!I52</f>
        <v>113050</v>
      </c>
      <c r="J52" s="3">
        <f>정규화데이터!J52</f>
        <v>82110</v>
      </c>
      <c r="K52" s="25">
        <f>정규화데이터!K52</f>
        <v>0</v>
      </c>
      <c r="L52" s="25">
        <f>정규화데이터!L52</f>
        <v>82110</v>
      </c>
      <c r="M52" s="21">
        <f t="shared" si="0"/>
        <v>0</v>
      </c>
      <c r="N52" s="52">
        <f t="shared" si="1"/>
        <v>0</v>
      </c>
    </row>
    <row r="53" spans="1:14" x14ac:dyDescent="0.3">
      <c r="A53" t="str">
        <f>정규화데이터!A53</f>
        <v>SK스토아</v>
      </c>
      <c r="B53" t="str">
        <f>정규화데이터!B53</f>
        <v>20260205993215</v>
      </c>
      <c r="C53" t="str">
        <f>정규화데이터!C53</f>
        <v>2026-02-07</v>
      </c>
      <c r="D53" t="str">
        <f>정규화데이터!D53</f>
        <v>58481090</v>
      </c>
      <c r="E53" s="16" t="str">
        <f>정규화데이터!E53</f>
        <v>미매핑</v>
      </c>
      <c r="F53" s="3">
        <f>정규화데이터!F53</f>
        <v>1</v>
      </c>
      <c r="G53" s="3">
        <f>정규화데이터!G53</f>
        <v>1</v>
      </c>
      <c r="H53" s="3">
        <f>정규화데이터!H53</f>
        <v>119000</v>
      </c>
      <c r="I53" s="3">
        <f>정규화데이터!I53</f>
        <v>119000</v>
      </c>
      <c r="J53" s="3">
        <f>정규화데이터!J53</f>
        <v>82110</v>
      </c>
      <c r="K53" s="25">
        <f>정규화데이터!K53</f>
        <v>0</v>
      </c>
      <c r="L53" s="25">
        <f>정규화데이터!L53</f>
        <v>82110</v>
      </c>
      <c r="M53" s="21">
        <f t="shared" si="0"/>
        <v>0</v>
      </c>
      <c r="N53" s="52">
        <f t="shared" si="1"/>
        <v>0</v>
      </c>
    </row>
    <row r="54" spans="1:14" x14ac:dyDescent="0.3">
      <c r="A54" t="str">
        <f>정규화데이터!A54</f>
        <v>SK스토아</v>
      </c>
      <c r="B54" t="str">
        <f>정규화데이터!B54</f>
        <v>20260205993380</v>
      </c>
      <c r="C54" t="str">
        <f>정규화데이터!C54</f>
        <v>2026-02-07</v>
      </c>
      <c r="D54" t="str">
        <f>정규화데이터!D54</f>
        <v>58481090</v>
      </c>
      <c r="E54" s="16" t="str">
        <f>정규화데이터!E54</f>
        <v>미매핑</v>
      </c>
      <c r="F54" s="3">
        <f>정규화데이터!F54</f>
        <v>1</v>
      </c>
      <c r="G54" s="3">
        <f>정규화데이터!G54</f>
        <v>1</v>
      </c>
      <c r="H54" s="3">
        <f>정규화데이터!H54</f>
        <v>119000</v>
      </c>
      <c r="I54" s="3">
        <f>정규화데이터!I54</f>
        <v>119000</v>
      </c>
      <c r="J54" s="3">
        <f>정규화데이터!J54</f>
        <v>82110</v>
      </c>
      <c r="K54" s="25">
        <f>정규화데이터!K54</f>
        <v>0</v>
      </c>
      <c r="L54" s="25">
        <f>정규화데이터!L54</f>
        <v>82110</v>
      </c>
      <c r="M54" s="21">
        <f t="shared" si="0"/>
        <v>0</v>
      </c>
      <c r="N54" s="52">
        <f t="shared" si="1"/>
        <v>0</v>
      </c>
    </row>
    <row r="55" spans="1:14" x14ac:dyDescent="0.3">
      <c r="A55" t="str">
        <f>정규화데이터!A55</f>
        <v>SK스토아</v>
      </c>
      <c r="B55" t="str">
        <f>정규화데이터!B55</f>
        <v>20260205995874</v>
      </c>
      <c r="C55" t="str">
        <f>정규화데이터!C55</f>
        <v>2026-02-07</v>
      </c>
      <c r="D55" t="str">
        <f>정규화데이터!D55</f>
        <v>58481090</v>
      </c>
      <c r="E55" s="16" t="str">
        <f>정규화데이터!E55</f>
        <v>미매핑</v>
      </c>
      <c r="F55" s="3">
        <f>정규화데이터!F55</f>
        <v>1</v>
      </c>
      <c r="G55" s="3">
        <f>정규화데이터!G55</f>
        <v>1</v>
      </c>
      <c r="H55" s="3">
        <f>정규화데이터!H55</f>
        <v>119000</v>
      </c>
      <c r="I55" s="3">
        <f>정규화데이터!I55</f>
        <v>99960</v>
      </c>
      <c r="J55" s="3">
        <f>정규화데이터!J55</f>
        <v>82110</v>
      </c>
      <c r="K55" s="25">
        <f>정규화데이터!K55</f>
        <v>0</v>
      </c>
      <c r="L55" s="25">
        <f>정규화데이터!L55</f>
        <v>82110</v>
      </c>
      <c r="M55" s="21">
        <f t="shared" si="0"/>
        <v>0</v>
      </c>
      <c r="N55" s="52">
        <f t="shared" si="1"/>
        <v>0</v>
      </c>
    </row>
    <row r="56" spans="1:14" x14ac:dyDescent="0.3">
      <c r="A56" t="str">
        <f>정규화데이터!A56</f>
        <v>SK스토아</v>
      </c>
      <c r="B56" t="str">
        <f>정규화데이터!B56</f>
        <v>20260205995155</v>
      </c>
      <c r="C56" t="str">
        <f>정규화데이터!C56</f>
        <v>2026-02-07</v>
      </c>
      <c r="D56" t="str">
        <f>정규화데이터!D56</f>
        <v>58481090</v>
      </c>
      <c r="E56" s="16" t="str">
        <f>정규화데이터!E56</f>
        <v>미매핑</v>
      </c>
      <c r="F56" s="3">
        <f>정규화데이터!F56</f>
        <v>1</v>
      </c>
      <c r="G56" s="3">
        <f>정규화데이터!G56</f>
        <v>1</v>
      </c>
      <c r="H56" s="3">
        <f>정규화데이터!H56</f>
        <v>119000</v>
      </c>
      <c r="I56" s="3">
        <f>정규화데이터!I56</f>
        <v>119000</v>
      </c>
      <c r="J56" s="3">
        <f>정규화데이터!J56</f>
        <v>82110</v>
      </c>
      <c r="K56" s="25">
        <f>정규화데이터!K56</f>
        <v>0</v>
      </c>
      <c r="L56" s="25">
        <f>정규화데이터!L56</f>
        <v>82110</v>
      </c>
      <c r="M56" s="21">
        <f t="shared" si="0"/>
        <v>0</v>
      </c>
      <c r="N56" s="52">
        <f t="shared" si="1"/>
        <v>0</v>
      </c>
    </row>
    <row r="57" spans="1:14" x14ac:dyDescent="0.3">
      <c r="A57" t="str">
        <f>정규화데이터!A57</f>
        <v>SK스토아</v>
      </c>
      <c r="B57" t="str">
        <f>정규화데이터!B57</f>
        <v>20260205994376</v>
      </c>
      <c r="C57" t="str">
        <f>정규화데이터!C57</f>
        <v>2026-02-07</v>
      </c>
      <c r="D57" t="str">
        <f>정규화데이터!D57</f>
        <v>58481090</v>
      </c>
      <c r="E57" s="16" t="str">
        <f>정규화데이터!E57</f>
        <v>미매핑</v>
      </c>
      <c r="F57" s="3">
        <f>정규화데이터!F57</f>
        <v>1</v>
      </c>
      <c r="G57" s="3">
        <f>정규화데이터!G57</f>
        <v>1</v>
      </c>
      <c r="H57" s="3">
        <f>정규화데이터!H57</f>
        <v>119000</v>
      </c>
      <c r="I57" s="3">
        <f>정규화데이터!I57</f>
        <v>119000</v>
      </c>
      <c r="J57" s="3">
        <f>정규화데이터!J57</f>
        <v>82110</v>
      </c>
      <c r="K57" s="25">
        <f>정규화데이터!K57</f>
        <v>0</v>
      </c>
      <c r="L57" s="25">
        <f>정규화데이터!L57</f>
        <v>82110</v>
      </c>
      <c r="M57" s="21">
        <f t="shared" si="0"/>
        <v>0</v>
      </c>
      <c r="N57" s="52">
        <f t="shared" si="1"/>
        <v>0</v>
      </c>
    </row>
    <row r="58" spans="1:14" x14ac:dyDescent="0.3">
      <c r="A58" t="str">
        <f>정규화데이터!A58</f>
        <v>SK스토아</v>
      </c>
      <c r="B58" t="str">
        <f>정규화데이터!B58</f>
        <v>20260205994564</v>
      </c>
      <c r="C58" t="str">
        <f>정규화데이터!C58</f>
        <v>2026-02-07</v>
      </c>
      <c r="D58" t="str">
        <f>정규화데이터!D58</f>
        <v>58481090</v>
      </c>
      <c r="E58" s="16" t="str">
        <f>정규화데이터!E58</f>
        <v>미매핑</v>
      </c>
      <c r="F58" s="3">
        <f>정규화데이터!F58</f>
        <v>1</v>
      </c>
      <c r="G58" s="3">
        <f>정규화데이터!G58</f>
        <v>1</v>
      </c>
      <c r="H58" s="3">
        <f>정규화데이터!H58</f>
        <v>119000</v>
      </c>
      <c r="I58" s="3">
        <f>정규화데이터!I58</f>
        <v>119000</v>
      </c>
      <c r="J58" s="3">
        <f>정규화데이터!J58</f>
        <v>82110</v>
      </c>
      <c r="K58" s="25">
        <f>정규화데이터!K58</f>
        <v>0</v>
      </c>
      <c r="L58" s="25">
        <f>정규화데이터!L58</f>
        <v>82110</v>
      </c>
      <c r="M58" s="21">
        <f t="shared" si="0"/>
        <v>0</v>
      </c>
      <c r="N58" s="52">
        <f t="shared" si="1"/>
        <v>0</v>
      </c>
    </row>
    <row r="59" spans="1:14" x14ac:dyDescent="0.3">
      <c r="A59" t="str">
        <f>정규화데이터!A59</f>
        <v>SK스토아</v>
      </c>
      <c r="B59" t="str">
        <f>정규화데이터!B59</f>
        <v>20260205994614</v>
      </c>
      <c r="C59" t="str">
        <f>정규화데이터!C59</f>
        <v>2026-02-07</v>
      </c>
      <c r="D59" t="str">
        <f>정규화데이터!D59</f>
        <v>58481090</v>
      </c>
      <c r="E59" s="16" t="str">
        <f>정규화데이터!E59</f>
        <v>미매핑</v>
      </c>
      <c r="F59" s="3">
        <f>정규화데이터!F59</f>
        <v>1</v>
      </c>
      <c r="G59" s="3">
        <f>정규화데이터!G59</f>
        <v>1</v>
      </c>
      <c r="H59" s="3">
        <f>정규화데이터!H59</f>
        <v>119000</v>
      </c>
      <c r="I59" s="3">
        <f>정규화데이터!I59</f>
        <v>109000</v>
      </c>
      <c r="J59" s="3">
        <f>정규화데이터!J59</f>
        <v>82110</v>
      </c>
      <c r="K59" s="25">
        <f>정규화데이터!K59</f>
        <v>0</v>
      </c>
      <c r="L59" s="25">
        <f>정규화데이터!L59</f>
        <v>82110</v>
      </c>
      <c r="M59" s="21">
        <f t="shared" si="0"/>
        <v>0</v>
      </c>
      <c r="N59" s="52">
        <f t="shared" si="1"/>
        <v>0</v>
      </c>
    </row>
    <row r="60" spans="1:14" x14ac:dyDescent="0.3">
      <c r="A60" t="str">
        <f>정규화데이터!A60</f>
        <v>SK스토아</v>
      </c>
      <c r="B60" t="str">
        <f>정규화데이터!B60</f>
        <v>20260205993698</v>
      </c>
      <c r="C60" t="str">
        <f>정규화데이터!C60</f>
        <v>2026-02-07</v>
      </c>
      <c r="D60" t="str">
        <f>정규화데이터!D60</f>
        <v>58481090</v>
      </c>
      <c r="E60" s="16" t="str">
        <f>정규화데이터!E60</f>
        <v>미매핑</v>
      </c>
      <c r="F60" s="3">
        <f>정규화데이터!F60</f>
        <v>1</v>
      </c>
      <c r="G60" s="3">
        <f>정규화데이터!G60</f>
        <v>1</v>
      </c>
      <c r="H60" s="3">
        <f>정규화데이터!H60</f>
        <v>119000</v>
      </c>
      <c r="I60" s="3">
        <f>정규화데이터!I60</f>
        <v>99960</v>
      </c>
      <c r="J60" s="3">
        <f>정규화데이터!J60</f>
        <v>82110</v>
      </c>
      <c r="K60" s="25">
        <f>정규화데이터!K60</f>
        <v>0</v>
      </c>
      <c r="L60" s="25">
        <f>정규화데이터!L60</f>
        <v>82110</v>
      </c>
      <c r="M60" s="21">
        <f t="shared" si="0"/>
        <v>0</v>
      </c>
      <c r="N60" s="52">
        <f t="shared" si="1"/>
        <v>0</v>
      </c>
    </row>
    <row r="61" spans="1:14" x14ac:dyDescent="0.3">
      <c r="A61" t="str">
        <f>정규화데이터!A61</f>
        <v>SK스토아</v>
      </c>
      <c r="B61" t="str">
        <f>정규화데이터!B61</f>
        <v>20260205992804</v>
      </c>
      <c r="C61" t="str">
        <f>정규화데이터!C61</f>
        <v>2026-02-07</v>
      </c>
      <c r="D61" t="str">
        <f>정규화데이터!D61</f>
        <v>58481090</v>
      </c>
      <c r="E61" s="16" t="str">
        <f>정규화데이터!E61</f>
        <v>미매핑</v>
      </c>
      <c r="F61" s="3">
        <f>정규화데이터!F61</f>
        <v>1</v>
      </c>
      <c r="G61" s="3">
        <f>정규화데이터!G61</f>
        <v>1</v>
      </c>
      <c r="H61" s="3">
        <f>정규화데이터!H61</f>
        <v>119000</v>
      </c>
      <c r="I61" s="3">
        <f>정규화데이터!I61</f>
        <v>119000</v>
      </c>
      <c r="J61" s="3">
        <f>정규화데이터!J61</f>
        <v>82110</v>
      </c>
      <c r="K61" s="25">
        <f>정규화데이터!K61</f>
        <v>0</v>
      </c>
      <c r="L61" s="25">
        <f>정규화데이터!L61</f>
        <v>82110</v>
      </c>
      <c r="M61" s="21">
        <f t="shared" si="0"/>
        <v>0</v>
      </c>
      <c r="N61" s="52">
        <f t="shared" si="1"/>
        <v>0</v>
      </c>
    </row>
    <row r="62" spans="1:14" x14ac:dyDescent="0.3">
      <c r="A62" t="str">
        <f>정규화데이터!A62</f>
        <v>SK스토아</v>
      </c>
      <c r="B62" t="str">
        <f>정규화데이터!B62</f>
        <v>20260205992800</v>
      </c>
      <c r="C62" t="str">
        <f>정규화데이터!C62</f>
        <v>2026-02-07</v>
      </c>
      <c r="D62" t="str">
        <f>정규화데이터!D62</f>
        <v>58481090</v>
      </c>
      <c r="E62" s="16" t="str">
        <f>정규화데이터!E62</f>
        <v>미매핑</v>
      </c>
      <c r="F62" s="3">
        <f>정규화데이터!F62</f>
        <v>1</v>
      </c>
      <c r="G62" s="3">
        <f>정규화데이터!G62</f>
        <v>1</v>
      </c>
      <c r="H62" s="3">
        <f>정규화데이터!H62</f>
        <v>119000</v>
      </c>
      <c r="I62" s="3">
        <f>정규화데이터!I62</f>
        <v>113050</v>
      </c>
      <c r="J62" s="3">
        <f>정규화데이터!J62</f>
        <v>82110</v>
      </c>
      <c r="K62" s="25">
        <f>정규화데이터!K62</f>
        <v>0</v>
      </c>
      <c r="L62" s="25">
        <f>정규화데이터!L62</f>
        <v>82110</v>
      </c>
      <c r="M62" s="21">
        <f t="shared" si="0"/>
        <v>0</v>
      </c>
      <c r="N62" s="52">
        <f t="shared" si="1"/>
        <v>0</v>
      </c>
    </row>
    <row r="63" spans="1:14" x14ac:dyDescent="0.3">
      <c r="A63" t="str">
        <f>정규화데이터!A63</f>
        <v>SK스토아</v>
      </c>
      <c r="B63" t="str">
        <f>정규화데이터!B63</f>
        <v>20260205994317</v>
      </c>
      <c r="C63" t="str">
        <f>정규화데이터!C63</f>
        <v>2026-02-07</v>
      </c>
      <c r="D63" t="str">
        <f>정규화데이터!D63</f>
        <v>58481090</v>
      </c>
      <c r="E63" s="16" t="str">
        <f>정규화데이터!E63</f>
        <v>미매핑</v>
      </c>
      <c r="F63" s="3">
        <f>정규화데이터!F63</f>
        <v>1</v>
      </c>
      <c r="G63" s="3">
        <f>정규화데이터!G63</f>
        <v>1</v>
      </c>
      <c r="H63" s="3">
        <f>정규화데이터!H63</f>
        <v>119000</v>
      </c>
      <c r="I63" s="3">
        <f>정규화데이터!I63</f>
        <v>113050</v>
      </c>
      <c r="J63" s="3">
        <f>정규화데이터!J63</f>
        <v>82110</v>
      </c>
      <c r="K63" s="25">
        <f>정규화데이터!K63</f>
        <v>0</v>
      </c>
      <c r="L63" s="25">
        <f>정규화데이터!L63</f>
        <v>82110</v>
      </c>
      <c r="M63" s="21">
        <f t="shared" si="0"/>
        <v>0</v>
      </c>
      <c r="N63" s="52">
        <f t="shared" si="1"/>
        <v>0</v>
      </c>
    </row>
    <row r="64" spans="1:14" x14ac:dyDescent="0.3">
      <c r="A64" t="str">
        <f>정규화데이터!A64</f>
        <v>SK스토아</v>
      </c>
      <c r="B64" t="str">
        <f>정규화데이터!B64</f>
        <v>20260205992772</v>
      </c>
      <c r="C64" t="str">
        <f>정규화데이터!C64</f>
        <v>2026-02-07</v>
      </c>
      <c r="D64" t="str">
        <f>정규화데이터!D64</f>
        <v>58481090</v>
      </c>
      <c r="E64" s="16" t="str">
        <f>정규화데이터!E64</f>
        <v>미매핑</v>
      </c>
      <c r="F64" s="3">
        <f>정규화데이터!F64</f>
        <v>1</v>
      </c>
      <c r="G64" s="3">
        <f>정규화데이터!G64</f>
        <v>1</v>
      </c>
      <c r="H64" s="3">
        <f>정규화데이터!H64</f>
        <v>119000</v>
      </c>
      <c r="I64" s="3">
        <f>정규화데이터!I64</f>
        <v>119000</v>
      </c>
      <c r="J64" s="3">
        <f>정규화데이터!J64</f>
        <v>82110</v>
      </c>
      <c r="K64" s="25">
        <f>정규화데이터!K64</f>
        <v>0</v>
      </c>
      <c r="L64" s="25">
        <f>정규화데이터!L64</f>
        <v>82110</v>
      </c>
      <c r="M64" s="21">
        <f t="shared" si="0"/>
        <v>0</v>
      </c>
      <c r="N64" s="52">
        <f t="shared" si="1"/>
        <v>0</v>
      </c>
    </row>
    <row r="65" spans="1:14" x14ac:dyDescent="0.3">
      <c r="A65" t="str">
        <f>정규화데이터!A65</f>
        <v>SK스토아</v>
      </c>
      <c r="B65" t="str">
        <f>정규화데이터!B65</f>
        <v>20260205995383</v>
      </c>
      <c r="C65" t="str">
        <f>정규화데이터!C65</f>
        <v>2026-02-07</v>
      </c>
      <c r="D65" t="str">
        <f>정규화데이터!D65</f>
        <v>58481090</v>
      </c>
      <c r="E65" s="16" t="str">
        <f>정규화데이터!E65</f>
        <v>미매핑</v>
      </c>
      <c r="F65" s="3">
        <f>정규화데이터!F65</f>
        <v>1</v>
      </c>
      <c r="G65" s="3">
        <f>정규화데이터!G65</f>
        <v>1</v>
      </c>
      <c r="H65" s="3">
        <f>정규화데이터!H65</f>
        <v>119000</v>
      </c>
      <c r="I65" s="3">
        <f>정규화데이터!I65</f>
        <v>119000</v>
      </c>
      <c r="J65" s="3">
        <f>정규화데이터!J65</f>
        <v>82110</v>
      </c>
      <c r="K65" s="25">
        <f>정규화데이터!K65</f>
        <v>0</v>
      </c>
      <c r="L65" s="25">
        <f>정규화데이터!L65</f>
        <v>82110</v>
      </c>
      <c r="M65" s="21">
        <f t="shared" si="0"/>
        <v>0</v>
      </c>
      <c r="N65" s="52">
        <f t="shared" si="1"/>
        <v>0</v>
      </c>
    </row>
    <row r="66" spans="1:14" x14ac:dyDescent="0.3">
      <c r="A66" t="str">
        <f>정규화데이터!A66</f>
        <v>SK스토아</v>
      </c>
      <c r="B66" t="str">
        <f>정규화데이터!B66</f>
        <v>20260205994159</v>
      </c>
      <c r="C66" t="str">
        <f>정규화데이터!C66</f>
        <v>2026-02-07</v>
      </c>
      <c r="D66" t="str">
        <f>정규화데이터!D66</f>
        <v>58481090</v>
      </c>
      <c r="E66" s="16" t="str">
        <f>정규화데이터!E66</f>
        <v>미매핑</v>
      </c>
      <c r="F66" s="3">
        <f>정규화데이터!F66</f>
        <v>1</v>
      </c>
      <c r="G66" s="3">
        <f>정규화데이터!G66</f>
        <v>1</v>
      </c>
      <c r="H66" s="3">
        <f>정규화데이터!H66</f>
        <v>119000</v>
      </c>
      <c r="I66" s="3">
        <f>정규화데이터!I66</f>
        <v>119000</v>
      </c>
      <c r="J66" s="3">
        <f>정규화데이터!J66</f>
        <v>82110</v>
      </c>
      <c r="K66" s="25">
        <f>정규화데이터!K66</f>
        <v>0</v>
      </c>
      <c r="L66" s="25">
        <f>정규화데이터!L66</f>
        <v>82110</v>
      </c>
      <c r="M66" s="21">
        <f t="shared" ref="M66:M129" si="2">J66-L66</f>
        <v>0</v>
      </c>
      <c r="N66" s="52">
        <f t="shared" ref="N66:N129" si="3">IF(J66=0,0,M66/J66)</f>
        <v>0</v>
      </c>
    </row>
    <row r="67" spans="1:14" x14ac:dyDescent="0.3">
      <c r="A67" t="str">
        <f>정규화데이터!A67</f>
        <v>SK스토아</v>
      </c>
      <c r="B67" t="str">
        <f>정규화데이터!B67</f>
        <v>20260205994198</v>
      </c>
      <c r="C67" t="str">
        <f>정규화데이터!C67</f>
        <v>2026-02-07</v>
      </c>
      <c r="D67" t="str">
        <f>정규화데이터!D67</f>
        <v>58481090</v>
      </c>
      <c r="E67" s="16" t="str">
        <f>정규화데이터!E67</f>
        <v>미매핑</v>
      </c>
      <c r="F67" s="3">
        <f>정규화데이터!F67</f>
        <v>1</v>
      </c>
      <c r="G67" s="3">
        <f>정규화데이터!G67</f>
        <v>1</v>
      </c>
      <c r="H67" s="3">
        <f>정규화데이터!H67</f>
        <v>119000</v>
      </c>
      <c r="I67" s="3">
        <f>정규화데이터!I67</f>
        <v>119000</v>
      </c>
      <c r="J67" s="3">
        <f>정규화데이터!J67</f>
        <v>82110</v>
      </c>
      <c r="K67" s="25">
        <f>정규화데이터!K67</f>
        <v>0</v>
      </c>
      <c r="L67" s="25">
        <f>정규화데이터!L67</f>
        <v>82110</v>
      </c>
      <c r="M67" s="21">
        <f t="shared" si="2"/>
        <v>0</v>
      </c>
      <c r="N67" s="52">
        <f t="shared" si="3"/>
        <v>0</v>
      </c>
    </row>
    <row r="68" spans="1:14" x14ac:dyDescent="0.3">
      <c r="A68" t="str">
        <f>정규화데이터!A68</f>
        <v>SK스토아</v>
      </c>
      <c r="B68" t="str">
        <f>정규화데이터!B68</f>
        <v>20260205994768</v>
      </c>
      <c r="C68" t="str">
        <f>정규화데이터!C68</f>
        <v>2026-02-07</v>
      </c>
      <c r="D68" t="str">
        <f>정규화데이터!D68</f>
        <v>58481090</v>
      </c>
      <c r="E68" s="16" t="str">
        <f>정규화데이터!E68</f>
        <v>미매핑</v>
      </c>
      <c r="F68" s="3">
        <f>정규화데이터!F68</f>
        <v>1</v>
      </c>
      <c r="G68" s="3">
        <f>정규화데이터!G68</f>
        <v>1</v>
      </c>
      <c r="H68" s="3">
        <f>정규화데이터!H68</f>
        <v>119000</v>
      </c>
      <c r="I68" s="3">
        <f>정규화데이터!I68</f>
        <v>119000</v>
      </c>
      <c r="J68" s="3">
        <f>정규화데이터!J68</f>
        <v>82110</v>
      </c>
      <c r="K68" s="25">
        <f>정규화데이터!K68</f>
        <v>0</v>
      </c>
      <c r="L68" s="25">
        <f>정규화데이터!L68</f>
        <v>82110</v>
      </c>
      <c r="M68" s="21">
        <f t="shared" si="2"/>
        <v>0</v>
      </c>
      <c r="N68" s="52">
        <f t="shared" si="3"/>
        <v>0</v>
      </c>
    </row>
    <row r="69" spans="1:14" x14ac:dyDescent="0.3">
      <c r="A69" t="str">
        <f>정규화데이터!A69</f>
        <v>SK스토아</v>
      </c>
      <c r="B69" t="str">
        <f>정규화데이터!B69</f>
        <v>20260205994818</v>
      </c>
      <c r="C69" t="str">
        <f>정규화데이터!C69</f>
        <v>2026-02-07</v>
      </c>
      <c r="D69" t="str">
        <f>정규화데이터!D69</f>
        <v>58481090</v>
      </c>
      <c r="E69" s="16" t="str">
        <f>정규화데이터!E69</f>
        <v>미매핑</v>
      </c>
      <c r="F69" s="3">
        <f>정규화데이터!F69</f>
        <v>1</v>
      </c>
      <c r="G69" s="3">
        <f>정규화데이터!G69</f>
        <v>1</v>
      </c>
      <c r="H69" s="3">
        <f>정규화데이터!H69</f>
        <v>119000</v>
      </c>
      <c r="I69" s="3">
        <f>정규화데이터!I69</f>
        <v>119000</v>
      </c>
      <c r="J69" s="3">
        <f>정규화데이터!J69</f>
        <v>82110</v>
      </c>
      <c r="K69" s="25">
        <f>정규화데이터!K69</f>
        <v>0</v>
      </c>
      <c r="L69" s="25">
        <f>정규화데이터!L69</f>
        <v>82110</v>
      </c>
      <c r="M69" s="21">
        <f t="shared" si="2"/>
        <v>0</v>
      </c>
      <c r="N69" s="52">
        <f t="shared" si="3"/>
        <v>0</v>
      </c>
    </row>
    <row r="70" spans="1:14" x14ac:dyDescent="0.3">
      <c r="A70" t="str">
        <f>정규화데이터!A70</f>
        <v>SK스토아</v>
      </c>
      <c r="B70" t="str">
        <f>정규화데이터!B70</f>
        <v>20260205992872</v>
      </c>
      <c r="C70" t="str">
        <f>정규화데이터!C70</f>
        <v>2026-02-07</v>
      </c>
      <c r="D70" t="str">
        <f>정규화데이터!D70</f>
        <v>58481090</v>
      </c>
      <c r="E70" s="16" t="str">
        <f>정규화데이터!E70</f>
        <v>미매핑</v>
      </c>
      <c r="F70" s="3">
        <f>정규화데이터!F70</f>
        <v>1</v>
      </c>
      <c r="G70" s="3">
        <f>정규화데이터!G70</f>
        <v>1</v>
      </c>
      <c r="H70" s="3">
        <f>정규화데이터!H70</f>
        <v>119000</v>
      </c>
      <c r="I70" s="3">
        <f>정규화데이터!I70</f>
        <v>119000</v>
      </c>
      <c r="J70" s="3">
        <f>정규화데이터!J70</f>
        <v>82110</v>
      </c>
      <c r="K70" s="25">
        <f>정규화데이터!K70</f>
        <v>0</v>
      </c>
      <c r="L70" s="25">
        <f>정규화데이터!L70</f>
        <v>82110</v>
      </c>
      <c r="M70" s="21">
        <f t="shared" si="2"/>
        <v>0</v>
      </c>
      <c r="N70" s="52">
        <f t="shared" si="3"/>
        <v>0</v>
      </c>
    </row>
    <row r="71" spans="1:14" x14ac:dyDescent="0.3">
      <c r="A71" t="str">
        <f>정규화데이터!A71</f>
        <v>SK스토아</v>
      </c>
      <c r="B71" t="str">
        <f>정규화데이터!B71</f>
        <v>20260205995552</v>
      </c>
      <c r="C71" t="str">
        <f>정규화데이터!C71</f>
        <v>2026-02-07</v>
      </c>
      <c r="D71" t="str">
        <f>정규화데이터!D71</f>
        <v>58481090</v>
      </c>
      <c r="E71" s="16" t="str">
        <f>정규화데이터!E71</f>
        <v>미매핑</v>
      </c>
      <c r="F71" s="3">
        <f>정규화데이터!F71</f>
        <v>1</v>
      </c>
      <c r="G71" s="3">
        <f>정규화데이터!G71</f>
        <v>1</v>
      </c>
      <c r="H71" s="3">
        <f>정규화데이터!H71</f>
        <v>119000</v>
      </c>
      <c r="I71" s="3">
        <f>정규화데이터!I71</f>
        <v>119000</v>
      </c>
      <c r="J71" s="3">
        <f>정규화데이터!J71</f>
        <v>82110</v>
      </c>
      <c r="K71" s="25">
        <f>정규화데이터!K71</f>
        <v>0</v>
      </c>
      <c r="L71" s="25">
        <f>정규화데이터!L71</f>
        <v>82110</v>
      </c>
      <c r="M71" s="21">
        <f t="shared" si="2"/>
        <v>0</v>
      </c>
      <c r="N71" s="52">
        <f t="shared" si="3"/>
        <v>0</v>
      </c>
    </row>
    <row r="72" spans="1:14" x14ac:dyDescent="0.3">
      <c r="A72" t="str">
        <f>정규화데이터!A72</f>
        <v>SK스토아</v>
      </c>
      <c r="B72" t="str">
        <f>정규화데이터!B72</f>
        <v>20260205995516</v>
      </c>
      <c r="C72" t="str">
        <f>정규화데이터!C72</f>
        <v>2026-02-07</v>
      </c>
      <c r="D72" t="str">
        <f>정규화데이터!D72</f>
        <v>58481090</v>
      </c>
      <c r="E72" s="16" t="str">
        <f>정규화데이터!E72</f>
        <v>미매핑</v>
      </c>
      <c r="F72" s="3">
        <f>정규화데이터!F72</f>
        <v>1</v>
      </c>
      <c r="G72" s="3">
        <f>정규화데이터!G72</f>
        <v>1</v>
      </c>
      <c r="H72" s="3">
        <f>정규화데이터!H72</f>
        <v>119000</v>
      </c>
      <c r="I72" s="3">
        <f>정규화데이터!I72</f>
        <v>119000</v>
      </c>
      <c r="J72" s="3">
        <f>정규화데이터!J72</f>
        <v>82110</v>
      </c>
      <c r="K72" s="25">
        <f>정규화데이터!K72</f>
        <v>0</v>
      </c>
      <c r="L72" s="25">
        <f>정규화데이터!L72</f>
        <v>82110</v>
      </c>
      <c r="M72" s="21">
        <f t="shared" si="2"/>
        <v>0</v>
      </c>
      <c r="N72" s="52">
        <f t="shared" si="3"/>
        <v>0</v>
      </c>
    </row>
    <row r="73" spans="1:14" x14ac:dyDescent="0.3">
      <c r="A73" t="str">
        <f>정규화데이터!A73</f>
        <v>SK스토아</v>
      </c>
      <c r="B73" t="str">
        <f>정규화데이터!B73</f>
        <v>20260205994953</v>
      </c>
      <c r="C73" t="str">
        <f>정규화데이터!C73</f>
        <v>2026-02-07</v>
      </c>
      <c r="D73" t="str">
        <f>정규화데이터!D73</f>
        <v>58481090</v>
      </c>
      <c r="E73" s="16" t="str">
        <f>정규화데이터!E73</f>
        <v>미매핑</v>
      </c>
      <c r="F73" s="3">
        <f>정규화데이터!F73</f>
        <v>1</v>
      </c>
      <c r="G73" s="3">
        <f>정규화데이터!G73</f>
        <v>1</v>
      </c>
      <c r="H73" s="3">
        <f>정규화데이터!H73</f>
        <v>119000</v>
      </c>
      <c r="I73" s="3">
        <f>정규화데이터!I73</f>
        <v>99960</v>
      </c>
      <c r="J73" s="3">
        <f>정규화데이터!J73</f>
        <v>82110</v>
      </c>
      <c r="K73" s="25">
        <f>정규화데이터!K73</f>
        <v>0</v>
      </c>
      <c r="L73" s="25">
        <f>정규화데이터!L73</f>
        <v>82110</v>
      </c>
      <c r="M73" s="21">
        <f t="shared" si="2"/>
        <v>0</v>
      </c>
      <c r="N73" s="52">
        <f t="shared" si="3"/>
        <v>0</v>
      </c>
    </row>
    <row r="74" spans="1:14" x14ac:dyDescent="0.3">
      <c r="A74" t="str">
        <f>정규화데이터!A74</f>
        <v>SK스토아</v>
      </c>
      <c r="B74" t="str">
        <f>정규화데이터!B74</f>
        <v>20260205995058</v>
      </c>
      <c r="C74" t="str">
        <f>정규화데이터!C74</f>
        <v>2026-02-07</v>
      </c>
      <c r="D74" t="str">
        <f>정규화데이터!D74</f>
        <v>58481090</v>
      </c>
      <c r="E74" s="16" t="str">
        <f>정규화데이터!E74</f>
        <v>미매핑</v>
      </c>
      <c r="F74" s="3">
        <f>정규화데이터!F74</f>
        <v>1</v>
      </c>
      <c r="G74" s="3">
        <f>정규화데이터!G74</f>
        <v>1</v>
      </c>
      <c r="H74" s="3">
        <f>정규화데이터!H74</f>
        <v>119000</v>
      </c>
      <c r="I74" s="3">
        <f>정규화데이터!I74</f>
        <v>108300</v>
      </c>
      <c r="J74" s="3">
        <f>정규화데이터!J74</f>
        <v>82110</v>
      </c>
      <c r="K74" s="25">
        <f>정규화데이터!K74</f>
        <v>0</v>
      </c>
      <c r="L74" s="25">
        <f>정규화데이터!L74</f>
        <v>82110</v>
      </c>
      <c r="M74" s="21">
        <f t="shared" si="2"/>
        <v>0</v>
      </c>
      <c r="N74" s="52">
        <f t="shared" si="3"/>
        <v>0</v>
      </c>
    </row>
    <row r="75" spans="1:14" x14ac:dyDescent="0.3">
      <c r="A75" t="str">
        <f>정규화데이터!A75</f>
        <v>SK스토아</v>
      </c>
      <c r="B75" t="str">
        <f>정규화데이터!B75</f>
        <v>20260205995012</v>
      </c>
      <c r="C75" t="str">
        <f>정규화데이터!C75</f>
        <v>2026-02-07</v>
      </c>
      <c r="D75" t="str">
        <f>정규화데이터!D75</f>
        <v>58481090</v>
      </c>
      <c r="E75" s="16" t="str">
        <f>정규화데이터!E75</f>
        <v>미매핑</v>
      </c>
      <c r="F75" s="3">
        <f>정규화데이터!F75</f>
        <v>1</v>
      </c>
      <c r="G75" s="3">
        <f>정규화데이터!G75</f>
        <v>1</v>
      </c>
      <c r="H75" s="3">
        <f>정규화데이터!H75</f>
        <v>119000</v>
      </c>
      <c r="I75" s="3">
        <f>정규화데이터!I75</f>
        <v>119000</v>
      </c>
      <c r="J75" s="3">
        <f>정규화데이터!J75</f>
        <v>82110</v>
      </c>
      <c r="K75" s="25">
        <f>정규화데이터!K75</f>
        <v>0</v>
      </c>
      <c r="L75" s="25">
        <f>정규화데이터!L75</f>
        <v>82110</v>
      </c>
      <c r="M75" s="21">
        <f t="shared" si="2"/>
        <v>0</v>
      </c>
      <c r="N75" s="52">
        <f t="shared" si="3"/>
        <v>0</v>
      </c>
    </row>
    <row r="76" spans="1:14" x14ac:dyDescent="0.3">
      <c r="A76" t="str">
        <f>정규화데이터!A76</f>
        <v>SK스토아</v>
      </c>
      <c r="B76" t="str">
        <f>정규화데이터!B76</f>
        <v>20260205993890</v>
      </c>
      <c r="C76" t="str">
        <f>정규화데이터!C76</f>
        <v>2026-02-07</v>
      </c>
      <c r="D76" t="str">
        <f>정규화데이터!D76</f>
        <v>58481090</v>
      </c>
      <c r="E76" s="16" t="str">
        <f>정규화데이터!E76</f>
        <v>미매핑</v>
      </c>
      <c r="F76" s="3">
        <f>정규화데이터!F76</f>
        <v>1</v>
      </c>
      <c r="G76" s="3">
        <f>정규화데이터!G76</f>
        <v>1</v>
      </c>
      <c r="H76" s="3">
        <f>정규화데이터!H76</f>
        <v>119000</v>
      </c>
      <c r="I76" s="3">
        <f>정규화데이터!I76</f>
        <v>119000</v>
      </c>
      <c r="J76" s="3">
        <f>정규화데이터!J76</f>
        <v>82110</v>
      </c>
      <c r="K76" s="25">
        <f>정규화데이터!K76</f>
        <v>0</v>
      </c>
      <c r="L76" s="25">
        <f>정규화데이터!L76</f>
        <v>82110</v>
      </c>
      <c r="M76" s="21">
        <f t="shared" si="2"/>
        <v>0</v>
      </c>
      <c r="N76" s="52">
        <f t="shared" si="3"/>
        <v>0</v>
      </c>
    </row>
    <row r="77" spans="1:14" x14ac:dyDescent="0.3">
      <c r="A77" t="str">
        <f>정규화데이터!A77</f>
        <v>SK스토아</v>
      </c>
      <c r="B77" t="str">
        <f>정규화데이터!B77</f>
        <v>20260205993358</v>
      </c>
      <c r="C77" t="str">
        <f>정규화데이터!C77</f>
        <v>2026-02-07</v>
      </c>
      <c r="D77" t="str">
        <f>정규화데이터!D77</f>
        <v>58481090</v>
      </c>
      <c r="E77" s="16" t="str">
        <f>정규화데이터!E77</f>
        <v>미매핑</v>
      </c>
      <c r="F77" s="3">
        <f>정규화데이터!F77</f>
        <v>1</v>
      </c>
      <c r="G77" s="3">
        <f>정규화데이터!G77</f>
        <v>1</v>
      </c>
      <c r="H77" s="3">
        <f>정규화데이터!H77</f>
        <v>119000</v>
      </c>
      <c r="I77" s="3">
        <f>정규화데이터!I77</f>
        <v>109000</v>
      </c>
      <c r="J77" s="3">
        <f>정규화데이터!J77</f>
        <v>82110</v>
      </c>
      <c r="K77" s="25">
        <f>정규화데이터!K77</f>
        <v>0</v>
      </c>
      <c r="L77" s="25">
        <f>정규화데이터!L77</f>
        <v>82110</v>
      </c>
      <c r="M77" s="21">
        <f t="shared" si="2"/>
        <v>0</v>
      </c>
      <c r="N77" s="52">
        <f t="shared" si="3"/>
        <v>0</v>
      </c>
    </row>
    <row r="78" spans="1:14" x14ac:dyDescent="0.3">
      <c r="A78" t="str">
        <f>정규화데이터!A78</f>
        <v>SK스토아</v>
      </c>
      <c r="B78" t="str">
        <f>정규화데이터!B78</f>
        <v>20260205992456</v>
      </c>
      <c r="C78" t="str">
        <f>정규화데이터!C78</f>
        <v>2026-02-07</v>
      </c>
      <c r="D78" t="str">
        <f>정규화데이터!D78</f>
        <v>58481090</v>
      </c>
      <c r="E78" s="16" t="str">
        <f>정규화데이터!E78</f>
        <v>미매핑</v>
      </c>
      <c r="F78" s="3">
        <f>정규화데이터!F78</f>
        <v>1</v>
      </c>
      <c r="G78" s="3">
        <f>정규화데이터!G78</f>
        <v>1</v>
      </c>
      <c r="H78" s="3">
        <f>정규화데이터!H78</f>
        <v>119000</v>
      </c>
      <c r="I78" s="3">
        <f>정규화데이터!I78</f>
        <v>119000</v>
      </c>
      <c r="J78" s="3">
        <f>정규화데이터!J78</f>
        <v>82110</v>
      </c>
      <c r="K78" s="25">
        <f>정규화데이터!K78</f>
        <v>0</v>
      </c>
      <c r="L78" s="25">
        <f>정규화데이터!L78</f>
        <v>82110</v>
      </c>
      <c r="M78" s="21">
        <f t="shared" si="2"/>
        <v>0</v>
      </c>
      <c r="N78" s="52">
        <f t="shared" si="3"/>
        <v>0</v>
      </c>
    </row>
    <row r="79" spans="1:14" x14ac:dyDescent="0.3">
      <c r="A79" t="str">
        <f>정규화데이터!A79</f>
        <v>SK스토아</v>
      </c>
      <c r="B79" t="str">
        <f>정규화데이터!B79</f>
        <v>20260205993113</v>
      </c>
      <c r="C79" t="str">
        <f>정규화데이터!C79</f>
        <v>2026-02-07</v>
      </c>
      <c r="D79" t="str">
        <f>정규화데이터!D79</f>
        <v>58481090</v>
      </c>
      <c r="E79" s="16" t="str">
        <f>정규화데이터!E79</f>
        <v>미매핑</v>
      </c>
      <c r="F79" s="3">
        <f>정규화데이터!F79</f>
        <v>1</v>
      </c>
      <c r="G79" s="3">
        <f>정규화데이터!G79</f>
        <v>1</v>
      </c>
      <c r="H79" s="3">
        <f>정규화데이터!H79</f>
        <v>119000</v>
      </c>
      <c r="I79" s="3">
        <f>정규화데이터!I79</f>
        <v>119000</v>
      </c>
      <c r="J79" s="3">
        <f>정규화데이터!J79</f>
        <v>82110</v>
      </c>
      <c r="K79" s="25">
        <f>정규화데이터!K79</f>
        <v>0</v>
      </c>
      <c r="L79" s="25">
        <f>정규화데이터!L79</f>
        <v>82110</v>
      </c>
      <c r="M79" s="21">
        <f t="shared" si="2"/>
        <v>0</v>
      </c>
      <c r="N79" s="52">
        <f t="shared" si="3"/>
        <v>0</v>
      </c>
    </row>
    <row r="80" spans="1:14" x14ac:dyDescent="0.3">
      <c r="A80" t="str">
        <f>정규화데이터!A80</f>
        <v>SK스토아</v>
      </c>
      <c r="B80" t="str">
        <f>정규화데이터!B80</f>
        <v>20260205995687</v>
      </c>
      <c r="C80" t="str">
        <f>정규화데이터!C80</f>
        <v>2026-02-07</v>
      </c>
      <c r="D80" t="str">
        <f>정규화데이터!D80</f>
        <v>58481090</v>
      </c>
      <c r="E80" s="16" t="str">
        <f>정규화데이터!E80</f>
        <v>미매핑</v>
      </c>
      <c r="F80" s="3">
        <f>정규화데이터!F80</f>
        <v>1</v>
      </c>
      <c r="G80" s="3">
        <f>정규화데이터!G80</f>
        <v>2</v>
      </c>
      <c r="H80" s="3">
        <f>정규화데이터!H80</f>
        <v>119000</v>
      </c>
      <c r="I80" s="3">
        <f>정규화데이터!I80</f>
        <v>238000</v>
      </c>
      <c r="J80" s="3">
        <f>정규화데이터!J80</f>
        <v>164220</v>
      </c>
      <c r="K80" s="25">
        <f>정규화데이터!K80</f>
        <v>0</v>
      </c>
      <c r="L80" s="25">
        <f>정규화데이터!L80</f>
        <v>164220</v>
      </c>
      <c r="M80" s="21">
        <f t="shared" si="2"/>
        <v>0</v>
      </c>
      <c r="N80" s="52">
        <f t="shared" si="3"/>
        <v>0</v>
      </c>
    </row>
    <row r="81" spans="1:14" x14ac:dyDescent="0.3">
      <c r="A81" t="str">
        <f>정규화데이터!A81</f>
        <v>SK스토아</v>
      </c>
      <c r="B81" t="str">
        <f>정규화데이터!B81</f>
        <v>20260205995005</v>
      </c>
      <c r="C81" t="str">
        <f>정규화데이터!C81</f>
        <v>2026-02-07</v>
      </c>
      <c r="D81" t="str">
        <f>정규화데이터!D81</f>
        <v>58481090</v>
      </c>
      <c r="E81" s="16" t="str">
        <f>정규화데이터!E81</f>
        <v>미매핑</v>
      </c>
      <c r="F81" s="3">
        <f>정규화데이터!F81</f>
        <v>1</v>
      </c>
      <c r="G81" s="3">
        <f>정규화데이터!G81</f>
        <v>1</v>
      </c>
      <c r="H81" s="3">
        <f>정규화데이터!H81</f>
        <v>119000</v>
      </c>
      <c r="I81" s="3">
        <f>정규화데이터!I81</f>
        <v>119000</v>
      </c>
      <c r="J81" s="3">
        <f>정규화데이터!J81</f>
        <v>82110</v>
      </c>
      <c r="K81" s="25">
        <f>정규화데이터!K81</f>
        <v>0</v>
      </c>
      <c r="L81" s="25">
        <f>정규화데이터!L81</f>
        <v>82110</v>
      </c>
      <c r="M81" s="21">
        <f t="shared" si="2"/>
        <v>0</v>
      </c>
      <c r="N81" s="52">
        <f t="shared" si="3"/>
        <v>0</v>
      </c>
    </row>
    <row r="82" spans="1:14" x14ac:dyDescent="0.3">
      <c r="A82" t="str">
        <f>정규화데이터!A82</f>
        <v>SK스토아</v>
      </c>
      <c r="B82" t="str">
        <f>정규화데이터!B82</f>
        <v>20260205992457</v>
      </c>
      <c r="C82" t="str">
        <f>정규화데이터!C82</f>
        <v>2026-02-07</v>
      </c>
      <c r="D82" t="str">
        <f>정규화데이터!D82</f>
        <v>58481090</v>
      </c>
      <c r="E82" s="16" t="str">
        <f>정규화데이터!E82</f>
        <v>미매핑</v>
      </c>
      <c r="F82" s="3">
        <f>정규화데이터!F82</f>
        <v>1</v>
      </c>
      <c r="G82" s="3">
        <f>정규화데이터!G82</f>
        <v>1</v>
      </c>
      <c r="H82" s="3">
        <f>정규화데이터!H82</f>
        <v>119000</v>
      </c>
      <c r="I82" s="3">
        <f>정규화데이터!I82</f>
        <v>119000</v>
      </c>
      <c r="J82" s="3">
        <f>정규화데이터!J82</f>
        <v>82110</v>
      </c>
      <c r="K82" s="25">
        <f>정규화데이터!K82</f>
        <v>0</v>
      </c>
      <c r="L82" s="25">
        <f>정규화데이터!L82</f>
        <v>82110</v>
      </c>
      <c r="M82" s="21">
        <f t="shared" si="2"/>
        <v>0</v>
      </c>
      <c r="N82" s="52">
        <f t="shared" si="3"/>
        <v>0</v>
      </c>
    </row>
    <row r="83" spans="1:14" x14ac:dyDescent="0.3">
      <c r="A83" t="str">
        <f>정규화데이터!A83</f>
        <v>SK스토아</v>
      </c>
      <c r="B83" t="str">
        <f>정규화데이터!B83</f>
        <v>20260205992975</v>
      </c>
      <c r="C83" t="str">
        <f>정규화데이터!C83</f>
        <v>2026-02-07</v>
      </c>
      <c r="D83" t="str">
        <f>정규화데이터!D83</f>
        <v>58481090</v>
      </c>
      <c r="E83" s="16" t="str">
        <f>정규화데이터!E83</f>
        <v>미매핑</v>
      </c>
      <c r="F83" s="3">
        <f>정규화데이터!F83</f>
        <v>1</v>
      </c>
      <c r="G83" s="3">
        <f>정규화데이터!G83</f>
        <v>1</v>
      </c>
      <c r="H83" s="3">
        <f>정규화데이터!H83</f>
        <v>119000</v>
      </c>
      <c r="I83" s="3">
        <f>정규화데이터!I83</f>
        <v>99960</v>
      </c>
      <c r="J83" s="3">
        <f>정규화데이터!J83</f>
        <v>82110</v>
      </c>
      <c r="K83" s="25">
        <f>정규화데이터!K83</f>
        <v>0</v>
      </c>
      <c r="L83" s="25">
        <f>정규화데이터!L83</f>
        <v>82110</v>
      </c>
      <c r="M83" s="21">
        <f t="shared" si="2"/>
        <v>0</v>
      </c>
      <c r="N83" s="52">
        <f t="shared" si="3"/>
        <v>0</v>
      </c>
    </row>
    <row r="84" spans="1:14" x14ac:dyDescent="0.3">
      <c r="A84" t="str">
        <f>정규화데이터!A84</f>
        <v>SK스토아</v>
      </c>
      <c r="B84" t="str">
        <f>정규화데이터!B84</f>
        <v>20260205994074</v>
      </c>
      <c r="C84" t="str">
        <f>정규화데이터!C84</f>
        <v>2026-02-07</v>
      </c>
      <c r="D84" t="str">
        <f>정규화데이터!D84</f>
        <v>58481090</v>
      </c>
      <c r="E84" s="16" t="str">
        <f>정규화데이터!E84</f>
        <v>미매핑</v>
      </c>
      <c r="F84" s="3">
        <f>정규화데이터!F84</f>
        <v>1</v>
      </c>
      <c r="G84" s="3">
        <f>정규화데이터!G84</f>
        <v>1</v>
      </c>
      <c r="H84" s="3">
        <f>정규화데이터!H84</f>
        <v>119000</v>
      </c>
      <c r="I84" s="3">
        <f>정규화데이터!I84</f>
        <v>119000</v>
      </c>
      <c r="J84" s="3">
        <f>정규화데이터!J84</f>
        <v>82110</v>
      </c>
      <c r="K84" s="25">
        <f>정규화데이터!K84</f>
        <v>0</v>
      </c>
      <c r="L84" s="25">
        <f>정규화데이터!L84</f>
        <v>82110</v>
      </c>
      <c r="M84" s="21">
        <f t="shared" si="2"/>
        <v>0</v>
      </c>
      <c r="N84" s="52">
        <f t="shared" si="3"/>
        <v>0</v>
      </c>
    </row>
    <row r="85" spans="1:14" x14ac:dyDescent="0.3">
      <c r="A85" t="str">
        <f>정규화데이터!A85</f>
        <v>SK스토아</v>
      </c>
      <c r="B85" t="str">
        <f>정규화데이터!B85</f>
        <v>20260205996186</v>
      </c>
      <c r="C85" t="str">
        <f>정규화데이터!C85</f>
        <v>2026-02-07</v>
      </c>
      <c r="D85" t="str">
        <f>정규화데이터!D85</f>
        <v>58481090</v>
      </c>
      <c r="E85" s="16" t="str">
        <f>정규화데이터!E85</f>
        <v>미매핑</v>
      </c>
      <c r="F85" s="3">
        <f>정규화데이터!F85</f>
        <v>1</v>
      </c>
      <c r="G85" s="3">
        <f>정규화데이터!G85</f>
        <v>1</v>
      </c>
      <c r="H85" s="3">
        <f>정규화데이터!H85</f>
        <v>119000</v>
      </c>
      <c r="I85" s="3">
        <f>정규화데이터!I85</f>
        <v>109000</v>
      </c>
      <c r="J85" s="3">
        <f>정규화데이터!J85</f>
        <v>82110</v>
      </c>
      <c r="K85" s="25">
        <f>정규화데이터!K85</f>
        <v>0</v>
      </c>
      <c r="L85" s="25">
        <f>정규화데이터!L85</f>
        <v>82110</v>
      </c>
      <c r="M85" s="21">
        <f t="shared" si="2"/>
        <v>0</v>
      </c>
      <c r="N85" s="52">
        <f t="shared" si="3"/>
        <v>0</v>
      </c>
    </row>
    <row r="86" spans="1:14" x14ac:dyDescent="0.3">
      <c r="A86" t="str">
        <f>정규화데이터!A86</f>
        <v>SK스토아</v>
      </c>
      <c r="B86" t="str">
        <f>정규화데이터!B86</f>
        <v>20260205993929</v>
      </c>
      <c r="C86" t="str">
        <f>정규화데이터!C86</f>
        <v>2026-02-07</v>
      </c>
      <c r="D86" t="str">
        <f>정규화데이터!D86</f>
        <v>58481090</v>
      </c>
      <c r="E86" s="16" t="str">
        <f>정규화데이터!E86</f>
        <v>미매핑</v>
      </c>
      <c r="F86" s="3">
        <f>정규화데이터!F86</f>
        <v>1</v>
      </c>
      <c r="G86" s="3">
        <f>정규화데이터!G86</f>
        <v>1</v>
      </c>
      <c r="H86" s="3">
        <f>정규화데이터!H86</f>
        <v>119000</v>
      </c>
      <c r="I86" s="3">
        <f>정규화데이터!I86</f>
        <v>119000</v>
      </c>
      <c r="J86" s="3">
        <f>정규화데이터!J86</f>
        <v>82110</v>
      </c>
      <c r="K86" s="25">
        <f>정규화데이터!K86</f>
        <v>0</v>
      </c>
      <c r="L86" s="25">
        <f>정규화데이터!L86</f>
        <v>82110</v>
      </c>
      <c r="M86" s="21">
        <f t="shared" si="2"/>
        <v>0</v>
      </c>
      <c r="N86" s="52">
        <f t="shared" si="3"/>
        <v>0</v>
      </c>
    </row>
    <row r="87" spans="1:14" x14ac:dyDescent="0.3">
      <c r="A87" t="str">
        <f>정규화데이터!A87</f>
        <v>SK스토아</v>
      </c>
      <c r="B87" t="str">
        <f>정규화데이터!B87</f>
        <v>20260205992859</v>
      </c>
      <c r="C87" t="str">
        <f>정규화데이터!C87</f>
        <v>2026-02-07</v>
      </c>
      <c r="D87" t="str">
        <f>정규화데이터!D87</f>
        <v>58481090</v>
      </c>
      <c r="E87" s="16" t="str">
        <f>정규화데이터!E87</f>
        <v>미매핑</v>
      </c>
      <c r="F87" s="3">
        <f>정규화데이터!F87</f>
        <v>1</v>
      </c>
      <c r="G87" s="3">
        <f>정규화데이터!G87</f>
        <v>1</v>
      </c>
      <c r="H87" s="3">
        <f>정규화데이터!H87</f>
        <v>119000</v>
      </c>
      <c r="I87" s="3">
        <f>정규화데이터!I87</f>
        <v>119000</v>
      </c>
      <c r="J87" s="3">
        <f>정규화데이터!J87</f>
        <v>82110</v>
      </c>
      <c r="K87" s="25">
        <f>정규화데이터!K87</f>
        <v>0</v>
      </c>
      <c r="L87" s="25">
        <f>정규화데이터!L87</f>
        <v>82110</v>
      </c>
      <c r="M87" s="21">
        <f t="shared" si="2"/>
        <v>0</v>
      </c>
      <c r="N87" s="52">
        <f t="shared" si="3"/>
        <v>0</v>
      </c>
    </row>
    <row r="88" spans="1:14" x14ac:dyDescent="0.3">
      <c r="A88" t="str">
        <f>정규화데이터!A88</f>
        <v>SK스토아</v>
      </c>
      <c r="B88" t="str">
        <f>정규화데이터!B88</f>
        <v>20260205995584</v>
      </c>
      <c r="C88" t="str">
        <f>정규화데이터!C88</f>
        <v>2026-02-07</v>
      </c>
      <c r="D88" t="str">
        <f>정규화데이터!D88</f>
        <v>58481090</v>
      </c>
      <c r="E88" s="16" t="str">
        <f>정규화데이터!E88</f>
        <v>미매핑</v>
      </c>
      <c r="F88" s="3">
        <f>정규화데이터!F88</f>
        <v>1</v>
      </c>
      <c r="G88" s="3">
        <f>정규화데이터!G88</f>
        <v>1</v>
      </c>
      <c r="H88" s="3">
        <f>정규화데이터!H88</f>
        <v>119000</v>
      </c>
      <c r="I88" s="3">
        <f>정규화데이터!I88</f>
        <v>101150</v>
      </c>
      <c r="J88" s="3">
        <f>정규화데이터!J88</f>
        <v>82110</v>
      </c>
      <c r="K88" s="25">
        <f>정규화데이터!K88</f>
        <v>0</v>
      </c>
      <c r="L88" s="25">
        <f>정규화데이터!L88</f>
        <v>82110</v>
      </c>
      <c r="M88" s="21">
        <f t="shared" si="2"/>
        <v>0</v>
      </c>
      <c r="N88" s="52">
        <f t="shared" si="3"/>
        <v>0</v>
      </c>
    </row>
    <row r="89" spans="1:14" x14ac:dyDescent="0.3">
      <c r="A89" t="str">
        <f>정규화데이터!A89</f>
        <v>SK스토아</v>
      </c>
      <c r="B89" t="str">
        <f>정규화데이터!B89</f>
        <v>20260205995161</v>
      </c>
      <c r="C89" t="str">
        <f>정규화데이터!C89</f>
        <v>2026-02-07</v>
      </c>
      <c r="D89" t="str">
        <f>정규화데이터!D89</f>
        <v>58481090</v>
      </c>
      <c r="E89" s="16" t="str">
        <f>정규화데이터!E89</f>
        <v>미매핑</v>
      </c>
      <c r="F89" s="3">
        <f>정규화데이터!F89</f>
        <v>1</v>
      </c>
      <c r="G89" s="3">
        <f>정규화데이터!G89</f>
        <v>1</v>
      </c>
      <c r="H89" s="3">
        <f>정규화데이터!H89</f>
        <v>119000</v>
      </c>
      <c r="I89" s="3">
        <f>정규화데이터!I89</f>
        <v>119000</v>
      </c>
      <c r="J89" s="3">
        <f>정규화데이터!J89</f>
        <v>82110</v>
      </c>
      <c r="K89" s="25">
        <f>정규화데이터!K89</f>
        <v>0</v>
      </c>
      <c r="L89" s="25">
        <f>정규화데이터!L89</f>
        <v>82110</v>
      </c>
      <c r="M89" s="21">
        <f t="shared" si="2"/>
        <v>0</v>
      </c>
      <c r="N89" s="52">
        <f t="shared" si="3"/>
        <v>0</v>
      </c>
    </row>
    <row r="90" spans="1:14" x14ac:dyDescent="0.3">
      <c r="A90" t="str">
        <f>정규화데이터!A90</f>
        <v>SK스토아</v>
      </c>
      <c r="B90" t="str">
        <f>정규화데이터!B90</f>
        <v>20260205995658</v>
      </c>
      <c r="C90" t="str">
        <f>정규화데이터!C90</f>
        <v>2026-02-07</v>
      </c>
      <c r="D90" t="str">
        <f>정규화데이터!D90</f>
        <v>58481090</v>
      </c>
      <c r="E90" s="16" t="str">
        <f>정규화데이터!E90</f>
        <v>미매핑</v>
      </c>
      <c r="F90" s="3">
        <f>정규화데이터!F90</f>
        <v>1</v>
      </c>
      <c r="G90" s="3">
        <f>정규화데이터!G90</f>
        <v>1</v>
      </c>
      <c r="H90" s="3">
        <f>정규화데이터!H90</f>
        <v>119000</v>
      </c>
      <c r="I90" s="3">
        <f>정규화데이터!I90</f>
        <v>113050</v>
      </c>
      <c r="J90" s="3">
        <f>정규화데이터!J90</f>
        <v>82110</v>
      </c>
      <c r="K90" s="25">
        <f>정규화데이터!K90</f>
        <v>0</v>
      </c>
      <c r="L90" s="25">
        <f>정규화데이터!L90</f>
        <v>82110</v>
      </c>
      <c r="M90" s="21">
        <f t="shared" si="2"/>
        <v>0</v>
      </c>
      <c r="N90" s="52">
        <f t="shared" si="3"/>
        <v>0</v>
      </c>
    </row>
    <row r="91" spans="1:14" x14ac:dyDescent="0.3">
      <c r="A91" t="str">
        <f>정규화데이터!A91</f>
        <v>SK스토아</v>
      </c>
      <c r="B91" t="str">
        <f>정규화데이터!B91</f>
        <v>20260205995042</v>
      </c>
      <c r="C91" t="str">
        <f>정규화데이터!C91</f>
        <v>2026-02-07</v>
      </c>
      <c r="D91" t="str">
        <f>정규화데이터!D91</f>
        <v>58481090</v>
      </c>
      <c r="E91" s="16" t="str">
        <f>정규화데이터!E91</f>
        <v>미매핑</v>
      </c>
      <c r="F91" s="3">
        <f>정규화데이터!F91</f>
        <v>1</v>
      </c>
      <c r="G91" s="3">
        <f>정규화데이터!G91</f>
        <v>1</v>
      </c>
      <c r="H91" s="3">
        <f>정규화데이터!H91</f>
        <v>119000</v>
      </c>
      <c r="I91" s="3">
        <f>정규화데이터!I91</f>
        <v>109000</v>
      </c>
      <c r="J91" s="3">
        <f>정규화데이터!J91</f>
        <v>82110</v>
      </c>
      <c r="K91" s="25">
        <f>정규화데이터!K91</f>
        <v>0</v>
      </c>
      <c r="L91" s="25">
        <f>정규화데이터!L91</f>
        <v>82110</v>
      </c>
      <c r="M91" s="21">
        <f t="shared" si="2"/>
        <v>0</v>
      </c>
      <c r="N91" s="52">
        <f t="shared" si="3"/>
        <v>0</v>
      </c>
    </row>
    <row r="92" spans="1:14" x14ac:dyDescent="0.3">
      <c r="A92" t="str">
        <f>정규화데이터!A92</f>
        <v>SK스토아</v>
      </c>
      <c r="B92" t="str">
        <f>정규화데이터!B92</f>
        <v>20260205994885</v>
      </c>
      <c r="C92" t="str">
        <f>정규화데이터!C92</f>
        <v>2026-02-07</v>
      </c>
      <c r="D92" t="str">
        <f>정규화데이터!D92</f>
        <v>58481090</v>
      </c>
      <c r="E92" s="16" t="str">
        <f>정규화데이터!E92</f>
        <v>미매핑</v>
      </c>
      <c r="F92" s="3">
        <f>정규화데이터!F92</f>
        <v>1</v>
      </c>
      <c r="G92" s="3">
        <f>정규화데이터!G92</f>
        <v>1</v>
      </c>
      <c r="H92" s="3">
        <f>정규화데이터!H92</f>
        <v>119000</v>
      </c>
      <c r="I92" s="3">
        <f>정규화데이터!I92</f>
        <v>119000</v>
      </c>
      <c r="J92" s="3">
        <f>정규화데이터!J92</f>
        <v>82110</v>
      </c>
      <c r="K92" s="25">
        <f>정규화데이터!K92</f>
        <v>0</v>
      </c>
      <c r="L92" s="25">
        <f>정규화데이터!L92</f>
        <v>82110</v>
      </c>
      <c r="M92" s="21">
        <f t="shared" si="2"/>
        <v>0</v>
      </c>
      <c r="N92" s="52">
        <f t="shared" si="3"/>
        <v>0</v>
      </c>
    </row>
    <row r="93" spans="1:14" x14ac:dyDescent="0.3">
      <c r="A93" t="str">
        <f>정규화데이터!A93</f>
        <v>SK스토아</v>
      </c>
      <c r="B93" t="str">
        <f>정규화데이터!B93</f>
        <v>20260205993437</v>
      </c>
      <c r="C93" t="str">
        <f>정규화데이터!C93</f>
        <v>2026-02-07</v>
      </c>
      <c r="D93" t="str">
        <f>정규화데이터!D93</f>
        <v>58481090</v>
      </c>
      <c r="E93" s="16" t="str">
        <f>정규화데이터!E93</f>
        <v>미매핑</v>
      </c>
      <c r="F93" s="3">
        <f>정규화데이터!F93</f>
        <v>1</v>
      </c>
      <c r="G93" s="3">
        <f>정규화데이터!G93</f>
        <v>1</v>
      </c>
      <c r="H93" s="3">
        <f>정규화데이터!H93</f>
        <v>119000</v>
      </c>
      <c r="I93" s="3">
        <f>정규화데이터!I93</f>
        <v>119000</v>
      </c>
      <c r="J93" s="3">
        <f>정규화데이터!J93</f>
        <v>82110</v>
      </c>
      <c r="K93" s="25">
        <f>정규화데이터!K93</f>
        <v>0</v>
      </c>
      <c r="L93" s="25">
        <f>정규화데이터!L93</f>
        <v>82110</v>
      </c>
      <c r="M93" s="21">
        <f t="shared" si="2"/>
        <v>0</v>
      </c>
      <c r="N93" s="52">
        <f t="shared" si="3"/>
        <v>0</v>
      </c>
    </row>
    <row r="94" spans="1:14" x14ac:dyDescent="0.3">
      <c r="A94" t="str">
        <f>정규화데이터!A94</f>
        <v>SK스토아</v>
      </c>
      <c r="B94" t="str">
        <f>정규화데이터!B94</f>
        <v>20260205993036</v>
      </c>
      <c r="C94" t="str">
        <f>정규화데이터!C94</f>
        <v>2026-02-07</v>
      </c>
      <c r="D94" t="str">
        <f>정규화데이터!D94</f>
        <v>58481090</v>
      </c>
      <c r="E94" s="16" t="str">
        <f>정규화데이터!E94</f>
        <v>미매핑</v>
      </c>
      <c r="F94" s="3">
        <f>정규화데이터!F94</f>
        <v>1</v>
      </c>
      <c r="G94" s="3">
        <f>정규화데이터!G94</f>
        <v>1</v>
      </c>
      <c r="H94" s="3">
        <f>정규화데이터!H94</f>
        <v>119000</v>
      </c>
      <c r="I94" s="3">
        <f>정규화데이터!I94</f>
        <v>99960</v>
      </c>
      <c r="J94" s="3">
        <f>정규화데이터!J94</f>
        <v>82110</v>
      </c>
      <c r="K94" s="25">
        <f>정규화데이터!K94</f>
        <v>0</v>
      </c>
      <c r="L94" s="25">
        <f>정규화데이터!L94</f>
        <v>82110</v>
      </c>
      <c r="M94" s="21">
        <f t="shared" si="2"/>
        <v>0</v>
      </c>
      <c r="N94" s="52">
        <f t="shared" si="3"/>
        <v>0</v>
      </c>
    </row>
    <row r="95" spans="1:14" x14ac:dyDescent="0.3">
      <c r="A95" t="str">
        <f>정규화데이터!A95</f>
        <v>SK스토아</v>
      </c>
      <c r="B95" t="str">
        <f>정규화데이터!B95</f>
        <v>20260205995472</v>
      </c>
      <c r="C95" t="str">
        <f>정규화데이터!C95</f>
        <v>2026-02-07</v>
      </c>
      <c r="D95" t="str">
        <f>정규화데이터!D95</f>
        <v>58481090</v>
      </c>
      <c r="E95" s="16" t="str">
        <f>정규화데이터!E95</f>
        <v>미매핑</v>
      </c>
      <c r="F95" s="3">
        <f>정규화데이터!F95</f>
        <v>1</v>
      </c>
      <c r="G95" s="3">
        <f>정규화데이터!G95</f>
        <v>1</v>
      </c>
      <c r="H95" s="3">
        <f>정규화데이터!H95</f>
        <v>119000</v>
      </c>
      <c r="I95" s="3">
        <f>정규화데이터!I95</f>
        <v>113050</v>
      </c>
      <c r="J95" s="3">
        <f>정규화데이터!J95</f>
        <v>82110</v>
      </c>
      <c r="K95" s="25">
        <f>정규화데이터!K95</f>
        <v>0</v>
      </c>
      <c r="L95" s="25">
        <f>정규화데이터!L95</f>
        <v>82110</v>
      </c>
      <c r="M95" s="21">
        <f t="shared" si="2"/>
        <v>0</v>
      </c>
      <c r="N95" s="52">
        <f t="shared" si="3"/>
        <v>0</v>
      </c>
    </row>
    <row r="96" spans="1:14" x14ac:dyDescent="0.3">
      <c r="A96" t="str">
        <f>정규화데이터!A96</f>
        <v>SK스토아</v>
      </c>
      <c r="B96" t="str">
        <f>정규화데이터!B96</f>
        <v>20260205992483</v>
      </c>
      <c r="C96" t="str">
        <f>정규화데이터!C96</f>
        <v>2026-02-07</v>
      </c>
      <c r="D96" t="str">
        <f>정규화데이터!D96</f>
        <v>58481090</v>
      </c>
      <c r="E96" s="16" t="str">
        <f>정규화데이터!E96</f>
        <v>미매핑</v>
      </c>
      <c r="F96" s="3">
        <f>정규화데이터!F96</f>
        <v>1</v>
      </c>
      <c r="G96" s="3">
        <f>정규화데이터!G96</f>
        <v>1</v>
      </c>
      <c r="H96" s="3">
        <f>정규화데이터!H96</f>
        <v>119000</v>
      </c>
      <c r="I96" s="3">
        <f>정규화데이터!I96</f>
        <v>109000</v>
      </c>
      <c r="J96" s="3">
        <f>정규화데이터!J96</f>
        <v>82110</v>
      </c>
      <c r="K96" s="25">
        <f>정규화데이터!K96</f>
        <v>0</v>
      </c>
      <c r="L96" s="25">
        <f>정규화데이터!L96</f>
        <v>82110</v>
      </c>
      <c r="M96" s="21">
        <f t="shared" si="2"/>
        <v>0</v>
      </c>
      <c r="N96" s="52">
        <f t="shared" si="3"/>
        <v>0</v>
      </c>
    </row>
    <row r="97" spans="1:14" x14ac:dyDescent="0.3">
      <c r="A97" t="str">
        <f>정규화데이터!A97</f>
        <v>SK스토아</v>
      </c>
      <c r="B97" t="str">
        <f>정규화데이터!B97</f>
        <v>20260205995325</v>
      </c>
      <c r="C97" t="str">
        <f>정규화데이터!C97</f>
        <v>2026-02-07</v>
      </c>
      <c r="D97" t="str">
        <f>정규화데이터!D97</f>
        <v>58481090</v>
      </c>
      <c r="E97" s="16" t="str">
        <f>정규화데이터!E97</f>
        <v>미매핑</v>
      </c>
      <c r="F97" s="3">
        <f>정규화데이터!F97</f>
        <v>1</v>
      </c>
      <c r="G97" s="3">
        <f>정규화데이터!G97</f>
        <v>1</v>
      </c>
      <c r="H97" s="3">
        <f>정규화데이터!H97</f>
        <v>119000</v>
      </c>
      <c r="I97" s="3">
        <f>정규화데이터!I97</f>
        <v>119000</v>
      </c>
      <c r="J97" s="3">
        <f>정규화데이터!J97</f>
        <v>82110</v>
      </c>
      <c r="K97" s="25">
        <f>정규화데이터!K97</f>
        <v>0</v>
      </c>
      <c r="L97" s="25">
        <f>정규화데이터!L97</f>
        <v>82110</v>
      </c>
      <c r="M97" s="21">
        <f t="shared" si="2"/>
        <v>0</v>
      </c>
      <c r="N97" s="52">
        <f t="shared" si="3"/>
        <v>0</v>
      </c>
    </row>
    <row r="98" spans="1:14" x14ac:dyDescent="0.3">
      <c r="A98" t="str">
        <f>정규화데이터!A98</f>
        <v>SK스토아</v>
      </c>
      <c r="B98" t="str">
        <f>정규화데이터!B98</f>
        <v>20260205992634</v>
      </c>
      <c r="C98" t="str">
        <f>정규화데이터!C98</f>
        <v>2026-02-07</v>
      </c>
      <c r="D98" t="str">
        <f>정규화데이터!D98</f>
        <v>58481090</v>
      </c>
      <c r="E98" s="16" t="str">
        <f>정규화데이터!E98</f>
        <v>미매핑</v>
      </c>
      <c r="F98" s="3">
        <f>정규화데이터!F98</f>
        <v>1</v>
      </c>
      <c r="G98" s="3">
        <f>정규화데이터!G98</f>
        <v>1</v>
      </c>
      <c r="H98" s="3">
        <f>정규화데이터!H98</f>
        <v>119000</v>
      </c>
      <c r="I98" s="3">
        <f>정규화데이터!I98</f>
        <v>119000</v>
      </c>
      <c r="J98" s="3">
        <f>정규화데이터!J98</f>
        <v>82110</v>
      </c>
      <c r="K98" s="25">
        <f>정규화데이터!K98</f>
        <v>0</v>
      </c>
      <c r="L98" s="25">
        <f>정규화데이터!L98</f>
        <v>82110</v>
      </c>
      <c r="M98" s="21">
        <f t="shared" si="2"/>
        <v>0</v>
      </c>
      <c r="N98" s="52">
        <f t="shared" si="3"/>
        <v>0</v>
      </c>
    </row>
    <row r="99" spans="1:14" x14ac:dyDescent="0.3">
      <c r="A99" t="str">
        <f>정규화데이터!A99</f>
        <v>SK스토아</v>
      </c>
      <c r="B99" t="str">
        <f>정규화데이터!B99</f>
        <v>20260205994152</v>
      </c>
      <c r="C99" t="str">
        <f>정규화데이터!C99</f>
        <v>2026-02-07</v>
      </c>
      <c r="D99" t="str">
        <f>정규화데이터!D99</f>
        <v>58481090</v>
      </c>
      <c r="E99" s="16" t="str">
        <f>정규화데이터!E99</f>
        <v>미매핑</v>
      </c>
      <c r="F99" s="3">
        <f>정규화데이터!F99</f>
        <v>1</v>
      </c>
      <c r="G99" s="3">
        <f>정규화데이터!G99</f>
        <v>1</v>
      </c>
      <c r="H99" s="3">
        <f>정규화데이터!H99</f>
        <v>119000</v>
      </c>
      <c r="I99" s="3">
        <f>정규화데이터!I99</f>
        <v>119000</v>
      </c>
      <c r="J99" s="3">
        <f>정규화데이터!J99</f>
        <v>82110</v>
      </c>
      <c r="K99" s="25">
        <f>정규화데이터!K99</f>
        <v>0</v>
      </c>
      <c r="L99" s="25">
        <f>정규화데이터!L99</f>
        <v>82110</v>
      </c>
      <c r="M99" s="21">
        <f t="shared" si="2"/>
        <v>0</v>
      </c>
      <c r="N99" s="52">
        <f t="shared" si="3"/>
        <v>0</v>
      </c>
    </row>
    <row r="100" spans="1:14" x14ac:dyDescent="0.3">
      <c r="A100" t="str">
        <f>정규화데이터!A100</f>
        <v>SK스토아</v>
      </c>
      <c r="B100" t="str">
        <f>정규화데이터!B100</f>
        <v>20260205995109</v>
      </c>
      <c r="C100" t="str">
        <f>정규화데이터!C100</f>
        <v>2026-02-07</v>
      </c>
      <c r="D100" t="str">
        <f>정규화데이터!D100</f>
        <v>58481090</v>
      </c>
      <c r="E100" s="16" t="str">
        <f>정규화데이터!E100</f>
        <v>미매핑</v>
      </c>
      <c r="F100" s="3">
        <f>정규화데이터!F100</f>
        <v>1</v>
      </c>
      <c r="G100" s="3">
        <f>정규화데이터!G100</f>
        <v>1</v>
      </c>
      <c r="H100" s="3">
        <f>정규화데이터!H100</f>
        <v>119000</v>
      </c>
      <c r="I100" s="3">
        <f>정규화데이터!I100</f>
        <v>119000</v>
      </c>
      <c r="J100" s="3">
        <f>정규화데이터!J100</f>
        <v>82110</v>
      </c>
      <c r="K100" s="25">
        <f>정규화데이터!K100</f>
        <v>0</v>
      </c>
      <c r="L100" s="25">
        <f>정규화데이터!L100</f>
        <v>82110</v>
      </c>
      <c r="M100" s="21">
        <f t="shared" si="2"/>
        <v>0</v>
      </c>
      <c r="N100" s="52">
        <f t="shared" si="3"/>
        <v>0</v>
      </c>
    </row>
    <row r="101" spans="1:14" x14ac:dyDescent="0.3">
      <c r="A101" t="str">
        <f>정규화데이터!A101</f>
        <v>SK스토아</v>
      </c>
      <c r="B101" t="str">
        <f>정규화데이터!B101</f>
        <v>20260205994273</v>
      </c>
      <c r="C101" t="str">
        <f>정규화데이터!C101</f>
        <v>2026-02-07</v>
      </c>
      <c r="D101" t="str">
        <f>정규화데이터!D101</f>
        <v>58481090</v>
      </c>
      <c r="E101" s="16" t="str">
        <f>정규화데이터!E101</f>
        <v>미매핑</v>
      </c>
      <c r="F101" s="3">
        <f>정규화데이터!F101</f>
        <v>1</v>
      </c>
      <c r="G101" s="3">
        <f>정규화데이터!G101</f>
        <v>1</v>
      </c>
      <c r="H101" s="3">
        <f>정규화데이터!H101</f>
        <v>119000</v>
      </c>
      <c r="I101" s="3">
        <f>정규화데이터!I101</f>
        <v>119000</v>
      </c>
      <c r="J101" s="3">
        <f>정규화데이터!J101</f>
        <v>82110</v>
      </c>
      <c r="K101" s="25">
        <f>정규화데이터!K101</f>
        <v>0</v>
      </c>
      <c r="L101" s="25">
        <f>정규화데이터!L101</f>
        <v>82110</v>
      </c>
      <c r="M101" s="21">
        <f t="shared" si="2"/>
        <v>0</v>
      </c>
      <c r="N101" s="52">
        <f t="shared" si="3"/>
        <v>0</v>
      </c>
    </row>
    <row r="102" spans="1:14" x14ac:dyDescent="0.3">
      <c r="A102" t="str">
        <f>정규화데이터!A102</f>
        <v>SK스토아</v>
      </c>
      <c r="B102" t="str">
        <f>정규화데이터!B102</f>
        <v>20260205995097</v>
      </c>
      <c r="C102" t="str">
        <f>정규화데이터!C102</f>
        <v>2026-02-07</v>
      </c>
      <c r="D102" t="str">
        <f>정규화데이터!D102</f>
        <v>58481090</v>
      </c>
      <c r="E102" s="16" t="str">
        <f>정규화데이터!E102</f>
        <v>미매핑</v>
      </c>
      <c r="F102" s="3">
        <f>정규화데이터!F102</f>
        <v>1</v>
      </c>
      <c r="G102" s="3">
        <f>정규화데이터!G102</f>
        <v>1</v>
      </c>
      <c r="H102" s="3">
        <f>정규화데이터!H102</f>
        <v>119000</v>
      </c>
      <c r="I102" s="3">
        <f>정규화데이터!I102</f>
        <v>119000</v>
      </c>
      <c r="J102" s="3">
        <f>정규화데이터!J102</f>
        <v>82110</v>
      </c>
      <c r="K102" s="25">
        <f>정규화데이터!K102</f>
        <v>0</v>
      </c>
      <c r="L102" s="25">
        <f>정규화데이터!L102</f>
        <v>82110</v>
      </c>
      <c r="M102" s="21">
        <f t="shared" si="2"/>
        <v>0</v>
      </c>
      <c r="N102" s="52">
        <f t="shared" si="3"/>
        <v>0</v>
      </c>
    </row>
    <row r="103" spans="1:14" x14ac:dyDescent="0.3">
      <c r="A103" t="str">
        <f>정규화데이터!A103</f>
        <v>SK스토아</v>
      </c>
      <c r="B103" t="str">
        <f>정규화데이터!B103</f>
        <v>20260205995180</v>
      </c>
      <c r="C103" t="str">
        <f>정규화데이터!C103</f>
        <v>2026-02-07</v>
      </c>
      <c r="D103" t="str">
        <f>정규화데이터!D103</f>
        <v>58481090</v>
      </c>
      <c r="E103" s="16" t="str">
        <f>정규화데이터!E103</f>
        <v>미매핑</v>
      </c>
      <c r="F103" s="3">
        <f>정규화데이터!F103</f>
        <v>1</v>
      </c>
      <c r="G103" s="3">
        <f>정규화데이터!G103</f>
        <v>1</v>
      </c>
      <c r="H103" s="3">
        <f>정규화데이터!H103</f>
        <v>119000</v>
      </c>
      <c r="I103" s="3">
        <f>정규화데이터!I103</f>
        <v>96390</v>
      </c>
      <c r="J103" s="3">
        <f>정규화데이터!J103</f>
        <v>82110</v>
      </c>
      <c r="K103" s="25">
        <f>정규화데이터!K103</f>
        <v>0</v>
      </c>
      <c r="L103" s="25">
        <f>정규화데이터!L103</f>
        <v>82110</v>
      </c>
      <c r="M103" s="21">
        <f t="shared" si="2"/>
        <v>0</v>
      </c>
      <c r="N103" s="52">
        <f t="shared" si="3"/>
        <v>0</v>
      </c>
    </row>
    <row r="104" spans="1:14" x14ac:dyDescent="0.3">
      <c r="A104" t="str">
        <f>정규화데이터!A104</f>
        <v>SK스토아</v>
      </c>
      <c r="B104" t="str">
        <f>정규화데이터!B104</f>
        <v>20260205992870</v>
      </c>
      <c r="C104" t="str">
        <f>정규화데이터!C104</f>
        <v>2026-02-07</v>
      </c>
      <c r="D104" t="str">
        <f>정규화데이터!D104</f>
        <v>58481090</v>
      </c>
      <c r="E104" s="16" t="str">
        <f>정규화데이터!E104</f>
        <v>미매핑</v>
      </c>
      <c r="F104" s="3">
        <f>정규화데이터!F104</f>
        <v>1</v>
      </c>
      <c r="G104" s="3">
        <f>정규화데이터!G104</f>
        <v>1</v>
      </c>
      <c r="H104" s="3">
        <f>정규화데이터!H104</f>
        <v>119000</v>
      </c>
      <c r="I104" s="3">
        <f>정규화데이터!I104</f>
        <v>119000</v>
      </c>
      <c r="J104" s="3">
        <f>정규화데이터!J104</f>
        <v>82110</v>
      </c>
      <c r="K104" s="25">
        <f>정규화데이터!K104</f>
        <v>0</v>
      </c>
      <c r="L104" s="25">
        <f>정규화데이터!L104</f>
        <v>82110</v>
      </c>
      <c r="M104" s="21">
        <f t="shared" si="2"/>
        <v>0</v>
      </c>
      <c r="N104" s="52">
        <f t="shared" si="3"/>
        <v>0</v>
      </c>
    </row>
    <row r="105" spans="1:14" x14ac:dyDescent="0.3">
      <c r="A105" t="str">
        <f>정규화데이터!A105</f>
        <v>SK스토아</v>
      </c>
      <c r="B105" t="str">
        <f>정규화데이터!B105</f>
        <v>20260205992940</v>
      </c>
      <c r="C105" t="str">
        <f>정규화데이터!C105</f>
        <v>2026-02-07</v>
      </c>
      <c r="D105" t="str">
        <f>정규화데이터!D105</f>
        <v>58481090</v>
      </c>
      <c r="E105" s="16" t="str">
        <f>정규화데이터!E105</f>
        <v>미매핑</v>
      </c>
      <c r="F105" s="3">
        <f>정규화데이터!F105</f>
        <v>1</v>
      </c>
      <c r="G105" s="3">
        <f>정규화데이터!G105</f>
        <v>1</v>
      </c>
      <c r="H105" s="3">
        <f>정규화데이터!H105</f>
        <v>119000</v>
      </c>
      <c r="I105" s="3">
        <f>정규화데이터!I105</f>
        <v>119000</v>
      </c>
      <c r="J105" s="3">
        <f>정규화데이터!J105</f>
        <v>82110</v>
      </c>
      <c r="K105" s="25">
        <f>정규화데이터!K105</f>
        <v>0</v>
      </c>
      <c r="L105" s="25">
        <f>정규화데이터!L105</f>
        <v>82110</v>
      </c>
      <c r="M105" s="21">
        <f t="shared" si="2"/>
        <v>0</v>
      </c>
      <c r="N105" s="52">
        <f t="shared" si="3"/>
        <v>0</v>
      </c>
    </row>
    <row r="106" spans="1:14" x14ac:dyDescent="0.3">
      <c r="A106" t="str">
        <f>정규화데이터!A106</f>
        <v>SK스토아</v>
      </c>
      <c r="B106" t="str">
        <f>정규화데이터!B106</f>
        <v>20260205993059</v>
      </c>
      <c r="C106" t="str">
        <f>정규화데이터!C106</f>
        <v>2026-02-07</v>
      </c>
      <c r="D106" t="str">
        <f>정규화데이터!D106</f>
        <v>58481090</v>
      </c>
      <c r="E106" s="16" t="str">
        <f>정규화데이터!E106</f>
        <v>미매핑</v>
      </c>
      <c r="F106" s="3">
        <f>정규화데이터!F106</f>
        <v>1</v>
      </c>
      <c r="G106" s="3">
        <f>정규화데이터!G106</f>
        <v>1</v>
      </c>
      <c r="H106" s="3">
        <f>정규화데이터!H106</f>
        <v>119000</v>
      </c>
      <c r="I106" s="3">
        <f>정규화데이터!I106</f>
        <v>119000</v>
      </c>
      <c r="J106" s="3">
        <f>정규화데이터!J106</f>
        <v>82110</v>
      </c>
      <c r="K106" s="25">
        <f>정규화데이터!K106</f>
        <v>0</v>
      </c>
      <c r="L106" s="25">
        <f>정규화데이터!L106</f>
        <v>82110</v>
      </c>
      <c r="M106" s="21">
        <f t="shared" si="2"/>
        <v>0</v>
      </c>
      <c r="N106" s="52">
        <f t="shared" si="3"/>
        <v>0</v>
      </c>
    </row>
    <row r="107" spans="1:14" x14ac:dyDescent="0.3">
      <c r="A107" t="str">
        <f>정규화데이터!A107</f>
        <v>SK스토아</v>
      </c>
      <c r="B107" t="str">
        <f>정규화데이터!B107</f>
        <v>20260205993112</v>
      </c>
      <c r="C107" t="str">
        <f>정규화데이터!C107</f>
        <v>2026-02-07</v>
      </c>
      <c r="D107" t="str">
        <f>정규화데이터!D107</f>
        <v>58481090</v>
      </c>
      <c r="E107" s="16" t="str">
        <f>정규화데이터!E107</f>
        <v>미매핑</v>
      </c>
      <c r="F107" s="3">
        <f>정규화데이터!F107</f>
        <v>1</v>
      </c>
      <c r="G107" s="3">
        <f>정규화데이터!G107</f>
        <v>1</v>
      </c>
      <c r="H107" s="3">
        <f>정규화데이터!H107</f>
        <v>119000</v>
      </c>
      <c r="I107" s="3">
        <f>정규화데이터!I107</f>
        <v>119000</v>
      </c>
      <c r="J107" s="3">
        <f>정규화데이터!J107</f>
        <v>82110</v>
      </c>
      <c r="K107" s="25">
        <f>정규화데이터!K107</f>
        <v>0</v>
      </c>
      <c r="L107" s="25">
        <f>정규화데이터!L107</f>
        <v>82110</v>
      </c>
      <c r="M107" s="21">
        <f t="shared" si="2"/>
        <v>0</v>
      </c>
      <c r="N107" s="52">
        <f t="shared" si="3"/>
        <v>0</v>
      </c>
    </row>
    <row r="108" spans="1:14" x14ac:dyDescent="0.3">
      <c r="A108" t="str">
        <f>정규화데이터!A108</f>
        <v>SK스토아</v>
      </c>
      <c r="B108" t="str">
        <f>정규화데이터!B108</f>
        <v>20260205993255</v>
      </c>
      <c r="C108" t="str">
        <f>정규화데이터!C108</f>
        <v>2026-02-07</v>
      </c>
      <c r="D108" t="str">
        <f>정규화데이터!D108</f>
        <v>58481090</v>
      </c>
      <c r="E108" s="16" t="str">
        <f>정규화데이터!E108</f>
        <v>미매핑</v>
      </c>
      <c r="F108" s="3">
        <f>정규화데이터!F108</f>
        <v>1</v>
      </c>
      <c r="G108" s="3">
        <f>정규화데이터!G108</f>
        <v>1</v>
      </c>
      <c r="H108" s="3">
        <f>정규화데이터!H108</f>
        <v>119000</v>
      </c>
      <c r="I108" s="3">
        <f>정규화데이터!I108</f>
        <v>101150</v>
      </c>
      <c r="J108" s="3">
        <f>정규화데이터!J108</f>
        <v>82110</v>
      </c>
      <c r="K108" s="25">
        <f>정규화데이터!K108</f>
        <v>0</v>
      </c>
      <c r="L108" s="25">
        <f>정규화데이터!L108</f>
        <v>82110</v>
      </c>
      <c r="M108" s="21">
        <f t="shared" si="2"/>
        <v>0</v>
      </c>
      <c r="N108" s="52">
        <f t="shared" si="3"/>
        <v>0</v>
      </c>
    </row>
    <row r="109" spans="1:14" x14ac:dyDescent="0.3">
      <c r="A109" t="str">
        <f>정규화데이터!A109</f>
        <v>SK스토아</v>
      </c>
      <c r="B109" t="str">
        <f>정규화데이터!B109</f>
        <v>20260205996361</v>
      </c>
      <c r="C109" t="str">
        <f>정규화데이터!C109</f>
        <v>2026-02-07</v>
      </c>
      <c r="D109" t="str">
        <f>정규화데이터!D109</f>
        <v>58481090</v>
      </c>
      <c r="E109" s="16" t="str">
        <f>정규화데이터!E109</f>
        <v>미매핑</v>
      </c>
      <c r="F109" s="3">
        <f>정규화데이터!F109</f>
        <v>1</v>
      </c>
      <c r="G109" s="3">
        <f>정규화데이터!G109</f>
        <v>1</v>
      </c>
      <c r="H109" s="3">
        <f>정규화데이터!H109</f>
        <v>119000</v>
      </c>
      <c r="I109" s="3">
        <f>정규화데이터!I109</f>
        <v>113050</v>
      </c>
      <c r="J109" s="3">
        <f>정규화데이터!J109</f>
        <v>82110</v>
      </c>
      <c r="K109" s="25">
        <f>정규화데이터!K109</f>
        <v>0</v>
      </c>
      <c r="L109" s="25">
        <f>정규화데이터!L109</f>
        <v>82110</v>
      </c>
      <c r="M109" s="21">
        <f t="shared" si="2"/>
        <v>0</v>
      </c>
      <c r="N109" s="52">
        <f t="shared" si="3"/>
        <v>0</v>
      </c>
    </row>
    <row r="110" spans="1:14" x14ac:dyDescent="0.3">
      <c r="A110" t="str">
        <f>정규화데이터!A110</f>
        <v>SK스토아</v>
      </c>
      <c r="B110" t="str">
        <f>정규화데이터!B110</f>
        <v>20260205993934</v>
      </c>
      <c r="C110" t="str">
        <f>정규화데이터!C110</f>
        <v>2026-02-07</v>
      </c>
      <c r="D110" t="str">
        <f>정규화데이터!D110</f>
        <v>58481090</v>
      </c>
      <c r="E110" s="16" t="str">
        <f>정규화데이터!E110</f>
        <v>미매핑</v>
      </c>
      <c r="F110" s="3">
        <f>정규화데이터!F110</f>
        <v>1</v>
      </c>
      <c r="G110" s="3">
        <f>정규화데이터!G110</f>
        <v>1</v>
      </c>
      <c r="H110" s="3">
        <f>정규화데이터!H110</f>
        <v>119000</v>
      </c>
      <c r="I110" s="3">
        <f>정규화데이터!I110</f>
        <v>119000</v>
      </c>
      <c r="J110" s="3">
        <f>정규화데이터!J110</f>
        <v>82110</v>
      </c>
      <c r="K110" s="25">
        <f>정규화데이터!K110</f>
        <v>0</v>
      </c>
      <c r="L110" s="25">
        <f>정규화데이터!L110</f>
        <v>82110</v>
      </c>
      <c r="M110" s="21">
        <f t="shared" si="2"/>
        <v>0</v>
      </c>
      <c r="N110" s="52">
        <f t="shared" si="3"/>
        <v>0</v>
      </c>
    </row>
    <row r="111" spans="1:14" x14ac:dyDescent="0.3">
      <c r="A111" t="str">
        <f>정규화데이터!A111</f>
        <v>SK스토아</v>
      </c>
      <c r="B111" t="str">
        <f>정규화데이터!B111</f>
        <v>20260205994400</v>
      </c>
      <c r="C111" t="str">
        <f>정규화데이터!C111</f>
        <v>2026-02-07</v>
      </c>
      <c r="D111" t="str">
        <f>정규화데이터!D111</f>
        <v>58481090</v>
      </c>
      <c r="E111" s="16" t="str">
        <f>정규화데이터!E111</f>
        <v>미매핑</v>
      </c>
      <c r="F111" s="3">
        <f>정규화데이터!F111</f>
        <v>1</v>
      </c>
      <c r="G111" s="3">
        <f>정규화데이터!G111</f>
        <v>1</v>
      </c>
      <c r="H111" s="3">
        <f>정규화데이터!H111</f>
        <v>119000</v>
      </c>
      <c r="I111" s="3">
        <f>정규화데이터!I111</f>
        <v>119000</v>
      </c>
      <c r="J111" s="3">
        <f>정규화데이터!J111</f>
        <v>82110</v>
      </c>
      <c r="K111" s="25">
        <f>정규화데이터!K111</f>
        <v>0</v>
      </c>
      <c r="L111" s="25">
        <f>정규화데이터!L111</f>
        <v>82110</v>
      </c>
      <c r="M111" s="21">
        <f t="shared" si="2"/>
        <v>0</v>
      </c>
      <c r="N111" s="52">
        <f t="shared" si="3"/>
        <v>0</v>
      </c>
    </row>
    <row r="112" spans="1:14" x14ac:dyDescent="0.3">
      <c r="A112" t="str">
        <f>정규화데이터!A112</f>
        <v>SK스토아</v>
      </c>
      <c r="B112" t="str">
        <f>정규화데이터!B112</f>
        <v>20260205994653</v>
      </c>
      <c r="C112" t="str">
        <f>정규화데이터!C112</f>
        <v>2026-02-07</v>
      </c>
      <c r="D112" t="str">
        <f>정규화데이터!D112</f>
        <v>58481090</v>
      </c>
      <c r="E112" s="16" t="str">
        <f>정규화데이터!E112</f>
        <v>미매핑</v>
      </c>
      <c r="F112" s="3">
        <f>정규화데이터!F112</f>
        <v>1</v>
      </c>
      <c r="G112" s="3">
        <f>정규화데이터!G112</f>
        <v>1</v>
      </c>
      <c r="H112" s="3">
        <f>정규화데이터!H112</f>
        <v>119000</v>
      </c>
      <c r="I112" s="3">
        <f>정규화데이터!I112</f>
        <v>119000</v>
      </c>
      <c r="J112" s="3">
        <f>정규화데이터!J112</f>
        <v>82110</v>
      </c>
      <c r="K112" s="25">
        <f>정규화데이터!K112</f>
        <v>0</v>
      </c>
      <c r="L112" s="25">
        <f>정규화데이터!L112</f>
        <v>82110</v>
      </c>
      <c r="M112" s="21">
        <f t="shared" si="2"/>
        <v>0</v>
      </c>
      <c r="N112" s="52">
        <f t="shared" si="3"/>
        <v>0</v>
      </c>
    </row>
    <row r="113" spans="1:14" x14ac:dyDescent="0.3">
      <c r="A113" t="str">
        <f>정규화데이터!A113</f>
        <v>SK스토아</v>
      </c>
      <c r="B113" t="str">
        <f>정규화데이터!B113</f>
        <v>20260205993867</v>
      </c>
      <c r="C113" t="str">
        <f>정규화데이터!C113</f>
        <v>2026-02-07</v>
      </c>
      <c r="D113" t="str">
        <f>정규화데이터!D113</f>
        <v>58481090</v>
      </c>
      <c r="E113" s="16" t="str">
        <f>정규화데이터!E113</f>
        <v>미매핑</v>
      </c>
      <c r="F113" s="3">
        <f>정규화데이터!F113</f>
        <v>1</v>
      </c>
      <c r="G113" s="3">
        <f>정규화데이터!G113</f>
        <v>1</v>
      </c>
      <c r="H113" s="3">
        <f>정규화데이터!H113</f>
        <v>119000</v>
      </c>
      <c r="I113" s="3">
        <f>정규화데이터!I113</f>
        <v>119000</v>
      </c>
      <c r="J113" s="3">
        <f>정규화데이터!J113</f>
        <v>82110</v>
      </c>
      <c r="K113" s="25">
        <f>정규화데이터!K113</f>
        <v>0</v>
      </c>
      <c r="L113" s="25">
        <f>정규화데이터!L113</f>
        <v>82110</v>
      </c>
      <c r="M113" s="21">
        <f t="shared" si="2"/>
        <v>0</v>
      </c>
      <c r="N113" s="52">
        <f t="shared" si="3"/>
        <v>0</v>
      </c>
    </row>
    <row r="114" spans="1:14" x14ac:dyDescent="0.3">
      <c r="A114" t="str">
        <f>정규화데이터!A114</f>
        <v>SK스토아</v>
      </c>
      <c r="B114" t="str">
        <f>정규화데이터!B114</f>
        <v>20260205993852</v>
      </c>
      <c r="C114" t="str">
        <f>정규화데이터!C114</f>
        <v>2026-02-07</v>
      </c>
      <c r="D114" t="str">
        <f>정규화데이터!D114</f>
        <v>58481090</v>
      </c>
      <c r="E114" s="16" t="str">
        <f>정규화데이터!E114</f>
        <v>미매핑</v>
      </c>
      <c r="F114" s="3">
        <f>정규화데이터!F114</f>
        <v>1</v>
      </c>
      <c r="G114" s="3">
        <f>정규화데이터!G114</f>
        <v>1</v>
      </c>
      <c r="H114" s="3">
        <f>정규화데이터!H114</f>
        <v>119000</v>
      </c>
      <c r="I114" s="3">
        <f>정규화데이터!I114</f>
        <v>119000</v>
      </c>
      <c r="J114" s="3">
        <f>정규화데이터!J114</f>
        <v>82110</v>
      </c>
      <c r="K114" s="25">
        <f>정규화데이터!K114</f>
        <v>0</v>
      </c>
      <c r="L114" s="25">
        <f>정규화데이터!L114</f>
        <v>82110</v>
      </c>
      <c r="M114" s="21">
        <f t="shared" si="2"/>
        <v>0</v>
      </c>
      <c r="N114" s="52">
        <f t="shared" si="3"/>
        <v>0</v>
      </c>
    </row>
    <row r="115" spans="1:14" x14ac:dyDescent="0.3">
      <c r="A115" t="str">
        <f>정규화데이터!A115</f>
        <v>SK스토아</v>
      </c>
      <c r="B115" t="str">
        <f>정규화데이터!B115</f>
        <v>20260205992712</v>
      </c>
      <c r="C115" t="str">
        <f>정규화데이터!C115</f>
        <v>2026-02-07</v>
      </c>
      <c r="D115" t="str">
        <f>정규화데이터!D115</f>
        <v>58481090</v>
      </c>
      <c r="E115" s="16" t="str">
        <f>정규화데이터!E115</f>
        <v>미매핑</v>
      </c>
      <c r="F115" s="3">
        <f>정규화데이터!F115</f>
        <v>1</v>
      </c>
      <c r="G115" s="3">
        <f>정규화데이터!G115</f>
        <v>1</v>
      </c>
      <c r="H115" s="3">
        <f>정규화데이터!H115</f>
        <v>119000</v>
      </c>
      <c r="I115" s="3">
        <f>정규화데이터!I115</f>
        <v>99960</v>
      </c>
      <c r="J115" s="3">
        <f>정규화데이터!J115</f>
        <v>82110</v>
      </c>
      <c r="K115" s="25">
        <f>정규화데이터!K115</f>
        <v>0</v>
      </c>
      <c r="L115" s="25">
        <f>정규화데이터!L115</f>
        <v>82110</v>
      </c>
      <c r="M115" s="21">
        <f t="shared" si="2"/>
        <v>0</v>
      </c>
      <c r="N115" s="52">
        <f t="shared" si="3"/>
        <v>0</v>
      </c>
    </row>
    <row r="116" spans="1:14" x14ac:dyDescent="0.3">
      <c r="A116" t="str">
        <f>정규화데이터!A116</f>
        <v>SK스토아</v>
      </c>
      <c r="B116" t="str">
        <f>정규화데이터!B116</f>
        <v>20260205993266</v>
      </c>
      <c r="C116" t="str">
        <f>정규화데이터!C116</f>
        <v>2026-02-07</v>
      </c>
      <c r="D116" t="str">
        <f>정규화데이터!D116</f>
        <v>58481090</v>
      </c>
      <c r="E116" s="16" t="str">
        <f>정규화데이터!E116</f>
        <v>미매핑</v>
      </c>
      <c r="F116" s="3">
        <f>정규화데이터!F116</f>
        <v>1</v>
      </c>
      <c r="G116" s="3">
        <f>정규화데이터!G116</f>
        <v>1</v>
      </c>
      <c r="H116" s="3">
        <f>정규화데이터!H116</f>
        <v>119000</v>
      </c>
      <c r="I116" s="3">
        <f>정규화데이터!I116</f>
        <v>119000</v>
      </c>
      <c r="J116" s="3">
        <f>정규화데이터!J116</f>
        <v>82110</v>
      </c>
      <c r="K116" s="25">
        <f>정규화데이터!K116</f>
        <v>0</v>
      </c>
      <c r="L116" s="25">
        <f>정규화데이터!L116</f>
        <v>82110</v>
      </c>
      <c r="M116" s="21">
        <f t="shared" si="2"/>
        <v>0</v>
      </c>
      <c r="N116" s="52">
        <f t="shared" si="3"/>
        <v>0</v>
      </c>
    </row>
    <row r="117" spans="1:14" x14ac:dyDescent="0.3">
      <c r="A117" t="str">
        <f>정규화데이터!A117</f>
        <v>SK스토아</v>
      </c>
      <c r="B117" t="str">
        <f>정규화데이터!B117</f>
        <v>20260205994296</v>
      </c>
      <c r="C117" t="str">
        <f>정규화데이터!C117</f>
        <v>2026-02-07</v>
      </c>
      <c r="D117" t="str">
        <f>정규화데이터!D117</f>
        <v>58481090</v>
      </c>
      <c r="E117" s="16" t="str">
        <f>정규화데이터!E117</f>
        <v>미매핑</v>
      </c>
      <c r="F117" s="3">
        <f>정규화데이터!F117</f>
        <v>1</v>
      </c>
      <c r="G117" s="3">
        <f>정규화데이터!G117</f>
        <v>1</v>
      </c>
      <c r="H117" s="3">
        <f>정규화데이터!H117</f>
        <v>119000</v>
      </c>
      <c r="I117" s="3">
        <f>정규화데이터!I117</f>
        <v>119000</v>
      </c>
      <c r="J117" s="3">
        <f>정규화데이터!J117</f>
        <v>82110</v>
      </c>
      <c r="K117" s="25">
        <f>정규화데이터!K117</f>
        <v>0</v>
      </c>
      <c r="L117" s="25">
        <f>정규화데이터!L117</f>
        <v>82110</v>
      </c>
      <c r="M117" s="21">
        <f t="shared" si="2"/>
        <v>0</v>
      </c>
      <c r="N117" s="52">
        <f t="shared" si="3"/>
        <v>0</v>
      </c>
    </row>
    <row r="118" spans="1:14" x14ac:dyDescent="0.3">
      <c r="A118" t="str">
        <f>정규화데이터!A118</f>
        <v>SK스토아</v>
      </c>
      <c r="B118" t="str">
        <f>정규화데이터!B118</f>
        <v>20260205994429</v>
      </c>
      <c r="C118" t="str">
        <f>정규화데이터!C118</f>
        <v>2026-02-07</v>
      </c>
      <c r="D118" t="str">
        <f>정규화데이터!D118</f>
        <v>58481090</v>
      </c>
      <c r="E118" s="16" t="str">
        <f>정규화데이터!E118</f>
        <v>미매핑</v>
      </c>
      <c r="F118" s="3">
        <f>정규화데이터!F118</f>
        <v>1</v>
      </c>
      <c r="G118" s="3">
        <f>정규화데이터!G118</f>
        <v>1</v>
      </c>
      <c r="H118" s="3">
        <f>정규화데이터!H118</f>
        <v>119000</v>
      </c>
      <c r="I118" s="3">
        <f>정규화데이터!I118</f>
        <v>119000</v>
      </c>
      <c r="J118" s="3">
        <f>정규화데이터!J118</f>
        <v>82110</v>
      </c>
      <c r="K118" s="25">
        <f>정규화데이터!K118</f>
        <v>0</v>
      </c>
      <c r="L118" s="25">
        <f>정규화데이터!L118</f>
        <v>82110</v>
      </c>
      <c r="M118" s="21">
        <f t="shared" si="2"/>
        <v>0</v>
      </c>
      <c r="N118" s="52">
        <f t="shared" si="3"/>
        <v>0</v>
      </c>
    </row>
    <row r="119" spans="1:14" x14ac:dyDescent="0.3">
      <c r="A119" t="str">
        <f>정규화데이터!A119</f>
        <v>SK스토아</v>
      </c>
      <c r="B119" t="str">
        <f>정규화데이터!B119</f>
        <v>20260205993269</v>
      </c>
      <c r="C119" t="str">
        <f>정규화데이터!C119</f>
        <v>2026-02-07</v>
      </c>
      <c r="D119" t="str">
        <f>정규화데이터!D119</f>
        <v>58481090</v>
      </c>
      <c r="E119" s="16" t="str">
        <f>정규화데이터!E119</f>
        <v>미매핑</v>
      </c>
      <c r="F119" s="3">
        <f>정규화데이터!F119</f>
        <v>1</v>
      </c>
      <c r="G119" s="3">
        <f>정규화데이터!G119</f>
        <v>1</v>
      </c>
      <c r="H119" s="3">
        <f>정규화데이터!H119</f>
        <v>119000</v>
      </c>
      <c r="I119" s="3">
        <f>정규화데이터!I119</f>
        <v>119000</v>
      </c>
      <c r="J119" s="3">
        <f>정규화데이터!J119</f>
        <v>82110</v>
      </c>
      <c r="K119" s="25">
        <f>정규화데이터!K119</f>
        <v>0</v>
      </c>
      <c r="L119" s="25">
        <f>정규화데이터!L119</f>
        <v>82110</v>
      </c>
      <c r="M119" s="21">
        <f t="shared" si="2"/>
        <v>0</v>
      </c>
      <c r="N119" s="52">
        <f t="shared" si="3"/>
        <v>0</v>
      </c>
    </row>
    <row r="120" spans="1:14" x14ac:dyDescent="0.3">
      <c r="A120" t="str">
        <f>정규화데이터!A120</f>
        <v>SK스토아</v>
      </c>
      <c r="B120" t="str">
        <f>정규화데이터!B120</f>
        <v>20260205992567</v>
      </c>
      <c r="C120" t="str">
        <f>정규화데이터!C120</f>
        <v>2026-02-07</v>
      </c>
      <c r="D120" t="str">
        <f>정규화데이터!D120</f>
        <v>58481090</v>
      </c>
      <c r="E120" s="16" t="str">
        <f>정규화데이터!E120</f>
        <v>미매핑</v>
      </c>
      <c r="F120" s="3">
        <f>정규화데이터!F120</f>
        <v>1</v>
      </c>
      <c r="G120" s="3">
        <f>정규화데이터!G120</f>
        <v>1</v>
      </c>
      <c r="H120" s="3">
        <f>정규화데이터!H120</f>
        <v>119000</v>
      </c>
      <c r="I120" s="3">
        <f>정규화데이터!I120</f>
        <v>109000</v>
      </c>
      <c r="J120" s="3">
        <f>정규화데이터!J120</f>
        <v>82110</v>
      </c>
      <c r="K120" s="25">
        <f>정규화데이터!K120</f>
        <v>0</v>
      </c>
      <c r="L120" s="25">
        <f>정규화데이터!L120</f>
        <v>82110</v>
      </c>
      <c r="M120" s="21">
        <f t="shared" si="2"/>
        <v>0</v>
      </c>
      <c r="N120" s="52">
        <f t="shared" si="3"/>
        <v>0</v>
      </c>
    </row>
    <row r="121" spans="1:14" x14ac:dyDescent="0.3">
      <c r="A121" t="str">
        <f>정규화데이터!A121</f>
        <v>SK스토아</v>
      </c>
      <c r="B121" t="str">
        <f>정규화데이터!B121</f>
        <v>20260205993710</v>
      </c>
      <c r="C121" t="str">
        <f>정규화데이터!C121</f>
        <v>2026-02-07</v>
      </c>
      <c r="D121" t="str">
        <f>정규화데이터!D121</f>
        <v>58481090</v>
      </c>
      <c r="E121" s="16" t="str">
        <f>정규화데이터!E121</f>
        <v>미매핑</v>
      </c>
      <c r="F121" s="3">
        <f>정규화데이터!F121</f>
        <v>1</v>
      </c>
      <c r="G121" s="3">
        <f>정규화데이터!G121</f>
        <v>1</v>
      </c>
      <c r="H121" s="3">
        <f>정규화데이터!H121</f>
        <v>119000</v>
      </c>
      <c r="I121" s="3">
        <f>정규화데이터!I121</f>
        <v>119000</v>
      </c>
      <c r="J121" s="3">
        <f>정규화데이터!J121</f>
        <v>82110</v>
      </c>
      <c r="K121" s="25">
        <f>정규화데이터!K121</f>
        <v>0</v>
      </c>
      <c r="L121" s="25">
        <f>정규화데이터!L121</f>
        <v>82110</v>
      </c>
      <c r="M121" s="21">
        <f t="shared" si="2"/>
        <v>0</v>
      </c>
      <c r="N121" s="52">
        <f t="shared" si="3"/>
        <v>0</v>
      </c>
    </row>
    <row r="122" spans="1:14" x14ac:dyDescent="0.3">
      <c r="A122" t="str">
        <f>정규화데이터!A122</f>
        <v>SK스토아</v>
      </c>
      <c r="B122" t="str">
        <f>정규화데이터!B122</f>
        <v>20260205995307</v>
      </c>
      <c r="C122" t="str">
        <f>정규화데이터!C122</f>
        <v>2026-02-07</v>
      </c>
      <c r="D122" t="str">
        <f>정규화데이터!D122</f>
        <v>58481090</v>
      </c>
      <c r="E122" s="16" t="str">
        <f>정규화데이터!E122</f>
        <v>미매핑</v>
      </c>
      <c r="F122" s="3">
        <f>정규화데이터!F122</f>
        <v>1</v>
      </c>
      <c r="G122" s="3">
        <f>정규화데이터!G122</f>
        <v>1</v>
      </c>
      <c r="H122" s="3">
        <f>정규화데이터!H122</f>
        <v>119000</v>
      </c>
      <c r="I122" s="3">
        <f>정규화데이터!I122</f>
        <v>113050</v>
      </c>
      <c r="J122" s="3">
        <f>정규화데이터!J122</f>
        <v>82110</v>
      </c>
      <c r="K122" s="25">
        <f>정규화데이터!K122</f>
        <v>0</v>
      </c>
      <c r="L122" s="25">
        <f>정규화데이터!L122</f>
        <v>82110</v>
      </c>
      <c r="M122" s="21">
        <f t="shared" si="2"/>
        <v>0</v>
      </c>
      <c r="N122" s="52">
        <f t="shared" si="3"/>
        <v>0</v>
      </c>
    </row>
    <row r="123" spans="1:14" x14ac:dyDescent="0.3">
      <c r="A123" t="str">
        <f>정규화데이터!A123</f>
        <v>SK스토아</v>
      </c>
      <c r="B123" t="str">
        <f>정규화데이터!B123</f>
        <v>20260205995613</v>
      </c>
      <c r="C123" t="str">
        <f>정규화데이터!C123</f>
        <v>2026-02-07</v>
      </c>
      <c r="D123" t="str">
        <f>정규화데이터!D123</f>
        <v>58481090</v>
      </c>
      <c r="E123" s="16" t="str">
        <f>정규화데이터!E123</f>
        <v>미매핑</v>
      </c>
      <c r="F123" s="3">
        <f>정규화데이터!F123</f>
        <v>1</v>
      </c>
      <c r="G123" s="3">
        <f>정규화데이터!G123</f>
        <v>1</v>
      </c>
      <c r="H123" s="3">
        <f>정규화데이터!H123</f>
        <v>119000</v>
      </c>
      <c r="I123" s="3">
        <f>정규화데이터!I123</f>
        <v>119000</v>
      </c>
      <c r="J123" s="3">
        <f>정규화데이터!J123</f>
        <v>82110</v>
      </c>
      <c r="K123" s="25">
        <f>정규화데이터!K123</f>
        <v>0</v>
      </c>
      <c r="L123" s="25">
        <f>정규화데이터!L123</f>
        <v>82110</v>
      </c>
      <c r="M123" s="21">
        <f t="shared" si="2"/>
        <v>0</v>
      </c>
      <c r="N123" s="52">
        <f t="shared" si="3"/>
        <v>0</v>
      </c>
    </row>
    <row r="124" spans="1:14" x14ac:dyDescent="0.3">
      <c r="A124" t="str">
        <f>정규화데이터!A124</f>
        <v>SK스토아</v>
      </c>
      <c r="B124" t="str">
        <f>정규화데이터!B124</f>
        <v>20260205002375</v>
      </c>
      <c r="C124" t="str">
        <f>정규화데이터!C124</f>
        <v>2026-02-07</v>
      </c>
      <c r="D124" t="str">
        <f>정규화데이터!D124</f>
        <v>58481090</v>
      </c>
      <c r="E124" s="16" t="str">
        <f>정규화데이터!E124</f>
        <v>미매핑</v>
      </c>
      <c r="F124" s="3">
        <f>정규화데이터!F124</f>
        <v>1</v>
      </c>
      <c r="G124" s="3">
        <f>정규화데이터!G124</f>
        <v>1</v>
      </c>
      <c r="H124" s="3">
        <f>정규화데이터!H124</f>
        <v>119000</v>
      </c>
      <c r="I124" s="3">
        <f>정규화데이터!I124</f>
        <v>119000</v>
      </c>
      <c r="J124" s="3">
        <f>정규화데이터!J124</f>
        <v>82110</v>
      </c>
      <c r="K124" s="25">
        <f>정규화데이터!K124</f>
        <v>0</v>
      </c>
      <c r="L124" s="25">
        <f>정규화데이터!L124</f>
        <v>82110</v>
      </c>
      <c r="M124" s="21">
        <f t="shared" si="2"/>
        <v>0</v>
      </c>
      <c r="N124" s="52">
        <f t="shared" si="3"/>
        <v>0</v>
      </c>
    </row>
    <row r="125" spans="1:14" x14ac:dyDescent="0.3">
      <c r="A125" t="str">
        <f>정규화데이터!A125</f>
        <v>SK스토아</v>
      </c>
      <c r="B125" t="str">
        <f>정규화데이터!B125</f>
        <v>20260205994008</v>
      </c>
      <c r="C125" t="str">
        <f>정규화데이터!C125</f>
        <v>2026-02-07</v>
      </c>
      <c r="D125" t="str">
        <f>정규화데이터!D125</f>
        <v>58481090</v>
      </c>
      <c r="E125" s="16" t="str">
        <f>정규화데이터!E125</f>
        <v>미매핑</v>
      </c>
      <c r="F125" s="3">
        <f>정규화데이터!F125</f>
        <v>1</v>
      </c>
      <c r="G125" s="3">
        <f>정규화데이터!G125</f>
        <v>1</v>
      </c>
      <c r="H125" s="3">
        <f>정규화데이터!H125</f>
        <v>119000</v>
      </c>
      <c r="I125" s="3">
        <f>정규화데이터!I125</f>
        <v>109000</v>
      </c>
      <c r="J125" s="3">
        <f>정규화데이터!J125</f>
        <v>82110</v>
      </c>
      <c r="K125" s="25">
        <f>정규화데이터!K125</f>
        <v>0</v>
      </c>
      <c r="L125" s="25">
        <f>정규화데이터!L125</f>
        <v>82110</v>
      </c>
      <c r="M125" s="21">
        <f t="shared" si="2"/>
        <v>0</v>
      </c>
      <c r="N125" s="52">
        <f t="shared" si="3"/>
        <v>0</v>
      </c>
    </row>
    <row r="126" spans="1:14" x14ac:dyDescent="0.3">
      <c r="A126" t="str">
        <f>정규화데이터!A126</f>
        <v>SK스토아</v>
      </c>
      <c r="B126" t="str">
        <f>정규화데이터!B126</f>
        <v>20260205993800</v>
      </c>
      <c r="C126" t="str">
        <f>정규화데이터!C126</f>
        <v>2026-02-07</v>
      </c>
      <c r="D126" t="str">
        <f>정규화데이터!D126</f>
        <v>58481090</v>
      </c>
      <c r="E126" s="16" t="str">
        <f>정규화데이터!E126</f>
        <v>미매핑</v>
      </c>
      <c r="F126" s="3">
        <f>정규화데이터!F126</f>
        <v>1</v>
      </c>
      <c r="G126" s="3">
        <f>정규화데이터!G126</f>
        <v>1</v>
      </c>
      <c r="H126" s="3">
        <f>정규화데이터!H126</f>
        <v>119000</v>
      </c>
      <c r="I126" s="3">
        <f>정규화데이터!I126</f>
        <v>119000</v>
      </c>
      <c r="J126" s="3">
        <f>정규화데이터!J126</f>
        <v>82110</v>
      </c>
      <c r="K126" s="25">
        <f>정규화데이터!K126</f>
        <v>0</v>
      </c>
      <c r="L126" s="25">
        <f>정규화데이터!L126</f>
        <v>82110</v>
      </c>
      <c r="M126" s="21">
        <f t="shared" si="2"/>
        <v>0</v>
      </c>
      <c r="N126" s="52">
        <f t="shared" si="3"/>
        <v>0</v>
      </c>
    </row>
    <row r="127" spans="1:14" x14ac:dyDescent="0.3">
      <c r="A127" t="str">
        <f>정규화데이터!A127</f>
        <v>SK스토아</v>
      </c>
      <c r="B127" t="str">
        <f>정규화데이터!B127</f>
        <v>20260206644091</v>
      </c>
      <c r="C127" t="str">
        <f>정규화데이터!C127</f>
        <v>2026-02-07</v>
      </c>
      <c r="D127" t="str">
        <f>정규화데이터!D127</f>
        <v>58481090</v>
      </c>
      <c r="E127" s="16" t="str">
        <f>정규화데이터!E127</f>
        <v>미매핑</v>
      </c>
      <c r="F127" s="3">
        <f>정규화데이터!F127</f>
        <v>1</v>
      </c>
      <c r="G127" s="3">
        <f>정규화데이터!G127</f>
        <v>1</v>
      </c>
      <c r="H127" s="3">
        <f>정규화데이터!H127</f>
        <v>119000</v>
      </c>
      <c r="I127" s="3">
        <f>정규화데이터!I127</f>
        <v>113050</v>
      </c>
      <c r="J127" s="3">
        <f>정규화데이터!J127</f>
        <v>82110</v>
      </c>
      <c r="K127" s="25">
        <f>정규화데이터!K127</f>
        <v>0</v>
      </c>
      <c r="L127" s="25">
        <f>정규화데이터!L127</f>
        <v>82110</v>
      </c>
      <c r="M127" s="21">
        <f t="shared" si="2"/>
        <v>0</v>
      </c>
      <c r="N127" s="52">
        <f t="shared" si="3"/>
        <v>0</v>
      </c>
    </row>
    <row r="128" spans="1:14" x14ac:dyDescent="0.3">
      <c r="A128" t="str">
        <f>정규화데이터!A128</f>
        <v>SK스토아</v>
      </c>
      <c r="B128" t="str">
        <f>정규화데이터!B128</f>
        <v>20260205995701</v>
      </c>
      <c r="C128" t="str">
        <f>정규화데이터!C128</f>
        <v>2026-02-07</v>
      </c>
      <c r="D128" t="str">
        <f>정규화데이터!D128</f>
        <v>58481090</v>
      </c>
      <c r="E128" s="16" t="str">
        <f>정규화데이터!E128</f>
        <v>미매핑</v>
      </c>
      <c r="F128" s="3">
        <f>정규화데이터!F128</f>
        <v>1</v>
      </c>
      <c r="G128" s="3">
        <f>정규화데이터!G128</f>
        <v>1</v>
      </c>
      <c r="H128" s="3">
        <f>정규화데이터!H128</f>
        <v>119000</v>
      </c>
      <c r="I128" s="3">
        <f>정규화데이터!I128</f>
        <v>119000</v>
      </c>
      <c r="J128" s="3">
        <f>정규화데이터!J128</f>
        <v>82110</v>
      </c>
      <c r="K128" s="25">
        <f>정규화데이터!K128</f>
        <v>0</v>
      </c>
      <c r="L128" s="25">
        <f>정규화데이터!L128</f>
        <v>82110</v>
      </c>
      <c r="M128" s="21">
        <f t="shared" si="2"/>
        <v>0</v>
      </c>
      <c r="N128" s="52">
        <f t="shared" si="3"/>
        <v>0</v>
      </c>
    </row>
    <row r="129" spans="1:14" x14ac:dyDescent="0.3">
      <c r="A129" t="str">
        <f>정규화데이터!A129</f>
        <v>SK스토아</v>
      </c>
      <c r="B129" t="str">
        <f>정규화데이터!B129</f>
        <v>20260205995459</v>
      </c>
      <c r="C129" t="str">
        <f>정규화데이터!C129</f>
        <v>2026-02-07</v>
      </c>
      <c r="D129" t="str">
        <f>정규화데이터!D129</f>
        <v>58481090</v>
      </c>
      <c r="E129" s="16" t="str">
        <f>정규화데이터!E129</f>
        <v>미매핑</v>
      </c>
      <c r="F129" s="3">
        <f>정규화데이터!F129</f>
        <v>1</v>
      </c>
      <c r="G129" s="3">
        <f>정규화데이터!G129</f>
        <v>1</v>
      </c>
      <c r="H129" s="3">
        <f>정규화데이터!H129</f>
        <v>119000</v>
      </c>
      <c r="I129" s="3">
        <f>정규화데이터!I129</f>
        <v>99960</v>
      </c>
      <c r="J129" s="3">
        <f>정규화데이터!J129</f>
        <v>82110</v>
      </c>
      <c r="K129" s="25">
        <f>정규화데이터!K129</f>
        <v>0</v>
      </c>
      <c r="L129" s="25">
        <f>정규화데이터!L129</f>
        <v>82110</v>
      </c>
      <c r="M129" s="21">
        <f t="shared" si="2"/>
        <v>0</v>
      </c>
      <c r="N129" s="52">
        <f t="shared" si="3"/>
        <v>0</v>
      </c>
    </row>
    <row r="130" spans="1:14" x14ac:dyDescent="0.3">
      <c r="A130" t="str">
        <f>정규화데이터!A130</f>
        <v>SK스토아</v>
      </c>
      <c r="B130" t="str">
        <f>정규화데이터!B130</f>
        <v>20260205993710</v>
      </c>
      <c r="C130" t="str">
        <f>정규화데이터!C130</f>
        <v>2026-02-07</v>
      </c>
      <c r="D130" t="str">
        <f>정규화데이터!D130</f>
        <v>58481090</v>
      </c>
      <c r="E130" s="16" t="str">
        <f>정규화데이터!E130</f>
        <v>미매핑</v>
      </c>
      <c r="F130" s="3">
        <f>정규화데이터!F130</f>
        <v>1</v>
      </c>
      <c r="G130" s="3">
        <f>정규화데이터!G130</f>
        <v>1</v>
      </c>
      <c r="H130" s="3">
        <f>정규화데이터!H130</f>
        <v>119000</v>
      </c>
      <c r="I130" s="3">
        <f>정규화데이터!I130</f>
        <v>119000</v>
      </c>
      <c r="J130" s="3">
        <f>정규화데이터!J130</f>
        <v>82110</v>
      </c>
      <c r="K130" s="25">
        <f>정규화데이터!K130</f>
        <v>0</v>
      </c>
      <c r="L130" s="25">
        <f>정규화데이터!L130</f>
        <v>82110</v>
      </c>
      <c r="M130" s="21">
        <f t="shared" ref="M130:M193" si="4">J130-L130</f>
        <v>0</v>
      </c>
      <c r="N130" s="52">
        <f t="shared" ref="N130:N193" si="5">IF(J130=0,0,M130/J130)</f>
        <v>0</v>
      </c>
    </row>
    <row r="131" spans="1:14" x14ac:dyDescent="0.3">
      <c r="A131" t="str">
        <f>정규화데이터!A131</f>
        <v>SK스토아</v>
      </c>
      <c r="B131" t="str">
        <f>정규화데이터!B131</f>
        <v>20260205005766</v>
      </c>
      <c r="C131" t="str">
        <f>정규화데이터!C131</f>
        <v>2026-02-07</v>
      </c>
      <c r="D131" t="str">
        <f>정규화데이터!D131</f>
        <v>58481090</v>
      </c>
      <c r="E131" s="16" t="str">
        <f>정규화데이터!E131</f>
        <v>미매핑</v>
      </c>
      <c r="F131" s="3">
        <f>정규화데이터!F131</f>
        <v>1</v>
      </c>
      <c r="G131" s="3">
        <f>정규화데이터!G131</f>
        <v>1</v>
      </c>
      <c r="H131" s="3">
        <f>정규화데이터!H131</f>
        <v>119000</v>
      </c>
      <c r="I131" s="3">
        <f>정규화데이터!I131</f>
        <v>119000</v>
      </c>
      <c r="J131" s="3">
        <f>정규화데이터!J131</f>
        <v>82110</v>
      </c>
      <c r="K131" s="25">
        <f>정규화데이터!K131</f>
        <v>0</v>
      </c>
      <c r="L131" s="25">
        <f>정규화데이터!L131</f>
        <v>82110</v>
      </c>
      <c r="M131" s="21">
        <f t="shared" si="4"/>
        <v>0</v>
      </c>
      <c r="N131" s="52">
        <f t="shared" si="5"/>
        <v>0</v>
      </c>
    </row>
    <row r="132" spans="1:14" x14ac:dyDescent="0.3">
      <c r="A132" t="str">
        <f>정규화데이터!A132</f>
        <v>SK스토아</v>
      </c>
      <c r="B132" t="str">
        <f>정규화데이터!B132</f>
        <v>20260205995598</v>
      </c>
      <c r="C132" t="str">
        <f>정규화데이터!C132</f>
        <v>2026-02-07</v>
      </c>
      <c r="D132" t="str">
        <f>정규화데이터!D132</f>
        <v>58481090</v>
      </c>
      <c r="E132" s="16" t="str">
        <f>정규화데이터!E132</f>
        <v>미매핑</v>
      </c>
      <c r="F132" s="3">
        <f>정규화데이터!F132</f>
        <v>1</v>
      </c>
      <c r="G132" s="3">
        <f>정규화데이터!G132</f>
        <v>1</v>
      </c>
      <c r="H132" s="3">
        <f>정규화데이터!H132</f>
        <v>119000</v>
      </c>
      <c r="I132" s="3">
        <f>정규화데이터!I132</f>
        <v>119000</v>
      </c>
      <c r="J132" s="3">
        <f>정규화데이터!J132</f>
        <v>82110</v>
      </c>
      <c r="K132" s="25">
        <f>정규화데이터!K132</f>
        <v>0</v>
      </c>
      <c r="L132" s="25">
        <f>정규화데이터!L132</f>
        <v>82110</v>
      </c>
      <c r="M132" s="21">
        <f t="shared" si="4"/>
        <v>0</v>
      </c>
      <c r="N132" s="52">
        <f t="shared" si="5"/>
        <v>0</v>
      </c>
    </row>
    <row r="133" spans="1:14" x14ac:dyDescent="0.3">
      <c r="A133" t="str">
        <f>정규화데이터!A133</f>
        <v>SK스토아</v>
      </c>
      <c r="B133" t="str">
        <f>정규화데이터!B133</f>
        <v>20260205994093</v>
      </c>
      <c r="C133" t="str">
        <f>정규화데이터!C133</f>
        <v>2026-02-07</v>
      </c>
      <c r="D133" t="str">
        <f>정규화데이터!D133</f>
        <v>58481090</v>
      </c>
      <c r="E133" s="16" t="str">
        <f>정규화데이터!E133</f>
        <v>미매핑</v>
      </c>
      <c r="F133" s="3">
        <f>정규화데이터!F133</f>
        <v>1</v>
      </c>
      <c r="G133" s="3">
        <f>정규화데이터!G133</f>
        <v>1</v>
      </c>
      <c r="H133" s="3">
        <f>정규화데이터!H133</f>
        <v>119000</v>
      </c>
      <c r="I133" s="3">
        <f>정규화데이터!I133</f>
        <v>119000</v>
      </c>
      <c r="J133" s="3">
        <f>정규화데이터!J133</f>
        <v>82110</v>
      </c>
      <c r="K133" s="25">
        <f>정규화데이터!K133</f>
        <v>0</v>
      </c>
      <c r="L133" s="25">
        <f>정규화데이터!L133</f>
        <v>82110</v>
      </c>
      <c r="M133" s="21">
        <f t="shared" si="4"/>
        <v>0</v>
      </c>
      <c r="N133" s="52">
        <f t="shared" si="5"/>
        <v>0</v>
      </c>
    </row>
    <row r="134" spans="1:14" x14ac:dyDescent="0.3">
      <c r="A134" t="str">
        <f>정규화데이터!A134</f>
        <v>SK스토아</v>
      </c>
      <c r="B134" t="str">
        <f>정규화데이터!B134</f>
        <v>20260205994741</v>
      </c>
      <c r="C134" t="str">
        <f>정규화데이터!C134</f>
        <v>2026-02-07</v>
      </c>
      <c r="D134" t="str">
        <f>정규화데이터!D134</f>
        <v>58481090</v>
      </c>
      <c r="E134" s="16" t="str">
        <f>정규화데이터!E134</f>
        <v>미매핑</v>
      </c>
      <c r="F134" s="3">
        <f>정규화데이터!F134</f>
        <v>1</v>
      </c>
      <c r="G134" s="3">
        <f>정규화데이터!G134</f>
        <v>1</v>
      </c>
      <c r="H134" s="3">
        <f>정규화데이터!H134</f>
        <v>119000</v>
      </c>
      <c r="I134" s="3">
        <f>정규화데이터!I134</f>
        <v>109000</v>
      </c>
      <c r="J134" s="3">
        <f>정규화데이터!J134</f>
        <v>82110</v>
      </c>
      <c r="K134" s="25">
        <f>정규화데이터!K134</f>
        <v>0</v>
      </c>
      <c r="L134" s="25">
        <f>정규화데이터!L134</f>
        <v>82110</v>
      </c>
      <c r="M134" s="21">
        <f t="shared" si="4"/>
        <v>0</v>
      </c>
      <c r="N134" s="52">
        <f t="shared" si="5"/>
        <v>0</v>
      </c>
    </row>
    <row r="135" spans="1:14" x14ac:dyDescent="0.3">
      <c r="A135" t="str">
        <f>정규화데이터!A135</f>
        <v>SK스토아</v>
      </c>
      <c r="B135" t="str">
        <f>정규화데이터!B135</f>
        <v>20260205993823</v>
      </c>
      <c r="C135" t="str">
        <f>정규화데이터!C135</f>
        <v>2026-02-07</v>
      </c>
      <c r="D135" t="str">
        <f>정규화데이터!D135</f>
        <v>58481090</v>
      </c>
      <c r="E135" s="16" t="str">
        <f>정규화데이터!E135</f>
        <v>미매핑</v>
      </c>
      <c r="F135" s="3">
        <f>정규화데이터!F135</f>
        <v>1</v>
      </c>
      <c r="G135" s="3">
        <f>정규화데이터!G135</f>
        <v>1</v>
      </c>
      <c r="H135" s="3">
        <f>정규화데이터!H135</f>
        <v>119000</v>
      </c>
      <c r="I135" s="3">
        <f>정규화데이터!I135</f>
        <v>119000</v>
      </c>
      <c r="J135" s="3">
        <f>정규화데이터!J135</f>
        <v>82110</v>
      </c>
      <c r="K135" s="25">
        <f>정규화데이터!K135</f>
        <v>0</v>
      </c>
      <c r="L135" s="25">
        <f>정규화데이터!L135</f>
        <v>82110</v>
      </c>
      <c r="M135" s="21">
        <f t="shared" si="4"/>
        <v>0</v>
      </c>
      <c r="N135" s="52">
        <f t="shared" si="5"/>
        <v>0</v>
      </c>
    </row>
    <row r="136" spans="1:14" x14ac:dyDescent="0.3">
      <c r="A136" t="str">
        <f>정규화데이터!A136</f>
        <v>SK스토아</v>
      </c>
      <c r="B136" t="str">
        <f>정규화데이터!B136</f>
        <v>20260205993746</v>
      </c>
      <c r="C136" t="str">
        <f>정규화데이터!C136</f>
        <v>2026-02-07</v>
      </c>
      <c r="D136" t="str">
        <f>정규화데이터!D136</f>
        <v>58481090</v>
      </c>
      <c r="E136" s="16" t="str">
        <f>정규화데이터!E136</f>
        <v>미매핑</v>
      </c>
      <c r="F136" s="3">
        <f>정규화데이터!F136</f>
        <v>1</v>
      </c>
      <c r="G136" s="3">
        <f>정규화데이터!G136</f>
        <v>2</v>
      </c>
      <c r="H136" s="3">
        <f>정규화데이터!H136</f>
        <v>119000</v>
      </c>
      <c r="I136" s="3">
        <f>정규화데이터!I136</f>
        <v>238000</v>
      </c>
      <c r="J136" s="3">
        <f>정규화데이터!J136</f>
        <v>164220</v>
      </c>
      <c r="K136" s="25">
        <f>정규화데이터!K136</f>
        <v>0</v>
      </c>
      <c r="L136" s="25">
        <f>정규화데이터!L136</f>
        <v>164220</v>
      </c>
      <c r="M136" s="21">
        <f t="shared" si="4"/>
        <v>0</v>
      </c>
      <c r="N136" s="52">
        <f t="shared" si="5"/>
        <v>0</v>
      </c>
    </row>
    <row r="137" spans="1:14" x14ac:dyDescent="0.3">
      <c r="A137" t="str">
        <f>정규화데이터!A137</f>
        <v>SK스토아</v>
      </c>
      <c r="B137" t="str">
        <f>정규화데이터!B137</f>
        <v>20260205993743</v>
      </c>
      <c r="C137" t="str">
        <f>정규화데이터!C137</f>
        <v>2026-02-07</v>
      </c>
      <c r="D137" t="str">
        <f>정규화데이터!D137</f>
        <v>58481090</v>
      </c>
      <c r="E137" s="16" t="str">
        <f>정규화데이터!E137</f>
        <v>미매핑</v>
      </c>
      <c r="F137" s="3">
        <f>정규화데이터!F137</f>
        <v>1</v>
      </c>
      <c r="G137" s="3">
        <f>정규화데이터!G137</f>
        <v>1</v>
      </c>
      <c r="H137" s="3">
        <f>정규화데이터!H137</f>
        <v>119000</v>
      </c>
      <c r="I137" s="3">
        <f>정규화데이터!I137</f>
        <v>119000</v>
      </c>
      <c r="J137" s="3">
        <f>정규화데이터!J137</f>
        <v>82110</v>
      </c>
      <c r="K137" s="25">
        <f>정규화데이터!K137</f>
        <v>0</v>
      </c>
      <c r="L137" s="25">
        <f>정규화데이터!L137</f>
        <v>82110</v>
      </c>
      <c r="M137" s="21">
        <f t="shared" si="4"/>
        <v>0</v>
      </c>
      <c r="N137" s="52">
        <f t="shared" si="5"/>
        <v>0</v>
      </c>
    </row>
    <row r="138" spans="1:14" x14ac:dyDescent="0.3">
      <c r="A138" t="str">
        <f>정규화데이터!A138</f>
        <v>SK스토아</v>
      </c>
      <c r="B138" t="str">
        <f>정규화데이터!B138</f>
        <v>20260205993518</v>
      </c>
      <c r="C138" t="str">
        <f>정규화데이터!C138</f>
        <v>2026-02-07</v>
      </c>
      <c r="D138" t="str">
        <f>정규화데이터!D138</f>
        <v>58481090</v>
      </c>
      <c r="E138" s="16" t="str">
        <f>정규화데이터!E138</f>
        <v>미매핑</v>
      </c>
      <c r="F138" s="3">
        <f>정규화데이터!F138</f>
        <v>1</v>
      </c>
      <c r="G138" s="3">
        <f>정규화데이터!G138</f>
        <v>1</v>
      </c>
      <c r="H138" s="3">
        <f>정규화데이터!H138</f>
        <v>119000</v>
      </c>
      <c r="I138" s="3">
        <f>정규화데이터!I138</f>
        <v>99960</v>
      </c>
      <c r="J138" s="3">
        <f>정규화데이터!J138</f>
        <v>82110</v>
      </c>
      <c r="K138" s="25">
        <f>정규화데이터!K138</f>
        <v>0</v>
      </c>
      <c r="L138" s="25">
        <f>정규화데이터!L138</f>
        <v>82110</v>
      </c>
      <c r="M138" s="21">
        <f t="shared" si="4"/>
        <v>0</v>
      </c>
      <c r="N138" s="52">
        <f t="shared" si="5"/>
        <v>0</v>
      </c>
    </row>
    <row r="139" spans="1:14" x14ac:dyDescent="0.3">
      <c r="A139" t="str">
        <f>정규화데이터!A139</f>
        <v>SK스토아</v>
      </c>
      <c r="B139" t="str">
        <f>정규화데이터!B139</f>
        <v>20260205993886</v>
      </c>
      <c r="C139" t="str">
        <f>정규화데이터!C139</f>
        <v>2026-02-07</v>
      </c>
      <c r="D139" t="str">
        <f>정규화데이터!D139</f>
        <v>58481090</v>
      </c>
      <c r="E139" s="16" t="str">
        <f>정규화데이터!E139</f>
        <v>미매핑</v>
      </c>
      <c r="F139" s="3">
        <f>정규화데이터!F139</f>
        <v>1</v>
      </c>
      <c r="G139" s="3">
        <f>정규화데이터!G139</f>
        <v>1</v>
      </c>
      <c r="H139" s="3">
        <f>정규화데이터!H139</f>
        <v>119000</v>
      </c>
      <c r="I139" s="3">
        <f>정규화데이터!I139</f>
        <v>119000</v>
      </c>
      <c r="J139" s="3">
        <f>정규화데이터!J139</f>
        <v>82110</v>
      </c>
      <c r="K139" s="25">
        <f>정규화데이터!K139</f>
        <v>0</v>
      </c>
      <c r="L139" s="25">
        <f>정규화데이터!L139</f>
        <v>82110</v>
      </c>
      <c r="M139" s="21">
        <f t="shared" si="4"/>
        <v>0</v>
      </c>
      <c r="N139" s="52">
        <f t="shared" si="5"/>
        <v>0</v>
      </c>
    </row>
    <row r="140" spans="1:14" x14ac:dyDescent="0.3">
      <c r="A140" t="str">
        <f>정규화데이터!A140</f>
        <v>SK스토아</v>
      </c>
      <c r="B140" t="str">
        <f>정규화데이터!B140</f>
        <v>20260205993347</v>
      </c>
      <c r="C140" t="str">
        <f>정규화데이터!C140</f>
        <v>2026-02-07</v>
      </c>
      <c r="D140" t="str">
        <f>정규화데이터!D140</f>
        <v>58481090</v>
      </c>
      <c r="E140" s="16" t="str">
        <f>정규화데이터!E140</f>
        <v>미매핑</v>
      </c>
      <c r="F140" s="3">
        <f>정규화데이터!F140</f>
        <v>1</v>
      </c>
      <c r="G140" s="3">
        <f>정규화데이터!G140</f>
        <v>1</v>
      </c>
      <c r="H140" s="3">
        <f>정규화데이터!H140</f>
        <v>119000</v>
      </c>
      <c r="I140" s="3">
        <f>정규화데이터!I140</f>
        <v>109000</v>
      </c>
      <c r="J140" s="3">
        <f>정규화데이터!J140</f>
        <v>82110</v>
      </c>
      <c r="K140" s="25">
        <f>정규화데이터!K140</f>
        <v>0</v>
      </c>
      <c r="L140" s="25">
        <f>정규화데이터!L140</f>
        <v>82110</v>
      </c>
      <c r="M140" s="21">
        <f t="shared" si="4"/>
        <v>0</v>
      </c>
      <c r="N140" s="52">
        <f t="shared" si="5"/>
        <v>0</v>
      </c>
    </row>
    <row r="141" spans="1:14" x14ac:dyDescent="0.3">
      <c r="A141" t="str">
        <f>정규화데이터!A141</f>
        <v>SK스토아</v>
      </c>
      <c r="B141" t="str">
        <f>정규화데이터!B141</f>
        <v>20260205992569</v>
      </c>
      <c r="C141" t="str">
        <f>정규화데이터!C141</f>
        <v>2026-02-07</v>
      </c>
      <c r="D141" t="str">
        <f>정규화데이터!D141</f>
        <v>58481090</v>
      </c>
      <c r="E141" s="16" t="str">
        <f>정규화데이터!E141</f>
        <v>미매핑</v>
      </c>
      <c r="F141" s="3">
        <f>정규화데이터!F141</f>
        <v>1</v>
      </c>
      <c r="G141" s="3">
        <f>정규화데이터!G141</f>
        <v>1</v>
      </c>
      <c r="H141" s="3">
        <f>정규화데이터!H141</f>
        <v>119000</v>
      </c>
      <c r="I141" s="3">
        <f>정규화데이터!I141</f>
        <v>119000</v>
      </c>
      <c r="J141" s="3">
        <f>정규화데이터!J141</f>
        <v>82110</v>
      </c>
      <c r="K141" s="25">
        <f>정규화데이터!K141</f>
        <v>0</v>
      </c>
      <c r="L141" s="25">
        <f>정규화데이터!L141</f>
        <v>82110</v>
      </c>
      <c r="M141" s="21">
        <f t="shared" si="4"/>
        <v>0</v>
      </c>
      <c r="N141" s="52">
        <f t="shared" si="5"/>
        <v>0</v>
      </c>
    </row>
    <row r="142" spans="1:14" x14ac:dyDescent="0.3">
      <c r="A142" t="str">
        <f>정규화데이터!A142</f>
        <v>SK스토아</v>
      </c>
      <c r="B142" t="str">
        <f>정규화데이터!B142</f>
        <v>20260205992662</v>
      </c>
      <c r="C142" t="str">
        <f>정규화데이터!C142</f>
        <v>2026-02-07</v>
      </c>
      <c r="D142" t="str">
        <f>정규화데이터!D142</f>
        <v>58481090</v>
      </c>
      <c r="E142" s="16" t="str">
        <f>정규화데이터!E142</f>
        <v>미매핑</v>
      </c>
      <c r="F142" s="3">
        <f>정규화데이터!F142</f>
        <v>1</v>
      </c>
      <c r="G142" s="3">
        <f>정규화데이터!G142</f>
        <v>1</v>
      </c>
      <c r="H142" s="3">
        <f>정규화데이터!H142</f>
        <v>119000</v>
      </c>
      <c r="I142" s="3">
        <f>정규화데이터!I142</f>
        <v>119000</v>
      </c>
      <c r="J142" s="3">
        <f>정규화데이터!J142</f>
        <v>82110</v>
      </c>
      <c r="K142" s="25">
        <f>정규화데이터!K142</f>
        <v>0</v>
      </c>
      <c r="L142" s="25">
        <f>정규화데이터!L142</f>
        <v>82110</v>
      </c>
      <c r="M142" s="21">
        <f t="shared" si="4"/>
        <v>0</v>
      </c>
      <c r="N142" s="52">
        <f t="shared" si="5"/>
        <v>0</v>
      </c>
    </row>
    <row r="143" spans="1:14" x14ac:dyDescent="0.3">
      <c r="A143" t="str">
        <f>정규화데이터!A143</f>
        <v>SK스토아</v>
      </c>
      <c r="B143" t="str">
        <f>정규화데이터!B143</f>
        <v>20260205993291</v>
      </c>
      <c r="C143" t="str">
        <f>정규화데이터!C143</f>
        <v>2026-02-07</v>
      </c>
      <c r="D143" t="str">
        <f>정규화데이터!D143</f>
        <v>58481090</v>
      </c>
      <c r="E143" s="16" t="str">
        <f>정규화데이터!E143</f>
        <v>미매핑</v>
      </c>
      <c r="F143" s="3">
        <f>정규화데이터!F143</f>
        <v>1</v>
      </c>
      <c r="G143" s="3">
        <f>정규화데이터!G143</f>
        <v>1</v>
      </c>
      <c r="H143" s="3">
        <f>정규화데이터!H143</f>
        <v>119000</v>
      </c>
      <c r="I143" s="3">
        <f>정규화데이터!I143</f>
        <v>119000</v>
      </c>
      <c r="J143" s="3">
        <f>정규화데이터!J143</f>
        <v>82110</v>
      </c>
      <c r="K143" s="25">
        <f>정규화데이터!K143</f>
        <v>0</v>
      </c>
      <c r="L143" s="25">
        <f>정규화데이터!L143</f>
        <v>82110</v>
      </c>
      <c r="M143" s="21">
        <f t="shared" si="4"/>
        <v>0</v>
      </c>
      <c r="N143" s="52">
        <f t="shared" si="5"/>
        <v>0</v>
      </c>
    </row>
    <row r="144" spans="1:14" x14ac:dyDescent="0.3">
      <c r="A144" t="str">
        <f>정규화데이터!A144</f>
        <v>SK스토아</v>
      </c>
      <c r="B144" t="str">
        <f>정규화데이터!B144</f>
        <v>20260205995260</v>
      </c>
      <c r="C144" t="str">
        <f>정규화데이터!C144</f>
        <v>2026-02-07</v>
      </c>
      <c r="D144" t="str">
        <f>정규화데이터!D144</f>
        <v>58481090</v>
      </c>
      <c r="E144" s="16" t="str">
        <f>정규화데이터!E144</f>
        <v>미매핑</v>
      </c>
      <c r="F144" s="3">
        <f>정규화데이터!F144</f>
        <v>1</v>
      </c>
      <c r="G144" s="3">
        <f>정규화데이터!G144</f>
        <v>1</v>
      </c>
      <c r="H144" s="3">
        <f>정규화데이터!H144</f>
        <v>119000</v>
      </c>
      <c r="I144" s="3">
        <f>정규화데이터!I144</f>
        <v>119000</v>
      </c>
      <c r="J144" s="3">
        <f>정규화데이터!J144</f>
        <v>82110</v>
      </c>
      <c r="K144" s="25">
        <f>정규화데이터!K144</f>
        <v>0</v>
      </c>
      <c r="L144" s="25">
        <f>정규화데이터!L144</f>
        <v>82110</v>
      </c>
      <c r="M144" s="21">
        <f t="shared" si="4"/>
        <v>0</v>
      </c>
      <c r="N144" s="52">
        <f t="shared" si="5"/>
        <v>0</v>
      </c>
    </row>
    <row r="145" spans="1:14" x14ac:dyDescent="0.3">
      <c r="A145" t="str">
        <f>정규화데이터!A145</f>
        <v>SK스토아</v>
      </c>
      <c r="B145" t="str">
        <f>정규화데이터!B145</f>
        <v>20260205995397</v>
      </c>
      <c r="C145" t="str">
        <f>정규화데이터!C145</f>
        <v>2026-02-07</v>
      </c>
      <c r="D145" t="str">
        <f>정규화데이터!D145</f>
        <v>58481090</v>
      </c>
      <c r="E145" s="16" t="str">
        <f>정규화데이터!E145</f>
        <v>미매핑</v>
      </c>
      <c r="F145" s="3">
        <f>정규화데이터!F145</f>
        <v>1</v>
      </c>
      <c r="G145" s="3">
        <f>정규화데이터!G145</f>
        <v>1</v>
      </c>
      <c r="H145" s="3">
        <f>정규화데이터!H145</f>
        <v>119000</v>
      </c>
      <c r="I145" s="3">
        <f>정규화데이터!I145</f>
        <v>119000</v>
      </c>
      <c r="J145" s="3">
        <f>정규화데이터!J145</f>
        <v>82110</v>
      </c>
      <c r="K145" s="25">
        <f>정규화데이터!K145</f>
        <v>0</v>
      </c>
      <c r="L145" s="25">
        <f>정규화데이터!L145</f>
        <v>82110</v>
      </c>
      <c r="M145" s="21">
        <f t="shared" si="4"/>
        <v>0</v>
      </c>
      <c r="N145" s="52">
        <f t="shared" si="5"/>
        <v>0</v>
      </c>
    </row>
    <row r="146" spans="1:14" x14ac:dyDescent="0.3">
      <c r="A146" t="str">
        <f>정규화데이터!A146</f>
        <v>SK스토아</v>
      </c>
      <c r="B146" t="str">
        <f>정규화데이터!B146</f>
        <v>20260205997063</v>
      </c>
      <c r="C146" t="str">
        <f>정규화데이터!C146</f>
        <v>2026-02-07</v>
      </c>
      <c r="D146" t="str">
        <f>정규화데이터!D146</f>
        <v>58481090</v>
      </c>
      <c r="E146" s="16" t="str">
        <f>정규화데이터!E146</f>
        <v>미매핑</v>
      </c>
      <c r="F146" s="3">
        <f>정규화데이터!F146</f>
        <v>1</v>
      </c>
      <c r="G146" s="3">
        <f>정규화데이터!G146</f>
        <v>1</v>
      </c>
      <c r="H146" s="3">
        <f>정규화데이터!H146</f>
        <v>119000</v>
      </c>
      <c r="I146" s="3">
        <f>정규화데이터!I146</f>
        <v>119000</v>
      </c>
      <c r="J146" s="3">
        <f>정규화데이터!J146</f>
        <v>82110</v>
      </c>
      <c r="K146" s="25">
        <f>정규화데이터!K146</f>
        <v>0</v>
      </c>
      <c r="L146" s="25">
        <f>정규화데이터!L146</f>
        <v>82110</v>
      </c>
      <c r="M146" s="21">
        <f t="shared" si="4"/>
        <v>0</v>
      </c>
      <c r="N146" s="52">
        <f t="shared" si="5"/>
        <v>0</v>
      </c>
    </row>
    <row r="147" spans="1:14" x14ac:dyDescent="0.3">
      <c r="A147" t="str">
        <f>정규화데이터!A147</f>
        <v>SK스토아</v>
      </c>
      <c r="B147" t="str">
        <f>정규화데이터!B147</f>
        <v>20260205994666</v>
      </c>
      <c r="C147" t="str">
        <f>정규화데이터!C147</f>
        <v>2026-02-07</v>
      </c>
      <c r="D147" t="str">
        <f>정규화데이터!D147</f>
        <v>58481090</v>
      </c>
      <c r="E147" s="16" t="str">
        <f>정규화데이터!E147</f>
        <v>미매핑</v>
      </c>
      <c r="F147" s="3">
        <f>정규화데이터!F147</f>
        <v>1</v>
      </c>
      <c r="G147" s="3">
        <f>정규화데이터!G147</f>
        <v>1</v>
      </c>
      <c r="H147" s="3">
        <f>정규화데이터!H147</f>
        <v>119000</v>
      </c>
      <c r="I147" s="3">
        <f>정규화데이터!I147</f>
        <v>119000</v>
      </c>
      <c r="J147" s="3">
        <f>정규화데이터!J147</f>
        <v>82110</v>
      </c>
      <c r="K147" s="25">
        <f>정규화데이터!K147</f>
        <v>0</v>
      </c>
      <c r="L147" s="25">
        <f>정규화데이터!L147</f>
        <v>82110</v>
      </c>
      <c r="M147" s="21">
        <f t="shared" si="4"/>
        <v>0</v>
      </c>
      <c r="N147" s="52">
        <f t="shared" si="5"/>
        <v>0</v>
      </c>
    </row>
    <row r="148" spans="1:14" x14ac:dyDescent="0.3">
      <c r="A148" t="str">
        <f>정규화데이터!A148</f>
        <v>SK스토아</v>
      </c>
      <c r="B148" t="str">
        <f>정규화데이터!B148</f>
        <v>20260206628960</v>
      </c>
      <c r="C148" t="str">
        <f>정규화데이터!C148</f>
        <v>2026-02-07</v>
      </c>
      <c r="D148" t="str">
        <f>정규화데이터!D148</f>
        <v>58481090</v>
      </c>
      <c r="E148" s="16" t="str">
        <f>정규화데이터!E148</f>
        <v>미매핑</v>
      </c>
      <c r="F148" s="3">
        <f>정규화데이터!F148</f>
        <v>1</v>
      </c>
      <c r="G148" s="3">
        <f>정규화데이터!G148</f>
        <v>1</v>
      </c>
      <c r="H148" s="3">
        <f>정규화데이터!H148</f>
        <v>119000</v>
      </c>
      <c r="I148" s="3">
        <f>정규화데이터!I148</f>
        <v>119000</v>
      </c>
      <c r="J148" s="3">
        <f>정규화데이터!J148</f>
        <v>82110</v>
      </c>
      <c r="K148" s="25">
        <f>정규화데이터!K148</f>
        <v>0</v>
      </c>
      <c r="L148" s="25">
        <f>정규화데이터!L148</f>
        <v>82110</v>
      </c>
      <c r="M148" s="21">
        <f t="shared" si="4"/>
        <v>0</v>
      </c>
      <c r="N148" s="52">
        <f t="shared" si="5"/>
        <v>0</v>
      </c>
    </row>
    <row r="149" spans="1:14" x14ac:dyDescent="0.3">
      <c r="A149" t="str">
        <f>정규화데이터!A149</f>
        <v>SK스토아</v>
      </c>
      <c r="B149" t="str">
        <f>정규화데이터!B149</f>
        <v>20260205995524</v>
      </c>
      <c r="C149" t="str">
        <f>정규화데이터!C149</f>
        <v>2026-02-07</v>
      </c>
      <c r="D149" t="str">
        <f>정규화데이터!D149</f>
        <v>58481090</v>
      </c>
      <c r="E149" s="16" t="str">
        <f>정규화데이터!E149</f>
        <v>미매핑</v>
      </c>
      <c r="F149" s="3">
        <f>정규화데이터!F149</f>
        <v>1</v>
      </c>
      <c r="G149" s="3">
        <f>정규화데이터!G149</f>
        <v>1</v>
      </c>
      <c r="H149" s="3">
        <f>정규화데이터!H149</f>
        <v>119000</v>
      </c>
      <c r="I149" s="3">
        <f>정규화데이터!I149</f>
        <v>119000</v>
      </c>
      <c r="J149" s="3">
        <f>정규화데이터!J149</f>
        <v>82110</v>
      </c>
      <c r="K149" s="25">
        <f>정규화데이터!K149</f>
        <v>0</v>
      </c>
      <c r="L149" s="25">
        <f>정규화데이터!L149</f>
        <v>82110</v>
      </c>
      <c r="M149" s="21">
        <f t="shared" si="4"/>
        <v>0</v>
      </c>
      <c r="N149" s="52">
        <f t="shared" si="5"/>
        <v>0</v>
      </c>
    </row>
    <row r="150" spans="1:14" x14ac:dyDescent="0.3">
      <c r="A150" t="str">
        <f>정규화데이터!A150</f>
        <v>SK스토아</v>
      </c>
      <c r="B150" t="str">
        <f>정규화데이터!B150</f>
        <v>20260205994107</v>
      </c>
      <c r="C150" t="str">
        <f>정규화데이터!C150</f>
        <v>2026-02-07</v>
      </c>
      <c r="D150" t="str">
        <f>정규화데이터!D150</f>
        <v>58481090</v>
      </c>
      <c r="E150" s="16" t="str">
        <f>정규화데이터!E150</f>
        <v>미매핑</v>
      </c>
      <c r="F150" s="3">
        <f>정규화데이터!F150</f>
        <v>1</v>
      </c>
      <c r="G150" s="3">
        <f>정규화데이터!G150</f>
        <v>1</v>
      </c>
      <c r="H150" s="3">
        <f>정규화데이터!H150</f>
        <v>119000</v>
      </c>
      <c r="I150" s="3">
        <f>정규화데이터!I150</f>
        <v>119000</v>
      </c>
      <c r="J150" s="3">
        <f>정규화데이터!J150</f>
        <v>82110</v>
      </c>
      <c r="K150" s="25">
        <f>정규화데이터!K150</f>
        <v>0</v>
      </c>
      <c r="L150" s="25">
        <f>정규화데이터!L150</f>
        <v>82110</v>
      </c>
      <c r="M150" s="21">
        <f t="shared" si="4"/>
        <v>0</v>
      </c>
      <c r="N150" s="52">
        <f t="shared" si="5"/>
        <v>0</v>
      </c>
    </row>
    <row r="151" spans="1:14" x14ac:dyDescent="0.3">
      <c r="A151" t="str">
        <f>정규화데이터!A151</f>
        <v>SK스토아</v>
      </c>
      <c r="B151" t="str">
        <f>정규화데이터!B151</f>
        <v>20260205995032</v>
      </c>
      <c r="C151" t="str">
        <f>정규화데이터!C151</f>
        <v>2026-02-07</v>
      </c>
      <c r="D151" t="str">
        <f>정규화데이터!D151</f>
        <v>58481090</v>
      </c>
      <c r="E151" s="16" t="str">
        <f>정규화데이터!E151</f>
        <v>미매핑</v>
      </c>
      <c r="F151" s="3">
        <f>정규화데이터!F151</f>
        <v>1</v>
      </c>
      <c r="G151" s="3">
        <f>정규화데이터!G151</f>
        <v>1</v>
      </c>
      <c r="H151" s="3">
        <f>정규화데이터!H151</f>
        <v>119000</v>
      </c>
      <c r="I151" s="3">
        <f>정규화데이터!I151</f>
        <v>119000</v>
      </c>
      <c r="J151" s="3">
        <f>정규화데이터!J151</f>
        <v>82110</v>
      </c>
      <c r="K151" s="25">
        <f>정규화데이터!K151</f>
        <v>0</v>
      </c>
      <c r="L151" s="25">
        <f>정규화데이터!L151</f>
        <v>82110</v>
      </c>
      <c r="M151" s="21">
        <f t="shared" si="4"/>
        <v>0</v>
      </c>
      <c r="N151" s="52">
        <f t="shared" si="5"/>
        <v>0</v>
      </c>
    </row>
    <row r="152" spans="1:14" x14ac:dyDescent="0.3">
      <c r="A152" t="str">
        <f>정규화데이터!A152</f>
        <v>SK스토아</v>
      </c>
      <c r="B152" t="str">
        <f>정규화데이터!B152</f>
        <v>20260205995095</v>
      </c>
      <c r="C152" t="str">
        <f>정규화데이터!C152</f>
        <v>2026-02-07</v>
      </c>
      <c r="D152" t="str">
        <f>정규화데이터!D152</f>
        <v>58481090</v>
      </c>
      <c r="E152" s="16" t="str">
        <f>정규화데이터!E152</f>
        <v>미매핑</v>
      </c>
      <c r="F152" s="3">
        <f>정규화데이터!F152</f>
        <v>1</v>
      </c>
      <c r="G152" s="3">
        <f>정규화데이터!G152</f>
        <v>1</v>
      </c>
      <c r="H152" s="3">
        <f>정규화데이터!H152</f>
        <v>119000</v>
      </c>
      <c r="I152" s="3">
        <f>정규화데이터!I152</f>
        <v>119000</v>
      </c>
      <c r="J152" s="3">
        <f>정규화데이터!J152</f>
        <v>82110</v>
      </c>
      <c r="K152" s="25">
        <f>정규화데이터!K152</f>
        <v>0</v>
      </c>
      <c r="L152" s="25">
        <f>정규화데이터!L152</f>
        <v>82110</v>
      </c>
      <c r="M152" s="21">
        <f t="shared" si="4"/>
        <v>0</v>
      </c>
      <c r="N152" s="52">
        <f t="shared" si="5"/>
        <v>0</v>
      </c>
    </row>
    <row r="153" spans="1:14" x14ac:dyDescent="0.3">
      <c r="A153" t="str">
        <f>정규화데이터!A153</f>
        <v>SK스토아</v>
      </c>
      <c r="B153" t="str">
        <f>정규화데이터!B153</f>
        <v>20260205994275</v>
      </c>
      <c r="C153" t="str">
        <f>정규화데이터!C153</f>
        <v>2026-02-07</v>
      </c>
      <c r="D153" t="str">
        <f>정규화데이터!D153</f>
        <v>58481090</v>
      </c>
      <c r="E153" s="16" t="str">
        <f>정규화데이터!E153</f>
        <v>미매핑</v>
      </c>
      <c r="F153" s="3">
        <f>정규화데이터!F153</f>
        <v>1</v>
      </c>
      <c r="G153" s="3">
        <f>정규화데이터!G153</f>
        <v>1</v>
      </c>
      <c r="H153" s="3">
        <f>정규화데이터!H153</f>
        <v>119000</v>
      </c>
      <c r="I153" s="3">
        <f>정규화데이터!I153</f>
        <v>119000</v>
      </c>
      <c r="J153" s="3">
        <f>정규화데이터!J153</f>
        <v>82110</v>
      </c>
      <c r="K153" s="25">
        <f>정규화데이터!K153</f>
        <v>0</v>
      </c>
      <c r="L153" s="25">
        <f>정규화데이터!L153</f>
        <v>82110</v>
      </c>
      <c r="M153" s="21">
        <f t="shared" si="4"/>
        <v>0</v>
      </c>
      <c r="N153" s="52">
        <f t="shared" si="5"/>
        <v>0</v>
      </c>
    </row>
    <row r="154" spans="1:14" x14ac:dyDescent="0.3">
      <c r="A154" t="str">
        <f>정규화데이터!A154</f>
        <v>SK스토아</v>
      </c>
      <c r="B154" t="str">
        <f>정규화데이터!B154</f>
        <v>20260205994238</v>
      </c>
      <c r="C154" t="str">
        <f>정규화데이터!C154</f>
        <v>2026-02-07</v>
      </c>
      <c r="D154" t="str">
        <f>정규화데이터!D154</f>
        <v>58481090</v>
      </c>
      <c r="E154" s="16" t="str">
        <f>정규화데이터!E154</f>
        <v>미매핑</v>
      </c>
      <c r="F154" s="3">
        <f>정규화데이터!F154</f>
        <v>1</v>
      </c>
      <c r="G154" s="3">
        <f>정규화데이터!G154</f>
        <v>1</v>
      </c>
      <c r="H154" s="3">
        <f>정규화데이터!H154</f>
        <v>119000</v>
      </c>
      <c r="I154" s="3">
        <f>정규화데이터!I154</f>
        <v>119000</v>
      </c>
      <c r="J154" s="3">
        <f>정규화데이터!J154</f>
        <v>82110</v>
      </c>
      <c r="K154" s="25">
        <f>정규화데이터!K154</f>
        <v>0</v>
      </c>
      <c r="L154" s="25">
        <f>정규화데이터!L154</f>
        <v>82110</v>
      </c>
      <c r="M154" s="21">
        <f t="shared" si="4"/>
        <v>0</v>
      </c>
      <c r="N154" s="52">
        <f t="shared" si="5"/>
        <v>0</v>
      </c>
    </row>
    <row r="155" spans="1:14" x14ac:dyDescent="0.3">
      <c r="A155" t="str">
        <f>정규화데이터!A155</f>
        <v>SK스토아</v>
      </c>
      <c r="B155" t="str">
        <f>정규화데이터!B155</f>
        <v>20260206629059</v>
      </c>
      <c r="C155" t="str">
        <f>정규화데이터!C155</f>
        <v>2026-02-07</v>
      </c>
      <c r="D155" t="str">
        <f>정규화데이터!D155</f>
        <v>58481090</v>
      </c>
      <c r="E155" s="16" t="str">
        <f>정규화데이터!E155</f>
        <v>미매핑</v>
      </c>
      <c r="F155" s="3">
        <f>정규화데이터!F155</f>
        <v>1</v>
      </c>
      <c r="G155" s="3">
        <f>정규화데이터!G155</f>
        <v>1</v>
      </c>
      <c r="H155" s="3">
        <f>정규화데이터!H155</f>
        <v>119000</v>
      </c>
      <c r="I155" s="3">
        <f>정규화데이터!I155</f>
        <v>119000</v>
      </c>
      <c r="J155" s="3">
        <f>정규화데이터!J155</f>
        <v>82110</v>
      </c>
      <c r="K155" s="25">
        <f>정규화데이터!K155</f>
        <v>0</v>
      </c>
      <c r="L155" s="25">
        <f>정규화데이터!L155</f>
        <v>82110</v>
      </c>
      <c r="M155" s="21">
        <f t="shared" si="4"/>
        <v>0</v>
      </c>
      <c r="N155" s="52">
        <f t="shared" si="5"/>
        <v>0</v>
      </c>
    </row>
    <row r="156" spans="1:14" x14ac:dyDescent="0.3">
      <c r="A156" t="str">
        <f>정규화데이터!A156</f>
        <v>SK스토아</v>
      </c>
      <c r="B156" t="str">
        <f>정규화데이터!B156</f>
        <v>20260205997716</v>
      </c>
      <c r="C156" t="str">
        <f>정규화데이터!C156</f>
        <v>2026-02-07</v>
      </c>
      <c r="D156" t="str">
        <f>정규화데이터!D156</f>
        <v>58481090</v>
      </c>
      <c r="E156" s="16" t="str">
        <f>정규화데이터!E156</f>
        <v>미매핑</v>
      </c>
      <c r="F156" s="3">
        <f>정규화데이터!F156</f>
        <v>1</v>
      </c>
      <c r="G156" s="3">
        <f>정규화데이터!G156</f>
        <v>1</v>
      </c>
      <c r="H156" s="3">
        <f>정규화데이터!H156</f>
        <v>119000</v>
      </c>
      <c r="I156" s="3">
        <f>정규화데이터!I156</f>
        <v>114000</v>
      </c>
      <c r="J156" s="3">
        <f>정규화데이터!J156</f>
        <v>82110</v>
      </c>
      <c r="K156" s="25">
        <f>정규화데이터!K156</f>
        <v>0</v>
      </c>
      <c r="L156" s="25">
        <f>정규화데이터!L156</f>
        <v>82110</v>
      </c>
      <c r="M156" s="21">
        <f t="shared" si="4"/>
        <v>0</v>
      </c>
      <c r="N156" s="52">
        <f t="shared" si="5"/>
        <v>0</v>
      </c>
    </row>
    <row r="157" spans="1:14" x14ac:dyDescent="0.3">
      <c r="A157" t="str">
        <f>정규화데이터!A157</f>
        <v>SK스토아</v>
      </c>
      <c r="B157" t="str">
        <f>정규화데이터!B157</f>
        <v>20260205994854</v>
      </c>
      <c r="C157" t="str">
        <f>정규화데이터!C157</f>
        <v>2026-02-07</v>
      </c>
      <c r="D157" t="str">
        <f>정규화데이터!D157</f>
        <v>58481090</v>
      </c>
      <c r="E157" s="16" t="str">
        <f>정규화데이터!E157</f>
        <v>미매핑</v>
      </c>
      <c r="F157" s="3">
        <f>정규화데이터!F157</f>
        <v>1</v>
      </c>
      <c r="G157" s="3">
        <f>정규화데이터!G157</f>
        <v>1</v>
      </c>
      <c r="H157" s="3">
        <f>정규화데이터!H157</f>
        <v>119000</v>
      </c>
      <c r="I157" s="3">
        <f>정규화데이터!I157</f>
        <v>119000</v>
      </c>
      <c r="J157" s="3">
        <f>정규화데이터!J157</f>
        <v>82110</v>
      </c>
      <c r="K157" s="25">
        <f>정규화데이터!K157</f>
        <v>0</v>
      </c>
      <c r="L157" s="25">
        <f>정규화데이터!L157</f>
        <v>82110</v>
      </c>
      <c r="M157" s="21">
        <f t="shared" si="4"/>
        <v>0</v>
      </c>
      <c r="N157" s="52">
        <f t="shared" si="5"/>
        <v>0</v>
      </c>
    </row>
    <row r="158" spans="1:14" x14ac:dyDescent="0.3">
      <c r="A158" t="str">
        <f>정규화데이터!A158</f>
        <v>SK스토아</v>
      </c>
      <c r="B158" t="str">
        <f>정규화데이터!B158</f>
        <v>20260205995046</v>
      </c>
      <c r="C158" t="str">
        <f>정규화데이터!C158</f>
        <v>2026-02-07</v>
      </c>
      <c r="D158" t="str">
        <f>정규화데이터!D158</f>
        <v>58481090</v>
      </c>
      <c r="E158" s="16" t="str">
        <f>정규화데이터!E158</f>
        <v>미매핑</v>
      </c>
      <c r="F158" s="3">
        <f>정규화데이터!F158</f>
        <v>1</v>
      </c>
      <c r="G158" s="3">
        <f>정규화데이터!G158</f>
        <v>1</v>
      </c>
      <c r="H158" s="3">
        <f>정규화데이터!H158</f>
        <v>119000</v>
      </c>
      <c r="I158" s="3">
        <f>정규화데이터!I158</f>
        <v>119000</v>
      </c>
      <c r="J158" s="3">
        <f>정규화데이터!J158</f>
        <v>82110</v>
      </c>
      <c r="K158" s="25">
        <f>정규화데이터!K158</f>
        <v>0</v>
      </c>
      <c r="L158" s="25">
        <f>정규화데이터!L158</f>
        <v>82110</v>
      </c>
      <c r="M158" s="21">
        <f t="shared" si="4"/>
        <v>0</v>
      </c>
      <c r="N158" s="52">
        <f t="shared" si="5"/>
        <v>0</v>
      </c>
    </row>
    <row r="159" spans="1:14" x14ac:dyDescent="0.3">
      <c r="A159" t="str">
        <f>정규화데이터!A159</f>
        <v>SK스토아</v>
      </c>
      <c r="B159" t="str">
        <f>정규화데이터!B159</f>
        <v>20260205992812</v>
      </c>
      <c r="C159" t="str">
        <f>정규화데이터!C159</f>
        <v>2026-02-07</v>
      </c>
      <c r="D159" t="str">
        <f>정규화데이터!D159</f>
        <v>58481090</v>
      </c>
      <c r="E159" s="16" t="str">
        <f>정규화데이터!E159</f>
        <v>미매핑</v>
      </c>
      <c r="F159" s="3">
        <f>정규화데이터!F159</f>
        <v>1</v>
      </c>
      <c r="G159" s="3">
        <f>정규화데이터!G159</f>
        <v>1</v>
      </c>
      <c r="H159" s="3">
        <f>정규화데이터!H159</f>
        <v>119000</v>
      </c>
      <c r="I159" s="3">
        <f>정규화데이터!I159</f>
        <v>119000</v>
      </c>
      <c r="J159" s="3">
        <f>정규화데이터!J159</f>
        <v>82110</v>
      </c>
      <c r="K159" s="25">
        <f>정규화데이터!K159</f>
        <v>0</v>
      </c>
      <c r="L159" s="25">
        <f>정규화데이터!L159</f>
        <v>82110</v>
      </c>
      <c r="M159" s="21">
        <f t="shared" si="4"/>
        <v>0</v>
      </c>
      <c r="N159" s="52">
        <f t="shared" si="5"/>
        <v>0</v>
      </c>
    </row>
    <row r="160" spans="1:14" x14ac:dyDescent="0.3">
      <c r="A160" t="str">
        <f>정규화데이터!A160</f>
        <v>SK스토아</v>
      </c>
      <c r="B160" t="str">
        <f>정규화데이터!B160</f>
        <v>20260205993048</v>
      </c>
      <c r="C160" t="str">
        <f>정규화데이터!C160</f>
        <v>2026-02-07</v>
      </c>
      <c r="D160" t="str">
        <f>정규화데이터!D160</f>
        <v>58481090</v>
      </c>
      <c r="E160" s="16" t="str">
        <f>정규화데이터!E160</f>
        <v>미매핑</v>
      </c>
      <c r="F160" s="3">
        <f>정규화데이터!F160</f>
        <v>1</v>
      </c>
      <c r="G160" s="3">
        <f>정규화데이터!G160</f>
        <v>1</v>
      </c>
      <c r="H160" s="3">
        <f>정규화데이터!H160</f>
        <v>119000</v>
      </c>
      <c r="I160" s="3">
        <f>정규화데이터!I160</f>
        <v>119000</v>
      </c>
      <c r="J160" s="3">
        <f>정규화데이터!J160</f>
        <v>82110</v>
      </c>
      <c r="K160" s="25">
        <f>정규화데이터!K160</f>
        <v>0</v>
      </c>
      <c r="L160" s="25">
        <f>정규화데이터!L160</f>
        <v>82110</v>
      </c>
      <c r="M160" s="21">
        <f t="shared" si="4"/>
        <v>0</v>
      </c>
      <c r="N160" s="52">
        <f t="shared" si="5"/>
        <v>0</v>
      </c>
    </row>
    <row r="161" spans="1:14" x14ac:dyDescent="0.3">
      <c r="A161" t="str">
        <f>정규화데이터!A161</f>
        <v>SK스토아</v>
      </c>
      <c r="B161" t="str">
        <f>정규화데이터!B161</f>
        <v>20260205993092</v>
      </c>
      <c r="C161" t="str">
        <f>정규화데이터!C161</f>
        <v>2026-02-07</v>
      </c>
      <c r="D161" t="str">
        <f>정규화데이터!D161</f>
        <v>58481090</v>
      </c>
      <c r="E161" s="16" t="str">
        <f>정규화데이터!E161</f>
        <v>미매핑</v>
      </c>
      <c r="F161" s="3">
        <f>정규화데이터!F161</f>
        <v>1</v>
      </c>
      <c r="G161" s="3">
        <f>정규화데이터!G161</f>
        <v>1</v>
      </c>
      <c r="H161" s="3">
        <f>정규화데이터!H161</f>
        <v>119000</v>
      </c>
      <c r="I161" s="3">
        <f>정규화데이터!I161</f>
        <v>119000</v>
      </c>
      <c r="J161" s="3">
        <f>정규화데이터!J161</f>
        <v>82110</v>
      </c>
      <c r="K161" s="25">
        <f>정규화데이터!K161</f>
        <v>0</v>
      </c>
      <c r="L161" s="25">
        <f>정규화데이터!L161</f>
        <v>82110</v>
      </c>
      <c r="M161" s="21">
        <f t="shared" si="4"/>
        <v>0</v>
      </c>
      <c r="N161" s="52">
        <f t="shared" si="5"/>
        <v>0</v>
      </c>
    </row>
    <row r="162" spans="1:14" x14ac:dyDescent="0.3">
      <c r="A162" t="str">
        <f>정규화데이터!A162</f>
        <v>SK스토아</v>
      </c>
      <c r="B162" t="str">
        <f>정규화데이터!B162</f>
        <v>20260205993598</v>
      </c>
      <c r="C162" t="str">
        <f>정규화데이터!C162</f>
        <v>2026-02-07</v>
      </c>
      <c r="D162" t="str">
        <f>정규화데이터!D162</f>
        <v>58481090</v>
      </c>
      <c r="E162" s="16" t="str">
        <f>정규화데이터!E162</f>
        <v>미매핑</v>
      </c>
      <c r="F162" s="3">
        <f>정규화데이터!F162</f>
        <v>1</v>
      </c>
      <c r="G162" s="3">
        <f>정규화데이터!G162</f>
        <v>1</v>
      </c>
      <c r="H162" s="3">
        <f>정규화데이터!H162</f>
        <v>119000</v>
      </c>
      <c r="I162" s="3">
        <f>정규화데이터!I162</f>
        <v>119000</v>
      </c>
      <c r="J162" s="3">
        <f>정규화데이터!J162</f>
        <v>82110</v>
      </c>
      <c r="K162" s="25">
        <f>정규화데이터!K162</f>
        <v>0</v>
      </c>
      <c r="L162" s="25">
        <f>정규화데이터!L162</f>
        <v>82110</v>
      </c>
      <c r="M162" s="21">
        <f t="shared" si="4"/>
        <v>0</v>
      </c>
      <c r="N162" s="52">
        <f t="shared" si="5"/>
        <v>0</v>
      </c>
    </row>
    <row r="163" spans="1:14" x14ac:dyDescent="0.3">
      <c r="A163" t="str">
        <f>정규화데이터!A163</f>
        <v>SK스토아</v>
      </c>
      <c r="B163" t="str">
        <f>정규화데이터!B163</f>
        <v>20260205995045</v>
      </c>
      <c r="C163" t="str">
        <f>정규화데이터!C163</f>
        <v>2026-02-07</v>
      </c>
      <c r="D163" t="str">
        <f>정규화데이터!D163</f>
        <v>58481090</v>
      </c>
      <c r="E163" s="16" t="str">
        <f>정규화데이터!E163</f>
        <v>미매핑</v>
      </c>
      <c r="F163" s="3">
        <f>정규화데이터!F163</f>
        <v>1</v>
      </c>
      <c r="G163" s="3">
        <f>정규화데이터!G163</f>
        <v>1</v>
      </c>
      <c r="H163" s="3">
        <f>정규화데이터!H163</f>
        <v>119000</v>
      </c>
      <c r="I163" s="3">
        <f>정규화데이터!I163</f>
        <v>119000</v>
      </c>
      <c r="J163" s="3">
        <f>정규화데이터!J163</f>
        <v>82110</v>
      </c>
      <c r="K163" s="25">
        <f>정규화데이터!K163</f>
        <v>0</v>
      </c>
      <c r="L163" s="25">
        <f>정규화데이터!L163</f>
        <v>82110</v>
      </c>
      <c r="M163" s="21">
        <f t="shared" si="4"/>
        <v>0</v>
      </c>
      <c r="N163" s="52">
        <f t="shared" si="5"/>
        <v>0</v>
      </c>
    </row>
    <row r="164" spans="1:14" x14ac:dyDescent="0.3">
      <c r="A164" t="str">
        <f>정규화데이터!A164</f>
        <v>SK스토아</v>
      </c>
      <c r="B164" t="str">
        <f>정규화데이터!B164</f>
        <v>20260205993918</v>
      </c>
      <c r="C164" t="str">
        <f>정규화데이터!C164</f>
        <v>2026-02-07</v>
      </c>
      <c r="D164" t="str">
        <f>정규화데이터!D164</f>
        <v>58481090</v>
      </c>
      <c r="E164" s="16" t="str">
        <f>정규화데이터!E164</f>
        <v>미매핑</v>
      </c>
      <c r="F164" s="3">
        <f>정규화데이터!F164</f>
        <v>1</v>
      </c>
      <c r="G164" s="3">
        <f>정규화데이터!G164</f>
        <v>1</v>
      </c>
      <c r="H164" s="3">
        <f>정규화데이터!H164</f>
        <v>119000</v>
      </c>
      <c r="I164" s="3">
        <f>정규화데이터!I164</f>
        <v>99960</v>
      </c>
      <c r="J164" s="3">
        <f>정규화데이터!J164</f>
        <v>82110</v>
      </c>
      <c r="K164" s="25">
        <f>정규화데이터!K164</f>
        <v>0</v>
      </c>
      <c r="L164" s="25">
        <f>정규화데이터!L164</f>
        <v>82110</v>
      </c>
      <c r="M164" s="21">
        <f t="shared" si="4"/>
        <v>0</v>
      </c>
      <c r="N164" s="52">
        <f t="shared" si="5"/>
        <v>0</v>
      </c>
    </row>
    <row r="165" spans="1:14" x14ac:dyDescent="0.3">
      <c r="A165" t="str">
        <f>정규화데이터!A165</f>
        <v>SK스토아</v>
      </c>
      <c r="B165" t="str">
        <f>정규화데이터!B165</f>
        <v>20260205995159</v>
      </c>
      <c r="C165" t="str">
        <f>정규화데이터!C165</f>
        <v>2026-02-07</v>
      </c>
      <c r="D165" t="str">
        <f>정규화데이터!D165</f>
        <v>58481090</v>
      </c>
      <c r="E165" s="16" t="str">
        <f>정규화데이터!E165</f>
        <v>미매핑</v>
      </c>
      <c r="F165" s="3">
        <f>정규화데이터!F165</f>
        <v>1</v>
      </c>
      <c r="G165" s="3">
        <f>정규화데이터!G165</f>
        <v>1</v>
      </c>
      <c r="H165" s="3">
        <f>정규화데이터!H165</f>
        <v>119000</v>
      </c>
      <c r="I165" s="3">
        <f>정규화데이터!I165</f>
        <v>119000</v>
      </c>
      <c r="J165" s="3">
        <f>정규화데이터!J165</f>
        <v>82110</v>
      </c>
      <c r="K165" s="25">
        <f>정규화데이터!K165</f>
        <v>0</v>
      </c>
      <c r="L165" s="25">
        <f>정규화데이터!L165</f>
        <v>82110</v>
      </c>
      <c r="M165" s="21">
        <f t="shared" si="4"/>
        <v>0</v>
      </c>
      <c r="N165" s="52">
        <f t="shared" si="5"/>
        <v>0</v>
      </c>
    </row>
    <row r="166" spans="1:14" x14ac:dyDescent="0.3">
      <c r="A166" t="str">
        <f>정규화데이터!A166</f>
        <v>SK스토아</v>
      </c>
      <c r="B166" t="str">
        <f>정규화데이터!B166</f>
        <v>20260205995312</v>
      </c>
      <c r="C166" t="str">
        <f>정규화데이터!C166</f>
        <v>2026-02-07</v>
      </c>
      <c r="D166" t="str">
        <f>정규화데이터!D166</f>
        <v>58481090</v>
      </c>
      <c r="E166" s="16" t="str">
        <f>정규화데이터!E166</f>
        <v>미매핑</v>
      </c>
      <c r="F166" s="3">
        <f>정규화데이터!F166</f>
        <v>1</v>
      </c>
      <c r="G166" s="3">
        <f>정규화데이터!G166</f>
        <v>1</v>
      </c>
      <c r="H166" s="3">
        <f>정규화데이터!H166</f>
        <v>119000</v>
      </c>
      <c r="I166" s="3">
        <f>정규화데이터!I166</f>
        <v>119000</v>
      </c>
      <c r="J166" s="3">
        <f>정규화데이터!J166</f>
        <v>82110</v>
      </c>
      <c r="K166" s="25">
        <f>정규화데이터!K166</f>
        <v>0</v>
      </c>
      <c r="L166" s="25">
        <f>정규화데이터!L166</f>
        <v>82110</v>
      </c>
      <c r="M166" s="21">
        <f t="shared" si="4"/>
        <v>0</v>
      </c>
      <c r="N166" s="52">
        <f t="shared" si="5"/>
        <v>0</v>
      </c>
    </row>
    <row r="167" spans="1:14" x14ac:dyDescent="0.3">
      <c r="A167" t="str">
        <f>정규화데이터!A167</f>
        <v>SK스토아</v>
      </c>
      <c r="B167" t="str">
        <f>정규화데이터!B167</f>
        <v>20260205994825</v>
      </c>
      <c r="C167" t="str">
        <f>정규화데이터!C167</f>
        <v>2026-02-07</v>
      </c>
      <c r="D167" t="str">
        <f>정규화데이터!D167</f>
        <v>58481090</v>
      </c>
      <c r="E167" s="16" t="str">
        <f>정규화데이터!E167</f>
        <v>미매핑</v>
      </c>
      <c r="F167" s="3">
        <f>정규화데이터!F167</f>
        <v>1</v>
      </c>
      <c r="G167" s="3">
        <f>정규화데이터!G167</f>
        <v>1</v>
      </c>
      <c r="H167" s="3">
        <f>정규화데이터!H167</f>
        <v>119000</v>
      </c>
      <c r="I167" s="3">
        <f>정규화데이터!I167</f>
        <v>119000</v>
      </c>
      <c r="J167" s="3">
        <f>정규화데이터!J167</f>
        <v>82110</v>
      </c>
      <c r="K167" s="25">
        <f>정규화데이터!K167</f>
        <v>0</v>
      </c>
      <c r="L167" s="25">
        <f>정규화데이터!L167</f>
        <v>82110</v>
      </c>
      <c r="M167" s="21">
        <f t="shared" si="4"/>
        <v>0</v>
      </c>
      <c r="N167" s="52">
        <f t="shared" si="5"/>
        <v>0</v>
      </c>
    </row>
    <row r="168" spans="1:14" x14ac:dyDescent="0.3">
      <c r="A168" t="str">
        <f>정규화데이터!A168</f>
        <v>SK스토아</v>
      </c>
      <c r="B168" t="str">
        <f>정규화데이터!B168</f>
        <v>20260205994949</v>
      </c>
      <c r="C168" t="str">
        <f>정규화데이터!C168</f>
        <v>2026-02-07</v>
      </c>
      <c r="D168" t="str">
        <f>정규화데이터!D168</f>
        <v>58481090</v>
      </c>
      <c r="E168" s="16" t="str">
        <f>정규화데이터!E168</f>
        <v>미매핑</v>
      </c>
      <c r="F168" s="3">
        <f>정규화데이터!F168</f>
        <v>1</v>
      </c>
      <c r="G168" s="3">
        <f>정규화데이터!G168</f>
        <v>1</v>
      </c>
      <c r="H168" s="3">
        <f>정규화데이터!H168</f>
        <v>119000</v>
      </c>
      <c r="I168" s="3">
        <f>정규화데이터!I168</f>
        <v>103550</v>
      </c>
      <c r="J168" s="3">
        <f>정규화데이터!J168</f>
        <v>82110</v>
      </c>
      <c r="K168" s="25">
        <f>정규화데이터!K168</f>
        <v>0</v>
      </c>
      <c r="L168" s="25">
        <f>정규화데이터!L168</f>
        <v>82110</v>
      </c>
      <c r="M168" s="21">
        <f t="shared" si="4"/>
        <v>0</v>
      </c>
      <c r="N168" s="52">
        <f t="shared" si="5"/>
        <v>0</v>
      </c>
    </row>
    <row r="169" spans="1:14" x14ac:dyDescent="0.3">
      <c r="A169" t="str">
        <f>정규화데이터!A169</f>
        <v>SK스토아</v>
      </c>
      <c r="B169" t="str">
        <f>정규화데이터!B169</f>
        <v>20260205994979</v>
      </c>
      <c r="C169" t="str">
        <f>정규화데이터!C169</f>
        <v>2026-02-07</v>
      </c>
      <c r="D169" t="str">
        <f>정규화데이터!D169</f>
        <v>58481090</v>
      </c>
      <c r="E169" s="16" t="str">
        <f>정규화데이터!E169</f>
        <v>미매핑</v>
      </c>
      <c r="F169" s="3">
        <f>정규화데이터!F169</f>
        <v>1</v>
      </c>
      <c r="G169" s="3">
        <f>정규화데이터!G169</f>
        <v>1</v>
      </c>
      <c r="H169" s="3">
        <f>정규화데이터!H169</f>
        <v>119000</v>
      </c>
      <c r="I169" s="3">
        <f>정규화데이터!I169</f>
        <v>119000</v>
      </c>
      <c r="J169" s="3">
        <f>정규화데이터!J169</f>
        <v>82110</v>
      </c>
      <c r="K169" s="25">
        <f>정규화데이터!K169</f>
        <v>0</v>
      </c>
      <c r="L169" s="25">
        <f>정규화데이터!L169</f>
        <v>82110</v>
      </c>
      <c r="M169" s="21">
        <f t="shared" si="4"/>
        <v>0</v>
      </c>
      <c r="N169" s="52">
        <f t="shared" si="5"/>
        <v>0</v>
      </c>
    </row>
    <row r="170" spans="1:14" x14ac:dyDescent="0.3">
      <c r="A170" t="str">
        <f>정규화데이터!A170</f>
        <v>SK스토아</v>
      </c>
      <c r="B170" t="str">
        <f>정규화데이터!B170</f>
        <v>20260205993513</v>
      </c>
      <c r="C170" t="str">
        <f>정규화데이터!C170</f>
        <v>2026-02-07</v>
      </c>
      <c r="D170" t="str">
        <f>정규화데이터!D170</f>
        <v>58481090</v>
      </c>
      <c r="E170" s="16" t="str">
        <f>정규화데이터!E170</f>
        <v>미매핑</v>
      </c>
      <c r="F170" s="3">
        <f>정규화데이터!F170</f>
        <v>1</v>
      </c>
      <c r="G170" s="3">
        <f>정규화데이터!G170</f>
        <v>1</v>
      </c>
      <c r="H170" s="3">
        <f>정규화데이터!H170</f>
        <v>119000</v>
      </c>
      <c r="I170" s="3">
        <f>정규화데이터!I170</f>
        <v>96390</v>
      </c>
      <c r="J170" s="3">
        <f>정규화데이터!J170</f>
        <v>82110</v>
      </c>
      <c r="K170" s="25">
        <f>정규화데이터!K170</f>
        <v>0</v>
      </c>
      <c r="L170" s="25">
        <f>정규화데이터!L170</f>
        <v>82110</v>
      </c>
      <c r="M170" s="21">
        <f t="shared" si="4"/>
        <v>0</v>
      </c>
      <c r="N170" s="52">
        <f t="shared" si="5"/>
        <v>0</v>
      </c>
    </row>
    <row r="171" spans="1:14" x14ac:dyDescent="0.3">
      <c r="A171" t="str">
        <f>정규화데이터!A171</f>
        <v>SK스토아</v>
      </c>
      <c r="B171" t="str">
        <f>정규화데이터!B171</f>
        <v>20260205995604</v>
      </c>
      <c r="C171" t="str">
        <f>정규화데이터!C171</f>
        <v>2026-02-07</v>
      </c>
      <c r="D171" t="str">
        <f>정규화데이터!D171</f>
        <v>58481090</v>
      </c>
      <c r="E171" s="16" t="str">
        <f>정규화데이터!E171</f>
        <v>미매핑</v>
      </c>
      <c r="F171" s="3">
        <f>정규화데이터!F171</f>
        <v>1</v>
      </c>
      <c r="G171" s="3">
        <f>정규화데이터!G171</f>
        <v>1</v>
      </c>
      <c r="H171" s="3">
        <f>정규화데이터!H171</f>
        <v>119000</v>
      </c>
      <c r="I171" s="3">
        <f>정규화데이터!I171</f>
        <v>119000</v>
      </c>
      <c r="J171" s="3">
        <f>정규화데이터!J171</f>
        <v>82110</v>
      </c>
      <c r="K171" s="25">
        <f>정규화데이터!K171</f>
        <v>0</v>
      </c>
      <c r="L171" s="25">
        <f>정규화데이터!L171</f>
        <v>82110</v>
      </c>
      <c r="M171" s="21">
        <f t="shared" si="4"/>
        <v>0</v>
      </c>
      <c r="N171" s="52">
        <f t="shared" si="5"/>
        <v>0</v>
      </c>
    </row>
    <row r="172" spans="1:14" x14ac:dyDescent="0.3">
      <c r="A172" t="str">
        <f>정규화데이터!A172</f>
        <v>SK스토아</v>
      </c>
      <c r="B172" t="str">
        <f>정규화데이터!B172</f>
        <v>20260205995517</v>
      </c>
      <c r="C172" t="str">
        <f>정규화데이터!C172</f>
        <v>2026-02-07</v>
      </c>
      <c r="D172" t="str">
        <f>정규화데이터!D172</f>
        <v>58481090</v>
      </c>
      <c r="E172" s="16" t="str">
        <f>정규화데이터!E172</f>
        <v>미매핑</v>
      </c>
      <c r="F172" s="3">
        <f>정규화데이터!F172</f>
        <v>1</v>
      </c>
      <c r="G172" s="3">
        <f>정규화데이터!G172</f>
        <v>1</v>
      </c>
      <c r="H172" s="3">
        <f>정규화데이터!H172</f>
        <v>119000</v>
      </c>
      <c r="I172" s="3">
        <f>정규화데이터!I172</f>
        <v>105910</v>
      </c>
      <c r="J172" s="3">
        <f>정규화데이터!J172</f>
        <v>82110</v>
      </c>
      <c r="K172" s="25">
        <f>정규화데이터!K172</f>
        <v>0</v>
      </c>
      <c r="L172" s="25">
        <f>정규화데이터!L172</f>
        <v>82110</v>
      </c>
      <c r="M172" s="21">
        <f t="shared" si="4"/>
        <v>0</v>
      </c>
      <c r="N172" s="52">
        <f t="shared" si="5"/>
        <v>0</v>
      </c>
    </row>
    <row r="173" spans="1:14" x14ac:dyDescent="0.3">
      <c r="A173" t="str">
        <f>정규화데이터!A173</f>
        <v>SK스토아</v>
      </c>
      <c r="B173" t="str">
        <f>정규화데이터!B173</f>
        <v>20260205995098</v>
      </c>
      <c r="C173" t="str">
        <f>정규화데이터!C173</f>
        <v>2026-02-07</v>
      </c>
      <c r="D173" t="str">
        <f>정규화데이터!D173</f>
        <v>58481090</v>
      </c>
      <c r="E173" s="16" t="str">
        <f>정규화데이터!E173</f>
        <v>미매핑</v>
      </c>
      <c r="F173" s="3">
        <f>정규화데이터!F173</f>
        <v>1</v>
      </c>
      <c r="G173" s="3">
        <f>정규화데이터!G173</f>
        <v>1</v>
      </c>
      <c r="H173" s="3">
        <f>정규화데이터!H173</f>
        <v>119000</v>
      </c>
      <c r="I173" s="3">
        <f>정규화데이터!I173</f>
        <v>119000</v>
      </c>
      <c r="J173" s="3">
        <f>정규화데이터!J173</f>
        <v>82110</v>
      </c>
      <c r="K173" s="25">
        <f>정규화데이터!K173</f>
        <v>0</v>
      </c>
      <c r="L173" s="25">
        <f>정규화데이터!L173</f>
        <v>82110</v>
      </c>
      <c r="M173" s="21">
        <f t="shared" si="4"/>
        <v>0</v>
      </c>
      <c r="N173" s="52">
        <f t="shared" si="5"/>
        <v>0</v>
      </c>
    </row>
    <row r="174" spans="1:14" x14ac:dyDescent="0.3">
      <c r="A174" t="str">
        <f>정규화데이터!A174</f>
        <v>SK스토아</v>
      </c>
      <c r="B174" t="str">
        <f>정규화데이터!B174</f>
        <v>20260205994449</v>
      </c>
      <c r="C174" t="str">
        <f>정규화데이터!C174</f>
        <v>2026-02-07</v>
      </c>
      <c r="D174" t="str">
        <f>정규화데이터!D174</f>
        <v>58481090</v>
      </c>
      <c r="E174" s="16" t="str">
        <f>정규화데이터!E174</f>
        <v>미매핑</v>
      </c>
      <c r="F174" s="3">
        <f>정규화데이터!F174</f>
        <v>1</v>
      </c>
      <c r="G174" s="3">
        <f>정규화데이터!G174</f>
        <v>1</v>
      </c>
      <c r="H174" s="3">
        <f>정규화데이터!H174</f>
        <v>119000</v>
      </c>
      <c r="I174" s="3">
        <f>정규화데이터!I174</f>
        <v>119000</v>
      </c>
      <c r="J174" s="3">
        <f>정규화데이터!J174</f>
        <v>82110</v>
      </c>
      <c r="K174" s="25">
        <f>정규화데이터!K174</f>
        <v>0</v>
      </c>
      <c r="L174" s="25">
        <f>정규화데이터!L174</f>
        <v>82110</v>
      </c>
      <c r="M174" s="21">
        <f t="shared" si="4"/>
        <v>0</v>
      </c>
      <c r="N174" s="52">
        <f t="shared" si="5"/>
        <v>0</v>
      </c>
    </row>
    <row r="175" spans="1:14" x14ac:dyDescent="0.3">
      <c r="A175" t="str">
        <f>정규화데이터!A175</f>
        <v>SK스토아</v>
      </c>
      <c r="B175" t="str">
        <f>정규화데이터!B175</f>
        <v>20260205993692</v>
      </c>
      <c r="C175" t="str">
        <f>정규화데이터!C175</f>
        <v>2026-02-07</v>
      </c>
      <c r="D175" t="str">
        <f>정규화데이터!D175</f>
        <v>58481090</v>
      </c>
      <c r="E175" s="16" t="str">
        <f>정규화데이터!E175</f>
        <v>미매핑</v>
      </c>
      <c r="F175" s="3">
        <f>정규화데이터!F175</f>
        <v>1</v>
      </c>
      <c r="G175" s="3">
        <f>정규화데이터!G175</f>
        <v>1</v>
      </c>
      <c r="H175" s="3">
        <f>정규화데이터!H175</f>
        <v>119000</v>
      </c>
      <c r="I175" s="3">
        <f>정규화데이터!I175</f>
        <v>119000</v>
      </c>
      <c r="J175" s="3">
        <f>정규화데이터!J175</f>
        <v>82110</v>
      </c>
      <c r="K175" s="25">
        <f>정규화데이터!K175</f>
        <v>0</v>
      </c>
      <c r="L175" s="25">
        <f>정규화데이터!L175</f>
        <v>82110</v>
      </c>
      <c r="M175" s="21">
        <f t="shared" si="4"/>
        <v>0</v>
      </c>
      <c r="N175" s="52">
        <f t="shared" si="5"/>
        <v>0</v>
      </c>
    </row>
    <row r="176" spans="1:14" x14ac:dyDescent="0.3">
      <c r="A176" t="str">
        <f>정규화데이터!A176</f>
        <v>SK스토아</v>
      </c>
      <c r="B176" t="str">
        <f>정규화데이터!B176</f>
        <v>20260205994013</v>
      </c>
      <c r="C176" t="str">
        <f>정규화데이터!C176</f>
        <v>2026-02-07</v>
      </c>
      <c r="D176" t="str">
        <f>정규화데이터!D176</f>
        <v>58481090</v>
      </c>
      <c r="E176" s="16" t="str">
        <f>정규화데이터!E176</f>
        <v>미매핑</v>
      </c>
      <c r="F176" s="3">
        <f>정규화데이터!F176</f>
        <v>1</v>
      </c>
      <c r="G176" s="3">
        <f>정규화데이터!G176</f>
        <v>1</v>
      </c>
      <c r="H176" s="3">
        <f>정규화데이터!H176</f>
        <v>119000</v>
      </c>
      <c r="I176" s="3">
        <f>정규화데이터!I176</f>
        <v>113050</v>
      </c>
      <c r="J176" s="3">
        <f>정규화데이터!J176</f>
        <v>82110</v>
      </c>
      <c r="K176" s="25">
        <f>정규화데이터!K176</f>
        <v>0</v>
      </c>
      <c r="L176" s="25">
        <f>정규화데이터!L176</f>
        <v>82110</v>
      </c>
      <c r="M176" s="21">
        <f t="shared" si="4"/>
        <v>0</v>
      </c>
      <c r="N176" s="52">
        <f t="shared" si="5"/>
        <v>0</v>
      </c>
    </row>
    <row r="177" spans="1:14" x14ac:dyDescent="0.3">
      <c r="A177" t="str">
        <f>정규화데이터!A177</f>
        <v>SK스토아</v>
      </c>
      <c r="B177" t="str">
        <f>정규화데이터!B177</f>
        <v>20260205993305</v>
      </c>
      <c r="C177" t="str">
        <f>정규화데이터!C177</f>
        <v>2026-02-07</v>
      </c>
      <c r="D177" t="str">
        <f>정규화데이터!D177</f>
        <v>58481090</v>
      </c>
      <c r="E177" s="16" t="str">
        <f>정규화데이터!E177</f>
        <v>미매핑</v>
      </c>
      <c r="F177" s="3">
        <f>정규화데이터!F177</f>
        <v>1</v>
      </c>
      <c r="G177" s="3">
        <f>정규화데이터!G177</f>
        <v>1</v>
      </c>
      <c r="H177" s="3">
        <f>정규화데이터!H177</f>
        <v>119000</v>
      </c>
      <c r="I177" s="3">
        <f>정규화데이터!I177</f>
        <v>113050</v>
      </c>
      <c r="J177" s="3">
        <f>정규화데이터!J177</f>
        <v>82110</v>
      </c>
      <c r="K177" s="25">
        <f>정규화데이터!K177</f>
        <v>0</v>
      </c>
      <c r="L177" s="25">
        <f>정규화데이터!L177</f>
        <v>82110</v>
      </c>
      <c r="M177" s="21">
        <f t="shared" si="4"/>
        <v>0</v>
      </c>
      <c r="N177" s="52">
        <f t="shared" si="5"/>
        <v>0</v>
      </c>
    </row>
    <row r="178" spans="1:14" x14ac:dyDescent="0.3">
      <c r="A178" t="str">
        <f>정규화데이터!A178</f>
        <v>SK스토아</v>
      </c>
      <c r="B178" t="str">
        <f>정규화데이터!B178</f>
        <v>20260205992338</v>
      </c>
      <c r="C178" t="str">
        <f>정규화데이터!C178</f>
        <v>2026-02-07</v>
      </c>
      <c r="D178" t="str">
        <f>정규화데이터!D178</f>
        <v>58481090</v>
      </c>
      <c r="E178" s="16" t="str">
        <f>정규화데이터!E178</f>
        <v>미매핑</v>
      </c>
      <c r="F178" s="3">
        <f>정규화데이터!F178</f>
        <v>1</v>
      </c>
      <c r="G178" s="3">
        <f>정규화데이터!G178</f>
        <v>1</v>
      </c>
      <c r="H178" s="3">
        <f>정규화데이터!H178</f>
        <v>119000</v>
      </c>
      <c r="I178" s="3">
        <f>정규화데이터!I178</f>
        <v>119000</v>
      </c>
      <c r="J178" s="3">
        <f>정규화데이터!J178</f>
        <v>82110</v>
      </c>
      <c r="K178" s="25">
        <f>정규화데이터!K178</f>
        <v>0</v>
      </c>
      <c r="L178" s="25">
        <f>정규화데이터!L178</f>
        <v>82110</v>
      </c>
      <c r="M178" s="21">
        <f t="shared" si="4"/>
        <v>0</v>
      </c>
      <c r="N178" s="52">
        <f t="shared" si="5"/>
        <v>0</v>
      </c>
    </row>
    <row r="179" spans="1:14" x14ac:dyDescent="0.3">
      <c r="A179" t="str">
        <f>정규화데이터!A179</f>
        <v>SK스토아</v>
      </c>
      <c r="B179" t="str">
        <f>정규화데이터!B179</f>
        <v>20260205992763</v>
      </c>
      <c r="C179" t="str">
        <f>정규화데이터!C179</f>
        <v>2026-02-07</v>
      </c>
      <c r="D179" t="str">
        <f>정규화데이터!D179</f>
        <v>58481090</v>
      </c>
      <c r="E179" s="16" t="str">
        <f>정규화데이터!E179</f>
        <v>미매핑</v>
      </c>
      <c r="F179" s="3">
        <f>정규화데이터!F179</f>
        <v>1</v>
      </c>
      <c r="G179" s="3">
        <f>정규화데이터!G179</f>
        <v>1</v>
      </c>
      <c r="H179" s="3">
        <f>정규화데이터!H179</f>
        <v>119000</v>
      </c>
      <c r="I179" s="3">
        <f>정규화데이터!I179</f>
        <v>119000</v>
      </c>
      <c r="J179" s="3">
        <f>정규화데이터!J179</f>
        <v>82110</v>
      </c>
      <c r="K179" s="25">
        <f>정규화데이터!K179</f>
        <v>0</v>
      </c>
      <c r="L179" s="25">
        <f>정규화데이터!L179</f>
        <v>82110</v>
      </c>
      <c r="M179" s="21">
        <f t="shared" si="4"/>
        <v>0</v>
      </c>
      <c r="N179" s="52">
        <f t="shared" si="5"/>
        <v>0</v>
      </c>
    </row>
    <row r="180" spans="1:14" x14ac:dyDescent="0.3">
      <c r="A180" t="str">
        <f>정규화데이터!A180</f>
        <v>SK스토아</v>
      </c>
      <c r="B180" t="str">
        <f>정규화데이터!B180</f>
        <v>20260205992914</v>
      </c>
      <c r="C180" t="str">
        <f>정규화데이터!C180</f>
        <v>2026-02-07</v>
      </c>
      <c r="D180" t="str">
        <f>정규화데이터!D180</f>
        <v>58481090</v>
      </c>
      <c r="E180" s="16" t="str">
        <f>정규화데이터!E180</f>
        <v>미매핑</v>
      </c>
      <c r="F180" s="3">
        <f>정규화데이터!F180</f>
        <v>1</v>
      </c>
      <c r="G180" s="3">
        <f>정규화데이터!G180</f>
        <v>1</v>
      </c>
      <c r="H180" s="3">
        <f>정규화데이터!H180</f>
        <v>119000</v>
      </c>
      <c r="I180" s="3">
        <f>정규화데이터!I180</f>
        <v>119000</v>
      </c>
      <c r="J180" s="3">
        <f>정규화데이터!J180</f>
        <v>82110</v>
      </c>
      <c r="K180" s="25">
        <f>정규화데이터!K180</f>
        <v>0</v>
      </c>
      <c r="L180" s="25">
        <f>정규화데이터!L180</f>
        <v>82110</v>
      </c>
      <c r="M180" s="21">
        <f t="shared" si="4"/>
        <v>0</v>
      </c>
      <c r="N180" s="52">
        <f t="shared" si="5"/>
        <v>0</v>
      </c>
    </row>
    <row r="181" spans="1:14" x14ac:dyDescent="0.3">
      <c r="A181" t="str">
        <f>정규화데이터!A181</f>
        <v>SK스토아</v>
      </c>
      <c r="B181" t="str">
        <f>정규화데이터!B181</f>
        <v>20260205992756</v>
      </c>
      <c r="C181" t="str">
        <f>정규화데이터!C181</f>
        <v>2026-02-07</v>
      </c>
      <c r="D181" t="str">
        <f>정규화데이터!D181</f>
        <v>58481090</v>
      </c>
      <c r="E181" s="16" t="str">
        <f>정규화데이터!E181</f>
        <v>미매핑</v>
      </c>
      <c r="F181" s="3">
        <f>정규화데이터!F181</f>
        <v>1</v>
      </c>
      <c r="G181" s="3">
        <f>정규화데이터!G181</f>
        <v>2</v>
      </c>
      <c r="H181" s="3">
        <f>정규화데이터!H181</f>
        <v>119000</v>
      </c>
      <c r="I181" s="3">
        <f>정규화데이터!I181</f>
        <v>192780</v>
      </c>
      <c r="J181" s="3">
        <f>정규화데이터!J181</f>
        <v>164220</v>
      </c>
      <c r="K181" s="25">
        <f>정규화데이터!K181</f>
        <v>0</v>
      </c>
      <c r="L181" s="25">
        <f>정규화데이터!L181</f>
        <v>164220</v>
      </c>
      <c r="M181" s="21">
        <f t="shared" si="4"/>
        <v>0</v>
      </c>
      <c r="N181" s="52">
        <f t="shared" si="5"/>
        <v>0</v>
      </c>
    </row>
    <row r="182" spans="1:14" x14ac:dyDescent="0.3">
      <c r="A182" t="str">
        <f>정규화데이터!A182</f>
        <v>SK스토아</v>
      </c>
      <c r="B182" t="str">
        <f>정규화데이터!B182</f>
        <v>20260205993968</v>
      </c>
      <c r="C182" t="str">
        <f>정규화데이터!C182</f>
        <v>2026-02-07</v>
      </c>
      <c r="D182" t="str">
        <f>정규화데이터!D182</f>
        <v>58481090</v>
      </c>
      <c r="E182" s="16" t="str">
        <f>정규화데이터!E182</f>
        <v>미매핑</v>
      </c>
      <c r="F182" s="3">
        <f>정규화데이터!F182</f>
        <v>1</v>
      </c>
      <c r="G182" s="3">
        <f>정규화데이터!G182</f>
        <v>1</v>
      </c>
      <c r="H182" s="3">
        <f>정규화데이터!H182</f>
        <v>119000</v>
      </c>
      <c r="I182" s="3">
        <f>정규화데이터!I182</f>
        <v>119000</v>
      </c>
      <c r="J182" s="3">
        <f>정규화데이터!J182</f>
        <v>82110</v>
      </c>
      <c r="K182" s="25">
        <f>정규화데이터!K182</f>
        <v>0</v>
      </c>
      <c r="L182" s="25">
        <f>정규화데이터!L182</f>
        <v>82110</v>
      </c>
      <c r="M182" s="21">
        <f t="shared" si="4"/>
        <v>0</v>
      </c>
      <c r="N182" s="52">
        <f t="shared" si="5"/>
        <v>0</v>
      </c>
    </row>
    <row r="183" spans="1:14" x14ac:dyDescent="0.3">
      <c r="A183" t="str">
        <f>정규화데이터!A183</f>
        <v>SK스토아</v>
      </c>
      <c r="B183" t="str">
        <f>정규화데이터!B183</f>
        <v>20260205994732</v>
      </c>
      <c r="C183" t="str">
        <f>정규화데이터!C183</f>
        <v>2026-02-07</v>
      </c>
      <c r="D183" t="str">
        <f>정규화데이터!D183</f>
        <v>58481090</v>
      </c>
      <c r="E183" s="16" t="str">
        <f>정규화데이터!E183</f>
        <v>미매핑</v>
      </c>
      <c r="F183" s="3">
        <f>정규화데이터!F183</f>
        <v>1</v>
      </c>
      <c r="G183" s="3">
        <f>정규화데이터!G183</f>
        <v>1</v>
      </c>
      <c r="H183" s="3">
        <f>정규화데이터!H183</f>
        <v>119000</v>
      </c>
      <c r="I183" s="3">
        <f>정규화데이터!I183</f>
        <v>119000</v>
      </c>
      <c r="J183" s="3">
        <f>정규화데이터!J183</f>
        <v>82110</v>
      </c>
      <c r="K183" s="25">
        <f>정규화데이터!K183</f>
        <v>0</v>
      </c>
      <c r="L183" s="25">
        <f>정규화데이터!L183</f>
        <v>82110</v>
      </c>
      <c r="M183" s="21">
        <f t="shared" si="4"/>
        <v>0</v>
      </c>
      <c r="N183" s="52">
        <f t="shared" si="5"/>
        <v>0</v>
      </c>
    </row>
    <row r="184" spans="1:14" x14ac:dyDescent="0.3">
      <c r="A184" t="str">
        <f>정규화데이터!A184</f>
        <v>SK스토아</v>
      </c>
      <c r="B184" t="str">
        <f>정규화데이터!B184</f>
        <v>20260205994658</v>
      </c>
      <c r="C184" t="str">
        <f>정규화데이터!C184</f>
        <v>2026-02-07</v>
      </c>
      <c r="D184" t="str">
        <f>정규화데이터!D184</f>
        <v>58481090</v>
      </c>
      <c r="E184" s="16" t="str">
        <f>정규화데이터!E184</f>
        <v>미매핑</v>
      </c>
      <c r="F184" s="3">
        <f>정규화데이터!F184</f>
        <v>1</v>
      </c>
      <c r="G184" s="3">
        <f>정규화데이터!G184</f>
        <v>1</v>
      </c>
      <c r="H184" s="3">
        <f>정규화데이터!H184</f>
        <v>119000</v>
      </c>
      <c r="I184" s="3">
        <f>정규화데이터!I184</f>
        <v>119000</v>
      </c>
      <c r="J184" s="3">
        <f>정규화데이터!J184</f>
        <v>82110</v>
      </c>
      <c r="K184" s="25">
        <f>정규화데이터!K184</f>
        <v>0</v>
      </c>
      <c r="L184" s="25">
        <f>정규화데이터!L184</f>
        <v>82110</v>
      </c>
      <c r="M184" s="21">
        <f t="shared" si="4"/>
        <v>0</v>
      </c>
      <c r="N184" s="52">
        <f t="shared" si="5"/>
        <v>0</v>
      </c>
    </row>
    <row r="185" spans="1:14" x14ac:dyDescent="0.3">
      <c r="A185" t="str">
        <f>정규화데이터!A185</f>
        <v>SK스토아</v>
      </c>
      <c r="B185" t="str">
        <f>정규화데이터!B185</f>
        <v>20260205994878</v>
      </c>
      <c r="C185" t="str">
        <f>정규화데이터!C185</f>
        <v>2026-02-07</v>
      </c>
      <c r="D185" t="str">
        <f>정규화데이터!D185</f>
        <v>58481090</v>
      </c>
      <c r="E185" s="16" t="str">
        <f>정규화데이터!E185</f>
        <v>미매핑</v>
      </c>
      <c r="F185" s="3">
        <f>정규화데이터!F185</f>
        <v>1</v>
      </c>
      <c r="G185" s="3">
        <f>정규화데이터!G185</f>
        <v>1</v>
      </c>
      <c r="H185" s="3">
        <f>정규화데이터!H185</f>
        <v>119000</v>
      </c>
      <c r="I185" s="3">
        <f>정규화데이터!I185</f>
        <v>113050</v>
      </c>
      <c r="J185" s="3">
        <f>정규화데이터!J185</f>
        <v>82110</v>
      </c>
      <c r="K185" s="25">
        <f>정규화데이터!K185</f>
        <v>0</v>
      </c>
      <c r="L185" s="25">
        <f>정규화데이터!L185</f>
        <v>82110</v>
      </c>
      <c r="M185" s="21">
        <f t="shared" si="4"/>
        <v>0</v>
      </c>
      <c r="N185" s="52">
        <f t="shared" si="5"/>
        <v>0</v>
      </c>
    </row>
    <row r="186" spans="1:14" x14ac:dyDescent="0.3">
      <c r="A186" t="str">
        <f>정규화데이터!A186</f>
        <v>SK스토아</v>
      </c>
      <c r="B186" t="str">
        <f>정규화데이터!B186</f>
        <v>20260205996662</v>
      </c>
      <c r="C186" t="str">
        <f>정규화데이터!C186</f>
        <v>2026-02-07</v>
      </c>
      <c r="D186" t="str">
        <f>정규화데이터!D186</f>
        <v>58481090</v>
      </c>
      <c r="E186" s="16" t="str">
        <f>정규화데이터!E186</f>
        <v>미매핑</v>
      </c>
      <c r="F186" s="3">
        <f>정규화데이터!F186</f>
        <v>1</v>
      </c>
      <c r="G186" s="3">
        <f>정규화데이터!G186</f>
        <v>1</v>
      </c>
      <c r="H186" s="3">
        <f>정규화데이터!H186</f>
        <v>119000</v>
      </c>
      <c r="I186" s="3">
        <f>정규화데이터!I186</f>
        <v>109000</v>
      </c>
      <c r="J186" s="3">
        <f>정규화데이터!J186</f>
        <v>82110</v>
      </c>
      <c r="K186" s="25">
        <f>정규화데이터!K186</f>
        <v>0</v>
      </c>
      <c r="L186" s="25">
        <f>정규화데이터!L186</f>
        <v>82110</v>
      </c>
      <c r="M186" s="21">
        <f t="shared" si="4"/>
        <v>0</v>
      </c>
      <c r="N186" s="52">
        <f t="shared" si="5"/>
        <v>0</v>
      </c>
    </row>
    <row r="187" spans="1:14" x14ac:dyDescent="0.3">
      <c r="A187" t="str">
        <f>정규화데이터!A187</f>
        <v>SK스토아</v>
      </c>
      <c r="B187" t="str">
        <f>정규화데이터!B187</f>
        <v>20260205994173</v>
      </c>
      <c r="C187" t="str">
        <f>정규화데이터!C187</f>
        <v>2026-02-07</v>
      </c>
      <c r="D187" t="str">
        <f>정규화데이터!D187</f>
        <v>58481090</v>
      </c>
      <c r="E187" s="16" t="str">
        <f>정규화데이터!E187</f>
        <v>미매핑</v>
      </c>
      <c r="F187" s="3">
        <f>정규화데이터!F187</f>
        <v>1</v>
      </c>
      <c r="G187" s="3">
        <f>정규화데이터!G187</f>
        <v>1</v>
      </c>
      <c r="H187" s="3">
        <f>정규화데이터!H187</f>
        <v>119000</v>
      </c>
      <c r="I187" s="3">
        <f>정규화데이터!I187</f>
        <v>105910</v>
      </c>
      <c r="J187" s="3">
        <f>정규화데이터!J187</f>
        <v>82110</v>
      </c>
      <c r="K187" s="25">
        <f>정규화데이터!K187</f>
        <v>0</v>
      </c>
      <c r="L187" s="25">
        <f>정규화데이터!L187</f>
        <v>82110</v>
      </c>
      <c r="M187" s="21">
        <f t="shared" si="4"/>
        <v>0</v>
      </c>
      <c r="N187" s="52">
        <f t="shared" si="5"/>
        <v>0</v>
      </c>
    </row>
    <row r="188" spans="1:14" x14ac:dyDescent="0.3">
      <c r="A188" t="str">
        <f>정규화데이터!A188</f>
        <v>SK스토아</v>
      </c>
      <c r="B188" t="str">
        <f>정규화데이터!B188</f>
        <v>20260205992741</v>
      </c>
      <c r="C188" t="str">
        <f>정규화데이터!C188</f>
        <v>2026-02-07</v>
      </c>
      <c r="D188" t="str">
        <f>정규화데이터!D188</f>
        <v>58481090</v>
      </c>
      <c r="E188" s="16" t="str">
        <f>정규화데이터!E188</f>
        <v>미매핑</v>
      </c>
      <c r="F188" s="3">
        <f>정규화데이터!F188</f>
        <v>1</v>
      </c>
      <c r="G188" s="3">
        <f>정규화데이터!G188</f>
        <v>1</v>
      </c>
      <c r="H188" s="3">
        <f>정규화데이터!H188</f>
        <v>119000</v>
      </c>
      <c r="I188" s="3">
        <f>정규화데이터!I188</f>
        <v>119000</v>
      </c>
      <c r="J188" s="3">
        <f>정규화데이터!J188</f>
        <v>82110</v>
      </c>
      <c r="K188" s="25">
        <f>정규화데이터!K188</f>
        <v>0</v>
      </c>
      <c r="L188" s="25">
        <f>정규화데이터!L188</f>
        <v>82110</v>
      </c>
      <c r="M188" s="21">
        <f t="shared" si="4"/>
        <v>0</v>
      </c>
      <c r="N188" s="52">
        <f t="shared" si="5"/>
        <v>0</v>
      </c>
    </row>
    <row r="189" spans="1:14" x14ac:dyDescent="0.3">
      <c r="A189" t="str">
        <f>정규화데이터!A189</f>
        <v>SK스토아</v>
      </c>
      <c r="B189" t="str">
        <f>정규화데이터!B189</f>
        <v>20260205992734</v>
      </c>
      <c r="C189" t="str">
        <f>정규화데이터!C189</f>
        <v>2026-02-07</v>
      </c>
      <c r="D189" t="str">
        <f>정규화데이터!D189</f>
        <v>58481090</v>
      </c>
      <c r="E189" s="16" t="str">
        <f>정규화데이터!E189</f>
        <v>미매핑</v>
      </c>
      <c r="F189" s="3">
        <f>정규화데이터!F189</f>
        <v>1</v>
      </c>
      <c r="G189" s="3">
        <f>정규화데이터!G189</f>
        <v>1</v>
      </c>
      <c r="H189" s="3">
        <f>정규화데이터!H189</f>
        <v>119000</v>
      </c>
      <c r="I189" s="3">
        <f>정규화데이터!I189</f>
        <v>119000</v>
      </c>
      <c r="J189" s="3">
        <f>정규화데이터!J189</f>
        <v>82110</v>
      </c>
      <c r="K189" s="25">
        <f>정규화데이터!K189</f>
        <v>0</v>
      </c>
      <c r="L189" s="25">
        <f>정규화데이터!L189</f>
        <v>82110</v>
      </c>
      <c r="M189" s="21">
        <f t="shared" si="4"/>
        <v>0</v>
      </c>
      <c r="N189" s="52">
        <f t="shared" si="5"/>
        <v>0</v>
      </c>
    </row>
    <row r="190" spans="1:14" x14ac:dyDescent="0.3">
      <c r="A190" t="str">
        <f>정규화데이터!A190</f>
        <v>SK스토아</v>
      </c>
      <c r="B190" t="str">
        <f>정규화데이터!B190</f>
        <v>20260205992797</v>
      </c>
      <c r="C190" t="str">
        <f>정규화데이터!C190</f>
        <v>2026-02-07</v>
      </c>
      <c r="D190" t="str">
        <f>정규화데이터!D190</f>
        <v>58481090</v>
      </c>
      <c r="E190" s="16" t="str">
        <f>정규화데이터!E190</f>
        <v>미매핑</v>
      </c>
      <c r="F190" s="3">
        <f>정규화데이터!F190</f>
        <v>1</v>
      </c>
      <c r="G190" s="3">
        <f>정규화데이터!G190</f>
        <v>1</v>
      </c>
      <c r="H190" s="3">
        <f>정규화데이터!H190</f>
        <v>119000</v>
      </c>
      <c r="I190" s="3">
        <f>정규화데이터!I190</f>
        <v>105910</v>
      </c>
      <c r="J190" s="3">
        <f>정규화데이터!J190</f>
        <v>82110</v>
      </c>
      <c r="K190" s="25">
        <f>정규화데이터!K190</f>
        <v>0</v>
      </c>
      <c r="L190" s="25">
        <f>정규화데이터!L190</f>
        <v>82110</v>
      </c>
      <c r="M190" s="21">
        <f t="shared" si="4"/>
        <v>0</v>
      </c>
      <c r="N190" s="52">
        <f t="shared" si="5"/>
        <v>0</v>
      </c>
    </row>
    <row r="191" spans="1:14" x14ac:dyDescent="0.3">
      <c r="A191" t="str">
        <f>정규화데이터!A191</f>
        <v>SK스토아</v>
      </c>
      <c r="B191" t="str">
        <f>정규화데이터!B191</f>
        <v>20260205994648</v>
      </c>
      <c r="C191" t="str">
        <f>정규화데이터!C191</f>
        <v>2026-02-07</v>
      </c>
      <c r="D191" t="str">
        <f>정규화데이터!D191</f>
        <v>58481090</v>
      </c>
      <c r="E191" s="16" t="str">
        <f>정규화데이터!E191</f>
        <v>미매핑</v>
      </c>
      <c r="F191" s="3">
        <f>정규화데이터!F191</f>
        <v>1</v>
      </c>
      <c r="G191" s="3">
        <f>정규화데이터!G191</f>
        <v>1</v>
      </c>
      <c r="H191" s="3">
        <f>정규화데이터!H191</f>
        <v>119000</v>
      </c>
      <c r="I191" s="3">
        <f>정규화데이터!I191</f>
        <v>119000</v>
      </c>
      <c r="J191" s="3">
        <f>정규화데이터!J191</f>
        <v>82110</v>
      </c>
      <c r="K191" s="25">
        <f>정규화데이터!K191</f>
        <v>0</v>
      </c>
      <c r="L191" s="25">
        <f>정규화데이터!L191</f>
        <v>82110</v>
      </c>
      <c r="M191" s="21">
        <f t="shared" si="4"/>
        <v>0</v>
      </c>
      <c r="N191" s="52">
        <f t="shared" si="5"/>
        <v>0</v>
      </c>
    </row>
    <row r="192" spans="1:14" x14ac:dyDescent="0.3">
      <c r="A192" t="str">
        <f>정규화데이터!A192</f>
        <v>SK스토아</v>
      </c>
      <c r="B192" t="str">
        <f>정규화데이터!B192</f>
        <v>20260205995119</v>
      </c>
      <c r="C192" t="str">
        <f>정규화데이터!C192</f>
        <v>2026-02-07</v>
      </c>
      <c r="D192" t="str">
        <f>정규화데이터!D192</f>
        <v>58481090</v>
      </c>
      <c r="E192" s="16" t="str">
        <f>정규화데이터!E192</f>
        <v>미매핑</v>
      </c>
      <c r="F192" s="3">
        <f>정규화데이터!F192</f>
        <v>1</v>
      </c>
      <c r="G192" s="3">
        <f>정규화데이터!G192</f>
        <v>1</v>
      </c>
      <c r="H192" s="3">
        <f>정규화데이터!H192</f>
        <v>119000</v>
      </c>
      <c r="I192" s="3">
        <f>정규화데이터!I192</f>
        <v>109000</v>
      </c>
      <c r="J192" s="3">
        <f>정규화데이터!J192</f>
        <v>82110</v>
      </c>
      <c r="K192" s="25">
        <f>정규화데이터!K192</f>
        <v>0</v>
      </c>
      <c r="L192" s="25">
        <f>정규화데이터!L192</f>
        <v>82110</v>
      </c>
      <c r="M192" s="21">
        <f t="shared" si="4"/>
        <v>0</v>
      </c>
      <c r="N192" s="52">
        <f t="shared" si="5"/>
        <v>0</v>
      </c>
    </row>
    <row r="193" spans="1:14" x14ac:dyDescent="0.3">
      <c r="A193" t="str">
        <f>정규화데이터!A193</f>
        <v>SK스토아</v>
      </c>
      <c r="B193" t="str">
        <f>정규화데이터!B193</f>
        <v>20260205994118</v>
      </c>
      <c r="C193" t="str">
        <f>정규화데이터!C193</f>
        <v>2026-02-07</v>
      </c>
      <c r="D193" t="str">
        <f>정규화데이터!D193</f>
        <v>58481090</v>
      </c>
      <c r="E193" s="16" t="str">
        <f>정규화데이터!E193</f>
        <v>미매핑</v>
      </c>
      <c r="F193" s="3">
        <f>정규화데이터!F193</f>
        <v>1</v>
      </c>
      <c r="G193" s="3">
        <f>정규화데이터!G193</f>
        <v>1</v>
      </c>
      <c r="H193" s="3">
        <f>정규화데이터!H193</f>
        <v>119000</v>
      </c>
      <c r="I193" s="3">
        <f>정규화데이터!I193</f>
        <v>119000</v>
      </c>
      <c r="J193" s="3">
        <f>정규화데이터!J193</f>
        <v>82110</v>
      </c>
      <c r="K193" s="25">
        <f>정규화데이터!K193</f>
        <v>0</v>
      </c>
      <c r="L193" s="25">
        <f>정규화데이터!L193</f>
        <v>82110</v>
      </c>
      <c r="M193" s="21">
        <f t="shared" si="4"/>
        <v>0</v>
      </c>
      <c r="N193" s="52">
        <f t="shared" si="5"/>
        <v>0</v>
      </c>
    </row>
    <row r="194" spans="1:14" x14ac:dyDescent="0.3">
      <c r="A194" t="str">
        <f>정규화데이터!A194</f>
        <v>SK스토아</v>
      </c>
      <c r="B194" t="str">
        <f>정규화데이터!B194</f>
        <v>20260205993710</v>
      </c>
      <c r="C194" t="str">
        <f>정규화데이터!C194</f>
        <v>2026-02-07</v>
      </c>
      <c r="D194" t="str">
        <f>정규화데이터!D194</f>
        <v>58481090</v>
      </c>
      <c r="E194" s="16" t="str">
        <f>정규화데이터!E194</f>
        <v>미매핑</v>
      </c>
      <c r="F194" s="3">
        <f>정규화데이터!F194</f>
        <v>1</v>
      </c>
      <c r="G194" s="3">
        <f>정규화데이터!G194</f>
        <v>1</v>
      </c>
      <c r="H194" s="3">
        <f>정규화데이터!H194</f>
        <v>119000</v>
      </c>
      <c r="I194" s="3">
        <f>정규화데이터!I194</f>
        <v>119000</v>
      </c>
      <c r="J194" s="3">
        <f>정규화데이터!J194</f>
        <v>82110</v>
      </c>
      <c r="K194" s="25">
        <f>정규화데이터!K194</f>
        <v>0</v>
      </c>
      <c r="L194" s="25">
        <f>정규화데이터!L194</f>
        <v>82110</v>
      </c>
      <c r="M194" s="21">
        <f t="shared" ref="M194:M257" si="6">J194-L194</f>
        <v>0</v>
      </c>
      <c r="N194" s="52">
        <f t="shared" ref="N194:N257" si="7">IF(J194=0,0,M194/J194)</f>
        <v>0</v>
      </c>
    </row>
    <row r="195" spans="1:14" x14ac:dyDescent="0.3">
      <c r="A195" t="str">
        <f>정규화데이터!A195</f>
        <v>SK스토아</v>
      </c>
      <c r="B195" t="str">
        <f>정규화데이터!B195</f>
        <v>20260205993710</v>
      </c>
      <c r="C195" t="str">
        <f>정규화데이터!C195</f>
        <v>2026-02-07</v>
      </c>
      <c r="D195" t="str">
        <f>정규화데이터!D195</f>
        <v>58481090</v>
      </c>
      <c r="E195" s="16" t="str">
        <f>정규화데이터!E195</f>
        <v>미매핑</v>
      </c>
      <c r="F195" s="3">
        <f>정규화데이터!F195</f>
        <v>1</v>
      </c>
      <c r="G195" s="3">
        <f>정규화데이터!G195</f>
        <v>1</v>
      </c>
      <c r="H195" s="3">
        <f>정규화데이터!H195</f>
        <v>119000</v>
      </c>
      <c r="I195" s="3">
        <f>정규화데이터!I195</f>
        <v>119000</v>
      </c>
      <c r="J195" s="3">
        <f>정규화데이터!J195</f>
        <v>82110</v>
      </c>
      <c r="K195" s="25">
        <f>정규화데이터!K195</f>
        <v>0</v>
      </c>
      <c r="L195" s="25">
        <f>정규화데이터!L195</f>
        <v>82110</v>
      </c>
      <c r="M195" s="21">
        <f t="shared" si="6"/>
        <v>0</v>
      </c>
      <c r="N195" s="52">
        <f t="shared" si="7"/>
        <v>0</v>
      </c>
    </row>
    <row r="196" spans="1:14" x14ac:dyDescent="0.3">
      <c r="A196" t="str">
        <f>정규화데이터!A196</f>
        <v>SK스토아</v>
      </c>
      <c r="B196" t="str">
        <f>정규화데이터!B196</f>
        <v>20260205994226</v>
      </c>
      <c r="C196" t="str">
        <f>정규화데이터!C196</f>
        <v>2026-02-07</v>
      </c>
      <c r="D196" t="str">
        <f>정규화데이터!D196</f>
        <v>58481090</v>
      </c>
      <c r="E196" s="16" t="str">
        <f>정규화데이터!E196</f>
        <v>미매핑</v>
      </c>
      <c r="F196" s="3">
        <f>정규화데이터!F196</f>
        <v>1</v>
      </c>
      <c r="G196" s="3">
        <f>정규화데이터!G196</f>
        <v>1</v>
      </c>
      <c r="H196" s="3">
        <f>정규화데이터!H196</f>
        <v>119000</v>
      </c>
      <c r="I196" s="3">
        <f>정규화데이터!I196</f>
        <v>119000</v>
      </c>
      <c r="J196" s="3">
        <f>정규화데이터!J196</f>
        <v>82110</v>
      </c>
      <c r="K196" s="25">
        <f>정규화데이터!K196</f>
        <v>0</v>
      </c>
      <c r="L196" s="25">
        <f>정규화데이터!L196</f>
        <v>82110</v>
      </c>
      <c r="M196" s="21">
        <f t="shared" si="6"/>
        <v>0</v>
      </c>
      <c r="N196" s="52">
        <f t="shared" si="7"/>
        <v>0</v>
      </c>
    </row>
    <row r="197" spans="1:14" x14ac:dyDescent="0.3">
      <c r="A197" t="str">
        <f>정규화데이터!A197</f>
        <v>SK스토아</v>
      </c>
      <c r="B197" t="str">
        <f>정규화데이터!B197</f>
        <v>20260205995392</v>
      </c>
      <c r="C197" t="str">
        <f>정규화데이터!C197</f>
        <v>2026-02-07</v>
      </c>
      <c r="D197" t="str">
        <f>정규화데이터!D197</f>
        <v>58481090</v>
      </c>
      <c r="E197" s="16" t="str">
        <f>정규화데이터!E197</f>
        <v>미매핑</v>
      </c>
      <c r="F197" s="3">
        <f>정규화데이터!F197</f>
        <v>1</v>
      </c>
      <c r="G197" s="3">
        <f>정규화데이터!G197</f>
        <v>1</v>
      </c>
      <c r="H197" s="3">
        <f>정규화데이터!H197</f>
        <v>119000</v>
      </c>
      <c r="I197" s="3">
        <f>정규화데이터!I197</f>
        <v>119000</v>
      </c>
      <c r="J197" s="3">
        <f>정규화데이터!J197</f>
        <v>82110</v>
      </c>
      <c r="K197" s="25">
        <f>정규화데이터!K197</f>
        <v>0</v>
      </c>
      <c r="L197" s="25">
        <f>정규화데이터!L197</f>
        <v>82110</v>
      </c>
      <c r="M197" s="21">
        <f t="shared" si="6"/>
        <v>0</v>
      </c>
      <c r="N197" s="52">
        <f t="shared" si="7"/>
        <v>0</v>
      </c>
    </row>
    <row r="198" spans="1:14" x14ac:dyDescent="0.3">
      <c r="A198" t="str">
        <f>정규화데이터!A198</f>
        <v>SK스토아</v>
      </c>
      <c r="B198" t="str">
        <f>정규화데이터!B198</f>
        <v>20260205994445</v>
      </c>
      <c r="C198" t="str">
        <f>정규화데이터!C198</f>
        <v>2026-02-07</v>
      </c>
      <c r="D198" t="str">
        <f>정규화데이터!D198</f>
        <v>58481090</v>
      </c>
      <c r="E198" s="16" t="str">
        <f>정규화데이터!E198</f>
        <v>미매핑</v>
      </c>
      <c r="F198" s="3">
        <f>정규화데이터!F198</f>
        <v>1</v>
      </c>
      <c r="G198" s="3">
        <f>정규화데이터!G198</f>
        <v>1</v>
      </c>
      <c r="H198" s="3">
        <f>정규화데이터!H198</f>
        <v>119000</v>
      </c>
      <c r="I198" s="3">
        <f>정규화데이터!I198</f>
        <v>119000</v>
      </c>
      <c r="J198" s="3">
        <f>정규화데이터!J198</f>
        <v>82110</v>
      </c>
      <c r="K198" s="25">
        <f>정규화데이터!K198</f>
        <v>0</v>
      </c>
      <c r="L198" s="25">
        <f>정규화데이터!L198</f>
        <v>82110</v>
      </c>
      <c r="M198" s="21">
        <f t="shared" si="6"/>
        <v>0</v>
      </c>
      <c r="N198" s="52">
        <f t="shared" si="7"/>
        <v>0</v>
      </c>
    </row>
    <row r="199" spans="1:14" x14ac:dyDescent="0.3">
      <c r="A199" t="str">
        <f>정규화데이터!A199</f>
        <v>SK스토아</v>
      </c>
      <c r="B199" t="str">
        <f>정규화데이터!B199</f>
        <v>20260205994636</v>
      </c>
      <c r="C199" t="str">
        <f>정규화데이터!C199</f>
        <v>2026-02-07</v>
      </c>
      <c r="D199" t="str">
        <f>정규화데이터!D199</f>
        <v>58481090</v>
      </c>
      <c r="E199" s="16" t="str">
        <f>정규화데이터!E199</f>
        <v>미매핑</v>
      </c>
      <c r="F199" s="3">
        <f>정규화데이터!F199</f>
        <v>1</v>
      </c>
      <c r="G199" s="3">
        <f>정규화데이터!G199</f>
        <v>1</v>
      </c>
      <c r="H199" s="3">
        <f>정규화데이터!H199</f>
        <v>119000</v>
      </c>
      <c r="I199" s="3">
        <f>정규화데이터!I199</f>
        <v>119000</v>
      </c>
      <c r="J199" s="3">
        <f>정규화데이터!J199</f>
        <v>82110</v>
      </c>
      <c r="K199" s="25">
        <f>정규화데이터!K199</f>
        <v>0</v>
      </c>
      <c r="L199" s="25">
        <f>정규화데이터!L199</f>
        <v>82110</v>
      </c>
      <c r="M199" s="21">
        <f t="shared" si="6"/>
        <v>0</v>
      </c>
      <c r="N199" s="52">
        <f t="shared" si="7"/>
        <v>0</v>
      </c>
    </row>
    <row r="200" spans="1:14" x14ac:dyDescent="0.3">
      <c r="A200" t="str">
        <f>정규화데이터!A200</f>
        <v>SK스토아</v>
      </c>
      <c r="B200" t="str">
        <f>정규화데이터!B200</f>
        <v>20260205993543</v>
      </c>
      <c r="C200" t="str">
        <f>정규화데이터!C200</f>
        <v>2026-02-07</v>
      </c>
      <c r="D200" t="str">
        <f>정규화데이터!D200</f>
        <v>58481090</v>
      </c>
      <c r="E200" s="16" t="str">
        <f>정규화데이터!E200</f>
        <v>미매핑</v>
      </c>
      <c r="F200" s="3">
        <f>정규화데이터!F200</f>
        <v>1</v>
      </c>
      <c r="G200" s="3">
        <f>정규화데이터!G200</f>
        <v>1</v>
      </c>
      <c r="H200" s="3">
        <f>정규화데이터!H200</f>
        <v>119000</v>
      </c>
      <c r="I200" s="3">
        <f>정규화데이터!I200</f>
        <v>119000</v>
      </c>
      <c r="J200" s="3">
        <f>정규화데이터!J200</f>
        <v>82110</v>
      </c>
      <c r="K200" s="25">
        <f>정규화데이터!K200</f>
        <v>0</v>
      </c>
      <c r="L200" s="25">
        <f>정규화데이터!L200</f>
        <v>82110</v>
      </c>
      <c r="M200" s="21">
        <f t="shared" si="6"/>
        <v>0</v>
      </c>
      <c r="N200" s="52">
        <f t="shared" si="7"/>
        <v>0</v>
      </c>
    </row>
    <row r="201" spans="1:14" x14ac:dyDescent="0.3">
      <c r="A201" t="str">
        <f>정규화데이터!A201</f>
        <v>SK스토아</v>
      </c>
      <c r="B201" t="str">
        <f>정규화데이터!B201</f>
        <v>20260205994834</v>
      </c>
      <c r="C201" t="str">
        <f>정규화데이터!C201</f>
        <v>2026-02-07</v>
      </c>
      <c r="D201" t="str">
        <f>정규화데이터!D201</f>
        <v>58481090</v>
      </c>
      <c r="E201" s="16" t="str">
        <f>정규화데이터!E201</f>
        <v>미매핑</v>
      </c>
      <c r="F201" s="3">
        <f>정규화데이터!F201</f>
        <v>1</v>
      </c>
      <c r="G201" s="3">
        <f>정규화데이터!G201</f>
        <v>1</v>
      </c>
      <c r="H201" s="3">
        <f>정규화데이터!H201</f>
        <v>119000</v>
      </c>
      <c r="I201" s="3">
        <f>정규화데이터!I201</f>
        <v>119000</v>
      </c>
      <c r="J201" s="3">
        <f>정규화데이터!J201</f>
        <v>82110</v>
      </c>
      <c r="K201" s="25">
        <f>정규화데이터!K201</f>
        <v>0</v>
      </c>
      <c r="L201" s="25">
        <f>정규화데이터!L201</f>
        <v>82110</v>
      </c>
      <c r="M201" s="21">
        <f t="shared" si="6"/>
        <v>0</v>
      </c>
      <c r="N201" s="52">
        <f t="shared" si="7"/>
        <v>0</v>
      </c>
    </row>
    <row r="202" spans="1:14" x14ac:dyDescent="0.3">
      <c r="A202" t="str">
        <f>정규화데이터!A202</f>
        <v>SK스토아</v>
      </c>
      <c r="B202" t="str">
        <f>정규화데이터!B202</f>
        <v>20260205993877</v>
      </c>
      <c r="C202" t="str">
        <f>정규화데이터!C202</f>
        <v>2026-02-07</v>
      </c>
      <c r="D202" t="str">
        <f>정규화데이터!D202</f>
        <v>58481090</v>
      </c>
      <c r="E202" s="16" t="str">
        <f>정규화데이터!E202</f>
        <v>미매핑</v>
      </c>
      <c r="F202" s="3">
        <f>정규화데이터!F202</f>
        <v>1</v>
      </c>
      <c r="G202" s="3">
        <f>정규화데이터!G202</f>
        <v>1</v>
      </c>
      <c r="H202" s="3">
        <f>정규화데이터!H202</f>
        <v>119000</v>
      </c>
      <c r="I202" s="3">
        <f>정규화데이터!I202</f>
        <v>119000</v>
      </c>
      <c r="J202" s="3">
        <f>정규화데이터!J202</f>
        <v>82110</v>
      </c>
      <c r="K202" s="25">
        <f>정규화데이터!K202</f>
        <v>0</v>
      </c>
      <c r="L202" s="25">
        <f>정규화데이터!L202</f>
        <v>82110</v>
      </c>
      <c r="M202" s="21">
        <f t="shared" si="6"/>
        <v>0</v>
      </c>
      <c r="N202" s="52">
        <f t="shared" si="7"/>
        <v>0</v>
      </c>
    </row>
    <row r="203" spans="1:14" x14ac:dyDescent="0.3">
      <c r="A203" t="str">
        <f>정규화데이터!A203</f>
        <v>SK스토아</v>
      </c>
      <c r="B203" t="str">
        <f>정규화데이터!B203</f>
        <v>20260205993908</v>
      </c>
      <c r="C203" t="str">
        <f>정규화데이터!C203</f>
        <v>2026-02-07</v>
      </c>
      <c r="D203" t="str">
        <f>정규화데이터!D203</f>
        <v>58481090</v>
      </c>
      <c r="E203" s="16" t="str">
        <f>정규화데이터!E203</f>
        <v>미매핑</v>
      </c>
      <c r="F203" s="3">
        <f>정규화데이터!F203</f>
        <v>1</v>
      </c>
      <c r="G203" s="3">
        <f>정규화데이터!G203</f>
        <v>1</v>
      </c>
      <c r="H203" s="3">
        <f>정규화데이터!H203</f>
        <v>119000</v>
      </c>
      <c r="I203" s="3">
        <f>정규화데이터!I203</f>
        <v>119000</v>
      </c>
      <c r="J203" s="3">
        <f>정규화데이터!J203</f>
        <v>82110</v>
      </c>
      <c r="K203" s="25">
        <f>정규화데이터!K203</f>
        <v>0</v>
      </c>
      <c r="L203" s="25">
        <f>정규화데이터!L203</f>
        <v>82110</v>
      </c>
      <c r="M203" s="21">
        <f t="shared" si="6"/>
        <v>0</v>
      </c>
      <c r="N203" s="52">
        <f t="shared" si="7"/>
        <v>0</v>
      </c>
    </row>
    <row r="204" spans="1:14" x14ac:dyDescent="0.3">
      <c r="A204" t="str">
        <f>정규화데이터!A204</f>
        <v>SK스토아</v>
      </c>
      <c r="B204" t="str">
        <f>정규화데이터!B204</f>
        <v>20260205993875</v>
      </c>
      <c r="C204" t="str">
        <f>정규화데이터!C204</f>
        <v>2026-02-07</v>
      </c>
      <c r="D204" t="str">
        <f>정규화데이터!D204</f>
        <v>58481090</v>
      </c>
      <c r="E204" s="16" t="str">
        <f>정규화데이터!E204</f>
        <v>미매핑</v>
      </c>
      <c r="F204" s="3">
        <f>정규화데이터!F204</f>
        <v>1</v>
      </c>
      <c r="G204" s="3">
        <f>정규화데이터!G204</f>
        <v>1</v>
      </c>
      <c r="H204" s="3">
        <f>정규화데이터!H204</f>
        <v>119000</v>
      </c>
      <c r="I204" s="3">
        <f>정규화데이터!I204</f>
        <v>113050</v>
      </c>
      <c r="J204" s="3">
        <f>정규화데이터!J204</f>
        <v>82110</v>
      </c>
      <c r="K204" s="25">
        <f>정규화데이터!K204</f>
        <v>0</v>
      </c>
      <c r="L204" s="25">
        <f>정규화데이터!L204</f>
        <v>82110</v>
      </c>
      <c r="M204" s="21">
        <f t="shared" si="6"/>
        <v>0</v>
      </c>
      <c r="N204" s="52">
        <f t="shared" si="7"/>
        <v>0</v>
      </c>
    </row>
    <row r="205" spans="1:14" x14ac:dyDescent="0.3">
      <c r="A205" t="str">
        <f>정규화데이터!A205</f>
        <v>SK스토아</v>
      </c>
      <c r="B205" t="str">
        <f>정규화데이터!B205</f>
        <v>20260205993960</v>
      </c>
      <c r="C205" t="str">
        <f>정규화데이터!C205</f>
        <v>2026-02-07</v>
      </c>
      <c r="D205" t="str">
        <f>정규화데이터!D205</f>
        <v>58481090</v>
      </c>
      <c r="E205" s="16" t="str">
        <f>정규화데이터!E205</f>
        <v>미매핑</v>
      </c>
      <c r="F205" s="3">
        <f>정규화데이터!F205</f>
        <v>1</v>
      </c>
      <c r="G205" s="3">
        <f>정규화데이터!G205</f>
        <v>1</v>
      </c>
      <c r="H205" s="3">
        <f>정규화데이터!H205</f>
        <v>119000</v>
      </c>
      <c r="I205" s="3">
        <f>정규화데이터!I205</f>
        <v>119000</v>
      </c>
      <c r="J205" s="3">
        <f>정규화데이터!J205</f>
        <v>82110</v>
      </c>
      <c r="K205" s="25">
        <f>정규화데이터!K205</f>
        <v>0</v>
      </c>
      <c r="L205" s="25">
        <f>정규화데이터!L205</f>
        <v>82110</v>
      </c>
      <c r="M205" s="21">
        <f t="shared" si="6"/>
        <v>0</v>
      </c>
      <c r="N205" s="52">
        <f t="shared" si="7"/>
        <v>0</v>
      </c>
    </row>
    <row r="206" spans="1:14" x14ac:dyDescent="0.3">
      <c r="A206" t="str">
        <f>정규화데이터!A206</f>
        <v>SK스토아</v>
      </c>
      <c r="B206" t="str">
        <f>정규화데이터!B206</f>
        <v>20260205992628</v>
      </c>
      <c r="C206" t="str">
        <f>정규화데이터!C206</f>
        <v>2026-02-07</v>
      </c>
      <c r="D206" t="str">
        <f>정규화데이터!D206</f>
        <v>58481090</v>
      </c>
      <c r="E206" s="16" t="str">
        <f>정규화데이터!E206</f>
        <v>미매핑</v>
      </c>
      <c r="F206" s="3">
        <f>정규화데이터!F206</f>
        <v>1</v>
      </c>
      <c r="G206" s="3">
        <f>정규화데이터!G206</f>
        <v>1</v>
      </c>
      <c r="H206" s="3">
        <f>정규화데이터!H206</f>
        <v>119000</v>
      </c>
      <c r="I206" s="3">
        <f>정규화데이터!I206</f>
        <v>119000</v>
      </c>
      <c r="J206" s="3">
        <f>정규화데이터!J206</f>
        <v>82110</v>
      </c>
      <c r="K206" s="25">
        <f>정규화데이터!K206</f>
        <v>0</v>
      </c>
      <c r="L206" s="25">
        <f>정규화데이터!L206</f>
        <v>82110</v>
      </c>
      <c r="M206" s="21">
        <f t="shared" si="6"/>
        <v>0</v>
      </c>
      <c r="N206" s="52">
        <f t="shared" si="7"/>
        <v>0</v>
      </c>
    </row>
    <row r="207" spans="1:14" x14ac:dyDescent="0.3">
      <c r="A207" t="str">
        <f>정규화데이터!A207</f>
        <v>SK스토아</v>
      </c>
      <c r="B207" t="str">
        <f>정규화데이터!B207</f>
        <v>20260205992776</v>
      </c>
      <c r="C207" t="str">
        <f>정규화데이터!C207</f>
        <v>2026-02-07</v>
      </c>
      <c r="D207" t="str">
        <f>정규화데이터!D207</f>
        <v>58481090</v>
      </c>
      <c r="E207" s="16" t="str">
        <f>정규화데이터!E207</f>
        <v>미매핑</v>
      </c>
      <c r="F207" s="3">
        <f>정규화데이터!F207</f>
        <v>1</v>
      </c>
      <c r="G207" s="3">
        <f>정규화데이터!G207</f>
        <v>1</v>
      </c>
      <c r="H207" s="3">
        <f>정규화데이터!H207</f>
        <v>119000</v>
      </c>
      <c r="I207" s="3">
        <f>정규화데이터!I207</f>
        <v>119000</v>
      </c>
      <c r="J207" s="3">
        <f>정규화데이터!J207</f>
        <v>82110</v>
      </c>
      <c r="K207" s="25">
        <f>정규화데이터!K207</f>
        <v>0</v>
      </c>
      <c r="L207" s="25">
        <f>정규화데이터!L207</f>
        <v>82110</v>
      </c>
      <c r="M207" s="21">
        <f t="shared" si="6"/>
        <v>0</v>
      </c>
      <c r="N207" s="52">
        <f t="shared" si="7"/>
        <v>0</v>
      </c>
    </row>
    <row r="208" spans="1:14" x14ac:dyDescent="0.3">
      <c r="A208" t="str">
        <f>정규화데이터!A208</f>
        <v>SK스토아</v>
      </c>
      <c r="B208" t="str">
        <f>정규화데이터!B208</f>
        <v>20260205992776</v>
      </c>
      <c r="C208" t="str">
        <f>정규화데이터!C208</f>
        <v>2026-02-07</v>
      </c>
      <c r="D208" t="str">
        <f>정규화데이터!D208</f>
        <v>58481090</v>
      </c>
      <c r="E208" s="16" t="str">
        <f>정규화데이터!E208</f>
        <v>미매핑</v>
      </c>
      <c r="F208" s="3">
        <f>정규화데이터!F208</f>
        <v>1</v>
      </c>
      <c r="G208" s="3">
        <f>정규화데이터!G208</f>
        <v>1</v>
      </c>
      <c r="H208" s="3">
        <f>정규화데이터!H208</f>
        <v>119000</v>
      </c>
      <c r="I208" s="3">
        <f>정규화데이터!I208</f>
        <v>119000</v>
      </c>
      <c r="J208" s="3">
        <f>정규화데이터!J208</f>
        <v>82110</v>
      </c>
      <c r="K208" s="25">
        <f>정규화데이터!K208</f>
        <v>0</v>
      </c>
      <c r="L208" s="25">
        <f>정규화데이터!L208</f>
        <v>82110</v>
      </c>
      <c r="M208" s="21">
        <f t="shared" si="6"/>
        <v>0</v>
      </c>
      <c r="N208" s="52">
        <f t="shared" si="7"/>
        <v>0</v>
      </c>
    </row>
    <row r="209" spans="1:14" x14ac:dyDescent="0.3">
      <c r="A209" t="str">
        <f>정규화데이터!A209</f>
        <v>SK스토아</v>
      </c>
      <c r="B209" t="str">
        <f>정규화데이터!B209</f>
        <v>20260205992904</v>
      </c>
      <c r="C209" t="str">
        <f>정규화데이터!C209</f>
        <v>2026-02-07</v>
      </c>
      <c r="D209" t="str">
        <f>정규화데이터!D209</f>
        <v>58481090</v>
      </c>
      <c r="E209" s="16" t="str">
        <f>정규화데이터!E209</f>
        <v>미매핑</v>
      </c>
      <c r="F209" s="3">
        <f>정규화데이터!F209</f>
        <v>1</v>
      </c>
      <c r="G209" s="3">
        <f>정규화데이터!G209</f>
        <v>1</v>
      </c>
      <c r="H209" s="3">
        <f>정규화데이터!H209</f>
        <v>119000</v>
      </c>
      <c r="I209" s="3">
        <f>정규화데이터!I209</f>
        <v>119000</v>
      </c>
      <c r="J209" s="3">
        <f>정규화데이터!J209</f>
        <v>82110</v>
      </c>
      <c r="K209" s="25">
        <f>정규화데이터!K209</f>
        <v>0</v>
      </c>
      <c r="L209" s="25">
        <f>정규화데이터!L209</f>
        <v>82110</v>
      </c>
      <c r="M209" s="21">
        <f t="shared" si="6"/>
        <v>0</v>
      </c>
      <c r="N209" s="52">
        <f t="shared" si="7"/>
        <v>0</v>
      </c>
    </row>
    <row r="210" spans="1:14" x14ac:dyDescent="0.3">
      <c r="A210" t="str">
        <f>정규화데이터!A210</f>
        <v>SK스토아</v>
      </c>
      <c r="B210" t="str">
        <f>정규화데이터!B210</f>
        <v>20260205992898</v>
      </c>
      <c r="C210" t="str">
        <f>정규화데이터!C210</f>
        <v>2026-02-07</v>
      </c>
      <c r="D210" t="str">
        <f>정규화데이터!D210</f>
        <v>58481090</v>
      </c>
      <c r="E210" s="16" t="str">
        <f>정규화데이터!E210</f>
        <v>미매핑</v>
      </c>
      <c r="F210" s="3">
        <f>정규화데이터!F210</f>
        <v>1</v>
      </c>
      <c r="G210" s="3">
        <f>정규화데이터!G210</f>
        <v>1</v>
      </c>
      <c r="H210" s="3">
        <f>정규화데이터!H210</f>
        <v>119000</v>
      </c>
      <c r="I210" s="3">
        <f>정규화데이터!I210</f>
        <v>113050</v>
      </c>
      <c r="J210" s="3">
        <f>정규화데이터!J210</f>
        <v>82110</v>
      </c>
      <c r="K210" s="25">
        <f>정규화데이터!K210</f>
        <v>0</v>
      </c>
      <c r="L210" s="25">
        <f>정규화데이터!L210</f>
        <v>82110</v>
      </c>
      <c r="M210" s="21">
        <f t="shared" si="6"/>
        <v>0</v>
      </c>
      <c r="N210" s="52">
        <f t="shared" si="7"/>
        <v>0</v>
      </c>
    </row>
    <row r="211" spans="1:14" x14ac:dyDescent="0.3">
      <c r="A211" t="str">
        <f>정규화데이터!A211</f>
        <v>SK스토아</v>
      </c>
      <c r="B211" t="str">
        <f>정규화데이터!B211</f>
        <v>20260205993183</v>
      </c>
      <c r="C211" t="str">
        <f>정규화데이터!C211</f>
        <v>2026-02-07</v>
      </c>
      <c r="D211" t="str">
        <f>정규화데이터!D211</f>
        <v>58481090</v>
      </c>
      <c r="E211" s="16" t="str">
        <f>정규화데이터!E211</f>
        <v>미매핑</v>
      </c>
      <c r="F211" s="3">
        <f>정규화데이터!F211</f>
        <v>1</v>
      </c>
      <c r="G211" s="3">
        <f>정규화데이터!G211</f>
        <v>1</v>
      </c>
      <c r="H211" s="3">
        <f>정규화데이터!H211</f>
        <v>119000</v>
      </c>
      <c r="I211" s="3">
        <f>정규화데이터!I211</f>
        <v>119000</v>
      </c>
      <c r="J211" s="3">
        <f>정규화데이터!J211</f>
        <v>82110</v>
      </c>
      <c r="K211" s="25">
        <f>정규화데이터!K211</f>
        <v>0</v>
      </c>
      <c r="L211" s="25">
        <f>정규화데이터!L211</f>
        <v>82110</v>
      </c>
      <c r="M211" s="21">
        <f t="shared" si="6"/>
        <v>0</v>
      </c>
      <c r="N211" s="52">
        <f t="shared" si="7"/>
        <v>0</v>
      </c>
    </row>
    <row r="212" spans="1:14" x14ac:dyDescent="0.3">
      <c r="A212" t="str">
        <f>정규화데이터!A212</f>
        <v>SK스토아</v>
      </c>
      <c r="B212" t="str">
        <f>정규화데이터!B212</f>
        <v>20260205993148</v>
      </c>
      <c r="C212" t="str">
        <f>정규화데이터!C212</f>
        <v>2026-02-07</v>
      </c>
      <c r="D212" t="str">
        <f>정규화데이터!D212</f>
        <v>58481090</v>
      </c>
      <c r="E212" s="16" t="str">
        <f>정규화데이터!E212</f>
        <v>미매핑</v>
      </c>
      <c r="F212" s="3">
        <f>정규화데이터!F212</f>
        <v>1</v>
      </c>
      <c r="G212" s="3">
        <f>정규화데이터!G212</f>
        <v>1</v>
      </c>
      <c r="H212" s="3">
        <f>정규화데이터!H212</f>
        <v>119000</v>
      </c>
      <c r="I212" s="3">
        <f>정규화데이터!I212</f>
        <v>119000</v>
      </c>
      <c r="J212" s="3">
        <f>정규화데이터!J212</f>
        <v>82110</v>
      </c>
      <c r="K212" s="25">
        <f>정규화데이터!K212</f>
        <v>0</v>
      </c>
      <c r="L212" s="25">
        <f>정규화데이터!L212</f>
        <v>82110</v>
      </c>
      <c r="M212" s="21">
        <f t="shared" si="6"/>
        <v>0</v>
      </c>
      <c r="N212" s="52">
        <f t="shared" si="7"/>
        <v>0</v>
      </c>
    </row>
    <row r="213" spans="1:14" x14ac:dyDescent="0.3">
      <c r="A213" t="str">
        <f>정규화데이터!A213</f>
        <v>SK스토아</v>
      </c>
      <c r="B213" t="str">
        <f>정규화데이터!B213</f>
        <v>20260205993058</v>
      </c>
      <c r="C213" t="str">
        <f>정규화데이터!C213</f>
        <v>2026-02-07</v>
      </c>
      <c r="D213" t="str">
        <f>정규화데이터!D213</f>
        <v>58481090</v>
      </c>
      <c r="E213" s="16" t="str">
        <f>정규화데이터!E213</f>
        <v>미매핑</v>
      </c>
      <c r="F213" s="3">
        <f>정규화데이터!F213</f>
        <v>1</v>
      </c>
      <c r="G213" s="3">
        <f>정규화데이터!G213</f>
        <v>1</v>
      </c>
      <c r="H213" s="3">
        <f>정규화데이터!H213</f>
        <v>119000</v>
      </c>
      <c r="I213" s="3">
        <f>정규화데이터!I213</f>
        <v>119000</v>
      </c>
      <c r="J213" s="3">
        <f>정규화데이터!J213</f>
        <v>82110</v>
      </c>
      <c r="K213" s="25">
        <f>정규화데이터!K213</f>
        <v>0</v>
      </c>
      <c r="L213" s="25">
        <f>정규화데이터!L213</f>
        <v>82110</v>
      </c>
      <c r="M213" s="21">
        <f t="shared" si="6"/>
        <v>0</v>
      </c>
      <c r="N213" s="52">
        <f t="shared" si="7"/>
        <v>0</v>
      </c>
    </row>
    <row r="214" spans="1:14" x14ac:dyDescent="0.3">
      <c r="A214" t="str">
        <f>정규화데이터!A214</f>
        <v>SK스토아</v>
      </c>
      <c r="B214" t="str">
        <f>정규화데이터!B214</f>
        <v>20260205996079</v>
      </c>
      <c r="C214" t="str">
        <f>정규화데이터!C214</f>
        <v>2026-02-07</v>
      </c>
      <c r="D214" t="str">
        <f>정규화데이터!D214</f>
        <v>58481090</v>
      </c>
      <c r="E214" s="16" t="str">
        <f>정규화데이터!E214</f>
        <v>미매핑</v>
      </c>
      <c r="F214" s="3">
        <f>정규화데이터!F214</f>
        <v>1</v>
      </c>
      <c r="G214" s="3">
        <f>정규화데이터!G214</f>
        <v>1</v>
      </c>
      <c r="H214" s="3">
        <f>정규화데이터!H214</f>
        <v>119000</v>
      </c>
      <c r="I214" s="3">
        <f>정규화데이터!I214</f>
        <v>119000</v>
      </c>
      <c r="J214" s="3">
        <f>정규화데이터!J214</f>
        <v>82110</v>
      </c>
      <c r="K214" s="25">
        <f>정규화데이터!K214</f>
        <v>0</v>
      </c>
      <c r="L214" s="25">
        <f>정규화데이터!L214</f>
        <v>82110</v>
      </c>
      <c r="M214" s="21">
        <f t="shared" si="6"/>
        <v>0</v>
      </c>
      <c r="N214" s="52">
        <f t="shared" si="7"/>
        <v>0</v>
      </c>
    </row>
    <row r="215" spans="1:14" x14ac:dyDescent="0.3">
      <c r="A215" t="str">
        <f>정규화데이터!A215</f>
        <v>SK스토아</v>
      </c>
      <c r="B215" t="str">
        <f>정규화데이터!B215</f>
        <v>20260205993619</v>
      </c>
      <c r="C215" t="str">
        <f>정규화데이터!C215</f>
        <v>2026-02-07</v>
      </c>
      <c r="D215" t="str">
        <f>정규화데이터!D215</f>
        <v>58481090</v>
      </c>
      <c r="E215" s="16" t="str">
        <f>정규화데이터!E215</f>
        <v>미매핑</v>
      </c>
      <c r="F215" s="3">
        <f>정규화데이터!F215</f>
        <v>1</v>
      </c>
      <c r="G215" s="3">
        <f>정규화데이터!G215</f>
        <v>1</v>
      </c>
      <c r="H215" s="3">
        <f>정규화데이터!H215</f>
        <v>119000</v>
      </c>
      <c r="I215" s="3">
        <f>정규화데이터!I215</f>
        <v>119000</v>
      </c>
      <c r="J215" s="3">
        <f>정규화데이터!J215</f>
        <v>82110</v>
      </c>
      <c r="K215" s="25">
        <f>정규화데이터!K215</f>
        <v>0</v>
      </c>
      <c r="L215" s="25">
        <f>정규화데이터!L215</f>
        <v>82110</v>
      </c>
      <c r="M215" s="21">
        <f t="shared" si="6"/>
        <v>0</v>
      </c>
      <c r="N215" s="52">
        <f t="shared" si="7"/>
        <v>0</v>
      </c>
    </row>
    <row r="216" spans="1:14" x14ac:dyDescent="0.3">
      <c r="A216" t="str">
        <f>정규화데이터!A216</f>
        <v>SK스토아</v>
      </c>
      <c r="B216" t="str">
        <f>정규화데이터!B216</f>
        <v>20260205994384</v>
      </c>
      <c r="C216" t="str">
        <f>정규화데이터!C216</f>
        <v>2026-02-07</v>
      </c>
      <c r="D216" t="str">
        <f>정규화데이터!D216</f>
        <v>58481090</v>
      </c>
      <c r="E216" s="16" t="str">
        <f>정규화데이터!E216</f>
        <v>미매핑</v>
      </c>
      <c r="F216" s="3">
        <f>정규화데이터!F216</f>
        <v>1</v>
      </c>
      <c r="G216" s="3">
        <f>정규화데이터!G216</f>
        <v>1</v>
      </c>
      <c r="H216" s="3">
        <f>정규화데이터!H216</f>
        <v>119000</v>
      </c>
      <c r="I216" s="3">
        <f>정규화데이터!I216</f>
        <v>105910</v>
      </c>
      <c r="J216" s="3">
        <f>정규화데이터!J216</f>
        <v>82110</v>
      </c>
      <c r="K216" s="25">
        <f>정규화데이터!K216</f>
        <v>0</v>
      </c>
      <c r="L216" s="25">
        <f>정규화데이터!L216</f>
        <v>82110</v>
      </c>
      <c r="M216" s="21">
        <f t="shared" si="6"/>
        <v>0</v>
      </c>
      <c r="N216" s="52">
        <f t="shared" si="7"/>
        <v>0</v>
      </c>
    </row>
    <row r="217" spans="1:14" x14ac:dyDescent="0.3">
      <c r="A217" t="str">
        <f>정규화데이터!A217</f>
        <v>SK스토아</v>
      </c>
      <c r="B217" t="str">
        <f>정규화데이터!B217</f>
        <v>20260205994642</v>
      </c>
      <c r="C217" t="str">
        <f>정규화데이터!C217</f>
        <v>2026-02-07</v>
      </c>
      <c r="D217" t="str">
        <f>정규화데이터!D217</f>
        <v>58481090</v>
      </c>
      <c r="E217" s="16" t="str">
        <f>정규화데이터!E217</f>
        <v>미매핑</v>
      </c>
      <c r="F217" s="3">
        <f>정규화데이터!F217</f>
        <v>1</v>
      </c>
      <c r="G217" s="3">
        <f>정규화데이터!G217</f>
        <v>1</v>
      </c>
      <c r="H217" s="3">
        <f>정규화데이터!H217</f>
        <v>119000</v>
      </c>
      <c r="I217" s="3">
        <f>정규화데이터!I217</f>
        <v>119000</v>
      </c>
      <c r="J217" s="3">
        <f>정규화데이터!J217</f>
        <v>82110</v>
      </c>
      <c r="K217" s="25">
        <f>정규화데이터!K217</f>
        <v>0</v>
      </c>
      <c r="L217" s="25">
        <f>정규화데이터!L217</f>
        <v>82110</v>
      </c>
      <c r="M217" s="21">
        <f t="shared" si="6"/>
        <v>0</v>
      </c>
      <c r="N217" s="52">
        <f t="shared" si="7"/>
        <v>0</v>
      </c>
    </row>
    <row r="218" spans="1:14" x14ac:dyDescent="0.3">
      <c r="A218" t="str">
        <f>정규화데이터!A218</f>
        <v>SK스토아</v>
      </c>
      <c r="B218" t="str">
        <f>정규화데이터!B218</f>
        <v>20260205993790</v>
      </c>
      <c r="C218" t="str">
        <f>정규화데이터!C218</f>
        <v>2026-02-07</v>
      </c>
      <c r="D218" t="str">
        <f>정규화데이터!D218</f>
        <v>58481090</v>
      </c>
      <c r="E218" s="16" t="str">
        <f>정규화데이터!E218</f>
        <v>미매핑</v>
      </c>
      <c r="F218" s="3">
        <f>정규화데이터!F218</f>
        <v>1</v>
      </c>
      <c r="G218" s="3">
        <f>정규화데이터!G218</f>
        <v>1</v>
      </c>
      <c r="H218" s="3">
        <f>정규화데이터!H218</f>
        <v>119000</v>
      </c>
      <c r="I218" s="3">
        <f>정규화데이터!I218</f>
        <v>119000</v>
      </c>
      <c r="J218" s="3">
        <f>정규화데이터!J218</f>
        <v>82110</v>
      </c>
      <c r="K218" s="25">
        <f>정규화데이터!K218</f>
        <v>0</v>
      </c>
      <c r="L218" s="25">
        <f>정규화데이터!L218</f>
        <v>82110</v>
      </c>
      <c r="M218" s="21">
        <f t="shared" si="6"/>
        <v>0</v>
      </c>
      <c r="N218" s="52">
        <f t="shared" si="7"/>
        <v>0</v>
      </c>
    </row>
    <row r="219" spans="1:14" x14ac:dyDescent="0.3">
      <c r="A219" t="str">
        <f>정규화데이터!A219</f>
        <v>SK스토아</v>
      </c>
      <c r="B219" t="str">
        <f>정규화데이터!B219</f>
        <v>20260205993178</v>
      </c>
      <c r="C219" t="str">
        <f>정규화데이터!C219</f>
        <v>2026-02-07</v>
      </c>
      <c r="D219" t="str">
        <f>정규화데이터!D219</f>
        <v>58481090</v>
      </c>
      <c r="E219" s="16" t="str">
        <f>정규화데이터!E219</f>
        <v>미매핑</v>
      </c>
      <c r="F219" s="3">
        <f>정규화데이터!F219</f>
        <v>1</v>
      </c>
      <c r="G219" s="3">
        <f>정규화데이터!G219</f>
        <v>1</v>
      </c>
      <c r="H219" s="3">
        <f>정규화데이터!H219</f>
        <v>119000</v>
      </c>
      <c r="I219" s="3">
        <f>정규화데이터!I219</f>
        <v>109000</v>
      </c>
      <c r="J219" s="3">
        <f>정규화데이터!J219</f>
        <v>82110</v>
      </c>
      <c r="K219" s="25">
        <f>정규화데이터!K219</f>
        <v>0</v>
      </c>
      <c r="L219" s="25">
        <f>정규화데이터!L219</f>
        <v>82110</v>
      </c>
      <c r="M219" s="21">
        <f t="shared" si="6"/>
        <v>0</v>
      </c>
      <c r="N219" s="52">
        <f t="shared" si="7"/>
        <v>0</v>
      </c>
    </row>
    <row r="220" spans="1:14" x14ac:dyDescent="0.3">
      <c r="A220" t="str">
        <f>정규화데이터!A220</f>
        <v>SK스토아</v>
      </c>
      <c r="B220" t="str">
        <f>정규화데이터!B220</f>
        <v>20260205995500</v>
      </c>
      <c r="C220" t="str">
        <f>정규화데이터!C220</f>
        <v>2026-02-07</v>
      </c>
      <c r="D220" t="str">
        <f>정규화데이터!D220</f>
        <v>58481090</v>
      </c>
      <c r="E220" s="16" t="str">
        <f>정규화데이터!E220</f>
        <v>미매핑</v>
      </c>
      <c r="F220" s="3">
        <f>정규화데이터!F220</f>
        <v>1</v>
      </c>
      <c r="G220" s="3">
        <f>정규화데이터!G220</f>
        <v>1</v>
      </c>
      <c r="H220" s="3">
        <f>정규화데이터!H220</f>
        <v>119000</v>
      </c>
      <c r="I220" s="3">
        <f>정규화데이터!I220</f>
        <v>119000</v>
      </c>
      <c r="J220" s="3">
        <f>정규화데이터!J220</f>
        <v>82110</v>
      </c>
      <c r="K220" s="25">
        <f>정규화데이터!K220</f>
        <v>0</v>
      </c>
      <c r="L220" s="25">
        <f>정규화데이터!L220</f>
        <v>82110</v>
      </c>
      <c r="M220" s="21">
        <f t="shared" si="6"/>
        <v>0</v>
      </c>
      <c r="N220" s="52">
        <f t="shared" si="7"/>
        <v>0</v>
      </c>
    </row>
    <row r="221" spans="1:14" x14ac:dyDescent="0.3">
      <c r="A221" t="str">
        <f>정규화데이터!A221</f>
        <v>SK스토아</v>
      </c>
      <c r="B221" t="str">
        <f>정규화데이터!B221</f>
        <v>20260205995571</v>
      </c>
      <c r="C221" t="str">
        <f>정규화데이터!C221</f>
        <v>2026-02-07</v>
      </c>
      <c r="D221" t="str">
        <f>정규화데이터!D221</f>
        <v>58481090</v>
      </c>
      <c r="E221" s="16" t="str">
        <f>정규화데이터!E221</f>
        <v>미매핑</v>
      </c>
      <c r="F221" s="3">
        <f>정규화데이터!F221</f>
        <v>1</v>
      </c>
      <c r="G221" s="3">
        <f>정규화데이터!G221</f>
        <v>1</v>
      </c>
      <c r="H221" s="3">
        <f>정규화데이터!H221</f>
        <v>119000</v>
      </c>
      <c r="I221" s="3">
        <f>정규화데이터!I221</f>
        <v>101150</v>
      </c>
      <c r="J221" s="3">
        <f>정규화데이터!J221</f>
        <v>82110</v>
      </c>
      <c r="K221" s="25">
        <f>정규화데이터!K221</f>
        <v>0</v>
      </c>
      <c r="L221" s="25">
        <f>정규화데이터!L221</f>
        <v>82110</v>
      </c>
      <c r="M221" s="21">
        <f t="shared" si="6"/>
        <v>0</v>
      </c>
      <c r="N221" s="52">
        <f t="shared" si="7"/>
        <v>0</v>
      </c>
    </row>
    <row r="222" spans="1:14" x14ac:dyDescent="0.3">
      <c r="A222" t="str">
        <f>정규화데이터!A222</f>
        <v>SK스토아</v>
      </c>
      <c r="B222" t="str">
        <f>정규화데이터!B222</f>
        <v>20260205994980</v>
      </c>
      <c r="C222" t="str">
        <f>정규화데이터!C222</f>
        <v>2026-02-07</v>
      </c>
      <c r="D222" t="str">
        <f>정규화데이터!D222</f>
        <v>58481090</v>
      </c>
      <c r="E222" s="16" t="str">
        <f>정규화데이터!E222</f>
        <v>미매핑</v>
      </c>
      <c r="F222" s="3">
        <f>정규화데이터!F222</f>
        <v>1</v>
      </c>
      <c r="G222" s="3">
        <f>정규화데이터!G222</f>
        <v>1</v>
      </c>
      <c r="H222" s="3">
        <f>정규화데이터!H222</f>
        <v>119000</v>
      </c>
      <c r="I222" s="3">
        <f>정규화데이터!I222</f>
        <v>119000</v>
      </c>
      <c r="J222" s="3">
        <f>정규화데이터!J222</f>
        <v>82110</v>
      </c>
      <c r="K222" s="25">
        <f>정규화데이터!K222</f>
        <v>0</v>
      </c>
      <c r="L222" s="25">
        <f>정규화데이터!L222</f>
        <v>82110</v>
      </c>
      <c r="M222" s="21">
        <f t="shared" si="6"/>
        <v>0</v>
      </c>
      <c r="N222" s="52">
        <f t="shared" si="7"/>
        <v>0</v>
      </c>
    </row>
    <row r="223" spans="1:14" x14ac:dyDescent="0.3">
      <c r="A223" t="str">
        <f>정규화데이터!A223</f>
        <v>SK스토아</v>
      </c>
      <c r="B223" t="str">
        <f>정규화데이터!B223</f>
        <v>20260205992733</v>
      </c>
      <c r="C223" t="str">
        <f>정규화데이터!C223</f>
        <v>2026-02-07</v>
      </c>
      <c r="D223" t="str">
        <f>정규화데이터!D223</f>
        <v>58481090</v>
      </c>
      <c r="E223" s="16" t="str">
        <f>정규화데이터!E223</f>
        <v>미매핑</v>
      </c>
      <c r="F223" s="3">
        <f>정규화데이터!F223</f>
        <v>1</v>
      </c>
      <c r="G223" s="3">
        <f>정규화데이터!G223</f>
        <v>1</v>
      </c>
      <c r="H223" s="3">
        <f>정규화데이터!H223</f>
        <v>119000</v>
      </c>
      <c r="I223" s="3">
        <f>정규화데이터!I223</f>
        <v>119000</v>
      </c>
      <c r="J223" s="3">
        <f>정규화데이터!J223</f>
        <v>82110</v>
      </c>
      <c r="K223" s="25">
        <f>정규화데이터!K223</f>
        <v>0</v>
      </c>
      <c r="L223" s="25">
        <f>정규화데이터!L223</f>
        <v>82110</v>
      </c>
      <c r="M223" s="21">
        <f t="shared" si="6"/>
        <v>0</v>
      </c>
      <c r="N223" s="52">
        <f t="shared" si="7"/>
        <v>0</v>
      </c>
    </row>
    <row r="224" spans="1:14" x14ac:dyDescent="0.3">
      <c r="A224" t="str">
        <f>정규화데이터!A224</f>
        <v>SK스토아</v>
      </c>
      <c r="B224" t="str">
        <f>정규화데이터!B224</f>
        <v>20260205992956</v>
      </c>
      <c r="C224" t="str">
        <f>정규화데이터!C224</f>
        <v>2026-02-07</v>
      </c>
      <c r="D224" t="str">
        <f>정규화데이터!D224</f>
        <v>58481090</v>
      </c>
      <c r="E224" s="16" t="str">
        <f>정규화데이터!E224</f>
        <v>미매핑</v>
      </c>
      <c r="F224" s="3">
        <f>정규화데이터!F224</f>
        <v>1</v>
      </c>
      <c r="G224" s="3">
        <f>정규화데이터!G224</f>
        <v>1</v>
      </c>
      <c r="H224" s="3">
        <f>정규화데이터!H224</f>
        <v>119000</v>
      </c>
      <c r="I224" s="3">
        <f>정규화데이터!I224</f>
        <v>119000</v>
      </c>
      <c r="J224" s="3">
        <f>정규화데이터!J224</f>
        <v>82110</v>
      </c>
      <c r="K224" s="25">
        <f>정규화데이터!K224</f>
        <v>0</v>
      </c>
      <c r="L224" s="25">
        <f>정규화데이터!L224</f>
        <v>82110</v>
      </c>
      <c r="M224" s="21">
        <f t="shared" si="6"/>
        <v>0</v>
      </c>
      <c r="N224" s="52">
        <f t="shared" si="7"/>
        <v>0</v>
      </c>
    </row>
    <row r="225" spans="1:14" x14ac:dyDescent="0.3">
      <c r="A225" t="str">
        <f>정규화데이터!A225</f>
        <v>SK스토아</v>
      </c>
      <c r="B225" t="str">
        <f>정규화데이터!B225</f>
        <v>20260205994593</v>
      </c>
      <c r="C225" t="str">
        <f>정규화데이터!C225</f>
        <v>2026-02-07</v>
      </c>
      <c r="D225" t="str">
        <f>정규화데이터!D225</f>
        <v>58481090</v>
      </c>
      <c r="E225" s="16" t="str">
        <f>정규화데이터!E225</f>
        <v>미매핑</v>
      </c>
      <c r="F225" s="3">
        <f>정규화데이터!F225</f>
        <v>1</v>
      </c>
      <c r="G225" s="3">
        <f>정규화데이터!G225</f>
        <v>1</v>
      </c>
      <c r="H225" s="3">
        <f>정규화데이터!H225</f>
        <v>119000</v>
      </c>
      <c r="I225" s="3">
        <f>정규화데이터!I225</f>
        <v>119000</v>
      </c>
      <c r="J225" s="3">
        <f>정규화데이터!J225</f>
        <v>82110</v>
      </c>
      <c r="K225" s="25">
        <f>정규화데이터!K225</f>
        <v>0</v>
      </c>
      <c r="L225" s="25">
        <f>정규화데이터!L225</f>
        <v>82110</v>
      </c>
      <c r="M225" s="21">
        <f t="shared" si="6"/>
        <v>0</v>
      </c>
      <c r="N225" s="52">
        <f t="shared" si="7"/>
        <v>0</v>
      </c>
    </row>
    <row r="226" spans="1:14" x14ac:dyDescent="0.3">
      <c r="A226" t="str">
        <f>정규화데이터!A226</f>
        <v>SK스토아</v>
      </c>
      <c r="B226" t="str">
        <f>정규화데이터!B226</f>
        <v>20260205994146</v>
      </c>
      <c r="C226" t="str">
        <f>정규화데이터!C226</f>
        <v>2026-02-07</v>
      </c>
      <c r="D226" t="str">
        <f>정규화데이터!D226</f>
        <v>58481090</v>
      </c>
      <c r="E226" s="16" t="str">
        <f>정규화데이터!E226</f>
        <v>미매핑</v>
      </c>
      <c r="F226" s="3">
        <f>정규화데이터!F226</f>
        <v>1</v>
      </c>
      <c r="G226" s="3">
        <f>정규화데이터!G226</f>
        <v>1</v>
      </c>
      <c r="H226" s="3">
        <f>정규화데이터!H226</f>
        <v>119000</v>
      </c>
      <c r="I226" s="3">
        <f>정규화데이터!I226</f>
        <v>119000</v>
      </c>
      <c r="J226" s="3">
        <f>정규화데이터!J226</f>
        <v>82110</v>
      </c>
      <c r="K226" s="25">
        <f>정규화데이터!K226</f>
        <v>0</v>
      </c>
      <c r="L226" s="25">
        <f>정규화데이터!L226</f>
        <v>82110</v>
      </c>
      <c r="M226" s="21">
        <f t="shared" si="6"/>
        <v>0</v>
      </c>
      <c r="N226" s="52">
        <f t="shared" si="7"/>
        <v>0</v>
      </c>
    </row>
    <row r="227" spans="1:14" x14ac:dyDescent="0.3">
      <c r="A227" t="str">
        <f>정규화데이터!A227</f>
        <v>SK스토아</v>
      </c>
      <c r="B227" t="str">
        <f>정규화데이터!B227</f>
        <v>20260205993672</v>
      </c>
      <c r="C227" t="str">
        <f>정규화데이터!C227</f>
        <v>2026-02-07</v>
      </c>
      <c r="D227" t="str">
        <f>정규화데이터!D227</f>
        <v>58481090</v>
      </c>
      <c r="E227" s="16" t="str">
        <f>정규화데이터!E227</f>
        <v>미매핑</v>
      </c>
      <c r="F227" s="3">
        <f>정규화데이터!F227</f>
        <v>1</v>
      </c>
      <c r="G227" s="3">
        <f>정규화데이터!G227</f>
        <v>1</v>
      </c>
      <c r="H227" s="3">
        <f>정규화데이터!H227</f>
        <v>119000</v>
      </c>
      <c r="I227" s="3">
        <f>정규화데이터!I227</f>
        <v>119000</v>
      </c>
      <c r="J227" s="3">
        <f>정규화데이터!J227</f>
        <v>82110</v>
      </c>
      <c r="K227" s="25">
        <f>정규화데이터!K227</f>
        <v>0</v>
      </c>
      <c r="L227" s="25">
        <f>정규화데이터!L227</f>
        <v>82110</v>
      </c>
      <c r="M227" s="21">
        <f t="shared" si="6"/>
        <v>0</v>
      </c>
      <c r="N227" s="52">
        <f t="shared" si="7"/>
        <v>0</v>
      </c>
    </row>
    <row r="228" spans="1:14" x14ac:dyDescent="0.3">
      <c r="A228" t="str">
        <f>정규화데이터!A228</f>
        <v>SK스토아</v>
      </c>
      <c r="B228" t="str">
        <f>정규화데이터!B228</f>
        <v>20260205994792</v>
      </c>
      <c r="C228" t="str">
        <f>정규화데이터!C228</f>
        <v>2026-02-07</v>
      </c>
      <c r="D228" t="str">
        <f>정규화데이터!D228</f>
        <v>58481090</v>
      </c>
      <c r="E228" s="16" t="str">
        <f>정규화데이터!E228</f>
        <v>미매핑</v>
      </c>
      <c r="F228" s="3">
        <f>정규화데이터!F228</f>
        <v>1</v>
      </c>
      <c r="G228" s="3">
        <f>정규화데이터!G228</f>
        <v>1</v>
      </c>
      <c r="H228" s="3">
        <f>정규화데이터!H228</f>
        <v>119000</v>
      </c>
      <c r="I228" s="3">
        <f>정규화데이터!I228</f>
        <v>119000</v>
      </c>
      <c r="J228" s="3">
        <f>정규화데이터!J228</f>
        <v>82110</v>
      </c>
      <c r="K228" s="25">
        <f>정규화데이터!K228</f>
        <v>0</v>
      </c>
      <c r="L228" s="25">
        <f>정규화데이터!L228</f>
        <v>82110</v>
      </c>
      <c r="M228" s="21">
        <f t="shared" si="6"/>
        <v>0</v>
      </c>
      <c r="N228" s="52">
        <f t="shared" si="7"/>
        <v>0</v>
      </c>
    </row>
    <row r="229" spans="1:14" x14ac:dyDescent="0.3">
      <c r="A229" t="str">
        <f>정규화데이터!A229</f>
        <v>SK스토아</v>
      </c>
      <c r="B229" t="str">
        <f>정규화데이터!B229</f>
        <v>20260205994934</v>
      </c>
      <c r="C229" t="str">
        <f>정규화데이터!C229</f>
        <v>2026-02-07</v>
      </c>
      <c r="D229" t="str">
        <f>정규화데이터!D229</f>
        <v>58481090</v>
      </c>
      <c r="E229" s="16" t="str">
        <f>정규화데이터!E229</f>
        <v>미매핑</v>
      </c>
      <c r="F229" s="3">
        <f>정규화데이터!F229</f>
        <v>1</v>
      </c>
      <c r="G229" s="3">
        <f>정규화데이터!G229</f>
        <v>1</v>
      </c>
      <c r="H229" s="3">
        <f>정규화데이터!H229</f>
        <v>119000</v>
      </c>
      <c r="I229" s="3">
        <f>정규화데이터!I229</f>
        <v>119000</v>
      </c>
      <c r="J229" s="3">
        <f>정규화데이터!J229</f>
        <v>82110</v>
      </c>
      <c r="K229" s="25">
        <f>정규화데이터!K229</f>
        <v>0</v>
      </c>
      <c r="L229" s="25">
        <f>정규화데이터!L229</f>
        <v>82110</v>
      </c>
      <c r="M229" s="21">
        <f t="shared" si="6"/>
        <v>0</v>
      </c>
      <c r="N229" s="52">
        <f t="shared" si="7"/>
        <v>0</v>
      </c>
    </row>
    <row r="230" spans="1:14" x14ac:dyDescent="0.3">
      <c r="A230" t="str">
        <f>정규화데이터!A230</f>
        <v>SK스토아</v>
      </c>
      <c r="B230" t="str">
        <f>정규화데이터!B230</f>
        <v>20260205993519</v>
      </c>
      <c r="C230" t="str">
        <f>정규화데이터!C230</f>
        <v>2026-02-07</v>
      </c>
      <c r="D230" t="str">
        <f>정규화데이터!D230</f>
        <v>58481090</v>
      </c>
      <c r="E230" s="16" t="str">
        <f>정규화데이터!E230</f>
        <v>미매핑</v>
      </c>
      <c r="F230" s="3">
        <f>정규화데이터!F230</f>
        <v>1</v>
      </c>
      <c r="G230" s="3">
        <f>정규화데이터!G230</f>
        <v>1</v>
      </c>
      <c r="H230" s="3">
        <f>정규화데이터!H230</f>
        <v>119000</v>
      </c>
      <c r="I230" s="3">
        <f>정규화데이터!I230</f>
        <v>99960</v>
      </c>
      <c r="J230" s="3">
        <f>정규화데이터!J230</f>
        <v>82110</v>
      </c>
      <c r="K230" s="25">
        <f>정규화데이터!K230</f>
        <v>0</v>
      </c>
      <c r="L230" s="25">
        <f>정규화데이터!L230</f>
        <v>82110</v>
      </c>
      <c r="M230" s="21">
        <f t="shared" si="6"/>
        <v>0</v>
      </c>
      <c r="N230" s="52">
        <f t="shared" si="7"/>
        <v>0</v>
      </c>
    </row>
    <row r="231" spans="1:14" x14ac:dyDescent="0.3">
      <c r="A231" t="str">
        <f>정규화데이터!A231</f>
        <v>SK스토아</v>
      </c>
      <c r="B231" t="str">
        <f>정규화데이터!B231</f>
        <v>20260205992372</v>
      </c>
      <c r="C231" t="str">
        <f>정규화데이터!C231</f>
        <v>2026-02-07</v>
      </c>
      <c r="D231" t="str">
        <f>정규화데이터!D231</f>
        <v>58481090</v>
      </c>
      <c r="E231" s="16" t="str">
        <f>정규화데이터!E231</f>
        <v>미매핑</v>
      </c>
      <c r="F231" s="3">
        <f>정규화데이터!F231</f>
        <v>1</v>
      </c>
      <c r="G231" s="3">
        <f>정규화데이터!G231</f>
        <v>2</v>
      </c>
      <c r="H231" s="3">
        <f>정규화데이터!H231</f>
        <v>119000</v>
      </c>
      <c r="I231" s="3">
        <f>정규화데이터!I231</f>
        <v>238000</v>
      </c>
      <c r="J231" s="3">
        <f>정규화데이터!J231</f>
        <v>164220</v>
      </c>
      <c r="K231" s="25">
        <f>정규화데이터!K231</f>
        <v>0</v>
      </c>
      <c r="L231" s="25">
        <f>정규화데이터!L231</f>
        <v>164220</v>
      </c>
      <c r="M231" s="21">
        <f t="shared" si="6"/>
        <v>0</v>
      </c>
      <c r="N231" s="52">
        <f t="shared" si="7"/>
        <v>0</v>
      </c>
    </row>
    <row r="232" spans="1:14" x14ac:dyDescent="0.3">
      <c r="A232" t="str">
        <f>정규화데이터!A232</f>
        <v>SK스토아</v>
      </c>
      <c r="B232" t="str">
        <f>정규화데이터!B232</f>
        <v>20260205994821</v>
      </c>
      <c r="C232" t="str">
        <f>정규화데이터!C232</f>
        <v>2026-02-07</v>
      </c>
      <c r="D232" t="str">
        <f>정규화데이터!D232</f>
        <v>58481090</v>
      </c>
      <c r="E232" s="16" t="str">
        <f>정규화데이터!E232</f>
        <v>미매핑</v>
      </c>
      <c r="F232" s="3">
        <f>정규화데이터!F232</f>
        <v>1</v>
      </c>
      <c r="G232" s="3">
        <f>정규화데이터!G232</f>
        <v>1</v>
      </c>
      <c r="H232" s="3">
        <f>정규화데이터!H232</f>
        <v>119000</v>
      </c>
      <c r="I232" s="3">
        <f>정규화데이터!I232</f>
        <v>119000</v>
      </c>
      <c r="J232" s="3">
        <f>정규화데이터!J232</f>
        <v>82110</v>
      </c>
      <c r="K232" s="25">
        <f>정규화데이터!K232</f>
        <v>0</v>
      </c>
      <c r="L232" s="25">
        <f>정규화데이터!L232</f>
        <v>82110</v>
      </c>
      <c r="M232" s="21">
        <f t="shared" si="6"/>
        <v>0</v>
      </c>
      <c r="N232" s="52">
        <f t="shared" si="7"/>
        <v>0</v>
      </c>
    </row>
    <row r="233" spans="1:14" x14ac:dyDescent="0.3">
      <c r="A233" t="str">
        <f>정규화데이터!A233</f>
        <v>SK스토아</v>
      </c>
      <c r="B233" t="str">
        <f>정규화데이터!B233</f>
        <v>20260205994969</v>
      </c>
      <c r="C233" t="str">
        <f>정규화데이터!C233</f>
        <v>2026-02-07</v>
      </c>
      <c r="D233" t="str">
        <f>정규화데이터!D233</f>
        <v>58481090</v>
      </c>
      <c r="E233" s="16" t="str">
        <f>정규화데이터!E233</f>
        <v>미매핑</v>
      </c>
      <c r="F233" s="3">
        <f>정규화데이터!F233</f>
        <v>1</v>
      </c>
      <c r="G233" s="3">
        <f>정규화데이터!G233</f>
        <v>1</v>
      </c>
      <c r="H233" s="3">
        <f>정규화데이터!H233</f>
        <v>119000</v>
      </c>
      <c r="I233" s="3">
        <f>정규화데이터!I233</f>
        <v>119000</v>
      </c>
      <c r="J233" s="3">
        <f>정규화데이터!J233</f>
        <v>82110</v>
      </c>
      <c r="K233" s="25">
        <f>정규화데이터!K233</f>
        <v>0</v>
      </c>
      <c r="L233" s="25">
        <f>정규화데이터!L233</f>
        <v>82110</v>
      </c>
      <c r="M233" s="21">
        <f t="shared" si="6"/>
        <v>0</v>
      </c>
      <c r="N233" s="52">
        <f t="shared" si="7"/>
        <v>0</v>
      </c>
    </row>
    <row r="234" spans="1:14" x14ac:dyDescent="0.3">
      <c r="A234" t="str">
        <f>정규화데이터!A234</f>
        <v>SK스토아</v>
      </c>
      <c r="B234" t="str">
        <f>정규화데이터!B234</f>
        <v>20260205994017</v>
      </c>
      <c r="C234" t="str">
        <f>정규화데이터!C234</f>
        <v>2026-02-07</v>
      </c>
      <c r="D234" t="str">
        <f>정규화데이터!D234</f>
        <v>58481090</v>
      </c>
      <c r="E234" s="16" t="str">
        <f>정규화데이터!E234</f>
        <v>미매핑</v>
      </c>
      <c r="F234" s="3">
        <f>정규화데이터!F234</f>
        <v>1</v>
      </c>
      <c r="G234" s="3">
        <f>정규화데이터!G234</f>
        <v>1</v>
      </c>
      <c r="H234" s="3">
        <f>정규화데이터!H234</f>
        <v>119000</v>
      </c>
      <c r="I234" s="3">
        <f>정규화데이터!I234</f>
        <v>113050</v>
      </c>
      <c r="J234" s="3">
        <f>정규화데이터!J234</f>
        <v>82110</v>
      </c>
      <c r="K234" s="25">
        <f>정규화데이터!K234</f>
        <v>0</v>
      </c>
      <c r="L234" s="25">
        <f>정규화데이터!L234</f>
        <v>82110</v>
      </c>
      <c r="M234" s="21">
        <f t="shared" si="6"/>
        <v>0</v>
      </c>
      <c r="N234" s="52">
        <f t="shared" si="7"/>
        <v>0</v>
      </c>
    </row>
    <row r="235" spans="1:14" x14ac:dyDescent="0.3">
      <c r="A235" t="str">
        <f>정규화데이터!A235</f>
        <v>SK스토아</v>
      </c>
      <c r="B235" t="str">
        <f>정규화데이터!B235</f>
        <v>20260205994011</v>
      </c>
      <c r="C235" t="str">
        <f>정규화데이터!C235</f>
        <v>2026-02-07</v>
      </c>
      <c r="D235" t="str">
        <f>정규화데이터!D235</f>
        <v>58481090</v>
      </c>
      <c r="E235" s="16" t="str">
        <f>정규화데이터!E235</f>
        <v>미매핑</v>
      </c>
      <c r="F235" s="3">
        <f>정규화데이터!F235</f>
        <v>1</v>
      </c>
      <c r="G235" s="3">
        <f>정규화데이터!G235</f>
        <v>1</v>
      </c>
      <c r="H235" s="3">
        <f>정규화데이터!H235</f>
        <v>119000</v>
      </c>
      <c r="I235" s="3">
        <f>정규화데이터!I235</f>
        <v>119000</v>
      </c>
      <c r="J235" s="3">
        <f>정규화데이터!J235</f>
        <v>82110</v>
      </c>
      <c r="K235" s="25">
        <f>정규화데이터!K235</f>
        <v>0</v>
      </c>
      <c r="L235" s="25">
        <f>정규화데이터!L235</f>
        <v>82110</v>
      </c>
      <c r="M235" s="21">
        <f t="shared" si="6"/>
        <v>0</v>
      </c>
      <c r="N235" s="52">
        <f t="shared" si="7"/>
        <v>0</v>
      </c>
    </row>
    <row r="236" spans="1:14" x14ac:dyDescent="0.3">
      <c r="A236" t="str">
        <f>정규화데이터!A236</f>
        <v>SK스토아</v>
      </c>
      <c r="B236" t="str">
        <f>정규화데이터!B236</f>
        <v>20260205994772</v>
      </c>
      <c r="C236" t="str">
        <f>정규화데이터!C236</f>
        <v>2026-02-07</v>
      </c>
      <c r="D236" t="str">
        <f>정규화데이터!D236</f>
        <v>58481090</v>
      </c>
      <c r="E236" s="16" t="str">
        <f>정규화데이터!E236</f>
        <v>미매핑</v>
      </c>
      <c r="F236" s="3">
        <f>정규화데이터!F236</f>
        <v>1</v>
      </c>
      <c r="G236" s="3">
        <f>정규화데이터!G236</f>
        <v>1</v>
      </c>
      <c r="H236" s="3">
        <f>정규화데이터!H236</f>
        <v>119000</v>
      </c>
      <c r="I236" s="3">
        <f>정규화데이터!I236</f>
        <v>119000</v>
      </c>
      <c r="J236" s="3">
        <f>정규화데이터!J236</f>
        <v>82110</v>
      </c>
      <c r="K236" s="25">
        <f>정규화데이터!K236</f>
        <v>0</v>
      </c>
      <c r="L236" s="25">
        <f>정규화데이터!L236</f>
        <v>82110</v>
      </c>
      <c r="M236" s="21">
        <f t="shared" si="6"/>
        <v>0</v>
      </c>
      <c r="N236" s="52">
        <f t="shared" si="7"/>
        <v>0</v>
      </c>
    </row>
    <row r="237" spans="1:14" x14ac:dyDescent="0.3">
      <c r="A237" t="str">
        <f>정규화데이터!A237</f>
        <v>SK스토아</v>
      </c>
      <c r="B237" t="str">
        <f>정규화데이터!B237</f>
        <v>20260205994841</v>
      </c>
      <c r="C237" t="str">
        <f>정규화데이터!C237</f>
        <v>2026-02-07</v>
      </c>
      <c r="D237" t="str">
        <f>정규화데이터!D237</f>
        <v>58481090</v>
      </c>
      <c r="E237" s="16" t="str">
        <f>정규화데이터!E237</f>
        <v>미매핑</v>
      </c>
      <c r="F237" s="3">
        <f>정규화데이터!F237</f>
        <v>1</v>
      </c>
      <c r="G237" s="3">
        <f>정규화데이터!G237</f>
        <v>1</v>
      </c>
      <c r="H237" s="3">
        <f>정규화데이터!H237</f>
        <v>119000</v>
      </c>
      <c r="I237" s="3">
        <f>정규화데이터!I237</f>
        <v>109000</v>
      </c>
      <c r="J237" s="3">
        <f>정규화데이터!J237</f>
        <v>82110</v>
      </c>
      <c r="K237" s="25">
        <f>정규화데이터!K237</f>
        <v>0</v>
      </c>
      <c r="L237" s="25">
        <f>정규화데이터!L237</f>
        <v>82110</v>
      </c>
      <c r="M237" s="21">
        <f t="shared" si="6"/>
        <v>0</v>
      </c>
      <c r="N237" s="52">
        <f t="shared" si="7"/>
        <v>0</v>
      </c>
    </row>
    <row r="238" spans="1:14" x14ac:dyDescent="0.3">
      <c r="A238" t="str">
        <f>정규화데이터!A238</f>
        <v>SK스토아</v>
      </c>
      <c r="B238" t="str">
        <f>정규화데이터!B238</f>
        <v>20260205993648</v>
      </c>
      <c r="C238" t="str">
        <f>정규화데이터!C238</f>
        <v>2026-02-07</v>
      </c>
      <c r="D238" t="str">
        <f>정규화데이터!D238</f>
        <v>58481090</v>
      </c>
      <c r="E238" s="16" t="str">
        <f>정규화데이터!E238</f>
        <v>미매핑</v>
      </c>
      <c r="F238" s="3">
        <f>정규화데이터!F238</f>
        <v>1</v>
      </c>
      <c r="G238" s="3">
        <f>정규화데이터!G238</f>
        <v>1</v>
      </c>
      <c r="H238" s="3">
        <f>정규화데이터!H238</f>
        <v>119000</v>
      </c>
      <c r="I238" s="3">
        <f>정규화데이터!I238</f>
        <v>119000</v>
      </c>
      <c r="J238" s="3">
        <f>정규화데이터!J238</f>
        <v>82110</v>
      </c>
      <c r="K238" s="25">
        <f>정규화데이터!K238</f>
        <v>0</v>
      </c>
      <c r="L238" s="25">
        <f>정규화데이터!L238</f>
        <v>82110</v>
      </c>
      <c r="M238" s="21">
        <f t="shared" si="6"/>
        <v>0</v>
      </c>
      <c r="N238" s="52">
        <f t="shared" si="7"/>
        <v>0</v>
      </c>
    </row>
    <row r="239" spans="1:14" x14ac:dyDescent="0.3">
      <c r="A239" t="str">
        <f>정규화데이터!A239</f>
        <v>SK스토아</v>
      </c>
      <c r="B239" t="str">
        <f>정규화데이터!B239</f>
        <v>20260205992386</v>
      </c>
      <c r="C239" t="str">
        <f>정규화데이터!C239</f>
        <v>2026-02-07</v>
      </c>
      <c r="D239" t="str">
        <f>정규화데이터!D239</f>
        <v>58481090</v>
      </c>
      <c r="E239" s="16" t="str">
        <f>정규화데이터!E239</f>
        <v>미매핑</v>
      </c>
      <c r="F239" s="3">
        <f>정규화데이터!F239</f>
        <v>1</v>
      </c>
      <c r="G239" s="3">
        <f>정규화데이터!G239</f>
        <v>1</v>
      </c>
      <c r="H239" s="3">
        <f>정규화데이터!H239</f>
        <v>119000</v>
      </c>
      <c r="I239" s="3">
        <f>정규화데이터!I239</f>
        <v>119000</v>
      </c>
      <c r="J239" s="3">
        <f>정규화데이터!J239</f>
        <v>82110</v>
      </c>
      <c r="K239" s="25">
        <f>정규화데이터!K239</f>
        <v>0</v>
      </c>
      <c r="L239" s="25">
        <f>정규화데이터!L239</f>
        <v>82110</v>
      </c>
      <c r="M239" s="21">
        <f t="shared" si="6"/>
        <v>0</v>
      </c>
      <c r="N239" s="52">
        <f t="shared" si="7"/>
        <v>0</v>
      </c>
    </row>
    <row r="240" spans="1:14" x14ac:dyDescent="0.3">
      <c r="A240" t="str">
        <f>정규화데이터!A240</f>
        <v>SK스토아</v>
      </c>
      <c r="B240" t="str">
        <f>정규화데이터!B240</f>
        <v>20260205995406</v>
      </c>
      <c r="C240" t="str">
        <f>정규화데이터!C240</f>
        <v>2026-02-07</v>
      </c>
      <c r="D240" t="str">
        <f>정규화데이터!D240</f>
        <v>58481090</v>
      </c>
      <c r="E240" s="16" t="str">
        <f>정규화데이터!E240</f>
        <v>미매핑</v>
      </c>
      <c r="F240" s="3">
        <f>정규화데이터!F240</f>
        <v>1</v>
      </c>
      <c r="G240" s="3">
        <f>정규화데이터!G240</f>
        <v>1</v>
      </c>
      <c r="H240" s="3">
        <f>정규화데이터!H240</f>
        <v>119000</v>
      </c>
      <c r="I240" s="3">
        <f>정규화데이터!I240</f>
        <v>119000</v>
      </c>
      <c r="J240" s="3">
        <f>정규화데이터!J240</f>
        <v>82110</v>
      </c>
      <c r="K240" s="25">
        <f>정규화데이터!K240</f>
        <v>0</v>
      </c>
      <c r="L240" s="25">
        <f>정규화데이터!L240</f>
        <v>82110</v>
      </c>
      <c r="M240" s="21">
        <f t="shared" si="6"/>
        <v>0</v>
      </c>
      <c r="N240" s="52">
        <f t="shared" si="7"/>
        <v>0</v>
      </c>
    </row>
    <row r="241" spans="1:14" x14ac:dyDescent="0.3">
      <c r="A241" t="str">
        <f>정규화데이터!A241</f>
        <v>SK스토아</v>
      </c>
      <c r="B241" t="str">
        <f>정규화데이터!B241</f>
        <v>20260205993902</v>
      </c>
      <c r="C241" t="str">
        <f>정규화데이터!C241</f>
        <v>2026-02-07</v>
      </c>
      <c r="D241" t="str">
        <f>정규화데이터!D241</f>
        <v>58481090</v>
      </c>
      <c r="E241" s="16" t="str">
        <f>정규화데이터!E241</f>
        <v>미매핑</v>
      </c>
      <c r="F241" s="3">
        <f>정규화데이터!F241</f>
        <v>1</v>
      </c>
      <c r="G241" s="3">
        <f>정규화데이터!G241</f>
        <v>1</v>
      </c>
      <c r="H241" s="3">
        <f>정규화데이터!H241</f>
        <v>119000</v>
      </c>
      <c r="I241" s="3">
        <f>정규화데이터!I241</f>
        <v>113050</v>
      </c>
      <c r="J241" s="3">
        <f>정규화데이터!J241</f>
        <v>82110</v>
      </c>
      <c r="K241" s="25">
        <f>정규화데이터!K241</f>
        <v>0</v>
      </c>
      <c r="L241" s="25">
        <f>정규화데이터!L241</f>
        <v>82110</v>
      </c>
      <c r="M241" s="21">
        <f t="shared" si="6"/>
        <v>0</v>
      </c>
      <c r="N241" s="52">
        <f t="shared" si="7"/>
        <v>0</v>
      </c>
    </row>
    <row r="242" spans="1:14" x14ac:dyDescent="0.3">
      <c r="A242" t="str">
        <f>정규화데이터!A242</f>
        <v>SK스토아</v>
      </c>
      <c r="B242" t="str">
        <f>정규화데이터!B242</f>
        <v>20260205995112</v>
      </c>
      <c r="C242" t="str">
        <f>정규화데이터!C242</f>
        <v>2026-02-07</v>
      </c>
      <c r="D242" t="str">
        <f>정규화데이터!D242</f>
        <v>58481090</v>
      </c>
      <c r="E242" s="16" t="str">
        <f>정규화데이터!E242</f>
        <v>미매핑</v>
      </c>
      <c r="F242" s="3">
        <f>정규화데이터!F242</f>
        <v>1</v>
      </c>
      <c r="G242" s="3">
        <f>정규화데이터!G242</f>
        <v>1</v>
      </c>
      <c r="H242" s="3">
        <f>정규화데이터!H242</f>
        <v>119000</v>
      </c>
      <c r="I242" s="3">
        <f>정규화데이터!I242</f>
        <v>119000</v>
      </c>
      <c r="J242" s="3">
        <f>정규화데이터!J242</f>
        <v>82110</v>
      </c>
      <c r="K242" s="25">
        <f>정규화데이터!K242</f>
        <v>0</v>
      </c>
      <c r="L242" s="25">
        <f>정규화데이터!L242</f>
        <v>82110</v>
      </c>
      <c r="M242" s="21">
        <f t="shared" si="6"/>
        <v>0</v>
      </c>
      <c r="N242" s="52">
        <f t="shared" si="7"/>
        <v>0</v>
      </c>
    </row>
    <row r="243" spans="1:14" x14ac:dyDescent="0.3">
      <c r="A243" t="str">
        <f>정규화데이터!A243</f>
        <v>SK스토아</v>
      </c>
      <c r="B243" t="str">
        <f>정규화데이터!B243</f>
        <v>20260205992636</v>
      </c>
      <c r="C243" t="str">
        <f>정규화데이터!C243</f>
        <v>2026-02-07</v>
      </c>
      <c r="D243" t="str">
        <f>정규화데이터!D243</f>
        <v>58481090</v>
      </c>
      <c r="E243" s="16" t="str">
        <f>정규화데이터!E243</f>
        <v>미매핑</v>
      </c>
      <c r="F243" s="3">
        <f>정규화데이터!F243</f>
        <v>1</v>
      </c>
      <c r="G243" s="3">
        <f>정규화데이터!G243</f>
        <v>1</v>
      </c>
      <c r="H243" s="3">
        <f>정규화데이터!H243</f>
        <v>119000</v>
      </c>
      <c r="I243" s="3">
        <f>정규화데이터!I243</f>
        <v>119000</v>
      </c>
      <c r="J243" s="3">
        <f>정규화데이터!J243</f>
        <v>82110</v>
      </c>
      <c r="K243" s="25">
        <f>정규화데이터!K243</f>
        <v>0</v>
      </c>
      <c r="L243" s="25">
        <f>정규화데이터!L243</f>
        <v>82110</v>
      </c>
      <c r="M243" s="21">
        <f t="shared" si="6"/>
        <v>0</v>
      </c>
      <c r="N243" s="52">
        <f t="shared" si="7"/>
        <v>0</v>
      </c>
    </row>
    <row r="244" spans="1:14" x14ac:dyDescent="0.3">
      <c r="A244" t="str">
        <f>정규화데이터!A244</f>
        <v>SK스토아</v>
      </c>
      <c r="B244" t="str">
        <f>정규화데이터!B244</f>
        <v>20260205993892</v>
      </c>
      <c r="C244" t="str">
        <f>정규화데이터!C244</f>
        <v>2026-02-07</v>
      </c>
      <c r="D244" t="str">
        <f>정규화데이터!D244</f>
        <v>58481090</v>
      </c>
      <c r="E244" s="16" t="str">
        <f>정규화데이터!E244</f>
        <v>미매핑</v>
      </c>
      <c r="F244" s="3">
        <f>정규화데이터!F244</f>
        <v>1</v>
      </c>
      <c r="G244" s="3">
        <f>정규화데이터!G244</f>
        <v>1</v>
      </c>
      <c r="H244" s="3">
        <f>정규화데이터!H244</f>
        <v>119000</v>
      </c>
      <c r="I244" s="3">
        <f>정규화데이터!I244</f>
        <v>119000</v>
      </c>
      <c r="J244" s="3">
        <f>정규화데이터!J244</f>
        <v>82110</v>
      </c>
      <c r="K244" s="25">
        <f>정규화데이터!K244</f>
        <v>0</v>
      </c>
      <c r="L244" s="25">
        <f>정규화데이터!L244</f>
        <v>82110</v>
      </c>
      <c r="M244" s="21">
        <f t="shared" si="6"/>
        <v>0</v>
      </c>
      <c r="N244" s="52">
        <f t="shared" si="7"/>
        <v>0</v>
      </c>
    </row>
    <row r="245" spans="1:14" x14ac:dyDescent="0.3">
      <c r="A245" t="str">
        <f>정규화데이터!A245</f>
        <v>SK스토아</v>
      </c>
      <c r="B245" t="str">
        <f>정규화데이터!B245</f>
        <v>20260205994997</v>
      </c>
      <c r="C245" t="str">
        <f>정규화데이터!C245</f>
        <v>2026-02-07</v>
      </c>
      <c r="D245" t="str">
        <f>정규화데이터!D245</f>
        <v>58481090</v>
      </c>
      <c r="E245" s="16" t="str">
        <f>정규화데이터!E245</f>
        <v>미매핑</v>
      </c>
      <c r="F245" s="3">
        <f>정규화데이터!F245</f>
        <v>1</v>
      </c>
      <c r="G245" s="3">
        <f>정규화데이터!G245</f>
        <v>1</v>
      </c>
      <c r="H245" s="3">
        <f>정규화데이터!H245</f>
        <v>119000</v>
      </c>
      <c r="I245" s="3">
        <f>정규화데이터!I245</f>
        <v>107350</v>
      </c>
      <c r="J245" s="3">
        <f>정규화데이터!J245</f>
        <v>82110</v>
      </c>
      <c r="K245" s="25">
        <f>정규화데이터!K245</f>
        <v>0</v>
      </c>
      <c r="L245" s="25">
        <f>정규화데이터!L245</f>
        <v>82110</v>
      </c>
      <c r="M245" s="21">
        <f t="shared" si="6"/>
        <v>0</v>
      </c>
      <c r="N245" s="52">
        <f t="shared" si="7"/>
        <v>0</v>
      </c>
    </row>
    <row r="246" spans="1:14" x14ac:dyDescent="0.3">
      <c r="A246" t="str">
        <f>정규화데이터!A246</f>
        <v>SK스토아</v>
      </c>
      <c r="B246" t="str">
        <f>정규화데이터!B246</f>
        <v>20260205993878</v>
      </c>
      <c r="C246" t="str">
        <f>정규화데이터!C246</f>
        <v>2026-02-07</v>
      </c>
      <c r="D246" t="str">
        <f>정규화데이터!D246</f>
        <v>58481090</v>
      </c>
      <c r="E246" s="16" t="str">
        <f>정규화데이터!E246</f>
        <v>미매핑</v>
      </c>
      <c r="F246" s="3">
        <f>정규화데이터!F246</f>
        <v>1</v>
      </c>
      <c r="G246" s="3">
        <f>정규화데이터!G246</f>
        <v>2</v>
      </c>
      <c r="H246" s="3">
        <f>정규화데이터!H246</f>
        <v>119000</v>
      </c>
      <c r="I246" s="3">
        <f>정규화데이터!I246</f>
        <v>238000</v>
      </c>
      <c r="J246" s="3">
        <f>정규화데이터!J246</f>
        <v>164220</v>
      </c>
      <c r="K246" s="25">
        <f>정규화데이터!K246</f>
        <v>0</v>
      </c>
      <c r="L246" s="25">
        <f>정규화데이터!L246</f>
        <v>164220</v>
      </c>
      <c r="M246" s="21">
        <f t="shared" si="6"/>
        <v>0</v>
      </c>
      <c r="N246" s="52">
        <f t="shared" si="7"/>
        <v>0</v>
      </c>
    </row>
    <row r="247" spans="1:14" x14ac:dyDescent="0.3">
      <c r="A247" t="str">
        <f>정규화데이터!A247</f>
        <v>SK스토아</v>
      </c>
      <c r="B247" t="str">
        <f>정규화데이터!B247</f>
        <v>20260205993394</v>
      </c>
      <c r="C247" t="str">
        <f>정규화데이터!C247</f>
        <v>2026-02-07</v>
      </c>
      <c r="D247" t="str">
        <f>정규화데이터!D247</f>
        <v>58481090</v>
      </c>
      <c r="E247" s="16" t="str">
        <f>정규화데이터!E247</f>
        <v>미매핑</v>
      </c>
      <c r="F247" s="3">
        <f>정규화데이터!F247</f>
        <v>1</v>
      </c>
      <c r="G247" s="3">
        <f>정규화데이터!G247</f>
        <v>1</v>
      </c>
      <c r="H247" s="3">
        <f>정규화데이터!H247</f>
        <v>119000</v>
      </c>
      <c r="I247" s="3">
        <f>정규화데이터!I247</f>
        <v>119000</v>
      </c>
      <c r="J247" s="3">
        <f>정규화데이터!J247</f>
        <v>82110</v>
      </c>
      <c r="K247" s="25">
        <f>정규화데이터!K247</f>
        <v>0</v>
      </c>
      <c r="L247" s="25">
        <f>정규화데이터!L247</f>
        <v>82110</v>
      </c>
      <c r="M247" s="21">
        <f t="shared" si="6"/>
        <v>0</v>
      </c>
      <c r="N247" s="52">
        <f t="shared" si="7"/>
        <v>0</v>
      </c>
    </row>
    <row r="248" spans="1:14" x14ac:dyDescent="0.3">
      <c r="A248" t="str">
        <f>정규화데이터!A248</f>
        <v>SK스토아</v>
      </c>
      <c r="B248" t="str">
        <f>정규화데이터!B248</f>
        <v>20260205993490</v>
      </c>
      <c r="C248" t="str">
        <f>정규화데이터!C248</f>
        <v>2026-02-07</v>
      </c>
      <c r="D248" t="str">
        <f>정규화데이터!D248</f>
        <v>58481090</v>
      </c>
      <c r="E248" s="16" t="str">
        <f>정규화데이터!E248</f>
        <v>미매핑</v>
      </c>
      <c r="F248" s="3">
        <f>정규화데이터!F248</f>
        <v>1</v>
      </c>
      <c r="G248" s="3">
        <f>정규화데이터!G248</f>
        <v>1</v>
      </c>
      <c r="H248" s="3">
        <f>정규화데이터!H248</f>
        <v>119000</v>
      </c>
      <c r="I248" s="3">
        <f>정규화데이터!I248</f>
        <v>119000</v>
      </c>
      <c r="J248" s="3">
        <f>정규화데이터!J248</f>
        <v>82110</v>
      </c>
      <c r="K248" s="25">
        <f>정규화데이터!K248</f>
        <v>0</v>
      </c>
      <c r="L248" s="25">
        <f>정규화데이터!L248</f>
        <v>82110</v>
      </c>
      <c r="M248" s="21">
        <f t="shared" si="6"/>
        <v>0</v>
      </c>
      <c r="N248" s="52">
        <f t="shared" si="7"/>
        <v>0</v>
      </c>
    </row>
    <row r="249" spans="1:14" x14ac:dyDescent="0.3">
      <c r="A249" t="str">
        <f>정규화데이터!A249</f>
        <v>SK스토아</v>
      </c>
      <c r="B249" t="str">
        <f>정규화데이터!B249</f>
        <v>20260205992805</v>
      </c>
      <c r="C249" t="str">
        <f>정규화데이터!C249</f>
        <v>2026-02-07</v>
      </c>
      <c r="D249" t="str">
        <f>정규화데이터!D249</f>
        <v>58481090</v>
      </c>
      <c r="E249" s="16" t="str">
        <f>정규화데이터!E249</f>
        <v>미매핑</v>
      </c>
      <c r="F249" s="3">
        <f>정규화데이터!F249</f>
        <v>1</v>
      </c>
      <c r="G249" s="3">
        <f>정규화데이터!G249</f>
        <v>1</v>
      </c>
      <c r="H249" s="3">
        <f>정규화데이터!H249</f>
        <v>119000</v>
      </c>
      <c r="I249" s="3">
        <f>정규화데이터!I249</f>
        <v>119000</v>
      </c>
      <c r="J249" s="3">
        <f>정규화데이터!J249</f>
        <v>82110</v>
      </c>
      <c r="K249" s="25">
        <f>정규화데이터!K249</f>
        <v>0</v>
      </c>
      <c r="L249" s="25">
        <f>정규화데이터!L249</f>
        <v>82110</v>
      </c>
      <c r="M249" s="21">
        <f t="shared" si="6"/>
        <v>0</v>
      </c>
      <c r="N249" s="52">
        <f t="shared" si="7"/>
        <v>0</v>
      </c>
    </row>
    <row r="250" spans="1:14" x14ac:dyDescent="0.3">
      <c r="A250" t="str">
        <f>정규화데이터!A250</f>
        <v>SK스토아</v>
      </c>
      <c r="B250" t="str">
        <f>정규화데이터!B250</f>
        <v>20260205993167</v>
      </c>
      <c r="C250" t="str">
        <f>정규화데이터!C250</f>
        <v>2026-02-07</v>
      </c>
      <c r="D250" t="str">
        <f>정규화데이터!D250</f>
        <v>58481090</v>
      </c>
      <c r="E250" s="16" t="str">
        <f>정규화데이터!E250</f>
        <v>미매핑</v>
      </c>
      <c r="F250" s="3">
        <f>정규화데이터!F250</f>
        <v>1</v>
      </c>
      <c r="G250" s="3">
        <f>정규화데이터!G250</f>
        <v>1</v>
      </c>
      <c r="H250" s="3">
        <f>정규화데이터!H250</f>
        <v>119000</v>
      </c>
      <c r="I250" s="3">
        <f>정규화데이터!I250</f>
        <v>119000</v>
      </c>
      <c r="J250" s="3">
        <f>정규화데이터!J250</f>
        <v>82110</v>
      </c>
      <c r="K250" s="25">
        <f>정규화데이터!K250</f>
        <v>0</v>
      </c>
      <c r="L250" s="25">
        <f>정규화데이터!L250</f>
        <v>82110</v>
      </c>
      <c r="M250" s="21">
        <f t="shared" si="6"/>
        <v>0</v>
      </c>
      <c r="N250" s="52">
        <f t="shared" si="7"/>
        <v>0</v>
      </c>
    </row>
    <row r="251" spans="1:14" x14ac:dyDescent="0.3">
      <c r="A251" t="str">
        <f>정규화데이터!A251</f>
        <v>SK스토아</v>
      </c>
      <c r="B251" t="str">
        <f>정규화데이터!B251</f>
        <v>20260206639164</v>
      </c>
      <c r="C251" t="str">
        <f>정규화데이터!C251</f>
        <v>2026-02-07</v>
      </c>
      <c r="D251" t="str">
        <f>정규화데이터!D251</f>
        <v>58481090</v>
      </c>
      <c r="E251" s="16" t="str">
        <f>정규화데이터!E251</f>
        <v>미매핑</v>
      </c>
      <c r="F251" s="3">
        <f>정규화데이터!F251</f>
        <v>1</v>
      </c>
      <c r="G251" s="3">
        <f>정규화데이터!G251</f>
        <v>1</v>
      </c>
      <c r="H251" s="3">
        <f>정규화데이터!H251</f>
        <v>119000</v>
      </c>
      <c r="I251" s="3">
        <f>정규화데이터!I251</f>
        <v>101150</v>
      </c>
      <c r="J251" s="3">
        <f>정규화데이터!J251</f>
        <v>82110</v>
      </c>
      <c r="K251" s="25">
        <f>정규화데이터!K251</f>
        <v>0</v>
      </c>
      <c r="L251" s="25">
        <f>정규화데이터!L251</f>
        <v>82110</v>
      </c>
      <c r="M251" s="21">
        <f t="shared" si="6"/>
        <v>0</v>
      </c>
      <c r="N251" s="52">
        <f t="shared" si="7"/>
        <v>0</v>
      </c>
    </row>
    <row r="252" spans="1:14" x14ac:dyDescent="0.3">
      <c r="A252" t="str">
        <f>정규화데이터!A252</f>
        <v>SK스토아</v>
      </c>
      <c r="B252" t="str">
        <f>정규화데이터!B252</f>
        <v>20260205994965</v>
      </c>
      <c r="C252" t="str">
        <f>정규화데이터!C252</f>
        <v>2026-02-07</v>
      </c>
      <c r="D252" t="str">
        <f>정규화데이터!D252</f>
        <v>58481090</v>
      </c>
      <c r="E252" s="16" t="str">
        <f>정규화데이터!E252</f>
        <v>미매핑</v>
      </c>
      <c r="F252" s="3">
        <f>정규화데이터!F252</f>
        <v>1</v>
      </c>
      <c r="G252" s="3">
        <f>정규화데이터!G252</f>
        <v>1</v>
      </c>
      <c r="H252" s="3">
        <f>정규화데이터!H252</f>
        <v>119000</v>
      </c>
      <c r="I252" s="3">
        <f>정규화데이터!I252</f>
        <v>119000</v>
      </c>
      <c r="J252" s="3">
        <f>정규화데이터!J252</f>
        <v>82110</v>
      </c>
      <c r="K252" s="25">
        <f>정규화데이터!K252</f>
        <v>0</v>
      </c>
      <c r="L252" s="25">
        <f>정규화데이터!L252</f>
        <v>82110</v>
      </c>
      <c r="M252" s="21">
        <f t="shared" si="6"/>
        <v>0</v>
      </c>
      <c r="N252" s="52">
        <f t="shared" si="7"/>
        <v>0</v>
      </c>
    </row>
    <row r="253" spans="1:14" x14ac:dyDescent="0.3">
      <c r="A253" t="str">
        <f>정규화데이터!A253</f>
        <v>SK스토아</v>
      </c>
      <c r="B253" t="str">
        <f>정규화데이터!B253</f>
        <v>20260205995226</v>
      </c>
      <c r="C253" t="str">
        <f>정규화데이터!C253</f>
        <v>2026-02-07</v>
      </c>
      <c r="D253" t="str">
        <f>정규화데이터!D253</f>
        <v>58481090</v>
      </c>
      <c r="E253" s="16" t="str">
        <f>정규화데이터!E253</f>
        <v>미매핑</v>
      </c>
      <c r="F253" s="3">
        <f>정규화데이터!F253</f>
        <v>1</v>
      </c>
      <c r="G253" s="3">
        <f>정규화데이터!G253</f>
        <v>1</v>
      </c>
      <c r="H253" s="3">
        <f>정규화데이터!H253</f>
        <v>119000</v>
      </c>
      <c r="I253" s="3">
        <f>정규화데이터!I253</f>
        <v>119000</v>
      </c>
      <c r="J253" s="3">
        <f>정규화데이터!J253</f>
        <v>82110</v>
      </c>
      <c r="K253" s="25">
        <f>정규화데이터!K253</f>
        <v>0</v>
      </c>
      <c r="L253" s="25">
        <f>정규화데이터!L253</f>
        <v>82110</v>
      </c>
      <c r="M253" s="21">
        <f t="shared" si="6"/>
        <v>0</v>
      </c>
      <c r="N253" s="52">
        <f t="shared" si="7"/>
        <v>0</v>
      </c>
    </row>
    <row r="254" spans="1:14" x14ac:dyDescent="0.3">
      <c r="A254" t="str">
        <f>정규화데이터!A254</f>
        <v>SK스토아</v>
      </c>
      <c r="B254" t="str">
        <f>정규화데이터!B254</f>
        <v>20260205995451</v>
      </c>
      <c r="C254" t="str">
        <f>정규화데이터!C254</f>
        <v>2026-02-07</v>
      </c>
      <c r="D254" t="str">
        <f>정규화데이터!D254</f>
        <v>58481090</v>
      </c>
      <c r="E254" s="16" t="str">
        <f>정규화데이터!E254</f>
        <v>미매핑</v>
      </c>
      <c r="F254" s="3">
        <f>정규화데이터!F254</f>
        <v>1</v>
      </c>
      <c r="G254" s="3">
        <f>정규화데이터!G254</f>
        <v>1</v>
      </c>
      <c r="H254" s="3">
        <f>정규화데이터!H254</f>
        <v>119000</v>
      </c>
      <c r="I254" s="3">
        <f>정규화데이터!I254</f>
        <v>119000</v>
      </c>
      <c r="J254" s="3">
        <f>정규화데이터!J254</f>
        <v>82110</v>
      </c>
      <c r="K254" s="25">
        <f>정규화데이터!K254</f>
        <v>0</v>
      </c>
      <c r="L254" s="25">
        <f>정규화데이터!L254</f>
        <v>82110</v>
      </c>
      <c r="M254" s="21">
        <f t="shared" si="6"/>
        <v>0</v>
      </c>
      <c r="N254" s="52">
        <f t="shared" si="7"/>
        <v>0</v>
      </c>
    </row>
    <row r="255" spans="1:14" x14ac:dyDescent="0.3">
      <c r="A255" t="str">
        <f>정규화데이터!A255</f>
        <v>SK스토아</v>
      </c>
      <c r="B255" t="str">
        <f>정규화데이터!B255</f>
        <v>20260205995408</v>
      </c>
      <c r="C255" t="str">
        <f>정규화데이터!C255</f>
        <v>2026-02-07</v>
      </c>
      <c r="D255" t="str">
        <f>정규화데이터!D255</f>
        <v>58481090</v>
      </c>
      <c r="E255" s="16" t="str">
        <f>정규화데이터!E255</f>
        <v>미매핑</v>
      </c>
      <c r="F255" s="3">
        <f>정규화데이터!F255</f>
        <v>1</v>
      </c>
      <c r="G255" s="3">
        <f>정규화데이터!G255</f>
        <v>1</v>
      </c>
      <c r="H255" s="3">
        <f>정규화데이터!H255</f>
        <v>119000</v>
      </c>
      <c r="I255" s="3">
        <f>정규화데이터!I255</f>
        <v>119000</v>
      </c>
      <c r="J255" s="3">
        <f>정규화데이터!J255</f>
        <v>82110</v>
      </c>
      <c r="K255" s="25">
        <f>정규화데이터!K255</f>
        <v>0</v>
      </c>
      <c r="L255" s="25">
        <f>정규화데이터!L255</f>
        <v>82110</v>
      </c>
      <c r="M255" s="21">
        <f t="shared" si="6"/>
        <v>0</v>
      </c>
      <c r="N255" s="52">
        <f t="shared" si="7"/>
        <v>0</v>
      </c>
    </row>
    <row r="256" spans="1:14" x14ac:dyDescent="0.3">
      <c r="A256" t="str">
        <f>정규화데이터!A256</f>
        <v>SK스토아</v>
      </c>
      <c r="B256" t="str">
        <f>정규화데이터!B256</f>
        <v>20260205995252</v>
      </c>
      <c r="C256" t="str">
        <f>정규화데이터!C256</f>
        <v>2026-02-07</v>
      </c>
      <c r="D256" t="str">
        <f>정규화데이터!D256</f>
        <v>58481090</v>
      </c>
      <c r="E256" s="16" t="str">
        <f>정규화데이터!E256</f>
        <v>미매핑</v>
      </c>
      <c r="F256" s="3">
        <f>정규화데이터!F256</f>
        <v>1</v>
      </c>
      <c r="G256" s="3">
        <f>정규화데이터!G256</f>
        <v>1</v>
      </c>
      <c r="H256" s="3">
        <f>정규화데이터!H256</f>
        <v>119000</v>
      </c>
      <c r="I256" s="3">
        <f>정규화데이터!I256</f>
        <v>119000</v>
      </c>
      <c r="J256" s="3">
        <f>정규화데이터!J256</f>
        <v>82110</v>
      </c>
      <c r="K256" s="25">
        <f>정규화데이터!K256</f>
        <v>0</v>
      </c>
      <c r="L256" s="25">
        <f>정규화데이터!L256</f>
        <v>82110</v>
      </c>
      <c r="M256" s="21">
        <f t="shared" si="6"/>
        <v>0</v>
      </c>
      <c r="N256" s="52">
        <f t="shared" si="7"/>
        <v>0</v>
      </c>
    </row>
    <row r="257" spans="1:14" x14ac:dyDescent="0.3">
      <c r="A257" t="str">
        <f>정규화데이터!A257</f>
        <v>SK스토아</v>
      </c>
      <c r="B257" t="str">
        <f>정규화데이터!B257</f>
        <v>20260205995543</v>
      </c>
      <c r="C257" t="str">
        <f>정규화데이터!C257</f>
        <v>2026-02-07</v>
      </c>
      <c r="D257" t="str">
        <f>정규화데이터!D257</f>
        <v>58481090</v>
      </c>
      <c r="E257" s="16" t="str">
        <f>정규화데이터!E257</f>
        <v>미매핑</v>
      </c>
      <c r="F257" s="3">
        <f>정규화데이터!F257</f>
        <v>1</v>
      </c>
      <c r="G257" s="3">
        <f>정규화데이터!G257</f>
        <v>1</v>
      </c>
      <c r="H257" s="3">
        <f>정규화데이터!H257</f>
        <v>119000</v>
      </c>
      <c r="I257" s="3">
        <f>정규화데이터!I257</f>
        <v>119000</v>
      </c>
      <c r="J257" s="3">
        <f>정규화데이터!J257</f>
        <v>82110</v>
      </c>
      <c r="K257" s="25">
        <f>정규화데이터!K257</f>
        <v>0</v>
      </c>
      <c r="L257" s="25">
        <f>정규화데이터!L257</f>
        <v>82110</v>
      </c>
      <c r="M257" s="21">
        <f t="shared" si="6"/>
        <v>0</v>
      </c>
      <c r="N257" s="52">
        <f t="shared" si="7"/>
        <v>0</v>
      </c>
    </row>
    <row r="258" spans="1:14" x14ac:dyDescent="0.3">
      <c r="A258" t="str">
        <f>정규화데이터!A258</f>
        <v>SK스토아</v>
      </c>
      <c r="B258" t="str">
        <f>정규화데이터!B258</f>
        <v>20260205995557</v>
      </c>
      <c r="C258" t="str">
        <f>정규화데이터!C258</f>
        <v>2026-02-07</v>
      </c>
      <c r="D258" t="str">
        <f>정규화데이터!D258</f>
        <v>58481090</v>
      </c>
      <c r="E258" s="16" t="str">
        <f>정규화데이터!E258</f>
        <v>미매핑</v>
      </c>
      <c r="F258" s="3">
        <f>정규화데이터!F258</f>
        <v>1</v>
      </c>
      <c r="G258" s="3">
        <f>정규화데이터!G258</f>
        <v>1</v>
      </c>
      <c r="H258" s="3">
        <f>정규화데이터!H258</f>
        <v>119000</v>
      </c>
      <c r="I258" s="3">
        <f>정규화데이터!I258</f>
        <v>119000</v>
      </c>
      <c r="J258" s="3">
        <f>정규화데이터!J258</f>
        <v>82110</v>
      </c>
      <c r="K258" s="25">
        <f>정규화데이터!K258</f>
        <v>0</v>
      </c>
      <c r="L258" s="25">
        <f>정규화데이터!L258</f>
        <v>82110</v>
      </c>
      <c r="M258" s="21">
        <f t="shared" ref="M258:M321" si="8">J258-L258</f>
        <v>0</v>
      </c>
      <c r="N258" s="52">
        <f t="shared" ref="N258:N321" si="9">IF(J258=0,0,M258/J258)</f>
        <v>0</v>
      </c>
    </row>
    <row r="259" spans="1:14" x14ac:dyDescent="0.3">
      <c r="A259" t="str">
        <f>정규화데이터!A259</f>
        <v>SK스토아</v>
      </c>
      <c r="B259" t="str">
        <f>정규화데이터!B259</f>
        <v>20260205995144</v>
      </c>
      <c r="C259" t="str">
        <f>정규화데이터!C259</f>
        <v>2026-02-07</v>
      </c>
      <c r="D259" t="str">
        <f>정규화데이터!D259</f>
        <v>58481090</v>
      </c>
      <c r="E259" s="16" t="str">
        <f>정규화데이터!E259</f>
        <v>미매핑</v>
      </c>
      <c r="F259" s="3">
        <f>정규화데이터!F259</f>
        <v>1</v>
      </c>
      <c r="G259" s="3">
        <f>정규화데이터!G259</f>
        <v>1</v>
      </c>
      <c r="H259" s="3">
        <f>정규화데이터!H259</f>
        <v>119000</v>
      </c>
      <c r="I259" s="3">
        <f>정규화데이터!I259</f>
        <v>119000</v>
      </c>
      <c r="J259" s="3">
        <f>정규화데이터!J259</f>
        <v>82110</v>
      </c>
      <c r="K259" s="25">
        <f>정규화데이터!K259</f>
        <v>0</v>
      </c>
      <c r="L259" s="25">
        <f>정규화데이터!L259</f>
        <v>82110</v>
      </c>
      <c r="M259" s="21">
        <f t="shared" si="8"/>
        <v>0</v>
      </c>
      <c r="N259" s="52">
        <f t="shared" si="9"/>
        <v>0</v>
      </c>
    </row>
    <row r="260" spans="1:14" x14ac:dyDescent="0.3">
      <c r="A260" t="str">
        <f>정규화데이터!A260</f>
        <v>SK스토아</v>
      </c>
      <c r="B260" t="str">
        <f>정규화데이터!B260</f>
        <v>20260205993754</v>
      </c>
      <c r="C260" t="str">
        <f>정규화데이터!C260</f>
        <v>2026-02-07</v>
      </c>
      <c r="D260" t="str">
        <f>정규화데이터!D260</f>
        <v>58481090</v>
      </c>
      <c r="E260" s="16" t="str">
        <f>정규화데이터!E260</f>
        <v>미매핑</v>
      </c>
      <c r="F260" s="3">
        <f>정규화데이터!F260</f>
        <v>1</v>
      </c>
      <c r="G260" s="3">
        <f>정규화데이터!G260</f>
        <v>1</v>
      </c>
      <c r="H260" s="3">
        <f>정규화데이터!H260</f>
        <v>119000</v>
      </c>
      <c r="I260" s="3">
        <f>정규화데이터!I260</f>
        <v>119000</v>
      </c>
      <c r="J260" s="3">
        <f>정규화데이터!J260</f>
        <v>82110</v>
      </c>
      <c r="K260" s="25">
        <f>정규화데이터!K260</f>
        <v>0</v>
      </c>
      <c r="L260" s="25">
        <f>정규화데이터!L260</f>
        <v>82110</v>
      </c>
      <c r="M260" s="21">
        <f t="shared" si="8"/>
        <v>0</v>
      </c>
      <c r="N260" s="52">
        <f t="shared" si="9"/>
        <v>0</v>
      </c>
    </row>
    <row r="261" spans="1:14" x14ac:dyDescent="0.3">
      <c r="A261" t="str">
        <f>정규화데이터!A261</f>
        <v>SK스토아</v>
      </c>
      <c r="B261" t="str">
        <f>정규화데이터!B261</f>
        <v>20260205994732</v>
      </c>
      <c r="C261" t="str">
        <f>정규화데이터!C261</f>
        <v>2026-02-07</v>
      </c>
      <c r="D261" t="str">
        <f>정규화데이터!D261</f>
        <v>58481090</v>
      </c>
      <c r="E261" s="16" t="str">
        <f>정규화데이터!E261</f>
        <v>미매핑</v>
      </c>
      <c r="F261" s="3">
        <f>정규화데이터!F261</f>
        <v>1</v>
      </c>
      <c r="G261" s="3">
        <f>정규화데이터!G261</f>
        <v>1</v>
      </c>
      <c r="H261" s="3">
        <f>정규화데이터!H261</f>
        <v>119000</v>
      </c>
      <c r="I261" s="3">
        <f>정규화데이터!I261</f>
        <v>119000</v>
      </c>
      <c r="J261" s="3">
        <f>정규화데이터!J261</f>
        <v>82110</v>
      </c>
      <c r="K261" s="25">
        <f>정규화데이터!K261</f>
        <v>0</v>
      </c>
      <c r="L261" s="25">
        <f>정규화데이터!L261</f>
        <v>82110</v>
      </c>
      <c r="M261" s="21">
        <f t="shared" si="8"/>
        <v>0</v>
      </c>
      <c r="N261" s="52">
        <f t="shared" si="9"/>
        <v>0</v>
      </c>
    </row>
    <row r="262" spans="1:14" x14ac:dyDescent="0.3">
      <c r="A262" t="str">
        <f>정규화데이터!A262</f>
        <v>SK스토아</v>
      </c>
      <c r="B262" t="str">
        <f>정규화데이터!B262</f>
        <v>20260205994833</v>
      </c>
      <c r="C262" t="str">
        <f>정규화데이터!C262</f>
        <v>2026-02-07</v>
      </c>
      <c r="D262" t="str">
        <f>정규화데이터!D262</f>
        <v>58481090</v>
      </c>
      <c r="E262" s="16" t="str">
        <f>정규화데이터!E262</f>
        <v>미매핑</v>
      </c>
      <c r="F262" s="3">
        <f>정규화데이터!F262</f>
        <v>1</v>
      </c>
      <c r="G262" s="3">
        <f>정규화데이터!G262</f>
        <v>1</v>
      </c>
      <c r="H262" s="3">
        <f>정규화데이터!H262</f>
        <v>119000</v>
      </c>
      <c r="I262" s="3">
        <f>정규화데이터!I262</f>
        <v>119000</v>
      </c>
      <c r="J262" s="3">
        <f>정규화데이터!J262</f>
        <v>82110</v>
      </c>
      <c r="K262" s="25">
        <f>정규화데이터!K262</f>
        <v>0</v>
      </c>
      <c r="L262" s="25">
        <f>정규화데이터!L262</f>
        <v>82110</v>
      </c>
      <c r="M262" s="21">
        <f t="shared" si="8"/>
        <v>0</v>
      </c>
      <c r="N262" s="52">
        <f t="shared" si="9"/>
        <v>0</v>
      </c>
    </row>
    <row r="263" spans="1:14" x14ac:dyDescent="0.3">
      <c r="A263" t="str">
        <f>정규화데이터!A263</f>
        <v>SK스토아</v>
      </c>
      <c r="B263" t="str">
        <f>정규화데이터!B263</f>
        <v>20260205994879</v>
      </c>
      <c r="C263" t="str">
        <f>정규화데이터!C263</f>
        <v>2026-02-07</v>
      </c>
      <c r="D263" t="str">
        <f>정규화데이터!D263</f>
        <v>58481090</v>
      </c>
      <c r="E263" s="16" t="str">
        <f>정규화데이터!E263</f>
        <v>미매핑</v>
      </c>
      <c r="F263" s="3">
        <f>정규화데이터!F263</f>
        <v>1</v>
      </c>
      <c r="G263" s="3">
        <f>정규화데이터!G263</f>
        <v>1</v>
      </c>
      <c r="H263" s="3">
        <f>정규화데이터!H263</f>
        <v>119000</v>
      </c>
      <c r="I263" s="3">
        <f>정규화데이터!I263</f>
        <v>119000</v>
      </c>
      <c r="J263" s="3">
        <f>정규화데이터!J263</f>
        <v>82110</v>
      </c>
      <c r="K263" s="25">
        <f>정규화데이터!K263</f>
        <v>0</v>
      </c>
      <c r="L263" s="25">
        <f>정규화데이터!L263</f>
        <v>82110</v>
      </c>
      <c r="M263" s="21">
        <f t="shared" si="8"/>
        <v>0</v>
      </c>
      <c r="N263" s="52">
        <f t="shared" si="9"/>
        <v>0</v>
      </c>
    </row>
    <row r="264" spans="1:14" x14ac:dyDescent="0.3">
      <c r="A264" t="str">
        <f>정규화데이터!A264</f>
        <v>SK스토아</v>
      </c>
      <c r="B264" t="str">
        <f>정규화데이터!B264</f>
        <v>20260205994922</v>
      </c>
      <c r="C264" t="str">
        <f>정규화데이터!C264</f>
        <v>2026-02-07</v>
      </c>
      <c r="D264" t="str">
        <f>정규화데이터!D264</f>
        <v>58481090</v>
      </c>
      <c r="E264" s="16" t="str">
        <f>정규화데이터!E264</f>
        <v>미매핑</v>
      </c>
      <c r="F264" s="3">
        <f>정규화데이터!F264</f>
        <v>1</v>
      </c>
      <c r="G264" s="3">
        <f>정규화데이터!G264</f>
        <v>1</v>
      </c>
      <c r="H264" s="3">
        <f>정규화데이터!H264</f>
        <v>119000</v>
      </c>
      <c r="I264" s="3">
        <f>정규화데이터!I264</f>
        <v>119000</v>
      </c>
      <c r="J264" s="3">
        <f>정규화데이터!J264</f>
        <v>82110</v>
      </c>
      <c r="K264" s="25">
        <f>정규화데이터!K264</f>
        <v>0</v>
      </c>
      <c r="L264" s="25">
        <f>정규화데이터!L264</f>
        <v>82110</v>
      </c>
      <c r="M264" s="21">
        <f t="shared" si="8"/>
        <v>0</v>
      </c>
      <c r="N264" s="52">
        <f t="shared" si="9"/>
        <v>0</v>
      </c>
    </row>
    <row r="265" spans="1:14" x14ac:dyDescent="0.3">
      <c r="A265" t="str">
        <f>정규화데이터!A265</f>
        <v>SK스토아</v>
      </c>
      <c r="B265" t="str">
        <f>정규화데이터!B265</f>
        <v>20260205993720</v>
      </c>
      <c r="C265" t="str">
        <f>정규화데이터!C265</f>
        <v>2026-02-07</v>
      </c>
      <c r="D265" t="str">
        <f>정규화데이터!D265</f>
        <v>58481090</v>
      </c>
      <c r="E265" s="16" t="str">
        <f>정규화데이터!E265</f>
        <v>미매핑</v>
      </c>
      <c r="F265" s="3">
        <f>정규화데이터!F265</f>
        <v>1</v>
      </c>
      <c r="G265" s="3">
        <f>정규화데이터!G265</f>
        <v>1</v>
      </c>
      <c r="H265" s="3">
        <f>정규화데이터!H265</f>
        <v>119000</v>
      </c>
      <c r="I265" s="3">
        <f>정규화데이터!I265</f>
        <v>119000</v>
      </c>
      <c r="J265" s="3">
        <f>정규화데이터!J265</f>
        <v>82110</v>
      </c>
      <c r="K265" s="25">
        <f>정규화데이터!K265</f>
        <v>0</v>
      </c>
      <c r="L265" s="25">
        <f>정규화데이터!L265</f>
        <v>82110</v>
      </c>
      <c r="M265" s="21">
        <f t="shared" si="8"/>
        <v>0</v>
      </c>
      <c r="N265" s="52">
        <f t="shared" si="9"/>
        <v>0</v>
      </c>
    </row>
    <row r="266" spans="1:14" x14ac:dyDescent="0.3">
      <c r="A266" t="str">
        <f>정규화데이터!A266</f>
        <v>SK스토아</v>
      </c>
      <c r="B266" t="str">
        <f>정규화데이터!B266</f>
        <v>20260205993936</v>
      </c>
      <c r="C266" t="str">
        <f>정규화데이터!C266</f>
        <v>2026-02-07</v>
      </c>
      <c r="D266" t="str">
        <f>정규화데이터!D266</f>
        <v>58481090</v>
      </c>
      <c r="E266" s="16" t="str">
        <f>정규화데이터!E266</f>
        <v>미매핑</v>
      </c>
      <c r="F266" s="3">
        <f>정규화데이터!F266</f>
        <v>1</v>
      </c>
      <c r="G266" s="3">
        <f>정규화데이터!G266</f>
        <v>1</v>
      </c>
      <c r="H266" s="3">
        <f>정규화데이터!H266</f>
        <v>119000</v>
      </c>
      <c r="I266" s="3">
        <f>정규화데이터!I266</f>
        <v>119000</v>
      </c>
      <c r="J266" s="3">
        <f>정규화데이터!J266</f>
        <v>82110</v>
      </c>
      <c r="K266" s="25">
        <f>정규화데이터!K266</f>
        <v>0</v>
      </c>
      <c r="L266" s="25">
        <f>정규화데이터!L266</f>
        <v>82110</v>
      </c>
      <c r="M266" s="21">
        <f t="shared" si="8"/>
        <v>0</v>
      </c>
      <c r="N266" s="52">
        <f t="shared" si="9"/>
        <v>0</v>
      </c>
    </row>
    <row r="267" spans="1:14" x14ac:dyDescent="0.3">
      <c r="A267" t="str">
        <f>정규화데이터!A267</f>
        <v>SK스토아</v>
      </c>
      <c r="B267" t="str">
        <f>정규화데이터!B267</f>
        <v>20260205993350</v>
      </c>
      <c r="C267" t="str">
        <f>정규화데이터!C267</f>
        <v>2026-02-07</v>
      </c>
      <c r="D267" t="str">
        <f>정규화데이터!D267</f>
        <v>58481090</v>
      </c>
      <c r="E267" s="16" t="str">
        <f>정규화데이터!E267</f>
        <v>미매핑</v>
      </c>
      <c r="F267" s="3">
        <f>정규화데이터!F267</f>
        <v>1</v>
      </c>
      <c r="G267" s="3">
        <f>정규화데이터!G267</f>
        <v>1</v>
      </c>
      <c r="H267" s="3">
        <f>정규화데이터!H267</f>
        <v>119000</v>
      </c>
      <c r="I267" s="3">
        <f>정규화데이터!I267</f>
        <v>109000</v>
      </c>
      <c r="J267" s="3">
        <f>정규화데이터!J267</f>
        <v>82110</v>
      </c>
      <c r="K267" s="25">
        <f>정규화데이터!K267</f>
        <v>0</v>
      </c>
      <c r="L267" s="25">
        <f>정규화데이터!L267</f>
        <v>82110</v>
      </c>
      <c r="M267" s="21">
        <f t="shared" si="8"/>
        <v>0</v>
      </c>
      <c r="N267" s="52">
        <f t="shared" si="9"/>
        <v>0</v>
      </c>
    </row>
    <row r="268" spans="1:14" x14ac:dyDescent="0.3">
      <c r="A268" t="str">
        <f>정규화데이터!A268</f>
        <v>SK스토아</v>
      </c>
      <c r="B268" t="str">
        <f>정규화데이터!B268</f>
        <v>20260205992637</v>
      </c>
      <c r="C268" t="str">
        <f>정규화데이터!C268</f>
        <v>2026-02-07</v>
      </c>
      <c r="D268" t="str">
        <f>정규화데이터!D268</f>
        <v>58481090</v>
      </c>
      <c r="E268" s="16" t="str">
        <f>정규화데이터!E268</f>
        <v>미매핑</v>
      </c>
      <c r="F268" s="3">
        <f>정규화데이터!F268</f>
        <v>1</v>
      </c>
      <c r="G268" s="3">
        <f>정규화데이터!G268</f>
        <v>1</v>
      </c>
      <c r="H268" s="3">
        <f>정규화데이터!H268</f>
        <v>119000</v>
      </c>
      <c r="I268" s="3">
        <f>정규화데이터!I268</f>
        <v>119000</v>
      </c>
      <c r="J268" s="3">
        <f>정규화데이터!J268</f>
        <v>82110</v>
      </c>
      <c r="K268" s="25">
        <f>정규화데이터!K268</f>
        <v>0</v>
      </c>
      <c r="L268" s="25">
        <f>정규화데이터!L268</f>
        <v>82110</v>
      </c>
      <c r="M268" s="21">
        <f t="shared" si="8"/>
        <v>0</v>
      </c>
      <c r="N268" s="52">
        <f t="shared" si="9"/>
        <v>0</v>
      </c>
    </row>
    <row r="269" spans="1:14" x14ac:dyDescent="0.3">
      <c r="A269" t="str">
        <f>정규화데이터!A269</f>
        <v>SK스토아</v>
      </c>
      <c r="B269" t="str">
        <f>정규화데이터!B269</f>
        <v>20260205992663</v>
      </c>
      <c r="C269" t="str">
        <f>정규화데이터!C269</f>
        <v>2026-02-07</v>
      </c>
      <c r="D269" t="str">
        <f>정규화데이터!D269</f>
        <v>58481090</v>
      </c>
      <c r="E269" s="16" t="str">
        <f>정규화데이터!E269</f>
        <v>미매핑</v>
      </c>
      <c r="F269" s="3">
        <f>정규화데이터!F269</f>
        <v>1</v>
      </c>
      <c r="G269" s="3">
        <f>정규화데이터!G269</f>
        <v>1</v>
      </c>
      <c r="H269" s="3">
        <f>정규화데이터!H269</f>
        <v>119000</v>
      </c>
      <c r="I269" s="3">
        <f>정규화데이터!I269</f>
        <v>119000</v>
      </c>
      <c r="J269" s="3">
        <f>정규화데이터!J269</f>
        <v>82110</v>
      </c>
      <c r="K269" s="25">
        <f>정규화데이터!K269</f>
        <v>0</v>
      </c>
      <c r="L269" s="25">
        <f>정규화데이터!L269</f>
        <v>82110</v>
      </c>
      <c r="M269" s="21">
        <f t="shared" si="8"/>
        <v>0</v>
      </c>
      <c r="N269" s="52">
        <f t="shared" si="9"/>
        <v>0</v>
      </c>
    </row>
    <row r="270" spans="1:14" x14ac:dyDescent="0.3">
      <c r="A270" t="str">
        <f>정규화데이터!A270</f>
        <v>SK스토아</v>
      </c>
      <c r="B270" t="str">
        <f>정규화데이터!B270</f>
        <v>20260205992791</v>
      </c>
      <c r="C270" t="str">
        <f>정규화데이터!C270</f>
        <v>2026-02-07</v>
      </c>
      <c r="D270" t="str">
        <f>정규화데이터!D270</f>
        <v>58481090</v>
      </c>
      <c r="E270" s="16" t="str">
        <f>정규화데이터!E270</f>
        <v>미매핑</v>
      </c>
      <c r="F270" s="3">
        <f>정규화데이터!F270</f>
        <v>1</v>
      </c>
      <c r="G270" s="3">
        <f>정규화데이터!G270</f>
        <v>1</v>
      </c>
      <c r="H270" s="3">
        <f>정규화데이터!H270</f>
        <v>119000</v>
      </c>
      <c r="I270" s="3">
        <f>정규화데이터!I270</f>
        <v>119000</v>
      </c>
      <c r="J270" s="3">
        <f>정규화데이터!J270</f>
        <v>82110</v>
      </c>
      <c r="K270" s="25">
        <f>정규화데이터!K270</f>
        <v>0</v>
      </c>
      <c r="L270" s="25">
        <f>정규화데이터!L270</f>
        <v>82110</v>
      </c>
      <c r="M270" s="21">
        <f t="shared" si="8"/>
        <v>0</v>
      </c>
      <c r="N270" s="52">
        <f t="shared" si="9"/>
        <v>0</v>
      </c>
    </row>
    <row r="271" spans="1:14" x14ac:dyDescent="0.3">
      <c r="A271" t="str">
        <f>정규화데이터!A271</f>
        <v>SK스토아</v>
      </c>
      <c r="B271" t="str">
        <f>정규화데이터!B271</f>
        <v>20260205992861</v>
      </c>
      <c r="C271" t="str">
        <f>정규화데이터!C271</f>
        <v>2026-02-07</v>
      </c>
      <c r="D271" t="str">
        <f>정규화데이터!D271</f>
        <v>58481090</v>
      </c>
      <c r="E271" s="16" t="str">
        <f>정규화데이터!E271</f>
        <v>미매핑</v>
      </c>
      <c r="F271" s="3">
        <f>정규화데이터!F271</f>
        <v>1</v>
      </c>
      <c r="G271" s="3">
        <f>정규화데이터!G271</f>
        <v>1</v>
      </c>
      <c r="H271" s="3">
        <f>정규화데이터!H271</f>
        <v>119000</v>
      </c>
      <c r="I271" s="3">
        <f>정규화데이터!I271</f>
        <v>119000</v>
      </c>
      <c r="J271" s="3">
        <f>정규화데이터!J271</f>
        <v>82110</v>
      </c>
      <c r="K271" s="25">
        <f>정규화데이터!K271</f>
        <v>0</v>
      </c>
      <c r="L271" s="25">
        <f>정규화데이터!L271</f>
        <v>82110</v>
      </c>
      <c r="M271" s="21">
        <f t="shared" si="8"/>
        <v>0</v>
      </c>
      <c r="N271" s="52">
        <f t="shared" si="9"/>
        <v>0</v>
      </c>
    </row>
    <row r="272" spans="1:14" x14ac:dyDescent="0.3">
      <c r="A272" t="str">
        <f>정규화데이터!A272</f>
        <v>SK스토아</v>
      </c>
      <c r="B272" t="str">
        <f>정규화데이터!B272</f>
        <v>20260205993182</v>
      </c>
      <c r="C272" t="str">
        <f>정규화데이터!C272</f>
        <v>2026-02-07</v>
      </c>
      <c r="D272" t="str">
        <f>정규화데이터!D272</f>
        <v>58481090</v>
      </c>
      <c r="E272" s="16" t="str">
        <f>정규화데이터!E272</f>
        <v>미매핑</v>
      </c>
      <c r="F272" s="3">
        <f>정규화데이터!F272</f>
        <v>1</v>
      </c>
      <c r="G272" s="3">
        <f>정규화데이터!G272</f>
        <v>1</v>
      </c>
      <c r="H272" s="3">
        <f>정규화데이터!H272</f>
        <v>119000</v>
      </c>
      <c r="I272" s="3">
        <f>정규화데이터!I272</f>
        <v>119000</v>
      </c>
      <c r="J272" s="3">
        <f>정규화데이터!J272</f>
        <v>82110</v>
      </c>
      <c r="K272" s="25">
        <f>정규화데이터!K272</f>
        <v>0</v>
      </c>
      <c r="L272" s="25">
        <f>정규화데이터!L272</f>
        <v>82110</v>
      </c>
      <c r="M272" s="21">
        <f t="shared" si="8"/>
        <v>0</v>
      </c>
      <c r="N272" s="52">
        <f t="shared" si="9"/>
        <v>0</v>
      </c>
    </row>
    <row r="273" spans="1:14" x14ac:dyDescent="0.3">
      <c r="A273" t="str">
        <f>정규화데이터!A273</f>
        <v>SK스토아</v>
      </c>
      <c r="B273" t="str">
        <f>정규화데이터!B273</f>
        <v>20260205993222</v>
      </c>
      <c r="C273" t="str">
        <f>정규화데이터!C273</f>
        <v>2026-02-07</v>
      </c>
      <c r="D273" t="str">
        <f>정규화데이터!D273</f>
        <v>58481090</v>
      </c>
      <c r="E273" s="16" t="str">
        <f>정규화데이터!E273</f>
        <v>미매핑</v>
      </c>
      <c r="F273" s="3">
        <f>정규화데이터!F273</f>
        <v>1</v>
      </c>
      <c r="G273" s="3">
        <f>정규화데이터!G273</f>
        <v>1</v>
      </c>
      <c r="H273" s="3">
        <f>정규화데이터!H273</f>
        <v>119000</v>
      </c>
      <c r="I273" s="3">
        <f>정규화데이터!I273</f>
        <v>119000</v>
      </c>
      <c r="J273" s="3">
        <f>정규화데이터!J273</f>
        <v>82110</v>
      </c>
      <c r="K273" s="25">
        <f>정규화데이터!K273</f>
        <v>0</v>
      </c>
      <c r="L273" s="25">
        <f>정규화데이터!L273</f>
        <v>82110</v>
      </c>
      <c r="M273" s="21">
        <f t="shared" si="8"/>
        <v>0</v>
      </c>
      <c r="N273" s="52">
        <f t="shared" si="9"/>
        <v>0</v>
      </c>
    </row>
    <row r="274" spans="1:14" x14ac:dyDescent="0.3">
      <c r="A274" t="str">
        <f>정규화데이터!A274</f>
        <v>SK스토아</v>
      </c>
      <c r="B274" t="str">
        <f>정규화데이터!B274</f>
        <v>20260205993549</v>
      </c>
      <c r="C274" t="str">
        <f>정규화데이터!C274</f>
        <v>2026-02-07</v>
      </c>
      <c r="D274" t="str">
        <f>정규화데이터!D274</f>
        <v>58481090</v>
      </c>
      <c r="E274" s="16" t="str">
        <f>정규화데이터!E274</f>
        <v>미매핑</v>
      </c>
      <c r="F274" s="3">
        <f>정규화데이터!F274</f>
        <v>1</v>
      </c>
      <c r="G274" s="3">
        <f>정규화데이터!G274</f>
        <v>1</v>
      </c>
      <c r="H274" s="3">
        <f>정규화데이터!H274</f>
        <v>119000</v>
      </c>
      <c r="I274" s="3">
        <f>정규화데이터!I274</f>
        <v>119000</v>
      </c>
      <c r="J274" s="3">
        <f>정규화데이터!J274</f>
        <v>82110</v>
      </c>
      <c r="K274" s="25">
        <f>정규화데이터!K274</f>
        <v>0</v>
      </c>
      <c r="L274" s="25">
        <f>정규화데이터!L274</f>
        <v>82110</v>
      </c>
      <c r="M274" s="21">
        <f t="shared" si="8"/>
        <v>0</v>
      </c>
      <c r="N274" s="52">
        <f t="shared" si="9"/>
        <v>0</v>
      </c>
    </row>
    <row r="275" spans="1:14" x14ac:dyDescent="0.3">
      <c r="A275" t="str">
        <f>정규화데이터!A275</f>
        <v>SK스토아</v>
      </c>
      <c r="B275" t="str">
        <f>정규화데이터!B275</f>
        <v>20260205992690</v>
      </c>
      <c r="C275" t="str">
        <f>정규화데이터!C275</f>
        <v>2026-02-07</v>
      </c>
      <c r="D275" t="str">
        <f>정규화데이터!D275</f>
        <v>58481090</v>
      </c>
      <c r="E275" s="16" t="str">
        <f>정규화데이터!E275</f>
        <v>미매핑</v>
      </c>
      <c r="F275" s="3">
        <f>정규화데이터!F275</f>
        <v>1</v>
      </c>
      <c r="G275" s="3">
        <f>정규화데이터!G275</f>
        <v>1</v>
      </c>
      <c r="H275" s="3">
        <f>정규화데이터!H275</f>
        <v>119000</v>
      </c>
      <c r="I275" s="3">
        <f>정규화데이터!I275</f>
        <v>119000</v>
      </c>
      <c r="J275" s="3">
        <f>정규화데이터!J275</f>
        <v>82110</v>
      </c>
      <c r="K275" s="25">
        <f>정규화데이터!K275</f>
        <v>0</v>
      </c>
      <c r="L275" s="25">
        <f>정규화데이터!L275</f>
        <v>82110</v>
      </c>
      <c r="M275" s="21">
        <f t="shared" si="8"/>
        <v>0</v>
      </c>
      <c r="N275" s="52">
        <f t="shared" si="9"/>
        <v>0</v>
      </c>
    </row>
    <row r="276" spans="1:14" x14ac:dyDescent="0.3">
      <c r="A276" t="str">
        <f>정규화데이터!A276</f>
        <v>SK스토아</v>
      </c>
      <c r="B276" t="str">
        <f>정규화데이터!B276</f>
        <v>20260205995551</v>
      </c>
      <c r="C276" t="str">
        <f>정규화데이터!C276</f>
        <v>2026-02-07</v>
      </c>
      <c r="D276" t="str">
        <f>정규화데이터!D276</f>
        <v>58481090</v>
      </c>
      <c r="E276" s="16" t="str">
        <f>정규화데이터!E276</f>
        <v>미매핑</v>
      </c>
      <c r="F276" s="3">
        <f>정규화데이터!F276</f>
        <v>1</v>
      </c>
      <c r="G276" s="3">
        <f>정규화데이터!G276</f>
        <v>1</v>
      </c>
      <c r="H276" s="3">
        <f>정규화데이터!H276</f>
        <v>119000</v>
      </c>
      <c r="I276" s="3">
        <f>정규화데이터!I276</f>
        <v>119000</v>
      </c>
      <c r="J276" s="3">
        <f>정규화데이터!J276</f>
        <v>82110</v>
      </c>
      <c r="K276" s="25">
        <f>정규화데이터!K276</f>
        <v>0</v>
      </c>
      <c r="L276" s="25">
        <f>정규화데이터!L276</f>
        <v>82110</v>
      </c>
      <c r="M276" s="21">
        <f t="shared" si="8"/>
        <v>0</v>
      </c>
      <c r="N276" s="52">
        <f t="shared" si="9"/>
        <v>0</v>
      </c>
    </row>
    <row r="277" spans="1:14" x14ac:dyDescent="0.3">
      <c r="A277" t="str">
        <f>정규화데이터!A277</f>
        <v>SK스토아</v>
      </c>
      <c r="B277" t="str">
        <f>정규화데이터!B277</f>
        <v>20260205995626</v>
      </c>
      <c r="C277" t="str">
        <f>정규화데이터!C277</f>
        <v>2026-02-07</v>
      </c>
      <c r="D277" t="str">
        <f>정규화데이터!D277</f>
        <v>58481090</v>
      </c>
      <c r="E277" s="16" t="str">
        <f>정규화데이터!E277</f>
        <v>미매핑</v>
      </c>
      <c r="F277" s="3">
        <f>정규화데이터!F277</f>
        <v>1</v>
      </c>
      <c r="G277" s="3">
        <f>정규화데이터!G277</f>
        <v>1</v>
      </c>
      <c r="H277" s="3">
        <f>정규화데이터!H277</f>
        <v>119000</v>
      </c>
      <c r="I277" s="3">
        <f>정규화데이터!I277</f>
        <v>119000</v>
      </c>
      <c r="J277" s="3">
        <f>정규화데이터!J277</f>
        <v>82110</v>
      </c>
      <c r="K277" s="25">
        <f>정규화데이터!K277</f>
        <v>0</v>
      </c>
      <c r="L277" s="25">
        <f>정규화데이터!L277</f>
        <v>82110</v>
      </c>
      <c r="M277" s="21">
        <f t="shared" si="8"/>
        <v>0</v>
      </c>
      <c r="N277" s="52">
        <f t="shared" si="9"/>
        <v>0</v>
      </c>
    </row>
    <row r="278" spans="1:14" x14ac:dyDescent="0.3">
      <c r="A278" t="str">
        <f>정규화데이터!A278</f>
        <v>SK스토아</v>
      </c>
      <c r="B278" t="str">
        <f>정규화데이터!B278</f>
        <v>20260205996241</v>
      </c>
      <c r="C278" t="str">
        <f>정규화데이터!C278</f>
        <v>2026-02-07</v>
      </c>
      <c r="D278" t="str">
        <f>정규화데이터!D278</f>
        <v>58481090</v>
      </c>
      <c r="E278" s="16" t="str">
        <f>정규화데이터!E278</f>
        <v>미매핑</v>
      </c>
      <c r="F278" s="3">
        <f>정규화데이터!F278</f>
        <v>1</v>
      </c>
      <c r="G278" s="3">
        <f>정규화데이터!G278</f>
        <v>1</v>
      </c>
      <c r="H278" s="3">
        <f>정규화데이터!H278</f>
        <v>119000</v>
      </c>
      <c r="I278" s="3">
        <f>정규화데이터!I278</f>
        <v>119000</v>
      </c>
      <c r="J278" s="3">
        <f>정규화데이터!J278</f>
        <v>82110</v>
      </c>
      <c r="K278" s="25">
        <f>정규화데이터!K278</f>
        <v>0</v>
      </c>
      <c r="L278" s="25">
        <f>정규화데이터!L278</f>
        <v>82110</v>
      </c>
      <c r="M278" s="21">
        <f t="shared" si="8"/>
        <v>0</v>
      </c>
      <c r="N278" s="52">
        <f t="shared" si="9"/>
        <v>0</v>
      </c>
    </row>
    <row r="279" spans="1:14" x14ac:dyDescent="0.3">
      <c r="A279" t="str">
        <f>정규화데이터!A279</f>
        <v>SK스토아</v>
      </c>
      <c r="B279" t="str">
        <f>정규화데이터!B279</f>
        <v>20260205994016</v>
      </c>
      <c r="C279" t="str">
        <f>정규화데이터!C279</f>
        <v>2026-02-07</v>
      </c>
      <c r="D279" t="str">
        <f>정규화데이터!D279</f>
        <v>58481090</v>
      </c>
      <c r="E279" s="16" t="str">
        <f>정규화데이터!E279</f>
        <v>미매핑</v>
      </c>
      <c r="F279" s="3">
        <f>정규화데이터!F279</f>
        <v>1</v>
      </c>
      <c r="G279" s="3">
        <f>정규화데이터!G279</f>
        <v>1</v>
      </c>
      <c r="H279" s="3">
        <f>정규화데이터!H279</f>
        <v>119000</v>
      </c>
      <c r="I279" s="3">
        <f>정규화데이터!I279</f>
        <v>119000</v>
      </c>
      <c r="J279" s="3">
        <f>정규화데이터!J279</f>
        <v>82110</v>
      </c>
      <c r="K279" s="25">
        <f>정규화데이터!K279</f>
        <v>0</v>
      </c>
      <c r="L279" s="25">
        <f>정규화데이터!L279</f>
        <v>82110</v>
      </c>
      <c r="M279" s="21">
        <f t="shared" si="8"/>
        <v>0</v>
      </c>
      <c r="N279" s="52">
        <f t="shared" si="9"/>
        <v>0</v>
      </c>
    </row>
    <row r="280" spans="1:14" x14ac:dyDescent="0.3">
      <c r="A280" t="str">
        <f>정규화데이터!A280</f>
        <v>SK스토아</v>
      </c>
      <c r="B280" t="str">
        <f>정규화데이터!B280</f>
        <v>20260205994157</v>
      </c>
      <c r="C280" t="str">
        <f>정규화데이터!C280</f>
        <v>2026-02-07</v>
      </c>
      <c r="D280" t="str">
        <f>정규화데이터!D280</f>
        <v>58481090</v>
      </c>
      <c r="E280" s="16" t="str">
        <f>정규화데이터!E280</f>
        <v>미매핑</v>
      </c>
      <c r="F280" s="3">
        <f>정규화데이터!F280</f>
        <v>1</v>
      </c>
      <c r="G280" s="3">
        <f>정규화데이터!G280</f>
        <v>1</v>
      </c>
      <c r="H280" s="3">
        <f>정규화데이터!H280</f>
        <v>119000</v>
      </c>
      <c r="I280" s="3">
        <f>정규화데이터!I280</f>
        <v>119000</v>
      </c>
      <c r="J280" s="3">
        <f>정규화데이터!J280</f>
        <v>82110</v>
      </c>
      <c r="K280" s="25">
        <f>정규화데이터!K280</f>
        <v>0</v>
      </c>
      <c r="L280" s="25">
        <f>정규화데이터!L280</f>
        <v>82110</v>
      </c>
      <c r="M280" s="21">
        <f t="shared" si="8"/>
        <v>0</v>
      </c>
      <c r="N280" s="52">
        <f t="shared" si="9"/>
        <v>0</v>
      </c>
    </row>
    <row r="281" spans="1:14" x14ac:dyDescent="0.3">
      <c r="A281" t="str">
        <f>정규화데이터!A281</f>
        <v>SK스토아</v>
      </c>
      <c r="B281" t="str">
        <f>정규화데이터!B281</f>
        <v>20260205995268</v>
      </c>
      <c r="C281" t="str">
        <f>정규화데이터!C281</f>
        <v>2026-02-07</v>
      </c>
      <c r="D281" t="str">
        <f>정규화데이터!D281</f>
        <v>58481090</v>
      </c>
      <c r="E281" s="16" t="str">
        <f>정규화데이터!E281</f>
        <v>미매핑</v>
      </c>
      <c r="F281" s="3">
        <f>정규화데이터!F281</f>
        <v>1</v>
      </c>
      <c r="G281" s="3">
        <f>정규화데이터!G281</f>
        <v>1</v>
      </c>
      <c r="H281" s="3">
        <f>정규화데이터!H281</f>
        <v>119000</v>
      </c>
      <c r="I281" s="3">
        <f>정규화데이터!I281</f>
        <v>119000</v>
      </c>
      <c r="J281" s="3">
        <f>정규화데이터!J281</f>
        <v>82110</v>
      </c>
      <c r="K281" s="25">
        <f>정규화데이터!K281</f>
        <v>0</v>
      </c>
      <c r="L281" s="25">
        <f>정규화데이터!L281</f>
        <v>82110</v>
      </c>
      <c r="M281" s="21">
        <f t="shared" si="8"/>
        <v>0</v>
      </c>
      <c r="N281" s="52">
        <f t="shared" si="9"/>
        <v>0</v>
      </c>
    </row>
    <row r="282" spans="1:14" x14ac:dyDescent="0.3">
      <c r="A282" t="str">
        <f>정규화데이터!A282</f>
        <v>SK스토아</v>
      </c>
      <c r="B282" t="str">
        <f>정규화데이터!B282</f>
        <v>20260205994486</v>
      </c>
      <c r="C282" t="str">
        <f>정규화데이터!C282</f>
        <v>2026-02-07</v>
      </c>
      <c r="D282" t="str">
        <f>정규화데이터!D282</f>
        <v>58481090</v>
      </c>
      <c r="E282" s="16" t="str">
        <f>정규화데이터!E282</f>
        <v>미매핑</v>
      </c>
      <c r="F282" s="3">
        <f>정규화데이터!F282</f>
        <v>1</v>
      </c>
      <c r="G282" s="3">
        <f>정규화데이터!G282</f>
        <v>1</v>
      </c>
      <c r="H282" s="3">
        <f>정규화데이터!H282</f>
        <v>119000</v>
      </c>
      <c r="I282" s="3">
        <f>정규화데이터!I282</f>
        <v>119000</v>
      </c>
      <c r="J282" s="3">
        <f>정규화데이터!J282</f>
        <v>82110</v>
      </c>
      <c r="K282" s="25">
        <f>정규화데이터!K282</f>
        <v>0</v>
      </c>
      <c r="L282" s="25">
        <f>정규화데이터!L282</f>
        <v>82110</v>
      </c>
      <c r="M282" s="21">
        <f t="shared" si="8"/>
        <v>0</v>
      </c>
      <c r="N282" s="52">
        <f t="shared" si="9"/>
        <v>0</v>
      </c>
    </row>
    <row r="283" spans="1:14" x14ac:dyDescent="0.3">
      <c r="A283" t="str">
        <f>정규화데이터!A283</f>
        <v>SK스토아</v>
      </c>
      <c r="B283" t="str">
        <f>정규화데이터!B283</f>
        <v>20260205994744</v>
      </c>
      <c r="C283" t="str">
        <f>정규화데이터!C283</f>
        <v>2026-02-07</v>
      </c>
      <c r="D283" t="str">
        <f>정규화데이터!D283</f>
        <v>58481090</v>
      </c>
      <c r="E283" s="16" t="str">
        <f>정규화데이터!E283</f>
        <v>미매핑</v>
      </c>
      <c r="F283" s="3">
        <f>정규화데이터!F283</f>
        <v>1</v>
      </c>
      <c r="G283" s="3">
        <f>정규화데이터!G283</f>
        <v>1</v>
      </c>
      <c r="H283" s="3">
        <f>정규화데이터!H283</f>
        <v>119000</v>
      </c>
      <c r="I283" s="3">
        <f>정규화데이터!I283</f>
        <v>99960</v>
      </c>
      <c r="J283" s="3">
        <f>정규화데이터!J283</f>
        <v>82110</v>
      </c>
      <c r="K283" s="25">
        <f>정규화데이터!K283</f>
        <v>0</v>
      </c>
      <c r="L283" s="25">
        <f>정규화데이터!L283</f>
        <v>82110</v>
      </c>
      <c r="M283" s="21">
        <f t="shared" si="8"/>
        <v>0</v>
      </c>
      <c r="N283" s="52">
        <f t="shared" si="9"/>
        <v>0</v>
      </c>
    </row>
    <row r="284" spans="1:14" x14ac:dyDescent="0.3">
      <c r="A284" t="str">
        <f>정규화데이터!A284</f>
        <v>SK스토아</v>
      </c>
      <c r="B284" t="str">
        <f>정규화데이터!B284</f>
        <v>20260205992679</v>
      </c>
      <c r="C284" t="str">
        <f>정규화데이터!C284</f>
        <v>2026-02-07</v>
      </c>
      <c r="D284" t="str">
        <f>정규화데이터!D284</f>
        <v>58481090</v>
      </c>
      <c r="E284" s="16" t="str">
        <f>정규화데이터!E284</f>
        <v>미매핑</v>
      </c>
      <c r="F284" s="3">
        <f>정규화데이터!F284</f>
        <v>1</v>
      </c>
      <c r="G284" s="3">
        <f>정규화데이터!G284</f>
        <v>1</v>
      </c>
      <c r="H284" s="3">
        <f>정규화데이터!H284</f>
        <v>119000</v>
      </c>
      <c r="I284" s="3">
        <f>정규화데이터!I284</f>
        <v>119000</v>
      </c>
      <c r="J284" s="3">
        <f>정규화데이터!J284</f>
        <v>82110</v>
      </c>
      <c r="K284" s="25">
        <f>정규화데이터!K284</f>
        <v>0</v>
      </c>
      <c r="L284" s="25">
        <f>정규화데이터!L284</f>
        <v>82110</v>
      </c>
      <c r="M284" s="21">
        <f t="shared" si="8"/>
        <v>0</v>
      </c>
      <c r="N284" s="52">
        <f t="shared" si="9"/>
        <v>0</v>
      </c>
    </row>
    <row r="285" spans="1:14" x14ac:dyDescent="0.3">
      <c r="A285" t="str">
        <f>정규화데이터!A285</f>
        <v>SK스토아</v>
      </c>
      <c r="B285" t="str">
        <f>정규화데이터!B285</f>
        <v>20260205992794</v>
      </c>
      <c r="C285" t="str">
        <f>정규화데이터!C285</f>
        <v>2026-02-07</v>
      </c>
      <c r="D285" t="str">
        <f>정규화데이터!D285</f>
        <v>58481090</v>
      </c>
      <c r="E285" s="16" t="str">
        <f>정규화데이터!E285</f>
        <v>미매핑</v>
      </c>
      <c r="F285" s="3">
        <f>정규화데이터!F285</f>
        <v>1</v>
      </c>
      <c r="G285" s="3">
        <f>정규화데이터!G285</f>
        <v>1</v>
      </c>
      <c r="H285" s="3">
        <f>정규화데이터!H285</f>
        <v>119000</v>
      </c>
      <c r="I285" s="3">
        <f>정규화데이터!I285</f>
        <v>119000</v>
      </c>
      <c r="J285" s="3">
        <f>정규화데이터!J285</f>
        <v>82110</v>
      </c>
      <c r="K285" s="25">
        <f>정규화데이터!K285</f>
        <v>0</v>
      </c>
      <c r="L285" s="25">
        <f>정규화데이터!L285</f>
        <v>82110</v>
      </c>
      <c r="M285" s="21">
        <f t="shared" si="8"/>
        <v>0</v>
      </c>
      <c r="N285" s="52">
        <f t="shared" si="9"/>
        <v>0</v>
      </c>
    </row>
    <row r="286" spans="1:14" x14ac:dyDescent="0.3">
      <c r="A286" t="str">
        <f>정규화데이터!A286</f>
        <v>SK스토아</v>
      </c>
      <c r="B286" t="str">
        <f>정규화데이터!B286</f>
        <v>20260205992734</v>
      </c>
      <c r="C286" t="str">
        <f>정규화데이터!C286</f>
        <v>2026-02-07</v>
      </c>
      <c r="D286" t="str">
        <f>정규화데이터!D286</f>
        <v>58481090</v>
      </c>
      <c r="E286" s="16" t="str">
        <f>정규화데이터!E286</f>
        <v>미매핑</v>
      </c>
      <c r="F286" s="3">
        <f>정규화데이터!F286</f>
        <v>1</v>
      </c>
      <c r="G286" s="3">
        <f>정규화데이터!G286</f>
        <v>1</v>
      </c>
      <c r="H286" s="3">
        <f>정규화데이터!H286</f>
        <v>119000</v>
      </c>
      <c r="I286" s="3">
        <f>정규화데이터!I286</f>
        <v>119000</v>
      </c>
      <c r="J286" s="3">
        <f>정규화데이터!J286</f>
        <v>82110</v>
      </c>
      <c r="K286" s="25">
        <f>정규화데이터!K286</f>
        <v>0</v>
      </c>
      <c r="L286" s="25">
        <f>정규화데이터!L286</f>
        <v>82110</v>
      </c>
      <c r="M286" s="21">
        <f t="shared" si="8"/>
        <v>0</v>
      </c>
      <c r="N286" s="52">
        <f t="shared" si="9"/>
        <v>0</v>
      </c>
    </row>
    <row r="287" spans="1:14" x14ac:dyDescent="0.3">
      <c r="A287" t="str">
        <f>정규화데이터!A287</f>
        <v>SK스토아</v>
      </c>
      <c r="B287" t="str">
        <f>정규화데이터!B287</f>
        <v>20260205992738</v>
      </c>
      <c r="C287" t="str">
        <f>정규화데이터!C287</f>
        <v>2026-02-07</v>
      </c>
      <c r="D287" t="str">
        <f>정규화데이터!D287</f>
        <v>58481090</v>
      </c>
      <c r="E287" s="16" t="str">
        <f>정규화데이터!E287</f>
        <v>미매핑</v>
      </c>
      <c r="F287" s="3">
        <f>정규화데이터!F287</f>
        <v>1</v>
      </c>
      <c r="G287" s="3">
        <f>정규화데이터!G287</f>
        <v>1</v>
      </c>
      <c r="H287" s="3">
        <f>정규화데이터!H287</f>
        <v>119000</v>
      </c>
      <c r="I287" s="3">
        <f>정규화데이터!I287</f>
        <v>119000</v>
      </c>
      <c r="J287" s="3">
        <f>정규화데이터!J287</f>
        <v>82110</v>
      </c>
      <c r="K287" s="25">
        <f>정규화데이터!K287</f>
        <v>0</v>
      </c>
      <c r="L287" s="25">
        <f>정규화데이터!L287</f>
        <v>82110</v>
      </c>
      <c r="M287" s="21">
        <f t="shared" si="8"/>
        <v>0</v>
      </c>
      <c r="N287" s="52">
        <f t="shared" si="9"/>
        <v>0</v>
      </c>
    </row>
    <row r="288" spans="1:14" x14ac:dyDescent="0.3">
      <c r="A288" t="str">
        <f>정규화데이터!A288</f>
        <v>SK스토아</v>
      </c>
      <c r="B288" t="str">
        <f>정규화데이터!B288</f>
        <v>20260205992986</v>
      </c>
      <c r="C288" t="str">
        <f>정규화데이터!C288</f>
        <v>2026-02-07</v>
      </c>
      <c r="D288" t="str">
        <f>정규화데이터!D288</f>
        <v>58481090</v>
      </c>
      <c r="E288" s="16" t="str">
        <f>정규화데이터!E288</f>
        <v>미매핑</v>
      </c>
      <c r="F288" s="3">
        <f>정규화데이터!F288</f>
        <v>1</v>
      </c>
      <c r="G288" s="3">
        <f>정규화데이터!G288</f>
        <v>1</v>
      </c>
      <c r="H288" s="3">
        <f>정규화데이터!H288</f>
        <v>119000</v>
      </c>
      <c r="I288" s="3">
        <f>정규화데이터!I288</f>
        <v>119000</v>
      </c>
      <c r="J288" s="3">
        <f>정규화데이터!J288</f>
        <v>82110</v>
      </c>
      <c r="K288" s="25">
        <f>정규화데이터!K288</f>
        <v>0</v>
      </c>
      <c r="L288" s="25">
        <f>정규화데이터!L288</f>
        <v>82110</v>
      </c>
      <c r="M288" s="21">
        <f t="shared" si="8"/>
        <v>0</v>
      </c>
      <c r="N288" s="52">
        <f t="shared" si="9"/>
        <v>0</v>
      </c>
    </row>
    <row r="289" spans="1:14" x14ac:dyDescent="0.3">
      <c r="A289" t="str">
        <f>정규화데이터!A289</f>
        <v>SK스토아</v>
      </c>
      <c r="B289" t="str">
        <f>정규화데이터!B289</f>
        <v>20260205995135</v>
      </c>
      <c r="C289" t="str">
        <f>정규화데이터!C289</f>
        <v>2026-02-07</v>
      </c>
      <c r="D289" t="str">
        <f>정규화데이터!D289</f>
        <v>58481090</v>
      </c>
      <c r="E289" s="16" t="str">
        <f>정규화데이터!E289</f>
        <v>미매핑</v>
      </c>
      <c r="F289" s="3">
        <f>정규화데이터!F289</f>
        <v>1</v>
      </c>
      <c r="G289" s="3">
        <f>정규화데이터!G289</f>
        <v>1</v>
      </c>
      <c r="H289" s="3">
        <f>정규화데이터!H289</f>
        <v>119000</v>
      </c>
      <c r="I289" s="3">
        <f>정규화데이터!I289</f>
        <v>119000</v>
      </c>
      <c r="J289" s="3">
        <f>정규화데이터!J289</f>
        <v>82110</v>
      </c>
      <c r="K289" s="25">
        <f>정규화데이터!K289</f>
        <v>0</v>
      </c>
      <c r="L289" s="25">
        <f>정규화데이터!L289</f>
        <v>82110</v>
      </c>
      <c r="M289" s="21">
        <f t="shared" si="8"/>
        <v>0</v>
      </c>
      <c r="N289" s="52">
        <f t="shared" si="9"/>
        <v>0</v>
      </c>
    </row>
    <row r="290" spans="1:14" x14ac:dyDescent="0.3">
      <c r="A290" t="str">
        <f>정규화데이터!A290</f>
        <v>SK스토아</v>
      </c>
      <c r="B290" t="str">
        <f>정규화데이터!B290</f>
        <v>20260205995051</v>
      </c>
      <c r="C290" t="str">
        <f>정규화데이터!C290</f>
        <v>2026-02-07</v>
      </c>
      <c r="D290" t="str">
        <f>정규화데이터!D290</f>
        <v>58481090</v>
      </c>
      <c r="E290" s="16" t="str">
        <f>정규화데이터!E290</f>
        <v>미매핑</v>
      </c>
      <c r="F290" s="3">
        <f>정규화데이터!F290</f>
        <v>1</v>
      </c>
      <c r="G290" s="3">
        <f>정규화데이터!G290</f>
        <v>1</v>
      </c>
      <c r="H290" s="3">
        <f>정규화데이터!H290</f>
        <v>119000</v>
      </c>
      <c r="I290" s="3">
        <f>정규화데이터!I290</f>
        <v>113050</v>
      </c>
      <c r="J290" s="3">
        <f>정규화데이터!J290</f>
        <v>82110</v>
      </c>
      <c r="K290" s="25">
        <f>정규화데이터!K290</f>
        <v>0</v>
      </c>
      <c r="L290" s="25">
        <f>정규화데이터!L290</f>
        <v>82110</v>
      </c>
      <c r="M290" s="21">
        <f t="shared" si="8"/>
        <v>0</v>
      </c>
      <c r="N290" s="52">
        <f t="shared" si="9"/>
        <v>0</v>
      </c>
    </row>
    <row r="291" spans="1:14" x14ac:dyDescent="0.3">
      <c r="A291" t="str">
        <f>정규화데이터!A291</f>
        <v>SK스토아</v>
      </c>
      <c r="B291" t="str">
        <f>정규화데이터!B291</f>
        <v>20260205995178</v>
      </c>
      <c r="C291" t="str">
        <f>정규화데이터!C291</f>
        <v>2026-02-07</v>
      </c>
      <c r="D291" t="str">
        <f>정규화데이터!D291</f>
        <v>58481090</v>
      </c>
      <c r="E291" s="16" t="str">
        <f>정규화데이터!E291</f>
        <v>미매핑</v>
      </c>
      <c r="F291" s="3">
        <f>정규화데이터!F291</f>
        <v>1</v>
      </c>
      <c r="G291" s="3">
        <f>정규화데이터!G291</f>
        <v>1</v>
      </c>
      <c r="H291" s="3">
        <f>정규화데이터!H291</f>
        <v>119000</v>
      </c>
      <c r="I291" s="3">
        <f>정규화데이터!I291</f>
        <v>119000</v>
      </c>
      <c r="J291" s="3">
        <f>정규화데이터!J291</f>
        <v>82110</v>
      </c>
      <c r="K291" s="25">
        <f>정규화데이터!K291</f>
        <v>0</v>
      </c>
      <c r="L291" s="25">
        <f>정규화데이터!L291</f>
        <v>82110</v>
      </c>
      <c r="M291" s="21">
        <f t="shared" si="8"/>
        <v>0</v>
      </c>
      <c r="N291" s="52">
        <f t="shared" si="9"/>
        <v>0</v>
      </c>
    </row>
    <row r="292" spans="1:14" x14ac:dyDescent="0.3">
      <c r="A292" t="str">
        <f>정규화데이터!A292</f>
        <v>SK스토아</v>
      </c>
      <c r="B292" t="str">
        <f>정규화데이터!B292</f>
        <v>20260205995310</v>
      </c>
      <c r="C292" t="str">
        <f>정규화데이터!C292</f>
        <v>2026-02-07</v>
      </c>
      <c r="D292" t="str">
        <f>정규화데이터!D292</f>
        <v>58481090</v>
      </c>
      <c r="E292" s="16" t="str">
        <f>정규화데이터!E292</f>
        <v>미매핑</v>
      </c>
      <c r="F292" s="3">
        <f>정규화데이터!F292</f>
        <v>1</v>
      </c>
      <c r="G292" s="3">
        <f>정규화데이터!G292</f>
        <v>1</v>
      </c>
      <c r="H292" s="3">
        <f>정규화데이터!H292</f>
        <v>119000</v>
      </c>
      <c r="I292" s="3">
        <f>정규화데이터!I292</f>
        <v>119000</v>
      </c>
      <c r="J292" s="3">
        <f>정규화데이터!J292</f>
        <v>82110</v>
      </c>
      <c r="K292" s="25">
        <f>정규화데이터!K292</f>
        <v>0</v>
      </c>
      <c r="L292" s="25">
        <f>정규화데이터!L292</f>
        <v>82110</v>
      </c>
      <c r="M292" s="21">
        <f t="shared" si="8"/>
        <v>0</v>
      </c>
      <c r="N292" s="52">
        <f t="shared" si="9"/>
        <v>0</v>
      </c>
    </row>
    <row r="293" spans="1:14" x14ac:dyDescent="0.3">
      <c r="A293" t="str">
        <f>정규화데이터!A293</f>
        <v>SK스토아</v>
      </c>
      <c r="B293" t="str">
        <f>정규화데이터!B293</f>
        <v>20260205994627</v>
      </c>
      <c r="C293" t="str">
        <f>정규화데이터!C293</f>
        <v>2026-02-07</v>
      </c>
      <c r="D293" t="str">
        <f>정규화데이터!D293</f>
        <v>58481090</v>
      </c>
      <c r="E293" s="16" t="str">
        <f>정규화데이터!E293</f>
        <v>미매핑</v>
      </c>
      <c r="F293" s="3">
        <f>정규화데이터!F293</f>
        <v>1</v>
      </c>
      <c r="G293" s="3">
        <f>정규화데이터!G293</f>
        <v>1</v>
      </c>
      <c r="H293" s="3">
        <f>정규화데이터!H293</f>
        <v>119000</v>
      </c>
      <c r="I293" s="3">
        <f>정규화데이터!I293</f>
        <v>119000</v>
      </c>
      <c r="J293" s="3">
        <f>정규화데이터!J293</f>
        <v>82110</v>
      </c>
      <c r="K293" s="25">
        <f>정규화데이터!K293</f>
        <v>0</v>
      </c>
      <c r="L293" s="25">
        <f>정규화데이터!L293</f>
        <v>82110</v>
      </c>
      <c r="M293" s="21">
        <f t="shared" si="8"/>
        <v>0</v>
      </c>
      <c r="N293" s="52">
        <f t="shared" si="9"/>
        <v>0</v>
      </c>
    </row>
    <row r="294" spans="1:14" x14ac:dyDescent="0.3">
      <c r="A294" t="str">
        <f>정규화데이터!A294</f>
        <v>SK스토아</v>
      </c>
      <c r="B294" t="str">
        <f>정규화데이터!B294</f>
        <v>20260205992706</v>
      </c>
      <c r="C294" t="str">
        <f>정규화데이터!C294</f>
        <v>2026-02-07</v>
      </c>
      <c r="D294" t="str">
        <f>정규화데이터!D294</f>
        <v>58481090</v>
      </c>
      <c r="E294" s="16" t="str">
        <f>정규화데이터!E294</f>
        <v>미매핑</v>
      </c>
      <c r="F294" s="3">
        <f>정규화데이터!F294</f>
        <v>1</v>
      </c>
      <c r="G294" s="3">
        <f>정규화데이터!G294</f>
        <v>1</v>
      </c>
      <c r="H294" s="3">
        <f>정규화데이터!H294</f>
        <v>119000</v>
      </c>
      <c r="I294" s="3">
        <f>정규화데이터!I294</f>
        <v>101150</v>
      </c>
      <c r="J294" s="3">
        <f>정규화데이터!J294</f>
        <v>82110</v>
      </c>
      <c r="K294" s="25">
        <f>정규화데이터!K294</f>
        <v>0</v>
      </c>
      <c r="L294" s="25">
        <f>정규화데이터!L294</f>
        <v>82110</v>
      </c>
      <c r="M294" s="21">
        <f t="shared" si="8"/>
        <v>0</v>
      </c>
      <c r="N294" s="52">
        <f t="shared" si="9"/>
        <v>0</v>
      </c>
    </row>
    <row r="295" spans="1:14" x14ac:dyDescent="0.3">
      <c r="A295" t="str">
        <f>정규화데이터!A295</f>
        <v>SK스토아</v>
      </c>
      <c r="B295" t="str">
        <f>정규화데이터!B295</f>
        <v>20260205992897</v>
      </c>
      <c r="C295" t="str">
        <f>정규화데이터!C295</f>
        <v>2026-02-07</v>
      </c>
      <c r="D295" t="str">
        <f>정규화데이터!D295</f>
        <v>58481090</v>
      </c>
      <c r="E295" s="16" t="str">
        <f>정규화데이터!E295</f>
        <v>미매핑</v>
      </c>
      <c r="F295" s="3">
        <f>정규화데이터!F295</f>
        <v>1</v>
      </c>
      <c r="G295" s="3">
        <f>정규화데이터!G295</f>
        <v>1</v>
      </c>
      <c r="H295" s="3">
        <f>정규화데이터!H295</f>
        <v>119000</v>
      </c>
      <c r="I295" s="3">
        <f>정규화데이터!I295</f>
        <v>96390</v>
      </c>
      <c r="J295" s="3">
        <f>정규화데이터!J295</f>
        <v>82110</v>
      </c>
      <c r="K295" s="25">
        <f>정규화데이터!K295</f>
        <v>0</v>
      </c>
      <c r="L295" s="25">
        <f>정규화데이터!L295</f>
        <v>82110</v>
      </c>
      <c r="M295" s="21">
        <f t="shared" si="8"/>
        <v>0</v>
      </c>
      <c r="N295" s="52">
        <f t="shared" si="9"/>
        <v>0</v>
      </c>
    </row>
    <row r="296" spans="1:14" x14ac:dyDescent="0.3">
      <c r="A296" t="str">
        <f>정규화데이터!A296</f>
        <v>SK스토아</v>
      </c>
      <c r="B296" t="str">
        <f>정규화데이터!B296</f>
        <v>20260205994669</v>
      </c>
      <c r="C296" t="str">
        <f>정규화데이터!C296</f>
        <v>2026-02-07</v>
      </c>
      <c r="D296" t="str">
        <f>정규화데이터!D296</f>
        <v>58481090</v>
      </c>
      <c r="E296" s="16" t="str">
        <f>정규화데이터!E296</f>
        <v>미매핑</v>
      </c>
      <c r="F296" s="3">
        <f>정규화데이터!F296</f>
        <v>1</v>
      </c>
      <c r="G296" s="3">
        <f>정규화데이터!G296</f>
        <v>1</v>
      </c>
      <c r="H296" s="3">
        <f>정규화데이터!H296</f>
        <v>119000</v>
      </c>
      <c r="I296" s="3">
        <f>정규화데이터!I296</f>
        <v>119000</v>
      </c>
      <c r="J296" s="3">
        <f>정규화데이터!J296</f>
        <v>82110</v>
      </c>
      <c r="K296" s="25">
        <f>정규화데이터!K296</f>
        <v>0</v>
      </c>
      <c r="L296" s="25">
        <f>정규화데이터!L296</f>
        <v>82110</v>
      </c>
      <c r="M296" s="21">
        <f t="shared" si="8"/>
        <v>0</v>
      </c>
      <c r="N296" s="52">
        <f t="shared" si="9"/>
        <v>0</v>
      </c>
    </row>
    <row r="297" spans="1:14" x14ac:dyDescent="0.3">
      <c r="A297" t="str">
        <f>정규화데이터!A297</f>
        <v>SK스토아</v>
      </c>
      <c r="B297" t="str">
        <f>정규화데이터!B297</f>
        <v>20260205993830</v>
      </c>
      <c r="C297" t="str">
        <f>정규화데이터!C297</f>
        <v>2026-02-07</v>
      </c>
      <c r="D297" t="str">
        <f>정규화데이터!D297</f>
        <v>58481090</v>
      </c>
      <c r="E297" s="16" t="str">
        <f>정규화데이터!E297</f>
        <v>미매핑</v>
      </c>
      <c r="F297" s="3">
        <f>정규화데이터!F297</f>
        <v>1</v>
      </c>
      <c r="G297" s="3">
        <f>정규화데이터!G297</f>
        <v>1</v>
      </c>
      <c r="H297" s="3">
        <f>정규화데이터!H297</f>
        <v>119000</v>
      </c>
      <c r="I297" s="3">
        <f>정규화데이터!I297</f>
        <v>119000</v>
      </c>
      <c r="J297" s="3">
        <f>정규화데이터!J297</f>
        <v>82110</v>
      </c>
      <c r="K297" s="25">
        <f>정규화데이터!K297</f>
        <v>0</v>
      </c>
      <c r="L297" s="25">
        <f>정규화데이터!L297</f>
        <v>82110</v>
      </c>
      <c r="M297" s="21">
        <f t="shared" si="8"/>
        <v>0</v>
      </c>
      <c r="N297" s="52">
        <f t="shared" si="9"/>
        <v>0</v>
      </c>
    </row>
    <row r="298" spans="1:14" x14ac:dyDescent="0.3">
      <c r="A298" t="str">
        <f>정규화데이터!A298</f>
        <v>SK스토아</v>
      </c>
      <c r="B298" t="str">
        <f>정규화데이터!B298</f>
        <v>20260205993830</v>
      </c>
      <c r="C298" t="str">
        <f>정규화데이터!C298</f>
        <v>2026-02-07</v>
      </c>
      <c r="D298" t="str">
        <f>정규화데이터!D298</f>
        <v>58481090</v>
      </c>
      <c r="E298" s="16" t="str">
        <f>정규화데이터!E298</f>
        <v>미매핑</v>
      </c>
      <c r="F298" s="3">
        <f>정규화데이터!F298</f>
        <v>1</v>
      </c>
      <c r="G298" s="3">
        <f>정규화데이터!G298</f>
        <v>1</v>
      </c>
      <c r="H298" s="3">
        <f>정규화데이터!H298</f>
        <v>119000</v>
      </c>
      <c r="I298" s="3">
        <f>정규화데이터!I298</f>
        <v>119000</v>
      </c>
      <c r="J298" s="3">
        <f>정규화데이터!J298</f>
        <v>82110</v>
      </c>
      <c r="K298" s="25">
        <f>정규화데이터!K298</f>
        <v>0</v>
      </c>
      <c r="L298" s="25">
        <f>정규화데이터!L298</f>
        <v>82110</v>
      </c>
      <c r="M298" s="21">
        <f t="shared" si="8"/>
        <v>0</v>
      </c>
      <c r="N298" s="52">
        <f t="shared" si="9"/>
        <v>0</v>
      </c>
    </row>
    <row r="299" spans="1:14" x14ac:dyDescent="0.3">
      <c r="A299" t="str">
        <f>정규화데이터!A299</f>
        <v>SK스토아</v>
      </c>
      <c r="B299" t="str">
        <f>정규화데이터!B299</f>
        <v>20260205993426</v>
      </c>
      <c r="C299" t="str">
        <f>정규화데이터!C299</f>
        <v>2026-02-07</v>
      </c>
      <c r="D299" t="str">
        <f>정규화데이터!D299</f>
        <v>58481090</v>
      </c>
      <c r="E299" s="16" t="str">
        <f>정규화데이터!E299</f>
        <v>미매핑</v>
      </c>
      <c r="F299" s="3">
        <f>정규화데이터!F299</f>
        <v>1</v>
      </c>
      <c r="G299" s="3">
        <f>정규화데이터!G299</f>
        <v>1</v>
      </c>
      <c r="H299" s="3">
        <f>정규화데이터!H299</f>
        <v>119000</v>
      </c>
      <c r="I299" s="3">
        <f>정규화데이터!I299</f>
        <v>119000</v>
      </c>
      <c r="J299" s="3">
        <f>정규화데이터!J299</f>
        <v>82110</v>
      </c>
      <c r="K299" s="25">
        <f>정규화데이터!K299</f>
        <v>0</v>
      </c>
      <c r="L299" s="25">
        <f>정규화데이터!L299</f>
        <v>82110</v>
      </c>
      <c r="M299" s="21">
        <f t="shared" si="8"/>
        <v>0</v>
      </c>
      <c r="N299" s="52">
        <f t="shared" si="9"/>
        <v>0</v>
      </c>
    </row>
    <row r="300" spans="1:14" x14ac:dyDescent="0.3">
      <c r="A300" t="str">
        <f>정규화데이터!A300</f>
        <v>SK스토아</v>
      </c>
      <c r="B300" t="str">
        <f>정규화데이터!B300</f>
        <v>20260205993231</v>
      </c>
      <c r="C300" t="str">
        <f>정규화데이터!C300</f>
        <v>2026-02-07</v>
      </c>
      <c r="D300" t="str">
        <f>정규화데이터!D300</f>
        <v>58481090</v>
      </c>
      <c r="E300" s="16" t="str">
        <f>정규화데이터!E300</f>
        <v>미매핑</v>
      </c>
      <c r="F300" s="3">
        <f>정규화데이터!F300</f>
        <v>1</v>
      </c>
      <c r="G300" s="3">
        <f>정규화데이터!G300</f>
        <v>1</v>
      </c>
      <c r="H300" s="3">
        <f>정규화데이터!H300</f>
        <v>119000</v>
      </c>
      <c r="I300" s="3">
        <f>정규화데이터!I300</f>
        <v>119000</v>
      </c>
      <c r="J300" s="3">
        <f>정규화데이터!J300</f>
        <v>82110</v>
      </c>
      <c r="K300" s="25">
        <f>정규화데이터!K300</f>
        <v>0</v>
      </c>
      <c r="L300" s="25">
        <f>정규화데이터!L300</f>
        <v>82110</v>
      </c>
      <c r="M300" s="21">
        <f t="shared" si="8"/>
        <v>0</v>
      </c>
      <c r="N300" s="52">
        <f t="shared" si="9"/>
        <v>0</v>
      </c>
    </row>
    <row r="301" spans="1:14" x14ac:dyDescent="0.3">
      <c r="A301" t="str">
        <f>정규화데이터!A301</f>
        <v>SK스토아</v>
      </c>
      <c r="B301" t="str">
        <f>정규화데이터!B301</f>
        <v>20260205995033</v>
      </c>
      <c r="C301" t="str">
        <f>정규화데이터!C301</f>
        <v>2026-02-07</v>
      </c>
      <c r="D301" t="str">
        <f>정규화데이터!D301</f>
        <v>58481090</v>
      </c>
      <c r="E301" s="16" t="str">
        <f>정규화데이터!E301</f>
        <v>미매핑</v>
      </c>
      <c r="F301" s="3">
        <f>정규화데이터!F301</f>
        <v>1</v>
      </c>
      <c r="G301" s="3">
        <f>정규화데이터!G301</f>
        <v>1</v>
      </c>
      <c r="H301" s="3">
        <f>정규화데이터!H301</f>
        <v>119000</v>
      </c>
      <c r="I301" s="3">
        <f>정규화데이터!I301</f>
        <v>119000</v>
      </c>
      <c r="J301" s="3">
        <f>정규화데이터!J301</f>
        <v>82110</v>
      </c>
      <c r="K301" s="25">
        <f>정규화데이터!K301</f>
        <v>0</v>
      </c>
      <c r="L301" s="25">
        <f>정규화데이터!L301</f>
        <v>82110</v>
      </c>
      <c r="M301" s="21">
        <f t="shared" si="8"/>
        <v>0</v>
      </c>
      <c r="N301" s="52">
        <f t="shared" si="9"/>
        <v>0</v>
      </c>
    </row>
    <row r="302" spans="1:14" x14ac:dyDescent="0.3">
      <c r="A302" t="str">
        <f>정규화데이터!A302</f>
        <v>SK스토아</v>
      </c>
      <c r="B302" t="str">
        <f>정규화데이터!B302</f>
        <v>20260205994734</v>
      </c>
      <c r="C302" t="str">
        <f>정규화데이터!C302</f>
        <v>2026-02-07</v>
      </c>
      <c r="D302" t="str">
        <f>정규화데이터!D302</f>
        <v>58481090</v>
      </c>
      <c r="E302" s="16" t="str">
        <f>정규화데이터!E302</f>
        <v>미매핑</v>
      </c>
      <c r="F302" s="3">
        <f>정규화데이터!F302</f>
        <v>1</v>
      </c>
      <c r="G302" s="3">
        <f>정규화데이터!G302</f>
        <v>1</v>
      </c>
      <c r="H302" s="3">
        <f>정규화데이터!H302</f>
        <v>119000</v>
      </c>
      <c r="I302" s="3">
        <f>정규화데이터!I302</f>
        <v>119000</v>
      </c>
      <c r="J302" s="3">
        <f>정규화데이터!J302</f>
        <v>82110</v>
      </c>
      <c r="K302" s="25">
        <f>정규화데이터!K302</f>
        <v>0</v>
      </c>
      <c r="L302" s="25">
        <f>정규화데이터!L302</f>
        <v>82110</v>
      </c>
      <c r="M302" s="21">
        <f t="shared" si="8"/>
        <v>0</v>
      </c>
      <c r="N302" s="52">
        <f t="shared" si="9"/>
        <v>0</v>
      </c>
    </row>
    <row r="303" spans="1:14" x14ac:dyDescent="0.3">
      <c r="A303" t="str">
        <f>정규화데이터!A303</f>
        <v>SK스토아</v>
      </c>
      <c r="B303" t="str">
        <f>정규화데이터!B303</f>
        <v>20260205005878</v>
      </c>
      <c r="C303" t="str">
        <f>정규화데이터!C303</f>
        <v>2026-02-07</v>
      </c>
      <c r="D303" t="str">
        <f>정규화데이터!D303</f>
        <v>58481090</v>
      </c>
      <c r="E303" s="16" t="str">
        <f>정규화데이터!E303</f>
        <v>미매핑</v>
      </c>
      <c r="F303" s="3">
        <f>정규화데이터!F303</f>
        <v>1</v>
      </c>
      <c r="G303" s="3">
        <f>정규화데이터!G303</f>
        <v>1</v>
      </c>
      <c r="H303" s="3">
        <f>정규화데이터!H303</f>
        <v>119000</v>
      </c>
      <c r="I303" s="3">
        <f>정규화데이터!I303</f>
        <v>113050</v>
      </c>
      <c r="J303" s="3">
        <f>정규화데이터!J303</f>
        <v>82110</v>
      </c>
      <c r="K303" s="25">
        <f>정규화데이터!K303</f>
        <v>0</v>
      </c>
      <c r="L303" s="25">
        <f>정규화데이터!L303</f>
        <v>82110</v>
      </c>
      <c r="M303" s="21">
        <f t="shared" si="8"/>
        <v>0</v>
      </c>
      <c r="N303" s="52">
        <f t="shared" si="9"/>
        <v>0</v>
      </c>
    </row>
    <row r="304" spans="1:14" x14ac:dyDescent="0.3">
      <c r="A304" t="str">
        <f>정규화데이터!A304</f>
        <v>SK스토아</v>
      </c>
      <c r="B304" t="str">
        <f>정규화데이터!B304</f>
        <v>20260205002209</v>
      </c>
      <c r="C304" t="str">
        <f>정규화데이터!C304</f>
        <v>2026-02-07</v>
      </c>
      <c r="D304" t="str">
        <f>정규화데이터!D304</f>
        <v>58481090</v>
      </c>
      <c r="E304" s="16" t="str">
        <f>정규화데이터!E304</f>
        <v>미매핑</v>
      </c>
      <c r="F304" s="3">
        <f>정규화데이터!F304</f>
        <v>1</v>
      </c>
      <c r="G304" s="3">
        <f>정규화데이터!G304</f>
        <v>1</v>
      </c>
      <c r="H304" s="3">
        <f>정규화데이터!H304</f>
        <v>119000</v>
      </c>
      <c r="I304" s="3">
        <f>정규화데이터!I304</f>
        <v>119000</v>
      </c>
      <c r="J304" s="3">
        <f>정규화데이터!J304</f>
        <v>82110</v>
      </c>
      <c r="K304" s="25">
        <f>정규화데이터!K304</f>
        <v>0</v>
      </c>
      <c r="L304" s="25">
        <f>정규화데이터!L304</f>
        <v>82110</v>
      </c>
      <c r="M304" s="21">
        <f t="shared" si="8"/>
        <v>0</v>
      </c>
      <c r="N304" s="52">
        <f t="shared" si="9"/>
        <v>0</v>
      </c>
    </row>
    <row r="305" spans="1:14" x14ac:dyDescent="0.3">
      <c r="A305" t="str">
        <f>정규화데이터!A305</f>
        <v>SK스토아</v>
      </c>
      <c r="B305" t="str">
        <f>정규화데이터!B305</f>
        <v>20260205994403</v>
      </c>
      <c r="C305" t="str">
        <f>정규화데이터!C305</f>
        <v>2026-02-07</v>
      </c>
      <c r="D305" t="str">
        <f>정규화데이터!D305</f>
        <v>58481090</v>
      </c>
      <c r="E305" s="16" t="str">
        <f>정규화데이터!E305</f>
        <v>미매핑</v>
      </c>
      <c r="F305" s="3">
        <f>정규화데이터!F305</f>
        <v>1</v>
      </c>
      <c r="G305" s="3">
        <f>정규화데이터!G305</f>
        <v>1</v>
      </c>
      <c r="H305" s="3">
        <f>정규화데이터!H305</f>
        <v>119000</v>
      </c>
      <c r="I305" s="3">
        <f>정규화데이터!I305</f>
        <v>119000</v>
      </c>
      <c r="J305" s="3">
        <f>정규화데이터!J305</f>
        <v>82110</v>
      </c>
      <c r="K305" s="25">
        <f>정규화데이터!K305</f>
        <v>0</v>
      </c>
      <c r="L305" s="25">
        <f>정규화데이터!L305</f>
        <v>82110</v>
      </c>
      <c r="M305" s="21">
        <f t="shared" si="8"/>
        <v>0</v>
      </c>
      <c r="N305" s="52">
        <f t="shared" si="9"/>
        <v>0</v>
      </c>
    </row>
    <row r="306" spans="1:14" x14ac:dyDescent="0.3">
      <c r="A306" t="str">
        <f>정규화데이터!A306</f>
        <v>SK스토아</v>
      </c>
      <c r="B306" t="str">
        <f>정규화데이터!B306</f>
        <v>20260205993716</v>
      </c>
      <c r="C306" t="str">
        <f>정규화데이터!C306</f>
        <v>2026-02-07</v>
      </c>
      <c r="D306" t="str">
        <f>정규화데이터!D306</f>
        <v>58481090</v>
      </c>
      <c r="E306" s="16" t="str">
        <f>정규화데이터!E306</f>
        <v>미매핑</v>
      </c>
      <c r="F306" s="3">
        <f>정규화데이터!F306</f>
        <v>1</v>
      </c>
      <c r="G306" s="3">
        <f>정규화데이터!G306</f>
        <v>1</v>
      </c>
      <c r="H306" s="3">
        <f>정규화데이터!H306</f>
        <v>119000</v>
      </c>
      <c r="I306" s="3">
        <f>정규화데이터!I306</f>
        <v>119000</v>
      </c>
      <c r="J306" s="3">
        <f>정규화데이터!J306</f>
        <v>82110</v>
      </c>
      <c r="K306" s="25">
        <f>정규화데이터!K306</f>
        <v>0</v>
      </c>
      <c r="L306" s="25">
        <f>정규화데이터!L306</f>
        <v>82110</v>
      </c>
      <c r="M306" s="21">
        <f t="shared" si="8"/>
        <v>0</v>
      </c>
      <c r="N306" s="52">
        <f t="shared" si="9"/>
        <v>0</v>
      </c>
    </row>
    <row r="307" spans="1:14" x14ac:dyDescent="0.3">
      <c r="A307" t="str">
        <f>정규화데이터!A307</f>
        <v>SK스토아</v>
      </c>
      <c r="B307" t="str">
        <f>정규화데이터!B307</f>
        <v>20260205994897</v>
      </c>
      <c r="C307" t="str">
        <f>정규화데이터!C307</f>
        <v>2026-02-07</v>
      </c>
      <c r="D307" t="str">
        <f>정규화데이터!D307</f>
        <v>58481090</v>
      </c>
      <c r="E307" s="16" t="str">
        <f>정규화데이터!E307</f>
        <v>미매핑</v>
      </c>
      <c r="F307" s="3">
        <f>정규화데이터!F307</f>
        <v>1</v>
      </c>
      <c r="G307" s="3">
        <f>정규화데이터!G307</f>
        <v>1</v>
      </c>
      <c r="H307" s="3">
        <f>정규화데이터!H307</f>
        <v>119000</v>
      </c>
      <c r="I307" s="3">
        <f>정규화데이터!I307</f>
        <v>119000</v>
      </c>
      <c r="J307" s="3">
        <f>정규화데이터!J307</f>
        <v>82110</v>
      </c>
      <c r="K307" s="25">
        <f>정규화데이터!K307</f>
        <v>0</v>
      </c>
      <c r="L307" s="25">
        <f>정규화데이터!L307</f>
        <v>82110</v>
      </c>
      <c r="M307" s="21">
        <f t="shared" si="8"/>
        <v>0</v>
      </c>
      <c r="N307" s="52">
        <f t="shared" si="9"/>
        <v>0</v>
      </c>
    </row>
    <row r="308" spans="1:14" x14ac:dyDescent="0.3">
      <c r="A308" t="str">
        <f>정규화데이터!A308</f>
        <v>SK스토아</v>
      </c>
      <c r="B308" t="str">
        <f>정규화데이터!B308</f>
        <v>20260205995346</v>
      </c>
      <c r="C308" t="str">
        <f>정규화데이터!C308</f>
        <v>2026-02-07</v>
      </c>
      <c r="D308" t="str">
        <f>정규화데이터!D308</f>
        <v>58481090</v>
      </c>
      <c r="E308" s="16" t="str">
        <f>정규화데이터!E308</f>
        <v>미매핑</v>
      </c>
      <c r="F308" s="3">
        <f>정규화데이터!F308</f>
        <v>1</v>
      </c>
      <c r="G308" s="3">
        <f>정규화데이터!G308</f>
        <v>1</v>
      </c>
      <c r="H308" s="3">
        <f>정규화데이터!H308</f>
        <v>119000</v>
      </c>
      <c r="I308" s="3">
        <f>정규화데이터!I308</f>
        <v>119000</v>
      </c>
      <c r="J308" s="3">
        <f>정규화데이터!J308</f>
        <v>82110</v>
      </c>
      <c r="K308" s="25">
        <f>정규화데이터!K308</f>
        <v>0</v>
      </c>
      <c r="L308" s="25">
        <f>정규화데이터!L308</f>
        <v>82110</v>
      </c>
      <c r="M308" s="21">
        <f t="shared" si="8"/>
        <v>0</v>
      </c>
      <c r="N308" s="52">
        <f t="shared" si="9"/>
        <v>0</v>
      </c>
    </row>
    <row r="309" spans="1:14" x14ac:dyDescent="0.3">
      <c r="A309" t="str">
        <f>정규화데이터!A309</f>
        <v>SK스토아</v>
      </c>
      <c r="B309" t="str">
        <f>정규화데이터!B309</f>
        <v>20260205994059</v>
      </c>
      <c r="C309" t="str">
        <f>정규화데이터!C309</f>
        <v>2026-02-07</v>
      </c>
      <c r="D309" t="str">
        <f>정규화데이터!D309</f>
        <v>58481090</v>
      </c>
      <c r="E309" s="16" t="str">
        <f>정규화데이터!E309</f>
        <v>미매핑</v>
      </c>
      <c r="F309" s="3">
        <f>정규화데이터!F309</f>
        <v>1</v>
      </c>
      <c r="G309" s="3">
        <f>정규화데이터!G309</f>
        <v>1</v>
      </c>
      <c r="H309" s="3">
        <f>정규화데이터!H309</f>
        <v>119000</v>
      </c>
      <c r="I309" s="3">
        <f>정규화데이터!I309</f>
        <v>109000</v>
      </c>
      <c r="J309" s="3">
        <f>정규화데이터!J309</f>
        <v>82110</v>
      </c>
      <c r="K309" s="25">
        <f>정규화데이터!K309</f>
        <v>0</v>
      </c>
      <c r="L309" s="25">
        <f>정규화데이터!L309</f>
        <v>82110</v>
      </c>
      <c r="M309" s="21">
        <f t="shared" si="8"/>
        <v>0</v>
      </c>
      <c r="N309" s="52">
        <f t="shared" si="9"/>
        <v>0</v>
      </c>
    </row>
    <row r="310" spans="1:14" x14ac:dyDescent="0.3">
      <c r="A310" t="str">
        <f>정규화데이터!A310</f>
        <v>SK스토아</v>
      </c>
      <c r="B310" t="str">
        <f>정규화데이터!B310</f>
        <v>20260205994147</v>
      </c>
      <c r="C310" t="str">
        <f>정규화데이터!C310</f>
        <v>2026-02-07</v>
      </c>
      <c r="D310" t="str">
        <f>정규화데이터!D310</f>
        <v>58481090</v>
      </c>
      <c r="E310" s="16" t="str">
        <f>정규화데이터!E310</f>
        <v>미매핑</v>
      </c>
      <c r="F310" s="3">
        <f>정규화데이터!F310</f>
        <v>1</v>
      </c>
      <c r="G310" s="3">
        <f>정규화데이터!G310</f>
        <v>1</v>
      </c>
      <c r="H310" s="3">
        <f>정규화데이터!H310</f>
        <v>119000</v>
      </c>
      <c r="I310" s="3">
        <f>정규화데이터!I310</f>
        <v>119000</v>
      </c>
      <c r="J310" s="3">
        <f>정규화데이터!J310</f>
        <v>82110</v>
      </c>
      <c r="K310" s="25">
        <f>정규화데이터!K310</f>
        <v>0</v>
      </c>
      <c r="L310" s="25">
        <f>정규화데이터!L310</f>
        <v>82110</v>
      </c>
      <c r="M310" s="21">
        <f t="shared" si="8"/>
        <v>0</v>
      </c>
      <c r="N310" s="52">
        <f t="shared" si="9"/>
        <v>0</v>
      </c>
    </row>
    <row r="311" spans="1:14" x14ac:dyDescent="0.3">
      <c r="A311" t="str">
        <f>정규화데이터!A311</f>
        <v>SK스토아</v>
      </c>
      <c r="B311" t="str">
        <f>정규화데이터!B311</f>
        <v>20260205993758</v>
      </c>
      <c r="C311" t="str">
        <f>정규화데이터!C311</f>
        <v>2026-02-07</v>
      </c>
      <c r="D311" t="str">
        <f>정규화데이터!D311</f>
        <v>58481090</v>
      </c>
      <c r="E311" s="16" t="str">
        <f>정규화데이터!E311</f>
        <v>미매핑</v>
      </c>
      <c r="F311" s="3">
        <f>정규화데이터!F311</f>
        <v>1</v>
      </c>
      <c r="G311" s="3">
        <f>정규화데이터!G311</f>
        <v>1</v>
      </c>
      <c r="H311" s="3">
        <f>정규화데이터!H311</f>
        <v>119000</v>
      </c>
      <c r="I311" s="3">
        <f>정규화데이터!I311</f>
        <v>119000</v>
      </c>
      <c r="J311" s="3">
        <f>정규화데이터!J311</f>
        <v>82110</v>
      </c>
      <c r="K311" s="25">
        <f>정규화데이터!K311</f>
        <v>0</v>
      </c>
      <c r="L311" s="25">
        <f>정규화데이터!L311</f>
        <v>82110</v>
      </c>
      <c r="M311" s="21">
        <f t="shared" si="8"/>
        <v>0</v>
      </c>
      <c r="N311" s="52">
        <f t="shared" si="9"/>
        <v>0</v>
      </c>
    </row>
    <row r="312" spans="1:14" x14ac:dyDescent="0.3">
      <c r="A312" t="str">
        <f>정규화데이터!A312</f>
        <v>SK스토아</v>
      </c>
      <c r="B312" t="str">
        <f>정규화데이터!B312</f>
        <v>20260205994158</v>
      </c>
      <c r="C312" t="str">
        <f>정규화데이터!C312</f>
        <v>2026-02-07</v>
      </c>
      <c r="D312" t="str">
        <f>정규화데이터!D312</f>
        <v>58481090</v>
      </c>
      <c r="E312" s="16" t="str">
        <f>정규화데이터!E312</f>
        <v>미매핑</v>
      </c>
      <c r="F312" s="3">
        <f>정규화데이터!F312</f>
        <v>1</v>
      </c>
      <c r="G312" s="3">
        <f>정규화데이터!G312</f>
        <v>1</v>
      </c>
      <c r="H312" s="3">
        <f>정규화데이터!H312</f>
        <v>119000</v>
      </c>
      <c r="I312" s="3">
        <f>정규화데이터!I312</f>
        <v>119000</v>
      </c>
      <c r="J312" s="3">
        <f>정규화데이터!J312</f>
        <v>82110</v>
      </c>
      <c r="K312" s="25">
        <f>정규화데이터!K312</f>
        <v>0</v>
      </c>
      <c r="L312" s="25">
        <f>정규화데이터!L312</f>
        <v>82110</v>
      </c>
      <c r="M312" s="21">
        <f t="shared" si="8"/>
        <v>0</v>
      </c>
      <c r="N312" s="52">
        <f t="shared" si="9"/>
        <v>0</v>
      </c>
    </row>
    <row r="313" spans="1:14" x14ac:dyDescent="0.3">
      <c r="A313" t="str">
        <f>정규화데이터!A313</f>
        <v>SK스토아</v>
      </c>
      <c r="B313" t="str">
        <f>정규화데이터!B313</f>
        <v>20260205994158</v>
      </c>
      <c r="C313" t="str">
        <f>정규화데이터!C313</f>
        <v>2026-02-07</v>
      </c>
      <c r="D313" t="str">
        <f>정규화데이터!D313</f>
        <v>58481090</v>
      </c>
      <c r="E313" s="16" t="str">
        <f>정규화데이터!E313</f>
        <v>미매핑</v>
      </c>
      <c r="F313" s="3">
        <f>정규화데이터!F313</f>
        <v>1</v>
      </c>
      <c r="G313" s="3">
        <f>정규화데이터!G313</f>
        <v>1</v>
      </c>
      <c r="H313" s="3">
        <f>정규화데이터!H313</f>
        <v>119000</v>
      </c>
      <c r="I313" s="3">
        <f>정규화데이터!I313</f>
        <v>119000</v>
      </c>
      <c r="J313" s="3">
        <f>정규화데이터!J313</f>
        <v>82110</v>
      </c>
      <c r="K313" s="25">
        <f>정규화데이터!K313</f>
        <v>0</v>
      </c>
      <c r="L313" s="25">
        <f>정규화데이터!L313</f>
        <v>82110</v>
      </c>
      <c r="M313" s="21">
        <f t="shared" si="8"/>
        <v>0</v>
      </c>
      <c r="N313" s="52">
        <f t="shared" si="9"/>
        <v>0</v>
      </c>
    </row>
    <row r="314" spans="1:14" x14ac:dyDescent="0.3">
      <c r="A314" t="str">
        <f>정규화데이터!A314</f>
        <v>SK스토아</v>
      </c>
      <c r="B314" t="str">
        <f>정규화데이터!B314</f>
        <v>20260205993463</v>
      </c>
      <c r="C314" t="str">
        <f>정규화데이터!C314</f>
        <v>2026-02-07</v>
      </c>
      <c r="D314" t="str">
        <f>정규화데이터!D314</f>
        <v>58481090</v>
      </c>
      <c r="E314" s="16" t="str">
        <f>정규화데이터!E314</f>
        <v>미매핑</v>
      </c>
      <c r="F314" s="3">
        <f>정규화데이터!F314</f>
        <v>1</v>
      </c>
      <c r="G314" s="3">
        <f>정규화데이터!G314</f>
        <v>1</v>
      </c>
      <c r="H314" s="3">
        <f>정규화데이터!H314</f>
        <v>119000</v>
      </c>
      <c r="I314" s="3">
        <f>정규화데이터!I314</f>
        <v>119000</v>
      </c>
      <c r="J314" s="3">
        <f>정규화데이터!J314</f>
        <v>82110</v>
      </c>
      <c r="K314" s="25">
        <f>정규화데이터!K314</f>
        <v>0</v>
      </c>
      <c r="L314" s="25">
        <f>정규화데이터!L314</f>
        <v>82110</v>
      </c>
      <c r="M314" s="21">
        <f t="shared" si="8"/>
        <v>0</v>
      </c>
      <c r="N314" s="52">
        <f t="shared" si="9"/>
        <v>0</v>
      </c>
    </row>
    <row r="315" spans="1:14" x14ac:dyDescent="0.3">
      <c r="A315" t="str">
        <f>정규화데이터!A315</f>
        <v>SK스토아</v>
      </c>
      <c r="B315" t="str">
        <f>정규화데이터!B315</f>
        <v>20260205994122</v>
      </c>
      <c r="C315" t="str">
        <f>정규화데이터!C315</f>
        <v>2026-02-07</v>
      </c>
      <c r="D315" t="str">
        <f>정규화데이터!D315</f>
        <v>58481090</v>
      </c>
      <c r="E315" s="16" t="str">
        <f>정규화데이터!E315</f>
        <v>미매핑</v>
      </c>
      <c r="F315" s="3">
        <f>정규화데이터!F315</f>
        <v>1</v>
      </c>
      <c r="G315" s="3">
        <f>정규화데이터!G315</f>
        <v>1</v>
      </c>
      <c r="H315" s="3">
        <f>정규화데이터!H315</f>
        <v>119000</v>
      </c>
      <c r="I315" s="3">
        <f>정규화데이터!I315</f>
        <v>119000</v>
      </c>
      <c r="J315" s="3">
        <f>정규화데이터!J315</f>
        <v>82110</v>
      </c>
      <c r="K315" s="25">
        <f>정규화데이터!K315</f>
        <v>0</v>
      </c>
      <c r="L315" s="25">
        <f>정규화데이터!L315</f>
        <v>82110</v>
      </c>
      <c r="M315" s="21">
        <f t="shared" si="8"/>
        <v>0</v>
      </c>
      <c r="N315" s="52">
        <f t="shared" si="9"/>
        <v>0</v>
      </c>
    </row>
    <row r="316" spans="1:14" x14ac:dyDescent="0.3">
      <c r="A316" t="str">
        <f>정규화데이터!A316</f>
        <v>SK스토아</v>
      </c>
      <c r="B316" t="str">
        <f>정규화데이터!B316</f>
        <v>20260205995057</v>
      </c>
      <c r="C316" t="str">
        <f>정규화데이터!C316</f>
        <v>2026-02-07</v>
      </c>
      <c r="D316" t="str">
        <f>정규화데이터!D316</f>
        <v>58481090</v>
      </c>
      <c r="E316" s="16" t="str">
        <f>정규화데이터!E316</f>
        <v>미매핑</v>
      </c>
      <c r="F316" s="3">
        <f>정규화데이터!F316</f>
        <v>1</v>
      </c>
      <c r="G316" s="3">
        <f>정규화데이터!G316</f>
        <v>1</v>
      </c>
      <c r="H316" s="3">
        <f>정규화데이터!H316</f>
        <v>119000</v>
      </c>
      <c r="I316" s="3">
        <f>정규화데이터!I316</f>
        <v>109000</v>
      </c>
      <c r="J316" s="3">
        <f>정규화데이터!J316</f>
        <v>82110</v>
      </c>
      <c r="K316" s="25">
        <f>정규화데이터!K316</f>
        <v>0</v>
      </c>
      <c r="L316" s="25">
        <f>정규화데이터!L316</f>
        <v>82110</v>
      </c>
      <c r="M316" s="21">
        <f t="shared" si="8"/>
        <v>0</v>
      </c>
      <c r="N316" s="52">
        <f t="shared" si="9"/>
        <v>0</v>
      </c>
    </row>
    <row r="317" spans="1:14" x14ac:dyDescent="0.3">
      <c r="A317" t="str">
        <f>정규화데이터!A317</f>
        <v>SK스토아</v>
      </c>
      <c r="B317" t="str">
        <f>정규화데이터!B317</f>
        <v>20260205994528</v>
      </c>
      <c r="C317" t="str">
        <f>정규화데이터!C317</f>
        <v>2026-02-07</v>
      </c>
      <c r="D317" t="str">
        <f>정규화데이터!D317</f>
        <v>58481090</v>
      </c>
      <c r="E317" s="16" t="str">
        <f>정규화데이터!E317</f>
        <v>미매핑</v>
      </c>
      <c r="F317" s="3">
        <f>정규화데이터!F317</f>
        <v>1</v>
      </c>
      <c r="G317" s="3">
        <f>정규화데이터!G317</f>
        <v>1</v>
      </c>
      <c r="H317" s="3">
        <f>정규화데이터!H317</f>
        <v>119000</v>
      </c>
      <c r="I317" s="3">
        <f>정규화데이터!I317</f>
        <v>119000</v>
      </c>
      <c r="J317" s="3">
        <f>정규화데이터!J317</f>
        <v>82110</v>
      </c>
      <c r="K317" s="25">
        <f>정규화데이터!K317</f>
        <v>0</v>
      </c>
      <c r="L317" s="25">
        <f>정규화데이터!L317</f>
        <v>82110</v>
      </c>
      <c r="M317" s="21">
        <f t="shared" si="8"/>
        <v>0</v>
      </c>
      <c r="N317" s="52">
        <f t="shared" si="9"/>
        <v>0</v>
      </c>
    </row>
    <row r="318" spans="1:14" x14ac:dyDescent="0.3">
      <c r="A318" t="str">
        <f>정규화데이터!A318</f>
        <v>SK스토아</v>
      </c>
      <c r="B318" t="str">
        <f>정규화데이터!B318</f>
        <v>20260205993913</v>
      </c>
      <c r="C318" t="str">
        <f>정규화데이터!C318</f>
        <v>2026-02-07</v>
      </c>
      <c r="D318" t="str">
        <f>정규화데이터!D318</f>
        <v>58481090</v>
      </c>
      <c r="E318" s="16" t="str">
        <f>정규화데이터!E318</f>
        <v>미매핑</v>
      </c>
      <c r="F318" s="3">
        <f>정규화데이터!F318</f>
        <v>1</v>
      </c>
      <c r="G318" s="3">
        <f>정규화데이터!G318</f>
        <v>1</v>
      </c>
      <c r="H318" s="3">
        <f>정규화데이터!H318</f>
        <v>119000</v>
      </c>
      <c r="I318" s="3">
        <f>정규화데이터!I318</f>
        <v>109000</v>
      </c>
      <c r="J318" s="3">
        <f>정규화데이터!J318</f>
        <v>82110</v>
      </c>
      <c r="K318" s="25">
        <f>정규화데이터!K318</f>
        <v>0</v>
      </c>
      <c r="L318" s="25">
        <f>정규화데이터!L318</f>
        <v>82110</v>
      </c>
      <c r="M318" s="21">
        <f t="shared" si="8"/>
        <v>0</v>
      </c>
      <c r="N318" s="52">
        <f t="shared" si="9"/>
        <v>0</v>
      </c>
    </row>
    <row r="319" spans="1:14" x14ac:dyDescent="0.3">
      <c r="A319" t="str">
        <f>정규화데이터!A319</f>
        <v>SK스토아</v>
      </c>
      <c r="B319" t="str">
        <f>정규화데이터!B319</f>
        <v>20260205994535</v>
      </c>
      <c r="C319" t="str">
        <f>정규화데이터!C319</f>
        <v>2026-02-07</v>
      </c>
      <c r="D319" t="str">
        <f>정규화데이터!D319</f>
        <v>58481090</v>
      </c>
      <c r="E319" s="16" t="str">
        <f>정규화데이터!E319</f>
        <v>미매핑</v>
      </c>
      <c r="F319" s="3">
        <f>정규화데이터!F319</f>
        <v>1</v>
      </c>
      <c r="G319" s="3">
        <f>정규화데이터!G319</f>
        <v>2</v>
      </c>
      <c r="H319" s="3">
        <f>정규화데이터!H319</f>
        <v>119000</v>
      </c>
      <c r="I319" s="3">
        <f>정규화데이터!I319</f>
        <v>238000</v>
      </c>
      <c r="J319" s="3">
        <f>정규화데이터!J319</f>
        <v>164220</v>
      </c>
      <c r="K319" s="25">
        <f>정규화데이터!K319</f>
        <v>0</v>
      </c>
      <c r="L319" s="25">
        <f>정규화데이터!L319</f>
        <v>164220</v>
      </c>
      <c r="M319" s="21">
        <f t="shared" si="8"/>
        <v>0</v>
      </c>
      <c r="N319" s="52">
        <f t="shared" si="9"/>
        <v>0</v>
      </c>
    </row>
    <row r="320" spans="1:14" x14ac:dyDescent="0.3">
      <c r="A320" t="str">
        <f>정규화데이터!A320</f>
        <v>SK스토아</v>
      </c>
      <c r="B320" t="str">
        <f>정규화데이터!B320</f>
        <v>20260205994836</v>
      </c>
      <c r="C320" t="str">
        <f>정규화데이터!C320</f>
        <v>2026-02-07</v>
      </c>
      <c r="D320" t="str">
        <f>정규화데이터!D320</f>
        <v>58481090</v>
      </c>
      <c r="E320" s="16" t="str">
        <f>정규화데이터!E320</f>
        <v>미매핑</v>
      </c>
      <c r="F320" s="3">
        <f>정규화데이터!F320</f>
        <v>1</v>
      </c>
      <c r="G320" s="3">
        <f>정규화데이터!G320</f>
        <v>1</v>
      </c>
      <c r="H320" s="3">
        <f>정규화데이터!H320</f>
        <v>119000</v>
      </c>
      <c r="I320" s="3">
        <f>정규화데이터!I320</f>
        <v>119000</v>
      </c>
      <c r="J320" s="3">
        <f>정규화데이터!J320</f>
        <v>82110</v>
      </c>
      <c r="K320" s="25">
        <f>정규화데이터!K320</f>
        <v>0</v>
      </c>
      <c r="L320" s="25">
        <f>정규화데이터!L320</f>
        <v>82110</v>
      </c>
      <c r="M320" s="21">
        <f t="shared" si="8"/>
        <v>0</v>
      </c>
      <c r="N320" s="52">
        <f t="shared" si="9"/>
        <v>0</v>
      </c>
    </row>
    <row r="321" spans="1:14" x14ac:dyDescent="0.3">
      <c r="A321" t="str">
        <f>정규화데이터!A321</f>
        <v>SK스토아</v>
      </c>
      <c r="B321" t="str">
        <f>정규화데이터!B321</f>
        <v>20260205994447</v>
      </c>
      <c r="C321" t="str">
        <f>정규화데이터!C321</f>
        <v>2026-02-07</v>
      </c>
      <c r="D321" t="str">
        <f>정규화데이터!D321</f>
        <v>58481090</v>
      </c>
      <c r="E321" s="16" t="str">
        <f>정규화데이터!E321</f>
        <v>미매핑</v>
      </c>
      <c r="F321" s="3">
        <f>정규화데이터!F321</f>
        <v>1</v>
      </c>
      <c r="G321" s="3">
        <f>정규화데이터!G321</f>
        <v>1</v>
      </c>
      <c r="H321" s="3">
        <f>정규화데이터!H321</f>
        <v>119000</v>
      </c>
      <c r="I321" s="3">
        <f>정규화데이터!I321</f>
        <v>119000</v>
      </c>
      <c r="J321" s="3">
        <f>정규화데이터!J321</f>
        <v>82110</v>
      </c>
      <c r="K321" s="25">
        <f>정규화데이터!K321</f>
        <v>0</v>
      </c>
      <c r="L321" s="25">
        <f>정규화데이터!L321</f>
        <v>82110</v>
      </c>
      <c r="M321" s="21">
        <f t="shared" si="8"/>
        <v>0</v>
      </c>
      <c r="N321" s="52">
        <f t="shared" si="9"/>
        <v>0</v>
      </c>
    </row>
    <row r="322" spans="1:14" x14ac:dyDescent="0.3">
      <c r="A322" t="str">
        <f>정규화데이터!A322</f>
        <v>SK스토아</v>
      </c>
      <c r="B322" t="str">
        <f>정규화데이터!B322</f>
        <v>20260205995071</v>
      </c>
      <c r="C322" t="str">
        <f>정규화데이터!C322</f>
        <v>2026-02-07</v>
      </c>
      <c r="D322" t="str">
        <f>정규화데이터!D322</f>
        <v>58481090</v>
      </c>
      <c r="E322" s="16" t="str">
        <f>정규화데이터!E322</f>
        <v>미매핑</v>
      </c>
      <c r="F322" s="3">
        <f>정규화데이터!F322</f>
        <v>1</v>
      </c>
      <c r="G322" s="3">
        <f>정규화데이터!G322</f>
        <v>1</v>
      </c>
      <c r="H322" s="3">
        <f>정규화데이터!H322</f>
        <v>119000</v>
      </c>
      <c r="I322" s="3">
        <f>정규화데이터!I322</f>
        <v>119000</v>
      </c>
      <c r="J322" s="3">
        <f>정규화데이터!J322</f>
        <v>82110</v>
      </c>
      <c r="K322" s="25">
        <f>정규화데이터!K322</f>
        <v>0</v>
      </c>
      <c r="L322" s="25">
        <f>정규화데이터!L322</f>
        <v>82110</v>
      </c>
      <c r="M322" s="21">
        <f t="shared" ref="M322:M385" si="10">J322-L322</f>
        <v>0</v>
      </c>
      <c r="N322" s="52">
        <f t="shared" ref="N322:N385" si="11">IF(J322=0,0,M322/J322)</f>
        <v>0</v>
      </c>
    </row>
    <row r="323" spans="1:14" x14ac:dyDescent="0.3">
      <c r="A323" t="str">
        <f>정규화데이터!A323</f>
        <v>SK스토아</v>
      </c>
      <c r="B323" t="str">
        <f>정규화데이터!B323</f>
        <v>20260205994350</v>
      </c>
      <c r="C323" t="str">
        <f>정규화데이터!C323</f>
        <v>2026-02-07</v>
      </c>
      <c r="D323" t="str">
        <f>정규화데이터!D323</f>
        <v>58481090</v>
      </c>
      <c r="E323" s="16" t="str">
        <f>정규화데이터!E323</f>
        <v>미매핑</v>
      </c>
      <c r="F323" s="3">
        <f>정규화데이터!F323</f>
        <v>1</v>
      </c>
      <c r="G323" s="3">
        <f>정규화데이터!G323</f>
        <v>1</v>
      </c>
      <c r="H323" s="3">
        <f>정규화데이터!H323</f>
        <v>119000</v>
      </c>
      <c r="I323" s="3">
        <f>정규화데이터!I323</f>
        <v>119000</v>
      </c>
      <c r="J323" s="3">
        <f>정규화데이터!J323</f>
        <v>82110</v>
      </c>
      <c r="K323" s="25">
        <f>정규화데이터!K323</f>
        <v>0</v>
      </c>
      <c r="L323" s="25">
        <f>정규화데이터!L323</f>
        <v>82110</v>
      </c>
      <c r="M323" s="21">
        <f t="shared" si="10"/>
        <v>0</v>
      </c>
      <c r="N323" s="52">
        <f t="shared" si="11"/>
        <v>0</v>
      </c>
    </row>
    <row r="324" spans="1:14" x14ac:dyDescent="0.3">
      <c r="A324" t="str">
        <f>정규화데이터!A324</f>
        <v>SK스토아</v>
      </c>
      <c r="B324" t="str">
        <f>정규화데이터!B324</f>
        <v>20260205992509</v>
      </c>
      <c r="C324" t="str">
        <f>정규화데이터!C324</f>
        <v>2026-02-07</v>
      </c>
      <c r="D324" t="str">
        <f>정규화데이터!D324</f>
        <v>58481090</v>
      </c>
      <c r="E324" s="16" t="str">
        <f>정규화데이터!E324</f>
        <v>미매핑</v>
      </c>
      <c r="F324" s="3">
        <f>정규화데이터!F324</f>
        <v>1</v>
      </c>
      <c r="G324" s="3">
        <f>정규화데이터!G324</f>
        <v>1</v>
      </c>
      <c r="H324" s="3">
        <f>정규화데이터!H324</f>
        <v>119000</v>
      </c>
      <c r="I324" s="3">
        <f>정규화데이터!I324</f>
        <v>119000</v>
      </c>
      <c r="J324" s="3">
        <f>정규화데이터!J324</f>
        <v>82110</v>
      </c>
      <c r="K324" s="25">
        <f>정규화데이터!K324</f>
        <v>0</v>
      </c>
      <c r="L324" s="25">
        <f>정규화데이터!L324</f>
        <v>82110</v>
      </c>
      <c r="M324" s="21">
        <f t="shared" si="10"/>
        <v>0</v>
      </c>
      <c r="N324" s="52">
        <f t="shared" si="11"/>
        <v>0</v>
      </c>
    </row>
    <row r="325" spans="1:14" x14ac:dyDescent="0.3">
      <c r="A325" t="str">
        <f>정규화데이터!A325</f>
        <v>SK스토아</v>
      </c>
      <c r="B325" t="str">
        <f>정규화데이터!B325</f>
        <v>20260205995352</v>
      </c>
      <c r="C325" t="str">
        <f>정규화데이터!C325</f>
        <v>2026-02-07</v>
      </c>
      <c r="D325" t="str">
        <f>정규화데이터!D325</f>
        <v>58481090</v>
      </c>
      <c r="E325" s="16" t="str">
        <f>정규화데이터!E325</f>
        <v>미매핑</v>
      </c>
      <c r="F325" s="3">
        <f>정규화데이터!F325</f>
        <v>1</v>
      </c>
      <c r="G325" s="3">
        <f>정규화데이터!G325</f>
        <v>1</v>
      </c>
      <c r="H325" s="3">
        <f>정규화데이터!H325</f>
        <v>119000</v>
      </c>
      <c r="I325" s="3">
        <f>정규화데이터!I325</f>
        <v>119000</v>
      </c>
      <c r="J325" s="3">
        <f>정규화데이터!J325</f>
        <v>82110</v>
      </c>
      <c r="K325" s="25">
        <f>정규화데이터!K325</f>
        <v>0</v>
      </c>
      <c r="L325" s="25">
        <f>정규화데이터!L325</f>
        <v>82110</v>
      </c>
      <c r="M325" s="21">
        <f t="shared" si="10"/>
        <v>0</v>
      </c>
      <c r="N325" s="52">
        <f t="shared" si="11"/>
        <v>0</v>
      </c>
    </row>
    <row r="326" spans="1:14" x14ac:dyDescent="0.3">
      <c r="A326" t="str">
        <f>정규화데이터!A326</f>
        <v>SK스토아</v>
      </c>
      <c r="B326" t="str">
        <f>정규화데이터!B326</f>
        <v>20260205995384</v>
      </c>
      <c r="C326" t="str">
        <f>정규화데이터!C326</f>
        <v>2026-02-07</v>
      </c>
      <c r="D326" t="str">
        <f>정규화데이터!D326</f>
        <v>58481090</v>
      </c>
      <c r="E326" s="16" t="str">
        <f>정규화데이터!E326</f>
        <v>미매핑</v>
      </c>
      <c r="F326" s="3">
        <f>정규화데이터!F326</f>
        <v>1</v>
      </c>
      <c r="G326" s="3">
        <f>정규화데이터!G326</f>
        <v>1</v>
      </c>
      <c r="H326" s="3">
        <f>정규화데이터!H326</f>
        <v>119000</v>
      </c>
      <c r="I326" s="3">
        <f>정규화데이터!I326</f>
        <v>119000</v>
      </c>
      <c r="J326" s="3">
        <f>정규화데이터!J326</f>
        <v>82110</v>
      </c>
      <c r="K326" s="25">
        <f>정규화데이터!K326</f>
        <v>0</v>
      </c>
      <c r="L326" s="25">
        <f>정규화데이터!L326</f>
        <v>82110</v>
      </c>
      <c r="M326" s="21">
        <f t="shared" si="10"/>
        <v>0</v>
      </c>
      <c r="N326" s="52">
        <f t="shared" si="11"/>
        <v>0</v>
      </c>
    </row>
    <row r="327" spans="1:14" x14ac:dyDescent="0.3">
      <c r="A327" t="str">
        <f>정규화데이터!A327</f>
        <v>SK스토아</v>
      </c>
      <c r="B327" t="str">
        <f>정규화데이터!B327</f>
        <v>20260205994156</v>
      </c>
      <c r="C327" t="str">
        <f>정규화데이터!C327</f>
        <v>2026-02-07</v>
      </c>
      <c r="D327" t="str">
        <f>정규화데이터!D327</f>
        <v>58481090</v>
      </c>
      <c r="E327" s="16" t="str">
        <f>정규화데이터!E327</f>
        <v>미매핑</v>
      </c>
      <c r="F327" s="3">
        <f>정규화데이터!F327</f>
        <v>1</v>
      </c>
      <c r="G327" s="3">
        <f>정규화데이터!G327</f>
        <v>1</v>
      </c>
      <c r="H327" s="3">
        <f>정규화데이터!H327</f>
        <v>119000</v>
      </c>
      <c r="I327" s="3">
        <f>정규화데이터!I327</f>
        <v>119000</v>
      </c>
      <c r="J327" s="3">
        <f>정규화데이터!J327</f>
        <v>82110</v>
      </c>
      <c r="K327" s="25">
        <f>정규화데이터!K327</f>
        <v>0</v>
      </c>
      <c r="L327" s="25">
        <f>정규화데이터!L327</f>
        <v>82110</v>
      </c>
      <c r="M327" s="21">
        <f t="shared" si="10"/>
        <v>0</v>
      </c>
      <c r="N327" s="52">
        <f t="shared" si="11"/>
        <v>0</v>
      </c>
    </row>
    <row r="328" spans="1:14" x14ac:dyDescent="0.3">
      <c r="A328" t="str">
        <f>정규화데이터!A328</f>
        <v>SK스토아</v>
      </c>
      <c r="B328" t="str">
        <f>정규화데이터!B328</f>
        <v>20260205995064</v>
      </c>
      <c r="C328" t="str">
        <f>정규화데이터!C328</f>
        <v>2026-02-07</v>
      </c>
      <c r="D328" t="str">
        <f>정규화데이터!D328</f>
        <v>58481090</v>
      </c>
      <c r="E328" s="16" t="str">
        <f>정규화데이터!E328</f>
        <v>미매핑</v>
      </c>
      <c r="F328" s="3">
        <f>정규화데이터!F328</f>
        <v>1</v>
      </c>
      <c r="G328" s="3">
        <f>정규화데이터!G328</f>
        <v>1</v>
      </c>
      <c r="H328" s="3">
        <f>정규화데이터!H328</f>
        <v>119000</v>
      </c>
      <c r="I328" s="3">
        <f>정규화데이터!I328</f>
        <v>119000</v>
      </c>
      <c r="J328" s="3">
        <f>정규화데이터!J328</f>
        <v>82110</v>
      </c>
      <c r="K328" s="25">
        <f>정규화데이터!K328</f>
        <v>0</v>
      </c>
      <c r="L328" s="25">
        <f>정규화데이터!L328</f>
        <v>82110</v>
      </c>
      <c r="M328" s="21">
        <f t="shared" si="10"/>
        <v>0</v>
      </c>
      <c r="N328" s="52">
        <f t="shared" si="11"/>
        <v>0</v>
      </c>
    </row>
    <row r="329" spans="1:14" x14ac:dyDescent="0.3">
      <c r="A329" t="str">
        <f>정규화데이터!A329</f>
        <v>SK스토아</v>
      </c>
      <c r="B329" t="str">
        <f>정규화데이터!B329</f>
        <v>20260205995094</v>
      </c>
      <c r="C329" t="str">
        <f>정규화데이터!C329</f>
        <v>2026-02-07</v>
      </c>
      <c r="D329" t="str">
        <f>정규화데이터!D329</f>
        <v>58481090</v>
      </c>
      <c r="E329" s="16" t="str">
        <f>정규화데이터!E329</f>
        <v>미매핑</v>
      </c>
      <c r="F329" s="3">
        <f>정규화데이터!F329</f>
        <v>1</v>
      </c>
      <c r="G329" s="3">
        <f>정규화데이터!G329</f>
        <v>1</v>
      </c>
      <c r="H329" s="3">
        <f>정규화데이터!H329</f>
        <v>119000</v>
      </c>
      <c r="I329" s="3">
        <f>정규화데이터!I329</f>
        <v>119000</v>
      </c>
      <c r="J329" s="3">
        <f>정규화데이터!J329</f>
        <v>82110</v>
      </c>
      <c r="K329" s="25">
        <f>정규화데이터!K329</f>
        <v>0</v>
      </c>
      <c r="L329" s="25">
        <f>정규화데이터!L329</f>
        <v>82110</v>
      </c>
      <c r="M329" s="21">
        <f t="shared" si="10"/>
        <v>0</v>
      </c>
      <c r="N329" s="52">
        <f t="shared" si="11"/>
        <v>0</v>
      </c>
    </row>
    <row r="330" spans="1:14" x14ac:dyDescent="0.3">
      <c r="A330" t="str">
        <f>정규화데이터!A330</f>
        <v>SK스토아</v>
      </c>
      <c r="B330" t="str">
        <f>정규화데이터!B330</f>
        <v>20260205995405</v>
      </c>
      <c r="C330" t="str">
        <f>정규화데이터!C330</f>
        <v>2026-02-07</v>
      </c>
      <c r="D330" t="str">
        <f>정규화데이터!D330</f>
        <v>58481090</v>
      </c>
      <c r="E330" s="16" t="str">
        <f>정규화데이터!E330</f>
        <v>미매핑</v>
      </c>
      <c r="F330" s="3">
        <f>정규화데이터!F330</f>
        <v>1</v>
      </c>
      <c r="G330" s="3">
        <f>정규화데이터!G330</f>
        <v>1</v>
      </c>
      <c r="H330" s="3">
        <f>정규화데이터!H330</f>
        <v>119000</v>
      </c>
      <c r="I330" s="3">
        <f>정규화데이터!I330</f>
        <v>119000</v>
      </c>
      <c r="J330" s="3">
        <f>정규화데이터!J330</f>
        <v>82110</v>
      </c>
      <c r="K330" s="25">
        <f>정규화데이터!K330</f>
        <v>0</v>
      </c>
      <c r="L330" s="25">
        <f>정규화데이터!L330</f>
        <v>82110</v>
      </c>
      <c r="M330" s="21">
        <f t="shared" si="10"/>
        <v>0</v>
      </c>
      <c r="N330" s="52">
        <f t="shared" si="11"/>
        <v>0</v>
      </c>
    </row>
    <row r="331" spans="1:14" x14ac:dyDescent="0.3">
      <c r="A331" t="str">
        <f>정규화데이터!A331</f>
        <v>SK스토아</v>
      </c>
      <c r="B331" t="str">
        <f>정규화데이터!B331</f>
        <v>20260205995039</v>
      </c>
      <c r="C331" t="str">
        <f>정규화데이터!C331</f>
        <v>2026-02-07</v>
      </c>
      <c r="D331" t="str">
        <f>정규화데이터!D331</f>
        <v>58481090</v>
      </c>
      <c r="E331" s="16" t="str">
        <f>정규화데이터!E331</f>
        <v>미매핑</v>
      </c>
      <c r="F331" s="3">
        <f>정규화데이터!F331</f>
        <v>1</v>
      </c>
      <c r="G331" s="3">
        <f>정규화데이터!G331</f>
        <v>1</v>
      </c>
      <c r="H331" s="3">
        <f>정규화데이터!H331</f>
        <v>119000</v>
      </c>
      <c r="I331" s="3">
        <f>정규화데이터!I331</f>
        <v>119000</v>
      </c>
      <c r="J331" s="3">
        <f>정규화데이터!J331</f>
        <v>82110</v>
      </c>
      <c r="K331" s="25">
        <f>정규화데이터!K331</f>
        <v>0</v>
      </c>
      <c r="L331" s="25">
        <f>정규화데이터!L331</f>
        <v>82110</v>
      </c>
      <c r="M331" s="21">
        <f t="shared" si="10"/>
        <v>0</v>
      </c>
      <c r="N331" s="52">
        <f t="shared" si="11"/>
        <v>0</v>
      </c>
    </row>
    <row r="332" spans="1:14" x14ac:dyDescent="0.3">
      <c r="A332" t="str">
        <f>정규화데이터!A332</f>
        <v>SK스토아</v>
      </c>
      <c r="B332" t="str">
        <f>정규화데이터!B332</f>
        <v>20260205994153</v>
      </c>
      <c r="C332" t="str">
        <f>정규화데이터!C332</f>
        <v>2026-02-07</v>
      </c>
      <c r="D332" t="str">
        <f>정규화데이터!D332</f>
        <v>58481090</v>
      </c>
      <c r="E332" s="16" t="str">
        <f>정규화데이터!E332</f>
        <v>미매핑</v>
      </c>
      <c r="F332" s="3">
        <f>정규화데이터!F332</f>
        <v>1</v>
      </c>
      <c r="G332" s="3">
        <f>정규화데이터!G332</f>
        <v>1</v>
      </c>
      <c r="H332" s="3">
        <f>정규화데이터!H332</f>
        <v>119000</v>
      </c>
      <c r="I332" s="3">
        <f>정규화데이터!I332</f>
        <v>119000</v>
      </c>
      <c r="J332" s="3">
        <f>정규화데이터!J332</f>
        <v>82110</v>
      </c>
      <c r="K332" s="25">
        <f>정규화데이터!K332</f>
        <v>0</v>
      </c>
      <c r="L332" s="25">
        <f>정규화데이터!L332</f>
        <v>82110</v>
      </c>
      <c r="M332" s="21">
        <f t="shared" si="10"/>
        <v>0</v>
      </c>
      <c r="N332" s="52">
        <f t="shared" si="11"/>
        <v>0</v>
      </c>
    </row>
    <row r="333" spans="1:14" x14ac:dyDescent="0.3">
      <c r="A333" t="str">
        <f>정규화데이터!A333</f>
        <v>SK스토아</v>
      </c>
      <c r="B333" t="str">
        <f>정규화데이터!B333</f>
        <v>20260205994151</v>
      </c>
      <c r="C333" t="str">
        <f>정규화데이터!C333</f>
        <v>2026-02-07</v>
      </c>
      <c r="D333" t="str">
        <f>정규화데이터!D333</f>
        <v>58481090</v>
      </c>
      <c r="E333" s="16" t="str">
        <f>정규화데이터!E333</f>
        <v>미매핑</v>
      </c>
      <c r="F333" s="3">
        <f>정규화데이터!F333</f>
        <v>1</v>
      </c>
      <c r="G333" s="3">
        <f>정규화데이터!G333</f>
        <v>1</v>
      </c>
      <c r="H333" s="3">
        <f>정규화데이터!H333</f>
        <v>119000</v>
      </c>
      <c r="I333" s="3">
        <f>정규화데이터!I333</f>
        <v>119000</v>
      </c>
      <c r="J333" s="3">
        <f>정규화데이터!J333</f>
        <v>82110</v>
      </c>
      <c r="K333" s="25">
        <f>정규화데이터!K333</f>
        <v>0</v>
      </c>
      <c r="L333" s="25">
        <f>정규화데이터!L333</f>
        <v>82110</v>
      </c>
      <c r="M333" s="21">
        <f t="shared" si="10"/>
        <v>0</v>
      </c>
      <c r="N333" s="52">
        <f t="shared" si="11"/>
        <v>0</v>
      </c>
    </row>
    <row r="334" spans="1:14" x14ac:dyDescent="0.3">
      <c r="A334" t="str">
        <f>정규화데이터!A334</f>
        <v>SK스토아</v>
      </c>
      <c r="B334" t="str">
        <f>정규화데이터!B334</f>
        <v>20260205994805</v>
      </c>
      <c r="C334" t="str">
        <f>정규화데이터!C334</f>
        <v>2026-02-07</v>
      </c>
      <c r="D334" t="str">
        <f>정규화데이터!D334</f>
        <v>58481090</v>
      </c>
      <c r="E334" s="16" t="str">
        <f>정규화데이터!E334</f>
        <v>미매핑</v>
      </c>
      <c r="F334" s="3">
        <f>정규화데이터!F334</f>
        <v>1</v>
      </c>
      <c r="G334" s="3">
        <f>정규화데이터!G334</f>
        <v>1</v>
      </c>
      <c r="H334" s="3">
        <f>정규화데이터!H334</f>
        <v>119000</v>
      </c>
      <c r="I334" s="3">
        <f>정규화데이터!I334</f>
        <v>119000</v>
      </c>
      <c r="J334" s="3">
        <f>정규화데이터!J334</f>
        <v>82110</v>
      </c>
      <c r="K334" s="25">
        <f>정규화데이터!K334</f>
        <v>0</v>
      </c>
      <c r="L334" s="25">
        <f>정규화데이터!L334</f>
        <v>82110</v>
      </c>
      <c r="M334" s="21">
        <f t="shared" si="10"/>
        <v>0</v>
      </c>
      <c r="N334" s="52">
        <f t="shared" si="11"/>
        <v>0</v>
      </c>
    </row>
    <row r="335" spans="1:14" x14ac:dyDescent="0.3">
      <c r="A335" t="str">
        <f>정규화데이터!A335</f>
        <v>SK스토아</v>
      </c>
      <c r="B335" t="str">
        <f>정규화데이터!B335</f>
        <v>20260205993562</v>
      </c>
      <c r="C335" t="str">
        <f>정규화데이터!C335</f>
        <v>2026-02-07</v>
      </c>
      <c r="D335" t="str">
        <f>정규화데이터!D335</f>
        <v>58481090</v>
      </c>
      <c r="E335" s="16" t="str">
        <f>정규화데이터!E335</f>
        <v>미매핑</v>
      </c>
      <c r="F335" s="3">
        <f>정규화데이터!F335</f>
        <v>1</v>
      </c>
      <c r="G335" s="3">
        <f>정규화데이터!G335</f>
        <v>1</v>
      </c>
      <c r="H335" s="3">
        <f>정규화데이터!H335</f>
        <v>119000</v>
      </c>
      <c r="I335" s="3">
        <f>정규화데이터!I335</f>
        <v>119000</v>
      </c>
      <c r="J335" s="3">
        <f>정규화데이터!J335</f>
        <v>82110</v>
      </c>
      <c r="K335" s="25">
        <f>정규화데이터!K335</f>
        <v>0</v>
      </c>
      <c r="L335" s="25">
        <f>정규화데이터!L335</f>
        <v>82110</v>
      </c>
      <c r="M335" s="21">
        <f t="shared" si="10"/>
        <v>0</v>
      </c>
      <c r="N335" s="52">
        <f t="shared" si="11"/>
        <v>0</v>
      </c>
    </row>
    <row r="336" spans="1:14" x14ac:dyDescent="0.3">
      <c r="A336" t="str">
        <f>정규화데이터!A336</f>
        <v>SK스토아</v>
      </c>
      <c r="B336" t="str">
        <f>정규화데이터!B336</f>
        <v>20260205992492</v>
      </c>
      <c r="C336" t="str">
        <f>정규화데이터!C336</f>
        <v>2026-02-07</v>
      </c>
      <c r="D336" t="str">
        <f>정규화데이터!D336</f>
        <v>58481090</v>
      </c>
      <c r="E336" s="16" t="str">
        <f>정규화데이터!E336</f>
        <v>미매핑</v>
      </c>
      <c r="F336" s="3">
        <f>정규화데이터!F336</f>
        <v>1</v>
      </c>
      <c r="G336" s="3">
        <f>정규화데이터!G336</f>
        <v>1</v>
      </c>
      <c r="H336" s="3">
        <f>정규화데이터!H336</f>
        <v>119000</v>
      </c>
      <c r="I336" s="3">
        <f>정규화데이터!I336</f>
        <v>119000</v>
      </c>
      <c r="J336" s="3">
        <f>정규화데이터!J336</f>
        <v>82110</v>
      </c>
      <c r="K336" s="25">
        <f>정규화데이터!K336</f>
        <v>0</v>
      </c>
      <c r="L336" s="25">
        <f>정규화데이터!L336</f>
        <v>82110</v>
      </c>
      <c r="M336" s="21">
        <f t="shared" si="10"/>
        <v>0</v>
      </c>
      <c r="N336" s="52">
        <f t="shared" si="11"/>
        <v>0</v>
      </c>
    </row>
    <row r="337" spans="1:14" x14ac:dyDescent="0.3">
      <c r="A337" t="str">
        <f>정규화데이터!A337</f>
        <v>SK스토아</v>
      </c>
      <c r="B337" t="str">
        <f>정규화데이터!B337</f>
        <v>20260205992669</v>
      </c>
      <c r="C337" t="str">
        <f>정규화데이터!C337</f>
        <v>2026-02-07</v>
      </c>
      <c r="D337" t="str">
        <f>정규화데이터!D337</f>
        <v>58481090</v>
      </c>
      <c r="E337" s="16" t="str">
        <f>정규화데이터!E337</f>
        <v>미매핑</v>
      </c>
      <c r="F337" s="3">
        <f>정규화데이터!F337</f>
        <v>1</v>
      </c>
      <c r="G337" s="3">
        <f>정규화데이터!G337</f>
        <v>1</v>
      </c>
      <c r="H337" s="3">
        <f>정규화데이터!H337</f>
        <v>119000</v>
      </c>
      <c r="I337" s="3">
        <f>정규화데이터!I337</f>
        <v>119000</v>
      </c>
      <c r="J337" s="3">
        <f>정규화데이터!J337</f>
        <v>82110</v>
      </c>
      <c r="K337" s="25">
        <f>정규화데이터!K337</f>
        <v>0</v>
      </c>
      <c r="L337" s="25">
        <f>정규화데이터!L337</f>
        <v>82110</v>
      </c>
      <c r="M337" s="21">
        <f t="shared" si="10"/>
        <v>0</v>
      </c>
      <c r="N337" s="52">
        <f t="shared" si="11"/>
        <v>0</v>
      </c>
    </row>
    <row r="338" spans="1:14" x14ac:dyDescent="0.3">
      <c r="A338" t="str">
        <f>정규화데이터!A338</f>
        <v>SK스토아</v>
      </c>
      <c r="B338" t="str">
        <f>정규화데이터!B338</f>
        <v>20260205993173</v>
      </c>
      <c r="C338" t="str">
        <f>정규화데이터!C338</f>
        <v>2026-02-07</v>
      </c>
      <c r="D338" t="str">
        <f>정규화데이터!D338</f>
        <v>58481090</v>
      </c>
      <c r="E338" s="16" t="str">
        <f>정규화데이터!E338</f>
        <v>미매핑</v>
      </c>
      <c r="F338" s="3">
        <f>정규화데이터!F338</f>
        <v>1</v>
      </c>
      <c r="G338" s="3">
        <f>정규화데이터!G338</f>
        <v>1</v>
      </c>
      <c r="H338" s="3">
        <f>정규화데이터!H338</f>
        <v>119000</v>
      </c>
      <c r="I338" s="3">
        <f>정규화데이터!I338</f>
        <v>114000</v>
      </c>
      <c r="J338" s="3">
        <f>정규화데이터!J338</f>
        <v>82110</v>
      </c>
      <c r="K338" s="25">
        <f>정규화데이터!K338</f>
        <v>0</v>
      </c>
      <c r="L338" s="25">
        <f>정규화데이터!L338</f>
        <v>82110</v>
      </c>
      <c r="M338" s="21">
        <f t="shared" si="10"/>
        <v>0</v>
      </c>
      <c r="N338" s="52">
        <f t="shared" si="11"/>
        <v>0</v>
      </c>
    </row>
    <row r="339" spans="1:14" x14ac:dyDescent="0.3">
      <c r="A339" t="str">
        <f>정규화데이터!A339</f>
        <v>SK스토아</v>
      </c>
      <c r="B339" t="str">
        <f>정규화데이터!B339</f>
        <v>20260205995345</v>
      </c>
      <c r="C339" t="str">
        <f>정규화데이터!C339</f>
        <v>2026-02-07</v>
      </c>
      <c r="D339" t="str">
        <f>정규화데이터!D339</f>
        <v>58481090</v>
      </c>
      <c r="E339" s="16" t="str">
        <f>정규화데이터!E339</f>
        <v>미매핑</v>
      </c>
      <c r="F339" s="3">
        <f>정규화데이터!F339</f>
        <v>1</v>
      </c>
      <c r="G339" s="3">
        <f>정규화데이터!G339</f>
        <v>1</v>
      </c>
      <c r="H339" s="3">
        <f>정규화데이터!H339</f>
        <v>119000</v>
      </c>
      <c r="I339" s="3">
        <f>정규화데이터!I339</f>
        <v>119000</v>
      </c>
      <c r="J339" s="3">
        <f>정규화데이터!J339</f>
        <v>82110</v>
      </c>
      <c r="K339" s="25">
        <f>정규화데이터!K339</f>
        <v>0</v>
      </c>
      <c r="L339" s="25">
        <f>정규화데이터!L339</f>
        <v>82110</v>
      </c>
      <c r="M339" s="21">
        <f t="shared" si="10"/>
        <v>0</v>
      </c>
      <c r="N339" s="52">
        <f t="shared" si="11"/>
        <v>0</v>
      </c>
    </row>
    <row r="340" spans="1:14" x14ac:dyDescent="0.3">
      <c r="A340" t="str">
        <f>정규화데이터!A340</f>
        <v>SK스토아</v>
      </c>
      <c r="B340" t="str">
        <f>정규화데이터!B340</f>
        <v>20260205994889</v>
      </c>
      <c r="C340" t="str">
        <f>정규화데이터!C340</f>
        <v>2026-02-07</v>
      </c>
      <c r="D340" t="str">
        <f>정규화데이터!D340</f>
        <v>58481090</v>
      </c>
      <c r="E340" s="16" t="str">
        <f>정규화데이터!E340</f>
        <v>미매핑</v>
      </c>
      <c r="F340" s="3">
        <f>정규화데이터!F340</f>
        <v>1</v>
      </c>
      <c r="G340" s="3">
        <f>정규화데이터!G340</f>
        <v>1</v>
      </c>
      <c r="H340" s="3">
        <f>정규화데이터!H340</f>
        <v>119000</v>
      </c>
      <c r="I340" s="3">
        <f>정규화데이터!I340</f>
        <v>119000</v>
      </c>
      <c r="J340" s="3">
        <f>정규화데이터!J340</f>
        <v>82110</v>
      </c>
      <c r="K340" s="25">
        <f>정규화데이터!K340</f>
        <v>0</v>
      </c>
      <c r="L340" s="25">
        <f>정규화데이터!L340</f>
        <v>82110</v>
      </c>
      <c r="M340" s="21">
        <f t="shared" si="10"/>
        <v>0</v>
      </c>
      <c r="N340" s="52">
        <f t="shared" si="11"/>
        <v>0</v>
      </c>
    </row>
    <row r="341" spans="1:14" x14ac:dyDescent="0.3">
      <c r="A341" t="str">
        <f>정규화데이터!A341</f>
        <v>SK스토아</v>
      </c>
      <c r="B341" t="str">
        <f>정규화데이터!B341</f>
        <v>20260205995613</v>
      </c>
      <c r="C341" t="str">
        <f>정규화데이터!C341</f>
        <v>2026-02-07</v>
      </c>
      <c r="D341" t="str">
        <f>정규화데이터!D341</f>
        <v>58481090</v>
      </c>
      <c r="E341" s="16" t="str">
        <f>정규화데이터!E341</f>
        <v>미매핑</v>
      </c>
      <c r="F341" s="3">
        <f>정규화데이터!F341</f>
        <v>1</v>
      </c>
      <c r="G341" s="3">
        <f>정규화데이터!G341</f>
        <v>1</v>
      </c>
      <c r="H341" s="3">
        <f>정규화데이터!H341</f>
        <v>119000</v>
      </c>
      <c r="I341" s="3">
        <f>정규화데이터!I341</f>
        <v>119000</v>
      </c>
      <c r="J341" s="3">
        <f>정규화데이터!J341</f>
        <v>82110</v>
      </c>
      <c r="K341" s="25">
        <f>정규화데이터!K341</f>
        <v>0</v>
      </c>
      <c r="L341" s="25">
        <f>정규화데이터!L341</f>
        <v>82110</v>
      </c>
      <c r="M341" s="21">
        <f t="shared" si="10"/>
        <v>0</v>
      </c>
      <c r="N341" s="52">
        <f t="shared" si="11"/>
        <v>0</v>
      </c>
    </row>
    <row r="342" spans="1:14" x14ac:dyDescent="0.3">
      <c r="A342" t="str">
        <f>정규화데이터!A342</f>
        <v>SK스토아</v>
      </c>
      <c r="B342" t="str">
        <f>정규화데이터!B342</f>
        <v>20260205994040</v>
      </c>
      <c r="C342" t="str">
        <f>정규화데이터!C342</f>
        <v>2026-02-07</v>
      </c>
      <c r="D342" t="str">
        <f>정규화데이터!D342</f>
        <v>58481090</v>
      </c>
      <c r="E342" s="16" t="str">
        <f>정규화데이터!E342</f>
        <v>미매핑</v>
      </c>
      <c r="F342" s="3">
        <f>정규화데이터!F342</f>
        <v>1</v>
      </c>
      <c r="G342" s="3">
        <f>정규화데이터!G342</f>
        <v>1</v>
      </c>
      <c r="H342" s="3">
        <f>정규화데이터!H342</f>
        <v>119000</v>
      </c>
      <c r="I342" s="3">
        <f>정규화데이터!I342</f>
        <v>119000</v>
      </c>
      <c r="J342" s="3">
        <f>정규화데이터!J342</f>
        <v>82110</v>
      </c>
      <c r="K342" s="25">
        <f>정규화데이터!K342</f>
        <v>0</v>
      </c>
      <c r="L342" s="25">
        <f>정규화데이터!L342</f>
        <v>82110</v>
      </c>
      <c r="M342" s="21">
        <f t="shared" si="10"/>
        <v>0</v>
      </c>
      <c r="N342" s="52">
        <f t="shared" si="11"/>
        <v>0</v>
      </c>
    </row>
    <row r="343" spans="1:14" x14ac:dyDescent="0.3">
      <c r="A343" t="str">
        <f>정규화데이터!A343</f>
        <v>SK스토아</v>
      </c>
      <c r="B343" t="str">
        <f>정규화데이터!B343</f>
        <v>20260205995186</v>
      </c>
      <c r="C343" t="str">
        <f>정규화데이터!C343</f>
        <v>2026-02-07</v>
      </c>
      <c r="D343" t="str">
        <f>정규화데이터!D343</f>
        <v>58481090</v>
      </c>
      <c r="E343" s="16" t="str">
        <f>정규화데이터!E343</f>
        <v>미매핑</v>
      </c>
      <c r="F343" s="3">
        <f>정규화데이터!F343</f>
        <v>1</v>
      </c>
      <c r="G343" s="3">
        <f>정규화데이터!G343</f>
        <v>1</v>
      </c>
      <c r="H343" s="3">
        <f>정규화데이터!H343</f>
        <v>119000</v>
      </c>
      <c r="I343" s="3">
        <f>정규화데이터!I343</f>
        <v>119000</v>
      </c>
      <c r="J343" s="3">
        <f>정규화데이터!J343</f>
        <v>82110</v>
      </c>
      <c r="K343" s="25">
        <f>정규화데이터!K343</f>
        <v>0</v>
      </c>
      <c r="L343" s="25">
        <f>정규화데이터!L343</f>
        <v>82110</v>
      </c>
      <c r="M343" s="21">
        <f t="shared" si="10"/>
        <v>0</v>
      </c>
      <c r="N343" s="52">
        <f t="shared" si="11"/>
        <v>0</v>
      </c>
    </row>
    <row r="344" spans="1:14" x14ac:dyDescent="0.3">
      <c r="A344" t="str">
        <f>정규화데이터!A344</f>
        <v>SK스토아</v>
      </c>
      <c r="B344" t="str">
        <f>정규화데이터!B344</f>
        <v>20260205995299</v>
      </c>
      <c r="C344" t="str">
        <f>정규화데이터!C344</f>
        <v>2026-02-07</v>
      </c>
      <c r="D344" t="str">
        <f>정규화데이터!D344</f>
        <v>58481090</v>
      </c>
      <c r="E344" s="16" t="str">
        <f>정규화데이터!E344</f>
        <v>미매핑</v>
      </c>
      <c r="F344" s="3">
        <f>정규화데이터!F344</f>
        <v>1</v>
      </c>
      <c r="G344" s="3">
        <f>정규화데이터!G344</f>
        <v>1</v>
      </c>
      <c r="H344" s="3">
        <f>정규화데이터!H344</f>
        <v>119000</v>
      </c>
      <c r="I344" s="3">
        <f>정규화데이터!I344</f>
        <v>119000</v>
      </c>
      <c r="J344" s="3">
        <f>정규화데이터!J344</f>
        <v>82110</v>
      </c>
      <c r="K344" s="25">
        <f>정규화데이터!K344</f>
        <v>0</v>
      </c>
      <c r="L344" s="25">
        <f>정규화데이터!L344</f>
        <v>82110</v>
      </c>
      <c r="M344" s="21">
        <f t="shared" si="10"/>
        <v>0</v>
      </c>
      <c r="N344" s="52">
        <f t="shared" si="11"/>
        <v>0</v>
      </c>
    </row>
    <row r="345" spans="1:14" x14ac:dyDescent="0.3">
      <c r="A345" t="str">
        <f>정규화데이터!A345</f>
        <v>SK스토아</v>
      </c>
      <c r="B345" t="str">
        <f>정규화데이터!B345</f>
        <v>20260205995316</v>
      </c>
      <c r="C345" t="str">
        <f>정규화데이터!C345</f>
        <v>2026-02-07</v>
      </c>
      <c r="D345" t="str">
        <f>정규화데이터!D345</f>
        <v>58481090</v>
      </c>
      <c r="E345" s="16" t="str">
        <f>정규화데이터!E345</f>
        <v>미매핑</v>
      </c>
      <c r="F345" s="3">
        <f>정규화데이터!F345</f>
        <v>1</v>
      </c>
      <c r="G345" s="3">
        <f>정규화데이터!G345</f>
        <v>1</v>
      </c>
      <c r="H345" s="3">
        <f>정규화데이터!H345</f>
        <v>119000</v>
      </c>
      <c r="I345" s="3">
        <f>정규화데이터!I345</f>
        <v>101150</v>
      </c>
      <c r="J345" s="3">
        <f>정규화데이터!J345</f>
        <v>82110</v>
      </c>
      <c r="K345" s="25">
        <f>정규화데이터!K345</f>
        <v>0</v>
      </c>
      <c r="L345" s="25">
        <f>정규화데이터!L345</f>
        <v>82110</v>
      </c>
      <c r="M345" s="21">
        <f t="shared" si="10"/>
        <v>0</v>
      </c>
      <c r="N345" s="52">
        <f t="shared" si="11"/>
        <v>0</v>
      </c>
    </row>
    <row r="346" spans="1:14" x14ac:dyDescent="0.3">
      <c r="A346" t="str">
        <f>정규화데이터!A346</f>
        <v>SK스토아</v>
      </c>
      <c r="B346" t="str">
        <f>정규화데이터!B346</f>
        <v>20260205994533</v>
      </c>
      <c r="C346" t="str">
        <f>정규화데이터!C346</f>
        <v>2026-02-07</v>
      </c>
      <c r="D346" t="str">
        <f>정규화데이터!D346</f>
        <v>58481090</v>
      </c>
      <c r="E346" s="16" t="str">
        <f>정규화데이터!E346</f>
        <v>미매핑</v>
      </c>
      <c r="F346" s="3">
        <f>정규화데이터!F346</f>
        <v>1</v>
      </c>
      <c r="G346" s="3">
        <f>정규화데이터!G346</f>
        <v>1</v>
      </c>
      <c r="H346" s="3">
        <f>정규화데이터!H346</f>
        <v>119000</v>
      </c>
      <c r="I346" s="3">
        <f>정규화데이터!I346</f>
        <v>119000</v>
      </c>
      <c r="J346" s="3">
        <f>정규화데이터!J346</f>
        <v>82110</v>
      </c>
      <c r="K346" s="25">
        <f>정규화데이터!K346</f>
        <v>0</v>
      </c>
      <c r="L346" s="25">
        <f>정규화데이터!L346</f>
        <v>82110</v>
      </c>
      <c r="M346" s="21">
        <f t="shared" si="10"/>
        <v>0</v>
      </c>
      <c r="N346" s="52">
        <f t="shared" si="11"/>
        <v>0</v>
      </c>
    </row>
    <row r="347" spans="1:14" x14ac:dyDescent="0.3">
      <c r="A347" t="str">
        <f>정규화데이터!A347</f>
        <v>SK스토아</v>
      </c>
      <c r="B347" t="str">
        <f>정규화데이터!B347</f>
        <v>20260205993733</v>
      </c>
      <c r="C347" t="str">
        <f>정규화데이터!C347</f>
        <v>2026-02-07</v>
      </c>
      <c r="D347" t="str">
        <f>정규화데이터!D347</f>
        <v>58481090</v>
      </c>
      <c r="E347" s="16" t="str">
        <f>정규화데이터!E347</f>
        <v>미매핑</v>
      </c>
      <c r="F347" s="3">
        <f>정규화데이터!F347</f>
        <v>1</v>
      </c>
      <c r="G347" s="3">
        <f>정규화데이터!G347</f>
        <v>1</v>
      </c>
      <c r="H347" s="3">
        <f>정규화데이터!H347</f>
        <v>119000</v>
      </c>
      <c r="I347" s="3">
        <f>정규화데이터!I347</f>
        <v>119000</v>
      </c>
      <c r="J347" s="3">
        <f>정규화데이터!J347</f>
        <v>82110</v>
      </c>
      <c r="K347" s="25">
        <f>정규화데이터!K347</f>
        <v>0</v>
      </c>
      <c r="L347" s="25">
        <f>정규화데이터!L347</f>
        <v>82110</v>
      </c>
      <c r="M347" s="21">
        <f t="shared" si="10"/>
        <v>0</v>
      </c>
      <c r="N347" s="52">
        <f t="shared" si="11"/>
        <v>0</v>
      </c>
    </row>
    <row r="348" spans="1:14" x14ac:dyDescent="0.3">
      <c r="A348" t="str">
        <f>정규화데이터!A348</f>
        <v>SK스토아</v>
      </c>
      <c r="B348" t="str">
        <f>정규화데이터!B348</f>
        <v>20260205994835</v>
      </c>
      <c r="C348" t="str">
        <f>정규화데이터!C348</f>
        <v>2026-02-07</v>
      </c>
      <c r="D348" t="str">
        <f>정규화데이터!D348</f>
        <v>58481090</v>
      </c>
      <c r="E348" s="16" t="str">
        <f>정규화데이터!E348</f>
        <v>미매핑</v>
      </c>
      <c r="F348" s="3">
        <f>정규화데이터!F348</f>
        <v>1</v>
      </c>
      <c r="G348" s="3">
        <f>정규화데이터!G348</f>
        <v>1</v>
      </c>
      <c r="H348" s="3">
        <f>정규화데이터!H348</f>
        <v>119000</v>
      </c>
      <c r="I348" s="3">
        <f>정규화데이터!I348</f>
        <v>119000</v>
      </c>
      <c r="J348" s="3">
        <f>정규화데이터!J348</f>
        <v>82110</v>
      </c>
      <c r="K348" s="25">
        <f>정규화데이터!K348</f>
        <v>0</v>
      </c>
      <c r="L348" s="25">
        <f>정규화데이터!L348</f>
        <v>82110</v>
      </c>
      <c r="M348" s="21">
        <f t="shared" si="10"/>
        <v>0</v>
      </c>
      <c r="N348" s="52">
        <f t="shared" si="11"/>
        <v>0</v>
      </c>
    </row>
    <row r="349" spans="1:14" x14ac:dyDescent="0.3">
      <c r="A349" t="str">
        <f>정규화데이터!A349</f>
        <v>SK스토아</v>
      </c>
      <c r="B349" t="str">
        <f>정규화데이터!B349</f>
        <v>20260205994754</v>
      </c>
      <c r="C349" t="str">
        <f>정규화데이터!C349</f>
        <v>2026-02-07</v>
      </c>
      <c r="D349" t="str">
        <f>정규화데이터!D349</f>
        <v>58481090</v>
      </c>
      <c r="E349" s="16" t="str">
        <f>정규화데이터!E349</f>
        <v>미매핑</v>
      </c>
      <c r="F349" s="3">
        <f>정규화데이터!F349</f>
        <v>1</v>
      </c>
      <c r="G349" s="3">
        <f>정규화데이터!G349</f>
        <v>1</v>
      </c>
      <c r="H349" s="3">
        <f>정규화데이터!H349</f>
        <v>119000</v>
      </c>
      <c r="I349" s="3">
        <f>정규화데이터!I349</f>
        <v>119000</v>
      </c>
      <c r="J349" s="3">
        <f>정규화데이터!J349</f>
        <v>82110</v>
      </c>
      <c r="K349" s="25">
        <f>정규화데이터!K349</f>
        <v>0</v>
      </c>
      <c r="L349" s="25">
        <f>정규화데이터!L349</f>
        <v>82110</v>
      </c>
      <c r="M349" s="21">
        <f t="shared" si="10"/>
        <v>0</v>
      </c>
      <c r="N349" s="52">
        <f t="shared" si="11"/>
        <v>0</v>
      </c>
    </row>
    <row r="350" spans="1:14" x14ac:dyDescent="0.3">
      <c r="A350" t="str">
        <f>정규화데이터!A350</f>
        <v>SK스토아</v>
      </c>
      <c r="B350" t="str">
        <f>정규화데이터!B350</f>
        <v>20260205993550</v>
      </c>
      <c r="C350" t="str">
        <f>정규화데이터!C350</f>
        <v>2026-02-07</v>
      </c>
      <c r="D350" t="str">
        <f>정규화데이터!D350</f>
        <v>58481090</v>
      </c>
      <c r="E350" s="16" t="str">
        <f>정규화데이터!E350</f>
        <v>미매핑</v>
      </c>
      <c r="F350" s="3">
        <f>정규화데이터!F350</f>
        <v>1</v>
      </c>
      <c r="G350" s="3">
        <f>정규화데이터!G350</f>
        <v>1</v>
      </c>
      <c r="H350" s="3">
        <f>정규화데이터!H350</f>
        <v>119000</v>
      </c>
      <c r="I350" s="3">
        <f>정규화데이터!I350</f>
        <v>119000</v>
      </c>
      <c r="J350" s="3">
        <f>정규화데이터!J350</f>
        <v>82110</v>
      </c>
      <c r="K350" s="25">
        <f>정규화데이터!K350</f>
        <v>0</v>
      </c>
      <c r="L350" s="25">
        <f>정규화데이터!L350</f>
        <v>82110</v>
      </c>
      <c r="M350" s="21">
        <f t="shared" si="10"/>
        <v>0</v>
      </c>
      <c r="N350" s="52">
        <f t="shared" si="11"/>
        <v>0</v>
      </c>
    </row>
    <row r="351" spans="1:14" x14ac:dyDescent="0.3">
      <c r="A351" t="str">
        <f>정규화데이터!A351</f>
        <v>SK스토아</v>
      </c>
      <c r="B351" t="str">
        <f>정규화데이터!B351</f>
        <v>20260205992544</v>
      </c>
      <c r="C351" t="str">
        <f>정규화데이터!C351</f>
        <v>2026-02-07</v>
      </c>
      <c r="D351" t="str">
        <f>정규화데이터!D351</f>
        <v>58481090</v>
      </c>
      <c r="E351" s="16" t="str">
        <f>정규화데이터!E351</f>
        <v>미매핑</v>
      </c>
      <c r="F351" s="3">
        <f>정규화데이터!F351</f>
        <v>1</v>
      </c>
      <c r="G351" s="3">
        <f>정규화데이터!G351</f>
        <v>1</v>
      </c>
      <c r="H351" s="3">
        <f>정규화데이터!H351</f>
        <v>119000</v>
      </c>
      <c r="I351" s="3">
        <f>정규화데이터!I351</f>
        <v>119000</v>
      </c>
      <c r="J351" s="3">
        <f>정규화데이터!J351</f>
        <v>82110</v>
      </c>
      <c r="K351" s="25">
        <f>정규화데이터!K351</f>
        <v>0</v>
      </c>
      <c r="L351" s="25">
        <f>정규화데이터!L351</f>
        <v>82110</v>
      </c>
      <c r="M351" s="21">
        <f t="shared" si="10"/>
        <v>0</v>
      </c>
      <c r="N351" s="52">
        <f t="shared" si="11"/>
        <v>0</v>
      </c>
    </row>
    <row r="352" spans="1:14" x14ac:dyDescent="0.3">
      <c r="A352" t="str">
        <f>정규화데이터!A352</f>
        <v>SK스토아</v>
      </c>
      <c r="B352" t="str">
        <f>정규화데이터!B352</f>
        <v>20260205992696</v>
      </c>
      <c r="C352" t="str">
        <f>정규화데이터!C352</f>
        <v>2026-02-07</v>
      </c>
      <c r="D352" t="str">
        <f>정규화데이터!D352</f>
        <v>58481090</v>
      </c>
      <c r="E352" s="16" t="str">
        <f>정규화데이터!E352</f>
        <v>미매핑</v>
      </c>
      <c r="F352" s="3">
        <f>정규화데이터!F352</f>
        <v>1</v>
      </c>
      <c r="G352" s="3">
        <f>정규화데이터!G352</f>
        <v>1</v>
      </c>
      <c r="H352" s="3">
        <f>정규화데이터!H352</f>
        <v>119000</v>
      </c>
      <c r="I352" s="3">
        <f>정규화데이터!I352</f>
        <v>119000</v>
      </c>
      <c r="J352" s="3">
        <f>정규화데이터!J352</f>
        <v>82110</v>
      </c>
      <c r="K352" s="25">
        <f>정규화데이터!K352</f>
        <v>0</v>
      </c>
      <c r="L352" s="25">
        <f>정규화데이터!L352</f>
        <v>82110</v>
      </c>
      <c r="M352" s="21">
        <f t="shared" si="10"/>
        <v>0</v>
      </c>
      <c r="N352" s="52">
        <f t="shared" si="11"/>
        <v>0</v>
      </c>
    </row>
    <row r="353" spans="1:14" x14ac:dyDescent="0.3">
      <c r="A353" t="str">
        <f>정규화데이터!A353</f>
        <v>SK스토아</v>
      </c>
      <c r="B353" t="str">
        <f>정규화데이터!B353</f>
        <v>20260205992743</v>
      </c>
      <c r="C353" t="str">
        <f>정규화데이터!C353</f>
        <v>2026-02-07</v>
      </c>
      <c r="D353" t="str">
        <f>정규화데이터!D353</f>
        <v>58481090</v>
      </c>
      <c r="E353" s="16" t="str">
        <f>정규화데이터!E353</f>
        <v>미매핑</v>
      </c>
      <c r="F353" s="3">
        <f>정규화데이터!F353</f>
        <v>1</v>
      </c>
      <c r="G353" s="3">
        <f>정규화데이터!G353</f>
        <v>1</v>
      </c>
      <c r="H353" s="3">
        <f>정규화데이터!H353</f>
        <v>119000</v>
      </c>
      <c r="I353" s="3">
        <f>정규화데이터!I353</f>
        <v>119000</v>
      </c>
      <c r="J353" s="3">
        <f>정규화데이터!J353</f>
        <v>82110</v>
      </c>
      <c r="K353" s="25">
        <f>정규화데이터!K353</f>
        <v>0</v>
      </c>
      <c r="L353" s="25">
        <f>정규화데이터!L353</f>
        <v>82110</v>
      </c>
      <c r="M353" s="21">
        <f t="shared" si="10"/>
        <v>0</v>
      </c>
      <c r="N353" s="52">
        <f t="shared" si="11"/>
        <v>0</v>
      </c>
    </row>
    <row r="354" spans="1:14" x14ac:dyDescent="0.3">
      <c r="A354" t="str">
        <f>정규화데이터!A354</f>
        <v>SK스토아</v>
      </c>
      <c r="B354" t="str">
        <f>정규화데이터!B354</f>
        <v>20260205992739</v>
      </c>
      <c r="C354" t="str">
        <f>정규화데이터!C354</f>
        <v>2026-02-07</v>
      </c>
      <c r="D354" t="str">
        <f>정규화데이터!D354</f>
        <v>58481090</v>
      </c>
      <c r="E354" s="16" t="str">
        <f>정규화데이터!E354</f>
        <v>미매핑</v>
      </c>
      <c r="F354" s="3">
        <f>정규화데이터!F354</f>
        <v>1</v>
      </c>
      <c r="G354" s="3">
        <f>정규화데이터!G354</f>
        <v>1</v>
      </c>
      <c r="H354" s="3">
        <f>정규화데이터!H354</f>
        <v>119000</v>
      </c>
      <c r="I354" s="3">
        <f>정규화데이터!I354</f>
        <v>119000</v>
      </c>
      <c r="J354" s="3">
        <f>정규화데이터!J354</f>
        <v>82110</v>
      </c>
      <c r="K354" s="25">
        <f>정규화데이터!K354</f>
        <v>0</v>
      </c>
      <c r="L354" s="25">
        <f>정규화데이터!L354</f>
        <v>82110</v>
      </c>
      <c r="M354" s="21">
        <f t="shared" si="10"/>
        <v>0</v>
      </c>
      <c r="N354" s="52">
        <f t="shared" si="11"/>
        <v>0</v>
      </c>
    </row>
    <row r="355" spans="1:14" x14ac:dyDescent="0.3">
      <c r="A355" t="str">
        <f>정규화데이터!A355</f>
        <v>SK스토아</v>
      </c>
      <c r="B355" t="str">
        <f>정규화데이터!B355</f>
        <v>20260205992862</v>
      </c>
      <c r="C355" t="str">
        <f>정규화데이터!C355</f>
        <v>2026-02-07</v>
      </c>
      <c r="D355" t="str">
        <f>정규화데이터!D355</f>
        <v>58481090</v>
      </c>
      <c r="E355" s="16" t="str">
        <f>정규화데이터!E355</f>
        <v>미매핑</v>
      </c>
      <c r="F355" s="3">
        <f>정규화데이터!F355</f>
        <v>1</v>
      </c>
      <c r="G355" s="3">
        <f>정규화데이터!G355</f>
        <v>1</v>
      </c>
      <c r="H355" s="3">
        <f>정규화데이터!H355</f>
        <v>119000</v>
      </c>
      <c r="I355" s="3">
        <f>정규화데이터!I355</f>
        <v>119000</v>
      </c>
      <c r="J355" s="3">
        <f>정규화데이터!J355</f>
        <v>82110</v>
      </c>
      <c r="K355" s="25">
        <f>정규화데이터!K355</f>
        <v>0</v>
      </c>
      <c r="L355" s="25">
        <f>정규화데이터!L355</f>
        <v>82110</v>
      </c>
      <c r="M355" s="21">
        <f t="shared" si="10"/>
        <v>0</v>
      </c>
      <c r="N355" s="52">
        <f t="shared" si="11"/>
        <v>0</v>
      </c>
    </row>
    <row r="356" spans="1:14" x14ac:dyDescent="0.3">
      <c r="A356" t="str">
        <f>정규화데이터!A356</f>
        <v>SK스토아</v>
      </c>
      <c r="B356" t="str">
        <f>정규화데이터!B356</f>
        <v>20260205993211</v>
      </c>
      <c r="C356" t="str">
        <f>정규화데이터!C356</f>
        <v>2026-02-07</v>
      </c>
      <c r="D356" t="str">
        <f>정규화데이터!D356</f>
        <v>58481090</v>
      </c>
      <c r="E356" s="16" t="str">
        <f>정규화데이터!E356</f>
        <v>미매핑</v>
      </c>
      <c r="F356" s="3">
        <f>정규화데이터!F356</f>
        <v>1</v>
      </c>
      <c r="G356" s="3">
        <f>정규화데이터!G356</f>
        <v>1</v>
      </c>
      <c r="H356" s="3">
        <f>정규화데이터!H356</f>
        <v>119000</v>
      </c>
      <c r="I356" s="3">
        <f>정규화데이터!I356</f>
        <v>119000</v>
      </c>
      <c r="J356" s="3">
        <f>정규화데이터!J356</f>
        <v>82110</v>
      </c>
      <c r="K356" s="25">
        <f>정규화데이터!K356</f>
        <v>0</v>
      </c>
      <c r="L356" s="25">
        <f>정규화데이터!L356</f>
        <v>82110</v>
      </c>
      <c r="M356" s="21">
        <f t="shared" si="10"/>
        <v>0</v>
      </c>
      <c r="N356" s="52">
        <f t="shared" si="11"/>
        <v>0</v>
      </c>
    </row>
    <row r="357" spans="1:14" x14ac:dyDescent="0.3">
      <c r="A357" t="str">
        <f>정규화데이터!A357</f>
        <v>SK스토아</v>
      </c>
      <c r="B357" t="str">
        <f>정규화데이터!B357</f>
        <v>20260205993118</v>
      </c>
      <c r="C357" t="str">
        <f>정규화데이터!C357</f>
        <v>2026-02-07</v>
      </c>
      <c r="D357" t="str">
        <f>정규화데이터!D357</f>
        <v>58481090</v>
      </c>
      <c r="E357" s="16" t="str">
        <f>정규화데이터!E357</f>
        <v>미매핑</v>
      </c>
      <c r="F357" s="3">
        <f>정규화데이터!F357</f>
        <v>1</v>
      </c>
      <c r="G357" s="3">
        <f>정규화데이터!G357</f>
        <v>1</v>
      </c>
      <c r="H357" s="3">
        <f>정규화데이터!H357</f>
        <v>119000</v>
      </c>
      <c r="I357" s="3">
        <f>정규화데이터!I357</f>
        <v>119000</v>
      </c>
      <c r="J357" s="3">
        <f>정규화데이터!J357</f>
        <v>82110</v>
      </c>
      <c r="K357" s="25">
        <f>정규화데이터!K357</f>
        <v>0</v>
      </c>
      <c r="L357" s="25">
        <f>정규화데이터!L357</f>
        <v>82110</v>
      </c>
      <c r="M357" s="21">
        <f t="shared" si="10"/>
        <v>0</v>
      </c>
      <c r="N357" s="52">
        <f t="shared" si="11"/>
        <v>0</v>
      </c>
    </row>
    <row r="358" spans="1:14" x14ac:dyDescent="0.3">
      <c r="A358" t="str">
        <f>정규화데이터!A358</f>
        <v>SK스토아</v>
      </c>
      <c r="B358" t="str">
        <f>정규화데이터!B358</f>
        <v>20260205993605</v>
      </c>
      <c r="C358" t="str">
        <f>정규화데이터!C358</f>
        <v>2026-02-07</v>
      </c>
      <c r="D358" t="str">
        <f>정규화데이터!D358</f>
        <v>58481090</v>
      </c>
      <c r="E358" s="16" t="str">
        <f>정규화데이터!E358</f>
        <v>미매핑</v>
      </c>
      <c r="F358" s="3">
        <f>정규화데이터!F358</f>
        <v>1</v>
      </c>
      <c r="G358" s="3">
        <f>정규화데이터!G358</f>
        <v>1</v>
      </c>
      <c r="H358" s="3">
        <f>정규화데이터!H358</f>
        <v>119000</v>
      </c>
      <c r="I358" s="3">
        <f>정규화데이터!I358</f>
        <v>119000</v>
      </c>
      <c r="J358" s="3">
        <f>정규화데이터!J358</f>
        <v>82110</v>
      </c>
      <c r="K358" s="25">
        <f>정규화데이터!K358</f>
        <v>0</v>
      </c>
      <c r="L358" s="25">
        <f>정규화데이터!L358</f>
        <v>82110</v>
      </c>
      <c r="M358" s="21">
        <f t="shared" si="10"/>
        <v>0</v>
      </c>
      <c r="N358" s="52">
        <f t="shared" si="11"/>
        <v>0</v>
      </c>
    </row>
    <row r="359" spans="1:14" x14ac:dyDescent="0.3">
      <c r="A359" t="str">
        <f>정규화데이터!A359</f>
        <v>SK스토아</v>
      </c>
      <c r="B359" t="str">
        <f>정규화데이터!B359</f>
        <v>20260205995566</v>
      </c>
      <c r="C359" t="str">
        <f>정규화데이터!C359</f>
        <v>2026-02-07</v>
      </c>
      <c r="D359" t="str">
        <f>정규화데이터!D359</f>
        <v>58481090</v>
      </c>
      <c r="E359" s="16" t="str">
        <f>정규화데이터!E359</f>
        <v>미매핑</v>
      </c>
      <c r="F359" s="3">
        <f>정규화데이터!F359</f>
        <v>1</v>
      </c>
      <c r="G359" s="3">
        <f>정규화데이터!G359</f>
        <v>1</v>
      </c>
      <c r="H359" s="3">
        <f>정규화데이터!H359</f>
        <v>119000</v>
      </c>
      <c r="I359" s="3">
        <f>정규화데이터!I359</f>
        <v>119000</v>
      </c>
      <c r="J359" s="3">
        <f>정규화데이터!J359</f>
        <v>82110</v>
      </c>
      <c r="K359" s="25">
        <f>정규화데이터!K359</f>
        <v>0</v>
      </c>
      <c r="L359" s="25">
        <f>정규화데이터!L359</f>
        <v>82110</v>
      </c>
      <c r="M359" s="21">
        <f t="shared" si="10"/>
        <v>0</v>
      </c>
      <c r="N359" s="52">
        <f t="shared" si="11"/>
        <v>0</v>
      </c>
    </row>
    <row r="360" spans="1:14" x14ac:dyDescent="0.3">
      <c r="A360" t="str">
        <f>정규화데이터!A360</f>
        <v>SK스토아</v>
      </c>
      <c r="B360" t="str">
        <f>정규화데이터!B360</f>
        <v>20260205995554</v>
      </c>
      <c r="C360" t="str">
        <f>정규화데이터!C360</f>
        <v>2026-02-07</v>
      </c>
      <c r="D360" t="str">
        <f>정규화데이터!D360</f>
        <v>58481090</v>
      </c>
      <c r="E360" s="16" t="str">
        <f>정규화데이터!E360</f>
        <v>미매핑</v>
      </c>
      <c r="F360" s="3">
        <f>정규화데이터!F360</f>
        <v>1</v>
      </c>
      <c r="G360" s="3">
        <f>정규화데이터!G360</f>
        <v>1</v>
      </c>
      <c r="H360" s="3">
        <f>정규화데이터!H360</f>
        <v>119000</v>
      </c>
      <c r="I360" s="3">
        <f>정규화데이터!I360</f>
        <v>119000</v>
      </c>
      <c r="J360" s="3">
        <f>정규화데이터!J360</f>
        <v>82110</v>
      </c>
      <c r="K360" s="25">
        <f>정규화데이터!K360</f>
        <v>0</v>
      </c>
      <c r="L360" s="25">
        <f>정규화데이터!L360</f>
        <v>82110</v>
      </c>
      <c r="M360" s="21">
        <f t="shared" si="10"/>
        <v>0</v>
      </c>
      <c r="N360" s="52">
        <f t="shared" si="11"/>
        <v>0</v>
      </c>
    </row>
    <row r="361" spans="1:14" x14ac:dyDescent="0.3">
      <c r="A361" t="str">
        <f>정규화데이터!A361</f>
        <v>SK스토아</v>
      </c>
      <c r="B361" t="str">
        <f>정규화데이터!B361</f>
        <v>20260205995721</v>
      </c>
      <c r="C361" t="str">
        <f>정규화데이터!C361</f>
        <v>2026-02-07</v>
      </c>
      <c r="D361" t="str">
        <f>정규화데이터!D361</f>
        <v>58481090</v>
      </c>
      <c r="E361" s="16" t="str">
        <f>정규화데이터!E361</f>
        <v>미매핑</v>
      </c>
      <c r="F361" s="3">
        <f>정규화데이터!F361</f>
        <v>1</v>
      </c>
      <c r="G361" s="3">
        <f>정규화데이터!G361</f>
        <v>1</v>
      </c>
      <c r="H361" s="3">
        <f>정규화데이터!H361</f>
        <v>119000</v>
      </c>
      <c r="I361" s="3">
        <f>정규화데이터!I361</f>
        <v>99960</v>
      </c>
      <c r="J361" s="3">
        <f>정규화데이터!J361</f>
        <v>82110</v>
      </c>
      <c r="K361" s="25">
        <f>정규화데이터!K361</f>
        <v>0</v>
      </c>
      <c r="L361" s="25">
        <f>정규화데이터!L361</f>
        <v>82110</v>
      </c>
      <c r="M361" s="21">
        <f t="shared" si="10"/>
        <v>0</v>
      </c>
      <c r="N361" s="52">
        <f t="shared" si="11"/>
        <v>0</v>
      </c>
    </row>
    <row r="362" spans="1:14" x14ac:dyDescent="0.3">
      <c r="A362" t="str">
        <f>정규화데이터!A362</f>
        <v>SK스토아</v>
      </c>
      <c r="B362" t="str">
        <f>정규화데이터!B362</f>
        <v>20260205995702</v>
      </c>
      <c r="C362" t="str">
        <f>정규화데이터!C362</f>
        <v>2026-02-07</v>
      </c>
      <c r="D362" t="str">
        <f>정규화데이터!D362</f>
        <v>58481090</v>
      </c>
      <c r="E362" s="16" t="str">
        <f>정규화데이터!E362</f>
        <v>미매핑</v>
      </c>
      <c r="F362" s="3">
        <f>정규화데이터!F362</f>
        <v>1</v>
      </c>
      <c r="G362" s="3">
        <f>정규화데이터!G362</f>
        <v>1</v>
      </c>
      <c r="H362" s="3">
        <f>정규화데이터!H362</f>
        <v>119000</v>
      </c>
      <c r="I362" s="3">
        <f>정규화데이터!I362</f>
        <v>109000</v>
      </c>
      <c r="J362" s="3">
        <f>정규화데이터!J362</f>
        <v>82110</v>
      </c>
      <c r="K362" s="25">
        <f>정규화데이터!K362</f>
        <v>0</v>
      </c>
      <c r="L362" s="25">
        <f>정규화데이터!L362</f>
        <v>82110</v>
      </c>
      <c r="M362" s="21">
        <f t="shared" si="10"/>
        <v>0</v>
      </c>
      <c r="N362" s="52">
        <f t="shared" si="11"/>
        <v>0</v>
      </c>
    </row>
    <row r="363" spans="1:14" x14ac:dyDescent="0.3">
      <c r="A363" t="str">
        <f>정규화데이터!A363</f>
        <v>SK스토아</v>
      </c>
      <c r="B363" t="str">
        <f>정규화데이터!B363</f>
        <v>20260205994054</v>
      </c>
      <c r="C363" t="str">
        <f>정규화데이터!C363</f>
        <v>2026-02-07</v>
      </c>
      <c r="D363" t="str">
        <f>정규화데이터!D363</f>
        <v>58481090</v>
      </c>
      <c r="E363" s="16" t="str">
        <f>정규화데이터!E363</f>
        <v>미매핑</v>
      </c>
      <c r="F363" s="3">
        <f>정규화데이터!F363</f>
        <v>1</v>
      </c>
      <c r="G363" s="3">
        <f>정규화데이터!G363</f>
        <v>1</v>
      </c>
      <c r="H363" s="3">
        <f>정규화데이터!H363</f>
        <v>119000</v>
      </c>
      <c r="I363" s="3">
        <f>정규화데이터!I363</f>
        <v>119000</v>
      </c>
      <c r="J363" s="3">
        <f>정규화데이터!J363</f>
        <v>82110</v>
      </c>
      <c r="K363" s="25">
        <f>정규화데이터!K363</f>
        <v>0</v>
      </c>
      <c r="L363" s="25">
        <f>정규화데이터!L363</f>
        <v>82110</v>
      </c>
      <c r="M363" s="21">
        <f t="shared" si="10"/>
        <v>0</v>
      </c>
      <c r="N363" s="52">
        <f t="shared" si="11"/>
        <v>0</v>
      </c>
    </row>
    <row r="364" spans="1:14" x14ac:dyDescent="0.3">
      <c r="A364" t="str">
        <f>정규화데이터!A364</f>
        <v>SK스토아</v>
      </c>
      <c r="B364" t="str">
        <f>정규화데이터!B364</f>
        <v>20260205995169</v>
      </c>
      <c r="C364" t="str">
        <f>정규화데이터!C364</f>
        <v>2026-02-07</v>
      </c>
      <c r="D364" t="str">
        <f>정규화데이터!D364</f>
        <v>58481090</v>
      </c>
      <c r="E364" s="16" t="str">
        <f>정규화데이터!E364</f>
        <v>미매핑</v>
      </c>
      <c r="F364" s="3">
        <f>정규화데이터!F364</f>
        <v>1</v>
      </c>
      <c r="G364" s="3">
        <f>정규화데이터!G364</f>
        <v>1</v>
      </c>
      <c r="H364" s="3">
        <f>정규화데이터!H364</f>
        <v>119000</v>
      </c>
      <c r="I364" s="3">
        <f>정규화데이터!I364</f>
        <v>119000</v>
      </c>
      <c r="J364" s="3">
        <f>정규화데이터!J364</f>
        <v>82110</v>
      </c>
      <c r="K364" s="25">
        <f>정규화데이터!K364</f>
        <v>0</v>
      </c>
      <c r="L364" s="25">
        <f>정규화데이터!L364</f>
        <v>82110</v>
      </c>
      <c r="M364" s="21">
        <f t="shared" si="10"/>
        <v>0</v>
      </c>
      <c r="N364" s="52">
        <f t="shared" si="11"/>
        <v>0</v>
      </c>
    </row>
    <row r="365" spans="1:14" x14ac:dyDescent="0.3">
      <c r="A365" t="str">
        <f>정규화데이터!A365</f>
        <v>SK스토아</v>
      </c>
      <c r="B365" t="str">
        <f>정규화데이터!B365</f>
        <v>20260205995271</v>
      </c>
      <c r="C365" t="str">
        <f>정규화데이터!C365</f>
        <v>2026-02-07</v>
      </c>
      <c r="D365" t="str">
        <f>정규화데이터!D365</f>
        <v>58481090</v>
      </c>
      <c r="E365" s="16" t="str">
        <f>정규화데이터!E365</f>
        <v>미매핑</v>
      </c>
      <c r="F365" s="3">
        <f>정규화데이터!F365</f>
        <v>1</v>
      </c>
      <c r="G365" s="3">
        <f>정규화데이터!G365</f>
        <v>1</v>
      </c>
      <c r="H365" s="3">
        <f>정규화데이터!H365</f>
        <v>119000</v>
      </c>
      <c r="I365" s="3">
        <f>정규화데이터!I365</f>
        <v>119000</v>
      </c>
      <c r="J365" s="3">
        <f>정규화데이터!J365</f>
        <v>82110</v>
      </c>
      <c r="K365" s="25">
        <f>정규화데이터!K365</f>
        <v>0</v>
      </c>
      <c r="L365" s="25">
        <f>정규화데이터!L365</f>
        <v>82110</v>
      </c>
      <c r="M365" s="21">
        <f t="shared" si="10"/>
        <v>0</v>
      </c>
      <c r="N365" s="52">
        <f t="shared" si="11"/>
        <v>0</v>
      </c>
    </row>
    <row r="366" spans="1:14" x14ac:dyDescent="0.3">
      <c r="A366" t="str">
        <f>정규화데이터!A366</f>
        <v>SK스토아</v>
      </c>
      <c r="B366" t="str">
        <f>정규화데이터!B366</f>
        <v>20260205994328</v>
      </c>
      <c r="C366" t="str">
        <f>정규화데이터!C366</f>
        <v>2026-02-07</v>
      </c>
      <c r="D366" t="str">
        <f>정규화데이터!D366</f>
        <v>58481090</v>
      </c>
      <c r="E366" s="16" t="str">
        <f>정규화데이터!E366</f>
        <v>미매핑</v>
      </c>
      <c r="F366" s="3">
        <f>정규화데이터!F366</f>
        <v>1</v>
      </c>
      <c r="G366" s="3">
        <f>정규화데이터!G366</f>
        <v>1</v>
      </c>
      <c r="H366" s="3">
        <f>정규화데이터!H366</f>
        <v>119000</v>
      </c>
      <c r="I366" s="3">
        <f>정규화데이터!I366</f>
        <v>119000</v>
      </c>
      <c r="J366" s="3">
        <f>정규화데이터!J366</f>
        <v>82110</v>
      </c>
      <c r="K366" s="25">
        <f>정규화데이터!K366</f>
        <v>0</v>
      </c>
      <c r="L366" s="25">
        <f>정규화데이터!L366</f>
        <v>82110</v>
      </c>
      <c r="M366" s="21">
        <f t="shared" si="10"/>
        <v>0</v>
      </c>
      <c r="N366" s="52">
        <f t="shared" si="11"/>
        <v>0</v>
      </c>
    </row>
    <row r="367" spans="1:14" x14ac:dyDescent="0.3">
      <c r="A367" t="str">
        <f>정규화데이터!A367</f>
        <v>SK스토아</v>
      </c>
      <c r="B367" t="str">
        <f>정규화데이터!B367</f>
        <v>20260205994951</v>
      </c>
      <c r="C367" t="str">
        <f>정규화데이터!C367</f>
        <v>2026-02-07</v>
      </c>
      <c r="D367" t="str">
        <f>정규화데이터!D367</f>
        <v>58481090</v>
      </c>
      <c r="E367" s="16" t="str">
        <f>정규화데이터!E367</f>
        <v>미매핑</v>
      </c>
      <c r="F367" s="3">
        <f>정규화데이터!F367</f>
        <v>1</v>
      </c>
      <c r="G367" s="3">
        <f>정규화데이터!G367</f>
        <v>1</v>
      </c>
      <c r="H367" s="3">
        <f>정규화데이터!H367</f>
        <v>119000</v>
      </c>
      <c r="I367" s="3">
        <f>정규화데이터!I367</f>
        <v>119000</v>
      </c>
      <c r="J367" s="3">
        <f>정규화데이터!J367</f>
        <v>82110</v>
      </c>
      <c r="K367" s="25">
        <f>정규화데이터!K367</f>
        <v>0</v>
      </c>
      <c r="L367" s="25">
        <f>정규화데이터!L367</f>
        <v>82110</v>
      </c>
      <c r="M367" s="21">
        <f t="shared" si="10"/>
        <v>0</v>
      </c>
      <c r="N367" s="52">
        <f t="shared" si="11"/>
        <v>0</v>
      </c>
    </row>
    <row r="368" spans="1:14" x14ac:dyDescent="0.3">
      <c r="A368" t="str">
        <f>정규화데이터!A368</f>
        <v>SK스토아</v>
      </c>
      <c r="B368" t="str">
        <f>정규화데이터!B368</f>
        <v>20260205994702</v>
      </c>
      <c r="C368" t="str">
        <f>정규화데이터!C368</f>
        <v>2026-02-07</v>
      </c>
      <c r="D368" t="str">
        <f>정규화데이터!D368</f>
        <v>58481090</v>
      </c>
      <c r="E368" s="16" t="str">
        <f>정규화데이터!E368</f>
        <v>미매핑</v>
      </c>
      <c r="F368" s="3">
        <f>정규화데이터!F368</f>
        <v>1</v>
      </c>
      <c r="G368" s="3">
        <f>정규화데이터!G368</f>
        <v>1</v>
      </c>
      <c r="H368" s="3">
        <f>정규화데이터!H368</f>
        <v>119000</v>
      </c>
      <c r="I368" s="3">
        <f>정규화데이터!I368</f>
        <v>119000</v>
      </c>
      <c r="J368" s="3">
        <f>정규화데이터!J368</f>
        <v>82110</v>
      </c>
      <c r="K368" s="25">
        <f>정규화데이터!K368</f>
        <v>0</v>
      </c>
      <c r="L368" s="25">
        <f>정규화데이터!L368</f>
        <v>82110</v>
      </c>
      <c r="M368" s="21">
        <f t="shared" si="10"/>
        <v>0</v>
      </c>
      <c r="N368" s="52">
        <f t="shared" si="11"/>
        <v>0</v>
      </c>
    </row>
    <row r="369" spans="1:14" x14ac:dyDescent="0.3">
      <c r="A369" t="str">
        <f>정규화데이터!A369</f>
        <v>SK스토아</v>
      </c>
      <c r="B369" t="str">
        <f>정규화데이터!B369</f>
        <v>20260205994682</v>
      </c>
      <c r="C369" t="str">
        <f>정규화데이터!C369</f>
        <v>2026-02-07</v>
      </c>
      <c r="D369" t="str">
        <f>정규화데이터!D369</f>
        <v>58481090</v>
      </c>
      <c r="E369" s="16" t="str">
        <f>정규화데이터!E369</f>
        <v>미매핑</v>
      </c>
      <c r="F369" s="3">
        <f>정규화데이터!F369</f>
        <v>1</v>
      </c>
      <c r="G369" s="3">
        <f>정규화데이터!G369</f>
        <v>1</v>
      </c>
      <c r="H369" s="3">
        <f>정규화데이터!H369</f>
        <v>119000</v>
      </c>
      <c r="I369" s="3">
        <f>정규화데이터!I369</f>
        <v>109000</v>
      </c>
      <c r="J369" s="3">
        <f>정규화데이터!J369</f>
        <v>82110</v>
      </c>
      <c r="K369" s="25">
        <f>정규화데이터!K369</f>
        <v>0</v>
      </c>
      <c r="L369" s="25">
        <f>정규화데이터!L369</f>
        <v>82110</v>
      </c>
      <c r="M369" s="21">
        <f t="shared" si="10"/>
        <v>0</v>
      </c>
      <c r="N369" s="52">
        <f t="shared" si="11"/>
        <v>0</v>
      </c>
    </row>
    <row r="370" spans="1:14" x14ac:dyDescent="0.3">
      <c r="A370" t="str">
        <f>정규화데이터!A370</f>
        <v>SK스토아</v>
      </c>
      <c r="B370" t="str">
        <f>정규화데이터!B370</f>
        <v>20260205994827</v>
      </c>
      <c r="C370" t="str">
        <f>정규화데이터!C370</f>
        <v>2026-02-07</v>
      </c>
      <c r="D370" t="str">
        <f>정규화데이터!D370</f>
        <v>58481090</v>
      </c>
      <c r="E370" s="16" t="str">
        <f>정규화데이터!E370</f>
        <v>미매핑</v>
      </c>
      <c r="F370" s="3">
        <f>정규화데이터!F370</f>
        <v>1</v>
      </c>
      <c r="G370" s="3">
        <f>정규화데이터!G370</f>
        <v>1</v>
      </c>
      <c r="H370" s="3">
        <f>정규화데이터!H370</f>
        <v>119000</v>
      </c>
      <c r="I370" s="3">
        <f>정규화데이터!I370</f>
        <v>119000</v>
      </c>
      <c r="J370" s="3">
        <f>정규화데이터!J370</f>
        <v>82110</v>
      </c>
      <c r="K370" s="25">
        <f>정규화데이터!K370</f>
        <v>0</v>
      </c>
      <c r="L370" s="25">
        <f>정규화데이터!L370</f>
        <v>82110</v>
      </c>
      <c r="M370" s="21">
        <f t="shared" si="10"/>
        <v>0</v>
      </c>
      <c r="N370" s="52">
        <f t="shared" si="11"/>
        <v>0</v>
      </c>
    </row>
    <row r="371" spans="1:14" x14ac:dyDescent="0.3">
      <c r="A371" t="str">
        <f>정규화데이터!A371</f>
        <v>SK스토아</v>
      </c>
      <c r="B371" t="str">
        <f>정규화데이터!B371</f>
        <v>20260205993834</v>
      </c>
      <c r="C371" t="str">
        <f>정규화데이터!C371</f>
        <v>2026-02-07</v>
      </c>
      <c r="D371" t="str">
        <f>정규화데이터!D371</f>
        <v>58481090</v>
      </c>
      <c r="E371" s="16" t="str">
        <f>정규화데이터!E371</f>
        <v>미매핑</v>
      </c>
      <c r="F371" s="3">
        <f>정규화데이터!F371</f>
        <v>1</v>
      </c>
      <c r="G371" s="3">
        <f>정규화데이터!G371</f>
        <v>1</v>
      </c>
      <c r="H371" s="3">
        <f>정규화데이터!H371</f>
        <v>119000</v>
      </c>
      <c r="I371" s="3">
        <f>정규화데이터!I371</f>
        <v>119000</v>
      </c>
      <c r="J371" s="3">
        <f>정규화데이터!J371</f>
        <v>82110</v>
      </c>
      <c r="K371" s="25">
        <f>정규화데이터!K371</f>
        <v>0</v>
      </c>
      <c r="L371" s="25">
        <f>정규화데이터!L371</f>
        <v>82110</v>
      </c>
      <c r="M371" s="21">
        <f t="shared" si="10"/>
        <v>0</v>
      </c>
      <c r="N371" s="52">
        <f t="shared" si="11"/>
        <v>0</v>
      </c>
    </row>
    <row r="372" spans="1:14" x14ac:dyDescent="0.3">
      <c r="A372" t="str">
        <f>정규화데이터!A372</f>
        <v>SK스토아</v>
      </c>
      <c r="B372" t="str">
        <f>정규화데이터!B372</f>
        <v>20260205994440</v>
      </c>
      <c r="C372" t="str">
        <f>정규화데이터!C372</f>
        <v>2026-02-07</v>
      </c>
      <c r="D372" t="str">
        <f>정규화데이터!D372</f>
        <v>58481090</v>
      </c>
      <c r="E372" s="16" t="str">
        <f>정규화데이터!E372</f>
        <v>미매핑</v>
      </c>
      <c r="F372" s="3">
        <f>정규화데이터!F372</f>
        <v>1</v>
      </c>
      <c r="G372" s="3">
        <f>정규화데이터!G372</f>
        <v>1</v>
      </c>
      <c r="H372" s="3">
        <f>정규화데이터!H372</f>
        <v>119000</v>
      </c>
      <c r="I372" s="3">
        <f>정규화데이터!I372</f>
        <v>109000</v>
      </c>
      <c r="J372" s="3">
        <f>정규화데이터!J372</f>
        <v>82110</v>
      </c>
      <c r="K372" s="25">
        <f>정규화데이터!K372</f>
        <v>0</v>
      </c>
      <c r="L372" s="25">
        <f>정규화데이터!L372</f>
        <v>82110</v>
      </c>
      <c r="M372" s="21">
        <f t="shared" si="10"/>
        <v>0</v>
      </c>
      <c r="N372" s="52">
        <f t="shared" si="11"/>
        <v>0</v>
      </c>
    </row>
    <row r="373" spans="1:14" x14ac:dyDescent="0.3">
      <c r="A373" t="str">
        <f>정규화데이터!A373</f>
        <v>SK스토아</v>
      </c>
      <c r="B373" t="str">
        <f>정규화데이터!B373</f>
        <v>20260205002208</v>
      </c>
      <c r="C373" t="str">
        <f>정규화데이터!C373</f>
        <v>2026-02-07</v>
      </c>
      <c r="D373" t="str">
        <f>정규화데이터!D373</f>
        <v>58481090</v>
      </c>
      <c r="E373" s="16" t="str">
        <f>정규화데이터!E373</f>
        <v>미매핑</v>
      </c>
      <c r="F373" s="3">
        <f>정규화데이터!F373</f>
        <v>1</v>
      </c>
      <c r="G373" s="3">
        <f>정규화데이터!G373</f>
        <v>1</v>
      </c>
      <c r="H373" s="3">
        <f>정규화데이터!H373</f>
        <v>119000</v>
      </c>
      <c r="I373" s="3">
        <f>정규화데이터!I373</f>
        <v>119000</v>
      </c>
      <c r="J373" s="3">
        <f>정규화데이터!J373</f>
        <v>82110</v>
      </c>
      <c r="K373" s="25">
        <f>정규화데이터!K373</f>
        <v>0</v>
      </c>
      <c r="L373" s="25">
        <f>정규화데이터!L373</f>
        <v>82110</v>
      </c>
      <c r="M373" s="21">
        <f t="shared" si="10"/>
        <v>0</v>
      </c>
      <c r="N373" s="52">
        <f t="shared" si="11"/>
        <v>0</v>
      </c>
    </row>
    <row r="374" spans="1:14" x14ac:dyDescent="0.3">
      <c r="A374" t="str">
        <f>정규화데이터!A374</f>
        <v>SK스토아</v>
      </c>
      <c r="B374" t="str">
        <f>정규화데이터!B374</f>
        <v>20260205995362</v>
      </c>
      <c r="C374" t="str">
        <f>정규화데이터!C374</f>
        <v>2026-02-07</v>
      </c>
      <c r="D374" t="str">
        <f>정규화데이터!D374</f>
        <v>58481090</v>
      </c>
      <c r="E374" s="16" t="str">
        <f>정규화데이터!E374</f>
        <v>미매핑</v>
      </c>
      <c r="F374" s="3">
        <f>정규화데이터!F374</f>
        <v>1</v>
      </c>
      <c r="G374" s="3">
        <f>정규화데이터!G374</f>
        <v>1</v>
      </c>
      <c r="H374" s="3">
        <f>정규화데이터!H374</f>
        <v>119000</v>
      </c>
      <c r="I374" s="3">
        <f>정규화데이터!I374</f>
        <v>119000</v>
      </c>
      <c r="J374" s="3">
        <f>정규화데이터!J374</f>
        <v>82110</v>
      </c>
      <c r="K374" s="25">
        <f>정규화데이터!K374</f>
        <v>0</v>
      </c>
      <c r="L374" s="25">
        <f>정규화데이터!L374</f>
        <v>82110</v>
      </c>
      <c r="M374" s="21">
        <f t="shared" si="10"/>
        <v>0</v>
      </c>
      <c r="N374" s="52">
        <f t="shared" si="11"/>
        <v>0</v>
      </c>
    </row>
    <row r="375" spans="1:14" x14ac:dyDescent="0.3">
      <c r="A375" t="str">
        <f>정규화데이터!A375</f>
        <v>SK스토아</v>
      </c>
      <c r="B375" t="str">
        <f>정규화데이터!B375</f>
        <v>20260205993973</v>
      </c>
      <c r="C375" t="str">
        <f>정규화데이터!C375</f>
        <v>2026-02-07</v>
      </c>
      <c r="D375" t="str">
        <f>정규화데이터!D375</f>
        <v>58481090</v>
      </c>
      <c r="E375" s="16" t="str">
        <f>정규화데이터!E375</f>
        <v>미매핑</v>
      </c>
      <c r="F375" s="3">
        <f>정규화데이터!F375</f>
        <v>1</v>
      </c>
      <c r="G375" s="3">
        <f>정규화데이터!G375</f>
        <v>1</v>
      </c>
      <c r="H375" s="3">
        <f>정규화데이터!H375</f>
        <v>119000</v>
      </c>
      <c r="I375" s="3">
        <f>정규화데이터!I375</f>
        <v>119000</v>
      </c>
      <c r="J375" s="3">
        <f>정규화데이터!J375</f>
        <v>82110</v>
      </c>
      <c r="K375" s="25">
        <f>정규화데이터!K375</f>
        <v>0</v>
      </c>
      <c r="L375" s="25">
        <f>정규화데이터!L375</f>
        <v>82110</v>
      </c>
      <c r="M375" s="21">
        <f t="shared" si="10"/>
        <v>0</v>
      </c>
      <c r="N375" s="52">
        <f t="shared" si="11"/>
        <v>0</v>
      </c>
    </row>
    <row r="376" spans="1:14" x14ac:dyDescent="0.3">
      <c r="A376" t="str">
        <f>정규화데이터!A376</f>
        <v>SK스토아</v>
      </c>
      <c r="B376" t="str">
        <f>정규화데이터!B376</f>
        <v>20260205994109</v>
      </c>
      <c r="C376" t="str">
        <f>정규화데이터!C376</f>
        <v>2026-02-07</v>
      </c>
      <c r="D376" t="str">
        <f>정규화데이터!D376</f>
        <v>58481090</v>
      </c>
      <c r="E376" s="16" t="str">
        <f>정규화데이터!E376</f>
        <v>미매핑</v>
      </c>
      <c r="F376" s="3">
        <f>정규화데이터!F376</f>
        <v>1</v>
      </c>
      <c r="G376" s="3">
        <f>정규화데이터!G376</f>
        <v>1</v>
      </c>
      <c r="H376" s="3">
        <f>정규화데이터!H376</f>
        <v>119000</v>
      </c>
      <c r="I376" s="3">
        <f>정규화데이터!I376</f>
        <v>119000</v>
      </c>
      <c r="J376" s="3">
        <f>정규화데이터!J376</f>
        <v>82110</v>
      </c>
      <c r="K376" s="25">
        <f>정규화데이터!K376</f>
        <v>0</v>
      </c>
      <c r="L376" s="25">
        <f>정규화데이터!L376</f>
        <v>82110</v>
      </c>
      <c r="M376" s="21">
        <f t="shared" si="10"/>
        <v>0</v>
      </c>
      <c r="N376" s="52">
        <f t="shared" si="11"/>
        <v>0</v>
      </c>
    </row>
    <row r="377" spans="1:14" x14ac:dyDescent="0.3">
      <c r="A377" t="str">
        <f>정규화데이터!A377</f>
        <v>SK스토아</v>
      </c>
      <c r="B377" t="str">
        <f>정규화데이터!B377</f>
        <v>20260205995200</v>
      </c>
      <c r="C377" t="str">
        <f>정규화데이터!C377</f>
        <v>2026-02-07</v>
      </c>
      <c r="D377" t="str">
        <f>정규화데이터!D377</f>
        <v>58481090</v>
      </c>
      <c r="E377" s="16" t="str">
        <f>정규화데이터!E377</f>
        <v>미매핑</v>
      </c>
      <c r="F377" s="3">
        <f>정규화데이터!F377</f>
        <v>1</v>
      </c>
      <c r="G377" s="3">
        <f>정규화데이터!G377</f>
        <v>1</v>
      </c>
      <c r="H377" s="3">
        <f>정규화데이터!H377</f>
        <v>119000</v>
      </c>
      <c r="I377" s="3">
        <f>정규화데이터!I377</f>
        <v>119000</v>
      </c>
      <c r="J377" s="3">
        <f>정규화데이터!J377</f>
        <v>82110</v>
      </c>
      <c r="K377" s="25">
        <f>정규화데이터!K377</f>
        <v>0</v>
      </c>
      <c r="L377" s="25">
        <f>정규화데이터!L377</f>
        <v>82110</v>
      </c>
      <c r="M377" s="21">
        <f t="shared" si="10"/>
        <v>0</v>
      </c>
      <c r="N377" s="52">
        <f t="shared" si="11"/>
        <v>0</v>
      </c>
    </row>
    <row r="378" spans="1:14" x14ac:dyDescent="0.3">
      <c r="A378" t="str">
        <f>정규화데이터!A378</f>
        <v>SK스토아</v>
      </c>
      <c r="B378" t="str">
        <f>정규화데이터!B378</f>
        <v>20260205994357</v>
      </c>
      <c r="C378" t="str">
        <f>정규화데이터!C378</f>
        <v>2026-02-07</v>
      </c>
      <c r="D378" t="str">
        <f>정규화데이터!D378</f>
        <v>58481090</v>
      </c>
      <c r="E378" s="16" t="str">
        <f>정규화데이터!E378</f>
        <v>미매핑</v>
      </c>
      <c r="F378" s="3">
        <f>정규화데이터!F378</f>
        <v>1</v>
      </c>
      <c r="G378" s="3">
        <f>정규화데이터!G378</f>
        <v>1</v>
      </c>
      <c r="H378" s="3">
        <f>정규화데이터!H378</f>
        <v>119000</v>
      </c>
      <c r="I378" s="3">
        <f>정규화데이터!I378</f>
        <v>119000</v>
      </c>
      <c r="J378" s="3">
        <f>정규화데이터!J378</f>
        <v>82110</v>
      </c>
      <c r="K378" s="25">
        <f>정규화데이터!K378</f>
        <v>0</v>
      </c>
      <c r="L378" s="25">
        <f>정규화데이터!L378</f>
        <v>82110</v>
      </c>
      <c r="M378" s="21">
        <f t="shared" si="10"/>
        <v>0</v>
      </c>
      <c r="N378" s="52">
        <f t="shared" si="11"/>
        <v>0</v>
      </c>
    </row>
    <row r="379" spans="1:14" x14ac:dyDescent="0.3">
      <c r="A379" t="str">
        <f>정규화데이터!A379</f>
        <v>SK스토아</v>
      </c>
      <c r="B379" t="str">
        <f>정규화데이터!B379</f>
        <v>20260205994598</v>
      </c>
      <c r="C379" t="str">
        <f>정규화데이터!C379</f>
        <v>2026-02-07</v>
      </c>
      <c r="D379" t="str">
        <f>정규화데이터!D379</f>
        <v>58481090</v>
      </c>
      <c r="E379" s="16" t="str">
        <f>정규화데이터!E379</f>
        <v>미매핑</v>
      </c>
      <c r="F379" s="3">
        <f>정규화데이터!F379</f>
        <v>1</v>
      </c>
      <c r="G379" s="3">
        <f>정규화데이터!G379</f>
        <v>1</v>
      </c>
      <c r="H379" s="3">
        <f>정규화데이터!H379</f>
        <v>119000</v>
      </c>
      <c r="I379" s="3">
        <f>정규화데이터!I379</f>
        <v>119000</v>
      </c>
      <c r="J379" s="3">
        <f>정규화데이터!J379</f>
        <v>82110</v>
      </c>
      <c r="K379" s="25">
        <f>정규화데이터!K379</f>
        <v>0</v>
      </c>
      <c r="L379" s="25">
        <f>정규화데이터!L379</f>
        <v>82110</v>
      </c>
      <c r="M379" s="21">
        <f t="shared" si="10"/>
        <v>0</v>
      </c>
      <c r="N379" s="52">
        <f t="shared" si="11"/>
        <v>0</v>
      </c>
    </row>
    <row r="380" spans="1:14" x14ac:dyDescent="0.3">
      <c r="A380" t="str">
        <f>정규화데이터!A380</f>
        <v>SK스토아</v>
      </c>
      <c r="B380" t="str">
        <f>정규화데이터!B380</f>
        <v>20260205993542</v>
      </c>
      <c r="C380" t="str">
        <f>정규화데이터!C380</f>
        <v>2026-02-07</v>
      </c>
      <c r="D380" t="str">
        <f>정규화데이터!D380</f>
        <v>58481090</v>
      </c>
      <c r="E380" s="16" t="str">
        <f>정규화데이터!E380</f>
        <v>미매핑</v>
      </c>
      <c r="F380" s="3">
        <f>정규화데이터!F380</f>
        <v>1</v>
      </c>
      <c r="G380" s="3">
        <f>정규화데이터!G380</f>
        <v>1</v>
      </c>
      <c r="H380" s="3">
        <f>정규화데이터!H380</f>
        <v>119000</v>
      </c>
      <c r="I380" s="3">
        <f>정규화데이터!I380</f>
        <v>119000</v>
      </c>
      <c r="J380" s="3">
        <f>정규화데이터!J380</f>
        <v>82110</v>
      </c>
      <c r="K380" s="25">
        <f>정규화데이터!K380</f>
        <v>0</v>
      </c>
      <c r="L380" s="25">
        <f>정규화데이터!L380</f>
        <v>82110</v>
      </c>
      <c r="M380" s="21">
        <f t="shared" si="10"/>
        <v>0</v>
      </c>
      <c r="N380" s="52">
        <f t="shared" si="11"/>
        <v>0</v>
      </c>
    </row>
    <row r="381" spans="1:14" x14ac:dyDescent="0.3">
      <c r="A381" t="str">
        <f>정규화데이터!A381</f>
        <v>SK스토아</v>
      </c>
      <c r="B381" t="str">
        <f>정규화데이터!B381</f>
        <v>20260205994528</v>
      </c>
      <c r="C381" t="str">
        <f>정규화데이터!C381</f>
        <v>2026-02-07</v>
      </c>
      <c r="D381" t="str">
        <f>정규화데이터!D381</f>
        <v>58481090</v>
      </c>
      <c r="E381" s="16" t="str">
        <f>정규화데이터!E381</f>
        <v>미매핑</v>
      </c>
      <c r="F381" s="3">
        <f>정규화데이터!F381</f>
        <v>1</v>
      </c>
      <c r="G381" s="3">
        <f>정규화데이터!G381</f>
        <v>1</v>
      </c>
      <c r="H381" s="3">
        <f>정규화데이터!H381</f>
        <v>119000</v>
      </c>
      <c r="I381" s="3">
        <f>정규화데이터!I381</f>
        <v>119000</v>
      </c>
      <c r="J381" s="3">
        <f>정규화데이터!J381</f>
        <v>82110</v>
      </c>
      <c r="K381" s="25">
        <f>정규화데이터!K381</f>
        <v>0</v>
      </c>
      <c r="L381" s="25">
        <f>정규화데이터!L381</f>
        <v>82110</v>
      </c>
      <c r="M381" s="21">
        <f t="shared" si="10"/>
        <v>0</v>
      </c>
      <c r="N381" s="52">
        <f t="shared" si="11"/>
        <v>0</v>
      </c>
    </row>
    <row r="382" spans="1:14" x14ac:dyDescent="0.3">
      <c r="A382" t="str">
        <f>정규화데이터!A382</f>
        <v>SK스토아</v>
      </c>
      <c r="B382" t="str">
        <f>정규화데이터!B382</f>
        <v>20260205994528</v>
      </c>
      <c r="C382" t="str">
        <f>정규화데이터!C382</f>
        <v>2026-02-07</v>
      </c>
      <c r="D382" t="str">
        <f>정규화데이터!D382</f>
        <v>58481090</v>
      </c>
      <c r="E382" s="16" t="str">
        <f>정규화데이터!E382</f>
        <v>미매핑</v>
      </c>
      <c r="F382" s="3">
        <f>정규화데이터!F382</f>
        <v>1</v>
      </c>
      <c r="G382" s="3">
        <f>정규화데이터!G382</f>
        <v>1</v>
      </c>
      <c r="H382" s="3">
        <f>정규화데이터!H382</f>
        <v>119000</v>
      </c>
      <c r="I382" s="3">
        <f>정규화데이터!I382</f>
        <v>119000</v>
      </c>
      <c r="J382" s="3">
        <f>정규화데이터!J382</f>
        <v>82110</v>
      </c>
      <c r="K382" s="25">
        <f>정규화데이터!K382</f>
        <v>0</v>
      </c>
      <c r="L382" s="25">
        <f>정규화데이터!L382</f>
        <v>82110</v>
      </c>
      <c r="M382" s="21">
        <f t="shared" si="10"/>
        <v>0</v>
      </c>
      <c r="N382" s="52">
        <f t="shared" si="11"/>
        <v>0</v>
      </c>
    </row>
    <row r="383" spans="1:14" x14ac:dyDescent="0.3">
      <c r="A383" t="str">
        <f>정규화데이터!A383</f>
        <v>SK스토아</v>
      </c>
      <c r="B383" t="str">
        <f>정규화데이터!B383</f>
        <v>20260205994942</v>
      </c>
      <c r="C383" t="str">
        <f>정규화데이터!C383</f>
        <v>2026-02-07</v>
      </c>
      <c r="D383" t="str">
        <f>정규화데이터!D383</f>
        <v>58481090</v>
      </c>
      <c r="E383" s="16" t="str">
        <f>정규화데이터!E383</f>
        <v>미매핑</v>
      </c>
      <c r="F383" s="3">
        <f>정규화데이터!F383</f>
        <v>1</v>
      </c>
      <c r="G383" s="3">
        <f>정규화데이터!G383</f>
        <v>1</v>
      </c>
      <c r="H383" s="3">
        <f>정규화데이터!H383</f>
        <v>119000</v>
      </c>
      <c r="I383" s="3">
        <f>정규화데이터!I383</f>
        <v>99960</v>
      </c>
      <c r="J383" s="3">
        <f>정규화데이터!J383</f>
        <v>82110</v>
      </c>
      <c r="K383" s="25">
        <f>정규화데이터!K383</f>
        <v>0</v>
      </c>
      <c r="L383" s="25">
        <f>정규화데이터!L383</f>
        <v>82110</v>
      </c>
      <c r="M383" s="21">
        <f t="shared" si="10"/>
        <v>0</v>
      </c>
      <c r="N383" s="52">
        <f t="shared" si="11"/>
        <v>0</v>
      </c>
    </row>
    <row r="384" spans="1:14" x14ac:dyDescent="0.3">
      <c r="A384" t="str">
        <f>정규화데이터!A384</f>
        <v>SK스토아</v>
      </c>
      <c r="B384" t="str">
        <f>정규화데이터!B384</f>
        <v>20260205994610</v>
      </c>
      <c r="C384" t="str">
        <f>정규화데이터!C384</f>
        <v>2026-02-07</v>
      </c>
      <c r="D384" t="str">
        <f>정규화데이터!D384</f>
        <v>58481090</v>
      </c>
      <c r="E384" s="16" t="str">
        <f>정규화데이터!E384</f>
        <v>미매핑</v>
      </c>
      <c r="F384" s="3">
        <f>정규화데이터!F384</f>
        <v>1</v>
      </c>
      <c r="G384" s="3">
        <f>정규화데이터!G384</f>
        <v>1</v>
      </c>
      <c r="H384" s="3">
        <f>정규화데이터!H384</f>
        <v>119000</v>
      </c>
      <c r="I384" s="3">
        <f>정규화데이터!I384</f>
        <v>109000</v>
      </c>
      <c r="J384" s="3">
        <f>정규화데이터!J384</f>
        <v>82110</v>
      </c>
      <c r="K384" s="25">
        <f>정규화데이터!K384</f>
        <v>0</v>
      </c>
      <c r="L384" s="25">
        <f>정규화데이터!L384</f>
        <v>82110</v>
      </c>
      <c r="M384" s="21">
        <f t="shared" si="10"/>
        <v>0</v>
      </c>
      <c r="N384" s="52">
        <f t="shared" si="11"/>
        <v>0</v>
      </c>
    </row>
    <row r="385" spans="1:14" x14ac:dyDescent="0.3">
      <c r="A385" t="str">
        <f>정규화데이터!A385</f>
        <v>SK스토아</v>
      </c>
      <c r="B385" t="str">
        <f>정규화데이터!B385</f>
        <v>20260205992392</v>
      </c>
      <c r="C385" t="str">
        <f>정규화데이터!C385</f>
        <v>2026-02-07</v>
      </c>
      <c r="D385" t="str">
        <f>정규화데이터!D385</f>
        <v>58481090</v>
      </c>
      <c r="E385" s="16" t="str">
        <f>정규화데이터!E385</f>
        <v>미매핑</v>
      </c>
      <c r="F385" s="3">
        <f>정규화데이터!F385</f>
        <v>1</v>
      </c>
      <c r="G385" s="3">
        <f>정규화데이터!G385</f>
        <v>1</v>
      </c>
      <c r="H385" s="3">
        <f>정규화데이터!H385</f>
        <v>119000</v>
      </c>
      <c r="I385" s="3">
        <f>정규화데이터!I385</f>
        <v>119000</v>
      </c>
      <c r="J385" s="3">
        <f>정규화데이터!J385</f>
        <v>82110</v>
      </c>
      <c r="K385" s="25">
        <f>정규화데이터!K385</f>
        <v>0</v>
      </c>
      <c r="L385" s="25">
        <f>정규화데이터!L385</f>
        <v>82110</v>
      </c>
      <c r="M385" s="21">
        <f t="shared" si="10"/>
        <v>0</v>
      </c>
      <c r="N385" s="52">
        <f t="shared" si="11"/>
        <v>0</v>
      </c>
    </row>
    <row r="386" spans="1:14" x14ac:dyDescent="0.3">
      <c r="A386" t="str">
        <f>정규화데이터!A386</f>
        <v>SK스토아</v>
      </c>
      <c r="B386" t="str">
        <f>정규화데이터!B386</f>
        <v>20260205993376</v>
      </c>
      <c r="C386" t="str">
        <f>정규화데이터!C386</f>
        <v>2026-02-07</v>
      </c>
      <c r="D386" t="str">
        <f>정규화데이터!D386</f>
        <v>58481090</v>
      </c>
      <c r="E386" s="16" t="str">
        <f>정규화데이터!E386</f>
        <v>미매핑</v>
      </c>
      <c r="F386" s="3">
        <f>정규화데이터!F386</f>
        <v>1</v>
      </c>
      <c r="G386" s="3">
        <f>정규화데이터!G386</f>
        <v>1</v>
      </c>
      <c r="H386" s="3">
        <f>정규화데이터!H386</f>
        <v>119000</v>
      </c>
      <c r="I386" s="3">
        <f>정규화데이터!I386</f>
        <v>113050</v>
      </c>
      <c r="J386" s="3">
        <f>정규화데이터!J386</f>
        <v>82110</v>
      </c>
      <c r="K386" s="25">
        <f>정규화데이터!K386</f>
        <v>0</v>
      </c>
      <c r="L386" s="25">
        <f>정규화데이터!L386</f>
        <v>82110</v>
      </c>
      <c r="M386" s="21">
        <f t="shared" ref="M386:M449" si="12">J386-L386</f>
        <v>0</v>
      </c>
      <c r="N386" s="52">
        <f t="shared" ref="N386:N449" si="13">IF(J386=0,0,M386/J386)</f>
        <v>0</v>
      </c>
    </row>
    <row r="387" spans="1:14" x14ac:dyDescent="0.3">
      <c r="A387" t="str">
        <f>정규화데이터!A387</f>
        <v>SK스토아</v>
      </c>
      <c r="B387" t="str">
        <f>정규화데이터!B387</f>
        <v>20260205995534</v>
      </c>
      <c r="C387" t="str">
        <f>정규화데이터!C387</f>
        <v>2026-02-07</v>
      </c>
      <c r="D387" t="str">
        <f>정규화데이터!D387</f>
        <v>58481090</v>
      </c>
      <c r="E387" s="16" t="str">
        <f>정규화데이터!E387</f>
        <v>미매핑</v>
      </c>
      <c r="F387" s="3">
        <f>정규화데이터!F387</f>
        <v>1</v>
      </c>
      <c r="G387" s="3">
        <f>정규화데이터!G387</f>
        <v>1</v>
      </c>
      <c r="H387" s="3">
        <f>정규화데이터!H387</f>
        <v>119000</v>
      </c>
      <c r="I387" s="3">
        <f>정규화데이터!I387</f>
        <v>119000</v>
      </c>
      <c r="J387" s="3">
        <f>정규화데이터!J387</f>
        <v>82110</v>
      </c>
      <c r="K387" s="25">
        <f>정규화데이터!K387</f>
        <v>0</v>
      </c>
      <c r="L387" s="25">
        <f>정규화데이터!L387</f>
        <v>82110</v>
      </c>
      <c r="M387" s="21">
        <f t="shared" si="12"/>
        <v>0</v>
      </c>
      <c r="N387" s="52">
        <f t="shared" si="13"/>
        <v>0</v>
      </c>
    </row>
    <row r="388" spans="1:14" x14ac:dyDescent="0.3">
      <c r="A388" t="str">
        <f>정규화데이터!A388</f>
        <v>SK스토아</v>
      </c>
      <c r="B388" t="str">
        <f>정규화데이터!B388</f>
        <v>20260205992635</v>
      </c>
      <c r="C388" t="str">
        <f>정규화데이터!C388</f>
        <v>2026-02-07</v>
      </c>
      <c r="D388" t="str">
        <f>정규화데이터!D388</f>
        <v>58481090</v>
      </c>
      <c r="E388" s="16" t="str">
        <f>정규화데이터!E388</f>
        <v>미매핑</v>
      </c>
      <c r="F388" s="3">
        <f>정규화데이터!F388</f>
        <v>1</v>
      </c>
      <c r="G388" s="3">
        <f>정규화데이터!G388</f>
        <v>1</v>
      </c>
      <c r="H388" s="3">
        <f>정규화데이터!H388</f>
        <v>119000</v>
      </c>
      <c r="I388" s="3">
        <f>정규화데이터!I388</f>
        <v>119000</v>
      </c>
      <c r="J388" s="3">
        <f>정규화데이터!J388</f>
        <v>82110</v>
      </c>
      <c r="K388" s="25">
        <f>정규화데이터!K388</f>
        <v>0</v>
      </c>
      <c r="L388" s="25">
        <f>정규화데이터!L388</f>
        <v>82110</v>
      </c>
      <c r="M388" s="21">
        <f t="shared" si="12"/>
        <v>0</v>
      </c>
      <c r="N388" s="52">
        <f t="shared" si="13"/>
        <v>0</v>
      </c>
    </row>
    <row r="389" spans="1:14" x14ac:dyDescent="0.3">
      <c r="A389" t="str">
        <f>정규화데이터!A389</f>
        <v>SK스토아</v>
      </c>
      <c r="B389" t="str">
        <f>정규화데이터!B389</f>
        <v>20260205993273</v>
      </c>
      <c r="C389" t="str">
        <f>정규화데이터!C389</f>
        <v>2026-02-07</v>
      </c>
      <c r="D389" t="str">
        <f>정규화데이터!D389</f>
        <v>58481090</v>
      </c>
      <c r="E389" s="16" t="str">
        <f>정규화데이터!E389</f>
        <v>미매핑</v>
      </c>
      <c r="F389" s="3">
        <f>정규화데이터!F389</f>
        <v>1</v>
      </c>
      <c r="G389" s="3">
        <f>정규화데이터!G389</f>
        <v>1</v>
      </c>
      <c r="H389" s="3">
        <f>정규화데이터!H389</f>
        <v>119000</v>
      </c>
      <c r="I389" s="3">
        <f>정규화데이터!I389</f>
        <v>119000</v>
      </c>
      <c r="J389" s="3">
        <f>정규화데이터!J389</f>
        <v>82110</v>
      </c>
      <c r="K389" s="25">
        <f>정규화데이터!K389</f>
        <v>0</v>
      </c>
      <c r="L389" s="25">
        <f>정규화데이터!L389</f>
        <v>82110</v>
      </c>
      <c r="M389" s="21">
        <f t="shared" si="12"/>
        <v>0</v>
      </c>
      <c r="N389" s="52">
        <f t="shared" si="13"/>
        <v>0</v>
      </c>
    </row>
    <row r="390" spans="1:14" x14ac:dyDescent="0.3">
      <c r="A390" t="str">
        <f>정규화데이터!A390</f>
        <v>SK스토아</v>
      </c>
      <c r="B390" t="str">
        <f>정규화데이터!B390</f>
        <v>20260205993601</v>
      </c>
      <c r="C390" t="str">
        <f>정규화데이터!C390</f>
        <v>2026-02-07</v>
      </c>
      <c r="D390" t="str">
        <f>정규화데이터!D390</f>
        <v>58481090</v>
      </c>
      <c r="E390" s="16" t="str">
        <f>정규화데이터!E390</f>
        <v>미매핑</v>
      </c>
      <c r="F390" s="3">
        <f>정규화데이터!F390</f>
        <v>1</v>
      </c>
      <c r="G390" s="3">
        <f>정규화데이터!G390</f>
        <v>1</v>
      </c>
      <c r="H390" s="3">
        <f>정규화데이터!H390</f>
        <v>119000</v>
      </c>
      <c r="I390" s="3">
        <f>정규화데이터!I390</f>
        <v>119000</v>
      </c>
      <c r="J390" s="3">
        <f>정규화데이터!J390</f>
        <v>82110</v>
      </c>
      <c r="K390" s="25">
        <f>정규화데이터!K390</f>
        <v>0</v>
      </c>
      <c r="L390" s="25">
        <f>정규화데이터!L390</f>
        <v>82110</v>
      </c>
      <c r="M390" s="21">
        <f t="shared" si="12"/>
        <v>0</v>
      </c>
      <c r="N390" s="52">
        <f t="shared" si="13"/>
        <v>0</v>
      </c>
    </row>
    <row r="391" spans="1:14" x14ac:dyDescent="0.3">
      <c r="A391" t="str">
        <f>정규화데이터!A391</f>
        <v>SK스토아</v>
      </c>
      <c r="B391" t="str">
        <f>정규화데이터!B391</f>
        <v>20260205995425</v>
      </c>
      <c r="C391" t="str">
        <f>정규화데이터!C391</f>
        <v>2026-02-07</v>
      </c>
      <c r="D391" t="str">
        <f>정규화데이터!D391</f>
        <v>58481090</v>
      </c>
      <c r="E391" s="16" t="str">
        <f>정규화데이터!E391</f>
        <v>미매핑</v>
      </c>
      <c r="F391" s="3">
        <f>정규화데이터!F391</f>
        <v>1</v>
      </c>
      <c r="G391" s="3">
        <f>정규화데이터!G391</f>
        <v>1</v>
      </c>
      <c r="H391" s="3">
        <f>정규화데이터!H391</f>
        <v>119000</v>
      </c>
      <c r="I391" s="3">
        <f>정규화데이터!I391</f>
        <v>119000</v>
      </c>
      <c r="J391" s="3">
        <f>정규화데이터!J391</f>
        <v>82110</v>
      </c>
      <c r="K391" s="25">
        <f>정규화데이터!K391</f>
        <v>0</v>
      </c>
      <c r="L391" s="25">
        <f>정규화데이터!L391</f>
        <v>82110</v>
      </c>
      <c r="M391" s="21">
        <f t="shared" si="12"/>
        <v>0</v>
      </c>
      <c r="N391" s="52">
        <f t="shared" si="13"/>
        <v>0</v>
      </c>
    </row>
    <row r="392" spans="1:14" x14ac:dyDescent="0.3">
      <c r="A392" t="str">
        <f>정규화데이터!A392</f>
        <v>SK스토아</v>
      </c>
      <c r="B392" t="str">
        <f>정규화데이터!B392</f>
        <v>20260205995563</v>
      </c>
      <c r="C392" t="str">
        <f>정규화데이터!C392</f>
        <v>2026-02-07</v>
      </c>
      <c r="D392" t="str">
        <f>정규화데이터!D392</f>
        <v>58481090</v>
      </c>
      <c r="E392" s="16" t="str">
        <f>정규화데이터!E392</f>
        <v>미매핑</v>
      </c>
      <c r="F392" s="3">
        <f>정규화데이터!F392</f>
        <v>1</v>
      </c>
      <c r="G392" s="3">
        <f>정규화데이터!G392</f>
        <v>1</v>
      </c>
      <c r="H392" s="3">
        <f>정규화데이터!H392</f>
        <v>119000</v>
      </c>
      <c r="I392" s="3">
        <f>정규화데이터!I392</f>
        <v>119000</v>
      </c>
      <c r="J392" s="3">
        <f>정규화데이터!J392</f>
        <v>82110</v>
      </c>
      <c r="K392" s="25">
        <f>정규화데이터!K392</f>
        <v>0</v>
      </c>
      <c r="L392" s="25">
        <f>정규화데이터!L392</f>
        <v>82110</v>
      </c>
      <c r="M392" s="21">
        <f t="shared" si="12"/>
        <v>0</v>
      </c>
      <c r="N392" s="52">
        <f t="shared" si="13"/>
        <v>0</v>
      </c>
    </row>
    <row r="393" spans="1:14" x14ac:dyDescent="0.3">
      <c r="A393" t="str">
        <f>정규화데이터!A393</f>
        <v>SK스토아</v>
      </c>
      <c r="B393" t="str">
        <f>정규화데이터!B393</f>
        <v>20260205994033</v>
      </c>
      <c r="C393" t="str">
        <f>정규화데이터!C393</f>
        <v>2026-02-07</v>
      </c>
      <c r="D393" t="str">
        <f>정규화데이터!D393</f>
        <v>58481090</v>
      </c>
      <c r="E393" s="16" t="str">
        <f>정규화데이터!E393</f>
        <v>미매핑</v>
      </c>
      <c r="F393" s="3">
        <f>정규화데이터!F393</f>
        <v>1</v>
      </c>
      <c r="G393" s="3">
        <f>정규화데이터!G393</f>
        <v>1</v>
      </c>
      <c r="H393" s="3">
        <f>정규화데이터!H393</f>
        <v>119000</v>
      </c>
      <c r="I393" s="3">
        <f>정규화데이터!I393</f>
        <v>119000</v>
      </c>
      <c r="J393" s="3">
        <f>정규화데이터!J393</f>
        <v>82110</v>
      </c>
      <c r="K393" s="25">
        <f>정규화데이터!K393</f>
        <v>0</v>
      </c>
      <c r="L393" s="25">
        <f>정규화데이터!L393</f>
        <v>82110</v>
      </c>
      <c r="M393" s="21">
        <f t="shared" si="12"/>
        <v>0</v>
      </c>
      <c r="N393" s="52">
        <f t="shared" si="13"/>
        <v>0</v>
      </c>
    </row>
    <row r="394" spans="1:14" x14ac:dyDescent="0.3">
      <c r="A394" t="str">
        <f>정규화데이터!A394</f>
        <v>SK스토아</v>
      </c>
      <c r="B394" t="str">
        <f>정규화데이터!B394</f>
        <v>20260205994274</v>
      </c>
      <c r="C394" t="str">
        <f>정규화데이터!C394</f>
        <v>2026-02-07</v>
      </c>
      <c r="D394" t="str">
        <f>정규화데이터!D394</f>
        <v>58481090</v>
      </c>
      <c r="E394" s="16" t="str">
        <f>정규화데이터!E394</f>
        <v>미매핑</v>
      </c>
      <c r="F394" s="3">
        <f>정규화데이터!F394</f>
        <v>1</v>
      </c>
      <c r="G394" s="3">
        <f>정규화데이터!G394</f>
        <v>1</v>
      </c>
      <c r="H394" s="3">
        <f>정규화데이터!H394</f>
        <v>119000</v>
      </c>
      <c r="I394" s="3">
        <f>정규화데이터!I394</f>
        <v>109000</v>
      </c>
      <c r="J394" s="3">
        <f>정규화데이터!J394</f>
        <v>82110</v>
      </c>
      <c r="K394" s="25">
        <f>정규화데이터!K394</f>
        <v>0</v>
      </c>
      <c r="L394" s="25">
        <f>정규화데이터!L394</f>
        <v>82110</v>
      </c>
      <c r="M394" s="21">
        <f t="shared" si="12"/>
        <v>0</v>
      </c>
      <c r="N394" s="52">
        <f t="shared" si="13"/>
        <v>0</v>
      </c>
    </row>
    <row r="395" spans="1:14" x14ac:dyDescent="0.3">
      <c r="A395" t="str">
        <f>정규화데이터!A395</f>
        <v>SK스토아</v>
      </c>
      <c r="B395" t="str">
        <f>정규화데이터!B395</f>
        <v>20260205993726</v>
      </c>
      <c r="C395" t="str">
        <f>정규화데이터!C395</f>
        <v>2026-02-07</v>
      </c>
      <c r="D395" t="str">
        <f>정규화데이터!D395</f>
        <v>58481090</v>
      </c>
      <c r="E395" s="16" t="str">
        <f>정규화데이터!E395</f>
        <v>미매핑</v>
      </c>
      <c r="F395" s="3">
        <f>정규화데이터!F395</f>
        <v>1</v>
      </c>
      <c r="G395" s="3">
        <f>정규화데이터!G395</f>
        <v>1</v>
      </c>
      <c r="H395" s="3">
        <f>정규화데이터!H395</f>
        <v>119000</v>
      </c>
      <c r="I395" s="3">
        <f>정규화데이터!I395</f>
        <v>113050</v>
      </c>
      <c r="J395" s="3">
        <f>정규화데이터!J395</f>
        <v>82110</v>
      </c>
      <c r="K395" s="25">
        <f>정규화데이터!K395</f>
        <v>0</v>
      </c>
      <c r="L395" s="25">
        <f>정규화데이터!L395</f>
        <v>82110</v>
      </c>
      <c r="M395" s="21">
        <f t="shared" si="12"/>
        <v>0</v>
      </c>
      <c r="N395" s="52">
        <f t="shared" si="13"/>
        <v>0</v>
      </c>
    </row>
    <row r="396" spans="1:14" x14ac:dyDescent="0.3">
      <c r="A396" t="str">
        <f>정규화데이터!A396</f>
        <v>SK스토아</v>
      </c>
      <c r="B396" t="str">
        <f>정규화데이터!B396</f>
        <v>20260205993741</v>
      </c>
      <c r="C396" t="str">
        <f>정규화데이터!C396</f>
        <v>2026-02-07</v>
      </c>
      <c r="D396" t="str">
        <f>정규화데이터!D396</f>
        <v>58481090</v>
      </c>
      <c r="E396" s="16" t="str">
        <f>정규화데이터!E396</f>
        <v>미매핑</v>
      </c>
      <c r="F396" s="3">
        <f>정규화데이터!F396</f>
        <v>1</v>
      </c>
      <c r="G396" s="3">
        <f>정규화데이터!G396</f>
        <v>1</v>
      </c>
      <c r="H396" s="3">
        <f>정규화데이터!H396</f>
        <v>119000</v>
      </c>
      <c r="I396" s="3">
        <f>정규화데이터!I396</f>
        <v>119000</v>
      </c>
      <c r="J396" s="3">
        <f>정규화데이터!J396</f>
        <v>82110</v>
      </c>
      <c r="K396" s="25">
        <f>정규화데이터!K396</f>
        <v>0</v>
      </c>
      <c r="L396" s="25">
        <f>정규화데이터!L396</f>
        <v>82110</v>
      </c>
      <c r="M396" s="21">
        <f t="shared" si="12"/>
        <v>0</v>
      </c>
      <c r="N396" s="52">
        <f t="shared" si="13"/>
        <v>0</v>
      </c>
    </row>
    <row r="397" spans="1:14" x14ac:dyDescent="0.3">
      <c r="A397" t="str">
        <f>정규화데이터!A397</f>
        <v>SK스토아</v>
      </c>
      <c r="B397" t="str">
        <f>정규화데이터!B397</f>
        <v>20260205992788</v>
      </c>
      <c r="C397" t="str">
        <f>정규화데이터!C397</f>
        <v>2026-02-07</v>
      </c>
      <c r="D397" t="str">
        <f>정규화데이터!D397</f>
        <v>58481090</v>
      </c>
      <c r="E397" s="16" t="str">
        <f>정규화데이터!E397</f>
        <v>미매핑</v>
      </c>
      <c r="F397" s="3">
        <f>정규화데이터!F397</f>
        <v>1</v>
      </c>
      <c r="G397" s="3">
        <f>정규화데이터!G397</f>
        <v>1</v>
      </c>
      <c r="H397" s="3">
        <f>정규화데이터!H397</f>
        <v>119000</v>
      </c>
      <c r="I397" s="3">
        <f>정규화데이터!I397</f>
        <v>119000</v>
      </c>
      <c r="J397" s="3">
        <f>정규화데이터!J397</f>
        <v>82110</v>
      </c>
      <c r="K397" s="25">
        <f>정규화데이터!K397</f>
        <v>0</v>
      </c>
      <c r="L397" s="25">
        <f>정규화데이터!L397</f>
        <v>82110</v>
      </c>
      <c r="M397" s="21">
        <f t="shared" si="12"/>
        <v>0</v>
      </c>
      <c r="N397" s="52">
        <f t="shared" si="13"/>
        <v>0</v>
      </c>
    </row>
    <row r="398" spans="1:14" x14ac:dyDescent="0.3">
      <c r="A398" t="str">
        <f>정규화데이터!A398</f>
        <v>SK스토아</v>
      </c>
      <c r="B398" t="str">
        <f>정규화데이터!B398</f>
        <v>20260205993377</v>
      </c>
      <c r="C398" t="str">
        <f>정규화데이터!C398</f>
        <v>2026-02-07</v>
      </c>
      <c r="D398" t="str">
        <f>정규화데이터!D398</f>
        <v>58481090</v>
      </c>
      <c r="E398" s="16" t="str">
        <f>정규화데이터!E398</f>
        <v>미매핑</v>
      </c>
      <c r="F398" s="3">
        <f>정규화데이터!F398</f>
        <v>1</v>
      </c>
      <c r="G398" s="3">
        <f>정규화데이터!G398</f>
        <v>1</v>
      </c>
      <c r="H398" s="3">
        <f>정규화데이터!H398</f>
        <v>119000</v>
      </c>
      <c r="I398" s="3">
        <f>정규화데이터!I398</f>
        <v>113050</v>
      </c>
      <c r="J398" s="3">
        <f>정규화데이터!J398</f>
        <v>82110</v>
      </c>
      <c r="K398" s="25">
        <f>정규화데이터!K398</f>
        <v>0</v>
      </c>
      <c r="L398" s="25">
        <f>정규화데이터!L398</f>
        <v>82110</v>
      </c>
      <c r="M398" s="21">
        <f t="shared" si="12"/>
        <v>0</v>
      </c>
      <c r="N398" s="52">
        <f t="shared" si="13"/>
        <v>0</v>
      </c>
    </row>
    <row r="399" spans="1:14" x14ac:dyDescent="0.3">
      <c r="A399" t="str">
        <f>정규화데이터!A399</f>
        <v>SK스토아</v>
      </c>
      <c r="B399" t="str">
        <f>정규화데이터!B399</f>
        <v>20260205002373</v>
      </c>
      <c r="C399" t="str">
        <f>정규화데이터!C399</f>
        <v>2026-02-07</v>
      </c>
      <c r="D399" t="str">
        <f>정규화데이터!D399</f>
        <v>58481090</v>
      </c>
      <c r="E399" s="16" t="str">
        <f>정규화데이터!E399</f>
        <v>미매핑</v>
      </c>
      <c r="F399" s="3">
        <f>정규화데이터!F399</f>
        <v>1</v>
      </c>
      <c r="G399" s="3">
        <f>정규화데이터!G399</f>
        <v>1</v>
      </c>
      <c r="H399" s="3">
        <f>정규화데이터!H399</f>
        <v>119000</v>
      </c>
      <c r="I399" s="3">
        <f>정규화데이터!I399</f>
        <v>119000</v>
      </c>
      <c r="J399" s="3">
        <f>정규화데이터!J399</f>
        <v>82110</v>
      </c>
      <c r="K399" s="25">
        <f>정규화데이터!K399</f>
        <v>0</v>
      </c>
      <c r="L399" s="25">
        <f>정규화데이터!L399</f>
        <v>82110</v>
      </c>
      <c r="M399" s="21">
        <f t="shared" si="12"/>
        <v>0</v>
      </c>
      <c r="N399" s="52">
        <f t="shared" si="13"/>
        <v>0</v>
      </c>
    </row>
    <row r="400" spans="1:14" x14ac:dyDescent="0.3">
      <c r="A400" t="str">
        <f>정규화데이터!A400</f>
        <v>SK스토아</v>
      </c>
      <c r="B400" t="str">
        <f>정규화데이터!B400</f>
        <v>20260205993491</v>
      </c>
      <c r="C400" t="str">
        <f>정규화데이터!C400</f>
        <v>2026-02-07</v>
      </c>
      <c r="D400" t="str">
        <f>정규화데이터!D400</f>
        <v>58481090</v>
      </c>
      <c r="E400" s="16" t="str">
        <f>정규화데이터!E400</f>
        <v>미매핑</v>
      </c>
      <c r="F400" s="3">
        <f>정규화데이터!F400</f>
        <v>1</v>
      </c>
      <c r="G400" s="3">
        <f>정규화데이터!G400</f>
        <v>1</v>
      </c>
      <c r="H400" s="3">
        <f>정규화데이터!H400</f>
        <v>119000</v>
      </c>
      <c r="I400" s="3">
        <f>정규화데이터!I400</f>
        <v>119000</v>
      </c>
      <c r="J400" s="3">
        <f>정규화데이터!J400</f>
        <v>82110</v>
      </c>
      <c r="K400" s="25">
        <f>정규화데이터!K400</f>
        <v>0</v>
      </c>
      <c r="L400" s="25">
        <f>정규화데이터!L400</f>
        <v>82110</v>
      </c>
      <c r="M400" s="21">
        <f t="shared" si="12"/>
        <v>0</v>
      </c>
      <c r="N400" s="52">
        <f t="shared" si="13"/>
        <v>0</v>
      </c>
    </row>
    <row r="401" spans="1:14" x14ac:dyDescent="0.3">
      <c r="A401" t="str">
        <f>정규화데이터!A401</f>
        <v>SK스토아</v>
      </c>
      <c r="B401" t="str">
        <f>정규화데이터!B401</f>
        <v>20260205993677</v>
      </c>
      <c r="C401" t="str">
        <f>정규화데이터!C401</f>
        <v>2026-02-07</v>
      </c>
      <c r="D401" t="str">
        <f>정규화데이터!D401</f>
        <v>58481090</v>
      </c>
      <c r="E401" s="16" t="str">
        <f>정규화데이터!E401</f>
        <v>미매핑</v>
      </c>
      <c r="F401" s="3">
        <f>정규화데이터!F401</f>
        <v>1</v>
      </c>
      <c r="G401" s="3">
        <f>정규화데이터!G401</f>
        <v>1</v>
      </c>
      <c r="H401" s="3">
        <f>정규화데이터!H401</f>
        <v>119000</v>
      </c>
      <c r="I401" s="3">
        <f>정규화데이터!I401</f>
        <v>119000</v>
      </c>
      <c r="J401" s="3">
        <f>정규화데이터!J401</f>
        <v>82110</v>
      </c>
      <c r="K401" s="25">
        <f>정규화데이터!K401</f>
        <v>0</v>
      </c>
      <c r="L401" s="25">
        <f>정규화데이터!L401</f>
        <v>82110</v>
      </c>
      <c r="M401" s="21">
        <f t="shared" si="12"/>
        <v>0</v>
      </c>
      <c r="N401" s="52">
        <f t="shared" si="13"/>
        <v>0</v>
      </c>
    </row>
    <row r="402" spans="1:14" x14ac:dyDescent="0.3">
      <c r="A402" t="str">
        <f>정규화데이터!A402</f>
        <v>SK스토아</v>
      </c>
      <c r="B402" t="str">
        <f>정규화데이터!B402</f>
        <v>20260205992889</v>
      </c>
      <c r="C402" t="str">
        <f>정규화데이터!C402</f>
        <v>2026-02-07</v>
      </c>
      <c r="D402" t="str">
        <f>정규화데이터!D402</f>
        <v>58481090</v>
      </c>
      <c r="E402" s="16" t="str">
        <f>정규화데이터!E402</f>
        <v>미매핑</v>
      </c>
      <c r="F402" s="3">
        <f>정규화데이터!F402</f>
        <v>1</v>
      </c>
      <c r="G402" s="3">
        <f>정규화데이터!G402</f>
        <v>1</v>
      </c>
      <c r="H402" s="3">
        <f>정규화데이터!H402</f>
        <v>119000</v>
      </c>
      <c r="I402" s="3">
        <f>정규화데이터!I402</f>
        <v>99960</v>
      </c>
      <c r="J402" s="3">
        <f>정규화데이터!J402</f>
        <v>82110</v>
      </c>
      <c r="K402" s="25">
        <f>정규화데이터!K402</f>
        <v>0</v>
      </c>
      <c r="L402" s="25">
        <f>정규화데이터!L402</f>
        <v>82110</v>
      </c>
      <c r="M402" s="21">
        <f t="shared" si="12"/>
        <v>0</v>
      </c>
      <c r="N402" s="52">
        <f t="shared" si="13"/>
        <v>0</v>
      </c>
    </row>
    <row r="403" spans="1:14" x14ac:dyDescent="0.3">
      <c r="A403" t="str">
        <f>정규화데이터!A403</f>
        <v>SK스토아</v>
      </c>
      <c r="B403" t="str">
        <f>정규화데이터!B403</f>
        <v>20260205995396</v>
      </c>
      <c r="C403" t="str">
        <f>정규화데이터!C403</f>
        <v>2026-02-07</v>
      </c>
      <c r="D403" t="str">
        <f>정규화데이터!D403</f>
        <v>58481090</v>
      </c>
      <c r="E403" s="16" t="str">
        <f>정규화데이터!E403</f>
        <v>미매핑</v>
      </c>
      <c r="F403" s="3">
        <f>정규화데이터!F403</f>
        <v>1</v>
      </c>
      <c r="G403" s="3">
        <f>정규화데이터!G403</f>
        <v>1</v>
      </c>
      <c r="H403" s="3">
        <f>정규화데이터!H403</f>
        <v>119000</v>
      </c>
      <c r="I403" s="3">
        <f>정규화데이터!I403</f>
        <v>113050</v>
      </c>
      <c r="J403" s="3">
        <f>정규화데이터!J403</f>
        <v>82110</v>
      </c>
      <c r="K403" s="25">
        <f>정규화데이터!K403</f>
        <v>0</v>
      </c>
      <c r="L403" s="25">
        <f>정규화데이터!L403</f>
        <v>82110</v>
      </c>
      <c r="M403" s="21">
        <f t="shared" si="12"/>
        <v>0</v>
      </c>
      <c r="N403" s="52">
        <f t="shared" si="13"/>
        <v>0</v>
      </c>
    </row>
    <row r="404" spans="1:14" x14ac:dyDescent="0.3">
      <c r="A404" t="str">
        <f>정규화데이터!A404</f>
        <v>SK스토아</v>
      </c>
      <c r="B404" t="str">
        <f>정규화데이터!B404</f>
        <v>20260205994136</v>
      </c>
      <c r="C404" t="str">
        <f>정규화데이터!C404</f>
        <v>2026-02-07</v>
      </c>
      <c r="D404" t="str">
        <f>정규화데이터!D404</f>
        <v>58481090</v>
      </c>
      <c r="E404" s="16" t="str">
        <f>정규화데이터!E404</f>
        <v>미매핑</v>
      </c>
      <c r="F404" s="3">
        <f>정규화데이터!F404</f>
        <v>1</v>
      </c>
      <c r="G404" s="3">
        <f>정규화데이터!G404</f>
        <v>1</v>
      </c>
      <c r="H404" s="3">
        <f>정규화데이터!H404</f>
        <v>119000</v>
      </c>
      <c r="I404" s="3">
        <f>정규화데이터!I404</f>
        <v>119000</v>
      </c>
      <c r="J404" s="3">
        <f>정규화데이터!J404</f>
        <v>82110</v>
      </c>
      <c r="K404" s="25">
        <f>정규화데이터!K404</f>
        <v>0</v>
      </c>
      <c r="L404" s="25">
        <f>정규화데이터!L404</f>
        <v>82110</v>
      </c>
      <c r="M404" s="21">
        <f t="shared" si="12"/>
        <v>0</v>
      </c>
      <c r="N404" s="52">
        <f t="shared" si="13"/>
        <v>0</v>
      </c>
    </row>
    <row r="405" spans="1:14" x14ac:dyDescent="0.3">
      <c r="A405" t="str">
        <f>정규화데이터!A405</f>
        <v>SK스토아</v>
      </c>
      <c r="B405" t="str">
        <f>정규화데이터!B405</f>
        <v>20260205994291</v>
      </c>
      <c r="C405" t="str">
        <f>정규화데이터!C405</f>
        <v>2026-02-07</v>
      </c>
      <c r="D405" t="str">
        <f>정규화데이터!D405</f>
        <v>58481090</v>
      </c>
      <c r="E405" s="16" t="str">
        <f>정규화데이터!E405</f>
        <v>미매핑</v>
      </c>
      <c r="F405" s="3">
        <f>정규화데이터!F405</f>
        <v>1</v>
      </c>
      <c r="G405" s="3">
        <f>정규화데이터!G405</f>
        <v>1</v>
      </c>
      <c r="H405" s="3">
        <f>정규화데이터!H405</f>
        <v>119000</v>
      </c>
      <c r="I405" s="3">
        <f>정규화데이터!I405</f>
        <v>119000</v>
      </c>
      <c r="J405" s="3">
        <f>정규화데이터!J405</f>
        <v>82110</v>
      </c>
      <c r="K405" s="25">
        <f>정규화데이터!K405</f>
        <v>0</v>
      </c>
      <c r="L405" s="25">
        <f>정규화데이터!L405</f>
        <v>82110</v>
      </c>
      <c r="M405" s="21">
        <f t="shared" si="12"/>
        <v>0</v>
      </c>
      <c r="N405" s="52">
        <f t="shared" si="13"/>
        <v>0</v>
      </c>
    </row>
    <row r="406" spans="1:14" x14ac:dyDescent="0.3">
      <c r="A406" t="str">
        <f>정규화데이터!A406</f>
        <v>SK스토아</v>
      </c>
      <c r="B406" t="str">
        <f>정규화데이터!B406</f>
        <v>20260205994309</v>
      </c>
      <c r="C406" t="str">
        <f>정규화데이터!C406</f>
        <v>2026-02-07</v>
      </c>
      <c r="D406" t="str">
        <f>정규화데이터!D406</f>
        <v>58481090</v>
      </c>
      <c r="E406" s="16" t="str">
        <f>정규화데이터!E406</f>
        <v>미매핑</v>
      </c>
      <c r="F406" s="3">
        <f>정규화데이터!F406</f>
        <v>1</v>
      </c>
      <c r="G406" s="3">
        <f>정규화데이터!G406</f>
        <v>1</v>
      </c>
      <c r="H406" s="3">
        <f>정규화데이터!H406</f>
        <v>119000</v>
      </c>
      <c r="I406" s="3">
        <f>정규화데이터!I406</f>
        <v>99960</v>
      </c>
      <c r="J406" s="3">
        <f>정규화데이터!J406</f>
        <v>82110</v>
      </c>
      <c r="K406" s="25">
        <f>정규화데이터!K406</f>
        <v>0</v>
      </c>
      <c r="L406" s="25">
        <f>정규화데이터!L406</f>
        <v>82110</v>
      </c>
      <c r="M406" s="21">
        <f t="shared" si="12"/>
        <v>0</v>
      </c>
      <c r="N406" s="52">
        <f t="shared" si="13"/>
        <v>0</v>
      </c>
    </row>
    <row r="407" spans="1:14" x14ac:dyDescent="0.3">
      <c r="A407" t="str">
        <f>정규화데이터!A407</f>
        <v>SK스토아</v>
      </c>
      <c r="B407" t="str">
        <f>정규화데이터!B407</f>
        <v>20260205995304</v>
      </c>
      <c r="C407" t="str">
        <f>정규화데이터!C407</f>
        <v>2026-02-07</v>
      </c>
      <c r="D407" t="str">
        <f>정규화데이터!D407</f>
        <v>58481090</v>
      </c>
      <c r="E407" s="16" t="str">
        <f>정규화데이터!E407</f>
        <v>미매핑</v>
      </c>
      <c r="F407" s="3">
        <f>정규화데이터!F407</f>
        <v>1</v>
      </c>
      <c r="G407" s="3">
        <f>정규화데이터!G407</f>
        <v>1</v>
      </c>
      <c r="H407" s="3">
        <f>정규화데이터!H407</f>
        <v>119000</v>
      </c>
      <c r="I407" s="3">
        <f>정규화데이터!I407</f>
        <v>119000</v>
      </c>
      <c r="J407" s="3">
        <f>정규화데이터!J407</f>
        <v>82110</v>
      </c>
      <c r="K407" s="25">
        <f>정규화데이터!K407</f>
        <v>0</v>
      </c>
      <c r="L407" s="25">
        <f>정규화데이터!L407</f>
        <v>82110</v>
      </c>
      <c r="M407" s="21">
        <f t="shared" si="12"/>
        <v>0</v>
      </c>
      <c r="N407" s="52">
        <f t="shared" si="13"/>
        <v>0</v>
      </c>
    </row>
    <row r="408" spans="1:14" x14ac:dyDescent="0.3">
      <c r="A408" t="str">
        <f>정규화데이터!A408</f>
        <v>SK스토아</v>
      </c>
      <c r="B408" t="str">
        <f>정규화데이터!B408</f>
        <v>20260205994179</v>
      </c>
      <c r="C408" t="str">
        <f>정규화데이터!C408</f>
        <v>2026-02-07</v>
      </c>
      <c r="D408" t="str">
        <f>정규화데이터!D408</f>
        <v>58481090</v>
      </c>
      <c r="E408" s="16" t="str">
        <f>정규화데이터!E408</f>
        <v>미매핑</v>
      </c>
      <c r="F408" s="3">
        <f>정규화데이터!F408</f>
        <v>1</v>
      </c>
      <c r="G408" s="3">
        <f>정규화데이터!G408</f>
        <v>1</v>
      </c>
      <c r="H408" s="3">
        <f>정규화데이터!H408</f>
        <v>119000</v>
      </c>
      <c r="I408" s="3">
        <f>정규화데이터!I408</f>
        <v>119000</v>
      </c>
      <c r="J408" s="3">
        <f>정규화데이터!J408</f>
        <v>82110</v>
      </c>
      <c r="K408" s="25">
        <f>정규화데이터!K408</f>
        <v>0</v>
      </c>
      <c r="L408" s="25">
        <f>정규화데이터!L408</f>
        <v>82110</v>
      </c>
      <c r="M408" s="21">
        <f t="shared" si="12"/>
        <v>0</v>
      </c>
      <c r="N408" s="52">
        <f t="shared" si="13"/>
        <v>0</v>
      </c>
    </row>
    <row r="409" spans="1:14" x14ac:dyDescent="0.3">
      <c r="A409" t="str">
        <f>정규화데이터!A409</f>
        <v>SK스토아</v>
      </c>
      <c r="B409" t="str">
        <f>정규화데이터!B409</f>
        <v>20260205993164</v>
      </c>
      <c r="C409" t="str">
        <f>정규화데이터!C409</f>
        <v>2026-02-07</v>
      </c>
      <c r="D409" t="str">
        <f>정규화데이터!D409</f>
        <v>58481090</v>
      </c>
      <c r="E409" s="16" t="str">
        <f>정규화데이터!E409</f>
        <v>미매핑</v>
      </c>
      <c r="F409" s="3">
        <f>정규화데이터!F409</f>
        <v>1</v>
      </c>
      <c r="G409" s="3">
        <f>정규화데이터!G409</f>
        <v>1</v>
      </c>
      <c r="H409" s="3">
        <f>정규화데이터!H409</f>
        <v>119000</v>
      </c>
      <c r="I409" s="3">
        <f>정규화데이터!I409</f>
        <v>119000</v>
      </c>
      <c r="J409" s="3">
        <f>정규화데이터!J409</f>
        <v>82110</v>
      </c>
      <c r="K409" s="25">
        <f>정규화데이터!K409</f>
        <v>0</v>
      </c>
      <c r="L409" s="25">
        <f>정규화데이터!L409</f>
        <v>82110</v>
      </c>
      <c r="M409" s="21">
        <f t="shared" si="12"/>
        <v>0</v>
      </c>
      <c r="N409" s="52">
        <f t="shared" si="13"/>
        <v>0</v>
      </c>
    </row>
    <row r="410" spans="1:14" x14ac:dyDescent="0.3">
      <c r="A410" t="str">
        <f>정규화데이터!A410</f>
        <v>SK스토아</v>
      </c>
      <c r="B410" t="str">
        <f>정규화데이터!B410</f>
        <v>20260205995833</v>
      </c>
      <c r="C410" t="str">
        <f>정규화데이터!C410</f>
        <v>2026-02-07</v>
      </c>
      <c r="D410" t="str">
        <f>정규화데이터!D410</f>
        <v>58481090</v>
      </c>
      <c r="E410" s="16" t="str">
        <f>정규화데이터!E410</f>
        <v>미매핑</v>
      </c>
      <c r="F410" s="3">
        <f>정규화데이터!F410</f>
        <v>1</v>
      </c>
      <c r="G410" s="3">
        <f>정규화데이터!G410</f>
        <v>1</v>
      </c>
      <c r="H410" s="3">
        <f>정규화데이터!H410</f>
        <v>119000</v>
      </c>
      <c r="I410" s="3">
        <f>정규화데이터!I410</f>
        <v>119000</v>
      </c>
      <c r="J410" s="3">
        <f>정규화데이터!J410</f>
        <v>82110</v>
      </c>
      <c r="K410" s="25">
        <f>정규화데이터!K410</f>
        <v>0</v>
      </c>
      <c r="L410" s="25">
        <f>정규화데이터!L410</f>
        <v>82110</v>
      </c>
      <c r="M410" s="21">
        <f t="shared" si="12"/>
        <v>0</v>
      </c>
      <c r="N410" s="52">
        <f t="shared" si="13"/>
        <v>0</v>
      </c>
    </row>
    <row r="411" spans="1:14" x14ac:dyDescent="0.3">
      <c r="A411" t="str">
        <f>정규화데이터!A411</f>
        <v>SK스토아</v>
      </c>
      <c r="B411" t="str">
        <f>정규화데이터!B411</f>
        <v>20260205994119</v>
      </c>
      <c r="C411" t="str">
        <f>정규화데이터!C411</f>
        <v>2026-02-07</v>
      </c>
      <c r="D411" t="str">
        <f>정규화데이터!D411</f>
        <v>58481090</v>
      </c>
      <c r="E411" s="16" t="str">
        <f>정규화데이터!E411</f>
        <v>미매핑</v>
      </c>
      <c r="F411" s="3">
        <f>정규화데이터!F411</f>
        <v>1</v>
      </c>
      <c r="G411" s="3">
        <f>정규화데이터!G411</f>
        <v>1</v>
      </c>
      <c r="H411" s="3">
        <f>정규화데이터!H411</f>
        <v>119000</v>
      </c>
      <c r="I411" s="3">
        <f>정규화데이터!I411</f>
        <v>119000</v>
      </c>
      <c r="J411" s="3">
        <f>정규화데이터!J411</f>
        <v>82110</v>
      </c>
      <c r="K411" s="25">
        <f>정규화데이터!K411</f>
        <v>0</v>
      </c>
      <c r="L411" s="25">
        <f>정규화데이터!L411</f>
        <v>82110</v>
      </c>
      <c r="M411" s="21">
        <f t="shared" si="12"/>
        <v>0</v>
      </c>
      <c r="N411" s="52">
        <f t="shared" si="13"/>
        <v>0</v>
      </c>
    </row>
    <row r="412" spans="1:14" x14ac:dyDescent="0.3">
      <c r="A412" t="str">
        <f>정규화데이터!A412</f>
        <v>SK스토아</v>
      </c>
      <c r="B412" t="str">
        <f>정규화데이터!B412</f>
        <v>20260205993950</v>
      </c>
      <c r="C412" t="str">
        <f>정규화데이터!C412</f>
        <v>2026-02-07</v>
      </c>
      <c r="D412" t="str">
        <f>정규화데이터!D412</f>
        <v>58481090</v>
      </c>
      <c r="E412" s="16" t="str">
        <f>정규화데이터!E412</f>
        <v>미매핑</v>
      </c>
      <c r="F412" s="3">
        <f>정규화데이터!F412</f>
        <v>1</v>
      </c>
      <c r="G412" s="3">
        <f>정규화데이터!G412</f>
        <v>1</v>
      </c>
      <c r="H412" s="3">
        <f>정규화데이터!H412</f>
        <v>119000</v>
      </c>
      <c r="I412" s="3">
        <f>정규화데이터!I412</f>
        <v>119000</v>
      </c>
      <c r="J412" s="3">
        <f>정규화데이터!J412</f>
        <v>82110</v>
      </c>
      <c r="K412" s="25">
        <f>정규화데이터!K412</f>
        <v>0</v>
      </c>
      <c r="L412" s="25">
        <f>정규화데이터!L412</f>
        <v>82110</v>
      </c>
      <c r="M412" s="21">
        <f t="shared" si="12"/>
        <v>0</v>
      </c>
      <c r="N412" s="52">
        <f t="shared" si="13"/>
        <v>0</v>
      </c>
    </row>
    <row r="413" spans="1:14" x14ac:dyDescent="0.3">
      <c r="A413" t="str">
        <f>정규화데이터!A413</f>
        <v>SK스토아</v>
      </c>
      <c r="B413" t="str">
        <f>정규화데이터!B413</f>
        <v>20260205993318</v>
      </c>
      <c r="C413" t="str">
        <f>정규화데이터!C413</f>
        <v>2026-02-07</v>
      </c>
      <c r="D413" t="str">
        <f>정규화데이터!D413</f>
        <v>58481090</v>
      </c>
      <c r="E413" s="16" t="str">
        <f>정규화데이터!E413</f>
        <v>미매핑</v>
      </c>
      <c r="F413" s="3">
        <f>정규화데이터!F413</f>
        <v>1</v>
      </c>
      <c r="G413" s="3">
        <f>정규화데이터!G413</f>
        <v>1</v>
      </c>
      <c r="H413" s="3">
        <f>정규화데이터!H413</f>
        <v>119000</v>
      </c>
      <c r="I413" s="3">
        <f>정규화데이터!I413</f>
        <v>113050</v>
      </c>
      <c r="J413" s="3">
        <f>정규화데이터!J413</f>
        <v>82110</v>
      </c>
      <c r="K413" s="25">
        <f>정규화데이터!K413</f>
        <v>0</v>
      </c>
      <c r="L413" s="25">
        <f>정규화데이터!L413</f>
        <v>82110</v>
      </c>
      <c r="M413" s="21">
        <f t="shared" si="12"/>
        <v>0</v>
      </c>
      <c r="N413" s="52">
        <f t="shared" si="13"/>
        <v>0</v>
      </c>
    </row>
    <row r="414" spans="1:14" x14ac:dyDescent="0.3">
      <c r="A414" t="str">
        <f>정규화데이터!A414</f>
        <v>SK스토아</v>
      </c>
      <c r="B414" t="str">
        <f>정규화데이터!B414</f>
        <v>20260205992582</v>
      </c>
      <c r="C414" t="str">
        <f>정규화데이터!C414</f>
        <v>2026-02-07</v>
      </c>
      <c r="D414" t="str">
        <f>정규화데이터!D414</f>
        <v>58481090</v>
      </c>
      <c r="E414" s="16" t="str">
        <f>정규화데이터!E414</f>
        <v>미매핑</v>
      </c>
      <c r="F414" s="3">
        <f>정규화데이터!F414</f>
        <v>1</v>
      </c>
      <c r="G414" s="3">
        <f>정규화데이터!G414</f>
        <v>1</v>
      </c>
      <c r="H414" s="3">
        <f>정규화데이터!H414</f>
        <v>119000</v>
      </c>
      <c r="I414" s="3">
        <f>정규화데이터!I414</f>
        <v>119000</v>
      </c>
      <c r="J414" s="3">
        <f>정규화데이터!J414</f>
        <v>82110</v>
      </c>
      <c r="K414" s="25">
        <f>정규화데이터!K414</f>
        <v>0</v>
      </c>
      <c r="L414" s="25">
        <f>정규화데이터!L414</f>
        <v>82110</v>
      </c>
      <c r="M414" s="21">
        <f t="shared" si="12"/>
        <v>0</v>
      </c>
      <c r="N414" s="52">
        <f t="shared" si="13"/>
        <v>0</v>
      </c>
    </row>
    <row r="415" spans="1:14" x14ac:dyDescent="0.3">
      <c r="A415" t="str">
        <f>정규화데이터!A415</f>
        <v>SK스토아</v>
      </c>
      <c r="B415" t="str">
        <f>정규화데이터!B415</f>
        <v>20260205993262</v>
      </c>
      <c r="C415" t="str">
        <f>정규화데이터!C415</f>
        <v>2026-02-07</v>
      </c>
      <c r="D415" t="str">
        <f>정규화데이터!D415</f>
        <v>58481090</v>
      </c>
      <c r="E415" s="16" t="str">
        <f>정규화데이터!E415</f>
        <v>미매핑</v>
      </c>
      <c r="F415" s="3">
        <f>정규화데이터!F415</f>
        <v>1</v>
      </c>
      <c r="G415" s="3">
        <f>정규화데이터!G415</f>
        <v>1</v>
      </c>
      <c r="H415" s="3">
        <f>정규화데이터!H415</f>
        <v>119000</v>
      </c>
      <c r="I415" s="3">
        <f>정규화데이터!I415</f>
        <v>119000</v>
      </c>
      <c r="J415" s="3">
        <f>정규화데이터!J415</f>
        <v>82110</v>
      </c>
      <c r="K415" s="25">
        <f>정규화데이터!K415</f>
        <v>0</v>
      </c>
      <c r="L415" s="25">
        <f>정규화데이터!L415</f>
        <v>82110</v>
      </c>
      <c r="M415" s="21">
        <f t="shared" si="12"/>
        <v>0</v>
      </c>
      <c r="N415" s="52">
        <f t="shared" si="13"/>
        <v>0</v>
      </c>
    </row>
    <row r="416" spans="1:14" x14ac:dyDescent="0.3">
      <c r="A416" t="str">
        <f>정규화데이터!A416</f>
        <v>SK스토아</v>
      </c>
      <c r="B416" t="str">
        <f>정규화데이터!B416</f>
        <v>20260205994495</v>
      </c>
      <c r="C416" t="str">
        <f>정규화데이터!C416</f>
        <v>2026-02-07</v>
      </c>
      <c r="D416" t="str">
        <f>정규화데이터!D416</f>
        <v>58481090</v>
      </c>
      <c r="E416" s="16" t="str">
        <f>정규화데이터!E416</f>
        <v>미매핑</v>
      </c>
      <c r="F416" s="3">
        <f>정규화데이터!F416</f>
        <v>1</v>
      </c>
      <c r="G416" s="3">
        <f>정규화데이터!G416</f>
        <v>1</v>
      </c>
      <c r="H416" s="3">
        <f>정규화데이터!H416</f>
        <v>119000</v>
      </c>
      <c r="I416" s="3">
        <f>정규화데이터!I416</f>
        <v>114000</v>
      </c>
      <c r="J416" s="3">
        <f>정규화데이터!J416</f>
        <v>82110</v>
      </c>
      <c r="K416" s="25">
        <f>정규화데이터!K416</f>
        <v>0</v>
      </c>
      <c r="L416" s="25">
        <f>정규화데이터!L416</f>
        <v>82110</v>
      </c>
      <c r="M416" s="21">
        <f t="shared" si="12"/>
        <v>0</v>
      </c>
      <c r="N416" s="52">
        <f t="shared" si="13"/>
        <v>0</v>
      </c>
    </row>
    <row r="417" spans="1:14" x14ac:dyDescent="0.3">
      <c r="A417" t="str">
        <f>정규화데이터!A417</f>
        <v>SK스토아</v>
      </c>
      <c r="B417" t="str">
        <f>정규화데이터!B417</f>
        <v>20260205995261</v>
      </c>
      <c r="C417" t="str">
        <f>정규화데이터!C417</f>
        <v>2026-02-07</v>
      </c>
      <c r="D417" t="str">
        <f>정규화데이터!D417</f>
        <v>58481090</v>
      </c>
      <c r="E417" s="16" t="str">
        <f>정규화데이터!E417</f>
        <v>미매핑</v>
      </c>
      <c r="F417" s="3">
        <f>정규화데이터!F417</f>
        <v>1</v>
      </c>
      <c r="G417" s="3">
        <f>정규화데이터!G417</f>
        <v>1</v>
      </c>
      <c r="H417" s="3">
        <f>정규화데이터!H417</f>
        <v>119000</v>
      </c>
      <c r="I417" s="3">
        <f>정규화데이터!I417</f>
        <v>109000</v>
      </c>
      <c r="J417" s="3">
        <f>정규화데이터!J417</f>
        <v>82110</v>
      </c>
      <c r="K417" s="25">
        <f>정규화데이터!K417</f>
        <v>0</v>
      </c>
      <c r="L417" s="25">
        <f>정규화데이터!L417</f>
        <v>82110</v>
      </c>
      <c r="M417" s="21">
        <f t="shared" si="12"/>
        <v>0</v>
      </c>
      <c r="N417" s="52">
        <f t="shared" si="13"/>
        <v>0</v>
      </c>
    </row>
    <row r="418" spans="1:14" x14ac:dyDescent="0.3">
      <c r="A418" t="str">
        <f>정규화데이터!A418</f>
        <v>SK스토아</v>
      </c>
      <c r="B418" t="str">
        <f>정규화데이터!B418</f>
        <v>20260205994416</v>
      </c>
      <c r="C418" t="str">
        <f>정규화데이터!C418</f>
        <v>2026-02-07</v>
      </c>
      <c r="D418" t="str">
        <f>정규화데이터!D418</f>
        <v>58481090</v>
      </c>
      <c r="E418" s="16" t="str">
        <f>정규화데이터!E418</f>
        <v>미매핑</v>
      </c>
      <c r="F418" s="3">
        <f>정규화데이터!F418</f>
        <v>1</v>
      </c>
      <c r="G418" s="3">
        <f>정규화데이터!G418</f>
        <v>1</v>
      </c>
      <c r="H418" s="3">
        <f>정규화데이터!H418</f>
        <v>119000</v>
      </c>
      <c r="I418" s="3">
        <f>정규화데이터!I418</f>
        <v>119000</v>
      </c>
      <c r="J418" s="3">
        <f>정규화데이터!J418</f>
        <v>82110</v>
      </c>
      <c r="K418" s="25">
        <f>정규화데이터!K418</f>
        <v>0</v>
      </c>
      <c r="L418" s="25">
        <f>정규화데이터!L418</f>
        <v>82110</v>
      </c>
      <c r="M418" s="21">
        <f t="shared" si="12"/>
        <v>0</v>
      </c>
      <c r="N418" s="52">
        <f t="shared" si="13"/>
        <v>0</v>
      </c>
    </row>
    <row r="419" spans="1:14" x14ac:dyDescent="0.3">
      <c r="A419" t="str">
        <f>정규화데이터!A419</f>
        <v>SK스토아</v>
      </c>
      <c r="B419" t="str">
        <f>정규화데이터!B419</f>
        <v>20260205994123</v>
      </c>
      <c r="C419" t="str">
        <f>정규화데이터!C419</f>
        <v>2026-02-07</v>
      </c>
      <c r="D419" t="str">
        <f>정규화데이터!D419</f>
        <v>58481090</v>
      </c>
      <c r="E419" s="16" t="str">
        <f>정규화데이터!E419</f>
        <v>미매핑</v>
      </c>
      <c r="F419" s="3">
        <f>정규화데이터!F419</f>
        <v>1</v>
      </c>
      <c r="G419" s="3">
        <f>정규화데이터!G419</f>
        <v>1</v>
      </c>
      <c r="H419" s="3">
        <f>정규화데이터!H419</f>
        <v>119000</v>
      </c>
      <c r="I419" s="3">
        <f>정규화데이터!I419</f>
        <v>119000</v>
      </c>
      <c r="J419" s="3">
        <f>정규화데이터!J419</f>
        <v>82110</v>
      </c>
      <c r="K419" s="25">
        <f>정규화데이터!K419</f>
        <v>0</v>
      </c>
      <c r="L419" s="25">
        <f>정규화데이터!L419</f>
        <v>82110</v>
      </c>
      <c r="M419" s="21">
        <f t="shared" si="12"/>
        <v>0</v>
      </c>
      <c r="N419" s="52">
        <f t="shared" si="13"/>
        <v>0</v>
      </c>
    </row>
    <row r="420" spans="1:14" x14ac:dyDescent="0.3">
      <c r="A420" t="str">
        <f>정규화데이터!A420</f>
        <v>SK스토아</v>
      </c>
      <c r="B420" t="str">
        <f>정규화데이터!B420</f>
        <v>20260205993773</v>
      </c>
      <c r="C420" t="str">
        <f>정규화데이터!C420</f>
        <v>2026-02-07</v>
      </c>
      <c r="D420" t="str">
        <f>정규화데이터!D420</f>
        <v>58481090</v>
      </c>
      <c r="E420" s="16" t="str">
        <f>정규화데이터!E420</f>
        <v>미매핑</v>
      </c>
      <c r="F420" s="3">
        <f>정규화데이터!F420</f>
        <v>1</v>
      </c>
      <c r="G420" s="3">
        <f>정규화데이터!G420</f>
        <v>1</v>
      </c>
      <c r="H420" s="3">
        <f>정규화데이터!H420</f>
        <v>119000</v>
      </c>
      <c r="I420" s="3">
        <f>정규화데이터!I420</f>
        <v>113050</v>
      </c>
      <c r="J420" s="3">
        <f>정규화데이터!J420</f>
        <v>82110</v>
      </c>
      <c r="K420" s="25">
        <f>정규화데이터!K420</f>
        <v>0</v>
      </c>
      <c r="L420" s="25">
        <f>정규화데이터!L420</f>
        <v>82110</v>
      </c>
      <c r="M420" s="21">
        <f t="shared" si="12"/>
        <v>0</v>
      </c>
      <c r="N420" s="52">
        <f t="shared" si="13"/>
        <v>0</v>
      </c>
    </row>
    <row r="421" spans="1:14" x14ac:dyDescent="0.3">
      <c r="A421" t="str">
        <f>정규화데이터!A421</f>
        <v>SK스토아</v>
      </c>
      <c r="B421" t="str">
        <f>정규화데이터!B421</f>
        <v>20260205993527</v>
      </c>
      <c r="C421" t="str">
        <f>정규화데이터!C421</f>
        <v>2026-02-07</v>
      </c>
      <c r="D421" t="str">
        <f>정규화데이터!D421</f>
        <v>58481090</v>
      </c>
      <c r="E421" s="16" t="str">
        <f>정규화데이터!E421</f>
        <v>미매핑</v>
      </c>
      <c r="F421" s="3">
        <f>정규화데이터!F421</f>
        <v>1</v>
      </c>
      <c r="G421" s="3">
        <f>정규화데이터!G421</f>
        <v>1</v>
      </c>
      <c r="H421" s="3">
        <f>정규화데이터!H421</f>
        <v>119000</v>
      </c>
      <c r="I421" s="3">
        <f>정규화데이터!I421</f>
        <v>113050</v>
      </c>
      <c r="J421" s="3">
        <f>정규화데이터!J421</f>
        <v>82110</v>
      </c>
      <c r="K421" s="25">
        <f>정규화데이터!K421</f>
        <v>0</v>
      </c>
      <c r="L421" s="25">
        <f>정규화데이터!L421</f>
        <v>82110</v>
      </c>
      <c r="M421" s="21">
        <f t="shared" si="12"/>
        <v>0</v>
      </c>
      <c r="N421" s="52">
        <f t="shared" si="13"/>
        <v>0</v>
      </c>
    </row>
    <row r="422" spans="1:14" x14ac:dyDescent="0.3">
      <c r="A422" t="str">
        <f>정규화데이터!A422</f>
        <v>SK스토아</v>
      </c>
      <c r="B422" t="str">
        <f>정규화데이터!B422</f>
        <v>20260205993977</v>
      </c>
      <c r="C422" t="str">
        <f>정규화데이터!C422</f>
        <v>2026-02-07</v>
      </c>
      <c r="D422" t="str">
        <f>정규화데이터!D422</f>
        <v>58481090</v>
      </c>
      <c r="E422" s="16" t="str">
        <f>정규화데이터!E422</f>
        <v>미매핑</v>
      </c>
      <c r="F422" s="3">
        <f>정규화데이터!F422</f>
        <v>1</v>
      </c>
      <c r="G422" s="3">
        <f>정규화데이터!G422</f>
        <v>1</v>
      </c>
      <c r="H422" s="3">
        <f>정규화데이터!H422</f>
        <v>119000</v>
      </c>
      <c r="I422" s="3">
        <f>정규화데이터!I422</f>
        <v>119000</v>
      </c>
      <c r="J422" s="3">
        <f>정규화데이터!J422</f>
        <v>82110</v>
      </c>
      <c r="K422" s="25">
        <f>정규화데이터!K422</f>
        <v>0</v>
      </c>
      <c r="L422" s="25">
        <f>정규화데이터!L422</f>
        <v>82110</v>
      </c>
      <c r="M422" s="21">
        <f t="shared" si="12"/>
        <v>0</v>
      </c>
      <c r="N422" s="52">
        <f t="shared" si="13"/>
        <v>0</v>
      </c>
    </row>
    <row r="423" spans="1:14" x14ac:dyDescent="0.3">
      <c r="A423" t="str">
        <f>정규화데이터!A423</f>
        <v>SK스토아</v>
      </c>
      <c r="B423" t="str">
        <f>정규화데이터!B423</f>
        <v>20260205993559</v>
      </c>
      <c r="C423" t="str">
        <f>정규화데이터!C423</f>
        <v>2026-02-07</v>
      </c>
      <c r="D423" t="str">
        <f>정규화데이터!D423</f>
        <v>58481090</v>
      </c>
      <c r="E423" s="16" t="str">
        <f>정규화데이터!E423</f>
        <v>미매핑</v>
      </c>
      <c r="F423" s="3">
        <f>정규화데이터!F423</f>
        <v>1</v>
      </c>
      <c r="G423" s="3">
        <f>정규화데이터!G423</f>
        <v>1</v>
      </c>
      <c r="H423" s="3">
        <f>정규화데이터!H423</f>
        <v>119000</v>
      </c>
      <c r="I423" s="3">
        <f>정규화데이터!I423</f>
        <v>119000</v>
      </c>
      <c r="J423" s="3">
        <f>정규화데이터!J423</f>
        <v>82110</v>
      </c>
      <c r="K423" s="25">
        <f>정규화데이터!K423</f>
        <v>0</v>
      </c>
      <c r="L423" s="25">
        <f>정규화데이터!L423</f>
        <v>82110</v>
      </c>
      <c r="M423" s="21">
        <f t="shared" si="12"/>
        <v>0</v>
      </c>
      <c r="N423" s="52">
        <f t="shared" si="13"/>
        <v>0</v>
      </c>
    </row>
    <row r="424" spans="1:14" x14ac:dyDescent="0.3">
      <c r="A424" t="str">
        <f>정규화데이터!A424</f>
        <v>SK스토아</v>
      </c>
      <c r="B424" t="str">
        <f>정규화데이터!B424</f>
        <v>20260205992777</v>
      </c>
      <c r="C424" t="str">
        <f>정규화데이터!C424</f>
        <v>2026-02-07</v>
      </c>
      <c r="D424" t="str">
        <f>정규화데이터!D424</f>
        <v>58481090</v>
      </c>
      <c r="E424" s="16" t="str">
        <f>정규화데이터!E424</f>
        <v>미매핑</v>
      </c>
      <c r="F424" s="3">
        <f>정규화데이터!F424</f>
        <v>1</v>
      </c>
      <c r="G424" s="3">
        <f>정규화데이터!G424</f>
        <v>1</v>
      </c>
      <c r="H424" s="3">
        <f>정규화데이터!H424</f>
        <v>119000</v>
      </c>
      <c r="I424" s="3">
        <f>정규화데이터!I424</f>
        <v>119000</v>
      </c>
      <c r="J424" s="3">
        <f>정규화데이터!J424</f>
        <v>82110</v>
      </c>
      <c r="K424" s="25">
        <f>정규화데이터!K424</f>
        <v>0</v>
      </c>
      <c r="L424" s="25">
        <f>정규화데이터!L424</f>
        <v>82110</v>
      </c>
      <c r="M424" s="21">
        <f t="shared" si="12"/>
        <v>0</v>
      </c>
      <c r="N424" s="52">
        <f t="shared" si="13"/>
        <v>0</v>
      </c>
    </row>
    <row r="425" spans="1:14" x14ac:dyDescent="0.3">
      <c r="A425" t="str">
        <f>정규화데이터!A425</f>
        <v>SK스토아</v>
      </c>
      <c r="B425" t="str">
        <f>정규화데이터!B425</f>
        <v>20260205992824</v>
      </c>
      <c r="C425" t="str">
        <f>정규화데이터!C425</f>
        <v>2026-02-07</v>
      </c>
      <c r="D425" t="str">
        <f>정규화데이터!D425</f>
        <v>58481090</v>
      </c>
      <c r="E425" s="16" t="str">
        <f>정규화데이터!E425</f>
        <v>미매핑</v>
      </c>
      <c r="F425" s="3">
        <f>정규화데이터!F425</f>
        <v>1</v>
      </c>
      <c r="G425" s="3">
        <f>정규화데이터!G425</f>
        <v>1</v>
      </c>
      <c r="H425" s="3">
        <f>정규화데이터!H425</f>
        <v>119000</v>
      </c>
      <c r="I425" s="3">
        <f>정규화데이터!I425</f>
        <v>119000</v>
      </c>
      <c r="J425" s="3">
        <f>정규화데이터!J425</f>
        <v>82110</v>
      </c>
      <c r="K425" s="25">
        <f>정규화데이터!K425</f>
        <v>0</v>
      </c>
      <c r="L425" s="25">
        <f>정규화데이터!L425</f>
        <v>82110</v>
      </c>
      <c r="M425" s="21">
        <f t="shared" si="12"/>
        <v>0</v>
      </c>
      <c r="N425" s="52">
        <f t="shared" si="13"/>
        <v>0</v>
      </c>
    </row>
    <row r="426" spans="1:14" x14ac:dyDescent="0.3">
      <c r="A426" t="str">
        <f>정규화데이터!A426</f>
        <v>SK스토아</v>
      </c>
      <c r="B426" t="str">
        <f>정규화데이터!B426</f>
        <v>20260205993046</v>
      </c>
      <c r="C426" t="str">
        <f>정규화데이터!C426</f>
        <v>2026-02-07</v>
      </c>
      <c r="D426" t="str">
        <f>정규화데이터!D426</f>
        <v>58481090</v>
      </c>
      <c r="E426" s="16" t="str">
        <f>정규화데이터!E426</f>
        <v>미매핑</v>
      </c>
      <c r="F426" s="3">
        <f>정규화데이터!F426</f>
        <v>1</v>
      </c>
      <c r="G426" s="3">
        <f>정규화데이터!G426</f>
        <v>1</v>
      </c>
      <c r="H426" s="3">
        <f>정규화데이터!H426</f>
        <v>119000</v>
      </c>
      <c r="I426" s="3">
        <f>정규화데이터!I426</f>
        <v>119000</v>
      </c>
      <c r="J426" s="3">
        <f>정규화데이터!J426</f>
        <v>82110</v>
      </c>
      <c r="K426" s="25">
        <f>정규화데이터!K426</f>
        <v>0</v>
      </c>
      <c r="L426" s="25">
        <f>정규화데이터!L426</f>
        <v>82110</v>
      </c>
      <c r="M426" s="21">
        <f t="shared" si="12"/>
        <v>0</v>
      </c>
      <c r="N426" s="52">
        <f t="shared" si="13"/>
        <v>0</v>
      </c>
    </row>
    <row r="427" spans="1:14" x14ac:dyDescent="0.3">
      <c r="A427" t="str">
        <f>정규화데이터!A427</f>
        <v>SK스토아</v>
      </c>
      <c r="B427" t="str">
        <f>정규화데이터!B427</f>
        <v>20260205993001</v>
      </c>
      <c r="C427" t="str">
        <f>정규화데이터!C427</f>
        <v>2026-02-07</v>
      </c>
      <c r="D427" t="str">
        <f>정규화데이터!D427</f>
        <v>58481090</v>
      </c>
      <c r="E427" s="16" t="str">
        <f>정규화데이터!E427</f>
        <v>미매핑</v>
      </c>
      <c r="F427" s="3">
        <f>정규화데이터!F427</f>
        <v>1</v>
      </c>
      <c r="G427" s="3">
        <f>정규화데이터!G427</f>
        <v>1</v>
      </c>
      <c r="H427" s="3">
        <f>정규화데이터!H427</f>
        <v>119000</v>
      </c>
      <c r="I427" s="3">
        <f>정규화데이터!I427</f>
        <v>119000</v>
      </c>
      <c r="J427" s="3">
        <f>정규화데이터!J427</f>
        <v>82110</v>
      </c>
      <c r="K427" s="25">
        <f>정규화데이터!K427</f>
        <v>0</v>
      </c>
      <c r="L427" s="25">
        <f>정규화데이터!L427</f>
        <v>82110</v>
      </c>
      <c r="M427" s="21">
        <f t="shared" si="12"/>
        <v>0</v>
      </c>
      <c r="N427" s="52">
        <f t="shared" si="13"/>
        <v>0</v>
      </c>
    </row>
    <row r="428" spans="1:14" x14ac:dyDescent="0.3">
      <c r="A428" t="str">
        <f>정규화데이터!A428</f>
        <v>SK스토아</v>
      </c>
      <c r="B428" t="str">
        <f>정규화데이터!B428</f>
        <v>20260205993000</v>
      </c>
      <c r="C428" t="str">
        <f>정규화데이터!C428</f>
        <v>2026-02-07</v>
      </c>
      <c r="D428" t="str">
        <f>정규화데이터!D428</f>
        <v>58481090</v>
      </c>
      <c r="E428" s="16" t="str">
        <f>정규화데이터!E428</f>
        <v>미매핑</v>
      </c>
      <c r="F428" s="3">
        <f>정규화데이터!F428</f>
        <v>1</v>
      </c>
      <c r="G428" s="3">
        <f>정규화데이터!G428</f>
        <v>1</v>
      </c>
      <c r="H428" s="3">
        <f>정규화데이터!H428</f>
        <v>119000</v>
      </c>
      <c r="I428" s="3">
        <f>정규화데이터!I428</f>
        <v>119000</v>
      </c>
      <c r="J428" s="3">
        <f>정규화데이터!J428</f>
        <v>82110</v>
      </c>
      <c r="K428" s="25">
        <f>정규화데이터!K428</f>
        <v>0</v>
      </c>
      <c r="L428" s="25">
        <f>정규화데이터!L428</f>
        <v>82110</v>
      </c>
      <c r="M428" s="21">
        <f t="shared" si="12"/>
        <v>0</v>
      </c>
      <c r="N428" s="52">
        <f t="shared" si="13"/>
        <v>0</v>
      </c>
    </row>
    <row r="429" spans="1:14" x14ac:dyDescent="0.3">
      <c r="A429" t="str">
        <f>정규화데이터!A429</f>
        <v>SK스토아</v>
      </c>
      <c r="B429" t="str">
        <f>정규화데이터!B429</f>
        <v>20260205993784</v>
      </c>
      <c r="C429" t="str">
        <f>정규화데이터!C429</f>
        <v>2026-02-07</v>
      </c>
      <c r="D429" t="str">
        <f>정규화데이터!D429</f>
        <v>58481090</v>
      </c>
      <c r="E429" s="16" t="str">
        <f>정규화데이터!E429</f>
        <v>미매핑</v>
      </c>
      <c r="F429" s="3">
        <f>정규화데이터!F429</f>
        <v>1</v>
      </c>
      <c r="G429" s="3">
        <f>정규화데이터!G429</f>
        <v>1</v>
      </c>
      <c r="H429" s="3">
        <f>정규화데이터!H429</f>
        <v>119000</v>
      </c>
      <c r="I429" s="3">
        <f>정규화데이터!I429</f>
        <v>119000</v>
      </c>
      <c r="J429" s="3">
        <f>정규화데이터!J429</f>
        <v>82110</v>
      </c>
      <c r="K429" s="25">
        <f>정규화데이터!K429</f>
        <v>0</v>
      </c>
      <c r="L429" s="25">
        <f>정규화데이터!L429</f>
        <v>82110</v>
      </c>
      <c r="M429" s="21">
        <f t="shared" si="12"/>
        <v>0</v>
      </c>
      <c r="N429" s="52">
        <f t="shared" si="13"/>
        <v>0</v>
      </c>
    </row>
    <row r="430" spans="1:14" x14ac:dyDescent="0.3">
      <c r="A430" t="str">
        <f>정규화데이터!A430</f>
        <v>SK스토아</v>
      </c>
      <c r="B430" t="str">
        <f>정규화데이터!B430</f>
        <v>20260205995541</v>
      </c>
      <c r="C430" t="str">
        <f>정규화데이터!C430</f>
        <v>2026-02-07</v>
      </c>
      <c r="D430" t="str">
        <f>정규화데이터!D430</f>
        <v>58481090</v>
      </c>
      <c r="E430" s="16" t="str">
        <f>정규화데이터!E430</f>
        <v>미매핑</v>
      </c>
      <c r="F430" s="3">
        <f>정규화데이터!F430</f>
        <v>1</v>
      </c>
      <c r="G430" s="3">
        <f>정규화데이터!G430</f>
        <v>1</v>
      </c>
      <c r="H430" s="3">
        <f>정규화데이터!H430</f>
        <v>119000</v>
      </c>
      <c r="I430" s="3">
        <f>정규화데이터!I430</f>
        <v>119000</v>
      </c>
      <c r="J430" s="3">
        <f>정규화데이터!J430</f>
        <v>82110</v>
      </c>
      <c r="K430" s="25">
        <f>정규화데이터!K430</f>
        <v>0</v>
      </c>
      <c r="L430" s="25">
        <f>정규화데이터!L430</f>
        <v>82110</v>
      </c>
      <c r="M430" s="21">
        <f t="shared" si="12"/>
        <v>0</v>
      </c>
      <c r="N430" s="52">
        <f t="shared" si="13"/>
        <v>0</v>
      </c>
    </row>
    <row r="431" spans="1:14" x14ac:dyDescent="0.3">
      <c r="A431" t="str">
        <f>정규화데이터!A431</f>
        <v>SK스토아</v>
      </c>
      <c r="B431" t="str">
        <f>정규화데이터!B431</f>
        <v>20260205995287</v>
      </c>
      <c r="C431" t="str">
        <f>정규화데이터!C431</f>
        <v>2026-02-07</v>
      </c>
      <c r="D431" t="str">
        <f>정규화데이터!D431</f>
        <v>58481090</v>
      </c>
      <c r="E431" s="16" t="str">
        <f>정규화데이터!E431</f>
        <v>미매핑</v>
      </c>
      <c r="F431" s="3">
        <f>정규화데이터!F431</f>
        <v>1</v>
      </c>
      <c r="G431" s="3">
        <f>정규화데이터!G431</f>
        <v>1</v>
      </c>
      <c r="H431" s="3">
        <f>정규화데이터!H431</f>
        <v>119000</v>
      </c>
      <c r="I431" s="3">
        <f>정규화데이터!I431</f>
        <v>119000</v>
      </c>
      <c r="J431" s="3">
        <f>정규화데이터!J431</f>
        <v>82110</v>
      </c>
      <c r="K431" s="25">
        <f>정규화데이터!K431</f>
        <v>0</v>
      </c>
      <c r="L431" s="25">
        <f>정규화데이터!L431</f>
        <v>82110</v>
      </c>
      <c r="M431" s="21">
        <f t="shared" si="12"/>
        <v>0</v>
      </c>
      <c r="N431" s="52">
        <f t="shared" si="13"/>
        <v>0</v>
      </c>
    </row>
    <row r="432" spans="1:14" x14ac:dyDescent="0.3">
      <c r="A432" t="str">
        <f>정규화데이터!A432</f>
        <v>SK스토아</v>
      </c>
      <c r="B432" t="str">
        <f>정규화데이터!B432</f>
        <v>20260205994452</v>
      </c>
      <c r="C432" t="str">
        <f>정규화데이터!C432</f>
        <v>2026-02-07</v>
      </c>
      <c r="D432" t="str">
        <f>정규화데이터!D432</f>
        <v>58481090</v>
      </c>
      <c r="E432" s="16" t="str">
        <f>정규화데이터!E432</f>
        <v>미매핑</v>
      </c>
      <c r="F432" s="3">
        <f>정규화데이터!F432</f>
        <v>1</v>
      </c>
      <c r="G432" s="3">
        <f>정규화데이터!G432</f>
        <v>1</v>
      </c>
      <c r="H432" s="3">
        <f>정규화데이터!H432</f>
        <v>119000</v>
      </c>
      <c r="I432" s="3">
        <f>정규화데이터!I432</f>
        <v>119000</v>
      </c>
      <c r="J432" s="3">
        <f>정규화데이터!J432</f>
        <v>82110</v>
      </c>
      <c r="K432" s="25">
        <f>정규화데이터!K432</f>
        <v>0</v>
      </c>
      <c r="L432" s="25">
        <f>정규화데이터!L432</f>
        <v>82110</v>
      </c>
      <c r="M432" s="21">
        <f t="shared" si="12"/>
        <v>0</v>
      </c>
      <c r="N432" s="52">
        <f t="shared" si="13"/>
        <v>0</v>
      </c>
    </row>
    <row r="433" spans="1:14" x14ac:dyDescent="0.3">
      <c r="A433" t="str">
        <f>정규화데이터!A433</f>
        <v>SK스토아</v>
      </c>
      <c r="B433" t="str">
        <f>정규화데이터!B433</f>
        <v>20260205994705</v>
      </c>
      <c r="C433" t="str">
        <f>정규화데이터!C433</f>
        <v>2026-02-07</v>
      </c>
      <c r="D433" t="str">
        <f>정규화데이터!D433</f>
        <v>58481090</v>
      </c>
      <c r="E433" s="16" t="str">
        <f>정규화데이터!E433</f>
        <v>미매핑</v>
      </c>
      <c r="F433" s="3">
        <f>정규화데이터!F433</f>
        <v>1</v>
      </c>
      <c r="G433" s="3">
        <f>정규화데이터!G433</f>
        <v>1</v>
      </c>
      <c r="H433" s="3">
        <f>정규화데이터!H433</f>
        <v>119000</v>
      </c>
      <c r="I433" s="3">
        <f>정규화데이터!I433</f>
        <v>119000</v>
      </c>
      <c r="J433" s="3">
        <f>정규화데이터!J433</f>
        <v>82110</v>
      </c>
      <c r="K433" s="25">
        <f>정규화데이터!K433</f>
        <v>0</v>
      </c>
      <c r="L433" s="25">
        <f>정규화데이터!L433</f>
        <v>82110</v>
      </c>
      <c r="M433" s="21">
        <f t="shared" si="12"/>
        <v>0</v>
      </c>
      <c r="N433" s="52">
        <f t="shared" si="13"/>
        <v>0</v>
      </c>
    </row>
    <row r="434" spans="1:14" x14ac:dyDescent="0.3">
      <c r="A434" t="str">
        <f>정규화데이터!A434</f>
        <v>SK스토아</v>
      </c>
      <c r="B434" t="str">
        <f>정규화데이터!B434</f>
        <v>20260205995017</v>
      </c>
      <c r="C434" t="str">
        <f>정규화데이터!C434</f>
        <v>2026-02-07</v>
      </c>
      <c r="D434" t="str">
        <f>정규화데이터!D434</f>
        <v>58481090</v>
      </c>
      <c r="E434" s="16" t="str">
        <f>정규화데이터!E434</f>
        <v>미매핑</v>
      </c>
      <c r="F434" s="3">
        <f>정규화데이터!F434</f>
        <v>1</v>
      </c>
      <c r="G434" s="3">
        <f>정규화데이터!G434</f>
        <v>1</v>
      </c>
      <c r="H434" s="3">
        <f>정규화데이터!H434</f>
        <v>119000</v>
      </c>
      <c r="I434" s="3">
        <f>정규화데이터!I434</f>
        <v>119000</v>
      </c>
      <c r="J434" s="3">
        <f>정규화데이터!J434</f>
        <v>82110</v>
      </c>
      <c r="K434" s="25">
        <f>정규화데이터!K434</f>
        <v>0</v>
      </c>
      <c r="L434" s="25">
        <f>정규화데이터!L434</f>
        <v>82110</v>
      </c>
      <c r="M434" s="21">
        <f t="shared" si="12"/>
        <v>0</v>
      </c>
      <c r="N434" s="52">
        <f t="shared" si="13"/>
        <v>0</v>
      </c>
    </row>
    <row r="435" spans="1:14" x14ac:dyDescent="0.3">
      <c r="A435" t="str">
        <f>정규화데이터!A435</f>
        <v>SK스토아</v>
      </c>
      <c r="B435" t="str">
        <f>정규화데이터!B435</f>
        <v>20260205995647</v>
      </c>
      <c r="C435" t="str">
        <f>정규화데이터!C435</f>
        <v>2026-02-07</v>
      </c>
      <c r="D435" t="str">
        <f>정규화데이터!D435</f>
        <v>58999583</v>
      </c>
      <c r="E435" s="16" t="str">
        <f>정규화데이터!E435</f>
        <v>미매핑</v>
      </c>
      <c r="F435" s="3">
        <f>정규화데이터!F435</f>
        <v>1</v>
      </c>
      <c r="G435" s="3">
        <f>정규화데이터!G435</f>
        <v>1</v>
      </c>
      <c r="H435" s="3">
        <f>정규화데이터!H435</f>
        <v>119000</v>
      </c>
      <c r="I435" s="3">
        <f>정규화데이터!I435</f>
        <v>119000</v>
      </c>
      <c r="J435" s="3">
        <f>정규화데이터!J435</f>
        <v>82110</v>
      </c>
      <c r="K435" s="25">
        <f>정규화데이터!K435</f>
        <v>0</v>
      </c>
      <c r="L435" s="25">
        <f>정규화데이터!L435</f>
        <v>82110</v>
      </c>
      <c r="M435" s="21">
        <f t="shared" si="12"/>
        <v>0</v>
      </c>
      <c r="N435" s="52">
        <f t="shared" si="13"/>
        <v>0</v>
      </c>
    </row>
    <row r="436" spans="1:14" x14ac:dyDescent="0.3">
      <c r="A436" t="str">
        <f>정규화데이터!A436</f>
        <v>SK스토아</v>
      </c>
      <c r="B436" t="str">
        <f>정규화데이터!B436</f>
        <v>20260205998293</v>
      </c>
      <c r="C436" t="str">
        <f>정규화데이터!C436</f>
        <v>2026-02-07</v>
      </c>
      <c r="D436" t="str">
        <f>정규화데이터!D436</f>
        <v>58999583</v>
      </c>
      <c r="E436" s="16" t="str">
        <f>정규화데이터!E436</f>
        <v>미매핑</v>
      </c>
      <c r="F436" s="3">
        <f>정규화데이터!F436</f>
        <v>1</v>
      </c>
      <c r="G436" s="3">
        <f>정규화데이터!G436</f>
        <v>1</v>
      </c>
      <c r="H436" s="3">
        <f>정규화데이터!H436</f>
        <v>119000</v>
      </c>
      <c r="I436" s="3">
        <f>정규화데이터!I436</f>
        <v>119000</v>
      </c>
      <c r="J436" s="3">
        <f>정규화데이터!J436</f>
        <v>82110</v>
      </c>
      <c r="K436" s="25">
        <f>정규화데이터!K436</f>
        <v>0</v>
      </c>
      <c r="L436" s="25">
        <f>정규화데이터!L436</f>
        <v>82110</v>
      </c>
      <c r="M436" s="21">
        <f t="shared" si="12"/>
        <v>0</v>
      </c>
      <c r="N436" s="52">
        <f t="shared" si="13"/>
        <v>0</v>
      </c>
    </row>
    <row r="437" spans="1:14" x14ac:dyDescent="0.3">
      <c r="A437" t="str">
        <f>정규화데이터!A437</f>
        <v>SK스토아</v>
      </c>
      <c r="B437" t="str">
        <f>정규화데이터!B437</f>
        <v>20260206633008</v>
      </c>
      <c r="C437" t="str">
        <f>정규화데이터!C437</f>
        <v>2026-02-07</v>
      </c>
      <c r="D437" t="str">
        <f>정규화데이터!D437</f>
        <v>59163204</v>
      </c>
      <c r="E437" s="16" t="str">
        <f>정규화데이터!E437</f>
        <v>미매핑</v>
      </c>
      <c r="F437" s="3">
        <f>정규화데이터!F437</f>
        <v>1</v>
      </c>
      <c r="G437" s="3">
        <f>정규화데이터!G437</f>
        <v>1</v>
      </c>
      <c r="H437" s="3">
        <f>정규화데이터!H437</f>
        <v>78000</v>
      </c>
      <c r="I437" s="3">
        <f>정규화데이터!I437</f>
        <v>66300</v>
      </c>
      <c r="J437" s="3">
        <f>정규화데이터!J437</f>
        <v>53820</v>
      </c>
      <c r="K437" s="25">
        <f>정규화데이터!K437</f>
        <v>0</v>
      </c>
      <c r="L437" s="25">
        <f>정규화데이터!L437</f>
        <v>53820</v>
      </c>
      <c r="M437" s="21">
        <f t="shared" si="12"/>
        <v>0</v>
      </c>
      <c r="N437" s="52">
        <f t="shared" si="13"/>
        <v>0</v>
      </c>
    </row>
    <row r="438" spans="1:14" x14ac:dyDescent="0.3">
      <c r="A438" t="str">
        <f>정규화데이터!A438</f>
        <v>SK스토아</v>
      </c>
      <c r="B438" t="str">
        <f>정규화데이터!B438</f>
        <v>20260205995006</v>
      </c>
      <c r="C438" t="str">
        <f>정규화데이터!C438</f>
        <v>2026-02-08</v>
      </c>
      <c r="D438" t="str">
        <f>정규화데이터!D438</f>
        <v>58481090</v>
      </c>
      <c r="E438" s="16" t="str">
        <f>정규화데이터!E438</f>
        <v>미매핑</v>
      </c>
      <c r="F438" s="3">
        <f>정규화데이터!F438</f>
        <v>1</v>
      </c>
      <c r="G438" s="3">
        <f>정규화데이터!G438</f>
        <v>1</v>
      </c>
      <c r="H438" s="3">
        <f>정규화데이터!H438</f>
        <v>119000</v>
      </c>
      <c r="I438" s="3">
        <f>정규화데이터!I438</f>
        <v>119000</v>
      </c>
      <c r="J438" s="3">
        <f>정규화데이터!J438</f>
        <v>82110</v>
      </c>
      <c r="K438" s="25">
        <f>정규화데이터!K438</f>
        <v>0</v>
      </c>
      <c r="L438" s="25">
        <f>정규화데이터!L438</f>
        <v>82110</v>
      </c>
      <c r="M438" s="21">
        <f t="shared" si="12"/>
        <v>0</v>
      </c>
      <c r="N438" s="52">
        <f t="shared" si="13"/>
        <v>0</v>
      </c>
    </row>
    <row r="439" spans="1:14" x14ac:dyDescent="0.3">
      <c r="A439" t="str">
        <f>정규화데이터!A439</f>
        <v>SK스토아</v>
      </c>
      <c r="B439" t="str">
        <f>정규화데이터!B439</f>
        <v>20260205992912</v>
      </c>
      <c r="C439" t="str">
        <f>정규화데이터!C439</f>
        <v>2026-02-08</v>
      </c>
      <c r="D439" t="str">
        <f>정규화데이터!D439</f>
        <v>58481090</v>
      </c>
      <c r="E439" s="16" t="str">
        <f>정규화데이터!E439</f>
        <v>미매핑</v>
      </c>
      <c r="F439" s="3">
        <f>정규화데이터!F439</f>
        <v>1</v>
      </c>
      <c r="G439" s="3">
        <f>정규화데이터!G439</f>
        <v>1</v>
      </c>
      <c r="H439" s="3">
        <f>정규화데이터!H439</f>
        <v>119000</v>
      </c>
      <c r="I439" s="3">
        <f>정규화데이터!I439</f>
        <v>119000</v>
      </c>
      <c r="J439" s="3">
        <f>정규화데이터!J439</f>
        <v>82110</v>
      </c>
      <c r="K439" s="25">
        <f>정규화데이터!K439</f>
        <v>0</v>
      </c>
      <c r="L439" s="25">
        <f>정규화데이터!L439</f>
        <v>82110</v>
      </c>
      <c r="M439" s="21">
        <f t="shared" si="12"/>
        <v>0</v>
      </c>
      <c r="N439" s="52">
        <f t="shared" si="13"/>
        <v>0</v>
      </c>
    </row>
    <row r="440" spans="1:14" x14ac:dyDescent="0.3">
      <c r="A440" t="str">
        <f>정규화데이터!A440</f>
        <v>SK스토아</v>
      </c>
      <c r="B440" t="str">
        <f>정규화데이터!B440</f>
        <v>20260208259331</v>
      </c>
      <c r="C440" t="str">
        <f>정규화데이터!C440</f>
        <v>2026-02-10</v>
      </c>
      <c r="D440" t="str">
        <f>정규화데이터!D440</f>
        <v>58481090</v>
      </c>
      <c r="E440" s="16" t="str">
        <f>정규화데이터!E440</f>
        <v>미매핑</v>
      </c>
      <c r="F440" s="3">
        <f>정규화데이터!F440</f>
        <v>1</v>
      </c>
      <c r="G440" s="3">
        <f>정규화데이터!G440</f>
        <v>1</v>
      </c>
      <c r="H440" s="3">
        <f>정규화데이터!H440</f>
        <v>119000</v>
      </c>
      <c r="I440" s="3">
        <f>정규화데이터!I440</f>
        <v>113050</v>
      </c>
      <c r="J440" s="3">
        <f>정규화데이터!J440</f>
        <v>82110</v>
      </c>
      <c r="K440" s="25">
        <f>정규화데이터!K440</f>
        <v>0</v>
      </c>
      <c r="L440" s="25">
        <f>정규화데이터!L440</f>
        <v>82110</v>
      </c>
      <c r="M440" s="21">
        <f t="shared" si="12"/>
        <v>0</v>
      </c>
      <c r="N440" s="52">
        <f t="shared" si="13"/>
        <v>0</v>
      </c>
    </row>
    <row r="441" spans="1:14" x14ac:dyDescent="0.3">
      <c r="A441" t="str">
        <f>정규화데이터!A441</f>
        <v>SK스토아</v>
      </c>
      <c r="B441" t="str">
        <f>정규화데이터!B441</f>
        <v>20260208260475</v>
      </c>
      <c r="C441" t="str">
        <f>정규화데이터!C441</f>
        <v>2026-02-10</v>
      </c>
      <c r="D441" t="str">
        <f>정규화데이터!D441</f>
        <v>58481090</v>
      </c>
      <c r="E441" s="16" t="str">
        <f>정규화데이터!E441</f>
        <v>미매핑</v>
      </c>
      <c r="F441" s="3">
        <f>정규화데이터!F441</f>
        <v>1</v>
      </c>
      <c r="G441" s="3">
        <f>정규화데이터!G441</f>
        <v>1</v>
      </c>
      <c r="H441" s="3">
        <f>정규화데이터!H441</f>
        <v>119000</v>
      </c>
      <c r="I441" s="3">
        <f>정규화데이터!I441</f>
        <v>113050</v>
      </c>
      <c r="J441" s="3">
        <f>정규화데이터!J441</f>
        <v>82110</v>
      </c>
      <c r="K441" s="25">
        <f>정규화데이터!K441</f>
        <v>0</v>
      </c>
      <c r="L441" s="25">
        <f>정규화데이터!L441</f>
        <v>82110</v>
      </c>
      <c r="M441" s="21">
        <f t="shared" si="12"/>
        <v>0</v>
      </c>
      <c r="N441" s="52">
        <f t="shared" si="13"/>
        <v>0</v>
      </c>
    </row>
    <row r="442" spans="1:14" x14ac:dyDescent="0.3">
      <c r="A442" t="str">
        <f>정규화데이터!A442</f>
        <v>SK스토아</v>
      </c>
      <c r="B442" t="str">
        <f>정규화데이터!B442</f>
        <v>20260207158331</v>
      </c>
      <c r="C442" t="str">
        <f>정규화데이터!C442</f>
        <v>2026-02-10</v>
      </c>
      <c r="D442" t="str">
        <f>정규화데이터!D442</f>
        <v>58481090</v>
      </c>
      <c r="E442" s="16" t="str">
        <f>정규화데이터!E442</f>
        <v>미매핑</v>
      </c>
      <c r="F442" s="3">
        <f>정규화데이터!F442</f>
        <v>1</v>
      </c>
      <c r="G442" s="3">
        <f>정규화데이터!G442</f>
        <v>1</v>
      </c>
      <c r="H442" s="3">
        <f>정규화데이터!H442</f>
        <v>119000</v>
      </c>
      <c r="I442" s="3">
        <f>정규화데이터!I442</f>
        <v>113050</v>
      </c>
      <c r="J442" s="3">
        <f>정규화데이터!J442</f>
        <v>82110</v>
      </c>
      <c r="K442" s="25">
        <f>정규화데이터!K442</f>
        <v>0</v>
      </c>
      <c r="L442" s="25">
        <f>정규화데이터!L442</f>
        <v>82110</v>
      </c>
      <c r="M442" s="21">
        <f t="shared" si="12"/>
        <v>0</v>
      </c>
      <c r="N442" s="52">
        <f t="shared" si="13"/>
        <v>0</v>
      </c>
    </row>
    <row r="443" spans="1:14" x14ac:dyDescent="0.3">
      <c r="A443" t="str">
        <f>정규화데이터!A443</f>
        <v>SK스토아</v>
      </c>
      <c r="B443" t="str">
        <f>정규화데이터!B443</f>
        <v>20260208229524</v>
      </c>
      <c r="C443" t="str">
        <f>정규화데이터!C443</f>
        <v>2026-02-10</v>
      </c>
      <c r="D443" t="str">
        <f>정규화데이터!D443</f>
        <v>58481090</v>
      </c>
      <c r="E443" s="16" t="str">
        <f>정규화데이터!E443</f>
        <v>미매핑</v>
      </c>
      <c r="F443" s="3">
        <f>정규화데이터!F443</f>
        <v>1</v>
      </c>
      <c r="G443" s="3">
        <f>정규화데이터!G443</f>
        <v>1</v>
      </c>
      <c r="H443" s="3">
        <f>정규화데이터!H443</f>
        <v>119000</v>
      </c>
      <c r="I443" s="3">
        <f>정규화데이터!I443</f>
        <v>113050</v>
      </c>
      <c r="J443" s="3">
        <f>정규화데이터!J443</f>
        <v>82110</v>
      </c>
      <c r="K443" s="25">
        <f>정규화데이터!K443</f>
        <v>0</v>
      </c>
      <c r="L443" s="25">
        <f>정규화데이터!L443</f>
        <v>82110</v>
      </c>
      <c r="M443" s="21">
        <f t="shared" si="12"/>
        <v>0</v>
      </c>
      <c r="N443" s="52">
        <f t="shared" si="13"/>
        <v>0</v>
      </c>
    </row>
    <row r="444" spans="1:14" x14ac:dyDescent="0.3">
      <c r="A444" t="str">
        <f>정규화데이터!A444</f>
        <v>SK스토아</v>
      </c>
      <c r="B444" t="str">
        <f>정규화데이터!B444</f>
        <v>20260208244830</v>
      </c>
      <c r="C444" t="str">
        <f>정규화데이터!C444</f>
        <v>2026-02-10</v>
      </c>
      <c r="D444" t="str">
        <f>정규화데이터!D444</f>
        <v>58481090</v>
      </c>
      <c r="E444" s="16" t="str">
        <f>정규화데이터!E444</f>
        <v>미매핑</v>
      </c>
      <c r="F444" s="3">
        <f>정규화데이터!F444</f>
        <v>1</v>
      </c>
      <c r="G444" s="3">
        <f>정규화데이터!G444</f>
        <v>1</v>
      </c>
      <c r="H444" s="3">
        <f>정규화데이터!H444</f>
        <v>119000</v>
      </c>
      <c r="I444" s="3">
        <f>정규화데이터!I444</f>
        <v>113050</v>
      </c>
      <c r="J444" s="3">
        <f>정규화데이터!J444</f>
        <v>82110</v>
      </c>
      <c r="K444" s="25">
        <f>정규화데이터!K444</f>
        <v>0</v>
      </c>
      <c r="L444" s="25">
        <f>정규화데이터!L444</f>
        <v>82110</v>
      </c>
      <c r="M444" s="21">
        <f t="shared" si="12"/>
        <v>0</v>
      </c>
      <c r="N444" s="52">
        <f t="shared" si="13"/>
        <v>0</v>
      </c>
    </row>
    <row r="445" spans="1:14" x14ac:dyDescent="0.3">
      <c r="A445" t="str">
        <f>정규화데이터!A445</f>
        <v>SK스토아</v>
      </c>
      <c r="B445" t="str">
        <f>정규화데이터!B445</f>
        <v>20260207151522</v>
      </c>
      <c r="C445" t="str">
        <f>정규화데이터!C445</f>
        <v>2026-02-10</v>
      </c>
      <c r="D445" t="str">
        <f>정규화데이터!D445</f>
        <v>58481090</v>
      </c>
      <c r="E445" s="16" t="str">
        <f>정규화데이터!E445</f>
        <v>미매핑</v>
      </c>
      <c r="F445" s="3">
        <f>정규화데이터!F445</f>
        <v>1</v>
      </c>
      <c r="G445" s="3">
        <f>정규화데이터!G445</f>
        <v>1</v>
      </c>
      <c r="H445" s="3">
        <f>정규화데이터!H445</f>
        <v>119000</v>
      </c>
      <c r="I445" s="3">
        <f>정규화데이터!I445</f>
        <v>119000</v>
      </c>
      <c r="J445" s="3">
        <f>정규화데이터!J445</f>
        <v>82110</v>
      </c>
      <c r="K445" s="25">
        <f>정규화데이터!K445</f>
        <v>0</v>
      </c>
      <c r="L445" s="25">
        <f>정규화데이터!L445</f>
        <v>82110</v>
      </c>
      <c r="M445" s="21">
        <f t="shared" si="12"/>
        <v>0</v>
      </c>
      <c r="N445" s="52">
        <f t="shared" si="13"/>
        <v>0</v>
      </c>
    </row>
    <row r="446" spans="1:14" x14ac:dyDescent="0.3">
      <c r="A446" t="str">
        <f>정규화데이터!A446</f>
        <v>SK스토아</v>
      </c>
      <c r="B446" t="str">
        <f>정규화데이터!B446</f>
        <v>20260210360594</v>
      </c>
      <c r="C446" t="str">
        <f>정규화데이터!C446</f>
        <v>2026-02-10</v>
      </c>
      <c r="D446" t="str">
        <f>정규화데이터!D446</f>
        <v>58481090</v>
      </c>
      <c r="E446" s="16" t="str">
        <f>정규화데이터!E446</f>
        <v>미매핑</v>
      </c>
      <c r="F446" s="3">
        <f>정규화데이터!F446</f>
        <v>1</v>
      </c>
      <c r="G446" s="3">
        <f>정규화데이터!G446</f>
        <v>1</v>
      </c>
      <c r="H446" s="3">
        <f>정규화데이터!H446</f>
        <v>119000</v>
      </c>
      <c r="I446" s="3">
        <f>정규화데이터!I446</f>
        <v>119000</v>
      </c>
      <c r="J446" s="3">
        <f>정규화데이터!J446</f>
        <v>80920</v>
      </c>
      <c r="K446" s="25">
        <f>정규화데이터!K446</f>
        <v>0</v>
      </c>
      <c r="L446" s="25">
        <f>정규화데이터!L446</f>
        <v>80920</v>
      </c>
      <c r="M446" s="21">
        <f t="shared" si="12"/>
        <v>0</v>
      </c>
      <c r="N446" s="52">
        <f t="shared" si="13"/>
        <v>0</v>
      </c>
    </row>
    <row r="447" spans="1:14" x14ac:dyDescent="0.3">
      <c r="A447" t="str">
        <f>정규화데이터!A447</f>
        <v>SK스토아</v>
      </c>
      <c r="B447" t="str">
        <f>정규화데이터!B447</f>
        <v>20260207150468</v>
      </c>
      <c r="C447" t="str">
        <f>정규화데이터!C447</f>
        <v>2026-02-10</v>
      </c>
      <c r="D447" t="str">
        <f>정규화데이터!D447</f>
        <v>58481090</v>
      </c>
      <c r="E447" s="16" t="str">
        <f>정규화데이터!E447</f>
        <v>미매핑</v>
      </c>
      <c r="F447" s="3">
        <f>정규화데이터!F447</f>
        <v>1</v>
      </c>
      <c r="G447" s="3">
        <f>정규화데이터!G447</f>
        <v>1</v>
      </c>
      <c r="H447" s="3">
        <f>정규화데이터!H447</f>
        <v>119000</v>
      </c>
      <c r="I447" s="3">
        <f>정규화데이터!I447</f>
        <v>113050</v>
      </c>
      <c r="J447" s="3">
        <f>정규화데이터!J447</f>
        <v>82110</v>
      </c>
      <c r="K447" s="25">
        <f>정규화데이터!K447</f>
        <v>0</v>
      </c>
      <c r="L447" s="25">
        <f>정규화데이터!L447</f>
        <v>82110</v>
      </c>
      <c r="M447" s="21">
        <f t="shared" si="12"/>
        <v>0</v>
      </c>
      <c r="N447" s="52">
        <f t="shared" si="13"/>
        <v>0</v>
      </c>
    </row>
    <row r="448" spans="1:14" x14ac:dyDescent="0.3">
      <c r="A448" t="str">
        <f>정규화데이터!A448</f>
        <v>SK스토아</v>
      </c>
      <c r="B448" t="str">
        <f>정규화데이터!B448</f>
        <v>20260209873932</v>
      </c>
      <c r="C448" t="str">
        <f>정규화데이터!C448</f>
        <v>2026-02-10</v>
      </c>
      <c r="D448" t="str">
        <f>정규화데이터!D448</f>
        <v>58481090</v>
      </c>
      <c r="E448" s="16" t="str">
        <f>정규화데이터!E448</f>
        <v>미매핑</v>
      </c>
      <c r="F448" s="3">
        <f>정규화데이터!F448</f>
        <v>1</v>
      </c>
      <c r="G448" s="3">
        <f>정규화데이터!G448</f>
        <v>1</v>
      </c>
      <c r="H448" s="3">
        <f>정규화데이터!H448</f>
        <v>119000</v>
      </c>
      <c r="I448" s="3">
        <f>정규화데이터!I448</f>
        <v>105910</v>
      </c>
      <c r="J448" s="3">
        <f>정규화데이터!J448</f>
        <v>82110</v>
      </c>
      <c r="K448" s="25">
        <f>정규화데이터!K448</f>
        <v>0</v>
      </c>
      <c r="L448" s="25">
        <f>정규화데이터!L448</f>
        <v>82110</v>
      </c>
      <c r="M448" s="21">
        <f t="shared" si="12"/>
        <v>0</v>
      </c>
      <c r="N448" s="52">
        <f t="shared" si="13"/>
        <v>0</v>
      </c>
    </row>
    <row r="449" spans="1:14" x14ac:dyDescent="0.3">
      <c r="A449" t="str">
        <f>정규화데이터!A449</f>
        <v>SK스토아</v>
      </c>
      <c r="B449" t="str">
        <f>정규화데이터!B449</f>
        <v>20260206659552</v>
      </c>
      <c r="C449" t="str">
        <f>정규화데이터!C449</f>
        <v>2026-02-10</v>
      </c>
      <c r="D449" t="str">
        <f>정규화데이터!D449</f>
        <v>58481090</v>
      </c>
      <c r="E449" s="16" t="str">
        <f>정규화데이터!E449</f>
        <v>미매핑</v>
      </c>
      <c r="F449" s="3">
        <f>정규화데이터!F449</f>
        <v>1</v>
      </c>
      <c r="G449" s="3">
        <f>정규화데이터!G449</f>
        <v>1</v>
      </c>
      <c r="H449" s="3">
        <f>정규화데이터!H449</f>
        <v>119000</v>
      </c>
      <c r="I449" s="3">
        <f>정규화데이터!I449</f>
        <v>113050</v>
      </c>
      <c r="J449" s="3">
        <f>정규화데이터!J449</f>
        <v>82110</v>
      </c>
      <c r="K449" s="25">
        <f>정규화데이터!K449</f>
        <v>0</v>
      </c>
      <c r="L449" s="25">
        <f>정규화데이터!L449</f>
        <v>82110</v>
      </c>
      <c r="M449" s="21">
        <f t="shared" si="12"/>
        <v>0</v>
      </c>
      <c r="N449" s="52">
        <f t="shared" si="13"/>
        <v>0</v>
      </c>
    </row>
    <row r="450" spans="1:14" x14ac:dyDescent="0.3">
      <c r="A450" t="str">
        <f>정규화데이터!A450</f>
        <v>SK스토아</v>
      </c>
      <c r="B450" t="str">
        <f>정규화데이터!B450</f>
        <v>20260206651056</v>
      </c>
      <c r="C450" t="str">
        <f>정규화데이터!C450</f>
        <v>2026-02-10</v>
      </c>
      <c r="D450" t="str">
        <f>정규화데이터!D450</f>
        <v>58481090</v>
      </c>
      <c r="E450" s="16" t="str">
        <f>정규화데이터!E450</f>
        <v>미매핑</v>
      </c>
      <c r="F450" s="3">
        <f>정규화데이터!F450</f>
        <v>1</v>
      </c>
      <c r="G450" s="3">
        <f>정규화데이터!G450</f>
        <v>1</v>
      </c>
      <c r="H450" s="3">
        <f>정규화데이터!H450</f>
        <v>119000</v>
      </c>
      <c r="I450" s="3">
        <f>정규화데이터!I450</f>
        <v>113050</v>
      </c>
      <c r="J450" s="3">
        <f>정규화데이터!J450</f>
        <v>82110</v>
      </c>
      <c r="K450" s="25">
        <f>정규화데이터!K450</f>
        <v>0</v>
      </c>
      <c r="L450" s="25">
        <f>정규화데이터!L450</f>
        <v>82110</v>
      </c>
      <c r="M450" s="21">
        <f t="shared" ref="M450:M513" si="14">J450-L450</f>
        <v>0</v>
      </c>
      <c r="N450" s="52">
        <f t="shared" ref="N450:N513" si="15">IF(J450=0,0,M450/J450)</f>
        <v>0</v>
      </c>
    </row>
    <row r="451" spans="1:14" x14ac:dyDescent="0.3">
      <c r="A451" t="str">
        <f>정규화데이터!A451</f>
        <v>SK스토아</v>
      </c>
      <c r="B451" t="str">
        <f>정규화데이터!B451</f>
        <v>20260207124110</v>
      </c>
      <c r="C451" t="str">
        <f>정규화데이터!C451</f>
        <v>2026-02-10</v>
      </c>
      <c r="D451" t="str">
        <f>정규화데이터!D451</f>
        <v>58481090</v>
      </c>
      <c r="E451" s="16" t="str">
        <f>정규화데이터!E451</f>
        <v>미매핑</v>
      </c>
      <c r="F451" s="3">
        <f>정규화데이터!F451</f>
        <v>1</v>
      </c>
      <c r="G451" s="3">
        <f>정규화데이터!G451</f>
        <v>1</v>
      </c>
      <c r="H451" s="3">
        <f>정규화데이터!H451</f>
        <v>119000</v>
      </c>
      <c r="I451" s="3">
        <f>정규화데이터!I451</f>
        <v>113050</v>
      </c>
      <c r="J451" s="3">
        <f>정규화데이터!J451</f>
        <v>82110</v>
      </c>
      <c r="K451" s="25">
        <f>정규화데이터!K451</f>
        <v>0</v>
      </c>
      <c r="L451" s="25">
        <f>정규화데이터!L451</f>
        <v>82110</v>
      </c>
      <c r="M451" s="21">
        <f t="shared" si="14"/>
        <v>0</v>
      </c>
      <c r="N451" s="52">
        <f t="shared" si="15"/>
        <v>0</v>
      </c>
    </row>
    <row r="452" spans="1:14" x14ac:dyDescent="0.3">
      <c r="A452" t="str">
        <f>정규화데이터!A452</f>
        <v>SK스토아</v>
      </c>
      <c r="B452" t="str">
        <f>정규화데이터!B452</f>
        <v>20260208259329</v>
      </c>
      <c r="C452" t="str">
        <f>정규화데이터!C452</f>
        <v>2026-02-10</v>
      </c>
      <c r="D452" t="str">
        <f>정규화데이터!D452</f>
        <v>58481090</v>
      </c>
      <c r="E452" s="16" t="str">
        <f>정규화데이터!E452</f>
        <v>미매핑</v>
      </c>
      <c r="F452" s="3">
        <f>정규화데이터!F452</f>
        <v>1</v>
      </c>
      <c r="G452" s="3">
        <f>정규화데이터!G452</f>
        <v>1</v>
      </c>
      <c r="H452" s="3">
        <f>정규화데이터!H452</f>
        <v>119000</v>
      </c>
      <c r="I452" s="3">
        <f>정규화데이터!I452</f>
        <v>113050</v>
      </c>
      <c r="J452" s="3">
        <f>정규화데이터!J452</f>
        <v>82110</v>
      </c>
      <c r="K452" s="25">
        <f>정규화데이터!K452</f>
        <v>0</v>
      </c>
      <c r="L452" s="25">
        <f>정규화데이터!L452</f>
        <v>82110</v>
      </c>
      <c r="M452" s="21">
        <f t="shared" si="14"/>
        <v>0</v>
      </c>
      <c r="N452" s="52">
        <f t="shared" si="15"/>
        <v>0</v>
      </c>
    </row>
    <row r="453" spans="1:14" x14ac:dyDescent="0.3">
      <c r="A453" t="str">
        <f>정규화데이터!A453</f>
        <v>SK스토아</v>
      </c>
      <c r="B453" t="str">
        <f>정규화데이터!B453</f>
        <v>20260207150472</v>
      </c>
      <c r="C453" t="str">
        <f>정규화데이터!C453</f>
        <v>2026-02-10</v>
      </c>
      <c r="D453" t="str">
        <f>정규화데이터!D453</f>
        <v>58481090</v>
      </c>
      <c r="E453" s="16" t="str">
        <f>정규화데이터!E453</f>
        <v>미매핑</v>
      </c>
      <c r="F453" s="3">
        <f>정규화데이터!F453</f>
        <v>1</v>
      </c>
      <c r="G453" s="3">
        <f>정규화데이터!G453</f>
        <v>1</v>
      </c>
      <c r="H453" s="3">
        <f>정규화데이터!H453</f>
        <v>119000</v>
      </c>
      <c r="I453" s="3">
        <f>정규화데이터!I453</f>
        <v>113050</v>
      </c>
      <c r="J453" s="3">
        <f>정규화데이터!J453</f>
        <v>82110</v>
      </c>
      <c r="K453" s="25">
        <f>정규화데이터!K453</f>
        <v>0</v>
      </c>
      <c r="L453" s="25">
        <f>정규화데이터!L453</f>
        <v>82110</v>
      </c>
      <c r="M453" s="21">
        <f t="shared" si="14"/>
        <v>0</v>
      </c>
      <c r="N453" s="52">
        <f t="shared" si="15"/>
        <v>0</v>
      </c>
    </row>
    <row r="454" spans="1:14" x14ac:dyDescent="0.3">
      <c r="A454" t="str">
        <f>정규화데이터!A454</f>
        <v>SK스토아</v>
      </c>
      <c r="B454" t="str">
        <f>정규화데이터!B454</f>
        <v>20260207147250</v>
      </c>
      <c r="C454" t="str">
        <f>정규화데이터!C454</f>
        <v>2026-02-10</v>
      </c>
      <c r="D454" t="str">
        <f>정규화데이터!D454</f>
        <v>58481090</v>
      </c>
      <c r="E454" s="16" t="str">
        <f>정규화데이터!E454</f>
        <v>미매핑</v>
      </c>
      <c r="F454" s="3">
        <f>정규화데이터!F454</f>
        <v>1</v>
      </c>
      <c r="G454" s="3">
        <f>정규화데이터!G454</f>
        <v>1</v>
      </c>
      <c r="H454" s="3">
        <f>정규화데이터!H454</f>
        <v>119000</v>
      </c>
      <c r="I454" s="3">
        <f>정규화데이터!I454</f>
        <v>113050</v>
      </c>
      <c r="J454" s="3">
        <f>정규화데이터!J454</f>
        <v>82110</v>
      </c>
      <c r="K454" s="25">
        <f>정규화데이터!K454</f>
        <v>0</v>
      </c>
      <c r="L454" s="25">
        <f>정규화데이터!L454</f>
        <v>82110</v>
      </c>
      <c r="M454" s="21">
        <f t="shared" si="14"/>
        <v>0</v>
      </c>
      <c r="N454" s="52">
        <f t="shared" si="15"/>
        <v>0</v>
      </c>
    </row>
    <row r="455" spans="1:14" x14ac:dyDescent="0.3">
      <c r="A455" t="str">
        <f>정규화데이터!A455</f>
        <v>SK스토아</v>
      </c>
      <c r="B455" t="str">
        <f>정규화데이터!B455</f>
        <v>20260207147257</v>
      </c>
      <c r="C455" t="str">
        <f>정규화데이터!C455</f>
        <v>2026-02-10</v>
      </c>
      <c r="D455" t="str">
        <f>정규화데이터!D455</f>
        <v>58481090</v>
      </c>
      <c r="E455" s="16" t="str">
        <f>정규화데이터!E455</f>
        <v>미매핑</v>
      </c>
      <c r="F455" s="3">
        <f>정규화데이터!F455</f>
        <v>1</v>
      </c>
      <c r="G455" s="3">
        <f>정규화데이터!G455</f>
        <v>1</v>
      </c>
      <c r="H455" s="3">
        <f>정규화데이터!H455</f>
        <v>119000</v>
      </c>
      <c r="I455" s="3">
        <f>정규화데이터!I455</f>
        <v>113050</v>
      </c>
      <c r="J455" s="3">
        <f>정규화데이터!J455</f>
        <v>82110</v>
      </c>
      <c r="K455" s="25">
        <f>정규화데이터!K455</f>
        <v>0</v>
      </c>
      <c r="L455" s="25">
        <f>정규화데이터!L455</f>
        <v>82110</v>
      </c>
      <c r="M455" s="21">
        <f t="shared" si="14"/>
        <v>0</v>
      </c>
      <c r="N455" s="52">
        <f t="shared" si="15"/>
        <v>0</v>
      </c>
    </row>
    <row r="456" spans="1:14" x14ac:dyDescent="0.3">
      <c r="A456" t="str">
        <f>정규화데이터!A456</f>
        <v>SK스토아</v>
      </c>
      <c r="B456" t="str">
        <f>정규화데이터!B456</f>
        <v>20260208260735</v>
      </c>
      <c r="C456" t="str">
        <f>정규화데이터!C456</f>
        <v>2026-02-10</v>
      </c>
      <c r="D456" t="str">
        <f>정규화데이터!D456</f>
        <v>58481090</v>
      </c>
      <c r="E456" s="16" t="str">
        <f>정규화데이터!E456</f>
        <v>미매핑</v>
      </c>
      <c r="F456" s="3">
        <f>정규화데이터!F456</f>
        <v>1</v>
      </c>
      <c r="G456" s="3">
        <f>정규화데이터!G456</f>
        <v>1</v>
      </c>
      <c r="H456" s="3">
        <f>정규화데이터!H456</f>
        <v>119000</v>
      </c>
      <c r="I456" s="3">
        <f>정규화데이터!I456</f>
        <v>113050</v>
      </c>
      <c r="J456" s="3">
        <f>정규화데이터!J456</f>
        <v>82110</v>
      </c>
      <c r="K456" s="25">
        <f>정규화데이터!K456</f>
        <v>0</v>
      </c>
      <c r="L456" s="25">
        <f>정규화데이터!L456</f>
        <v>82110</v>
      </c>
      <c r="M456" s="21">
        <f t="shared" si="14"/>
        <v>0</v>
      </c>
      <c r="N456" s="52">
        <f t="shared" si="15"/>
        <v>0</v>
      </c>
    </row>
    <row r="457" spans="1:14" x14ac:dyDescent="0.3">
      <c r="A457" t="str">
        <f>정규화데이터!A457</f>
        <v>SK스토아</v>
      </c>
      <c r="B457" t="str">
        <f>정규화데이터!B457</f>
        <v>20260207117865</v>
      </c>
      <c r="C457" t="str">
        <f>정규화데이터!C457</f>
        <v>2026-02-10</v>
      </c>
      <c r="D457" t="str">
        <f>정규화데이터!D457</f>
        <v>58481090</v>
      </c>
      <c r="E457" s="16" t="str">
        <f>정규화데이터!E457</f>
        <v>미매핑</v>
      </c>
      <c r="F457" s="3">
        <f>정규화데이터!F457</f>
        <v>1</v>
      </c>
      <c r="G457" s="3">
        <f>정규화데이터!G457</f>
        <v>1</v>
      </c>
      <c r="H457" s="3">
        <f>정규화데이터!H457</f>
        <v>119000</v>
      </c>
      <c r="I457" s="3">
        <f>정규화데이터!I457</f>
        <v>119000</v>
      </c>
      <c r="J457" s="3">
        <f>정규화데이터!J457</f>
        <v>82110</v>
      </c>
      <c r="K457" s="25">
        <f>정규화데이터!K457</f>
        <v>0</v>
      </c>
      <c r="L457" s="25">
        <f>정규화데이터!L457</f>
        <v>82110</v>
      </c>
      <c r="M457" s="21">
        <f t="shared" si="14"/>
        <v>0</v>
      </c>
      <c r="N457" s="52">
        <f t="shared" si="15"/>
        <v>0</v>
      </c>
    </row>
    <row r="458" spans="1:14" x14ac:dyDescent="0.3">
      <c r="A458" t="str">
        <f>정규화데이터!A458</f>
        <v>SK스토아</v>
      </c>
      <c r="B458" t="str">
        <f>정규화데이터!B458</f>
        <v>20260205994815</v>
      </c>
      <c r="C458" t="str">
        <f>정규화데이터!C458</f>
        <v>2026-02-10</v>
      </c>
      <c r="D458" t="str">
        <f>정규화데이터!D458</f>
        <v>58481090</v>
      </c>
      <c r="E458" s="16" t="str">
        <f>정규화데이터!E458</f>
        <v>미매핑</v>
      </c>
      <c r="F458" s="3">
        <f>정규화데이터!F458</f>
        <v>1</v>
      </c>
      <c r="G458" s="3">
        <f>정규화데이터!G458</f>
        <v>1</v>
      </c>
      <c r="H458" s="3">
        <f>정규화데이터!H458</f>
        <v>119000</v>
      </c>
      <c r="I458" s="3">
        <f>정규화데이터!I458</f>
        <v>119000</v>
      </c>
      <c r="J458" s="3">
        <f>정규화데이터!J458</f>
        <v>82110</v>
      </c>
      <c r="K458" s="25">
        <f>정규화데이터!K458</f>
        <v>0</v>
      </c>
      <c r="L458" s="25">
        <f>정규화데이터!L458</f>
        <v>82110</v>
      </c>
      <c r="M458" s="21">
        <f t="shared" si="14"/>
        <v>0</v>
      </c>
      <c r="N458" s="52">
        <f t="shared" si="15"/>
        <v>0</v>
      </c>
    </row>
    <row r="459" spans="1:14" x14ac:dyDescent="0.3">
      <c r="A459" t="str">
        <f>정규화데이터!A459</f>
        <v>SK스토아</v>
      </c>
      <c r="B459" t="str">
        <f>정규화데이터!B459</f>
        <v>20260203309850</v>
      </c>
      <c r="C459" t="str">
        <f>정규화데이터!C459</f>
        <v>2026-02-10</v>
      </c>
      <c r="D459" t="str">
        <f>정규화데이터!D459</f>
        <v>58481090</v>
      </c>
      <c r="E459" s="16" t="str">
        <f>정규화데이터!E459</f>
        <v>미매핑</v>
      </c>
      <c r="F459" s="3">
        <f>정규화데이터!F459</f>
        <v>1</v>
      </c>
      <c r="G459" s="3">
        <f>정규화데이터!G459</f>
        <v>1</v>
      </c>
      <c r="H459" s="3">
        <f>정규화데이터!H459</f>
        <v>119000</v>
      </c>
      <c r="I459" s="3">
        <f>정규화데이터!I459</f>
        <v>109000</v>
      </c>
      <c r="J459" s="3">
        <f>정규화데이터!J459</f>
        <v>82110</v>
      </c>
      <c r="K459" s="25">
        <f>정규화데이터!K459</f>
        <v>0</v>
      </c>
      <c r="L459" s="25">
        <f>정규화데이터!L459</f>
        <v>82110</v>
      </c>
      <c r="M459" s="21">
        <f t="shared" si="14"/>
        <v>0</v>
      </c>
      <c r="N459" s="52">
        <f t="shared" si="15"/>
        <v>0</v>
      </c>
    </row>
    <row r="460" spans="1:14" x14ac:dyDescent="0.3">
      <c r="A460" t="str">
        <f>정규화데이터!A460</f>
        <v>SK스토아</v>
      </c>
      <c r="B460" t="str">
        <f>정규화데이터!B460</f>
        <v>20260207151170</v>
      </c>
      <c r="C460" t="str">
        <f>정규화데이터!C460</f>
        <v>2026-02-10</v>
      </c>
      <c r="D460" t="str">
        <f>정규화데이터!D460</f>
        <v>58481090</v>
      </c>
      <c r="E460" s="16" t="str">
        <f>정규화데이터!E460</f>
        <v>미매핑</v>
      </c>
      <c r="F460" s="3">
        <f>정규화데이터!F460</f>
        <v>1</v>
      </c>
      <c r="G460" s="3">
        <f>정규화데이터!G460</f>
        <v>1</v>
      </c>
      <c r="H460" s="3">
        <f>정규화데이터!H460</f>
        <v>119000</v>
      </c>
      <c r="I460" s="3">
        <f>정규화데이터!I460</f>
        <v>109000</v>
      </c>
      <c r="J460" s="3">
        <f>정규화데이터!J460</f>
        <v>82110</v>
      </c>
      <c r="K460" s="25">
        <f>정규화데이터!K460</f>
        <v>0</v>
      </c>
      <c r="L460" s="25">
        <f>정규화데이터!L460</f>
        <v>82110</v>
      </c>
      <c r="M460" s="21">
        <f t="shared" si="14"/>
        <v>0</v>
      </c>
      <c r="N460" s="52">
        <f t="shared" si="15"/>
        <v>0</v>
      </c>
    </row>
    <row r="461" spans="1:14" x14ac:dyDescent="0.3">
      <c r="A461" t="str">
        <f>정규화데이터!A461</f>
        <v>SK스토아</v>
      </c>
      <c r="B461" t="str">
        <f>정규화데이터!B461</f>
        <v>20260205992935</v>
      </c>
      <c r="C461" t="str">
        <f>정규화데이터!C461</f>
        <v>2026-02-10</v>
      </c>
      <c r="D461" t="str">
        <f>정규화데이터!D461</f>
        <v>58481090</v>
      </c>
      <c r="E461" s="16" t="str">
        <f>정규화데이터!E461</f>
        <v>미매핑</v>
      </c>
      <c r="F461" s="3">
        <f>정규화데이터!F461</f>
        <v>1</v>
      </c>
      <c r="G461" s="3">
        <f>정규화데이터!G461</f>
        <v>1</v>
      </c>
      <c r="H461" s="3">
        <f>정규화데이터!H461</f>
        <v>119000</v>
      </c>
      <c r="I461" s="3">
        <f>정규화데이터!I461</f>
        <v>119000</v>
      </c>
      <c r="J461" s="3">
        <f>정규화데이터!J461</f>
        <v>82110</v>
      </c>
      <c r="K461" s="25">
        <f>정규화데이터!K461</f>
        <v>0</v>
      </c>
      <c r="L461" s="25">
        <f>정규화데이터!L461</f>
        <v>82110</v>
      </c>
      <c r="M461" s="21">
        <f t="shared" si="14"/>
        <v>0</v>
      </c>
      <c r="N461" s="52">
        <f t="shared" si="15"/>
        <v>0</v>
      </c>
    </row>
    <row r="462" spans="1:14" x14ac:dyDescent="0.3">
      <c r="A462" t="str">
        <f>정규화데이터!A462</f>
        <v>SK스토아</v>
      </c>
      <c r="B462" t="str">
        <f>정규화데이터!B462</f>
        <v>20260205994829</v>
      </c>
      <c r="C462" t="str">
        <f>정규화데이터!C462</f>
        <v>2026-02-10</v>
      </c>
      <c r="D462" t="str">
        <f>정규화데이터!D462</f>
        <v>58481090</v>
      </c>
      <c r="E462" s="16" t="str">
        <f>정규화데이터!E462</f>
        <v>미매핑</v>
      </c>
      <c r="F462" s="3">
        <f>정규화데이터!F462</f>
        <v>1</v>
      </c>
      <c r="G462" s="3">
        <f>정규화데이터!G462</f>
        <v>3</v>
      </c>
      <c r="H462" s="3">
        <f>정규화데이터!H462</f>
        <v>119000</v>
      </c>
      <c r="I462" s="3">
        <f>정규화데이터!I462</f>
        <v>357000</v>
      </c>
      <c r="J462" s="3">
        <f>정규화데이터!J462</f>
        <v>246330</v>
      </c>
      <c r="K462" s="25">
        <f>정규화데이터!K462</f>
        <v>0</v>
      </c>
      <c r="L462" s="25">
        <f>정규화데이터!L462</f>
        <v>246330</v>
      </c>
      <c r="M462" s="21">
        <f t="shared" si="14"/>
        <v>0</v>
      </c>
      <c r="N462" s="52">
        <f t="shared" si="15"/>
        <v>0</v>
      </c>
    </row>
    <row r="463" spans="1:14" x14ac:dyDescent="0.3">
      <c r="A463" t="str">
        <f>정규화데이터!A463</f>
        <v>SK스토아</v>
      </c>
      <c r="B463" t="str">
        <f>정규화데이터!B463</f>
        <v>20260205994617</v>
      </c>
      <c r="C463" t="str">
        <f>정규화데이터!C463</f>
        <v>2026-02-10</v>
      </c>
      <c r="D463" t="str">
        <f>정규화데이터!D463</f>
        <v>58481090</v>
      </c>
      <c r="E463" s="16" t="str">
        <f>정규화데이터!E463</f>
        <v>미매핑</v>
      </c>
      <c r="F463" s="3">
        <f>정규화데이터!F463</f>
        <v>1</v>
      </c>
      <c r="G463" s="3">
        <f>정규화데이터!G463</f>
        <v>1</v>
      </c>
      <c r="H463" s="3">
        <f>정규화데이터!H463</f>
        <v>119000</v>
      </c>
      <c r="I463" s="3">
        <f>정규화데이터!I463</f>
        <v>113050</v>
      </c>
      <c r="J463" s="3">
        <f>정규화데이터!J463</f>
        <v>82110</v>
      </c>
      <c r="K463" s="25">
        <f>정규화데이터!K463</f>
        <v>0</v>
      </c>
      <c r="L463" s="25">
        <f>정규화데이터!L463</f>
        <v>82110</v>
      </c>
      <c r="M463" s="21">
        <f t="shared" si="14"/>
        <v>0</v>
      </c>
      <c r="N463" s="52">
        <f t="shared" si="15"/>
        <v>0</v>
      </c>
    </row>
    <row r="464" spans="1:14" x14ac:dyDescent="0.3">
      <c r="A464" t="str">
        <f>정규화데이터!A464</f>
        <v>SK스토아</v>
      </c>
      <c r="B464" t="str">
        <f>정규화데이터!B464</f>
        <v>20260205995024</v>
      </c>
      <c r="C464" t="str">
        <f>정규화데이터!C464</f>
        <v>2026-02-10</v>
      </c>
      <c r="D464" t="str">
        <f>정규화데이터!D464</f>
        <v>58481090</v>
      </c>
      <c r="E464" s="16" t="str">
        <f>정규화데이터!E464</f>
        <v>미매핑</v>
      </c>
      <c r="F464" s="3">
        <f>정규화데이터!F464</f>
        <v>1</v>
      </c>
      <c r="G464" s="3">
        <f>정규화데이터!G464</f>
        <v>1</v>
      </c>
      <c r="H464" s="3">
        <f>정규화데이터!H464</f>
        <v>119000</v>
      </c>
      <c r="I464" s="3">
        <f>정규화데이터!I464</f>
        <v>119000</v>
      </c>
      <c r="J464" s="3">
        <f>정규화데이터!J464</f>
        <v>82110</v>
      </c>
      <c r="K464" s="25">
        <f>정규화데이터!K464</f>
        <v>0</v>
      </c>
      <c r="L464" s="25">
        <f>정규화데이터!L464</f>
        <v>82110</v>
      </c>
      <c r="M464" s="21">
        <f t="shared" si="14"/>
        <v>0</v>
      </c>
      <c r="N464" s="52">
        <f t="shared" si="15"/>
        <v>0</v>
      </c>
    </row>
    <row r="465" spans="1:14" x14ac:dyDescent="0.3">
      <c r="A465" t="str">
        <f>정규화데이터!A465</f>
        <v>SK스토아</v>
      </c>
      <c r="B465" t="str">
        <f>정규화데이터!B465</f>
        <v>20260203309978</v>
      </c>
      <c r="C465" t="str">
        <f>정규화데이터!C465</f>
        <v>2026-02-10</v>
      </c>
      <c r="D465" t="str">
        <f>정규화데이터!D465</f>
        <v>58481090</v>
      </c>
      <c r="E465" s="16" t="str">
        <f>정규화데이터!E465</f>
        <v>미매핑</v>
      </c>
      <c r="F465" s="3">
        <f>정규화데이터!F465</f>
        <v>1</v>
      </c>
      <c r="G465" s="3">
        <f>정규화데이터!G465</f>
        <v>1</v>
      </c>
      <c r="H465" s="3">
        <f>정규화데이터!H465</f>
        <v>119000</v>
      </c>
      <c r="I465" s="3">
        <f>정규화데이터!I465</f>
        <v>119000</v>
      </c>
      <c r="J465" s="3">
        <f>정규화데이터!J465</f>
        <v>82110</v>
      </c>
      <c r="K465" s="25">
        <f>정규화데이터!K465</f>
        <v>0</v>
      </c>
      <c r="L465" s="25">
        <f>정규화데이터!L465</f>
        <v>82110</v>
      </c>
      <c r="M465" s="21">
        <f t="shared" si="14"/>
        <v>0</v>
      </c>
      <c r="N465" s="52">
        <f t="shared" si="15"/>
        <v>0</v>
      </c>
    </row>
    <row r="466" spans="1:14" x14ac:dyDescent="0.3">
      <c r="A466" t="str">
        <f>정규화데이터!A466</f>
        <v>SK스토아</v>
      </c>
      <c r="B466" t="str">
        <f>정규화데이터!B466</f>
        <v>20260205994069</v>
      </c>
      <c r="C466" t="str">
        <f>정규화데이터!C466</f>
        <v>2026-02-10</v>
      </c>
      <c r="D466" t="str">
        <f>정규화데이터!D466</f>
        <v>58481090</v>
      </c>
      <c r="E466" s="16" t="str">
        <f>정규화데이터!E466</f>
        <v>미매핑</v>
      </c>
      <c r="F466" s="3">
        <f>정규화데이터!F466</f>
        <v>1</v>
      </c>
      <c r="G466" s="3">
        <f>정규화데이터!G466</f>
        <v>1</v>
      </c>
      <c r="H466" s="3">
        <f>정규화데이터!H466</f>
        <v>119000</v>
      </c>
      <c r="I466" s="3">
        <f>정규화데이터!I466</f>
        <v>119000</v>
      </c>
      <c r="J466" s="3">
        <f>정규화데이터!J466</f>
        <v>82110</v>
      </c>
      <c r="K466" s="25">
        <f>정규화데이터!K466</f>
        <v>0</v>
      </c>
      <c r="L466" s="25">
        <f>정규화데이터!L466</f>
        <v>82110</v>
      </c>
      <c r="M466" s="21">
        <f t="shared" si="14"/>
        <v>0</v>
      </c>
      <c r="N466" s="52">
        <f t="shared" si="15"/>
        <v>0</v>
      </c>
    </row>
    <row r="467" spans="1:14" x14ac:dyDescent="0.3">
      <c r="A467" t="str">
        <f>정규화데이터!A467</f>
        <v>SK스토아</v>
      </c>
      <c r="B467" t="str">
        <f>정규화데이터!B467</f>
        <v>20260208250075</v>
      </c>
      <c r="C467" t="str">
        <f>정규화데이터!C467</f>
        <v>2026-02-10</v>
      </c>
      <c r="D467" t="str">
        <f>정규화데이터!D467</f>
        <v>58481090</v>
      </c>
      <c r="E467" s="16" t="str">
        <f>정규화데이터!E467</f>
        <v>미매핑</v>
      </c>
      <c r="F467" s="3">
        <f>정규화데이터!F467</f>
        <v>1</v>
      </c>
      <c r="G467" s="3">
        <f>정규화데이터!G467</f>
        <v>1</v>
      </c>
      <c r="H467" s="3">
        <f>정규화데이터!H467</f>
        <v>119000</v>
      </c>
      <c r="I467" s="3">
        <f>정규화데이터!I467</f>
        <v>119000</v>
      </c>
      <c r="J467" s="3">
        <f>정규화데이터!J467</f>
        <v>82110</v>
      </c>
      <c r="K467" s="25">
        <f>정규화데이터!K467</f>
        <v>0</v>
      </c>
      <c r="L467" s="25">
        <f>정규화데이터!L467</f>
        <v>82110</v>
      </c>
      <c r="M467" s="21">
        <f t="shared" si="14"/>
        <v>0</v>
      </c>
      <c r="N467" s="52">
        <f t="shared" si="15"/>
        <v>0</v>
      </c>
    </row>
    <row r="468" spans="1:14" x14ac:dyDescent="0.3">
      <c r="A468" t="str">
        <f>정규화데이터!A468</f>
        <v>SK스토아</v>
      </c>
      <c r="B468" t="str">
        <f>정규화데이터!B468</f>
        <v>20260205994926</v>
      </c>
      <c r="C468" t="str">
        <f>정규화데이터!C468</f>
        <v>2026-02-10</v>
      </c>
      <c r="D468" t="str">
        <f>정규화데이터!D468</f>
        <v>58481090</v>
      </c>
      <c r="E468" s="16" t="str">
        <f>정규화데이터!E468</f>
        <v>미매핑</v>
      </c>
      <c r="F468" s="3">
        <f>정규화데이터!F468</f>
        <v>1</v>
      </c>
      <c r="G468" s="3">
        <f>정규화데이터!G468</f>
        <v>1</v>
      </c>
      <c r="H468" s="3">
        <f>정규화데이터!H468</f>
        <v>119000</v>
      </c>
      <c r="I468" s="3">
        <f>정규화데이터!I468</f>
        <v>119000</v>
      </c>
      <c r="J468" s="3">
        <f>정규화데이터!J468</f>
        <v>82110</v>
      </c>
      <c r="K468" s="25">
        <f>정규화데이터!K468</f>
        <v>0</v>
      </c>
      <c r="L468" s="25">
        <f>정규화데이터!L468</f>
        <v>82110</v>
      </c>
      <c r="M468" s="21">
        <f t="shared" si="14"/>
        <v>0</v>
      </c>
      <c r="N468" s="52">
        <f t="shared" si="15"/>
        <v>0</v>
      </c>
    </row>
    <row r="469" spans="1:14" x14ac:dyDescent="0.3">
      <c r="A469" t="str">
        <f>정규화데이터!A469</f>
        <v>SK스토아</v>
      </c>
      <c r="B469" t="str">
        <f>정규화데이터!B469</f>
        <v>20260205993624</v>
      </c>
      <c r="C469" t="str">
        <f>정규화데이터!C469</f>
        <v>2026-02-10</v>
      </c>
      <c r="D469" t="str">
        <f>정규화데이터!D469</f>
        <v>58481090</v>
      </c>
      <c r="E469" s="16" t="str">
        <f>정규화데이터!E469</f>
        <v>미매핑</v>
      </c>
      <c r="F469" s="3">
        <f>정규화데이터!F469</f>
        <v>1</v>
      </c>
      <c r="G469" s="3">
        <f>정규화데이터!G469</f>
        <v>1</v>
      </c>
      <c r="H469" s="3">
        <f>정규화데이터!H469</f>
        <v>119000</v>
      </c>
      <c r="I469" s="3">
        <f>정규화데이터!I469</f>
        <v>119000</v>
      </c>
      <c r="J469" s="3">
        <f>정규화데이터!J469</f>
        <v>82110</v>
      </c>
      <c r="K469" s="25">
        <f>정규화데이터!K469</f>
        <v>0</v>
      </c>
      <c r="L469" s="25">
        <f>정규화데이터!L469</f>
        <v>82110</v>
      </c>
      <c r="M469" s="21">
        <f t="shared" si="14"/>
        <v>0</v>
      </c>
      <c r="N469" s="52">
        <f t="shared" si="15"/>
        <v>0</v>
      </c>
    </row>
    <row r="470" spans="1:14" x14ac:dyDescent="0.3">
      <c r="A470" t="str">
        <f>정규화데이터!A470</f>
        <v>SK스토아</v>
      </c>
      <c r="B470" t="str">
        <f>정규화데이터!B470</f>
        <v>20260205993757</v>
      </c>
      <c r="C470" t="str">
        <f>정규화데이터!C470</f>
        <v>2026-02-10</v>
      </c>
      <c r="D470" t="str">
        <f>정규화데이터!D470</f>
        <v>58481090</v>
      </c>
      <c r="E470" s="16" t="str">
        <f>정규화데이터!E470</f>
        <v>미매핑</v>
      </c>
      <c r="F470" s="3">
        <f>정규화데이터!F470</f>
        <v>1</v>
      </c>
      <c r="G470" s="3">
        <f>정규화데이터!G470</f>
        <v>1</v>
      </c>
      <c r="H470" s="3">
        <f>정규화데이터!H470</f>
        <v>119000</v>
      </c>
      <c r="I470" s="3">
        <f>정규화데이터!I470</f>
        <v>119000</v>
      </c>
      <c r="J470" s="3">
        <f>정규화데이터!J470</f>
        <v>82110</v>
      </c>
      <c r="K470" s="25">
        <f>정규화데이터!K470</f>
        <v>0</v>
      </c>
      <c r="L470" s="25">
        <f>정규화데이터!L470</f>
        <v>82110</v>
      </c>
      <c r="M470" s="21">
        <f t="shared" si="14"/>
        <v>0</v>
      </c>
      <c r="N470" s="52">
        <f t="shared" si="15"/>
        <v>0</v>
      </c>
    </row>
    <row r="471" spans="1:14" x14ac:dyDescent="0.3">
      <c r="A471" t="str">
        <f>정규화데이터!A471</f>
        <v>SK스토아</v>
      </c>
      <c r="B471" t="str">
        <f>정규화데이터!B471</f>
        <v>20260205994369</v>
      </c>
      <c r="C471" t="str">
        <f>정규화데이터!C471</f>
        <v>2026-02-10</v>
      </c>
      <c r="D471" t="str">
        <f>정규화데이터!D471</f>
        <v>58481090</v>
      </c>
      <c r="E471" s="16" t="str">
        <f>정규화데이터!E471</f>
        <v>미매핑</v>
      </c>
      <c r="F471" s="3">
        <f>정규화데이터!F471</f>
        <v>1</v>
      </c>
      <c r="G471" s="3">
        <f>정규화데이터!G471</f>
        <v>1</v>
      </c>
      <c r="H471" s="3">
        <f>정규화데이터!H471</f>
        <v>119000</v>
      </c>
      <c r="I471" s="3">
        <f>정규화데이터!I471</f>
        <v>119000</v>
      </c>
      <c r="J471" s="3">
        <f>정규화데이터!J471</f>
        <v>82110</v>
      </c>
      <c r="K471" s="25">
        <f>정규화데이터!K471</f>
        <v>0</v>
      </c>
      <c r="L471" s="25">
        <f>정규화데이터!L471</f>
        <v>82110</v>
      </c>
      <c r="M471" s="21">
        <f t="shared" si="14"/>
        <v>0</v>
      </c>
      <c r="N471" s="52">
        <f t="shared" si="15"/>
        <v>0</v>
      </c>
    </row>
    <row r="472" spans="1:14" x14ac:dyDescent="0.3">
      <c r="A472" t="str">
        <f>정규화데이터!A472</f>
        <v>SK스토아</v>
      </c>
      <c r="B472" t="str">
        <f>정규화데이터!B472</f>
        <v>20260206641134</v>
      </c>
      <c r="C472" t="str">
        <f>정규화데이터!C472</f>
        <v>2026-02-10</v>
      </c>
      <c r="D472" t="str">
        <f>정규화데이터!D472</f>
        <v>58481090</v>
      </c>
      <c r="E472" s="16" t="str">
        <f>정규화데이터!E472</f>
        <v>미매핑</v>
      </c>
      <c r="F472" s="3">
        <f>정규화데이터!F472</f>
        <v>1</v>
      </c>
      <c r="G472" s="3">
        <f>정규화데이터!G472</f>
        <v>1</v>
      </c>
      <c r="H472" s="3">
        <f>정규화데이터!H472</f>
        <v>119000</v>
      </c>
      <c r="I472" s="3">
        <f>정규화데이터!I472</f>
        <v>119000</v>
      </c>
      <c r="J472" s="3">
        <f>정규화데이터!J472</f>
        <v>82110</v>
      </c>
      <c r="K472" s="25">
        <f>정규화데이터!K472</f>
        <v>0</v>
      </c>
      <c r="L472" s="25">
        <f>정규화데이터!L472</f>
        <v>82110</v>
      </c>
      <c r="M472" s="21">
        <f t="shared" si="14"/>
        <v>0</v>
      </c>
      <c r="N472" s="52">
        <f t="shared" si="15"/>
        <v>0</v>
      </c>
    </row>
    <row r="473" spans="1:14" x14ac:dyDescent="0.3">
      <c r="A473" t="str">
        <f>정규화데이터!A473</f>
        <v>SK스토아</v>
      </c>
      <c r="B473" t="str">
        <f>정규화데이터!B473</f>
        <v>20260208251315</v>
      </c>
      <c r="C473" t="str">
        <f>정규화데이터!C473</f>
        <v>2026-02-10</v>
      </c>
      <c r="D473" t="str">
        <f>정규화데이터!D473</f>
        <v>58481090</v>
      </c>
      <c r="E473" s="16" t="str">
        <f>정규화데이터!E473</f>
        <v>미매핑</v>
      </c>
      <c r="F473" s="3">
        <f>정규화데이터!F473</f>
        <v>1</v>
      </c>
      <c r="G473" s="3">
        <f>정규화데이터!G473</f>
        <v>1</v>
      </c>
      <c r="H473" s="3">
        <f>정규화데이터!H473</f>
        <v>119000</v>
      </c>
      <c r="I473" s="3">
        <f>정규화데이터!I473</f>
        <v>119000</v>
      </c>
      <c r="J473" s="3">
        <f>정규화데이터!J473</f>
        <v>82110</v>
      </c>
      <c r="K473" s="25">
        <f>정규화데이터!K473</f>
        <v>0</v>
      </c>
      <c r="L473" s="25">
        <f>정규화데이터!L473</f>
        <v>82110</v>
      </c>
      <c r="M473" s="21">
        <f t="shared" si="14"/>
        <v>0</v>
      </c>
      <c r="N473" s="52">
        <f t="shared" si="15"/>
        <v>0</v>
      </c>
    </row>
    <row r="474" spans="1:14" x14ac:dyDescent="0.3">
      <c r="A474" t="str">
        <f>정규화데이터!A474</f>
        <v>SK스토아</v>
      </c>
      <c r="B474" t="str">
        <f>정규화데이터!B474</f>
        <v>20260205994412</v>
      </c>
      <c r="C474" t="str">
        <f>정규화데이터!C474</f>
        <v>2026-02-10</v>
      </c>
      <c r="D474" t="str">
        <f>정규화데이터!D474</f>
        <v>58481090</v>
      </c>
      <c r="E474" s="16" t="str">
        <f>정규화데이터!E474</f>
        <v>미매핑</v>
      </c>
      <c r="F474" s="3">
        <f>정규화데이터!F474</f>
        <v>1</v>
      </c>
      <c r="G474" s="3">
        <f>정규화데이터!G474</f>
        <v>1</v>
      </c>
      <c r="H474" s="3">
        <f>정규화데이터!H474</f>
        <v>119000</v>
      </c>
      <c r="I474" s="3">
        <f>정규화데이터!I474</f>
        <v>119000</v>
      </c>
      <c r="J474" s="3">
        <f>정규화데이터!J474</f>
        <v>82110</v>
      </c>
      <c r="K474" s="25">
        <f>정규화데이터!K474</f>
        <v>0</v>
      </c>
      <c r="L474" s="25">
        <f>정규화데이터!L474</f>
        <v>82110</v>
      </c>
      <c r="M474" s="21">
        <f t="shared" si="14"/>
        <v>0</v>
      </c>
      <c r="N474" s="52">
        <f t="shared" si="15"/>
        <v>0</v>
      </c>
    </row>
    <row r="475" spans="1:14" x14ac:dyDescent="0.3">
      <c r="A475" t="str">
        <f>정규화데이터!A475</f>
        <v>SK스토아</v>
      </c>
      <c r="B475" t="str">
        <f>정규화데이터!B475</f>
        <v>20260210360594</v>
      </c>
      <c r="C475" t="str">
        <f>정규화데이터!C475</f>
        <v>2026-02-10</v>
      </c>
      <c r="D475" t="str">
        <f>정규화데이터!D475</f>
        <v>58481090</v>
      </c>
      <c r="E475" s="16" t="str">
        <f>정규화데이터!E475</f>
        <v>미매핑</v>
      </c>
      <c r="F475" s="3">
        <f>정규화데이터!F475</f>
        <v>1</v>
      </c>
      <c r="G475" s="3">
        <f>정규화데이터!G475</f>
        <v>-1</v>
      </c>
      <c r="H475" s="3">
        <f>정규화데이터!H475</f>
        <v>119000</v>
      </c>
      <c r="I475" s="3">
        <f>정규화데이터!I475</f>
        <v>-119000</v>
      </c>
      <c r="J475" s="3">
        <f>정규화데이터!J475</f>
        <v>-80920</v>
      </c>
      <c r="K475" s="25">
        <f>정규화데이터!K475</f>
        <v>0</v>
      </c>
      <c r="L475" s="25">
        <f>정규화데이터!L475</f>
        <v>-80920</v>
      </c>
      <c r="M475" s="21">
        <f t="shared" si="14"/>
        <v>0</v>
      </c>
      <c r="N475" s="52">
        <f t="shared" si="15"/>
        <v>0</v>
      </c>
    </row>
    <row r="476" spans="1:14" x14ac:dyDescent="0.3">
      <c r="A476" t="str">
        <f>정규화데이터!A476</f>
        <v>SK스토아</v>
      </c>
      <c r="B476" t="str">
        <f>정규화데이터!B476</f>
        <v>20260206650034</v>
      </c>
      <c r="C476" t="str">
        <f>정규화데이터!C476</f>
        <v>2026-02-10</v>
      </c>
      <c r="D476" t="str">
        <f>정규화데이터!D476</f>
        <v>59163204</v>
      </c>
      <c r="E476" s="16" t="str">
        <f>정규화데이터!E476</f>
        <v>미매핑</v>
      </c>
      <c r="F476" s="3">
        <f>정규화데이터!F476</f>
        <v>1</v>
      </c>
      <c r="G476" s="3">
        <f>정규화데이터!G476</f>
        <v>1</v>
      </c>
      <c r="H476" s="3">
        <f>정규화데이터!H476</f>
        <v>78000</v>
      </c>
      <c r="I476" s="3">
        <f>정규화데이터!I476</f>
        <v>78000</v>
      </c>
      <c r="J476" s="3">
        <f>정규화데이터!J476</f>
        <v>53820</v>
      </c>
      <c r="K476" s="25">
        <f>정규화데이터!K476</f>
        <v>0</v>
      </c>
      <c r="L476" s="25">
        <f>정규화데이터!L476</f>
        <v>53820</v>
      </c>
      <c r="M476" s="21">
        <f t="shared" si="14"/>
        <v>0</v>
      </c>
      <c r="N476" s="52">
        <f t="shared" si="15"/>
        <v>0</v>
      </c>
    </row>
    <row r="477" spans="1:14" x14ac:dyDescent="0.3">
      <c r="A477" t="str">
        <f>정규화데이터!A477</f>
        <v>SK스토아</v>
      </c>
      <c r="B477" t="str">
        <f>정규화데이터!B477</f>
        <v>20260208250982</v>
      </c>
      <c r="C477" t="str">
        <f>정규화데이터!C477</f>
        <v>2026-02-10</v>
      </c>
      <c r="D477" t="str">
        <f>정규화데이터!D477</f>
        <v>59163204</v>
      </c>
      <c r="E477" s="16" t="str">
        <f>정규화데이터!E477</f>
        <v>미매핑</v>
      </c>
      <c r="F477" s="3">
        <f>정규화데이터!F477</f>
        <v>1</v>
      </c>
      <c r="G477" s="3">
        <f>정규화데이터!G477</f>
        <v>1</v>
      </c>
      <c r="H477" s="3">
        <f>정규화데이터!H477</f>
        <v>78000</v>
      </c>
      <c r="I477" s="3">
        <f>정규화데이터!I477</f>
        <v>65520</v>
      </c>
      <c r="J477" s="3">
        <f>정규화데이터!J477</f>
        <v>53820</v>
      </c>
      <c r="K477" s="25">
        <f>정규화데이터!K477</f>
        <v>0</v>
      </c>
      <c r="L477" s="25">
        <f>정규화데이터!L477</f>
        <v>53820</v>
      </c>
      <c r="M477" s="21">
        <f t="shared" si="14"/>
        <v>0</v>
      </c>
      <c r="N477" s="52">
        <f t="shared" si="15"/>
        <v>0</v>
      </c>
    </row>
    <row r="478" spans="1:14" x14ac:dyDescent="0.3">
      <c r="A478" t="str">
        <f>정규화데이터!A478</f>
        <v>SK스토아</v>
      </c>
      <c r="B478" t="str">
        <f>정규화데이터!B478</f>
        <v>20260207149611</v>
      </c>
      <c r="C478" t="str">
        <f>정규화데이터!C478</f>
        <v>2026-02-10</v>
      </c>
      <c r="D478" t="str">
        <f>정규화데이터!D478</f>
        <v>59163204</v>
      </c>
      <c r="E478" s="16" t="str">
        <f>정규화데이터!E478</f>
        <v>미매핑</v>
      </c>
      <c r="F478" s="3">
        <f>정규화데이터!F478</f>
        <v>1</v>
      </c>
      <c r="G478" s="3">
        <f>정규화데이터!G478</f>
        <v>1</v>
      </c>
      <c r="H478" s="3">
        <f>정규화데이터!H478</f>
        <v>78000</v>
      </c>
      <c r="I478" s="3">
        <f>정규화데이터!I478</f>
        <v>66300</v>
      </c>
      <c r="J478" s="3">
        <f>정규화데이터!J478</f>
        <v>53820</v>
      </c>
      <c r="K478" s="25">
        <f>정규화데이터!K478</f>
        <v>0</v>
      </c>
      <c r="L478" s="25">
        <f>정규화데이터!L478</f>
        <v>53820</v>
      </c>
      <c r="M478" s="21">
        <f t="shared" si="14"/>
        <v>0</v>
      </c>
      <c r="N478" s="52">
        <f t="shared" si="15"/>
        <v>0</v>
      </c>
    </row>
    <row r="479" spans="1:14" x14ac:dyDescent="0.3">
      <c r="A479" t="str">
        <f>정규화데이터!A479</f>
        <v>SK스토아</v>
      </c>
      <c r="B479" t="str">
        <f>정규화데이터!B479</f>
        <v>20260209883427</v>
      </c>
      <c r="C479" t="str">
        <f>정규화데이터!C479</f>
        <v>2026-02-11</v>
      </c>
      <c r="D479" t="str">
        <f>정규화데이터!D479</f>
        <v>58481090</v>
      </c>
      <c r="E479" s="16" t="str">
        <f>정규화데이터!E479</f>
        <v>미매핑</v>
      </c>
      <c r="F479" s="3">
        <f>정규화데이터!F479</f>
        <v>1</v>
      </c>
      <c r="G479" s="3">
        <f>정규화데이터!G479</f>
        <v>1</v>
      </c>
      <c r="H479" s="3">
        <f>정규화데이터!H479</f>
        <v>119000</v>
      </c>
      <c r="I479" s="3">
        <f>정규화데이터!I479</f>
        <v>113050</v>
      </c>
      <c r="J479" s="3">
        <f>정규화데이터!J479</f>
        <v>82110</v>
      </c>
      <c r="K479" s="25">
        <f>정규화데이터!K479</f>
        <v>0</v>
      </c>
      <c r="L479" s="25">
        <f>정규화데이터!L479</f>
        <v>82110</v>
      </c>
      <c r="M479" s="21">
        <f t="shared" si="14"/>
        <v>0</v>
      </c>
      <c r="N479" s="52">
        <f t="shared" si="15"/>
        <v>0</v>
      </c>
    </row>
    <row r="480" spans="1:14" x14ac:dyDescent="0.3">
      <c r="A480" t="str">
        <f>정규화데이터!A480</f>
        <v>SK스토아</v>
      </c>
      <c r="B480" t="str">
        <f>정규화데이터!B480</f>
        <v>20260210360516</v>
      </c>
      <c r="C480" t="str">
        <f>정규화데이터!C480</f>
        <v>2026-02-11</v>
      </c>
      <c r="D480" t="str">
        <f>정규화데이터!D480</f>
        <v>58481090</v>
      </c>
      <c r="E480" s="16" t="str">
        <f>정규화데이터!E480</f>
        <v>미매핑</v>
      </c>
      <c r="F480" s="3">
        <f>정규화데이터!F480</f>
        <v>1</v>
      </c>
      <c r="G480" s="3">
        <f>정규화데이터!G480</f>
        <v>-1</v>
      </c>
      <c r="H480" s="3">
        <f>정규화데이터!H480</f>
        <v>119000</v>
      </c>
      <c r="I480" s="3">
        <f>정규화데이터!I480</f>
        <v>-119000</v>
      </c>
      <c r="J480" s="3">
        <f>정규화데이터!J480</f>
        <v>-80920</v>
      </c>
      <c r="K480" s="25">
        <f>정규화데이터!K480</f>
        <v>0</v>
      </c>
      <c r="L480" s="25">
        <f>정규화데이터!L480</f>
        <v>-80920</v>
      </c>
      <c r="M480" s="21">
        <f t="shared" si="14"/>
        <v>0</v>
      </c>
      <c r="N480" s="52">
        <f t="shared" si="15"/>
        <v>0</v>
      </c>
    </row>
    <row r="481" spans="1:14" x14ac:dyDescent="0.3">
      <c r="A481" t="str">
        <f>정규화데이터!A481</f>
        <v>SK스토아</v>
      </c>
      <c r="B481" t="str">
        <f>정규화데이터!B481</f>
        <v>20260210360516</v>
      </c>
      <c r="C481" t="str">
        <f>정규화데이터!C481</f>
        <v>2026-02-11</v>
      </c>
      <c r="D481" t="str">
        <f>정규화데이터!D481</f>
        <v>58481090</v>
      </c>
      <c r="E481" s="16" t="str">
        <f>정규화데이터!E481</f>
        <v>미매핑</v>
      </c>
      <c r="F481" s="3">
        <f>정규화데이터!F481</f>
        <v>1</v>
      </c>
      <c r="G481" s="3">
        <f>정규화데이터!G481</f>
        <v>1</v>
      </c>
      <c r="H481" s="3">
        <f>정규화데이터!H481</f>
        <v>119000</v>
      </c>
      <c r="I481" s="3">
        <f>정규화데이터!I481</f>
        <v>119000</v>
      </c>
      <c r="J481" s="3">
        <f>정규화데이터!J481</f>
        <v>80920</v>
      </c>
      <c r="K481" s="25">
        <f>정규화데이터!K481</f>
        <v>0</v>
      </c>
      <c r="L481" s="25">
        <f>정규화데이터!L481</f>
        <v>80920</v>
      </c>
      <c r="M481" s="21">
        <f t="shared" si="14"/>
        <v>0</v>
      </c>
      <c r="N481" s="52">
        <f t="shared" si="15"/>
        <v>0</v>
      </c>
    </row>
    <row r="482" spans="1:14" x14ac:dyDescent="0.3">
      <c r="A482" t="str">
        <f>정규화데이터!A482</f>
        <v>SK스토아</v>
      </c>
      <c r="B482" t="str">
        <f>정규화데이터!B482</f>
        <v>20260209904260</v>
      </c>
      <c r="C482" t="str">
        <f>정규화데이터!C482</f>
        <v>2026-02-11</v>
      </c>
      <c r="D482" t="str">
        <f>정규화데이터!D482</f>
        <v>58481090</v>
      </c>
      <c r="E482" s="16" t="str">
        <f>정규화데이터!E482</f>
        <v>미매핑</v>
      </c>
      <c r="F482" s="3">
        <f>정규화데이터!F482</f>
        <v>1</v>
      </c>
      <c r="G482" s="3">
        <f>정규화데이터!G482</f>
        <v>1</v>
      </c>
      <c r="H482" s="3">
        <f>정규화데이터!H482</f>
        <v>119000</v>
      </c>
      <c r="I482" s="3">
        <f>정규화데이터!I482</f>
        <v>119000</v>
      </c>
      <c r="J482" s="3">
        <f>정규화데이터!J482</f>
        <v>80920</v>
      </c>
      <c r="K482" s="25">
        <f>정규화데이터!K482</f>
        <v>0</v>
      </c>
      <c r="L482" s="25">
        <f>정규화데이터!L482</f>
        <v>80920</v>
      </c>
      <c r="M482" s="21">
        <f t="shared" si="14"/>
        <v>0</v>
      </c>
      <c r="N482" s="52">
        <f t="shared" si="15"/>
        <v>0</v>
      </c>
    </row>
    <row r="483" spans="1:14" x14ac:dyDescent="0.3">
      <c r="A483" t="str">
        <f>정규화데이터!A483</f>
        <v>SK스토아</v>
      </c>
      <c r="B483" t="str">
        <f>정규화데이터!B483</f>
        <v>20260209896967</v>
      </c>
      <c r="C483" t="str">
        <f>정규화데이터!C483</f>
        <v>2026-02-11</v>
      </c>
      <c r="D483" t="str">
        <f>정규화데이터!D483</f>
        <v>58481090</v>
      </c>
      <c r="E483" s="16" t="str">
        <f>정규화데이터!E483</f>
        <v>미매핑</v>
      </c>
      <c r="F483" s="3">
        <f>정규화데이터!F483</f>
        <v>1</v>
      </c>
      <c r="G483" s="3">
        <f>정규화데이터!G483</f>
        <v>4</v>
      </c>
      <c r="H483" s="3">
        <f>정규화데이터!H483</f>
        <v>119000</v>
      </c>
      <c r="I483" s="3">
        <f>정규화데이터!I483</f>
        <v>452200</v>
      </c>
      <c r="J483" s="3">
        <f>정규화데이터!J483</f>
        <v>328440</v>
      </c>
      <c r="K483" s="25">
        <f>정규화데이터!K483</f>
        <v>0</v>
      </c>
      <c r="L483" s="25">
        <f>정규화데이터!L483</f>
        <v>328440</v>
      </c>
      <c r="M483" s="21">
        <f t="shared" si="14"/>
        <v>0</v>
      </c>
      <c r="N483" s="52">
        <f t="shared" si="15"/>
        <v>0</v>
      </c>
    </row>
    <row r="484" spans="1:14" x14ac:dyDescent="0.3">
      <c r="A484" t="str">
        <f>정규화데이터!A484</f>
        <v>SK스토아</v>
      </c>
      <c r="B484" t="str">
        <f>정규화데이터!B484</f>
        <v>20260209898425</v>
      </c>
      <c r="C484" t="str">
        <f>정규화데이터!C484</f>
        <v>2026-02-11</v>
      </c>
      <c r="D484" t="str">
        <f>정규화데이터!D484</f>
        <v>58481090</v>
      </c>
      <c r="E484" s="16" t="str">
        <f>정규화데이터!E484</f>
        <v>미매핑</v>
      </c>
      <c r="F484" s="3">
        <f>정규화데이터!F484</f>
        <v>1</v>
      </c>
      <c r="G484" s="3">
        <f>정규화데이터!G484</f>
        <v>1</v>
      </c>
      <c r="H484" s="3">
        <f>정규화데이터!H484</f>
        <v>119000</v>
      </c>
      <c r="I484" s="3">
        <f>정규화데이터!I484</f>
        <v>113050</v>
      </c>
      <c r="J484" s="3">
        <f>정규화데이터!J484</f>
        <v>82110</v>
      </c>
      <c r="K484" s="25">
        <f>정규화데이터!K484</f>
        <v>0</v>
      </c>
      <c r="L484" s="25">
        <f>정규화데이터!L484</f>
        <v>82110</v>
      </c>
      <c r="M484" s="21">
        <f t="shared" si="14"/>
        <v>0</v>
      </c>
      <c r="N484" s="52">
        <f t="shared" si="15"/>
        <v>0</v>
      </c>
    </row>
    <row r="485" spans="1:14" x14ac:dyDescent="0.3">
      <c r="A485" t="str">
        <f>정규화데이터!A485</f>
        <v>SK스토아</v>
      </c>
      <c r="B485" t="str">
        <f>정규화데이터!B485</f>
        <v>20260208247573</v>
      </c>
      <c r="C485" t="str">
        <f>정규화데이터!C485</f>
        <v>2026-02-11</v>
      </c>
      <c r="D485" t="str">
        <f>정규화데이터!D485</f>
        <v>58481090</v>
      </c>
      <c r="E485" s="16" t="str">
        <f>정규화데이터!E485</f>
        <v>미매핑</v>
      </c>
      <c r="F485" s="3">
        <f>정규화데이터!F485</f>
        <v>1</v>
      </c>
      <c r="G485" s="3">
        <f>정규화데이터!G485</f>
        <v>1</v>
      </c>
      <c r="H485" s="3">
        <f>정규화데이터!H485</f>
        <v>119000</v>
      </c>
      <c r="I485" s="3">
        <f>정규화데이터!I485</f>
        <v>109000</v>
      </c>
      <c r="J485" s="3">
        <f>정규화데이터!J485</f>
        <v>82110</v>
      </c>
      <c r="K485" s="25">
        <f>정규화데이터!K485</f>
        <v>0</v>
      </c>
      <c r="L485" s="25">
        <f>정규화데이터!L485</f>
        <v>82110</v>
      </c>
      <c r="M485" s="21">
        <f t="shared" si="14"/>
        <v>0</v>
      </c>
      <c r="N485" s="52">
        <f t="shared" si="15"/>
        <v>0</v>
      </c>
    </row>
    <row r="486" spans="1:14" x14ac:dyDescent="0.3">
      <c r="A486" t="str">
        <f>정규화데이터!A486</f>
        <v>SK스토아</v>
      </c>
      <c r="B486" t="str">
        <f>정규화데이터!B486</f>
        <v>20260209919611</v>
      </c>
      <c r="C486" t="str">
        <f>정규화데이터!C486</f>
        <v>2026-02-11</v>
      </c>
      <c r="D486" t="str">
        <f>정규화데이터!D486</f>
        <v>58481090</v>
      </c>
      <c r="E486" s="16" t="str">
        <f>정규화데이터!E486</f>
        <v>미매핑</v>
      </c>
      <c r="F486" s="3">
        <f>정규화데이터!F486</f>
        <v>1</v>
      </c>
      <c r="G486" s="3">
        <f>정규화데이터!G486</f>
        <v>1</v>
      </c>
      <c r="H486" s="3">
        <f>정규화데이터!H486</f>
        <v>119000</v>
      </c>
      <c r="I486" s="3">
        <f>정규화데이터!I486</f>
        <v>95200</v>
      </c>
      <c r="J486" s="3">
        <f>정규화데이터!J486</f>
        <v>80920</v>
      </c>
      <c r="K486" s="25">
        <f>정규화데이터!K486</f>
        <v>0</v>
      </c>
      <c r="L486" s="25">
        <f>정규화데이터!L486</f>
        <v>80920</v>
      </c>
      <c r="M486" s="21">
        <f t="shared" si="14"/>
        <v>0</v>
      </c>
      <c r="N486" s="52">
        <f t="shared" si="15"/>
        <v>0</v>
      </c>
    </row>
    <row r="487" spans="1:14" x14ac:dyDescent="0.3">
      <c r="A487" t="str">
        <f>정규화데이터!A487</f>
        <v>SK스토아</v>
      </c>
      <c r="B487" t="str">
        <f>정규화데이터!B487</f>
        <v>20260205995605</v>
      </c>
      <c r="C487" t="str">
        <f>정규화데이터!C487</f>
        <v>2026-02-11</v>
      </c>
      <c r="D487" t="str">
        <f>정규화데이터!D487</f>
        <v>58481090</v>
      </c>
      <c r="E487" s="16" t="str">
        <f>정규화데이터!E487</f>
        <v>미매핑</v>
      </c>
      <c r="F487" s="3">
        <f>정규화데이터!F487</f>
        <v>1</v>
      </c>
      <c r="G487" s="3">
        <f>정규화데이터!G487</f>
        <v>1</v>
      </c>
      <c r="H487" s="3">
        <f>정규화데이터!H487</f>
        <v>119000</v>
      </c>
      <c r="I487" s="3">
        <f>정규화데이터!I487</f>
        <v>119000</v>
      </c>
      <c r="J487" s="3">
        <f>정규화데이터!J487</f>
        <v>82110</v>
      </c>
      <c r="K487" s="25">
        <f>정규화데이터!K487</f>
        <v>0</v>
      </c>
      <c r="L487" s="25">
        <f>정규화데이터!L487</f>
        <v>82110</v>
      </c>
      <c r="M487" s="21">
        <f t="shared" si="14"/>
        <v>0</v>
      </c>
      <c r="N487" s="52">
        <f t="shared" si="15"/>
        <v>0</v>
      </c>
    </row>
    <row r="488" spans="1:14" x14ac:dyDescent="0.3">
      <c r="A488" t="str">
        <f>정규화데이터!A488</f>
        <v>SK스토아</v>
      </c>
      <c r="B488" t="str">
        <f>정규화데이터!B488</f>
        <v>20260209889552</v>
      </c>
      <c r="C488" t="str">
        <f>정규화데이터!C488</f>
        <v>2026-02-11</v>
      </c>
      <c r="D488" t="str">
        <f>정규화데이터!D488</f>
        <v>58481090</v>
      </c>
      <c r="E488" s="16" t="str">
        <f>정규화데이터!E488</f>
        <v>미매핑</v>
      </c>
      <c r="F488" s="3">
        <f>정규화데이터!F488</f>
        <v>1</v>
      </c>
      <c r="G488" s="3">
        <f>정규화데이터!G488</f>
        <v>1</v>
      </c>
      <c r="H488" s="3">
        <f>정규화데이터!H488</f>
        <v>119000</v>
      </c>
      <c r="I488" s="3">
        <f>정규화데이터!I488</f>
        <v>118180</v>
      </c>
      <c r="J488" s="3">
        <f>정규화데이터!J488</f>
        <v>82110</v>
      </c>
      <c r="K488" s="25">
        <f>정규화데이터!K488</f>
        <v>0</v>
      </c>
      <c r="L488" s="25">
        <f>정규화데이터!L488</f>
        <v>82110</v>
      </c>
      <c r="M488" s="21">
        <f t="shared" si="14"/>
        <v>0</v>
      </c>
      <c r="N488" s="52">
        <f t="shared" si="15"/>
        <v>0</v>
      </c>
    </row>
    <row r="489" spans="1:14" x14ac:dyDescent="0.3">
      <c r="A489" t="str">
        <f>정규화데이터!A489</f>
        <v>SK스토아</v>
      </c>
      <c r="B489" t="str">
        <f>정규화데이터!B489</f>
        <v>20260205993840</v>
      </c>
      <c r="C489" t="str">
        <f>정규화데이터!C489</f>
        <v>2026-02-11</v>
      </c>
      <c r="D489" t="str">
        <f>정규화데이터!D489</f>
        <v>58481090</v>
      </c>
      <c r="E489" s="16" t="str">
        <f>정규화데이터!E489</f>
        <v>미매핑</v>
      </c>
      <c r="F489" s="3">
        <f>정규화데이터!F489</f>
        <v>1</v>
      </c>
      <c r="G489" s="3">
        <f>정규화데이터!G489</f>
        <v>1</v>
      </c>
      <c r="H489" s="3">
        <f>정규화데이터!H489</f>
        <v>119000</v>
      </c>
      <c r="I489" s="3">
        <f>정규화데이터!I489</f>
        <v>119000</v>
      </c>
      <c r="J489" s="3">
        <f>정규화데이터!J489</f>
        <v>82110</v>
      </c>
      <c r="K489" s="25">
        <f>정규화데이터!K489</f>
        <v>0</v>
      </c>
      <c r="L489" s="25">
        <f>정규화데이터!L489</f>
        <v>82110</v>
      </c>
      <c r="M489" s="21">
        <f t="shared" si="14"/>
        <v>0</v>
      </c>
      <c r="N489" s="52">
        <f t="shared" si="15"/>
        <v>0</v>
      </c>
    </row>
    <row r="490" spans="1:14" x14ac:dyDescent="0.3">
      <c r="A490" t="str">
        <f>정규화데이터!A490</f>
        <v>SK스토아</v>
      </c>
      <c r="B490" t="str">
        <f>정규화데이터!B490</f>
        <v>20260205992722</v>
      </c>
      <c r="C490" t="str">
        <f>정규화데이터!C490</f>
        <v>2026-02-11</v>
      </c>
      <c r="D490" t="str">
        <f>정규화데이터!D490</f>
        <v>58481090</v>
      </c>
      <c r="E490" s="16" t="str">
        <f>정규화데이터!E490</f>
        <v>미매핑</v>
      </c>
      <c r="F490" s="3">
        <f>정규화데이터!F490</f>
        <v>1</v>
      </c>
      <c r="G490" s="3">
        <f>정규화데이터!G490</f>
        <v>1</v>
      </c>
      <c r="H490" s="3">
        <f>정규화데이터!H490</f>
        <v>119000</v>
      </c>
      <c r="I490" s="3">
        <f>정규화데이터!I490</f>
        <v>119000</v>
      </c>
      <c r="J490" s="3">
        <f>정규화데이터!J490</f>
        <v>82110</v>
      </c>
      <c r="K490" s="25">
        <f>정규화데이터!K490</f>
        <v>0</v>
      </c>
      <c r="L490" s="25">
        <f>정규화데이터!L490</f>
        <v>82110</v>
      </c>
      <c r="M490" s="21">
        <f t="shared" si="14"/>
        <v>0</v>
      </c>
      <c r="N490" s="52">
        <f t="shared" si="15"/>
        <v>0</v>
      </c>
    </row>
    <row r="491" spans="1:14" x14ac:dyDescent="0.3">
      <c r="A491" t="str">
        <f>정규화데이터!A491</f>
        <v>SK스토아</v>
      </c>
      <c r="B491" t="str">
        <f>정규화데이터!B491</f>
        <v>20260210347699</v>
      </c>
      <c r="C491" t="str">
        <f>정규화데이터!C491</f>
        <v>2026-02-11</v>
      </c>
      <c r="D491" t="str">
        <f>정규화데이터!D491</f>
        <v>58481090</v>
      </c>
      <c r="E491" s="16" t="str">
        <f>정규화데이터!E491</f>
        <v>미매핑</v>
      </c>
      <c r="F491" s="3">
        <f>정규화데이터!F491</f>
        <v>1</v>
      </c>
      <c r="G491" s="3">
        <f>정규화데이터!G491</f>
        <v>1</v>
      </c>
      <c r="H491" s="3">
        <f>정규화데이터!H491</f>
        <v>119000</v>
      </c>
      <c r="I491" s="3">
        <f>정규화데이터!I491</f>
        <v>98770</v>
      </c>
      <c r="J491" s="3">
        <f>정규화데이터!J491</f>
        <v>80920</v>
      </c>
      <c r="K491" s="25">
        <f>정규화데이터!K491</f>
        <v>0</v>
      </c>
      <c r="L491" s="25">
        <f>정규화데이터!L491</f>
        <v>80920</v>
      </c>
      <c r="M491" s="21">
        <f t="shared" si="14"/>
        <v>0</v>
      </c>
      <c r="N491" s="52">
        <f t="shared" si="15"/>
        <v>0</v>
      </c>
    </row>
    <row r="492" spans="1:14" x14ac:dyDescent="0.3">
      <c r="A492" t="str">
        <f>정규화데이터!A492</f>
        <v>SK스토아</v>
      </c>
      <c r="B492" t="str">
        <f>정규화데이터!B492</f>
        <v>20260205995560</v>
      </c>
      <c r="C492" t="str">
        <f>정규화데이터!C492</f>
        <v>2026-02-11</v>
      </c>
      <c r="D492" t="str">
        <f>정규화데이터!D492</f>
        <v>58481090</v>
      </c>
      <c r="E492" s="16" t="str">
        <f>정규화데이터!E492</f>
        <v>미매핑</v>
      </c>
      <c r="F492" s="3">
        <f>정규화데이터!F492</f>
        <v>1</v>
      </c>
      <c r="G492" s="3">
        <f>정규화데이터!G492</f>
        <v>1</v>
      </c>
      <c r="H492" s="3">
        <f>정규화데이터!H492</f>
        <v>119000</v>
      </c>
      <c r="I492" s="3">
        <f>정규화데이터!I492</f>
        <v>119000</v>
      </c>
      <c r="J492" s="3">
        <f>정규화데이터!J492</f>
        <v>82110</v>
      </c>
      <c r="K492" s="25">
        <f>정규화데이터!K492</f>
        <v>0</v>
      </c>
      <c r="L492" s="25">
        <f>정규화데이터!L492</f>
        <v>82110</v>
      </c>
      <c r="M492" s="21">
        <f t="shared" si="14"/>
        <v>0</v>
      </c>
      <c r="N492" s="52">
        <f t="shared" si="15"/>
        <v>0</v>
      </c>
    </row>
    <row r="493" spans="1:14" x14ac:dyDescent="0.3">
      <c r="A493" t="str">
        <f>정규화데이터!A493</f>
        <v>SK스토아</v>
      </c>
      <c r="B493" t="str">
        <f>정규화데이터!B493</f>
        <v>20260205994523</v>
      </c>
      <c r="C493" t="str">
        <f>정규화데이터!C493</f>
        <v>2026-02-11</v>
      </c>
      <c r="D493" t="str">
        <f>정규화데이터!D493</f>
        <v>58481090</v>
      </c>
      <c r="E493" s="16" t="str">
        <f>정규화데이터!E493</f>
        <v>미매핑</v>
      </c>
      <c r="F493" s="3">
        <f>정규화데이터!F493</f>
        <v>1</v>
      </c>
      <c r="G493" s="3">
        <f>정규화데이터!G493</f>
        <v>1</v>
      </c>
      <c r="H493" s="3">
        <f>정규화데이터!H493</f>
        <v>119000</v>
      </c>
      <c r="I493" s="3">
        <f>정규화데이터!I493</f>
        <v>119000</v>
      </c>
      <c r="J493" s="3">
        <f>정규화데이터!J493</f>
        <v>82110</v>
      </c>
      <c r="K493" s="25">
        <f>정규화데이터!K493</f>
        <v>0</v>
      </c>
      <c r="L493" s="25">
        <f>정규화데이터!L493</f>
        <v>82110</v>
      </c>
      <c r="M493" s="21">
        <f t="shared" si="14"/>
        <v>0</v>
      </c>
      <c r="N493" s="52">
        <f t="shared" si="15"/>
        <v>0</v>
      </c>
    </row>
    <row r="494" spans="1:14" x14ac:dyDescent="0.3">
      <c r="A494" t="str">
        <f>정규화데이터!A494</f>
        <v>SK스토아</v>
      </c>
      <c r="B494" t="str">
        <f>정규화데이터!B494</f>
        <v>20260209898048</v>
      </c>
      <c r="C494" t="str">
        <f>정규화데이터!C494</f>
        <v>2026-02-11</v>
      </c>
      <c r="D494" t="str">
        <f>정규화데이터!D494</f>
        <v>59163204</v>
      </c>
      <c r="E494" s="16" t="str">
        <f>정규화데이터!E494</f>
        <v>미매핑</v>
      </c>
      <c r="F494" s="3">
        <f>정규화데이터!F494</f>
        <v>1</v>
      </c>
      <c r="G494" s="3">
        <f>정규화데이터!G494</f>
        <v>1</v>
      </c>
      <c r="H494" s="3">
        <f>정규화데이터!H494</f>
        <v>78000</v>
      </c>
      <c r="I494" s="3">
        <f>정규화데이터!I494</f>
        <v>74100</v>
      </c>
      <c r="J494" s="3">
        <f>정규화데이터!J494</f>
        <v>53820</v>
      </c>
      <c r="K494" s="25">
        <f>정규화데이터!K494</f>
        <v>0</v>
      </c>
      <c r="L494" s="25">
        <f>정규화데이터!L494</f>
        <v>53820</v>
      </c>
      <c r="M494" s="21">
        <f t="shared" si="14"/>
        <v>0</v>
      </c>
      <c r="N494" s="52">
        <f t="shared" si="15"/>
        <v>0</v>
      </c>
    </row>
    <row r="495" spans="1:14" x14ac:dyDescent="0.3">
      <c r="A495" t="str">
        <f>정규화데이터!A495</f>
        <v>SK스토아</v>
      </c>
      <c r="B495" t="str">
        <f>정규화데이터!B495</f>
        <v>20260210361668</v>
      </c>
      <c r="C495" t="str">
        <f>정규화데이터!C495</f>
        <v>2026-02-12</v>
      </c>
      <c r="D495" t="str">
        <f>정규화데이터!D495</f>
        <v>58481090</v>
      </c>
      <c r="E495" s="16" t="str">
        <f>정규화데이터!E495</f>
        <v>미매핑</v>
      </c>
      <c r="F495" s="3">
        <f>정규화데이터!F495</f>
        <v>1</v>
      </c>
      <c r="G495" s="3">
        <f>정규화데이터!G495</f>
        <v>1</v>
      </c>
      <c r="H495" s="3">
        <f>정규화데이터!H495</f>
        <v>119000</v>
      </c>
      <c r="I495" s="3">
        <f>정규화데이터!I495</f>
        <v>119000</v>
      </c>
      <c r="J495" s="3">
        <f>정규화데이터!J495</f>
        <v>80920</v>
      </c>
      <c r="K495" s="25">
        <f>정규화데이터!K495</f>
        <v>0</v>
      </c>
      <c r="L495" s="25">
        <f>정규화데이터!L495</f>
        <v>80920</v>
      </c>
      <c r="M495" s="21">
        <f t="shared" si="14"/>
        <v>0</v>
      </c>
      <c r="N495" s="52">
        <f t="shared" si="15"/>
        <v>0</v>
      </c>
    </row>
    <row r="496" spans="1:14" x14ac:dyDescent="0.3">
      <c r="A496" t="str">
        <f>정규화데이터!A496</f>
        <v>SK스토아</v>
      </c>
      <c r="B496" t="str">
        <f>정규화데이터!B496</f>
        <v>20260210361308</v>
      </c>
      <c r="C496" t="str">
        <f>정규화데이터!C496</f>
        <v>2026-02-12</v>
      </c>
      <c r="D496" t="str">
        <f>정규화데이터!D496</f>
        <v>58481090</v>
      </c>
      <c r="E496" s="16" t="str">
        <f>정규화데이터!E496</f>
        <v>미매핑</v>
      </c>
      <c r="F496" s="3">
        <f>정규화데이터!F496</f>
        <v>1</v>
      </c>
      <c r="G496" s="3">
        <f>정규화데이터!G496</f>
        <v>1</v>
      </c>
      <c r="H496" s="3">
        <f>정규화데이터!H496</f>
        <v>119000</v>
      </c>
      <c r="I496" s="3">
        <f>정규화데이터!I496</f>
        <v>119000</v>
      </c>
      <c r="J496" s="3">
        <f>정규화데이터!J496</f>
        <v>80920</v>
      </c>
      <c r="K496" s="25">
        <f>정규화데이터!K496</f>
        <v>0</v>
      </c>
      <c r="L496" s="25">
        <f>정규화데이터!L496</f>
        <v>80920</v>
      </c>
      <c r="M496" s="21">
        <f t="shared" si="14"/>
        <v>0</v>
      </c>
      <c r="N496" s="52">
        <f t="shared" si="15"/>
        <v>0</v>
      </c>
    </row>
    <row r="497" spans="1:14" x14ac:dyDescent="0.3">
      <c r="A497" t="str">
        <f>정규화데이터!A497</f>
        <v>SK스토아</v>
      </c>
      <c r="B497" t="str">
        <f>정규화데이터!B497</f>
        <v>20260210361311</v>
      </c>
      <c r="C497" t="str">
        <f>정규화데이터!C497</f>
        <v>2026-02-12</v>
      </c>
      <c r="D497" t="str">
        <f>정규화데이터!D497</f>
        <v>58481090</v>
      </c>
      <c r="E497" s="16" t="str">
        <f>정규화데이터!E497</f>
        <v>미매핑</v>
      </c>
      <c r="F497" s="3">
        <f>정규화데이터!F497</f>
        <v>1</v>
      </c>
      <c r="G497" s="3">
        <f>정규화데이터!G497</f>
        <v>1</v>
      </c>
      <c r="H497" s="3">
        <f>정규화데이터!H497</f>
        <v>119000</v>
      </c>
      <c r="I497" s="3">
        <f>정규화데이터!I497</f>
        <v>119000</v>
      </c>
      <c r="J497" s="3">
        <f>정규화데이터!J497</f>
        <v>80920</v>
      </c>
      <c r="K497" s="25">
        <f>정규화데이터!K497</f>
        <v>0</v>
      </c>
      <c r="L497" s="25">
        <f>정규화데이터!L497</f>
        <v>80920</v>
      </c>
      <c r="M497" s="21">
        <f t="shared" si="14"/>
        <v>0</v>
      </c>
      <c r="N497" s="52">
        <f t="shared" si="15"/>
        <v>0</v>
      </c>
    </row>
    <row r="498" spans="1:14" x14ac:dyDescent="0.3">
      <c r="A498" t="str">
        <f>정규화데이터!A498</f>
        <v>SK스토아</v>
      </c>
      <c r="B498" t="str">
        <f>정규화데이터!B498</f>
        <v>20260210361344</v>
      </c>
      <c r="C498" t="str">
        <f>정규화데이터!C498</f>
        <v>2026-02-12</v>
      </c>
      <c r="D498" t="str">
        <f>정규화데이터!D498</f>
        <v>58481090</v>
      </c>
      <c r="E498" s="16" t="str">
        <f>정규화데이터!E498</f>
        <v>미매핑</v>
      </c>
      <c r="F498" s="3">
        <f>정규화데이터!F498</f>
        <v>1</v>
      </c>
      <c r="G498" s="3">
        <f>정규화데이터!G498</f>
        <v>1</v>
      </c>
      <c r="H498" s="3">
        <f>정규화데이터!H498</f>
        <v>119000</v>
      </c>
      <c r="I498" s="3">
        <f>정규화데이터!I498</f>
        <v>119000</v>
      </c>
      <c r="J498" s="3">
        <f>정규화데이터!J498</f>
        <v>80920</v>
      </c>
      <c r="K498" s="25">
        <f>정규화데이터!K498</f>
        <v>0</v>
      </c>
      <c r="L498" s="25">
        <f>정규화데이터!L498</f>
        <v>80920</v>
      </c>
      <c r="M498" s="21">
        <f t="shared" si="14"/>
        <v>0</v>
      </c>
      <c r="N498" s="52">
        <f t="shared" si="15"/>
        <v>0</v>
      </c>
    </row>
    <row r="499" spans="1:14" x14ac:dyDescent="0.3">
      <c r="A499" t="str">
        <f>정규화데이터!A499</f>
        <v>SK스토아</v>
      </c>
      <c r="B499" t="str">
        <f>정규화데이터!B499</f>
        <v>20260210361574</v>
      </c>
      <c r="C499" t="str">
        <f>정규화데이터!C499</f>
        <v>2026-02-12</v>
      </c>
      <c r="D499" t="str">
        <f>정규화데이터!D499</f>
        <v>58481090</v>
      </c>
      <c r="E499" s="16" t="str">
        <f>정규화데이터!E499</f>
        <v>미매핑</v>
      </c>
      <c r="F499" s="3">
        <f>정규화데이터!F499</f>
        <v>1</v>
      </c>
      <c r="G499" s="3">
        <f>정규화데이터!G499</f>
        <v>1</v>
      </c>
      <c r="H499" s="3">
        <f>정규화데이터!H499</f>
        <v>119000</v>
      </c>
      <c r="I499" s="3">
        <f>정규화데이터!I499</f>
        <v>119000</v>
      </c>
      <c r="J499" s="3">
        <f>정규화데이터!J499</f>
        <v>80920</v>
      </c>
      <c r="K499" s="25">
        <f>정규화데이터!K499</f>
        <v>0</v>
      </c>
      <c r="L499" s="25">
        <f>정규화데이터!L499</f>
        <v>80920</v>
      </c>
      <c r="M499" s="21">
        <f t="shared" si="14"/>
        <v>0</v>
      </c>
      <c r="N499" s="52">
        <f t="shared" si="15"/>
        <v>0</v>
      </c>
    </row>
    <row r="500" spans="1:14" x14ac:dyDescent="0.3">
      <c r="A500" t="str">
        <f>정규화데이터!A500</f>
        <v>SK스토아</v>
      </c>
      <c r="B500" t="str">
        <f>정규화데이터!B500</f>
        <v>20260210361598</v>
      </c>
      <c r="C500" t="str">
        <f>정규화데이터!C500</f>
        <v>2026-02-12</v>
      </c>
      <c r="D500" t="str">
        <f>정규화데이터!D500</f>
        <v>58481090</v>
      </c>
      <c r="E500" s="16" t="str">
        <f>정규화데이터!E500</f>
        <v>미매핑</v>
      </c>
      <c r="F500" s="3">
        <f>정규화데이터!F500</f>
        <v>1</v>
      </c>
      <c r="G500" s="3">
        <f>정규화데이터!G500</f>
        <v>1</v>
      </c>
      <c r="H500" s="3">
        <f>정규화데이터!H500</f>
        <v>119000</v>
      </c>
      <c r="I500" s="3">
        <f>정규화데이터!I500</f>
        <v>119000</v>
      </c>
      <c r="J500" s="3">
        <f>정규화데이터!J500</f>
        <v>80920</v>
      </c>
      <c r="K500" s="25">
        <f>정규화데이터!K500</f>
        <v>0</v>
      </c>
      <c r="L500" s="25">
        <f>정규화데이터!L500</f>
        <v>80920</v>
      </c>
      <c r="M500" s="21">
        <f t="shared" si="14"/>
        <v>0</v>
      </c>
      <c r="N500" s="52">
        <f t="shared" si="15"/>
        <v>0</v>
      </c>
    </row>
    <row r="501" spans="1:14" x14ac:dyDescent="0.3">
      <c r="A501" t="str">
        <f>정규화데이터!A501</f>
        <v>SK스토아</v>
      </c>
      <c r="B501" t="str">
        <f>정규화데이터!B501</f>
        <v>20260210361706</v>
      </c>
      <c r="C501" t="str">
        <f>정규화데이터!C501</f>
        <v>2026-02-12</v>
      </c>
      <c r="D501" t="str">
        <f>정규화데이터!D501</f>
        <v>58481090</v>
      </c>
      <c r="E501" s="16" t="str">
        <f>정규화데이터!E501</f>
        <v>미매핑</v>
      </c>
      <c r="F501" s="3">
        <f>정규화데이터!F501</f>
        <v>1</v>
      </c>
      <c r="G501" s="3">
        <f>정규화데이터!G501</f>
        <v>1</v>
      </c>
      <c r="H501" s="3">
        <f>정규화데이터!H501</f>
        <v>119000</v>
      </c>
      <c r="I501" s="3">
        <f>정규화데이터!I501</f>
        <v>119000</v>
      </c>
      <c r="J501" s="3">
        <f>정규화데이터!J501</f>
        <v>80920</v>
      </c>
      <c r="K501" s="25">
        <f>정규화데이터!K501</f>
        <v>0</v>
      </c>
      <c r="L501" s="25">
        <f>정규화데이터!L501</f>
        <v>80920</v>
      </c>
      <c r="M501" s="21">
        <f t="shared" si="14"/>
        <v>0</v>
      </c>
      <c r="N501" s="52">
        <f t="shared" si="15"/>
        <v>0</v>
      </c>
    </row>
    <row r="502" spans="1:14" x14ac:dyDescent="0.3">
      <c r="A502" t="str">
        <f>정규화데이터!A502</f>
        <v>SK스토아</v>
      </c>
      <c r="B502" t="str">
        <f>정규화데이터!B502</f>
        <v>20260210361759</v>
      </c>
      <c r="C502" t="str">
        <f>정규화데이터!C502</f>
        <v>2026-02-12</v>
      </c>
      <c r="D502" t="str">
        <f>정규화데이터!D502</f>
        <v>58481090</v>
      </c>
      <c r="E502" s="16" t="str">
        <f>정규화데이터!E502</f>
        <v>미매핑</v>
      </c>
      <c r="F502" s="3">
        <f>정규화데이터!F502</f>
        <v>1</v>
      </c>
      <c r="G502" s="3">
        <f>정규화데이터!G502</f>
        <v>1</v>
      </c>
      <c r="H502" s="3">
        <f>정규화데이터!H502</f>
        <v>119000</v>
      </c>
      <c r="I502" s="3">
        <f>정규화데이터!I502</f>
        <v>119000</v>
      </c>
      <c r="J502" s="3">
        <f>정규화데이터!J502</f>
        <v>80920</v>
      </c>
      <c r="K502" s="25">
        <f>정규화데이터!K502</f>
        <v>0</v>
      </c>
      <c r="L502" s="25">
        <f>정규화데이터!L502</f>
        <v>80920</v>
      </c>
      <c r="M502" s="21">
        <f t="shared" si="14"/>
        <v>0</v>
      </c>
      <c r="N502" s="52">
        <f t="shared" si="15"/>
        <v>0</v>
      </c>
    </row>
    <row r="503" spans="1:14" x14ac:dyDescent="0.3">
      <c r="A503" t="str">
        <f>정규화데이터!A503</f>
        <v>SK스토아</v>
      </c>
      <c r="B503" t="str">
        <f>정규화데이터!B503</f>
        <v>20260210361684</v>
      </c>
      <c r="C503" t="str">
        <f>정규화데이터!C503</f>
        <v>2026-02-12</v>
      </c>
      <c r="D503" t="str">
        <f>정규화데이터!D503</f>
        <v>58481090</v>
      </c>
      <c r="E503" s="16" t="str">
        <f>정규화데이터!E503</f>
        <v>미매핑</v>
      </c>
      <c r="F503" s="3">
        <f>정규화데이터!F503</f>
        <v>1</v>
      </c>
      <c r="G503" s="3">
        <f>정규화데이터!G503</f>
        <v>1</v>
      </c>
      <c r="H503" s="3">
        <f>정규화데이터!H503</f>
        <v>119000</v>
      </c>
      <c r="I503" s="3">
        <f>정규화데이터!I503</f>
        <v>119000</v>
      </c>
      <c r="J503" s="3">
        <f>정규화데이터!J503</f>
        <v>80920</v>
      </c>
      <c r="K503" s="25">
        <f>정규화데이터!K503</f>
        <v>0</v>
      </c>
      <c r="L503" s="25">
        <f>정규화데이터!L503</f>
        <v>80920</v>
      </c>
      <c r="M503" s="21">
        <f t="shared" si="14"/>
        <v>0</v>
      </c>
      <c r="N503" s="52">
        <f t="shared" si="15"/>
        <v>0</v>
      </c>
    </row>
    <row r="504" spans="1:14" x14ac:dyDescent="0.3">
      <c r="A504" t="str">
        <f>정규화데이터!A504</f>
        <v>SK스토아</v>
      </c>
      <c r="B504" t="str">
        <f>정규화데이터!B504</f>
        <v>20260210361910</v>
      </c>
      <c r="C504" t="str">
        <f>정규화데이터!C504</f>
        <v>2026-02-12</v>
      </c>
      <c r="D504" t="str">
        <f>정규화데이터!D504</f>
        <v>58481090</v>
      </c>
      <c r="E504" s="16" t="str">
        <f>정규화데이터!E504</f>
        <v>미매핑</v>
      </c>
      <c r="F504" s="3">
        <f>정규화데이터!F504</f>
        <v>1</v>
      </c>
      <c r="G504" s="3">
        <f>정규화데이터!G504</f>
        <v>1</v>
      </c>
      <c r="H504" s="3">
        <f>정규화데이터!H504</f>
        <v>119000</v>
      </c>
      <c r="I504" s="3">
        <f>정규화데이터!I504</f>
        <v>119000</v>
      </c>
      <c r="J504" s="3">
        <f>정규화데이터!J504</f>
        <v>80920</v>
      </c>
      <c r="K504" s="25">
        <f>정규화데이터!K504</f>
        <v>0</v>
      </c>
      <c r="L504" s="25">
        <f>정규화데이터!L504</f>
        <v>80920</v>
      </c>
      <c r="M504" s="21">
        <f t="shared" si="14"/>
        <v>0</v>
      </c>
      <c r="N504" s="52">
        <f t="shared" si="15"/>
        <v>0</v>
      </c>
    </row>
    <row r="505" spans="1:14" x14ac:dyDescent="0.3">
      <c r="A505" t="str">
        <f>정규화데이터!A505</f>
        <v>SK스토아</v>
      </c>
      <c r="B505" t="str">
        <f>정규화데이터!B505</f>
        <v>20260210362507</v>
      </c>
      <c r="C505" t="str">
        <f>정규화데이터!C505</f>
        <v>2026-02-12</v>
      </c>
      <c r="D505" t="str">
        <f>정규화데이터!D505</f>
        <v>58481090</v>
      </c>
      <c r="E505" s="16" t="str">
        <f>정규화데이터!E505</f>
        <v>미매핑</v>
      </c>
      <c r="F505" s="3">
        <f>정규화데이터!F505</f>
        <v>1</v>
      </c>
      <c r="G505" s="3">
        <f>정규화데이터!G505</f>
        <v>1</v>
      </c>
      <c r="H505" s="3">
        <f>정규화데이터!H505</f>
        <v>119000</v>
      </c>
      <c r="I505" s="3">
        <f>정규화데이터!I505</f>
        <v>119000</v>
      </c>
      <c r="J505" s="3">
        <f>정규화데이터!J505</f>
        <v>80920</v>
      </c>
      <c r="K505" s="25">
        <f>정규화데이터!K505</f>
        <v>0</v>
      </c>
      <c r="L505" s="25">
        <f>정규화데이터!L505</f>
        <v>80920</v>
      </c>
      <c r="M505" s="21">
        <f t="shared" si="14"/>
        <v>0</v>
      </c>
      <c r="N505" s="52">
        <f t="shared" si="15"/>
        <v>0</v>
      </c>
    </row>
    <row r="506" spans="1:14" x14ac:dyDescent="0.3">
      <c r="A506" t="str">
        <f>정규화데이터!A506</f>
        <v>SK스토아</v>
      </c>
      <c r="B506" t="str">
        <f>정규화데이터!B506</f>
        <v>20260210360232</v>
      </c>
      <c r="C506" t="str">
        <f>정규화데이터!C506</f>
        <v>2026-02-12</v>
      </c>
      <c r="D506" t="str">
        <f>정규화데이터!D506</f>
        <v>58481090</v>
      </c>
      <c r="E506" s="16" t="str">
        <f>정규화데이터!E506</f>
        <v>미매핑</v>
      </c>
      <c r="F506" s="3">
        <f>정규화데이터!F506</f>
        <v>1</v>
      </c>
      <c r="G506" s="3">
        <f>정규화데이터!G506</f>
        <v>1</v>
      </c>
      <c r="H506" s="3">
        <f>정규화데이터!H506</f>
        <v>119000</v>
      </c>
      <c r="I506" s="3">
        <f>정규화데이터!I506</f>
        <v>113050</v>
      </c>
      <c r="J506" s="3">
        <f>정규화데이터!J506</f>
        <v>80920</v>
      </c>
      <c r="K506" s="25">
        <f>정규화데이터!K506</f>
        <v>0</v>
      </c>
      <c r="L506" s="25">
        <f>정규화데이터!L506</f>
        <v>80920</v>
      </c>
      <c r="M506" s="21">
        <f t="shared" si="14"/>
        <v>0</v>
      </c>
      <c r="N506" s="52">
        <f t="shared" si="15"/>
        <v>0</v>
      </c>
    </row>
    <row r="507" spans="1:14" x14ac:dyDescent="0.3">
      <c r="A507" t="str">
        <f>정규화데이터!A507</f>
        <v>SK스토아</v>
      </c>
      <c r="B507" t="str">
        <f>정규화데이터!B507</f>
        <v>20260210361309</v>
      </c>
      <c r="C507" t="str">
        <f>정규화데이터!C507</f>
        <v>2026-02-12</v>
      </c>
      <c r="D507" t="str">
        <f>정규화데이터!D507</f>
        <v>58481090</v>
      </c>
      <c r="E507" s="16" t="str">
        <f>정규화데이터!E507</f>
        <v>미매핑</v>
      </c>
      <c r="F507" s="3">
        <f>정규화데이터!F507</f>
        <v>1</v>
      </c>
      <c r="G507" s="3">
        <f>정규화데이터!G507</f>
        <v>1</v>
      </c>
      <c r="H507" s="3">
        <f>정규화데이터!H507</f>
        <v>119000</v>
      </c>
      <c r="I507" s="3">
        <f>정규화데이터!I507</f>
        <v>119000</v>
      </c>
      <c r="J507" s="3">
        <f>정규화데이터!J507</f>
        <v>80920</v>
      </c>
      <c r="K507" s="25">
        <f>정규화데이터!K507</f>
        <v>0</v>
      </c>
      <c r="L507" s="25">
        <f>정규화데이터!L507</f>
        <v>80920</v>
      </c>
      <c r="M507" s="21">
        <f t="shared" si="14"/>
        <v>0</v>
      </c>
      <c r="N507" s="52">
        <f t="shared" si="15"/>
        <v>0</v>
      </c>
    </row>
    <row r="508" spans="1:14" x14ac:dyDescent="0.3">
      <c r="A508" t="str">
        <f>정규화데이터!A508</f>
        <v>SK스토아</v>
      </c>
      <c r="B508" t="str">
        <f>정규화데이터!B508</f>
        <v>20260210361341</v>
      </c>
      <c r="C508" t="str">
        <f>정규화데이터!C508</f>
        <v>2026-02-12</v>
      </c>
      <c r="D508" t="str">
        <f>정규화데이터!D508</f>
        <v>58481090</v>
      </c>
      <c r="E508" s="16" t="str">
        <f>정규화데이터!E508</f>
        <v>미매핑</v>
      </c>
      <c r="F508" s="3">
        <f>정규화데이터!F508</f>
        <v>1</v>
      </c>
      <c r="G508" s="3">
        <f>정규화데이터!G508</f>
        <v>1</v>
      </c>
      <c r="H508" s="3">
        <f>정규화데이터!H508</f>
        <v>119000</v>
      </c>
      <c r="I508" s="3">
        <f>정규화데이터!I508</f>
        <v>119000</v>
      </c>
      <c r="J508" s="3">
        <f>정규화데이터!J508</f>
        <v>80920</v>
      </c>
      <c r="K508" s="25">
        <f>정규화데이터!K508</f>
        <v>0</v>
      </c>
      <c r="L508" s="25">
        <f>정규화데이터!L508</f>
        <v>80920</v>
      </c>
      <c r="M508" s="21">
        <f t="shared" si="14"/>
        <v>0</v>
      </c>
      <c r="N508" s="52">
        <f t="shared" si="15"/>
        <v>0</v>
      </c>
    </row>
    <row r="509" spans="1:14" x14ac:dyDescent="0.3">
      <c r="A509" t="str">
        <f>정규화데이터!A509</f>
        <v>SK스토아</v>
      </c>
      <c r="B509" t="str">
        <f>정규화데이터!B509</f>
        <v>20260210361405</v>
      </c>
      <c r="C509" t="str">
        <f>정규화데이터!C509</f>
        <v>2026-02-12</v>
      </c>
      <c r="D509" t="str">
        <f>정규화데이터!D509</f>
        <v>58481090</v>
      </c>
      <c r="E509" s="16" t="str">
        <f>정규화데이터!E509</f>
        <v>미매핑</v>
      </c>
      <c r="F509" s="3">
        <f>정규화데이터!F509</f>
        <v>1</v>
      </c>
      <c r="G509" s="3">
        <f>정규화데이터!G509</f>
        <v>1</v>
      </c>
      <c r="H509" s="3">
        <f>정규화데이터!H509</f>
        <v>119000</v>
      </c>
      <c r="I509" s="3">
        <f>정규화데이터!I509</f>
        <v>119000</v>
      </c>
      <c r="J509" s="3">
        <f>정규화데이터!J509</f>
        <v>80920</v>
      </c>
      <c r="K509" s="25">
        <f>정규화데이터!K509</f>
        <v>0</v>
      </c>
      <c r="L509" s="25">
        <f>정규화데이터!L509</f>
        <v>80920</v>
      </c>
      <c r="M509" s="21">
        <f t="shared" si="14"/>
        <v>0</v>
      </c>
      <c r="N509" s="52">
        <f t="shared" si="15"/>
        <v>0</v>
      </c>
    </row>
    <row r="510" spans="1:14" x14ac:dyDescent="0.3">
      <c r="A510" t="str">
        <f>정규화데이터!A510</f>
        <v>SK스토아</v>
      </c>
      <c r="B510" t="str">
        <f>정규화데이터!B510</f>
        <v>20260210361631</v>
      </c>
      <c r="C510" t="str">
        <f>정규화데이터!C510</f>
        <v>2026-02-12</v>
      </c>
      <c r="D510" t="str">
        <f>정규화데이터!D510</f>
        <v>58481090</v>
      </c>
      <c r="E510" s="16" t="str">
        <f>정규화데이터!E510</f>
        <v>미매핑</v>
      </c>
      <c r="F510" s="3">
        <f>정규화데이터!F510</f>
        <v>1</v>
      </c>
      <c r="G510" s="3">
        <f>정규화데이터!G510</f>
        <v>1</v>
      </c>
      <c r="H510" s="3">
        <f>정규화데이터!H510</f>
        <v>119000</v>
      </c>
      <c r="I510" s="3">
        <f>정규화데이터!I510</f>
        <v>119000</v>
      </c>
      <c r="J510" s="3">
        <f>정규화데이터!J510</f>
        <v>80920</v>
      </c>
      <c r="K510" s="25">
        <f>정규화데이터!K510</f>
        <v>0</v>
      </c>
      <c r="L510" s="25">
        <f>정규화데이터!L510</f>
        <v>80920</v>
      </c>
      <c r="M510" s="21">
        <f t="shared" si="14"/>
        <v>0</v>
      </c>
      <c r="N510" s="52">
        <f t="shared" si="15"/>
        <v>0</v>
      </c>
    </row>
    <row r="511" spans="1:14" x14ac:dyDescent="0.3">
      <c r="A511" t="str">
        <f>정규화데이터!A511</f>
        <v>SK스토아</v>
      </c>
      <c r="B511" t="str">
        <f>정규화데이터!B511</f>
        <v>20260210360257</v>
      </c>
      <c r="C511" t="str">
        <f>정규화데이터!C511</f>
        <v>2026-02-12</v>
      </c>
      <c r="D511" t="str">
        <f>정규화데이터!D511</f>
        <v>58481090</v>
      </c>
      <c r="E511" s="16" t="str">
        <f>정규화데이터!E511</f>
        <v>미매핑</v>
      </c>
      <c r="F511" s="3">
        <f>정규화데이터!F511</f>
        <v>1</v>
      </c>
      <c r="G511" s="3">
        <f>정규화데이터!G511</f>
        <v>1</v>
      </c>
      <c r="H511" s="3">
        <f>정규화데이터!H511</f>
        <v>119000</v>
      </c>
      <c r="I511" s="3">
        <f>정규화데이터!I511</f>
        <v>119000</v>
      </c>
      <c r="J511" s="3">
        <f>정규화데이터!J511</f>
        <v>80920</v>
      </c>
      <c r="K511" s="25">
        <f>정규화데이터!K511</f>
        <v>0</v>
      </c>
      <c r="L511" s="25">
        <f>정규화데이터!L511</f>
        <v>80920</v>
      </c>
      <c r="M511" s="21">
        <f t="shared" si="14"/>
        <v>0</v>
      </c>
      <c r="N511" s="52">
        <f t="shared" si="15"/>
        <v>0</v>
      </c>
    </row>
    <row r="512" spans="1:14" x14ac:dyDescent="0.3">
      <c r="A512" t="str">
        <f>정규화데이터!A512</f>
        <v>SK스토아</v>
      </c>
      <c r="B512" t="str">
        <f>정규화데이터!B512</f>
        <v>20260210361115</v>
      </c>
      <c r="C512" t="str">
        <f>정규화데이터!C512</f>
        <v>2026-02-12</v>
      </c>
      <c r="D512" t="str">
        <f>정규화데이터!D512</f>
        <v>58481090</v>
      </c>
      <c r="E512" s="16" t="str">
        <f>정규화데이터!E512</f>
        <v>미매핑</v>
      </c>
      <c r="F512" s="3">
        <f>정규화데이터!F512</f>
        <v>1</v>
      </c>
      <c r="G512" s="3">
        <f>정규화데이터!G512</f>
        <v>1</v>
      </c>
      <c r="H512" s="3">
        <f>정규화데이터!H512</f>
        <v>119000</v>
      </c>
      <c r="I512" s="3">
        <f>정규화데이터!I512</f>
        <v>119000</v>
      </c>
      <c r="J512" s="3">
        <f>정규화데이터!J512</f>
        <v>80920</v>
      </c>
      <c r="K512" s="25">
        <f>정규화데이터!K512</f>
        <v>0</v>
      </c>
      <c r="L512" s="25">
        <f>정규화데이터!L512</f>
        <v>80920</v>
      </c>
      <c r="M512" s="21">
        <f t="shared" si="14"/>
        <v>0</v>
      </c>
      <c r="N512" s="52">
        <f t="shared" si="15"/>
        <v>0</v>
      </c>
    </row>
    <row r="513" spans="1:14" x14ac:dyDescent="0.3">
      <c r="A513" t="str">
        <f>정규화데이터!A513</f>
        <v>SK스토아</v>
      </c>
      <c r="B513" t="str">
        <f>정규화데이터!B513</f>
        <v>20260210361265</v>
      </c>
      <c r="C513" t="str">
        <f>정규화데이터!C513</f>
        <v>2026-02-12</v>
      </c>
      <c r="D513" t="str">
        <f>정규화데이터!D513</f>
        <v>58481090</v>
      </c>
      <c r="E513" s="16" t="str">
        <f>정규화데이터!E513</f>
        <v>미매핑</v>
      </c>
      <c r="F513" s="3">
        <f>정규화데이터!F513</f>
        <v>1</v>
      </c>
      <c r="G513" s="3">
        <f>정규화데이터!G513</f>
        <v>1</v>
      </c>
      <c r="H513" s="3">
        <f>정규화데이터!H513</f>
        <v>119000</v>
      </c>
      <c r="I513" s="3">
        <f>정규화데이터!I513</f>
        <v>119000</v>
      </c>
      <c r="J513" s="3">
        <f>정규화데이터!J513</f>
        <v>80920</v>
      </c>
      <c r="K513" s="25">
        <f>정규화데이터!K513</f>
        <v>0</v>
      </c>
      <c r="L513" s="25">
        <f>정규화데이터!L513</f>
        <v>80920</v>
      </c>
      <c r="M513" s="21">
        <f t="shared" si="14"/>
        <v>0</v>
      </c>
      <c r="N513" s="52">
        <f t="shared" si="15"/>
        <v>0</v>
      </c>
    </row>
    <row r="514" spans="1:14" x14ac:dyDescent="0.3">
      <c r="A514" t="str">
        <f>정규화데이터!A514</f>
        <v>SK스토아</v>
      </c>
      <c r="B514" t="str">
        <f>정규화데이터!B514</f>
        <v>20260210360560</v>
      </c>
      <c r="C514" t="str">
        <f>정규화데이터!C514</f>
        <v>2026-02-12</v>
      </c>
      <c r="D514" t="str">
        <f>정규화데이터!D514</f>
        <v>58481090</v>
      </c>
      <c r="E514" s="16" t="str">
        <f>정규화데이터!E514</f>
        <v>미매핑</v>
      </c>
      <c r="F514" s="3">
        <f>정규화데이터!F514</f>
        <v>1</v>
      </c>
      <c r="G514" s="3">
        <f>정규화데이터!G514</f>
        <v>1</v>
      </c>
      <c r="H514" s="3">
        <f>정규화데이터!H514</f>
        <v>119000</v>
      </c>
      <c r="I514" s="3">
        <f>정규화데이터!I514</f>
        <v>119000</v>
      </c>
      <c r="J514" s="3">
        <f>정규화데이터!J514</f>
        <v>80920</v>
      </c>
      <c r="K514" s="25">
        <f>정규화데이터!K514</f>
        <v>0</v>
      </c>
      <c r="L514" s="25">
        <f>정규화데이터!L514</f>
        <v>80920</v>
      </c>
      <c r="M514" s="21">
        <f t="shared" ref="M514:M577" si="16">J514-L514</f>
        <v>0</v>
      </c>
      <c r="N514" s="52">
        <f t="shared" ref="N514:N577" si="17">IF(J514=0,0,M514/J514)</f>
        <v>0</v>
      </c>
    </row>
    <row r="515" spans="1:14" x14ac:dyDescent="0.3">
      <c r="A515" t="str">
        <f>정규화데이터!A515</f>
        <v>SK스토아</v>
      </c>
      <c r="B515" t="str">
        <f>정규화데이터!B515</f>
        <v>20260210360583</v>
      </c>
      <c r="C515" t="str">
        <f>정규화데이터!C515</f>
        <v>2026-02-12</v>
      </c>
      <c r="D515" t="str">
        <f>정규화데이터!D515</f>
        <v>58481090</v>
      </c>
      <c r="E515" s="16" t="str">
        <f>정규화데이터!E515</f>
        <v>미매핑</v>
      </c>
      <c r="F515" s="3">
        <f>정규화데이터!F515</f>
        <v>1</v>
      </c>
      <c r="G515" s="3">
        <f>정규화데이터!G515</f>
        <v>1</v>
      </c>
      <c r="H515" s="3">
        <f>정규화데이터!H515</f>
        <v>119000</v>
      </c>
      <c r="I515" s="3">
        <f>정규화데이터!I515</f>
        <v>119000</v>
      </c>
      <c r="J515" s="3">
        <f>정규화데이터!J515</f>
        <v>80920</v>
      </c>
      <c r="K515" s="25">
        <f>정규화데이터!K515</f>
        <v>0</v>
      </c>
      <c r="L515" s="25">
        <f>정규화데이터!L515</f>
        <v>80920</v>
      </c>
      <c r="M515" s="21">
        <f t="shared" si="16"/>
        <v>0</v>
      </c>
      <c r="N515" s="52">
        <f t="shared" si="17"/>
        <v>0</v>
      </c>
    </row>
    <row r="516" spans="1:14" x14ac:dyDescent="0.3">
      <c r="A516" t="str">
        <f>정규화데이터!A516</f>
        <v>SK스토아</v>
      </c>
      <c r="B516" t="str">
        <f>정규화데이터!B516</f>
        <v>20260210361670</v>
      </c>
      <c r="C516" t="str">
        <f>정규화데이터!C516</f>
        <v>2026-02-12</v>
      </c>
      <c r="D516" t="str">
        <f>정규화데이터!D516</f>
        <v>58481090</v>
      </c>
      <c r="E516" s="16" t="str">
        <f>정규화데이터!E516</f>
        <v>미매핑</v>
      </c>
      <c r="F516" s="3">
        <f>정규화데이터!F516</f>
        <v>1</v>
      </c>
      <c r="G516" s="3">
        <f>정규화데이터!G516</f>
        <v>1</v>
      </c>
      <c r="H516" s="3">
        <f>정규화데이터!H516</f>
        <v>119000</v>
      </c>
      <c r="I516" s="3">
        <f>정규화데이터!I516</f>
        <v>119000</v>
      </c>
      <c r="J516" s="3">
        <f>정규화데이터!J516</f>
        <v>80920</v>
      </c>
      <c r="K516" s="25">
        <f>정규화데이터!K516</f>
        <v>0</v>
      </c>
      <c r="L516" s="25">
        <f>정규화데이터!L516</f>
        <v>80920</v>
      </c>
      <c r="M516" s="21">
        <f t="shared" si="16"/>
        <v>0</v>
      </c>
      <c r="N516" s="52">
        <f t="shared" si="17"/>
        <v>0</v>
      </c>
    </row>
    <row r="517" spans="1:14" x14ac:dyDescent="0.3">
      <c r="A517" t="str">
        <f>정규화데이터!A517</f>
        <v>SK스토아</v>
      </c>
      <c r="B517" t="str">
        <f>정규화데이터!B517</f>
        <v>20260210361580</v>
      </c>
      <c r="C517" t="str">
        <f>정규화데이터!C517</f>
        <v>2026-02-12</v>
      </c>
      <c r="D517" t="str">
        <f>정규화데이터!D517</f>
        <v>58481090</v>
      </c>
      <c r="E517" s="16" t="str">
        <f>정규화데이터!E517</f>
        <v>미매핑</v>
      </c>
      <c r="F517" s="3">
        <f>정규화데이터!F517</f>
        <v>1</v>
      </c>
      <c r="G517" s="3">
        <f>정규화데이터!G517</f>
        <v>1</v>
      </c>
      <c r="H517" s="3">
        <f>정규화데이터!H517</f>
        <v>119000</v>
      </c>
      <c r="I517" s="3">
        <f>정규화데이터!I517</f>
        <v>119000</v>
      </c>
      <c r="J517" s="3">
        <f>정규화데이터!J517</f>
        <v>80920</v>
      </c>
      <c r="K517" s="25">
        <f>정규화데이터!K517</f>
        <v>0</v>
      </c>
      <c r="L517" s="25">
        <f>정규화데이터!L517</f>
        <v>80920</v>
      </c>
      <c r="M517" s="21">
        <f t="shared" si="16"/>
        <v>0</v>
      </c>
      <c r="N517" s="52">
        <f t="shared" si="17"/>
        <v>0</v>
      </c>
    </row>
    <row r="518" spans="1:14" x14ac:dyDescent="0.3">
      <c r="A518" t="str">
        <f>정규화데이터!A518</f>
        <v>SK스토아</v>
      </c>
      <c r="B518" t="str">
        <f>정규화데이터!B518</f>
        <v>20260210361782</v>
      </c>
      <c r="C518" t="str">
        <f>정규화데이터!C518</f>
        <v>2026-02-12</v>
      </c>
      <c r="D518" t="str">
        <f>정규화데이터!D518</f>
        <v>58481090</v>
      </c>
      <c r="E518" s="16" t="str">
        <f>정규화데이터!E518</f>
        <v>미매핑</v>
      </c>
      <c r="F518" s="3">
        <f>정규화데이터!F518</f>
        <v>1</v>
      </c>
      <c r="G518" s="3">
        <f>정규화데이터!G518</f>
        <v>1</v>
      </c>
      <c r="H518" s="3">
        <f>정규화데이터!H518</f>
        <v>119000</v>
      </c>
      <c r="I518" s="3">
        <f>정규화데이터!I518</f>
        <v>119000</v>
      </c>
      <c r="J518" s="3">
        <f>정규화데이터!J518</f>
        <v>80920</v>
      </c>
      <c r="K518" s="25">
        <f>정규화데이터!K518</f>
        <v>0</v>
      </c>
      <c r="L518" s="25">
        <f>정규화데이터!L518</f>
        <v>80920</v>
      </c>
      <c r="M518" s="21">
        <f t="shared" si="16"/>
        <v>0</v>
      </c>
      <c r="N518" s="52">
        <f t="shared" si="17"/>
        <v>0</v>
      </c>
    </row>
    <row r="519" spans="1:14" x14ac:dyDescent="0.3">
      <c r="A519" t="str">
        <f>정규화데이터!A519</f>
        <v>SK스토아</v>
      </c>
      <c r="B519" t="str">
        <f>정규화데이터!B519</f>
        <v>20260210360838</v>
      </c>
      <c r="C519" t="str">
        <f>정규화데이터!C519</f>
        <v>2026-02-12</v>
      </c>
      <c r="D519" t="str">
        <f>정규화데이터!D519</f>
        <v>58481090</v>
      </c>
      <c r="E519" s="16" t="str">
        <f>정규화데이터!E519</f>
        <v>미매핑</v>
      </c>
      <c r="F519" s="3">
        <f>정규화데이터!F519</f>
        <v>1</v>
      </c>
      <c r="G519" s="3">
        <f>정규화데이터!G519</f>
        <v>1</v>
      </c>
      <c r="H519" s="3">
        <f>정규화데이터!H519</f>
        <v>119000</v>
      </c>
      <c r="I519" s="3">
        <f>정규화데이터!I519</f>
        <v>119000</v>
      </c>
      <c r="J519" s="3">
        <f>정규화데이터!J519</f>
        <v>80920</v>
      </c>
      <c r="K519" s="25">
        <f>정규화데이터!K519</f>
        <v>0</v>
      </c>
      <c r="L519" s="25">
        <f>정규화데이터!L519</f>
        <v>80920</v>
      </c>
      <c r="M519" s="21">
        <f t="shared" si="16"/>
        <v>0</v>
      </c>
      <c r="N519" s="52">
        <f t="shared" si="17"/>
        <v>0</v>
      </c>
    </row>
    <row r="520" spans="1:14" x14ac:dyDescent="0.3">
      <c r="A520" t="str">
        <f>정규화데이터!A520</f>
        <v>SK스토아</v>
      </c>
      <c r="B520" t="str">
        <f>정규화데이터!B520</f>
        <v>20260210360168</v>
      </c>
      <c r="C520" t="str">
        <f>정규화데이터!C520</f>
        <v>2026-02-12</v>
      </c>
      <c r="D520" t="str">
        <f>정규화데이터!D520</f>
        <v>58481090</v>
      </c>
      <c r="E520" s="16" t="str">
        <f>정규화데이터!E520</f>
        <v>미매핑</v>
      </c>
      <c r="F520" s="3">
        <f>정규화데이터!F520</f>
        <v>1</v>
      </c>
      <c r="G520" s="3">
        <f>정규화데이터!G520</f>
        <v>1</v>
      </c>
      <c r="H520" s="3">
        <f>정규화데이터!H520</f>
        <v>119000</v>
      </c>
      <c r="I520" s="3">
        <f>정규화데이터!I520</f>
        <v>119000</v>
      </c>
      <c r="J520" s="3">
        <f>정규화데이터!J520</f>
        <v>80920</v>
      </c>
      <c r="K520" s="25">
        <f>정규화데이터!K520</f>
        <v>0</v>
      </c>
      <c r="L520" s="25">
        <f>정규화데이터!L520</f>
        <v>80920</v>
      </c>
      <c r="M520" s="21">
        <f t="shared" si="16"/>
        <v>0</v>
      </c>
      <c r="N520" s="52">
        <f t="shared" si="17"/>
        <v>0</v>
      </c>
    </row>
    <row r="521" spans="1:14" x14ac:dyDescent="0.3">
      <c r="A521" t="str">
        <f>정규화데이터!A521</f>
        <v>SK스토아</v>
      </c>
      <c r="B521" t="str">
        <f>정규화데이터!B521</f>
        <v>20260210360212</v>
      </c>
      <c r="C521" t="str">
        <f>정규화데이터!C521</f>
        <v>2026-02-12</v>
      </c>
      <c r="D521" t="str">
        <f>정규화데이터!D521</f>
        <v>58481090</v>
      </c>
      <c r="E521" s="16" t="str">
        <f>정규화데이터!E521</f>
        <v>미매핑</v>
      </c>
      <c r="F521" s="3">
        <f>정규화데이터!F521</f>
        <v>1</v>
      </c>
      <c r="G521" s="3">
        <f>정규화데이터!G521</f>
        <v>1</v>
      </c>
      <c r="H521" s="3">
        <f>정규화데이터!H521</f>
        <v>119000</v>
      </c>
      <c r="I521" s="3">
        <f>정규화데이터!I521</f>
        <v>119000</v>
      </c>
      <c r="J521" s="3">
        <f>정규화데이터!J521</f>
        <v>80920</v>
      </c>
      <c r="K521" s="25">
        <f>정규화데이터!K521</f>
        <v>0</v>
      </c>
      <c r="L521" s="25">
        <f>정규화데이터!L521</f>
        <v>80920</v>
      </c>
      <c r="M521" s="21">
        <f t="shared" si="16"/>
        <v>0</v>
      </c>
      <c r="N521" s="52">
        <f t="shared" si="17"/>
        <v>0</v>
      </c>
    </row>
    <row r="522" spans="1:14" x14ac:dyDescent="0.3">
      <c r="A522" t="str">
        <f>정규화데이터!A522</f>
        <v>SK스토아</v>
      </c>
      <c r="B522" t="str">
        <f>정규화데이터!B522</f>
        <v>20260210360219</v>
      </c>
      <c r="C522" t="str">
        <f>정규화데이터!C522</f>
        <v>2026-02-12</v>
      </c>
      <c r="D522" t="str">
        <f>정규화데이터!D522</f>
        <v>58481090</v>
      </c>
      <c r="E522" s="16" t="str">
        <f>정규화데이터!E522</f>
        <v>미매핑</v>
      </c>
      <c r="F522" s="3">
        <f>정규화데이터!F522</f>
        <v>1</v>
      </c>
      <c r="G522" s="3">
        <f>정규화데이터!G522</f>
        <v>1</v>
      </c>
      <c r="H522" s="3">
        <f>정규화데이터!H522</f>
        <v>119000</v>
      </c>
      <c r="I522" s="3">
        <f>정규화데이터!I522</f>
        <v>119000</v>
      </c>
      <c r="J522" s="3">
        <f>정규화데이터!J522</f>
        <v>80920</v>
      </c>
      <c r="K522" s="25">
        <f>정규화데이터!K522</f>
        <v>0</v>
      </c>
      <c r="L522" s="25">
        <f>정규화데이터!L522</f>
        <v>80920</v>
      </c>
      <c r="M522" s="21">
        <f t="shared" si="16"/>
        <v>0</v>
      </c>
      <c r="N522" s="52">
        <f t="shared" si="17"/>
        <v>0</v>
      </c>
    </row>
    <row r="523" spans="1:14" x14ac:dyDescent="0.3">
      <c r="A523" t="str">
        <f>정규화데이터!A523</f>
        <v>SK스토아</v>
      </c>
      <c r="B523" t="str">
        <f>정규화데이터!B523</f>
        <v>20260210361329</v>
      </c>
      <c r="C523" t="str">
        <f>정규화데이터!C523</f>
        <v>2026-02-12</v>
      </c>
      <c r="D523" t="str">
        <f>정규화데이터!D523</f>
        <v>58481090</v>
      </c>
      <c r="E523" s="16" t="str">
        <f>정규화데이터!E523</f>
        <v>미매핑</v>
      </c>
      <c r="F523" s="3">
        <f>정규화데이터!F523</f>
        <v>1</v>
      </c>
      <c r="G523" s="3">
        <f>정규화데이터!G523</f>
        <v>1</v>
      </c>
      <c r="H523" s="3">
        <f>정규화데이터!H523</f>
        <v>119000</v>
      </c>
      <c r="I523" s="3">
        <f>정규화데이터!I523</f>
        <v>119000</v>
      </c>
      <c r="J523" s="3">
        <f>정규화데이터!J523</f>
        <v>80920</v>
      </c>
      <c r="K523" s="25">
        <f>정규화데이터!K523</f>
        <v>0</v>
      </c>
      <c r="L523" s="25">
        <f>정규화데이터!L523</f>
        <v>80920</v>
      </c>
      <c r="M523" s="21">
        <f t="shared" si="16"/>
        <v>0</v>
      </c>
      <c r="N523" s="52">
        <f t="shared" si="17"/>
        <v>0</v>
      </c>
    </row>
    <row r="524" spans="1:14" x14ac:dyDescent="0.3">
      <c r="A524" t="str">
        <f>정규화데이터!A524</f>
        <v>SK스토아</v>
      </c>
      <c r="B524" t="str">
        <f>정규화데이터!B524</f>
        <v>20260210361022</v>
      </c>
      <c r="C524" t="str">
        <f>정규화데이터!C524</f>
        <v>2026-02-12</v>
      </c>
      <c r="D524" t="str">
        <f>정규화데이터!D524</f>
        <v>58481090</v>
      </c>
      <c r="E524" s="16" t="str">
        <f>정규화데이터!E524</f>
        <v>미매핑</v>
      </c>
      <c r="F524" s="3">
        <f>정규화데이터!F524</f>
        <v>1</v>
      </c>
      <c r="G524" s="3">
        <f>정규화데이터!G524</f>
        <v>1</v>
      </c>
      <c r="H524" s="3">
        <f>정규화데이터!H524</f>
        <v>119000</v>
      </c>
      <c r="I524" s="3">
        <f>정규화데이터!I524</f>
        <v>119000</v>
      </c>
      <c r="J524" s="3">
        <f>정규화데이터!J524</f>
        <v>80920</v>
      </c>
      <c r="K524" s="25">
        <f>정규화데이터!K524</f>
        <v>0</v>
      </c>
      <c r="L524" s="25">
        <f>정규화데이터!L524</f>
        <v>80920</v>
      </c>
      <c r="M524" s="21">
        <f t="shared" si="16"/>
        <v>0</v>
      </c>
      <c r="N524" s="52">
        <f t="shared" si="17"/>
        <v>0</v>
      </c>
    </row>
    <row r="525" spans="1:14" x14ac:dyDescent="0.3">
      <c r="A525" t="str">
        <f>정규화데이터!A525</f>
        <v>SK스토아</v>
      </c>
      <c r="B525" t="str">
        <f>정규화데이터!B525</f>
        <v>20260210361294</v>
      </c>
      <c r="C525" t="str">
        <f>정규화데이터!C525</f>
        <v>2026-02-12</v>
      </c>
      <c r="D525" t="str">
        <f>정규화데이터!D525</f>
        <v>58481090</v>
      </c>
      <c r="E525" s="16" t="str">
        <f>정규화데이터!E525</f>
        <v>미매핑</v>
      </c>
      <c r="F525" s="3">
        <f>정규화데이터!F525</f>
        <v>1</v>
      </c>
      <c r="G525" s="3">
        <f>정규화데이터!G525</f>
        <v>1</v>
      </c>
      <c r="H525" s="3">
        <f>정규화데이터!H525</f>
        <v>119000</v>
      </c>
      <c r="I525" s="3">
        <f>정규화데이터!I525</f>
        <v>119000</v>
      </c>
      <c r="J525" s="3">
        <f>정규화데이터!J525</f>
        <v>80920</v>
      </c>
      <c r="K525" s="25">
        <f>정규화데이터!K525</f>
        <v>0</v>
      </c>
      <c r="L525" s="25">
        <f>정규화데이터!L525</f>
        <v>80920</v>
      </c>
      <c r="M525" s="21">
        <f t="shared" si="16"/>
        <v>0</v>
      </c>
      <c r="N525" s="52">
        <f t="shared" si="17"/>
        <v>0</v>
      </c>
    </row>
    <row r="526" spans="1:14" x14ac:dyDescent="0.3">
      <c r="A526" t="str">
        <f>정규화데이터!A526</f>
        <v>SK스토아</v>
      </c>
      <c r="B526" t="str">
        <f>정규화데이터!B526</f>
        <v>20260210361453</v>
      </c>
      <c r="C526" t="str">
        <f>정규화데이터!C526</f>
        <v>2026-02-12</v>
      </c>
      <c r="D526" t="str">
        <f>정규화데이터!D526</f>
        <v>58481090</v>
      </c>
      <c r="E526" s="16" t="str">
        <f>정규화데이터!E526</f>
        <v>미매핑</v>
      </c>
      <c r="F526" s="3">
        <f>정규화데이터!F526</f>
        <v>1</v>
      </c>
      <c r="G526" s="3">
        <f>정규화데이터!G526</f>
        <v>1</v>
      </c>
      <c r="H526" s="3">
        <f>정규화데이터!H526</f>
        <v>119000</v>
      </c>
      <c r="I526" s="3">
        <f>정규화데이터!I526</f>
        <v>119000</v>
      </c>
      <c r="J526" s="3">
        <f>정규화데이터!J526</f>
        <v>80920</v>
      </c>
      <c r="K526" s="25">
        <f>정규화데이터!K526</f>
        <v>0</v>
      </c>
      <c r="L526" s="25">
        <f>정규화데이터!L526</f>
        <v>80920</v>
      </c>
      <c r="M526" s="21">
        <f t="shared" si="16"/>
        <v>0</v>
      </c>
      <c r="N526" s="52">
        <f t="shared" si="17"/>
        <v>0</v>
      </c>
    </row>
    <row r="527" spans="1:14" x14ac:dyDescent="0.3">
      <c r="A527" t="str">
        <f>정규화데이터!A527</f>
        <v>SK스토아</v>
      </c>
      <c r="B527" t="str">
        <f>정규화데이터!B527</f>
        <v>20260210361516</v>
      </c>
      <c r="C527" t="str">
        <f>정규화데이터!C527</f>
        <v>2026-02-12</v>
      </c>
      <c r="D527" t="str">
        <f>정규화데이터!D527</f>
        <v>58481090</v>
      </c>
      <c r="E527" s="16" t="str">
        <f>정규화데이터!E527</f>
        <v>미매핑</v>
      </c>
      <c r="F527" s="3">
        <f>정규화데이터!F527</f>
        <v>1</v>
      </c>
      <c r="G527" s="3">
        <f>정규화데이터!G527</f>
        <v>1</v>
      </c>
      <c r="H527" s="3">
        <f>정규화데이터!H527</f>
        <v>119000</v>
      </c>
      <c r="I527" s="3">
        <f>정규화데이터!I527</f>
        <v>95200</v>
      </c>
      <c r="J527" s="3">
        <f>정규화데이터!J527</f>
        <v>80920</v>
      </c>
      <c r="K527" s="25">
        <f>정규화데이터!K527</f>
        <v>0</v>
      </c>
      <c r="L527" s="25">
        <f>정규화데이터!L527</f>
        <v>80920</v>
      </c>
      <c r="M527" s="21">
        <f t="shared" si="16"/>
        <v>0</v>
      </c>
      <c r="N527" s="52">
        <f t="shared" si="17"/>
        <v>0</v>
      </c>
    </row>
    <row r="528" spans="1:14" x14ac:dyDescent="0.3">
      <c r="A528" t="str">
        <f>정규화데이터!A528</f>
        <v>SK스토아</v>
      </c>
      <c r="B528" t="str">
        <f>정규화데이터!B528</f>
        <v>20260210361966</v>
      </c>
      <c r="C528" t="str">
        <f>정규화데이터!C528</f>
        <v>2026-02-12</v>
      </c>
      <c r="D528" t="str">
        <f>정규화데이터!D528</f>
        <v>58481090</v>
      </c>
      <c r="E528" s="16" t="str">
        <f>정규화데이터!E528</f>
        <v>미매핑</v>
      </c>
      <c r="F528" s="3">
        <f>정규화데이터!F528</f>
        <v>1</v>
      </c>
      <c r="G528" s="3">
        <f>정규화데이터!G528</f>
        <v>1</v>
      </c>
      <c r="H528" s="3">
        <f>정규화데이터!H528</f>
        <v>119000</v>
      </c>
      <c r="I528" s="3">
        <f>정규화데이터!I528</f>
        <v>119000</v>
      </c>
      <c r="J528" s="3">
        <f>정규화데이터!J528</f>
        <v>80920</v>
      </c>
      <c r="K528" s="25">
        <f>정규화데이터!K528</f>
        <v>0</v>
      </c>
      <c r="L528" s="25">
        <f>정규화데이터!L528</f>
        <v>80920</v>
      </c>
      <c r="M528" s="21">
        <f t="shared" si="16"/>
        <v>0</v>
      </c>
      <c r="N528" s="52">
        <f t="shared" si="17"/>
        <v>0</v>
      </c>
    </row>
    <row r="529" spans="1:14" x14ac:dyDescent="0.3">
      <c r="A529" t="str">
        <f>정규화데이터!A529</f>
        <v>SK스토아</v>
      </c>
      <c r="B529" t="str">
        <f>정규화데이터!B529</f>
        <v>20260210362057</v>
      </c>
      <c r="C529" t="str">
        <f>정규화데이터!C529</f>
        <v>2026-02-12</v>
      </c>
      <c r="D529" t="str">
        <f>정규화데이터!D529</f>
        <v>58481090</v>
      </c>
      <c r="E529" s="16" t="str">
        <f>정규화데이터!E529</f>
        <v>미매핑</v>
      </c>
      <c r="F529" s="3">
        <f>정규화데이터!F529</f>
        <v>1</v>
      </c>
      <c r="G529" s="3">
        <f>정규화데이터!G529</f>
        <v>1</v>
      </c>
      <c r="H529" s="3">
        <f>정규화데이터!H529</f>
        <v>119000</v>
      </c>
      <c r="I529" s="3">
        <f>정규화데이터!I529</f>
        <v>119000</v>
      </c>
      <c r="J529" s="3">
        <f>정규화데이터!J529</f>
        <v>80920</v>
      </c>
      <c r="K529" s="25">
        <f>정규화데이터!K529</f>
        <v>0</v>
      </c>
      <c r="L529" s="25">
        <f>정규화데이터!L529</f>
        <v>80920</v>
      </c>
      <c r="M529" s="21">
        <f t="shared" si="16"/>
        <v>0</v>
      </c>
      <c r="N529" s="52">
        <f t="shared" si="17"/>
        <v>0</v>
      </c>
    </row>
    <row r="530" spans="1:14" x14ac:dyDescent="0.3">
      <c r="A530" t="str">
        <f>정규화데이터!A530</f>
        <v>SK스토아</v>
      </c>
      <c r="B530" t="str">
        <f>정규화데이터!B530</f>
        <v>20260210360761</v>
      </c>
      <c r="C530" t="str">
        <f>정규화데이터!C530</f>
        <v>2026-02-12</v>
      </c>
      <c r="D530" t="str">
        <f>정규화데이터!D530</f>
        <v>58481090</v>
      </c>
      <c r="E530" s="16" t="str">
        <f>정규화데이터!E530</f>
        <v>미매핑</v>
      </c>
      <c r="F530" s="3">
        <f>정규화데이터!F530</f>
        <v>1</v>
      </c>
      <c r="G530" s="3">
        <f>정규화데이터!G530</f>
        <v>1</v>
      </c>
      <c r="H530" s="3">
        <f>정규화데이터!H530</f>
        <v>119000</v>
      </c>
      <c r="I530" s="3">
        <f>정규화데이터!I530</f>
        <v>119000</v>
      </c>
      <c r="J530" s="3">
        <f>정규화데이터!J530</f>
        <v>80920</v>
      </c>
      <c r="K530" s="25">
        <f>정규화데이터!K530</f>
        <v>0</v>
      </c>
      <c r="L530" s="25">
        <f>정규화데이터!L530</f>
        <v>80920</v>
      </c>
      <c r="M530" s="21">
        <f t="shared" si="16"/>
        <v>0</v>
      </c>
      <c r="N530" s="52">
        <f t="shared" si="17"/>
        <v>0</v>
      </c>
    </row>
    <row r="531" spans="1:14" x14ac:dyDescent="0.3">
      <c r="A531" t="str">
        <f>정규화데이터!A531</f>
        <v>SK스토아</v>
      </c>
      <c r="B531" t="str">
        <f>정규화데이터!B531</f>
        <v>20260210361026</v>
      </c>
      <c r="C531" t="str">
        <f>정규화데이터!C531</f>
        <v>2026-02-12</v>
      </c>
      <c r="D531" t="str">
        <f>정규화데이터!D531</f>
        <v>58481090</v>
      </c>
      <c r="E531" s="16" t="str">
        <f>정규화데이터!E531</f>
        <v>미매핑</v>
      </c>
      <c r="F531" s="3">
        <f>정규화데이터!F531</f>
        <v>1</v>
      </c>
      <c r="G531" s="3">
        <f>정규화데이터!G531</f>
        <v>1</v>
      </c>
      <c r="H531" s="3">
        <f>정규화데이터!H531</f>
        <v>119000</v>
      </c>
      <c r="I531" s="3">
        <f>정규화데이터!I531</f>
        <v>119000</v>
      </c>
      <c r="J531" s="3">
        <f>정규화데이터!J531</f>
        <v>80920</v>
      </c>
      <c r="K531" s="25">
        <f>정규화데이터!K531</f>
        <v>0</v>
      </c>
      <c r="L531" s="25">
        <f>정규화데이터!L531</f>
        <v>80920</v>
      </c>
      <c r="M531" s="21">
        <f t="shared" si="16"/>
        <v>0</v>
      </c>
      <c r="N531" s="52">
        <f t="shared" si="17"/>
        <v>0</v>
      </c>
    </row>
    <row r="532" spans="1:14" x14ac:dyDescent="0.3">
      <c r="A532" t="str">
        <f>정규화데이터!A532</f>
        <v>SK스토아</v>
      </c>
      <c r="B532" t="str">
        <f>정규화데이터!B532</f>
        <v>20260210361068</v>
      </c>
      <c r="C532" t="str">
        <f>정규화데이터!C532</f>
        <v>2026-02-12</v>
      </c>
      <c r="D532" t="str">
        <f>정규화데이터!D532</f>
        <v>58481090</v>
      </c>
      <c r="E532" s="16" t="str">
        <f>정규화데이터!E532</f>
        <v>미매핑</v>
      </c>
      <c r="F532" s="3">
        <f>정규화데이터!F532</f>
        <v>1</v>
      </c>
      <c r="G532" s="3">
        <f>정규화데이터!G532</f>
        <v>1</v>
      </c>
      <c r="H532" s="3">
        <f>정규화데이터!H532</f>
        <v>119000</v>
      </c>
      <c r="I532" s="3">
        <f>정규화데이터!I532</f>
        <v>119000</v>
      </c>
      <c r="J532" s="3">
        <f>정규화데이터!J532</f>
        <v>80920</v>
      </c>
      <c r="K532" s="25">
        <f>정규화데이터!K532</f>
        <v>0</v>
      </c>
      <c r="L532" s="25">
        <f>정규화데이터!L532</f>
        <v>80920</v>
      </c>
      <c r="M532" s="21">
        <f t="shared" si="16"/>
        <v>0</v>
      </c>
      <c r="N532" s="52">
        <f t="shared" si="17"/>
        <v>0</v>
      </c>
    </row>
    <row r="533" spans="1:14" x14ac:dyDescent="0.3">
      <c r="A533" t="str">
        <f>정규화데이터!A533</f>
        <v>SK스토아</v>
      </c>
      <c r="B533" t="str">
        <f>정규화데이터!B533</f>
        <v>20260210361681</v>
      </c>
      <c r="C533" t="str">
        <f>정규화데이터!C533</f>
        <v>2026-02-12</v>
      </c>
      <c r="D533" t="str">
        <f>정규화데이터!D533</f>
        <v>58481090</v>
      </c>
      <c r="E533" s="16" t="str">
        <f>정규화데이터!E533</f>
        <v>미매핑</v>
      </c>
      <c r="F533" s="3">
        <f>정규화데이터!F533</f>
        <v>1</v>
      </c>
      <c r="G533" s="3">
        <f>정규화데이터!G533</f>
        <v>1</v>
      </c>
      <c r="H533" s="3">
        <f>정규화데이터!H533</f>
        <v>119000</v>
      </c>
      <c r="I533" s="3">
        <f>정규화데이터!I533</f>
        <v>119000</v>
      </c>
      <c r="J533" s="3">
        <f>정규화데이터!J533</f>
        <v>80920</v>
      </c>
      <c r="K533" s="25">
        <f>정규화데이터!K533</f>
        <v>0</v>
      </c>
      <c r="L533" s="25">
        <f>정규화데이터!L533</f>
        <v>80920</v>
      </c>
      <c r="M533" s="21">
        <f t="shared" si="16"/>
        <v>0</v>
      </c>
      <c r="N533" s="52">
        <f t="shared" si="17"/>
        <v>0</v>
      </c>
    </row>
    <row r="534" spans="1:14" x14ac:dyDescent="0.3">
      <c r="A534" t="str">
        <f>정규화데이터!A534</f>
        <v>SK스토아</v>
      </c>
      <c r="B534" t="str">
        <f>정규화데이터!B534</f>
        <v>20260210362071</v>
      </c>
      <c r="C534" t="str">
        <f>정규화데이터!C534</f>
        <v>2026-02-12</v>
      </c>
      <c r="D534" t="str">
        <f>정규화데이터!D534</f>
        <v>58481090</v>
      </c>
      <c r="E534" s="16" t="str">
        <f>정규화데이터!E534</f>
        <v>미매핑</v>
      </c>
      <c r="F534" s="3">
        <f>정규화데이터!F534</f>
        <v>1</v>
      </c>
      <c r="G534" s="3">
        <f>정규화데이터!G534</f>
        <v>1</v>
      </c>
      <c r="H534" s="3">
        <f>정규화데이터!H534</f>
        <v>119000</v>
      </c>
      <c r="I534" s="3">
        <f>정규화데이터!I534</f>
        <v>114000</v>
      </c>
      <c r="J534" s="3">
        <f>정규화데이터!J534</f>
        <v>80920</v>
      </c>
      <c r="K534" s="25">
        <f>정규화데이터!K534</f>
        <v>0</v>
      </c>
      <c r="L534" s="25">
        <f>정규화데이터!L534</f>
        <v>80920</v>
      </c>
      <c r="M534" s="21">
        <f t="shared" si="16"/>
        <v>0</v>
      </c>
      <c r="N534" s="52">
        <f t="shared" si="17"/>
        <v>0</v>
      </c>
    </row>
    <row r="535" spans="1:14" x14ac:dyDescent="0.3">
      <c r="A535" t="str">
        <f>정규화데이터!A535</f>
        <v>SK스토아</v>
      </c>
      <c r="B535" t="str">
        <f>정규화데이터!B535</f>
        <v>20260210360245</v>
      </c>
      <c r="C535" t="str">
        <f>정규화데이터!C535</f>
        <v>2026-02-12</v>
      </c>
      <c r="D535" t="str">
        <f>정규화데이터!D535</f>
        <v>58481090</v>
      </c>
      <c r="E535" s="16" t="str">
        <f>정규화데이터!E535</f>
        <v>미매핑</v>
      </c>
      <c r="F535" s="3">
        <f>정규화데이터!F535</f>
        <v>1</v>
      </c>
      <c r="G535" s="3">
        <f>정규화데이터!G535</f>
        <v>1</v>
      </c>
      <c r="H535" s="3">
        <f>정규화데이터!H535</f>
        <v>119000</v>
      </c>
      <c r="I535" s="3">
        <f>정규화데이터!I535</f>
        <v>119000</v>
      </c>
      <c r="J535" s="3">
        <f>정규화데이터!J535</f>
        <v>80920</v>
      </c>
      <c r="K535" s="25">
        <f>정규화데이터!K535</f>
        <v>0</v>
      </c>
      <c r="L535" s="25">
        <f>정규화데이터!L535</f>
        <v>80920</v>
      </c>
      <c r="M535" s="21">
        <f t="shared" si="16"/>
        <v>0</v>
      </c>
      <c r="N535" s="52">
        <f t="shared" si="17"/>
        <v>0</v>
      </c>
    </row>
    <row r="536" spans="1:14" x14ac:dyDescent="0.3">
      <c r="A536" t="str">
        <f>정규화데이터!A536</f>
        <v>SK스토아</v>
      </c>
      <c r="B536" t="str">
        <f>정규화데이터!B536</f>
        <v>20260210360461</v>
      </c>
      <c r="C536" t="str">
        <f>정규화데이터!C536</f>
        <v>2026-02-12</v>
      </c>
      <c r="D536" t="str">
        <f>정규화데이터!D536</f>
        <v>58481090</v>
      </c>
      <c r="E536" s="16" t="str">
        <f>정규화데이터!E536</f>
        <v>미매핑</v>
      </c>
      <c r="F536" s="3">
        <f>정규화데이터!F536</f>
        <v>1</v>
      </c>
      <c r="G536" s="3">
        <f>정규화데이터!G536</f>
        <v>1</v>
      </c>
      <c r="H536" s="3">
        <f>정규화데이터!H536</f>
        <v>119000</v>
      </c>
      <c r="I536" s="3">
        <f>정규화데이터!I536</f>
        <v>113050</v>
      </c>
      <c r="J536" s="3">
        <f>정규화데이터!J536</f>
        <v>80920</v>
      </c>
      <c r="K536" s="25">
        <f>정규화데이터!K536</f>
        <v>0</v>
      </c>
      <c r="L536" s="25">
        <f>정규화데이터!L536</f>
        <v>80920</v>
      </c>
      <c r="M536" s="21">
        <f t="shared" si="16"/>
        <v>0</v>
      </c>
      <c r="N536" s="52">
        <f t="shared" si="17"/>
        <v>0</v>
      </c>
    </row>
    <row r="537" spans="1:14" x14ac:dyDescent="0.3">
      <c r="A537" t="str">
        <f>정규화데이터!A537</f>
        <v>SK스토아</v>
      </c>
      <c r="B537" t="str">
        <f>정규화데이터!B537</f>
        <v>20260210360338</v>
      </c>
      <c r="C537" t="str">
        <f>정규화데이터!C537</f>
        <v>2026-02-12</v>
      </c>
      <c r="D537" t="str">
        <f>정규화데이터!D537</f>
        <v>58481090</v>
      </c>
      <c r="E537" s="16" t="str">
        <f>정규화데이터!E537</f>
        <v>미매핑</v>
      </c>
      <c r="F537" s="3">
        <f>정규화데이터!F537</f>
        <v>1</v>
      </c>
      <c r="G537" s="3">
        <f>정규화데이터!G537</f>
        <v>1</v>
      </c>
      <c r="H537" s="3">
        <f>정규화데이터!H537</f>
        <v>119000</v>
      </c>
      <c r="I537" s="3">
        <f>정규화데이터!I537</f>
        <v>113050</v>
      </c>
      <c r="J537" s="3">
        <f>정규화데이터!J537</f>
        <v>80920</v>
      </c>
      <c r="K537" s="25">
        <f>정규화데이터!K537</f>
        <v>0</v>
      </c>
      <c r="L537" s="25">
        <f>정규화데이터!L537</f>
        <v>80920</v>
      </c>
      <c r="M537" s="21">
        <f t="shared" si="16"/>
        <v>0</v>
      </c>
      <c r="N537" s="52">
        <f t="shared" si="17"/>
        <v>0</v>
      </c>
    </row>
    <row r="538" spans="1:14" x14ac:dyDescent="0.3">
      <c r="A538" t="str">
        <f>정규화데이터!A538</f>
        <v>SK스토아</v>
      </c>
      <c r="B538" t="str">
        <f>정규화데이터!B538</f>
        <v>20260210361293</v>
      </c>
      <c r="C538" t="str">
        <f>정규화데이터!C538</f>
        <v>2026-02-12</v>
      </c>
      <c r="D538" t="str">
        <f>정규화데이터!D538</f>
        <v>58481090</v>
      </c>
      <c r="E538" s="16" t="str">
        <f>정규화데이터!E538</f>
        <v>미매핑</v>
      </c>
      <c r="F538" s="3">
        <f>정규화데이터!F538</f>
        <v>1</v>
      </c>
      <c r="G538" s="3">
        <f>정규화데이터!G538</f>
        <v>1</v>
      </c>
      <c r="H538" s="3">
        <f>정규화데이터!H538</f>
        <v>119000</v>
      </c>
      <c r="I538" s="3">
        <f>정규화데이터!I538</f>
        <v>119000</v>
      </c>
      <c r="J538" s="3">
        <f>정규화데이터!J538</f>
        <v>80920</v>
      </c>
      <c r="K538" s="25">
        <f>정규화데이터!K538</f>
        <v>0</v>
      </c>
      <c r="L538" s="25">
        <f>정규화데이터!L538</f>
        <v>80920</v>
      </c>
      <c r="M538" s="21">
        <f t="shared" si="16"/>
        <v>0</v>
      </c>
      <c r="N538" s="52">
        <f t="shared" si="17"/>
        <v>0</v>
      </c>
    </row>
    <row r="539" spans="1:14" x14ac:dyDescent="0.3">
      <c r="A539" t="str">
        <f>정규화데이터!A539</f>
        <v>SK스토아</v>
      </c>
      <c r="B539" t="str">
        <f>정규화데이터!B539</f>
        <v>20260210361484</v>
      </c>
      <c r="C539" t="str">
        <f>정규화데이터!C539</f>
        <v>2026-02-12</v>
      </c>
      <c r="D539" t="str">
        <f>정규화데이터!D539</f>
        <v>58481090</v>
      </c>
      <c r="E539" s="16" t="str">
        <f>정규화데이터!E539</f>
        <v>미매핑</v>
      </c>
      <c r="F539" s="3">
        <f>정규화데이터!F539</f>
        <v>1</v>
      </c>
      <c r="G539" s="3">
        <f>정규화데이터!G539</f>
        <v>1</v>
      </c>
      <c r="H539" s="3">
        <f>정규화데이터!H539</f>
        <v>119000</v>
      </c>
      <c r="I539" s="3">
        <f>정규화데이터!I539</f>
        <v>119000</v>
      </c>
      <c r="J539" s="3">
        <f>정규화데이터!J539</f>
        <v>80920</v>
      </c>
      <c r="K539" s="25">
        <f>정규화데이터!K539</f>
        <v>0</v>
      </c>
      <c r="L539" s="25">
        <f>정규화데이터!L539</f>
        <v>80920</v>
      </c>
      <c r="M539" s="21">
        <f t="shared" si="16"/>
        <v>0</v>
      </c>
      <c r="N539" s="52">
        <f t="shared" si="17"/>
        <v>0</v>
      </c>
    </row>
    <row r="540" spans="1:14" x14ac:dyDescent="0.3">
      <c r="A540" t="str">
        <f>정규화데이터!A540</f>
        <v>SK스토아</v>
      </c>
      <c r="B540" t="str">
        <f>정규화데이터!B540</f>
        <v>20260210361723</v>
      </c>
      <c r="C540" t="str">
        <f>정규화데이터!C540</f>
        <v>2026-02-12</v>
      </c>
      <c r="D540" t="str">
        <f>정규화데이터!D540</f>
        <v>58481090</v>
      </c>
      <c r="E540" s="16" t="str">
        <f>정규화데이터!E540</f>
        <v>미매핑</v>
      </c>
      <c r="F540" s="3">
        <f>정규화데이터!F540</f>
        <v>1</v>
      </c>
      <c r="G540" s="3">
        <f>정규화데이터!G540</f>
        <v>1</v>
      </c>
      <c r="H540" s="3">
        <f>정규화데이터!H540</f>
        <v>119000</v>
      </c>
      <c r="I540" s="3">
        <f>정규화데이터!I540</f>
        <v>119000</v>
      </c>
      <c r="J540" s="3">
        <f>정규화데이터!J540</f>
        <v>80920</v>
      </c>
      <c r="K540" s="25">
        <f>정규화데이터!K540</f>
        <v>0</v>
      </c>
      <c r="L540" s="25">
        <f>정규화데이터!L540</f>
        <v>80920</v>
      </c>
      <c r="M540" s="21">
        <f t="shared" si="16"/>
        <v>0</v>
      </c>
      <c r="N540" s="52">
        <f t="shared" si="17"/>
        <v>0</v>
      </c>
    </row>
    <row r="541" spans="1:14" x14ac:dyDescent="0.3">
      <c r="A541" t="str">
        <f>정규화데이터!A541</f>
        <v>SK스토아</v>
      </c>
      <c r="B541" t="str">
        <f>정규화데이터!B541</f>
        <v>20260210361843</v>
      </c>
      <c r="C541" t="str">
        <f>정규화데이터!C541</f>
        <v>2026-02-12</v>
      </c>
      <c r="D541" t="str">
        <f>정규화데이터!D541</f>
        <v>58481090</v>
      </c>
      <c r="E541" s="16" t="str">
        <f>정규화데이터!E541</f>
        <v>미매핑</v>
      </c>
      <c r="F541" s="3">
        <f>정규화데이터!F541</f>
        <v>1</v>
      </c>
      <c r="G541" s="3">
        <f>정규화데이터!G541</f>
        <v>1</v>
      </c>
      <c r="H541" s="3">
        <f>정규화데이터!H541</f>
        <v>119000</v>
      </c>
      <c r="I541" s="3">
        <f>정규화데이터!I541</f>
        <v>119000</v>
      </c>
      <c r="J541" s="3">
        <f>정규화데이터!J541</f>
        <v>80920</v>
      </c>
      <c r="K541" s="25">
        <f>정규화데이터!K541</f>
        <v>0</v>
      </c>
      <c r="L541" s="25">
        <f>정규화데이터!L541</f>
        <v>80920</v>
      </c>
      <c r="M541" s="21">
        <f t="shared" si="16"/>
        <v>0</v>
      </c>
      <c r="N541" s="52">
        <f t="shared" si="17"/>
        <v>0</v>
      </c>
    </row>
    <row r="542" spans="1:14" x14ac:dyDescent="0.3">
      <c r="A542" t="str">
        <f>정규화데이터!A542</f>
        <v>SK스토아</v>
      </c>
      <c r="B542" t="str">
        <f>정규화데이터!B542</f>
        <v>20260210361131</v>
      </c>
      <c r="C542" t="str">
        <f>정규화데이터!C542</f>
        <v>2026-02-12</v>
      </c>
      <c r="D542" t="str">
        <f>정규화데이터!D542</f>
        <v>58481090</v>
      </c>
      <c r="E542" s="16" t="str">
        <f>정규화데이터!E542</f>
        <v>미매핑</v>
      </c>
      <c r="F542" s="3">
        <f>정규화데이터!F542</f>
        <v>1</v>
      </c>
      <c r="G542" s="3">
        <f>정규화데이터!G542</f>
        <v>1</v>
      </c>
      <c r="H542" s="3">
        <f>정규화데이터!H542</f>
        <v>119000</v>
      </c>
      <c r="I542" s="3">
        <f>정규화데이터!I542</f>
        <v>119000</v>
      </c>
      <c r="J542" s="3">
        <f>정규화데이터!J542</f>
        <v>80920</v>
      </c>
      <c r="K542" s="25">
        <f>정규화데이터!K542</f>
        <v>0</v>
      </c>
      <c r="L542" s="25">
        <f>정규화데이터!L542</f>
        <v>80920</v>
      </c>
      <c r="M542" s="21">
        <f t="shared" si="16"/>
        <v>0</v>
      </c>
      <c r="N542" s="52">
        <f t="shared" si="17"/>
        <v>0</v>
      </c>
    </row>
    <row r="543" spans="1:14" x14ac:dyDescent="0.3">
      <c r="A543" t="str">
        <f>정규화데이터!A543</f>
        <v>SK스토아</v>
      </c>
      <c r="B543" t="str">
        <f>정규화데이터!B543</f>
        <v>20260210361526</v>
      </c>
      <c r="C543" t="str">
        <f>정규화데이터!C543</f>
        <v>2026-02-12</v>
      </c>
      <c r="D543" t="str">
        <f>정규화데이터!D543</f>
        <v>58481090</v>
      </c>
      <c r="E543" s="16" t="str">
        <f>정규화데이터!E543</f>
        <v>미매핑</v>
      </c>
      <c r="F543" s="3">
        <f>정규화데이터!F543</f>
        <v>1</v>
      </c>
      <c r="G543" s="3">
        <f>정규화데이터!G543</f>
        <v>1</v>
      </c>
      <c r="H543" s="3">
        <f>정규화데이터!H543</f>
        <v>119000</v>
      </c>
      <c r="I543" s="3">
        <f>정규화데이터!I543</f>
        <v>119000</v>
      </c>
      <c r="J543" s="3">
        <f>정규화데이터!J543</f>
        <v>80920</v>
      </c>
      <c r="K543" s="25">
        <f>정규화데이터!K543</f>
        <v>0</v>
      </c>
      <c r="L543" s="25">
        <f>정규화데이터!L543</f>
        <v>80920</v>
      </c>
      <c r="M543" s="21">
        <f t="shared" si="16"/>
        <v>0</v>
      </c>
      <c r="N543" s="52">
        <f t="shared" si="17"/>
        <v>0</v>
      </c>
    </row>
    <row r="544" spans="1:14" x14ac:dyDescent="0.3">
      <c r="A544" t="str">
        <f>정규화데이터!A544</f>
        <v>SK스토아</v>
      </c>
      <c r="B544" t="str">
        <f>정규화데이터!B544</f>
        <v>20260210360438</v>
      </c>
      <c r="C544" t="str">
        <f>정규화데이터!C544</f>
        <v>2026-02-12</v>
      </c>
      <c r="D544" t="str">
        <f>정규화데이터!D544</f>
        <v>58481090</v>
      </c>
      <c r="E544" s="16" t="str">
        <f>정규화데이터!E544</f>
        <v>미매핑</v>
      </c>
      <c r="F544" s="3">
        <f>정규화데이터!F544</f>
        <v>1</v>
      </c>
      <c r="G544" s="3">
        <f>정규화데이터!G544</f>
        <v>1</v>
      </c>
      <c r="H544" s="3">
        <f>정규화데이터!H544</f>
        <v>119000</v>
      </c>
      <c r="I544" s="3">
        <f>정규화데이터!I544</f>
        <v>119000</v>
      </c>
      <c r="J544" s="3">
        <f>정규화데이터!J544</f>
        <v>80920</v>
      </c>
      <c r="K544" s="25">
        <f>정규화데이터!K544</f>
        <v>0</v>
      </c>
      <c r="L544" s="25">
        <f>정규화데이터!L544</f>
        <v>80920</v>
      </c>
      <c r="M544" s="21">
        <f t="shared" si="16"/>
        <v>0</v>
      </c>
      <c r="N544" s="52">
        <f t="shared" si="17"/>
        <v>0</v>
      </c>
    </row>
    <row r="545" spans="1:14" x14ac:dyDescent="0.3">
      <c r="A545" t="str">
        <f>정규화데이터!A545</f>
        <v>SK스토아</v>
      </c>
      <c r="B545" t="str">
        <f>정규화데이터!B545</f>
        <v>20260210361764</v>
      </c>
      <c r="C545" t="str">
        <f>정규화데이터!C545</f>
        <v>2026-02-12</v>
      </c>
      <c r="D545" t="str">
        <f>정규화데이터!D545</f>
        <v>58481090</v>
      </c>
      <c r="E545" s="16" t="str">
        <f>정규화데이터!E545</f>
        <v>미매핑</v>
      </c>
      <c r="F545" s="3">
        <f>정규화데이터!F545</f>
        <v>1</v>
      </c>
      <c r="G545" s="3">
        <f>정규화데이터!G545</f>
        <v>1</v>
      </c>
      <c r="H545" s="3">
        <f>정규화데이터!H545</f>
        <v>119000</v>
      </c>
      <c r="I545" s="3">
        <f>정규화데이터!I545</f>
        <v>119000</v>
      </c>
      <c r="J545" s="3">
        <f>정규화데이터!J545</f>
        <v>80920</v>
      </c>
      <c r="K545" s="25">
        <f>정규화데이터!K545</f>
        <v>0</v>
      </c>
      <c r="L545" s="25">
        <f>정규화데이터!L545</f>
        <v>80920</v>
      </c>
      <c r="M545" s="21">
        <f t="shared" si="16"/>
        <v>0</v>
      </c>
      <c r="N545" s="52">
        <f t="shared" si="17"/>
        <v>0</v>
      </c>
    </row>
    <row r="546" spans="1:14" x14ac:dyDescent="0.3">
      <c r="A546" t="str">
        <f>정규화데이터!A546</f>
        <v>SK스토아</v>
      </c>
      <c r="B546" t="str">
        <f>정규화데이터!B546</f>
        <v>20260210361158</v>
      </c>
      <c r="C546" t="str">
        <f>정규화데이터!C546</f>
        <v>2026-02-12</v>
      </c>
      <c r="D546" t="str">
        <f>정규화데이터!D546</f>
        <v>58481090</v>
      </c>
      <c r="E546" s="16" t="str">
        <f>정규화데이터!E546</f>
        <v>미매핑</v>
      </c>
      <c r="F546" s="3">
        <f>정규화데이터!F546</f>
        <v>1</v>
      </c>
      <c r="G546" s="3">
        <f>정규화데이터!G546</f>
        <v>1</v>
      </c>
      <c r="H546" s="3">
        <f>정규화데이터!H546</f>
        <v>119000</v>
      </c>
      <c r="I546" s="3">
        <f>정규화데이터!I546</f>
        <v>113050</v>
      </c>
      <c r="J546" s="3">
        <f>정규화데이터!J546</f>
        <v>80920</v>
      </c>
      <c r="K546" s="25">
        <f>정규화데이터!K546</f>
        <v>0</v>
      </c>
      <c r="L546" s="25">
        <f>정규화데이터!L546</f>
        <v>80920</v>
      </c>
      <c r="M546" s="21">
        <f t="shared" si="16"/>
        <v>0</v>
      </c>
      <c r="N546" s="52">
        <f t="shared" si="17"/>
        <v>0</v>
      </c>
    </row>
    <row r="547" spans="1:14" x14ac:dyDescent="0.3">
      <c r="A547" t="str">
        <f>정규화데이터!A547</f>
        <v>SK스토아</v>
      </c>
      <c r="B547" t="str">
        <f>정규화데이터!B547</f>
        <v>20260210360710</v>
      </c>
      <c r="C547" t="str">
        <f>정규화데이터!C547</f>
        <v>2026-02-12</v>
      </c>
      <c r="D547" t="str">
        <f>정규화데이터!D547</f>
        <v>58481090</v>
      </c>
      <c r="E547" s="16" t="str">
        <f>정규화데이터!E547</f>
        <v>미매핑</v>
      </c>
      <c r="F547" s="3">
        <f>정규화데이터!F547</f>
        <v>1</v>
      </c>
      <c r="G547" s="3">
        <f>정규화데이터!G547</f>
        <v>1</v>
      </c>
      <c r="H547" s="3">
        <f>정규화데이터!H547</f>
        <v>119000</v>
      </c>
      <c r="I547" s="3">
        <f>정규화데이터!I547</f>
        <v>119000</v>
      </c>
      <c r="J547" s="3">
        <f>정규화데이터!J547</f>
        <v>80920</v>
      </c>
      <c r="K547" s="25">
        <f>정규화데이터!K547</f>
        <v>0</v>
      </c>
      <c r="L547" s="25">
        <f>정규화데이터!L547</f>
        <v>80920</v>
      </c>
      <c r="M547" s="21">
        <f t="shared" si="16"/>
        <v>0</v>
      </c>
      <c r="N547" s="52">
        <f t="shared" si="17"/>
        <v>0</v>
      </c>
    </row>
    <row r="548" spans="1:14" x14ac:dyDescent="0.3">
      <c r="A548" t="str">
        <f>정규화데이터!A548</f>
        <v>SK스토아</v>
      </c>
      <c r="B548" t="str">
        <f>정규화데이터!B548</f>
        <v>20260210361717</v>
      </c>
      <c r="C548" t="str">
        <f>정규화데이터!C548</f>
        <v>2026-02-12</v>
      </c>
      <c r="D548" t="str">
        <f>정규화데이터!D548</f>
        <v>58481090</v>
      </c>
      <c r="E548" s="16" t="str">
        <f>정규화데이터!E548</f>
        <v>미매핑</v>
      </c>
      <c r="F548" s="3">
        <f>정규화데이터!F548</f>
        <v>1</v>
      </c>
      <c r="G548" s="3">
        <f>정규화데이터!G548</f>
        <v>1</v>
      </c>
      <c r="H548" s="3">
        <f>정규화데이터!H548</f>
        <v>119000</v>
      </c>
      <c r="I548" s="3">
        <f>정규화데이터!I548</f>
        <v>119000</v>
      </c>
      <c r="J548" s="3">
        <f>정규화데이터!J548</f>
        <v>80920</v>
      </c>
      <c r="K548" s="25">
        <f>정규화데이터!K548</f>
        <v>0</v>
      </c>
      <c r="L548" s="25">
        <f>정규화데이터!L548</f>
        <v>80920</v>
      </c>
      <c r="M548" s="21">
        <f t="shared" si="16"/>
        <v>0</v>
      </c>
      <c r="N548" s="52">
        <f t="shared" si="17"/>
        <v>0</v>
      </c>
    </row>
    <row r="549" spans="1:14" x14ac:dyDescent="0.3">
      <c r="A549" t="str">
        <f>정규화데이터!A549</f>
        <v>SK스토아</v>
      </c>
      <c r="B549" t="str">
        <f>정규화데이터!B549</f>
        <v>20260210362658</v>
      </c>
      <c r="C549" t="str">
        <f>정규화데이터!C549</f>
        <v>2026-02-12</v>
      </c>
      <c r="D549" t="str">
        <f>정규화데이터!D549</f>
        <v>58481090</v>
      </c>
      <c r="E549" s="16" t="str">
        <f>정규화데이터!E549</f>
        <v>미매핑</v>
      </c>
      <c r="F549" s="3">
        <f>정규화데이터!F549</f>
        <v>1</v>
      </c>
      <c r="G549" s="3">
        <f>정규화데이터!G549</f>
        <v>1</v>
      </c>
      <c r="H549" s="3">
        <f>정규화데이터!H549</f>
        <v>119000</v>
      </c>
      <c r="I549" s="3">
        <f>정규화데이터!I549</f>
        <v>113050</v>
      </c>
      <c r="J549" s="3">
        <f>정규화데이터!J549</f>
        <v>80920</v>
      </c>
      <c r="K549" s="25">
        <f>정규화데이터!K549</f>
        <v>0</v>
      </c>
      <c r="L549" s="25">
        <f>정규화데이터!L549</f>
        <v>80920</v>
      </c>
      <c r="M549" s="21">
        <f t="shared" si="16"/>
        <v>0</v>
      </c>
      <c r="N549" s="52">
        <f t="shared" si="17"/>
        <v>0</v>
      </c>
    </row>
    <row r="550" spans="1:14" x14ac:dyDescent="0.3">
      <c r="A550" t="str">
        <f>정규화데이터!A550</f>
        <v>SK스토아</v>
      </c>
      <c r="B550" t="str">
        <f>정규화데이터!B550</f>
        <v>20260210360971</v>
      </c>
      <c r="C550" t="str">
        <f>정규화데이터!C550</f>
        <v>2026-02-12</v>
      </c>
      <c r="D550" t="str">
        <f>정규화데이터!D550</f>
        <v>58481090</v>
      </c>
      <c r="E550" s="16" t="str">
        <f>정규화데이터!E550</f>
        <v>미매핑</v>
      </c>
      <c r="F550" s="3">
        <f>정규화데이터!F550</f>
        <v>1</v>
      </c>
      <c r="G550" s="3">
        <f>정규화데이터!G550</f>
        <v>1</v>
      </c>
      <c r="H550" s="3">
        <f>정규화데이터!H550</f>
        <v>119000</v>
      </c>
      <c r="I550" s="3">
        <f>정규화데이터!I550</f>
        <v>119000</v>
      </c>
      <c r="J550" s="3">
        <f>정규화데이터!J550</f>
        <v>80920</v>
      </c>
      <c r="K550" s="25">
        <f>정규화데이터!K550</f>
        <v>0</v>
      </c>
      <c r="L550" s="25">
        <f>정규화데이터!L550</f>
        <v>80920</v>
      </c>
      <c r="M550" s="21">
        <f t="shared" si="16"/>
        <v>0</v>
      </c>
      <c r="N550" s="52">
        <f t="shared" si="17"/>
        <v>0</v>
      </c>
    </row>
    <row r="551" spans="1:14" x14ac:dyDescent="0.3">
      <c r="A551" t="str">
        <f>정규화데이터!A551</f>
        <v>SK스토아</v>
      </c>
      <c r="B551" t="str">
        <f>정규화데이터!B551</f>
        <v>20260210360957</v>
      </c>
      <c r="C551" t="str">
        <f>정규화데이터!C551</f>
        <v>2026-02-12</v>
      </c>
      <c r="D551" t="str">
        <f>정규화데이터!D551</f>
        <v>58481090</v>
      </c>
      <c r="E551" s="16" t="str">
        <f>정규화데이터!E551</f>
        <v>미매핑</v>
      </c>
      <c r="F551" s="3">
        <f>정규화데이터!F551</f>
        <v>1</v>
      </c>
      <c r="G551" s="3">
        <f>정규화데이터!G551</f>
        <v>1</v>
      </c>
      <c r="H551" s="3">
        <f>정규화데이터!H551</f>
        <v>119000</v>
      </c>
      <c r="I551" s="3">
        <f>정규화데이터!I551</f>
        <v>113050</v>
      </c>
      <c r="J551" s="3">
        <f>정규화데이터!J551</f>
        <v>80920</v>
      </c>
      <c r="K551" s="25">
        <f>정규화데이터!K551</f>
        <v>0</v>
      </c>
      <c r="L551" s="25">
        <f>정규화데이터!L551</f>
        <v>80920</v>
      </c>
      <c r="M551" s="21">
        <f t="shared" si="16"/>
        <v>0</v>
      </c>
      <c r="N551" s="52">
        <f t="shared" si="17"/>
        <v>0</v>
      </c>
    </row>
    <row r="552" spans="1:14" x14ac:dyDescent="0.3">
      <c r="A552" t="str">
        <f>정규화데이터!A552</f>
        <v>SK스토아</v>
      </c>
      <c r="B552" t="str">
        <f>정규화데이터!B552</f>
        <v>20260210362164</v>
      </c>
      <c r="C552" t="str">
        <f>정규화데이터!C552</f>
        <v>2026-02-12</v>
      </c>
      <c r="D552" t="str">
        <f>정규화데이터!D552</f>
        <v>58481090</v>
      </c>
      <c r="E552" s="16" t="str">
        <f>정규화데이터!E552</f>
        <v>미매핑</v>
      </c>
      <c r="F552" s="3">
        <f>정규화데이터!F552</f>
        <v>1</v>
      </c>
      <c r="G552" s="3">
        <f>정규화데이터!G552</f>
        <v>1</v>
      </c>
      <c r="H552" s="3">
        <f>정규화데이터!H552</f>
        <v>119000</v>
      </c>
      <c r="I552" s="3">
        <f>정규화데이터!I552</f>
        <v>119000</v>
      </c>
      <c r="J552" s="3">
        <f>정규화데이터!J552</f>
        <v>80920</v>
      </c>
      <c r="K552" s="25">
        <f>정규화데이터!K552</f>
        <v>0</v>
      </c>
      <c r="L552" s="25">
        <f>정규화데이터!L552</f>
        <v>80920</v>
      </c>
      <c r="M552" s="21">
        <f t="shared" si="16"/>
        <v>0</v>
      </c>
      <c r="N552" s="52">
        <f t="shared" si="17"/>
        <v>0</v>
      </c>
    </row>
    <row r="553" spans="1:14" x14ac:dyDescent="0.3">
      <c r="A553" t="str">
        <f>정규화데이터!A553</f>
        <v>SK스토아</v>
      </c>
      <c r="B553" t="str">
        <f>정규화데이터!B553</f>
        <v>20260210362189</v>
      </c>
      <c r="C553" t="str">
        <f>정규화데이터!C553</f>
        <v>2026-02-12</v>
      </c>
      <c r="D553" t="str">
        <f>정규화데이터!D553</f>
        <v>58481090</v>
      </c>
      <c r="E553" s="16" t="str">
        <f>정규화데이터!E553</f>
        <v>미매핑</v>
      </c>
      <c r="F553" s="3">
        <f>정규화데이터!F553</f>
        <v>1</v>
      </c>
      <c r="G553" s="3">
        <f>정규화데이터!G553</f>
        <v>1</v>
      </c>
      <c r="H553" s="3">
        <f>정규화데이터!H553</f>
        <v>119000</v>
      </c>
      <c r="I553" s="3">
        <f>정규화데이터!I553</f>
        <v>113050</v>
      </c>
      <c r="J553" s="3">
        <f>정규화데이터!J553</f>
        <v>80920</v>
      </c>
      <c r="K553" s="25">
        <f>정규화데이터!K553</f>
        <v>0</v>
      </c>
      <c r="L553" s="25">
        <f>정규화데이터!L553</f>
        <v>80920</v>
      </c>
      <c r="M553" s="21">
        <f t="shared" si="16"/>
        <v>0</v>
      </c>
      <c r="N553" s="52">
        <f t="shared" si="17"/>
        <v>0</v>
      </c>
    </row>
    <row r="554" spans="1:14" x14ac:dyDescent="0.3">
      <c r="A554" t="str">
        <f>정규화데이터!A554</f>
        <v>SK스토아</v>
      </c>
      <c r="B554" t="str">
        <f>정규화데이터!B554</f>
        <v>20260210360419</v>
      </c>
      <c r="C554" t="str">
        <f>정규화데이터!C554</f>
        <v>2026-02-12</v>
      </c>
      <c r="D554" t="str">
        <f>정규화데이터!D554</f>
        <v>58481090</v>
      </c>
      <c r="E554" s="16" t="str">
        <f>정규화데이터!E554</f>
        <v>미매핑</v>
      </c>
      <c r="F554" s="3">
        <f>정규화데이터!F554</f>
        <v>1</v>
      </c>
      <c r="G554" s="3">
        <f>정규화데이터!G554</f>
        <v>1</v>
      </c>
      <c r="H554" s="3">
        <f>정규화데이터!H554</f>
        <v>119000</v>
      </c>
      <c r="I554" s="3">
        <f>정규화데이터!I554</f>
        <v>119000</v>
      </c>
      <c r="J554" s="3">
        <f>정규화데이터!J554</f>
        <v>80920</v>
      </c>
      <c r="K554" s="25">
        <f>정규화데이터!K554</f>
        <v>0</v>
      </c>
      <c r="L554" s="25">
        <f>정규화데이터!L554</f>
        <v>80920</v>
      </c>
      <c r="M554" s="21">
        <f t="shared" si="16"/>
        <v>0</v>
      </c>
      <c r="N554" s="52">
        <f t="shared" si="17"/>
        <v>0</v>
      </c>
    </row>
    <row r="555" spans="1:14" x14ac:dyDescent="0.3">
      <c r="A555" t="str">
        <f>정규화데이터!A555</f>
        <v>SK스토아</v>
      </c>
      <c r="B555" t="str">
        <f>정규화데이터!B555</f>
        <v>20260210361724</v>
      </c>
      <c r="C555" t="str">
        <f>정규화데이터!C555</f>
        <v>2026-02-12</v>
      </c>
      <c r="D555" t="str">
        <f>정규화데이터!D555</f>
        <v>58481090</v>
      </c>
      <c r="E555" s="16" t="str">
        <f>정규화데이터!E555</f>
        <v>미매핑</v>
      </c>
      <c r="F555" s="3">
        <f>정규화데이터!F555</f>
        <v>1</v>
      </c>
      <c r="G555" s="3">
        <f>정규화데이터!G555</f>
        <v>1</v>
      </c>
      <c r="H555" s="3">
        <f>정규화데이터!H555</f>
        <v>119000</v>
      </c>
      <c r="I555" s="3">
        <f>정규화데이터!I555</f>
        <v>119000</v>
      </c>
      <c r="J555" s="3">
        <f>정규화데이터!J555</f>
        <v>80920</v>
      </c>
      <c r="K555" s="25">
        <f>정규화데이터!K555</f>
        <v>0</v>
      </c>
      <c r="L555" s="25">
        <f>정규화데이터!L555</f>
        <v>80920</v>
      </c>
      <c r="M555" s="21">
        <f t="shared" si="16"/>
        <v>0</v>
      </c>
      <c r="N555" s="52">
        <f t="shared" si="17"/>
        <v>0</v>
      </c>
    </row>
    <row r="556" spans="1:14" x14ac:dyDescent="0.3">
      <c r="A556" t="str">
        <f>정규화데이터!A556</f>
        <v>SK스토아</v>
      </c>
      <c r="B556" t="str">
        <f>정규화데이터!B556</f>
        <v>20260210360288</v>
      </c>
      <c r="C556" t="str">
        <f>정규화데이터!C556</f>
        <v>2026-02-12</v>
      </c>
      <c r="D556" t="str">
        <f>정규화데이터!D556</f>
        <v>58481090</v>
      </c>
      <c r="E556" s="16" t="str">
        <f>정규화데이터!E556</f>
        <v>미매핑</v>
      </c>
      <c r="F556" s="3">
        <f>정규화데이터!F556</f>
        <v>1</v>
      </c>
      <c r="G556" s="3">
        <f>정규화데이터!G556</f>
        <v>1</v>
      </c>
      <c r="H556" s="3">
        <f>정규화데이터!H556</f>
        <v>119000</v>
      </c>
      <c r="I556" s="3">
        <f>정규화데이터!I556</f>
        <v>119000</v>
      </c>
      <c r="J556" s="3">
        <f>정규화데이터!J556</f>
        <v>80920</v>
      </c>
      <c r="K556" s="25">
        <f>정규화데이터!K556</f>
        <v>0</v>
      </c>
      <c r="L556" s="25">
        <f>정규화데이터!L556</f>
        <v>80920</v>
      </c>
      <c r="M556" s="21">
        <f t="shared" si="16"/>
        <v>0</v>
      </c>
      <c r="N556" s="52">
        <f t="shared" si="17"/>
        <v>0</v>
      </c>
    </row>
    <row r="557" spans="1:14" x14ac:dyDescent="0.3">
      <c r="A557" t="str">
        <f>정규화데이터!A557</f>
        <v>SK스토아</v>
      </c>
      <c r="B557" t="str">
        <f>정규화데이터!B557</f>
        <v>20260210361616</v>
      </c>
      <c r="C557" t="str">
        <f>정규화데이터!C557</f>
        <v>2026-02-12</v>
      </c>
      <c r="D557" t="str">
        <f>정규화데이터!D557</f>
        <v>58481090</v>
      </c>
      <c r="E557" s="16" t="str">
        <f>정규화데이터!E557</f>
        <v>미매핑</v>
      </c>
      <c r="F557" s="3">
        <f>정규화데이터!F557</f>
        <v>1</v>
      </c>
      <c r="G557" s="3">
        <f>정규화데이터!G557</f>
        <v>1</v>
      </c>
      <c r="H557" s="3">
        <f>정규화데이터!H557</f>
        <v>119000</v>
      </c>
      <c r="I557" s="3">
        <f>정규화데이터!I557</f>
        <v>113050</v>
      </c>
      <c r="J557" s="3">
        <f>정규화데이터!J557</f>
        <v>80920</v>
      </c>
      <c r="K557" s="25">
        <f>정규화데이터!K557</f>
        <v>0</v>
      </c>
      <c r="L557" s="25">
        <f>정규화데이터!L557</f>
        <v>80920</v>
      </c>
      <c r="M557" s="21">
        <f t="shared" si="16"/>
        <v>0</v>
      </c>
      <c r="N557" s="52">
        <f t="shared" si="17"/>
        <v>0</v>
      </c>
    </row>
    <row r="558" spans="1:14" x14ac:dyDescent="0.3">
      <c r="A558" t="str">
        <f>정규화데이터!A558</f>
        <v>SK스토아</v>
      </c>
      <c r="B558" t="str">
        <f>정규화데이터!B558</f>
        <v>20260210361828</v>
      </c>
      <c r="C558" t="str">
        <f>정규화데이터!C558</f>
        <v>2026-02-12</v>
      </c>
      <c r="D558" t="str">
        <f>정규화데이터!D558</f>
        <v>58481090</v>
      </c>
      <c r="E558" s="16" t="str">
        <f>정규화데이터!E558</f>
        <v>미매핑</v>
      </c>
      <c r="F558" s="3">
        <f>정규화데이터!F558</f>
        <v>1</v>
      </c>
      <c r="G558" s="3">
        <f>정규화데이터!G558</f>
        <v>1</v>
      </c>
      <c r="H558" s="3">
        <f>정규화데이터!H558</f>
        <v>119000</v>
      </c>
      <c r="I558" s="3">
        <f>정규화데이터!I558</f>
        <v>119000</v>
      </c>
      <c r="J558" s="3">
        <f>정규화데이터!J558</f>
        <v>80920</v>
      </c>
      <c r="K558" s="25">
        <f>정규화데이터!K558</f>
        <v>0</v>
      </c>
      <c r="L558" s="25">
        <f>정규화데이터!L558</f>
        <v>80920</v>
      </c>
      <c r="M558" s="21">
        <f t="shared" si="16"/>
        <v>0</v>
      </c>
      <c r="N558" s="52">
        <f t="shared" si="17"/>
        <v>0</v>
      </c>
    </row>
    <row r="559" spans="1:14" x14ac:dyDescent="0.3">
      <c r="A559" t="str">
        <f>정규화데이터!A559</f>
        <v>SK스토아</v>
      </c>
      <c r="B559" t="str">
        <f>정규화데이터!B559</f>
        <v>20260210361688</v>
      </c>
      <c r="C559" t="str">
        <f>정규화데이터!C559</f>
        <v>2026-02-12</v>
      </c>
      <c r="D559" t="str">
        <f>정규화데이터!D559</f>
        <v>58481090</v>
      </c>
      <c r="E559" s="16" t="str">
        <f>정규화데이터!E559</f>
        <v>미매핑</v>
      </c>
      <c r="F559" s="3">
        <f>정규화데이터!F559</f>
        <v>1</v>
      </c>
      <c r="G559" s="3">
        <f>정규화데이터!G559</f>
        <v>1</v>
      </c>
      <c r="H559" s="3">
        <f>정규화데이터!H559</f>
        <v>119000</v>
      </c>
      <c r="I559" s="3">
        <f>정규화데이터!I559</f>
        <v>119000</v>
      </c>
      <c r="J559" s="3">
        <f>정규화데이터!J559</f>
        <v>80920</v>
      </c>
      <c r="K559" s="25">
        <f>정규화데이터!K559</f>
        <v>0</v>
      </c>
      <c r="L559" s="25">
        <f>정규화데이터!L559</f>
        <v>80920</v>
      </c>
      <c r="M559" s="21">
        <f t="shared" si="16"/>
        <v>0</v>
      </c>
      <c r="N559" s="52">
        <f t="shared" si="17"/>
        <v>0</v>
      </c>
    </row>
    <row r="560" spans="1:14" x14ac:dyDescent="0.3">
      <c r="A560" t="str">
        <f>정규화데이터!A560</f>
        <v>SK스토아</v>
      </c>
      <c r="B560" t="str">
        <f>정규화데이터!B560</f>
        <v>20260210361789</v>
      </c>
      <c r="C560" t="str">
        <f>정규화데이터!C560</f>
        <v>2026-02-12</v>
      </c>
      <c r="D560" t="str">
        <f>정규화데이터!D560</f>
        <v>58481090</v>
      </c>
      <c r="E560" s="16" t="str">
        <f>정규화데이터!E560</f>
        <v>미매핑</v>
      </c>
      <c r="F560" s="3">
        <f>정규화데이터!F560</f>
        <v>1</v>
      </c>
      <c r="G560" s="3">
        <f>정규화데이터!G560</f>
        <v>1</v>
      </c>
      <c r="H560" s="3">
        <f>정규화데이터!H560</f>
        <v>119000</v>
      </c>
      <c r="I560" s="3">
        <f>정규화데이터!I560</f>
        <v>119000</v>
      </c>
      <c r="J560" s="3">
        <f>정규화데이터!J560</f>
        <v>80920</v>
      </c>
      <c r="K560" s="25">
        <f>정규화데이터!K560</f>
        <v>0</v>
      </c>
      <c r="L560" s="25">
        <f>정규화데이터!L560</f>
        <v>80920</v>
      </c>
      <c r="M560" s="21">
        <f t="shared" si="16"/>
        <v>0</v>
      </c>
      <c r="N560" s="52">
        <f t="shared" si="17"/>
        <v>0</v>
      </c>
    </row>
    <row r="561" spans="1:14" x14ac:dyDescent="0.3">
      <c r="A561" t="str">
        <f>정규화데이터!A561</f>
        <v>SK스토아</v>
      </c>
      <c r="B561" t="str">
        <f>정규화데이터!B561</f>
        <v>20260210360385</v>
      </c>
      <c r="C561" t="str">
        <f>정규화데이터!C561</f>
        <v>2026-02-12</v>
      </c>
      <c r="D561" t="str">
        <f>정규화데이터!D561</f>
        <v>58481090</v>
      </c>
      <c r="E561" s="16" t="str">
        <f>정규화데이터!E561</f>
        <v>미매핑</v>
      </c>
      <c r="F561" s="3">
        <f>정규화데이터!F561</f>
        <v>1</v>
      </c>
      <c r="G561" s="3">
        <f>정규화데이터!G561</f>
        <v>1</v>
      </c>
      <c r="H561" s="3">
        <f>정규화데이터!H561</f>
        <v>119000</v>
      </c>
      <c r="I561" s="3">
        <f>정규화데이터!I561</f>
        <v>119000</v>
      </c>
      <c r="J561" s="3">
        <f>정규화데이터!J561</f>
        <v>80920</v>
      </c>
      <c r="K561" s="25">
        <f>정규화데이터!K561</f>
        <v>0</v>
      </c>
      <c r="L561" s="25">
        <f>정규화데이터!L561</f>
        <v>80920</v>
      </c>
      <c r="M561" s="21">
        <f t="shared" si="16"/>
        <v>0</v>
      </c>
      <c r="N561" s="52">
        <f t="shared" si="17"/>
        <v>0</v>
      </c>
    </row>
    <row r="562" spans="1:14" x14ac:dyDescent="0.3">
      <c r="A562" t="str">
        <f>정규화데이터!A562</f>
        <v>SK스토아</v>
      </c>
      <c r="B562" t="str">
        <f>정규화데이터!B562</f>
        <v>20260210361225</v>
      </c>
      <c r="C562" t="str">
        <f>정규화데이터!C562</f>
        <v>2026-02-12</v>
      </c>
      <c r="D562" t="str">
        <f>정규화데이터!D562</f>
        <v>58481090</v>
      </c>
      <c r="E562" s="16" t="str">
        <f>정규화데이터!E562</f>
        <v>미매핑</v>
      </c>
      <c r="F562" s="3">
        <f>정규화데이터!F562</f>
        <v>1</v>
      </c>
      <c r="G562" s="3">
        <f>정규화데이터!G562</f>
        <v>1</v>
      </c>
      <c r="H562" s="3">
        <f>정규화데이터!H562</f>
        <v>119000</v>
      </c>
      <c r="I562" s="3">
        <f>정규화데이터!I562</f>
        <v>113050</v>
      </c>
      <c r="J562" s="3">
        <f>정규화데이터!J562</f>
        <v>80920</v>
      </c>
      <c r="K562" s="25">
        <f>정규화데이터!K562</f>
        <v>0</v>
      </c>
      <c r="L562" s="25">
        <f>정규화데이터!L562</f>
        <v>80920</v>
      </c>
      <c r="M562" s="21">
        <f t="shared" si="16"/>
        <v>0</v>
      </c>
      <c r="N562" s="52">
        <f t="shared" si="17"/>
        <v>0</v>
      </c>
    </row>
    <row r="563" spans="1:14" x14ac:dyDescent="0.3">
      <c r="A563" t="str">
        <f>정규화데이터!A563</f>
        <v>SK스토아</v>
      </c>
      <c r="B563" t="str">
        <f>정규화데이터!B563</f>
        <v>20260210360980</v>
      </c>
      <c r="C563" t="str">
        <f>정규화데이터!C563</f>
        <v>2026-02-12</v>
      </c>
      <c r="D563" t="str">
        <f>정규화데이터!D563</f>
        <v>58481090</v>
      </c>
      <c r="E563" s="16" t="str">
        <f>정규화데이터!E563</f>
        <v>미매핑</v>
      </c>
      <c r="F563" s="3">
        <f>정규화데이터!F563</f>
        <v>1</v>
      </c>
      <c r="G563" s="3">
        <f>정규화데이터!G563</f>
        <v>1</v>
      </c>
      <c r="H563" s="3">
        <f>정규화데이터!H563</f>
        <v>119000</v>
      </c>
      <c r="I563" s="3">
        <f>정규화데이터!I563</f>
        <v>119000</v>
      </c>
      <c r="J563" s="3">
        <f>정규화데이터!J563</f>
        <v>80920</v>
      </c>
      <c r="K563" s="25">
        <f>정규화데이터!K563</f>
        <v>0</v>
      </c>
      <c r="L563" s="25">
        <f>정규화데이터!L563</f>
        <v>80920</v>
      </c>
      <c r="M563" s="21">
        <f t="shared" si="16"/>
        <v>0</v>
      </c>
      <c r="N563" s="52">
        <f t="shared" si="17"/>
        <v>0</v>
      </c>
    </row>
    <row r="564" spans="1:14" x14ac:dyDescent="0.3">
      <c r="A564" t="str">
        <f>정규화데이터!A564</f>
        <v>SK스토아</v>
      </c>
      <c r="B564" t="str">
        <f>정규화데이터!B564</f>
        <v>20260210360551</v>
      </c>
      <c r="C564" t="str">
        <f>정규화데이터!C564</f>
        <v>2026-02-12</v>
      </c>
      <c r="D564" t="str">
        <f>정규화데이터!D564</f>
        <v>58481090</v>
      </c>
      <c r="E564" s="16" t="str">
        <f>정규화데이터!E564</f>
        <v>미매핑</v>
      </c>
      <c r="F564" s="3">
        <f>정규화데이터!F564</f>
        <v>1</v>
      </c>
      <c r="G564" s="3">
        <f>정규화데이터!G564</f>
        <v>1</v>
      </c>
      <c r="H564" s="3">
        <f>정규화데이터!H564</f>
        <v>119000</v>
      </c>
      <c r="I564" s="3">
        <f>정규화데이터!I564</f>
        <v>119000</v>
      </c>
      <c r="J564" s="3">
        <f>정규화데이터!J564</f>
        <v>80920</v>
      </c>
      <c r="K564" s="25">
        <f>정규화데이터!K564</f>
        <v>0</v>
      </c>
      <c r="L564" s="25">
        <f>정규화데이터!L564</f>
        <v>80920</v>
      </c>
      <c r="M564" s="21">
        <f t="shared" si="16"/>
        <v>0</v>
      </c>
      <c r="N564" s="52">
        <f t="shared" si="17"/>
        <v>0</v>
      </c>
    </row>
    <row r="565" spans="1:14" x14ac:dyDescent="0.3">
      <c r="A565" t="str">
        <f>정규화데이터!A565</f>
        <v>SK스토아</v>
      </c>
      <c r="B565" t="str">
        <f>정규화데이터!B565</f>
        <v>20260210361462</v>
      </c>
      <c r="C565" t="str">
        <f>정규화데이터!C565</f>
        <v>2026-02-12</v>
      </c>
      <c r="D565" t="str">
        <f>정규화데이터!D565</f>
        <v>58481090</v>
      </c>
      <c r="E565" s="16" t="str">
        <f>정규화데이터!E565</f>
        <v>미매핑</v>
      </c>
      <c r="F565" s="3">
        <f>정규화데이터!F565</f>
        <v>1</v>
      </c>
      <c r="G565" s="3">
        <f>정규화데이터!G565</f>
        <v>1</v>
      </c>
      <c r="H565" s="3">
        <f>정규화데이터!H565</f>
        <v>119000</v>
      </c>
      <c r="I565" s="3">
        <f>정규화데이터!I565</f>
        <v>119000</v>
      </c>
      <c r="J565" s="3">
        <f>정규화데이터!J565</f>
        <v>80920</v>
      </c>
      <c r="K565" s="25">
        <f>정규화데이터!K565</f>
        <v>0</v>
      </c>
      <c r="L565" s="25">
        <f>정규화데이터!L565</f>
        <v>80920</v>
      </c>
      <c r="M565" s="21">
        <f t="shared" si="16"/>
        <v>0</v>
      </c>
      <c r="N565" s="52">
        <f t="shared" si="17"/>
        <v>0</v>
      </c>
    </row>
    <row r="566" spans="1:14" x14ac:dyDescent="0.3">
      <c r="A566" t="str">
        <f>정규화데이터!A566</f>
        <v>SK스토아</v>
      </c>
      <c r="B566" t="str">
        <f>정규화데이터!B566</f>
        <v>20260210360692</v>
      </c>
      <c r="C566" t="str">
        <f>정규화데이터!C566</f>
        <v>2026-02-12</v>
      </c>
      <c r="D566" t="str">
        <f>정규화데이터!D566</f>
        <v>58481090</v>
      </c>
      <c r="E566" s="16" t="str">
        <f>정규화데이터!E566</f>
        <v>미매핑</v>
      </c>
      <c r="F566" s="3">
        <f>정규화데이터!F566</f>
        <v>1</v>
      </c>
      <c r="G566" s="3">
        <f>정규화데이터!G566</f>
        <v>1</v>
      </c>
      <c r="H566" s="3">
        <f>정규화데이터!H566</f>
        <v>119000</v>
      </c>
      <c r="I566" s="3">
        <f>정규화데이터!I566</f>
        <v>119000</v>
      </c>
      <c r="J566" s="3">
        <f>정규화데이터!J566</f>
        <v>80920</v>
      </c>
      <c r="K566" s="25">
        <f>정규화데이터!K566</f>
        <v>0</v>
      </c>
      <c r="L566" s="25">
        <f>정규화데이터!L566</f>
        <v>80920</v>
      </c>
      <c r="M566" s="21">
        <f t="shared" si="16"/>
        <v>0</v>
      </c>
      <c r="N566" s="52">
        <f t="shared" si="17"/>
        <v>0</v>
      </c>
    </row>
    <row r="567" spans="1:14" x14ac:dyDescent="0.3">
      <c r="A567" t="str">
        <f>정규화데이터!A567</f>
        <v>SK스토아</v>
      </c>
      <c r="B567" t="str">
        <f>정규화데이터!B567</f>
        <v>20260210361797</v>
      </c>
      <c r="C567" t="str">
        <f>정규화데이터!C567</f>
        <v>2026-02-12</v>
      </c>
      <c r="D567" t="str">
        <f>정규화데이터!D567</f>
        <v>58481090</v>
      </c>
      <c r="E567" s="16" t="str">
        <f>정규화데이터!E567</f>
        <v>미매핑</v>
      </c>
      <c r="F567" s="3">
        <f>정규화데이터!F567</f>
        <v>1</v>
      </c>
      <c r="G567" s="3">
        <f>정규화데이터!G567</f>
        <v>1</v>
      </c>
      <c r="H567" s="3">
        <f>정규화데이터!H567</f>
        <v>119000</v>
      </c>
      <c r="I567" s="3">
        <f>정규화데이터!I567</f>
        <v>119000</v>
      </c>
      <c r="J567" s="3">
        <f>정규화데이터!J567</f>
        <v>80920</v>
      </c>
      <c r="K567" s="25">
        <f>정규화데이터!K567</f>
        <v>0</v>
      </c>
      <c r="L567" s="25">
        <f>정규화데이터!L567</f>
        <v>80920</v>
      </c>
      <c r="M567" s="21">
        <f t="shared" si="16"/>
        <v>0</v>
      </c>
      <c r="N567" s="52">
        <f t="shared" si="17"/>
        <v>0</v>
      </c>
    </row>
    <row r="568" spans="1:14" x14ac:dyDescent="0.3">
      <c r="A568" t="str">
        <f>정규화데이터!A568</f>
        <v>SK스토아</v>
      </c>
      <c r="B568" t="str">
        <f>정규화데이터!B568</f>
        <v>20260210361781</v>
      </c>
      <c r="C568" t="str">
        <f>정규화데이터!C568</f>
        <v>2026-02-12</v>
      </c>
      <c r="D568" t="str">
        <f>정규화데이터!D568</f>
        <v>58481090</v>
      </c>
      <c r="E568" s="16" t="str">
        <f>정규화데이터!E568</f>
        <v>미매핑</v>
      </c>
      <c r="F568" s="3">
        <f>정규화데이터!F568</f>
        <v>1</v>
      </c>
      <c r="G568" s="3">
        <f>정규화데이터!G568</f>
        <v>1</v>
      </c>
      <c r="H568" s="3">
        <f>정규화데이터!H568</f>
        <v>119000</v>
      </c>
      <c r="I568" s="3">
        <f>정규화데이터!I568</f>
        <v>119000</v>
      </c>
      <c r="J568" s="3">
        <f>정규화데이터!J568</f>
        <v>80920</v>
      </c>
      <c r="K568" s="25">
        <f>정규화데이터!K568</f>
        <v>0</v>
      </c>
      <c r="L568" s="25">
        <f>정규화데이터!L568</f>
        <v>80920</v>
      </c>
      <c r="M568" s="21">
        <f t="shared" si="16"/>
        <v>0</v>
      </c>
      <c r="N568" s="52">
        <f t="shared" si="17"/>
        <v>0</v>
      </c>
    </row>
    <row r="569" spans="1:14" x14ac:dyDescent="0.3">
      <c r="A569" t="str">
        <f>정규화데이터!A569</f>
        <v>SK스토아</v>
      </c>
      <c r="B569" t="str">
        <f>정규화데이터!B569</f>
        <v>20260210361934</v>
      </c>
      <c r="C569" t="str">
        <f>정규화데이터!C569</f>
        <v>2026-02-12</v>
      </c>
      <c r="D569" t="str">
        <f>정규화데이터!D569</f>
        <v>58481090</v>
      </c>
      <c r="E569" s="16" t="str">
        <f>정규화데이터!E569</f>
        <v>미매핑</v>
      </c>
      <c r="F569" s="3">
        <f>정규화데이터!F569</f>
        <v>1</v>
      </c>
      <c r="G569" s="3">
        <f>정규화데이터!G569</f>
        <v>1</v>
      </c>
      <c r="H569" s="3">
        <f>정규화데이터!H569</f>
        <v>119000</v>
      </c>
      <c r="I569" s="3">
        <f>정규화데이터!I569</f>
        <v>119000</v>
      </c>
      <c r="J569" s="3">
        <f>정규화데이터!J569</f>
        <v>80920</v>
      </c>
      <c r="K569" s="25">
        <f>정규화데이터!K569</f>
        <v>0</v>
      </c>
      <c r="L569" s="25">
        <f>정규화데이터!L569</f>
        <v>80920</v>
      </c>
      <c r="M569" s="21">
        <f t="shared" si="16"/>
        <v>0</v>
      </c>
      <c r="N569" s="52">
        <f t="shared" si="17"/>
        <v>0</v>
      </c>
    </row>
    <row r="570" spans="1:14" x14ac:dyDescent="0.3">
      <c r="A570" t="str">
        <f>정규화데이터!A570</f>
        <v>SK스토아</v>
      </c>
      <c r="B570" t="str">
        <f>정규화데이터!B570</f>
        <v>20260210361402</v>
      </c>
      <c r="C570" t="str">
        <f>정규화데이터!C570</f>
        <v>2026-02-12</v>
      </c>
      <c r="D570" t="str">
        <f>정규화데이터!D570</f>
        <v>58481090</v>
      </c>
      <c r="E570" s="16" t="str">
        <f>정규화데이터!E570</f>
        <v>미매핑</v>
      </c>
      <c r="F570" s="3">
        <f>정규화데이터!F570</f>
        <v>1</v>
      </c>
      <c r="G570" s="3">
        <f>정규화데이터!G570</f>
        <v>1</v>
      </c>
      <c r="H570" s="3">
        <f>정규화데이터!H570</f>
        <v>119000</v>
      </c>
      <c r="I570" s="3">
        <f>정규화데이터!I570</f>
        <v>119000</v>
      </c>
      <c r="J570" s="3">
        <f>정규화데이터!J570</f>
        <v>80920</v>
      </c>
      <c r="K570" s="25">
        <f>정규화데이터!K570</f>
        <v>0</v>
      </c>
      <c r="L570" s="25">
        <f>정규화데이터!L570</f>
        <v>80920</v>
      </c>
      <c r="M570" s="21">
        <f t="shared" si="16"/>
        <v>0</v>
      </c>
      <c r="N570" s="52">
        <f t="shared" si="17"/>
        <v>0</v>
      </c>
    </row>
    <row r="571" spans="1:14" x14ac:dyDescent="0.3">
      <c r="A571" t="str">
        <f>정규화데이터!A571</f>
        <v>SK스토아</v>
      </c>
      <c r="B571" t="str">
        <f>정규화데이터!B571</f>
        <v>20260210360997</v>
      </c>
      <c r="C571" t="str">
        <f>정규화데이터!C571</f>
        <v>2026-02-12</v>
      </c>
      <c r="D571" t="str">
        <f>정규화데이터!D571</f>
        <v>58481090</v>
      </c>
      <c r="E571" s="16" t="str">
        <f>정규화데이터!E571</f>
        <v>미매핑</v>
      </c>
      <c r="F571" s="3">
        <f>정규화데이터!F571</f>
        <v>1</v>
      </c>
      <c r="G571" s="3">
        <f>정규화데이터!G571</f>
        <v>1</v>
      </c>
      <c r="H571" s="3">
        <f>정규화데이터!H571</f>
        <v>119000</v>
      </c>
      <c r="I571" s="3">
        <f>정규화데이터!I571</f>
        <v>119000</v>
      </c>
      <c r="J571" s="3">
        <f>정규화데이터!J571</f>
        <v>80920</v>
      </c>
      <c r="K571" s="25">
        <f>정규화데이터!K571</f>
        <v>0</v>
      </c>
      <c r="L571" s="25">
        <f>정규화데이터!L571</f>
        <v>80920</v>
      </c>
      <c r="M571" s="21">
        <f t="shared" si="16"/>
        <v>0</v>
      </c>
      <c r="N571" s="52">
        <f t="shared" si="17"/>
        <v>0</v>
      </c>
    </row>
    <row r="572" spans="1:14" x14ac:dyDescent="0.3">
      <c r="A572" t="str">
        <f>정규화데이터!A572</f>
        <v>SK스토아</v>
      </c>
      <c r="B572" t="str">
        <f>정규화데이터!B572</f>
        <v>20260210361134</v>
      </c>
      <c r="C572" t="str">
        <f>정규화데이터!C572</f>
        <v>2026-02-12</v>
      </c>
      <c r="D572" t="str">
        <f>정규화데이터!D572</f>
        <v>58481090</v>
      </c>
      <c r="E572" s="16" t="str">
        <f>정규화데이터!E572</f>
        <v>미매핑</v>
      </c>
      <c r="F572" s="3">
        <f>정규화데이터!F572</f>
        <v>1</v>
      </c>
      <c r="G572" s="3">
        <f>정규화데이터!G572</f>
        <v>1</v>
      </c>
      <c r="H572" s="3">
        <f>정규화데이터!H572</f>
        <v>119000</v>
      </c>
      <c r="I572" s="3">
        <f>정규화데이터!I572</f>
        <v>119000</v>
      </c>
      <c r="J572" s="3">
        <f>정규화데이터!J572</f>
        <v>80920</v>
      </c>
      <c r="K572" s="25">
        <f>정규화데이터!K572</f>
        <v>0</v>
      </c>
      <c r="L572" s="25">
        <f>정규화데이터!L572</f>
        <v>80920</v>
      </c>
      <c r="M572" s="21">
        <f t="shared" si="16"/>
        <v>0</v>
      </c>
      <c r="N572" s="52">
        <f t="shared" si="17"/>
        <v>0</v>
      </c>
    </row>
    <row r="573" spans="1:14" x14ac:dyDescent="0.3">
      <c r="A573" t="str">
        <f>정규화데이터!A573</f>
        <v>SK스토아</v>
      </c>
      <c r="B573" t="str">
        <f>정규화데이터!B573</f>
        <v>20260210362141</v>
      </c>
      <c r="C573" t="str">
        <f>정규화데이터!C573</f>
        <v>2026-02-12</v>
      </c>
      <c r="D573" t="str">
        <f>정규화데이터!D573</f>
        <v>58481090</v>
      </c>
      <c r="E573" s="16" t="str">
        <f>정규화데이터!E573</f>
        <v>미매핑</v>
      </c>
      <c r="F573" s="3">
        <f>정규화데이터!F573</f>
        <v>1</v>
      </c>
      <c r="G573" s="3">
        <f>정규화데이터!G573</f>
        <v>1</v>
      </c>
      <c r="H573" s="3">
        <f>정규화데이터!H573</f>
        <v>119000</v>
      </c>
      <c r="I573" s="3">
        <f>정규화데이터!I573</f>
        <v>119000</v>
      </c>
      <c r="J573" s="3">
        <f>정규화데이터!J573</f>
        <v>80920</v>
      </c>
      <c r="K573" s="25">
        <f>정규화데이터!K573</f>
        <v>0</v>
      </c>
      <c r="L573" s="25">
        <f>정규화데이터!L573</f>
        <v>80920</v>
      </c>
      <c r="M573" s="21">
        <f t="shared" si="16"/>
        <v>0</v>
      </c>
      <c r="N573" s="52">
        <f t="shared" si="17"/>
        <v>0</v>
      </c>
    </row>
    <row r="574" spans="1:14" x14ac:dyDescent="0.3">
      <c r="A574" t="str">
        <f>정규화데이터!A574</f>
        <v>SK스토아</v>
      </c>
      <c r="B574" t="str">
        <f>정규화데이터!B574</f>
        <v>20260210362293</v>
      </c>
      <c r="C574" t="str">
        <f>정규화데이터!C574</f>
        <v>2026-02-12</v>
      </c>
      <c r="D574" t="str">
        <f>정규화데이터!D574</f>
        <v>58481090</v>
      </c>
      <c r="E574" s="16" t="str">
        <f>정규화데이터!E574</f>
        <v>미매핑</v>
      </c>
      <c r="F574" s="3">
        <f>정규화데이터!F574</f>
        <v>1</v>
      </c>
      <c r="G574" s="3">
        <f>정규화데이터!G574</f>
        <v>1</v>
      </c>
      <c r="H574" s="3">
        <f>정규화데이터!H574</f>
        <v>119000</v>
      </c>
      <c r="I574" s="3">
        <f>정규화데이터!I574</f>
        <v>108300</v>
      </c>
      <c r="J574" s="3">
        <f>정규화데이터!J574</f>
        <v>80920</v>
      </c>
      <c r="K574" s="25">
        <f>정규화데이터!K574</f>
        <v>0</v>
      </c>
      <c r="L574" s="25">
        <f>정규화데이터!L574</f>
        <v>80920</v>
      </c>
      <c r="M574" s="21">
        <f t="shared" si="16"/>
        <v>0</v>
      </c>
      <c r="N574" s="52">
        <f t="shared" si="17"/>
        <v>0</v>
      </c>
    </row>
    <row r="575" spans="1:14" x14ac:dyDescent="0.3">
      <c r="A575" t="str">
        <f>정규화데이터!A575</f>
        <v>SK스토아</v>
      </c>
      <c r="B575" t="str">
        <f>정규화데이터!B575</f>
        <v>20260210360398</v>
      </c>
      <c r="C575" t="str">
        <f>정규화데이터!C575</f>
        <v>2026-02-12</v>
      </c>
      <c r="D575" t="str">
        <f>정규화데이터!D575</f>
        <v>58481090</v>
      </c>
      <c r="E575" s="16" t="str">
        <f>정규화데이터!E575</f>
        <v>미매핑</v>
      </c>
      <c r="F575" s="3">
        <f>정규화데이터!F575</f>
        <v>1</v>
      </c>
      <c r="G575" s="3">
        <f>정규화데이터!G575</f>
        <v>1</v>
      </c>
      <c r="H575" s="3">
        <f>정규화데이터!H575</f>
        <v>119000</v>
      </c>
      <c r="I575" s="3">
        <f>정규화데이터!I575</f>
        <v>119000</v>
      </c>
      <c r="J575" s="3">
        <f>정규화데이터!J575</f>
        <v>80920</v>
      </c>
      <c r="K575" s="25">
        <f>정규화데이터!K575</f>
        <v>0</v>
      </c>
      <c r="L575" s="25">
        <f>정규화데이터!L575</f>
        <v>80920</v>
      </c>
      <c r="M575" s="21">
        <f t="shared" si="16"/>
        <v>0</v>
      </c>
      <c r="N575" s="52">
        <f t="shared" si="17"/>
        <v>0</v>
      </c>
    </row>
    <row r="576" spans="1:14" x14ac:dyDescent="0.3">
      <c r="A576" t="str">
        <f>정규화데이터!A576</f>
        <v>SK스토아</v>
      </c>
      <c r="B576" t="str">
        <f>정규화데이터!B576</f>
        <v>20260210361270</v>
      </c>
      <c r="C576" t="str">
        <f>정규화데이터!C576</f>
        <v>2026-02-12</v>
      </c>
      <c r="D576" t="str">
        <f>정규화데이터!D576</f>
        <v>58481090</v>
      </c>
      <c r="E576" s="16" t="str">
        <f>정규화데이터!E576</f>
        <v>미매핑</v>
      </c>
      <c r="F576" s="3">
        <f>정규화데이터!F576</f>
        <v>1</v>
      </c>
      <c r="G576" s="3">
        <f>정규화데이터!G576</f>
        <v>1</v>
      </c>
      <c r="H576" s="3">
        <f>정규화데이터!H576</f>
        <v>119000</v>
      </c>
      <c r="I576" s="3">
        <f>정규화데이터!I576</f>
        <v>119000</v>
      </c>
      <c r="J576" s="3">
        <f>정규화데이터!J576</f>
        <v>80920</v>
      </c>
      <c r="K576" s="25">
        <f>정규화데이터!K576</f>
        <v>0</v>
      </c>
      <c r="L576" s="25">
        <f>정규화데이터!L576</f>
        <v>80920</v>
      </c>
      <c r="M576" s="21">
        <f t="shared" si="16"/>
        <v>0</v>
      </c>
      <c r="N576" s="52">
        <f t="shared" si="17"/>
        <v>0</v>
      </c>
    </row>
    <row r="577" spans="1:14" x14ac:dyDescent="0.3">
      <c r="A577" t="str">
        <f>정규화데이터!A577</f>
        <v>SK스토아</v>
      </c>
      <c r="B577" t="str">
        <f>정규화데이터!B577</f>
        <v>20260210361324</v>
      </c>
      <c r="C577" t="str">
        <f>정규화데이터!C577</f>
        <v>2026-02-12</v>
      </c>
      <c r="D577" t="str">
        <f>정규화데이터!D577</f>
        <v>58481090</v>
      </c>
      <c r="E577" s="16" t="str">
        <f>정규화데이터!E577</f>
        <v>미매핑</v>
      </c>
      <c r="F577" s="3">
        <f>정규화데이터!F577</f>
        <v>1</v>
      </c>
      <c r="G577" s="3">
        <f>정규화데이터!G577</f>
        <v>1</v>
      </c>
      <c r="H577" s="3">
        <f>정규화데이터!H577</f>
        <v>119000</v>
      </c>
      <c r="I577" s="3">
        <f>정규화데이터!I577</f>
        <v>113050</v>
      </c>
      <c r="J577" s="3">
        <f>정규화데이터!J577</f>
        <v>80920</v>
      </c>
      <c r="K577" s="25">
        <f>정규화데이터!K577</f>
        <v>0</v>
      </c>
      <c r="L577" s="25">
        <f>정규화데이터!L577</f>
        <v>80920</v>
      </c>
      <c r="M577" s="21">
        <f t="shared" si="16"/>
        <v>0</v>
      </c>
      <c r="N577" s="52">
        <f t="shared" si="17"/>
        <v>0</v>
      </c>
    </row>
    <row r="578" spans="1:14" x14ac:dyDescent="0.3">
      <c r="A578" t="str">
        <f>정규화데이터!A578</f>
        <v>SK스토아</v>
      </c>
      <c r="B578" t="str">
        <f>정규화데이터!B578</f>
        <v>20260210361350</v>
      </c>
      <c r="C578" t="str">
        <f>정규화데이터!C578</f>
        <v>2026-02-12</v>
      </c>
      <c r="D578" t="str">
        <f>정규화데이터!D578</f>
        <v>58481090</v>
      </c>
      <c r="E578" s="16" t="str">
        <f>정규화데이터!E578</f>
        <v>미매핑</v>
      </c>
      <c r="F578" s="3">
        <f>정규화데이터!F578</f>
        <v>1</v>
      </c>
      <c r="G578" s="3">
        <f>정규화데이터!G578</f>
        <v>1</v>
      </c>
      <c r="H578" s="3">
        <f>정규화데이터!H578</f>
        <v>119000</v>
      </c>
      <c r="I578" s="3">
        <f>정규화데이터!I578</f>
        <v>119000</v>
      </c>
      <c r="J578" s="3">
        <f>정규화데이터!J578</f>
        <v>80920</v>
      </c>
      <c r="K578" s="25">
        <f>정규화데이터!K578</f>
        <v>0</v>
      </c>
      <c r="L578" s="25">
        <f>정규화데이터!L578</f>
        <v>80920</v>
      </c>
      <c r="M578" s="21">
        <f t="shared" ref="M578:M641" si="18">J578-L578</f>
        <v>0</v>
      </c>
      <c r="N578" s="52">
        <f t="shared" ref="N578:N641" si="19">IF(J578=0,0,M578/J578)</f>
        <v>0</v>
      </c>
    </row>
    <row r="579" spans="1:14" x14ac:dyDescent="0.3">
      <c r="A579" t="str">
        <f>정규화데이터!A579</f>
        <v>SK스토아</v>
      </c>
      <c r="B579" t="str">
        <f>정규화데이터!B579</f>
        <v>20260210360281</v>
      </c>
      <c r="C579" t="str">
        <f>정규화데이터!C579</f>
        <v>2026-02-12</v>
      </c>
      <c r="D579" t="str">
        <f>정규화데이터!D579</f>
        <v>58481090</v>
      </c>
      <c r="E579" s="16" t="str">
        <f>정규화데이터!E579</f>
        <v>미매핑</v>
      </c>
      <c r="F579" s="3">
        <f>정규화데이터!F579</f>
        <v>1</v>
      </c>
      <c r="G579" s="3">
        <f>정규화데이터!G579</f>
        <v>1</v>
      </c>
      <c r="H579" s="3">
        <f>정규화데이터!H579</f>
        <v>119000</v>
      </c>
      <c r="I579" s="3">
        <f>정규화데이터!I579</f>
        <v>119000</v>
      </c>
      <c r="J579" s="3">
        <f>정규화데이터!J579</f>
        <v>80920</v>
      </c>
      <c r="K579" s="25">
        <f>정규화데이터!K579</f>
        <v>0</v>
      </c>
      <c r="L579" s="25">
        <f>정규화데이터!L579</f>
        <v>80920</v>
      </c>
      <c r="M579" s="21">
        <f t="shared" si="18"/>
        <v>0</v>
      </c>
      <c r="N579" s="52">
        <f t="shared" si="19"/>
        <v>0</v>
      </c>
    </row>
    <row r="580" spans="1:14" x14ac:dyDescent="0.3">
      <c r="A580" t="str">
        <f>정규화데이터!A580</f>
        <v>SK스토아</v>
      </c>
      <c r="B580" t="str">
        <f>정규화데이터!B580</f>
        <v>20260210361461</v>
      </c>
      <c r="C580" t="str">
        <f>정규화데이터!C580</f>
        <v>2026-02-12</v>
      </c>
      <c r="D580" t="str">
        <f>정규화데이터!D580</f>
        <v>58481090</v>
      </c>
      <c r="E580" s="16" t="str">
        <f>정규화데이터!E580</f>
        <v>미매핑</v>
      </c>
      <c r="F580" s="3">
        <f>정규화데이터!F580</f>
        <v>1</v>
      </c>
      <c r="G580" s="3">
        <f>정규화데이터!G580</f>
        <v>1</v>
      </c>
      <c r="H580" s="3">
        <f>정규화데이터!H580</f>
        <v>119000</v>
      </c>
      <c r="I580" s="3">
        <f>정규화데이터!I580</f>
        <v>113050</v>
      </c>
      <c r="J580" s="3">
        <f>정규화데이터!J580</f>
        <v>80920</v>
      </c>
      <c r="K580" s="25">
        <f>정규화데이터!K580</f>
        <v>0</v>
      </c>
      <c r="L580" s="25">
        <f>정규화데이터!L580</f>
        <v>80920</v>
      </c>
      <c r="M580" s="21">
        <f t="shared" si="18"/>
        <v>0</v>
      </c>
      <c r="N580" s="52">
        <f t="shared" si="19"/>
        <v>0</v>
      </c>
    </row>
    <row r="581" spans="1:14" x14ac:dyDescent="0.3">
      <c r="A581" t="str">
        <f>정규화데이터!A581</f>
        <v>SK스토아</v>
      </c>
      <c r="B581" t="str">
        <f>정규화데이터!B581</f>
        <v>20260210361504</v>
      </c>
      <c r="C581" t="str">
        <f>정규화데이터!C581</f>
        <v>2026-02-12</v>
      </c>
      <c r="D581" t="str">
        <f>정규화데이터!D581</f>
        <v>58481090</v>
      </c>
      <c r="E581" s="16" t="str">
        <f>정규화데이터!E581</f>
        <v>미매핑</v>
      </c>
      <c r="F581" s="3">
        <f>정규화데이터!F581</f>
        <v>1</v>
      </c>
      <c r="G581" s="3">
        <f>정규화데이터!G581</f>
        <v>1</v>
      </c>
      <c r="H581" s="3">
        <f>정규화데이터!H581</f>
        <v>119000</v>
      </c>
      <c r="I581" s="3">
        <f>정규화데이터!I581</f>
        <v>98770</v>
      </c>
      <c r="J581" s="3">
        <f>정규화데이터!J581</f>
        <v>80920</v>
      </c>
      <c r="K581" s="25">
        <f>정규화데이터!K581</f>
        <v>0</v>
      </c>
      <c r="L581" s="25">
        <f>정규화데이터!L581</f>
        <v>80920</v>
      </c>
      <c r="M581" s="21">
        <f t="shared" si="18"/>
        <v>0</v>
      </c>
      <c r="N581" s="52">
        <f t="shared" si="19"/>
        <v>0</v>
      </c>
    </row>
    <row r="582" spans="1:14" x14ac:dyDescent="0.3">
      <c r="A582" t="str">
        <f>정규화데이터!A582</f>
        <v>SK스토아</v>
      </c>
      <c r="B582" t="str">
        <f>정규화데이터!B582</f>
        <v>20260210361566</v>
      </c>
      <c r="C582" t="str">
        <f>정규화데이터!C582</f>
        <v>2026-02-12</v>
      </c>
      <c r="D582" t="str">
        <f>정규화데이터!D582</f>
        <v>58481090</v>
      </c>
      <c r="E582" s="16" t="str">
        <f>정규화데이터!E582</f>
        <v>미매핑</v>
      </c>
      <c r="F582" s="3">
        <f>정규화데이터!F582</f>
        <v>1</v>
      </c>
      <c r="G582" s="3">
        <f>정규화데이터!G582</f>
        <v>1</v>
      </c>
      <c r="H582" s="3">
        <f>정규화데이터!H582</f>
        <v>119000</v>
      </c>
      <c r="I582" s="3">
        <f>정규화데이터!I582</f>
        <v>119000</v>
      </c>
      <c r="J582" s="3">
        <f>정규화데이터!J582</f>
        <v>80920</v>
      </c>
      <c r="K582" s="25">
        <f>정규화데이터!K582</f>
        <v>0</v>
      </c>
      <c r="L582" s="25">
        <f>정규화데이터!L582</f>
        <v>80920</v>
      </c>
      <c r="M582" s="21">
        <f t="shared" si="18"/>
        <v>0</v>
      </c>
      <c r="N582" s="52">
        <f t="shared" si="19"/>
        <v>0</v>
      </c>
    </row>
    <row r="583" spans="1:14" x14ac:dyDescent="0.3">
      <c r="A583" t="str">
        <f>정규화데이터!A583</f>
        <v>SK스토아</v>
      </c>
      <c r="B583" t="str">
        <f>정규화데이터!B583</f>
        <v>20260210361903</v>
      </c>
      <c r="C583" t="str">
        <f>정규화데이터!C583</f>
        <v>2026-02-12</v>
      </c>
      <c r="D583" t="str">
        <f>정규화데이터!D583</f>
        <v>58481090</v>
      </c>
      <c r="E583" s="16" t="str">
        <f>정규화데이터!E583</f>
        <v>미매핑</v>
      </c>
      <c r="F583" s="3">
        <f>정규화데이터!F583</f>
        <v>1</v>
      </c>
      <c r="G583" s="3">
        <f>정규화데이터!G583</f>
        <v>1</v>
      </c>
      <c r="H583" s="3">
        <f>정규화데이터!H583</f>
        <v>119000</v>
      </c>
      <c r="I583" s="3">
        <f>정규화데이터!I583</f>
        <v>119000</v>
      </c>
      <c r="J583" s="3">
        <f>정규화데이터!J583</f>
        <v>80920</v>
      </c>
      <c r="K583" s="25">
        <f>정규화데이터!K583</f>
        <v>0</v>
      </c>
      <c r="L583" s="25">
        <f>정규화데이터!L583</f>
        <v>80920</v>
      </c>
      <c r="M583" s="21">
        <f t="shared" si="18"/>
        <v>0</v>
      </c>
      <c r="N583" s="52">
        <f t="shared" si="19"/>
        <v>0</v>
      </c>
    </row>
    <row r="584" spans="1:14" x14ac:dyDescent="0.3">
      <c r="A584" t="str">
        <f>정규화데이터!A584</f>
        <v>SK스토아</v>
      </c>
      <c r="B584" t="str">
        <f>정규화데이터!B584</f>
        <v>20260210361968</v>
      </c>
      <c r="C584" t="str">
        <f>정규화데이터!C584</f>
        <v>2026-02-12</v>
      </c>
      <c r="D584" t="str">
        <f>정규화데이터!D584</f>
        <v>58481090</v>
      </c>
      <c r="E584" s="16" t="str">
        <f>정규화데이터!E584</f>
        <v>미매핑</v>
      </c>
      <c r="F584" s="3">
        <f>정규화데이터!F584</f>
        <v>1</v>
      </c>
      <c r="G584" s="3">
        <f>정규화데이터!G584</f>
        <v>1</v>
      </c>
      <c r="H584" s="3">
        <f>정규화데이터!H584</f>
        <v>119000</v>
      </c>
      <c r="I584" s="3">
        <f>정규화데이터!I584</f>
        <v>119000</v>
      </c>
      <c r="J584" s="3">
        <f>정규화데이터!J584</f>
        <v>80920</v>
      </c>
      <c r="K584" s="25">
        <f>정규화데이터!K584</f>
        <v>0</v>
      </c>
      <c r="L584" s="25">
        <f>정규화데이터!L584</f>
        <v>80920</v>
      </c>
      <c r="M584" s="21">
        <f t="shared" si="18"/>
        <v>0</v>
      </c>
      <c r="N584" s="52">
        <f t="shared" si="19"/>
        <v>0</v>
      </c>
    </row>
    <row r="585" spans="1:14" x14ac:dyDescent="0.3">
      <c r="A585" t="str">
        <f>정규화데이터!A585</f>
        <v>SK스토아</v>
      </c>
      <c r="B585" t="str">
        <f>정규화데이터!B585</f>
        <v>20260210361727</v>
      </c>
      <c r="C585" t="str">
        <f>정규화데이터!C585</f>
        <v>2026-02-12</v>
      </c>
      <c r="D585" t="str">
        <f>정규화데이터!D585</f>
        <v>58481090</v>
      </c>
      <c r="E585" s="16" t="str">
        <f>정규화데이터!E585</f>
        <v>미매핑</v>
      </c>
      <c r="F585" s="3">
        <f>정규화데이터!F585</f>
        <v>1</v>
      </c>
      <c r="G585" s="3">
        <f>정규화데이터!G585</f>
        <v>1</v>
      </c>
      <c r="H585" s="3">
        <f>정규화데이터!H585</f>
        <v>119000</v>
      </c>
      <c r="I585" s="3">
        <f>정규화데이터!I585</f>
        <v>95200</v>
      </c>
      <c r="J585" s="3">
        <f>정규화데이터!J585</f>
        <v>80920</v>
      </c>
      <c r="K585" s="25">
        <f>정규화데이터!K585</f>
        <v>0</v>
      </c>
      <c r="L585" s="25">
        <f>정규화데이터!L585</f>
        <v>80920</v>
      </c>
      <c r="M585" s="21">
        <f t="shared" si="18"/>
        <v>0</v>
      </c>
      <c r="N585" s="52">
        <f t="shared" si="19"/>
        <v>0</v>
      </c>
    </row>
    <row r="586" spans="1:14" x14ac:dyDescent="0.3">
      <c r="A586" t="str">
        <f>정규화데이터!A586</f>
        <v>SK스토아</v>
      </c>
      <c r="B586" t="str">
        <f>정규화데이터!B586</f>
        <v>20260210362163</v>
      </c>
      <c r="C586" t="str">
        <f>정규화데이터!C586</f>
        <v>2026-02-12</v>
      </c>
      <c r="D586" t="str">
        <f>정규화데이터!D586</f>
        <v>58481090</v>
      </c>
      <c r="E586" s="16" t="str">
        <f>정규화데이터!E586</f>
        <v>미매핑</v>
      </c>
      <c r="F586" s="3">
        <f>정규화데이터!F586</f>
        <v>1</v>
      </c>
      <c r="G586" s="3">
        <f>정규화데이터!G586</f>
        <v>1</v>
      </c>
      <c r="H586" s="3">
        <f>정규화데이터!H586</f>
        <v>119000</v>
      </c>
      <c r="I586" s="3">
        <f>정규화데이터!I586</f>
        <v>119000</v>
      </c>
      <c r="J586" s="3">
        <f>정규화데이터!J586</f>
        <v>80920</v>
      </c>
      <c r="K586" s="25">
        <f>정규화데이터!K586</f>
        <v>0</v>
      </c>
      <c r="L586" s="25">
        <f>정규화데이터!L586</f>
        <v>80920</v>
      </c>
      <c r="M586" s="21">
        <f t="shared" si="18"/>
        <v>0</v>
      </c>
      <c r="N586" s="52">
        <f t="shared" si="19"/>
        <v>0</v>
      </c>
    </row>
    <row r="587" spans="1:14" x14ac:dyDescent="0.3">
      <c r="A587" t="str">
        <f>정규화데이터!A587</f>
        <v>SK스토아</v>
      </c>
      <c r="B587" t="str">
        <f>정규화데이터!B587</f>
        <v>20260210360760</v>
      </c>
      <c r="C587" t="str">
        <f>정규화데이터!C587</f>
        <v>2026-02-12</v>
      </c>
      <c r="D587" t="str">
        <f>정규화데이터!D587</f>
        <v>58481090</v>
      </c>
      <c r="E587" s="16" t="str">
        <f>정규화데이터!E587</f>
        <v>미매핑</v>
      </c>
      <c r="F587" s="3">
        <f>정규화데이터!F587</f>
        <v>1</v>
      </c>
      <c r="G587" s="3">
        <f>정규화데이터!G587</f>
        <v>1</v>
      </c>
      <c r="H587" s="3">
        <f>정규화데이터!H587</f>
        <v>119000</v>
      </c>
      <c r="I587" s="3">
        <f>정규화데이터!I587</f>
        <v>119000</v>
      </c>
      <c r="J587" s="3">
        <f>정규화데이터!J587</f>
        <v>80920</v>
      </c>
      <c r="K587" s="25">
        <f>정규화데이터!K587</f>
        <v>0</v>
      </c>
      <c r="L587" s="25">
        <f>정규화데이터!L587</f>
        <v>80920</v>
      </c>
      <c r="M587" s="21">
        <f t="shared" si="18"/>
        <v>0</v>
      </c>
      <c r="N587" s="52">
        <f t="shared" si="19"/>
        <v>0</v>
      </c>
    </row>
    <row r="588" spans="1:14" x14ac:dyDescent="0.3">
      <c r="A588" t="str">
        <f>정규화데이터!A588</f>
        <v>SK스토아</v>
      </c>
      <c r="B588" t="str">
        <f>정규화데이터!B588</f>
        <v>20260210361126</v>
      </c>
      <c r="C588" t="str">
        <f>정규화데이터!C588</f>
        <v>2026-02-12</v>
      </c>
      <c r="D588" t="str">
        <f>정규화데이터!D588</f>
        <v>58481090</v>
      </c>
      <c r="E588" s="16" t="str">
        <f>정규화데이터!E588</f>
        <v>미매핑</v>
      </c>
      <c r="F588" s="3">
        <f>정규화데이터!F588</f>
        <v>1</v>
      </c>
      <c r="G588" s="3">
        <f>정규화데이터!G588</f>
        <v>1</v>
      </c>
      <c r="H588" s="3">
        <f>정규화데이터!H588</f>
        <v>119000</v>
      </c>
      <c r="I588" s="3">
        <f>정규화데이터!I588</f>
        <v>119000</v>
      </c>
      <c r="J588" s="3">
        <f>정규화데이터!J588</f>
        <v>80920</v>
      </c>
      <c r="K588" s="25">
        <f>정규화데이터!K588</f>
        <v>0</v>
      </c>
      <c r="L588" s="25">
        <f>정규화데이터!L588</f>
        <v>80920</v>
      </c>
      <c r="M588" s="21">
        <f t="shared" si="18"/>
        <v>0</v>
      </c>
      <c r="N588" s="52">
        <f t="shared" si="19"/>
        <v>0</v>
      </c>
    </row>
    <row r="589" spans="1:14" x14ac:dyDescent="0.3">
      <c r="A589" t="str">
        <f>정규화데이터!A589</f>
        <v>SK스토아</v>
      </c>
      <c r="B589" t="str">
        <f>정규화데이터!B589</f>
        <v>20260210361312</v>
      </c>
      <c r="C589" t="str">
        <f>정규화데이터!C589</f>
        <v>2026-02-12</v>
      </c>
      <c r="D589" t="str">
        <f>정규화데이터!D589</f>
        <v>58481090</v>
      </c>
      <c r="E589" s="16" t="str">
        <f>정규화데이터!E589</f>
        <v>미매핑</v>
      </c>
      <c r="F589" s="3">
        <f>정규화데이터!F589</f>
        <v>1</v>
      </c>
      <c r="G589" s="3">
        <f>정규화데이터!G589</f>
        <v>1</v>
      </c>
      <c r="H589" s="3">
        <f>정규화데이터!H589</f>
        <v>119000</v>
      </c>
      <c r="I589" s="3">
        <f>정규화데이터!I589</f>
        <v>119000</v>
      </c>
      <c r="J589" s="3">
        <f>정규화데이터!J589</f>
        <v>80920</v>
      </c>
      <c r="K589" s="25">
        <f>정규화데이터!K589</f>
        <v>0</v>
      </c>
      <c r="L589" s="25">
        <f>정규화데이터!L589</f>
        <v>80920</v>
      </c>
      <c r="M589" s="21">
        <f t="shared" si="18"/>
        <v>0</v>
      </c>
      <c r="N589" s="52">
        <f t="shared" si="19"/>
        <v>0</v>
      </c>
    </row>
    <row r="590" spans="1:14" x14ac:dyDescent="0.3">
      <c r="A590" t="str">
        <f>정규화데이터!A590</f>
        <v>SK스토아</v>
      </c>
      <c r="B590" t="str">
        <f>정규화데이터!B590</f>
        <v>20260210361447</v>
      </c>
      <c r="C590" t="str">
        <f>정규화데이터!C590</f>
        <v>2026-02-12</v>
      </c>
      <c r="D590" t="str">
        <f>정규화데이터!D590</f>
        <v>58481090</v>
      </c>
      <c r="E590" s="16" t="str">
        <f>정규화데이터!E590</f>
        <v>미매핑</v>
      </c>
      <c r="F590" s="3">
        <f>정규화데이터!F590</f>
        <v>1</v>
      </c>
      <c r="G590" s="3">
        <f>정규화데이터!G590</f>
        <v>1</v>
      </c>
      <c r="H590" s="3">
        <f>정규화데이터!H590</f>
        <v>119000</v>
      </c>
      <c r="I590" s="3">
        <f>정규화데이터!I590</f>
        <v>119000</v>
      </c>
      <c r="J590" s="3">
        <f>정규화데이터!J590</f>
        <v>80920</v>
      </c>
      <c r="K590" s="25">
        <f>정규화데이터!K590</f>
        <v>0</v>
      </c>
      <c r="L590" s="25">
        <f>정규화데이터!L590</f>
        <v>80920</v>
      </c>
      <c r="M590" s="21">
        <f t="shared" si="18"/>
        <v>0</v>
      </c>
      <c r="N590" s="52">
        <f t="shared" si="19"/>
        <v>0</v>
      </c>
    </row>
    <row r="591" spans="1:14" x14ac:dyDescent="0.3">
      <c r="A591" t="str">
        <f>정규화데이터!A591</f>
        <v>SK스토아</v>
      </c>
      <c r="B591" t="str">
        <f>정규화데이터!B591</f>
        <v>20260210361487</v>
      </c>
      <c r="C591" t="str">
        <f>정규화데이터!C591</f>
        <v>2026-02-12</v>
      </c>
      <c r="D591" t="str">
        <f>정규화데이터!D591</f>
        <v>58481090</v>
      </c>
      <c r="E591" s="16" t="str">
        <f>정규화데이터!E591</f>
        <v>미매핑</v>
      </c>
      <c r="F591" s="3">
        <f>정규화데이터!F591</f>
        <v>1</v>
      </c>
      <c r="G591" s="3">
        <f>정규화데이터!G591</f>
        <v>1</v>
      </c>
      <c r="H591" s="3">
        <f>정규화데이터!H591</f>
        <v>119000</v>
      </c>
      <c r="I591" s="3">
        <f>정규화데이터!I591</f>
        <v>119000</v>
      </c>
      <c r="J591" s="3">
        <f>정규화데이터!J591</f>
        <v>80920</v>
      </c>
      <c r="K591" s="25">
        <f>정규화데이터!K591</f>
        <v>0</v>
      </c>
      <c r="L591" s="25">
        <f>정규화데이터!L591</f>
        <v>80920</v>
      </c>
      <c r="M591" s="21">
        <f t="shared" si="18"/>
        <v>0</v>
      </c>
      <c r="N591" s="52">
        <f t="shared" si="19"/>
        <v>0</v>
      </c>
    </row>
    <row r="592" spans="1:14" x14ac:dyDescent="0.3">
      <c r="A592" t="str">
        <f>정규화데이터!A592</f>
        <v>SK스토아</v>
      </c>
      <c r="B592" t="str">
        <f>정규화데이터!B592</f>
        <v>20260210361437</v>
      </c>
      <c r="C592" t="str">
        <f>정규화데이터!C592</f>
        <v>2026-02-12</v>
      </c>
      <c r="D592" t="str">
        <f>정규화데이터!D592</f>
        <v>58481090</v>
      </c>
      <c r="E592" s="16" t="str">
        <f>정규화데이터!E592</f>
        <v>미매핑</v>
      </c>
      <c r="F592" s="3">
        <f>정규화데이터!F592</f>
        <v>1</v>
      </c>
      <c r="G592" s="3">
        <f>정규화데이터!G592</f>
        <v>1</v>
      </c>
      <c r="H592" s="3">
        <f>정규화데이터!H592</f>
        <v>119000</v>
      </c>
      <c r="I592" s="3">
        <f>정규화데이터!I592</f>
        <v>119000</v>
      </c>
      <c r="J592" s="3">
        <f>정규화데이터!J592</f>
        <v>80920</v>
      </c>
      <c r="K592" s="25">
        <f>정규화데이터!K592</f>
        <v>0</v>
      </c>
      <c r="L592" s="25">
        <f>정규화데이터!L592</f>
        <v>80920</v>
      </c>
      <c r="M592" s="21">
        <f t="shared" si="18"/>
        <v>0</v>
      </c>
      <c r="N592" s="52">
        <f t="shared" si="19"/>
        <v>0</v>
      </c>
    </row>
    <row r="593" spans="1:14" x14ac:dyDescent="0.3">
      <c r="A593" t="str">
        <f>정규화데이터!A593</f>
        <v>SK스토아</v>
      </c>
      <c r="B593" t="str">
        <f>정규화데이터!B593</f>
        <v>20260210361980</v>
      </c>
      <c r="C593" t="str">
        <f>정규화데이터!C593</f>
        <v>2026-02-12</v>
      </c>
      <c r="D593" t="str">
        <f>정규화데이터!D593</f>
        <v>58481090</v>
      </c>
      <c r="E593" s="16" t="str">
        <f>정규화데이터!E593</f>
        <v>미매핑</v>
      </c>
      <c r="F593" s="3">
        <f>정규화데이터!F593</f>
        <v>1</v>
      </c>
      <c r="G593" s="3">
        <f>정규화데이터!G593</f>
        <v>1</v>
      </c>
      <c r="H593" s="3">
        <f>정규화데이터!H593</f>
        <v>119000</v>
      </c>
      <c r="I593" s="3">
        <f>정규화데이터!I593</f>
        <v>119000</v>
      </c>
      <c r="J593" s="3">
        <f>정규화데이터!J593</f>
        <v>80920</v>
      </c>
      <c r="K593" s="25">
        <f>정규화데이터!K593</f>
        <v>0</v>
      </c>
      <c r="L593" s="25">
        <f>정규화데이터!L593</f>
        <v>80920</v>
      </c>
      <c r="M593" s="21">
        <f t="shared" si="18"/>
        <v>0</v>
      </c>
      <c r="N593" s="52">
        <f t="shared" si="19"/>
        <v>0</v>
      </c>
    </row>
    <row r="594" spans="1:14" x14ac:dyDescent="0.3">
      <c r="A594" t="str">
        <f>정규화데이터!A594</f>
        <v>SK스토아</v>
      </c>
      <c r="B594" t="str">
        <f>정규화데이터!B594</f>
        <v>20260210361671</v>
      </c>
      <c r="C594" t="str">
        <f>정규화데이터!C594</f>
        <v>2026-02-12</v>
      </c>
      <c r="D594" t="str">
        <f>정규화데이터!D594</f>
        <v>58481090</v>
      </c>
      <c r="E594" s="16" t="str">
        <f>정규화데이터!E594</f>
        <v>미매핑</v>
      </c>
      <c r="F594" s="3">
        <f>정규화데이터!F594</f>
        <v>1</v>
      </c>
      <c r="G594" s="3">
        <f>정규화데이터!G594</f>
        <v>1</v>
      </c>
      <c r="H594" s="3">
        <f>정규화데이터!H594</f>
        <v>119000</v>
      </c>
      <c r="I594" s="3">
        <f>정규화데이터!I594</f>
        <v>119000</v>
      </c>
      <c r="J594" s="3">
        <f>정규화데이터!J594</f>
        <v>80920</v>
      </c>
      <c r="K594" s="25">
        <f>정규화데이터!K594</f>
        <v>0</v>
      </c>
      <c r="L594" s="25">
        <f>정규화데이터!L594</f>
        <v>80920</v>
      </c>
      <c r="M594" s="21">
        <f t="shared" si="18"/>
        <v>0</v>
      </c>
      <c r="N594" s="52">
        <f t="shared" si="19"/>
        <v>0</v>
      </c>
    </row>
    <row r="595" spans="1:14" x14ac:dyDescent="0.3">
      <c r="A595" t="str">
        <f>정규화데이터!A595</f>
        <v>SK스토아</v>
      </c>
      <c r="B595" t="str">
        <f>정규화데이터!B595</f>
        <v>20260210361805</v>
      </c>
      <c r="C595" t="str">
        <f>정규화데이터!C595</f>
        <v>2026-02-12</v>
      </c>
      <c r="D595" t="str">
        <f>정규화데이터!D595</f>
        <v>58481090</v>
      </c>
      <c r="E595" s="16" t="str">
        <f>정규화데이터!E595</f>
        <v>미매핑</v>
      </c>
      <c r="F595" s="3">
        <f>정규화데이터!F595</f>
        <v>1</v>
      </c>
      <c r="G595" s="3">
        <f>정규화데이터!G595</f>
        <v>1</v>
      </c>
      <c r="H595" s="3">
        <f>정규화데이터!H595</f>
        <v>119000</v>
      </c>
      <c r="I595" s="3">
        <f>정규화데이터!I595</f>
        <v>119000</v>
      </c>
      <c r="J595" s="3">
        <f>정규화데이터!J595</f>
        <v>80920</v>
      </c>
      <c r="K595" s="25">
        <f>정규화데이터!K595</f>
        <v>0</v>
      </c>
      <c r="L595" s="25">
        <f>정규화데이터!L595</f>
        <v>80920</v>
      </c>
      <c r="M595" s="21">
        <f t="shared" si="18"/>
        <v>0</v>
      </c>
      <c r="N595" s="52">
        <f t="shared" si="19"/>
        <v>0</v>
      </c>
    </row>
    <row r="596" spans="1:14" x14ac:dyDescent="0.3">
      <c r="A596" t="str">
        <f>정규화데이터!A596</f>
        <v>SK스토아</v>
      </c>
      <c r="B596" t="str">
        <f>정규화데이터!B596</f>
        <v>20260210361070</v>
      </c>
      <c r="C596" t="str">
        <f>정규화데이터!C596</f>
        <v>2026-02-12</v>
      </c>
      <c r="D596" t="str">
        <f>정규화데이터!D596</f>
        <v>58481090</v>
      </c>
      <c r="E596" s="16" t="str">
        <f>정규화데이터!E596</f>
        <v>미매핑</v>
      </c>
      <c r="F596" s="3">
        <f>정규화데이터!F596</f>
        <v>1</v>
      </c>
      <c r="G596" s="3">
        <f>정규화데이터!G596</f>
        <v>1</v>
      </c>
      <c r="H596" s="3">
        <f>정규화데이터!H596</f>
        <v>119000</v>
      </c>
      <c r="I596" s="3">
        <f>정규화데이터!I596</f>
        <v>119000</v>
      </c>
      <c r="J596" s="3">
        <f>정규화데이터!J596</f>
        <v>80920</v>
      </c>
      <c r="K596" s="25">
        <f>정규화데이터!K596</f>
        <v>0</v>
      </c>
      <c r="L596" s="25">
        <f>정규화데이터!L596</f>
        <v>80920</v>
      </c>
      <c r="M596" s="21">
        <f t="shared" si="18"/>
        <v>0</v>
      </c>
      <c r="N596" s="52">
        <f t="shared" si="19"/>
        <v>0</v>
      </c>
    </row>
    <row r="597" spans="1:14" x14ac:dyDescent="0.3">
      <c r="A597" t="str">
        <f>정규화데이터!A597</f>
        <v>SK스토아</v>
      </c>
      <c r="B597" t="str">
        <f>정규화데이터!B597</f>
        <v>20260210361609</v>
      </c>
      <c r="C597" t="str">
        <f>정규화데이터!C597</f>
        <v>2026-02-12</v>
      </c>
      <c r="D597" t="str">
        <f>정규화데이터!D597</f>
        <v>58481090</v>
      </c>
      <c r="E597" s="16" t="str">
        <f>정규화데이터!E597</f>
        <v>미매핑</v>
      </c>
      <c r="F597" s="3">
        <f>정규화데이터!F597</f>
        <v>1</v>
      </c>
      <c r="G597" s="3">
        <f>정규화데이터!G597</f>
        <v>1</v>
      </c>
      <c r="H597" s="3">
        <f>정규화데이터!H597</f>
        <v>119000</v>
      </c>
      <c r="I597" s="3">
        <f>정규화데이터!I597</f>
        <v>109000</v>
      </c>
      <c r="J597" s="3">
        <f>정규화데이터!J597</f>
        <v>80920</v>
      </c>
      <c r="K597" s="25">
        <f>정규화데이터!K597</f>
        <v>0</v>
      </c>
      <c r="L597" s="25">
        <f>정규화데이터!L597</f>
        <v>80920</v>
      </c>
      <c r="M597" s="21">
        <f t="shared" si="18"/>
        <v>0</v>
      </c>
      <c r="N597" s="52">
        <f t="shared" si="19"/>
        <v>0</v>
      </c>
    </row>
    <row r="598" spans="1:14" x14ac:dyDescent="0.3">
      <c r="A598" t="str">
        <f>정규화데이터!A598</f>
        <v>SK스토아</v>
      </c>
      <c r="B598" t="str">
        <f>정규화데이터!B598</f>
        <v>20260210361990</v>
      </c>
      <c r="C598" t="str">
        <f>정규화데이터!C598</f>
        <v>2026-02-12</v>
      </c>
      <c r="D598" t="str">
        <f>정규화데이터!D598</f>
        <v>58481090</v>
      </c>
      <c r="E598" s="16" t="str">
        <f>정규화데이터!E598</f>
        <v>미매핑</v>
      </c>
      <c r="F598" s="3">
        <f>정규화데이터!F598</f>
        <v>1</v>
      </c>
      <c r="G598" s="3">
        <f>정규화데이터!G598</f>
        <v>1</v>
      </c>
      <c r="H598" s="3">
        <f>정규화데이터!H598</f>
        <v>119000</v>
      </c>
      <c r="I598" s="3">
        <f>정규화데이터!I598</f>
        <v>113050</v>
      </c>
      <c r="J598" s="3">
        <f>정규화데이터!J598</f>
        <v>80920</v>
      </c>
      <c r="K598" s="25">
        <f>정규화데이터!K598</f>
        <v>0</v>
      </c>
      <c r="L598" s="25">
        <f>정규화데이터!L598</f>
        <v>80920</v>
      </c>
      <c r="M598" s="21">
        <f t="shared" si="18"/>
        <v>0</v>
      </c>
      <c r="N598" s="52">
        <f t="shared" si="19"/>
        <v>0</v>
      </c>
    </row>
    <row r="599" spans="1:14" x14ac:dyDescent="0.3">
      <c r="A599" t="str">
        <f>정규화데이터!A599</f>
        <v>SK스토아</v>
      </c>
      <c r="B599" t="str">
        <f>정규화데이터!B599</f>
        <v>20260210361401</v>
      </c>
      <c r="C599" t="str">
        <f>정규화데이터!C599</f>
        <v>2026-02-12</v>
      </c>
      <c r="D599" t="str">
        <f>정규화데이터!D599</f>
        <v>58481090</v>
      </c>
      <c r="E599" s="16" t="str">
        <f>정규화데이터!E599</f>
        <v>미매핑</v>
      </c>
      <c r="F599" s="3">
        <f>정규화데이터!F599</f>
        <v>1</v>
      </c>
      <c r="G599" s="3">
        <f>정규화데이터!G599</f>
        <v>1</v>
      </c>
      <c r="H599" s="3">
        <f>정규화데이터!H599</f>
        <v>119000</v>
      </c>
      <c r="I599" s="3">
        <f>정규화데이터!I599</f>
        <v>119000</v>
      </c>
      <c r="J599" s="3">
        <f>정규화데이터!J599</f>
        <v>80920</v>
      </c>
      <c r="K599" s="25">
        <f>정규화데이터!K599</f>
        <v>0</v>
      </c>
      <c r="L599" s="25">
        <f>정규화데이터!L599</f>
        <v>80920</v>
      </c>
      <c r="M599" s="21">
        <f t="shared" si="18"/>
        <v>0</v>
      </c>
      <c r="N599" s="52">
        <f t="shared" si="19"/>
        <v>0</v>
      </c>
    </row>
    <row r="600" spans="1:14" x14ac:dyDescent="0.3">
      <c r="A600" t="str">
        <f>정규화데이터!A600</f>
        <v>SK스토아</v>
      </c>
      <c r="B600" t="str">
        <f>정규화데이터!B600</f>
        <v>20260210360406</v>
      </c>
      <c r="C600" t="str">
        <f>정규화데이터!C600</f>
        <v>2026-02-12</v>
      </c>
      <c r="D600" t="str">
        <f>정규화데이터!D600</f>
        <v>58481090</v>
      </c>
      <c r="E600" s="16" t="str">
        <f>정규화데이터!E600</f>
        <v>미매핑</v>
      </c>
      <c r="F600" s="3">
        <f>정규화데이터!F600</f>
        <v>1</v>
      </c>
      <c r="G600" s="3">
        <f>정규화데이터!G600</f>
        <v>1</v>
      </c>
      <c r="H600" s="3">
        <f>정규화데이터!H600</f>
        <v>119000</v>
      </c>
      <c r="I600" s="3">
        <f>정규화데이터!I600</f>
        <v>119000</v>
      </c>
      <c r="J600" s="3">
        <f>정규화데이터!J600</f>
        <v>80920</v>
      </c>
      <c r="K600" s="25">
        <f>정규화데이터!K600</f>
        <v>0</v>
      </c>
      <c r="L600" s="25">
        <f>정규화데이터!L600</f>
        <v>80920</v>
      </c>
      <c r="M600" s="21">
        <f t="shared" si="18"/>
        <v>0</v>
      </c>
      <c r="N600" s="52">
        <f t="shared" si="19"/>
        <v>0</v>
      </c>
    </row>
    <row r="601" spans="1:14" x14ac:dyDescent="0.3">
      <c r="A601" t="str">
        <f>정규화데이터!A601</f>
        <v>SK스토아</v>
      </c>
      <c r="B601" t="str">
        <f>정규화데이터!B601</f>
        <v>20260210361356</v>
      </c>
      <c r="C601" t="str">
        <f>정규화데이터!C601</f>
        <v>2026-02-12</v>
      </c>
      <c r="D601" t="str">
        <f>정규화데이터!D601</f>
        <v>58481090</v>
      </c>
      <c r="E601" s="16" t="str">
        <f>정규화데이터!E601</f>
        <v>미매핑</v>
      </c>
      <c r="F601" s="3">
        <f>정규화데이터!F601</f>
        <v>1</v>
      </c>
      <c r="G601" s="3">
        <f>정규화데이터!G601</f>
        <v>1</v>
      </c>
      <c r="H601" s="3">
        <f>정규화데이터!H601</f>
        <v>119000</v>
      </c>
      <c r="I601" s="3">
        <f>정규화데이터!I601</f>
        <v>119000</v>
      </c>
      <c r="J601" s="3">
        <f>정규화데이터!J601</f>
        <v>80920</v>
      </c>
      <c r="K601" s="25">
        <f>정규화데이터!K601</f>
        <v>0</v>
      </c>
      <c r="L601" s="25">
        <f>정규화데이터!L601</f>
        <v>80920</v>
      </c>
      <c r="M601" s="21">
        <f t="shared" si="18"/>
        <v>0</v>
      </c>
      <c r="N601" s="52">
        <f t="shared" si="19"/>
        <v>0</v>
      </c>
    </row>
    <row r="602" spans="1:14" x14ac:dyDescent="0.3">
      <c r="A602" t="str">
        <f>정규화데이터!A602</f>
        <v>SK스토아</v>
      </c>
      <c r="B602" t="str">
        <f>정규화데이터!B602</f>
        <v>20260210360454</v>
      </c>
      <c r="C602" t="str">
        <f>정규화데이터!C602</f>
        <v>2026-02-12</v>
      </c>
      <c r="D602" t="str">
        <f>정규화데이터!D602</f>
        <v>58481090</v>
      </c>
      <c r="E602" s="16" t="str">
        <f>정규화데이터!E602</f>
        <v>미매핑</v>
      </c>
      <c r="F602" s="3">
        <f>정규화데이터!F602</f>
        <v>1</v>
      </c>
      <c r="G602" s="3">
        <f>정규화데이터!G602</f>
        <v>1</v>
      </c>
      <c r="H602" s="3">
        <f>정규화데이터!H602</f>
        <v>119000</v>
      </c>
      <c r="I602" s="3">
        <f>정규화데이터!I602</f>
        <v>119000</v>
      </c>
      <c r="J602" s="3">
        <f>정규화데이터!J602</f>
        <v>80920</v>
      </c>
      <c r="K602" s="25">
        <f>정규화데이터!K602</f>
        <v>0</v>
      </c>
      <c r="L602" s="25">
        <f>정규화데이터!L602</f>
        <v>80920</v>
      </c>
      <c r="M602" s="21">
        <f t="shared" si="18"/>
        <v>0</v>
      </c>
      <c r="N602" s="52">
        <f t="shared" si="19"/>
        <v>0</v>
      </c>
    </row>
    <row r="603" spans="1:14" x14ac:dyDescent="0.3">
      <c r="A603" t="str">
        <f>정규화데이터!A603</f>
        <v>SK스토아</v>
      </c>
      <c r="B603" t="str">
        <f>정규화데이터!B603</f>
        <v>20260210360688</v>
      </c>
      <c r="C603" t="str">
        <f>정규화데이터!C603</f>
        <v>2026-02-12</v>
      </c>
      <c r="D603" t="str">
        <f>정규화데이터!D603</f>
        <v>58481090</v>
      </c>
      <c r="E603" s="16" t="str">
        <f>정규화데이터!E603</f>
        <v>미매핑</v>
      </c>
      <c r="F603" s="3">
        <f>정규화데이터!F603</f>
        <v>1</v>
      </c>
      <c r="G603" s="3">
        <f>정규화데이터!G603</f>
        <v>1</v>
      </c>
      <c r="H603" s="3">
        <f>정규화데이터!H603</f>
        <v>119000</v>
      </c>
      <c r="I603" s="3">
        <f>정규화데이터!I603</f>
        <v>119000</v>
      </c>
      <c r="J603" s="3">
        <f>정규화데이터!J603</f>
        <v>80920</v>
      </c>
      <c r="K603" s="25">
        <f>정규화데이터!K603</f>
        <v>0</v>
      </c>
      <c r="L603" s="25">
        <f>정규화데이터!L603</f>
        <v>80920</v>
      </c>
      <c r="M603" s="21">
        <f t="shared" si="18"/>
        <v>0</v>
      </c>
      <c r="N603" s="52">
        <f t="shared" si="19"/>
        <v>0</v>
      </c>
    </row>
    <row r="604" spans="1:14" x14ac:dyDescent="0.3">
      <c r="A604" t="str">
        <f>정규화데이터!A604</f>
        <v>SK스토아</v>
      </c>
      <c r="B604" t="str">
        <f>정규화데이터!B604</f>
        <v>20260210361042</v>
      </c>
      <c r="C604" t="str">
        <f>정규화데이터!C604</f>
        <v>2026-02-12</v>
      </c>
      <c r="D604" t="str">
        <f>정규화데이터!D604</f>
        <v>58481090</v>
      </c>
      <c r="E604" s="16" t="str">
        <f>정규화데이터!E604</f>
        <v>미매핑</v>
      </c>
      <c r="F604" s="3">
        <f>정규화데이터!F604</f>
        <v>1</v>
      </c>
      <c r="G604" s="3">
        <f>정규화데이터!G604</f>
        <v>1</v>
      </c>
      <c r="H604" s="3">
        <f>정규화데이터!H604</f>
        <v>119000</v>
      </c>
      <c r="I604" s="3">
        <f>정규화데이터!I604</f>
        <v>119000</v>
      </c>
      <c r="J604" s="3">
        <f>정규화데이터!J604</f>
        <v>80920</v>
      </c>
      <c r="K604" s="25">
        <f>정규화데이터!K604</f>
        <v>0</v>
      </c>
      <c r="L604" s="25">
        <f>정규화데이터!L604</f>
        <v>80920</v>
      </c>
      <c r="M604" s="21">
        <f t="shared" si="18"/>
        <v>0</v>
      </c>
      <c r="N604" s="52">
        <f t="shared" si="19"/>
        <v>0</v>
      </c>
    </row>
    <row r="605" spans="1:14" x14ac:dyDescent="0.3">
      <c r="A605" t="str">
        <f>정규화데이터!A605</f>
        <v>SK스토아</v>
      </c>
      <c r="B605" t="str">
        <f>정규화데이터!B605</f>
        <v>20260210360204</v>
      </c>
      <c r="C605" t="str">
        <f>정규화데이터!C605</f>
        <v>2026-02-12</v>
      </c>
      <c r="D605" t="str">
        <f>정규화데이터!D605</f>
        <v>58481090</v>
      </c>
      <c r="E605" s="16" t="str">
        <f>정규화데이터!E605</f>
        <v>미매핑</v>
      </c>
      <c r="F605" s="3">
        <f>정규화데이터!F605</f>
        <v>1</v>
      </c>
      <c r="G605" s="3">
        <f>정규화데이터!G605</f>
        <v>1</v>
      </c>
      <c r="H605" s="3">
        <f>정규화데이터!H605</f>
        <v>119000</v>
      </c>
      <c r="I605" s="3">
        <f>정규화데이터!I605</f>
        <v>119000</v>
      </c>
      <c r="J605" s="3">
        <f>정규화데이터!J605</f>
        <v>80920</v>
      </c>
      <c r="K605" s="25">
        <f>정규화데이터!K605</f>
        <v>0</v>
      </c>
      <c r="L605" s="25">
        <f>정규화데이터!L605</f>
        <v>80920</v>
      </c>
      <c r="M605" s="21">
        <f t="shared" si="18"/>
        <v>0</v>
      </c>
      <c r="N605" s="52">
        <f t="shared" si="19"/>
        <v>0</v>
      </c>
    </row>
    <row r="606" spans="1:14" x14ac:dyDescent="0.3">
      <c r="A606" t="str">
        <f>정규화데이터!A606</f>
        <v>SK스토아</v>
      </c>
      <c r="B606" t="str">
        <f>정규화데이터!B606</f>
        <v>20260210360435</v>
      </c>
      <c r="C606" t="str">
        <f>정규화데이터!C606</f>
        <v>2026-02-12</v>
      </c>
      <c r="D606" t="str">
        <f>정규화데이터!D606</f>
        <v>58481090</v>
      </c>
      <c r="E606" s="16" t="str">
        <f>정규화데이터!E606</f>
        <v>미매핑</v>
      </c>
      <c r="F606" s="3">
        <f>정규화데이터!F606</f>
        <v>1</v>
      </c>
      <c r="G606" s="3">
        <f>정규화데이터!G606</f>
        <v>1</v>
      </c>
      <c r="H606" s="3">
        <f>정규화데이터!H606</f>
        <v>119000</v>
      </c>
      <c r="I606" s="3">
        <f>정규화데이터!I606</f>
        <v>119000</v>
      </c>
      <c r="J606" s="3">
        <f>정규화데이터!J606</f>
        <v>80920</v>
      </c>
      <c r="K606" s="25">
        <f>정규화데이터!K606</f>
        <v>0</v>
      </c>
      <c r="L606" s="25">
        <f>정규화데이터!L606</f>
        <v>80920</v>
      </c>
      <c r="M606" s="21">
        <f t="shared" si="18"/>
        <v>0</v>
      </c>
      <c r="N606" s="52">
        <f t="shared" si="19"/>
        <v>0</v>
      </c>
    </row>
    <row r="607" spans="1:14" x14ac:dyDescent="0.3">
      <c r="A607" t="str">
        <f>정규화데이터!A607</f>
        <v>SK스토아</v>
      </c>
      <c r="B607" t="str">
        <f>정규화데이터!B607</f>
        <v>20260210360324</v>
      </c>
      <c r="C607" t="str">
        <f>정규화데이터!C607</f>
        <v>2026-02-12</v>
      </c>
      <c r="D607" t="str">
        <f>정규화데이터!D607</f>
        <v>58481090</v>
      </c>
      <c r="E607" s="16" t="str">
        <f>정규화데이터!E607</f>
        <v>미매핑</v>
      </c>
      <c r="F607" s="3">
        <f>정규화데이터!F607</f>
        <v>1</v>
      </c>
      <c r="G607" s="3">
        <f>정규화데이터!G607</f>
        <v>1</v>
      </c>
      <c r="H607" s="3">
        <f>정규화데이터!H607</f>
        <v>119000</v>
      </c>
      <c r="I607" s="3">
        <f>정규화데이터!I607</f>
        <v>119000</v>
      </c>
      <c r="J607" s="3">
        <f>정규화데이터!J607</f>
        <v>80920</v>
      </c>
      <c r="K607" s="25">
        <f>정규화데이터!K607</f>
        <v>0</v>
      </c>
      <c r="L607" s="25">
        <f>정규화데이터!L607</f>
        <v>80920</v>
      </c>
      <c r="M607" s="21">
        <f t="shared" si="18"/>
        <v>0</v>
      </c>
      <c r="N607" s="52">
        <f t="shared" si="19"/>
        <v>0</v>
      </c>
    </row>
    <row r="608" spans="1:14" x14ac:dyDescent="0.3">
      <c r="A608" t="str">
        <f>정규화데이터!A608</f>
        <v>SK스토아</v>
      </c>
      <c r="B608" t="str">
        <f>정규화데이터!B608</f>
        <v>20260210361911</v>
      </c>
      <c r="C608" t="str">
        <f>정규화데이터!C608</f>
        <v>2026-02-12</v>
      </c>
      <c r="D608" t="str">
        <f>정규화데이터!D608</f>
        <v>58481090</v>
      </c>
      <c r="E608" s="16" t="str">
        <f>정규화데이터!E608</f>
        <v>미매핑</v>
      </c>
      <c r="F608" s="3">
        <f>정규화데이터!F608</f>
        <v>1</v>
      </c>
      <c r="G608" s="3">
        <f>정규화데이터!G608</f>
        <v>1</v>
      </c>
      <c r="H608" s="3">
        <f>정규화데이터!H608</f>
        <v>119000</v>
      </c>
      <c r="I608" s="3">
        <f>정규화데이터!I608</f>
        <v>119000</v>
      </c>
      <c r="J608" s="3">
        <f>정규화데이터!J608</f>
        <v>80920</v>
      </c>
      <c r="K608" s="25">
        <f>정규화데이터!K608</f>
        <v>0</v>
      </c>
      <c r="L608" s="25">
        <f>정규화데이터!L608</f>
        <v>80920</v>
      </c>
      <c r="M608" s="21">
        <f t="shared" si="18"/>
        <v>0</v>
      </c>
      <c r="N608" s="52">
        <f t="shared" si="19"/>
        <v>0</v>
      </c>
    </row>
    <row r="609" spans="1:14" x14ac:dyDescent="0.3">
      <c r="A609" t="str">
        <f>정규화데이터!A609</f>
        <v>SK스토아</v>
      </c>
      <c r="B609" t="str">
        <f>정규화데이터!B609</f>
        <v>20260210360246</v>
      </c>
      <c r="C609" t="str">
        <f>정규화데이터!C609</f>
        <v>2026-02-12</v>
      </c>
      <c r="D609" t="str">
        <f>정규화데이터!D609</f>
        <v>58481090</v>
      </c>
      <c r="E609" s="16" t="str">
        <f>정규화데이터!E609</f>
        <v>미매핑</v>
      </c>
      <c r="F609" s="3">
        <f>정규화데이터!F609</f>
        <v>1</v>
      </c>
      <c r="G609" s="3">
        <f>정규화데이터!G609</f>
        <v>1</v>
      </c>
      <c r="H609" s="3">
        <f>정규화데이터!H609</f>
        <v>119000</v>
      </c>
      <c r="I609" s="3">
        <f>정규화데이터!I609</f>
        <v>119000</v>
      </c>
      <c r="J609" s="3">
        <f>정규화데이터!J609</f>
        <v>80920</v>
      </c>
      <c r="K609" s="25">
        <f>정규화데이터!K609</f>
        <v>0</v>
      </c>
      <c r="L609" s="25">
        <f>정규화데이터!L609</f>
        <v>80920</v>
      </c>
      <c r="M609" s="21">
        <f t="shared" si="18"/>
        <v>0</v>
      </c>
      <c r="N609" s="52">
        <f t="shared" si="19"/>
        <v>0</v>
      </c>
    </row>
    <row r="610" spans="1:14" x14ac:dyDescent="0.3">
      <c r="A610" t="str">
        <f>정규화데이터!A610</f>
        <v>SK스토아</v>
      </c>
      <c r="B610" t="str">
        <f>정규화데이터!B610</f>
        <v>20260210361622</v>
      </c>
      <c r="C610" t="str">
        <f>정규화데이터!C610</f>
        <v>2026-02-12</v>
      </c>
      <c r="D610" t="str">
        <f>정규화데이터!D610</f>
        <v>58481090</v>
      </c>
      <c r="E610" s="16" t="str">
        <f>정규화데이터!E610</f>
        <v>미매핑</v>
      </c>
      <c r="F610" s="3">
        <f>정규화데이터!F610</f>
        <v>1</v>
      </c>
      <c r="G610" s="3">
        <f>정규화데이터!G610</f>
        <v>1</v>
      </c>
      <c r="H610" s="3">
        <f>정규화데이터!H610</f>
        <v>119000</v>
      </c>
      <c r="I610" s="3">
        <f>정규화데이터!I610</f>
        <v>119000</v>
      </c>
      <c r="J610" s="3">
        <f>정규화데이터!J610</f>
        <v>80920</v>
      </c>
      <c r="K610" s="25">
        <f>정규화데이터!K610</f>
        <v>0</v>
      </c>
      <c r="L610" s="25">
        <f>정규화데이터!L610</f>
        <v>80920</v>
      </c>
      <c r="M610" s="21">
        <f t="shared" si="18"/>
        <v>0</v>
      </c>
      <c r="N610" s="52">
        <f t="shared" si="19"/>
        <v>0</v>
      </c>
    </row>
    <row r="611" spans="1:14" x14ac:dyDescent="0.3">
      <c r="A611" t="str">
        <f>정규화데이터!A611</f>
        <v>SK스토아</v>
      </c>
      <c r="B611" t="str">
        <f>정규화데이터!B611</f>
        <v>20260210361123</v>
      </c>
      <c r="C611" t="str">
        <f>정규화데이터!C611</f>
        <v>2026-02-12</v>
      </c>
      <c r="D611" t="str">
        <f>정규화데이터!D611</f>
        <v>58481090</v>
      </c>
      <c r="E611" s="16" t="str">
        <f>정규화데이터!E611</f>
        <v>미매핑</v>
      </c>
      <c r="F611" s="3">
        <f>정규화데이터!F611</f>
        <v>1</v>
      </c>
      <c r="G611" s="3">
        <f>정규화데이터!G611</f>
        <v>1</v>
      </c>
      <c r="H611" s="3">
        <f>정규화데이터!H611</f>
        <v>119000</v>
      </c>
      <c r="I611" s="3">
        <f>정규화데이터!I611</f>
        <v>119000</v>
      </c>
      <c r="J611" s="3">
        <f>정규화데이터!J611</f>
        <v>80920</v>
      </c>
      <c r="K611" s="25">
        <f>정규화데이터!K611</f>
        <v>0</v>
      </c>
      <c r="L611" s="25">
        <f>정규화데이터!L611</f>
        <v>80920</v>
      </c>
      <c r="M611" s="21">
        <f t="shared" si="18"/>
        <v>0</v>
      </c>
      <c r="N611" s="52">
        <f t="shared" si="19"/>
        <v>0</v>
      </c>
    </row>
    <row r="612" spans="1:14" x14ac:dyDescent="0.3">
      <c r="A612" t="str">
        <f>정규화데이터!A612</f>
        <v>SK스토아</v>
      </c>
      <c r="B612" t="str">
        <f>정규화데이터!B612</f>
        <v>20260210361987</v>
      </c>
      <c r="C612" t="str">
        <f>정규화데이터!C612</f>
        <v>2026-02-12</v>
      </c>
      <c r="D612" t="str">
        <f>정규화데이터!D612</f>
        <v>58481090</v>
      </c>
      <c r="E612" s="16" t="str">
        <f>정규화데이터!E612</f>
        <v>미매핑</v>
      </c>
      <c r="F612" s="3">
        <f>정규화데이터!F612</f>
        <v>1</v>
      </c>
      <c r="G612" s="3">
        <f>정규화데이터!G612</f>
        <v>1</v>
      </c>
      <c r="H612" s="3">
        <f>정규화데이터!H612</f>
        <v>119000</v>
      </c>
      <c r="I612" s="3">
        <f>정규화데이터!I612</f>
        <v>113050</v>
      </c>
      <c r="J612" s="3">
        <f>정규화데이터!J612</f>
        <v>80920</v>
      </c>
      <c r="K612" s="25">
        <f>정규화데이터!K612</f>
        <v>0</v>
      </c>
      <c r="L612" s="25">
        <f>정규화데이터!L612</f>
        <v>80920</v>
      </c>
      <c r="M612" s="21">
        <f t="shared" si="18"/>
        <v>0</v>
      </c>
      <c r="N612" s="52">
        <f t="shared" si="19"/>
        <v>0</v>
      </c>
    </row>
    <row r="613" spans="1:14" x14ac:dyDescent="0.3">
      <c r="A613" t="str">
        <f>정규화데이터!A613</f>
        <v>SK스토아</v>
      </c>
      <c r="B613" t="str">
        <f>정규화데이터!B613</f>
        <v>20260210360357</v>
      </c>
      <c r="C613" t="str">
        <f>정규화데이터!C613</f>
        <v>2026-02-12</v>
      </c>
      <c r="D613" t="str">
        <f>정규화데이터!D613</f>
        <v>58481090</v>
      </c>
      <c r="E613" s="16" t="str">
        <f>정규화데이터!E613</f>
        <v>미매핑</v>
      </c>
      <c r="F613" s="3">
        <f>정규화데이터!F613</f>
        <v>1</v>
      </c>
      <c r="G613" s="3">
        <f>정규화데이터!G613</f>
        <v>1</v>
      </c>
      <c r="H613" s="3">
        <f>정규화데이터!H613</f>
        <v>119000</v>
      </c>
      <c r="I613" s="3">
        <f>정규화데이터!I613</f>
        <v>113050</v>
      </c>
      <c r="J613" s="3">
        <f>정규화데이터!J613</f>
        <v>80920</v>
      </c>
      <c r="K613" s="25">
        <f>정규화데이터!K613</f>
        <v>0</v>
      </c>
      <c r="L613" s="25">
        <f>정규화데이터!L613</f>
        <v>80920</v>
      </c>
      <c r="M613" s="21">
        <f t="shared" si="18"/>
        <v>0</v>
      </c>
      <c r="N613" s="52">
        <f t="shared" si="19"/>
        <v>0</v>
      </c>
    </row>
    <row r="614" spans="1:14" x14ac:dyDescent="0.3">
      <c r="A614" t="str">
        <f>정규화데이터!A614</f>
        <v>SK스토아</v>
      </c>
      <c r="B614" t="str">
        <f>정규화데이터!B614</f>
        <v>20260210361780</v>
      </c>
      <c r="C614" t="str">
        <f>정규화데이터!C614</f>
        <v>2026-02-12</v>
      </c>
      <c r="D614" t="str">
        <f>정규화데이터!D614</f>
        <v>58481090</v>
      </c>
      <c r="E614" s="16" t="str">
        <f>정규화데이터!E614</f>
        <v>미매핑</v>
      </c>
      <c r="F614" s="3">
        <f>정규화데이터!F614</f>
        <v>1</v>
      </c>
      <c r="G614" s="3">
        <f>정규화데이터!G614</f>
        <v>1</v>
      </c>
      <c r="H614" s="3">
        <f>정규화데이터!H614</f>
        <v>119000</v>
      </c>
      <c r="I614" s="3">
        <f>정규화데이터!I614</f>
        <v>95200</v>
      </c>
      <c r="J614" s="3">
        <f>정규화데이터!J614</f>
        <v>80920</v>
      </c>
      <c r="K614" s="25">
        <f>정규화데이터!K614</f>
        <v>0</v>
      </c>
      <c r="L614" s="25">
        <f>정규화데이터!L614</f>
        <v>80920</v>
      </c>
      <c r="M614" s="21">
        <f t="shared" si="18"/>
        <v>0</v>
      </c>
      <c r="N614" s="52">
        <f t="shared" si="19"/>
        <v>0</v>
      </c>
    </row>
    <row r="615" spans="1:14" x14ac:dyDescent="0.3">
      <c r="A615" t="str">
        <f>정규화데이터!A615</f>
        <v>SK스토아</v>
      </c>
      <c r="B615" t="str">
        <f>정규화데이터!B615</f>
        <v>20260210362100</v>
      </c>
      <c r="C615" t="str">
        <f>정규화데이터!C615</f>
        <v>2026-02-12</v>
      </c>
      <c r="D615" t="str">
        <f>정규화데이터!D615</f>
        <v>58481090</v>
      </c>
      <c r="E615" s="16" t="str">
        <f>정규화데이터!E615</f>
        <v>미매핑</v>
      </c>
      <c r="F615" s="3">
        <f>정규화데이터!F615</f>
        <v>1</v>
      </c>
      <c r="G615" s="3">
        <f>정규화데이터!G615</f>
        <v>1</v>
      </c>
      <c r="H615" s="3">
        <f>정규화데이터!H615</f>
        <v>119000</v>
      </c>
      <c r="I615" s="3">
        <f>정규화데이터!I615</f>
        <v>109000</v>
      </c>
      <c r="J615" s="3">
        <f>정규화데이터!J615</f>
        <v>80920</v>
      </c>
      <c r="K615" s="25">
        <f>정규화데이터!K615</f>
        <v>0</v>
      </c>
      <c r="L615" s="25">
        <f>정규화데이터!L615</f>
        <v>80920</v>
      </c>
      <c r="M615" s="21">
        <f t="shared" si="18"/>
        <v>0</v>
      </c>
      <c r="N615" s="52">
        <f t="shared" si="19"/>
        <v>0</v>
      </c>
    </row>
    <row r="616" spans="1:14" x14ac:dyDescent="0.3">
      <c r="A616" t="str">
        <f>정규화데이터!A616</f>
        <v>SK스토아</v>
      </c>
      <c r="B616" t="str">
        <f>정규화데이터!B616</f>
        <v>20260210362228</v>
      </c>
      <c r="C616" t="str">
        <f>정규화데이터!C616</f>
        <v>2026-02-12</v>
      </c>
      <c r="D616" t="str">
        <f>정규화데이터!D616</f>
        <v>58481090</v>
      </c>
      <c r="E616" s="16" t="str">
        <f>정규화데이터!E616</f>
        <v>미매핑</v>
      </c>
      <c r="F616" s="3">
        <f>정규화데이터!F616</f>
        <v>1</v>
      </c>
      <c r="G616" s="3">
        <f>정규화데이터!G616</f>
        <v>1</v>
      </c>
      <c r="H616" s="3">
        <f>정규화데이터!H616</f>
        <v>119000</v>
      </c>
      <c r="I616" s="3">
        <f>정규화데이터!I616</f>
        <v>95200</v>
      </c>
      <c r="J616" s="3">
        <f>정규화데이터!J616</f>
        <v>80920</v>
      </c>
      <c r="K616" s="25">
        <f>정규화데이터!K616</f>
        <v>0</v>
      </c>
      <c r="L616" s="25">
        <f>정규화데이터!L616</f>
        <v>80920</v>
      </c>
      <c r="M616" s="21">
        <f t="shared" si="18"/>
        <v>0</v>
      </c>
      <c r="N616" s="52">
        <f t="shared" si="19"/>
        <v>0</v>
      </c>
    </row>
    <row r="617" spans="1:14" x14ac:dyDescent="0.3">
      <c r="A617" t="str">
        <f>정규화데이터!A617</f>
        <v>SK스토아</v>
      </c>
      <c r="B617" t="str">
        <f>정규화데이터!B617</f>
        <v>20260210362212</v>
      </c>
      <c r="C617" t="str">
        <f>정규화데이터!C617</f>
        <v>2026-02-12</v>
      </c>
      <c r="D617" t="str">
        <f>정규화데이터!D617</f>
        <v>58481090</v>
      </c>
      <c r="E617" s="16" t="str">
        <f>정규화데이터!E617</f>
        <v>미매핑</v>
      </c>
      <c r="F617" s="3">
        <f>정규화데이터!F617</f>
        <v>1</v>
      </c>
      <c r="G617" s="3">
        <f>정규화데이터!G617</f>
        <v>1</v>
      </c>
      <c r="H617" s="3">
        <f>정규화데이터!H617</f>
        <v>119000</v>
      </c>
      <c r="I617" s="3">
        <f>정규화데이터!I617</f>
        <v>113050</v>
      </c>
      <c r="J617" s="3">
        <f>정규화데이터!J617</f>
        <v>80920</v>
      </c>
      <c r="K617" s="25">
        <f>정규화데이터!K617</f>
        <v>0</v>
      </c>
      <c r="L617" s="25">
        <f>정규화데이터!L617</f>
        <v>80920</v>
      </c>
      <c r="M617" s="21">
        <f t="shared" si="18"/>
        <v>0</v>
      </c>
      <c r="N617" s="52">
        <f t="shared" si="19"/>
        <v>0</v>
      </c>
    </row>
    <row r="618" spans="1:14" x14ac:dyDescent="0.3">
      <c r="A618" t="str">
        <f>정규화데이터!A618</f>
        <v>SK스토아</v>
      </c>
      <c r="B618" t="str">
        <f>정규화데이터!B618</f>
        <v>20260210360287</v>
      </c>
      <c r="C618" t="str">
        <f>정규화데이터!C618</f>
        <v>2026-02-12</v>
      </c>
      <c r="D618" t="str">
        <f>정규화데이터!D618</f>
        <v>58481090</v>
      </c>
      <c r="E618" s="16" t="str">
        <f>정규화데이터!E618</f>
        <v>미매핑</v>
      </c>
      <c r="F618" s="3">
        <f>정규화데이터!F618</f>
        <v>1</v>
      </c>
      <c r="G618" s="3">
        <f>정규화데이터!G618</f>
        <v>1</v>
      </c>
      <c r="H618" s="3">
        <f>정규화데이터!H618</f>
        <v>119000</v>
      </c>
      <c r="I618" s="3">
        <f>정규화데이터!I618</f>
        <v>119000</v>
      </c>
      <c r="J618" s="3">
        <f>정규화데이터!J618</f>
        <v>80920</v>
      </c>
      <c r="K618" s="25">
        <f>정규화데이터!K618</f>
        <v>0</v>
      </c>
      <c r="L618" s="25">
        <f>정규화데이터!L618</f>
        <v>80920</v>
      </c>
      <c r="M618" s="21">
        <f t="shared" si="18"/>
        <v>0</v>
      </c>
      <c r="N618" s="52">
        <f t="shared" si="19"/>
        <v>0</v>
      </c>
    </row>
    <row r="619" spans="1:14" x14ac:dyDescent="0.3">
      <c r="A619" t="str">
        <f>정규화데이터!A619</f>
        <v>SK스토아</v>
      </c>
      <c r="B619" t="str">
        <f>정규화데이터!B619</f>
        <v>20260210361930</v>
      </c>
      <c r="C619" t="str">
        <f>정규화데이터!C619</f>
        <v>2026-02-12</v>
      </c>
      <c r="D619" t="str">
        <f>정규화데이터!D619</f>
        <v>58481090</v>
      </c>
      <c r="E619" s="16" t="str">
        <f>정규화데이터!E619</f>
        <v>미매핑</v>
      </c>
      <c r="F619" s="3">
        <f>정규화데이터!F619</f>
        <v>1</v>
      </c>
      <c r="G619" s="3">
        <f>정규화데이터!G619</f>
        <v>1</v>
      </c>
      <c r="H619" s="3">
        <f>정규화데이터!H619</f>
        <v>119000</v>
      </c>
      <c r="I619" s="3">
        <f>정규화데이터!I619</f>
        <v>119000</v>
      </c>
      <c r="J619" s="3">
        <f>정규화데이터!J619</f>
        <v>80920</v>
      </c>
      <c r="K619" s="25">
        <f>정규화데이터!K619</f>
        <v>0</v>
      </c>
      <c r="L619" s="25">
        <f>정규화데이터!L619</f>
        <v>80920</v>
      </c>
      <c r="M619" s="21">
        <f t="shared" si="18"/>
        <v>0</v>
      </c>
      <c r="N619" s="52">
        <f t="shared" si="19"/>
        <v>0</v>
      </c>
    </row>
    <row r="620" spans="1:14" x14ac:dyDescent="0.3">
      <c r="A620" t="str">
        <f>정규화데이터!A620</f>
        <v>SK스토아</v>
      </c>
      <c r="B620" t="str">
        <f>정규화데이터!B620</f>
        <v>20260210360895</v>
      </c>
      <c r="C620" t="str">
        <f>정규화데이터!C620</f>
        <v>2026-02-12</v>
      </c>
      <c r="D620" t="str">
        <f>정규화데이터!D620</f>
        <v>58481090</v>
      </c>
      <c r="E620" s="16" t="str">
        <f>정규화데이터!E620</f>
        <v>미매핑</v>
      </c>
      <c r="F620" s="3">
        <f>정규화데이터!F620</f>
        <v>1</v>
      </c>
      <c r="G620" s="3">
        <f>정규화데이터!G620</f>
        <v>1</v>
      </c>
      <c r="H620" s="3">
        <f>정규화데이터!H620</f>
        <v>119000</v>
      </c>
      <c r="I620" s="3">
        <f>정규화데이터!I620</f>
        <v>119000</v>
      </c>
      <c r="J620" s="3">
        <f>정규화데이터!J620</f>
        <v>80920</v>
      </c>
      <c r="K620" s="25">
        <f>정규화데이터!K620</f>
        <v>0</v>
      </c>
      <c r="L620" s="25">
        <f>정규화데이터!L620</f>
        <v>80920</v>
      </c>
      <c r="M620" s="21">
        <f t="shared" si="18"/>
        <v>0</v>
      </c>
      <c r="N620" s="52">
        <f t="shared" si="19"/>
        <v>0</v>
      </c>
    </row>
    <row r="621" spans="1:14" x14ac:dyDescent="0.3">
      <c r="A621" t="str">
        <f>정규화데이터!A621</f>
        <v>SK스토아</v>
      </c>
      <c r="B621" t="str">
        <f>정규화데이터!B621</f>
        <v>20260210362231</v>
      </c>
      <c r="C621" t="str">
        <f>정규화데이터!C621</f>
        <v>2026-02-12</v>
      </c>
      <c r="D621" t="str">
        <f>정규화데이터!D621</f>
        <v>58481090</v>
      </c>
      <c r="E621" s="16" t="str">
        <f>정규화데이터!E621</f>
        <v>미매핑</v>
      </c>
      <c r="F621" s="3">
        <f>정규화데이터!F621</f>
        <v>1</v>
      </c>
      <c r="G621" s="3">
        <f>정규화데이터!G621</f>
        <v>1</v>
      </c>
      <c r="H621" s="3">
        <f>정규화데이터!H621</f>
        <v>119000</v>
      </c>
      <c r="I621" s="3">
        <f>정규화데이터!I621</f>
        <v>119000</v>
      </c>
      <c r="J621" s="3">
        <f>정규화데이터!J621</f>
        <v>80920</v>
      </c>
      <c r="K621" s="25">
        <f>정규화데이터!K621</f>
        <v>0</v>
      </c>
      <c r="L621" s="25">
        <f>정규화데이터!L621</f>
        <v>80920</v>
      </c>
      <c r="M621" s="21">
        <f t="shared" si="18"/>
        <v>0</v>
      </c>
      <c r="N621" s="52">
        <f t="shared" si="19"/>
        <v>0</v>
      </c>
    </row>
    <row r="622" spans="1:14" x14ac:dyDescent="0.3">
      <c r="A622" t="str">
        <f>정규화데이터!A622</f>
        <v>SK스토아</v>
      </c>
      <c r="B622" t="str">
        <f>정규화데이터!B622</f>
        <v>20260210360226</v>
      </c>
      <c r="C622" t="str">
        <f>정규화데이터!C622</f>
        <v>2026-02-12</v>
      </c>
      <c r="D622" t="str">
        <f>정규화데이터!D622</f>
        <v>58481090</v>
      </c>
      <c r="E622" s="16" t="str">
        <f>정규화데이터!E622</f>
        <v>미매핑</v>
      </c>
      <c r="F622" s="3">
        <f>정규화데이터!F622</f>
        <v>1</v>
      </c>
      <c r="G622" s="3">
        <f>정규화데이터!G622</f>
        <v>1</v>
      </c>
      <c r="H622" s="3">
        <f>정규화데이터!H622</f>
        <v>119000</v>
      </c>
      <c r="I622" s="3">
        <f>정규화데이터!I622</f>
        <v>119000</v>
      </c>
      <c r="J622" s="3">
        <f>정규화데이터!J622</f>
        <v>80920</v>
      </c>
      <c r="K622" s="25">
        <f>정규화데이터!K622</f>
        <v>0</v>
      </c>
      <c r="L622" s="25">
        <f>정규화데이터!L622</f>
        <v>80920</v>
      </c>
      <c r="M622" s="21">
        <f t="shared" si="18"/>
        <v>0</v>
      </c>
      <c r="N622" s="52">
        <f t="shared" si="19"/>
        <v>0</v>
      </c>
    </row>
    <row r="623" spans="1:14" x14ac:dyDescent="0.3">
      <c r="A623" t="str">
        <f>정규화데이터!A623</f>
        <v>SK스토아</v>
      </c>
      <c r="B623" t="str">
        <f>정규화데이터!B623</f>
        <v>20260210361153</v>
      </c>
      <c r="C623" t="str">
        <f>정규화데이터!C623</f>
        <v>2026-02-12</v>
      </c>
      <c r="D623" t="str">
        <f>정규화데이터!D623</f>
        <v>58481090</v>
      </c>
      <c r="E623" s="16" t="str">
        <f>정규화데이터!E623</f>
        <v>미매핑</v>
      </c>
      <c r="F623" s="3">
        <f>정규화데이터!F623</f>
        <v>1</v>
      </c>
      <c r="G623" s="3">
        <f>정규화데이터!G623</f>
        <v>1</v>
      </c>
      <c r="H623" s="3">
        <f>정규화데이터!H623</f>
        <v>119000</v>
      </c>
      <c r="I623" s="3">
        <f>정규화데이터!I623</f>
        <v>119000</v>
      </c>
      <c r="J623" s="3">
        <f>정규화데이터!J623</f>
        <v>80920</v>
      </c>
      <c r="K623" s="25">
        <f>정규화데이터!K623</f>
        <v>0</v>
      </c>
      <c r="L623" s="25">
        <f>정규화데이터!L623</f>
        <v>80920</v>
      </c>
      <c r="M623" s="21">
        <f t="shared" si="18"/>
        <v>0</v>
      </c>
      <c r="N623" s="52">
        <f t="shared" si="19"/>
        <v>0</v>
      </c>
    </row>
    <row r="624" spans="1:14" x14ac:dyDescent="0.3">
      <c r="A624" t="str">
        <f>정규화데이터!A624</f>
        <v>SK스토아</v>
      </c>
      <c r="B624" t="str">
        <f>정규화데이터!B624</f>
        <v>20260210360972</v>
      </c>
      <c r="C624" t="str">
        <f>정규화데이터!C624</f>
        <v>2026-02-12</v>
      </c>
      <c r="D624" t="str">
        <f>정규화데이터!D624</f>
        <v>58481090</v>
      </c>
      <c r="E624" s="16" t="str">
        <f>정규화데이터!E624</f>
        <v>미매핑</v>
      </c>
      <c r="F624" s="3">
        <f>정규화데이터!F624</f>
        <v>1</v>
      </c>
      <c r="G624" s="3">
        <f>정규화데이터!G624</f>
        <v>1</v>
      </c>
      <c r="H624" s="3">
        <f>정규화데이터!H624</f>
        <v>119000</v>
      </c>
      <c r="I624" s="3">
        <f>정규화데이터!I624</f>
        <v>119000</v>
      </c>
      <c r="J624" s="3">
        <f>정규화데이터!J624</f>
        <v>80920</v>
      </c>
      <c r="K624" s="25">
        <f>정규화데이터!K624</f>
        <v>0</v>
      </c>
      <c r="L624" s="25">
        <f>정규화데이터!L624</f>
        <v>80920</v>
      </c>
      <c r="M624" s="21">
        <f t="shared" si="18"/>
        <v>0</v>
      </c>
      <c r="N624" s="52">
        <f t="shared" si="19"/>
        <v>0</v>
      </c>
    </row>
    <row r="625" spans="1:14" x14ac:dyDescent="0.3">
      <c r="A625" t="str">
        <f>정규화데이터!A625</f>
        <v>SK스토아</v>
      </c>
      <c r="B625" t="str">
        <f>정규화데이터!B625</f>
        <v>20260210360094</v>
      </c>
      <c r="C625" t="str">
        <f>정규화데이터!C625</f>
        <v>2026-02-12</v>
      </c>
      <c r="D625" t="str">
        <f>정규화데이터!D625</f>
        <v>58481090</v>
      </c>
      <c r="E625" s="16" t="str">
        <f>정규화데이터!E625</f>
        <v>미매핑</v>
      </c>
      <c r="F625" s="3">
        <f>정규화데이터!F625</f>
        <v>1</v>
      </c>
      <c r="G625" s="3">
        <f>정규화데이터!G625</f>
        <v>1</v>
      </c>
      <c r="H625" s="3">
        <f>정규화데이터!H625</f>
        <v>119000</v>
      </c>
      <c r="I625" s="3">
        <f>정규화데이터!I625</f>
        <v>119000</v>
      </c>
      <c r="J625" s="3">
        <f>정규화데이터!J625</f>
        <v>80920</v>
      </c>
      <c r="K625" s="25">
        <f>정규화데이터!K625</f>
        <v>0</v>
      </c>
      <c r="L625" s="25">
        <f>정규화데이터!L625</f>
        <v>80920</v>
      </c>
      <c r="M625" s="21">
        <f t="shared" si="18"/>
        <v>0</v>
      </c>
      <c r="N625" s="52">
        <f t="shared" si="19"/>
        <v>0</v>
      </c>
    </row>
    <row r="626" spans="1:14" x14ac:dyDescent="0.3">
      <c r="A626" t="str">
        <f>정규화데이터!A626</f>
        <v>SK스토아</v>
      </c>
      <c r="B626" t="str">
        <f>정규화데이터!B626</f>
        <v>20260210360523</v>
      </c>
      <c r="C626" t="str">
        <f>정규화데이터!C626</f>
        <v>2026-02-12</v>
      </c>
      <c r="D626" t="str">
        <f>정규화데이터!D626</f>
        <v>58481090</v>
      </c>
      <c r="E626" s="16" t="str">
        <f>정규화데이터!E626</f>
        <v>미매핑</v>
      </c>
      <c r="F626" s="3">
        <f>정규화데이터!F626</f>
        <v>1</v>
      </c>
      <c r="G626" s="3">
        <f>정규화데이터!G626</f>
        <v>1</v>
      </c>
      <c r="H626" s="3">
        <f>정규화데이터!H626</f>
        <v>119000</v>
      </c>
      <c r="I626" s="3">
        <f>정규화데이터!I626</f>
        <v>109000</v>
      </c>
      <c r="J626" s="3">
        <f>정규화데이터!J626</f>
        <v>80920</v>
      </c>
      <c r="K626" s="25">
        <f>정규화데이터!K626</f>
        <v>0</v>
      </c>
      <c r="L626" s="25">
        <f>정규화데이터!L626</f>
        <v>80920</v>
      </c>
      <c r="M626" s="21">
        <f t="shared" si="18"/>
        <v>0</v>
      </c>
      <c r="N626" s="52">
        <f t="shared" si="19"/>
        <v>0</v>
      </c>
    </row>
    <row r="627" spans="1:14" x14ac:dyDescent="0.3">
      <c r="A627" t="str">
        <f>정규화데이터!A627</f>
        <v>SK스토아</v>
      </c>
      <c r="B627" t="str">
        <f>정규화데이터!B627</f>
        <v>20260210360229</v>
      </c>
      <c r="C627" t="str">
        <f>정규화데이터!C627</f>
        <v>2026-02-12</v>
      </c>
      <c r="D627" t="str">
        <f>정규화데이터!D627</f>
        <v>58481090</v>
      </c>
      <c r="E627" s="16" t="str">
        <f>정규화데이터!E627</f>
        <v>미매핑</v>
      </c>
      <c r="F627" s="3">
        <f>정규화데이터!F627</f>
        <v>1</v>
      </c>
      <c r="G627" s="3">
        <f>정규화데이터!G627</f>
        <v>1</v>
      </c>
      <c r="H627" s="3">
        <f>정규화데이터!H627</f>
        <v>119000</v>
      </c>
      <c r="I627" s="3">
        <f>정규화데이터!I627</f>
        <v>119000</v>
      </c>
      <c r="J627" s="3">
        <f>정규화데이터!J627</f>
        <v>80920</v>
      </c>
      <c r="K627" s="25">
        <f>정규화데이터!K627</f>
        <v>0</v>
      </c>
      <c r="L627" s="25">
        <f>정규화데이터!L627</f>
        <v>80920</v>
      </c>
      <c r="M627" s="21">
        <f t="shared" si="18"/>
        <v>0</v>
      </c>
      <c r="N627" s="52">
        <f t="shared" si="19"/>
        <v>0</v>
      </c>
    </row>
    <row r="628" spans="1:14" x14ac:dyDescent="0.3">
      <c r="A628" t="str">
        <f>정규화데이터!A628</f>
        <v>SK스토아</v>
      </c>
      <c r="B628" t="str">
        <f>정규화데이터!B628</f>
        <v>20260205993517</v>
      </c>
      <c r="C628" t="str">
        <f>정규화데이터!C628</f>
        <v>2026-02-12</v>
      </c>
      <c r="D628" t="str">
        <f>정규화데이터!D628</f>
        <v>58481090</v>
      </c>
      <c r="E628" s="16" t="str">
        <f>정규화데이터!E628</f>
        <v>미매핑</v>
      </c>
      <c r="F628" s="3">
        <f>정규화데이터!F628</f>
        <v>1</v>
      </c>
      <c r="G628" s="3">
        <f>정규화데이터!G628</f>
        <v>1</v>
      </c>
      <c r="H628" s="3">
        <f>정규화데이터!H628</f>
        <v>119000</v>
      </c>
      <c r="I628" s="3">
        <f>정규화데이터!I628</f>
        <v>109000</v>
      </c>
      <c r="J628" s="3">
        <f>정규화데이터!J628</f>
        <v>82110</v>
      </c>
      <c r="K628" s="25">
        <f>정규화데이터!K628</f>
        <v>0</v>
      </c>
      <c r="L628" s="25">
        <f>정규화데이터!L628</f>
        <v>82110</v>
      </c>
      <c r="M628" s="21">
        <f t="shared" si="18"/>
        <v>0</v>
      </c>
      <c r="N628" s="52">
        <f t="shared" si="19"/>
        <v>0</v>
      </c>
    </row>
    <row r="629" spans="1:14" x14ac:dyDescent="0.3">
      <c r="A629" t="str">
        <f>정규화데이터!A629</f>
        <v>SK스토아</v>
      </c>
      <c r="B629" t="str">
        <f>정규화데이터!B629</f>
        <v>20260210361686</v>
      </c>
      <c r="C629" t="str">
        <f>정규화데이터!C629</f>
        <v>2026-02-12</v>
      </c>
      <c r="D629" t="str">
        <f>정규화데이터!D629</f>
        <v>58481090</v>
      </c>
      <c r="E629" s="16" t="str">
        <f>정규화데이터!E629</f>
        <v>미매핑</v>
      </c>
      <c r="F629" s="3">
        <f>정규화데이터!F629</f>
        <v>1</v>
      </c>
      <c r="G629" s="3">
        <f>정규화데이터!G629</f>
        <v>1</v>
      </c>
      <c r="H629" s="3">
        <f>정규화데이터!H629</f>
        <v>119000</v>
      </c>
      <c r="I629" s="3">
        <f>정규화데이터!I629</f>
        <v>119000</v>
      </c>
      <c r="J629" s="3">
        <f>정규화데이터!J629</f>
        <v>80920</v>
      </c>
      <c r="K629" s="25">
        <f>정규화데이터!K629</f>
        <v>0</v>
      </c>
      <c r="L629" s="25">
        <f>정규화데이터!L629</f>
        <v>80920</v>
      </c>
      <c r="M629" s="21">
        <f t="shared" si="18"/>
        <v>0</v>
      </c>
      <c r="N629" s="52">
        <f t="shared" si="19"/>
        <v>0</v>
      </c>
    </row>
    <row r="630" spans="1:14" x14ac:dyDescent="0.3">
      <c r="A630" t="str">
        <f>정규화데이터!A630</f>
        <v>SK스토아</v>
      </c>
      <c r="B630" t="str">
        <f>정규화데이터!B630</f>
        <v>20260210362230</v>
      </c>
      <c r="C630" t="str">
        <f>정규화데이터!C630</f>
        <v>2026-02-12</v>
      </c>
      <c r="D630" t="str">
        <f>정규화데이터!D630</f>
        <v>58481090</v>
      </c>
      <c r="E630" s="16" t="str">
        <f>정규화데이터!E630</f>
        <v>미매핑</v>
      </c>
      <c r="F630" s="3">
        <f>정규화데이터!F630</f>
        <v>1</v>
      </c>
      <c r="G630" s="3">
        <f>정규화데이터!G630</f>
        <v>1</v>
      </c>
      <c r="H630" s="3">
        <f>정규화데이터!H630</f>
        <v>119000</v>
      </c>
      <c r="I630" s="3">
        <f>정규화데이터!I630</f>
        <v>119000</v>
      </c>
      <c r="J630" s="3">
        <f>정규화데이터!J630</f>
        <v>80920</v>
      </c>
      <c r="K630" s="25">
        <f>정규화데이터!K630</f>
        <v>0</v>
      </c>
      <c r="L630" s="25">
        <f>정규화데이터!L630</f>
        <v>80920</v>
      </c>
      <c r="M630" s="21">
        <f t="shared" si="18"/>
        <v>0</v>
      </c>
      <c r="N630" s="52">
        <f t="shared" si="19"/>
        <v>0</v>
      </c>
    </row>
    <row r="631" spans="1:14" x14ac:dyDescent="0.3">
      <c r="A631" t="str">
        <f>정규화데이터!A631</f>
        <v>SK스토아</v>
      </c>
      <c r="B631" t="str">
        <f>정규화데이터!B631</f>
        <v>20260210362386</v>
      </c>
      <c r="C631" t="str">
        <f>정규화데이터!C631</f>
        <v>2026-02-12</v>
      </c>
      <c r="D631" t="str">
        <f>정규화데이터!D631</f>
        <v>58481090</v>
      </c>
      <c r="E631" s="16" t="str">
        <f>정규화데이터!E631</f>
        <v>미매핑</v>
      </c>
      <c r="F631" s="3">
        <f>정규화데이터!F631</f>
        <v>1</v>
      </c>
      <c r="G631" s="3">
        <f>정규화데이터!G631</f>
        <v>1</v>
      </c>
      <c r="H631" s="3">
        <f>정규화데이터!H631</f>
        <v>119000</v>
      </c>
      <c r="I631" s="3">
        <f>정규화데이터!I631</f>
        <v>119000</v>
      </c>
      <c r="J631" s="3">
        <f>정규화데이터!J631</f>
        <v>80920</v>
      </c>
      <c r="K631" s="25">
        <f>정규화데이터!K631</f>
        <v>0</v>
      </c>
      <c r="L631" s="25">
        <f>정규화데이터!L631</f>
        <v>80920</v>
      </c>
      <c r="M631" s="21">
        <f t="shared" si="18"/>
        <v>0</v>
      </c>
      <c r="N631" s="52">
        <f t="shared" si="19"/>
        <v>0</v>
      </c>
    </row>
    <row r="632" spans="1:14" x14ac:dyDescent="0.3">
      <c r="A632" t="str">
        <f>정규화데이터!A632</f>
        <v>SK스토아</v>
      </c>
      <c r="B632" t="str">
        <f>정규화데이터!B632</f>
        <v>20260210360765</v>
      </c>
      <c r="C632" t="str">
        <f>정규화데이터!C632</f>
        <v>2026-02-12</v>
      </c>
      <c r="D632" t="str">
        <f>정규화데이터!D632</f>
        <v>58481090</v>
      </c>
      <c r="E632" s="16" t="str">
        <f>정규화데이터!E632</f>
        <v>미매핑</v>
      </c>
      <c r="F632" s="3">
        <f>정규화데이터!F632</f>
        <v>1</v>
      </c>
      <c r="G632" s="3">
        <f>정규화데이터!G632</f>
        <v>1</v>
      </c>
      <c r="H632" s="3">
        <f>정규화데이터!H632</f>
        <v>119000</v>
      </c>
      <c r="I632" s="3">
        <f>정규화데이터!I632</f>
        <v>119000</v>
      </c>
      <c r="J632" s="3">
        <f>정규화데이터!J632</f>
        <v>80920</v>
      </c>
      <c r="K632" s="25">
        <f>정규화데이터!K632</f>
        <v>0</v>
      </c>
      <c r="L632" s="25">
        <f>정규화데이터!L632</f>
        <v>80920</v>
      </c>
      <c r="M632" s="21">
        <f t="shared" si="18"/>
        <v>0</v>
      </c>
      <c r="N632" s="52">
        <f t="shared" si="19"/>
        <v>0</v>
      </c>
    </row>
    <row r="633" spans="1:14" x14ac:dyDescent="0.3">
      <c r="A633" t="str">
        <f>정규화데이터!A633</f>
        <v>SK스토아</v>
      </c>
      <c r="B633" t="str">
        <f>정규화데이터!B633</f>
        <v>20260210362168</v>
      </c>
      <c r="C633" t="str">
        <f>정규화데이터!C633</f>
        <v>2026-02-12</v>
      </c>
      <c r="D633" t="str">
        <f>정규화데이터!D633</f>
        <v>58481090</v>
      </c>
      <c r="E633" s="16" t="str">
        <f>정규화데이터!E633</f>
        <v>미매핑</v>
      </c>
      <c r="F633" s="3">
        <f>정규화데이터!F633</f>
        <v>1</v>
      </c>
      <c r="G633" s="3">
        <f>정규화데이터!G633</f>
        <v>1</v>
      </c>
      <c r="H633" s="3">
        <f>정규화데이터!H633</f>
        <v>119000</v>
      </c>
      <c r="I633" s="3">
        <f>정규화데이터!I633</f>
        <v>119000</v>
      </c>
      <c r="J633" s="3">
        <f>정규화데이터!J633</f>
        <v>80920</v>
      </c>
      <c r="K633" s="25">
        <f>정규화데이터!K633</f>
        <v>0</v>
      </c>
      <c r="L633" s="25">
        <f>정규화데이터!L633</f>
        <v>80920</v>
      </c>
      <c r="M633" s="21">
        <f t="shared" si="18"/>
        <v>0</v>
      </c>
      <c r="N633" s="52">
        <f t="shared" si="19"/>
        <v>0</v>
      </c>
    </row>
    <row r="634" spans="1:14" x14ac:dyDescent="0.3">
      <c r="A634" t="str">
        <f>정규화데이터!A634</f>
        <v>SK스토아</v>
      </c>
      <c r="B634" t="str">
        <f>정규화데이터!B634</f>
        <v>20260210362117</v>
      </c>
      <c r="C634" t="str">
        <f>정규화데이터!C634</f>
        <v>2026-02-12</v>
      </c>
      <c r="D634" t="str">
        <f>정규화데이터!D634</f>
        <v>58481090</v>
      </c>
      <c r="E634" s="16" t="str">
        <f>정규화데이터!E634</f>
        <v>미매핑</v>
      </c>
      <c r="F634" s="3">
        <f>정규화데이터!F634</f>
        <v>1</v>
      </c>
      <c r="G634" s="3">
        <f>정규화데이터!G634</f>
        <v>1</v>
      </c>
      <c r="H634" s="3">
        <f>정규화데이터!H634</f>
        <v>119000</v>
      </c>
      <c r="I634" s="3">
        <f>정규화데이터!I634</f>
        <v>119000</v>
      </c>
      <c r="J634" s="3">
        <f>정규화데이터!J634</f>
        <v>80920</v>
      </c>
      <c r="K634" s="25">
        <f>정규화데이터!K634</f>
        <v>0</v>
      </c>
      <c r="L634" s="25">
        <f>정규화데이터!L634</f>
        <v>80920</v>
      </c>
      <c r="M634" s="21">
        <f t="shared" si="18"/>
        <v>0</v>
      </c>
      <c r="N634" s="52">
        <f t="shared" si="19"/>
        <v>0</v>
      </c>
    </row>
    <row r="635" spans="1:14" x14ac:dyDescent="0.3">
      <c r="A635" t="str">
        <f>정규화데이터!A635</f>
        <v>SK스토아</v>
      </c>
      <c r="B635" t="str">
        <f>정규화데이터!B635</f>
        <v>20260210360966</v>
      </c>
      <c r="C635" t="str">
        <f>정규화데이터!C635</f>
        <v>2026-02-12</v>
      </c>
      <c r="D635" t="str">
        <f>정규화데이터!D635</f>
        <v>58481090</v>
      </c>
      <c r="E635" s="16" t="str">
        <f>정규화데이터!E635</f>
        <v>미매핑</v>
      </c>
      <c r="F635" s="3">
        <f>정규화데이터!F635</f>
        <v>1</v>
      </c>
      <c r="G635" s="3">
        <f>정규화데이터!G635</f>
        <v>1</v>
      </c>
      <c r="H635" s="3">
        <f>정규화데이터!H635</f>
        <v>119000</v>
      </c>
      <c r="I635" s="3">
        <f>정규화데이터!I635</f>
        <v>119000</v>
      </c>
      <c r="J635" s="3">
        <f>정규화데이터!J635</f>
        <v>80920</v>
      </c>
      <c r="K635" s="25">
        <f>정규화데이터!K635</f>
        <v>0</v>
      </c>
      <c r="L635" s="25">
        <f>정규화데이터!L635</f>
        <v>80920</v>
      </c>
      <c r="M635" s="21">
        <f t="shared" si="18"/>
        <v>0</v>
      </c>
      <c r="N635" s="52">
        <f t="shared" si="19"/>
        <v>0</v>
      </c>
    </row>
    <row r="636" spans="1:14" x14ac:dyDescent="0.3">
      <c r="A636" t="str">
        <f>정규화데이터!A636</f>
        <v>SK스토아</v>
      </c>
      <c r="B636" t="str">
        <f>정규화데이터!B636</f>
        <v>20260210360823</v>
      </c>
      <c r="C636" t="str">
        <f>정규화데이터!C636</f>
        <v>2026-02-12</v>
      </c>
      <c r="D636" t="str">
        <f>정규화데이터!D636</f>
        <v>58481090</v>
      </c>
      <c r="E636" s="16" t="str">
        <f>정규화데이터!E636</f>
        <v>미매핑</v>
      </c>
      <c r="F636" s="3">
        <f>정규화데이터!F636</f>
        <v>1</v>
      </c>
      <c r="G636" s="3">
        <f>정규화데이터!G636</f>
        <v>1</v>
      </c>
      <c r="H636" s="3">
        <f>정규화데이터!H636</f>
        <v>119000</v>
      </c>
      <c r="I636" s="3">
        <f>정규화데이터!I636</f>
        <v>119000</v>
      </c>
      <c r="J636" s="3">
        <f>정규화데이터!J636</f>
        <v>80920</v>
      </c>
      <c r="K636" s="25">
        <f>정규화데이터!K636</f>
        <v>0</v>
      </c>
      <c r="L636" s="25">
        <f>정규화데이터!L636</f>
        <v>80920</v>
      </c>
      <c r="M636" s="21">
        <f t="shared" si="18"/>
        <v>0</v>
      </c>
      <c r="N636" s="52">
        <f t="shared" si="19"/>
        <v>0</v>
      </c>
    </row>
    <row r="637" spans="1:14" x14ac:dyDescent="0.3">
      <c r="A637" t="str">
        <f>정규화데이터!A637</f>
        <v>SK스토아</v>
      </c>
      <c r="B637" t="str">
        <f>정규화데이터!B637</f>
        <v>20260210361576</v>
      </c>
      <c r="C637" t="str">
        <f>정규화데이터!C637</f>
        <v>2026-02-12</v>
      </c>
      <c r="D637" t="str">
        <f>정규화데이터!D637</f>
        <v>58481090</v>
      </c>
      <c r="E637" s="16" t="str">
        <f>정규화데이터!E637</f>
        <v>미매핑</v>
      </c>
      <c r="F637" s="3">
        <f>정규화데이터!F637</f>
        <v>1</v>
      </c>
      <c r="G637" s="3">
        <f>정규화데이터!G637</f>
        <v>1</v>
      </c>
      <c r="H637" s="3">
        <f>정규화데이터!H637</f>
        <v>119000</v>
      </c>
      <c r="I637" s="3">
        <f>정규화데이터!I637</f>
        <v>119000</v>
      </c>
      <c r="J637" s="3">
        <f>정규화데이터!J637</f>
        <v>80920</v>
      </c>
      <c r="K637" s="25">
        <f>정규화데이터!K637</f>
        <v>0</v>
      </c>
      <c r="L637" s="25">
        <f>정규화데이터!L637</f>
        <v>80920</v>
      </c>
      <c r="M637" s="21">
        <f t="shared" si="18"/>
        <v>0</v>
      </c>
      <c r="N637" s="52">
        <f t="shared" si="19"/>
        <v>0</v>
      </c>
    </row>
    <row r="638" spans="1:14" x14ac:dyDescent="0.3">
      <c r="A638" t="str">
        <f>정규화데이터!A638</f>
        <v>SK스토아</v>
      </c>
      <c r="B638" t="str">
        <f>정규화데이터!B638</f>
        <v>20260210360962</v>
      </c>
      <c r="C638" t="str">
        <f>정규화데이터!C638</f>
        <v>2026-02-12</v>
      </c>
      <c r="D638" t="str">
        <f>정규화데이터!D638</f>
        <v>58481090</v>
      </c>
      <c r="E638" s="16" t="str">
        <f>정규화데이터!E638</f>
        <v>미매핑</v>
      </c>
      <c r="F638" s="3">
        <f>정규화데이터!F638</f>
        <v>1</v>
      </c>
      <c r="G638" s="3">
        <f>정규화데이터!G638</f>
        <v>1</v>
      </c>
      <c r="H638" s="3">
        <f>정규화데이터!H638</f>
        <v>119000</v>
      </c>
      <c r="I638" s="3">
        <f>정규화데이터!I638</f>
        <v>119000</v>
      </c>
      <c r="J638" s="3">
        <f>정규화데이터!J638</f>
        <v>80920</v>
      </c>
      <c r="K638" s="25">
        <f>정규화데이터!K638</f>
        <v>0</v>
      </c>
      <c r="L638" s="25">
        <f>정규화데이터!L638</f>
        <v>80920</v>
      </c>
      <c r="M638" s="21">
        <f t="shared" si="18"/>
        <v>0</v>
      </c>
      <c r="N638" s="52">
        <f t="shared" si="19"/>
        <v>0</v>
      </c>
    </row>
    <row r="639" spans="1:14" x14ac:dyDescent="0.3">
      <c r="A639" t="str">
        <f>정규화데이터!A639</f>
        <v>SK스토아</v>
      </c>
      <c r="B639" t="str">
        <f>정규화데이터!B639</f>
        <v>20260210361691</v>
      </c>
      <c r="C639" t="str">
        <f>정규화데이터!C639</f>
        <v>2026-02-12</v>
      </c>
      <c r="D639" t="str">
        <f>정규화데이터!D639</f>
        <v>58481090</v>
      </c>
      <c r="E639" s="16" t="str">
        <f>정규화데이터!E639</f>
        <v>미매핑</v>
      </c>
      <c r="F639" s="3">
        <f>정규화데이터!F639</f>
        <v>1</v>
      </c>
      <c r="G639" s="3">
        <f>정규화데이터!G639</f>
        <v>1</v>
      </c>
      <c r="H639" s="3">
        <f>정규화데이터!H639</f>
        <v>119000</v>
      </c>
      <c r="I639" s="3">
        <f>정규화데이터!I639</f>
        <v>119000</v>
      </c>
      <c r="J639" s="3">
        <f>정규화데이터!J639</f>
        <v>80920</v>
      </c>
      <c r="K639" s="25">
        <f>정규화데이터!K639</f>
        <v>0</v>
      </c>
      <c r="L639" s="25">
        <f>정규화데이터!L639</f>
        <v>80920</v>
      </c>
      <c r="M639" s="21">
        <f t="shared" si="18"/>
        <v>0</v>
      </c>
      <c r="N639" s="52">
        <f t="shared" si="19"/>
        <v>0</v>
      </c>
    </row>
    <row r="640" spans="1:14" x14ac:dyDescent="0.3">
      <c r="A640" t="str">
        <f>정규화데이터!A640</f>
        <v>SK스토아</v>
      </c>
      <c r="B640" t="str">
        <f>정규화데이터!B640</f>
        <v>20260210362134</v>
      </c>
      <c r="C640" t="str">
        <f>정규화데이터!C640</f>
        <v>2026-02-12</v>
      </c>
      <c r="D640" t="str">
        <f>정규화데이터!D640</f>
        <v>58481090</v>
      </c>
      <c r="E640" s="16" t="str">
        <f>정규화데이터!E640</f>
        <v>미매핑</v>
      </c>
      <c r="F640" s="3">
        <f>정규화데이터!F640</f>
        <v>1</v>
      </c>
      <c r="G640" s="3">
        <f>정규화데이터!G640</f>
        <v>1</v>
      </c>
      <c r="H640" s="3">
        <f>정규화데이터!H640</f>
        <v>119000</v>
      </c>
      <c r="I640" s="3">
        <f>정규화데이터!I640</f>
        <v>108300</v>
      </c>
      <c r="J640" s="3">
        <f>정규화데이터!J640</f>
        <v>80920</v>
      </c>
      <c r="K640" s="25">
        <f>정규화데이터!K640</f>
        <v>0</v>
      </c>
      <c r="L640" s="25">
        <f>정규화데이터!L640</f>
        <v>80920</v>
      </c>
      <c r="M640" s="21">
        <f t="shared" si="18"/>
        <v>0</v>
      </c>
      <c r="N640" s="52">
        <f t="shared" si="19"/>
        <v>0</v>
      </c>
    </row>
    <row r="641" spans="1:14" x14ac:dyDescent="0.3">
      <c r="A641" t="str">
        <f>정규화데이터!A641</f>
        <v>SK스토아</v>
      </c>
      <c r="B641" t="str">
        <f>정규화데이터!B641</f>
        <v>20260210361690</v>
      </c>
      <c r="C641" t="str">
        <f>정규화데이터!C641</f>
        <v>2026-02-12</v>
      </c>
      <c r="D641" t="str">
        <f>정규화데이터!D641</f>
        <v>58481090</v>
      </c>
      <c r="E641" s="16" t="str">
        <f>정규화데이터!E641</f>
        <v>미매핑</v>
      </c>
      <c r="F641" s="3">
        <f>정규화데이터!F641</f>
        <v>1</v>
      </c>
      <c r="G641" s="3">
        <f>정규화데이터!G641</f>
        <v>1</v>
      </c>
      <c r="H641" s="3">
        <f>정규화데이터!H641</f>
        <v>119000</v>
      </c>
      <c r="I641" s="3">
        <f>정규화데이터!I641</f>
        <v>119000</v>
      </c>
      <c r="J641" s="3">
        <f>정규화데이터!J641</f>
        <v>80920</v>
      </c>
      <c r="K641" s="25">
        <f>정규화데이터!K641</f>
        <v>0</v>
      </c>
      <c r="L641" s="25">
        <f>정규화데이터!L641</f>
        <v>80920</v>
      </c>
      <c r="M641" s="21">
        <f t="shared" si="18"/>
        <v>0</v>
      </c>
      <c r="N641" s="52">
        <f t="shared" si="19"/>
        <v>0</v>
      </c>
    </row>
    <row r="642" spans="1:14" x14ac:dyDescent="0.3">
      <c r="A642" t="str">
        <f>정규화데이터!A642</f>
        <v>SK스토아</v>
      </c>
      <c r="B642" t="str">
        <f>정규화데이터!B642</f>
        <v>20260210361261</v>
      </c>
      <c r="C642" t="str">
        <f>정규화데이터!C642</f>
        <v>2026-02-12</v>
      </c>
      <c r="D642" t="str">
        <f>정규화데이터!D642</f>
        <v>58481090</v>
      </c>
      <c r="E642" s="16" t="str">
        <f>정규화데이터!E642</f>
        <v>미매핑</v>
      </c>
      <c r="F642" s="3">
        <f>정규화데이터!F642</f>
        <v>1</v>
      </c>
      <c r="G642" s="3">
        <f>정규화데이터!G642</f>
        <v>1</v>
      </c>
      <c r="H642" s="3">
        <f>정규화데이터!H642</f>
        <v>119000</v>
      </c>
      <c r="I642" s="3">
        <f>정규화데이터!I642</f>
        <v>119000</v>
      </c>
      <c r="J642" s="3">
        <f>정규화데이터!J642</f>
        <v>80920</v>
      </c>
      <c r="K642" s="25">
        <f>정규화데이터!K642</f>
        <v>0</v>
      </c>
      <c r="L642" s="25">
        <f>정규화데이터!L642</f>
        <v>80920</v>
      </c>
      <c r="M642" s="21">
        <f t="shared" ref="M642:M705" si="20">J642-L642</f>
        <v>0</v>
      </c>
      <c r="N642" s="52">
        <f t="shared" ref="N642:N705" si="21">IF(J642=0,0,M642/J642)</f>
        <v>0</v>
      </c>
    </row>
    <row r="643" spans="1:14" x14ac:dyDescent="0.3">
      <c r="A643" t="str">
        <f>정규화데이터!A643</f>
        <v>SK스토아</v>
      </c>
      <c r="B643" t="str">
        <f>정규화데이터!B643</f>
        <v>20260210361855</v>
      </c>
      <c r="C643" t="str">
        <f>정규화데이터!C643</f>
        <v>2026-02-12</v>
      </c>
      <c r="D643" t="str">
        <f>정규화데이터!D643</f>
        <v>58481090</v>
      </c>
      <c r="E643" s="16" t="str">
        <f>정규화데이터!E643</f>
        <v>미매핑</v>
      </c>
      <c r="F643" s="3">
        <f>정규화데이터!F643</f>
        <v>1</v>
      </c>
      <c r="G643" s="3">
        <f>정규화데이터!G643</f>
        <v>1</v>
      </c>
      <c r="H643" s="3">
        <f>정규화데이터!H643</f>
        <v>119000</v>
      </c>
      <c r="I643" s="3">
        <f>정규화데이터!I643</f>
        <v>119000</v>
      </c>
      <c r="J643" s="3">
        <f>정규화데이터!J643</f>
        <v>80920</v>
      </c>
      <c r="K643" s="25">
        <f>정규화데이터!K643</f>
        <v>0</v>
      </c>
      <c r="L643" s="25">
        <f>정규화데이터!L643</f>
        <v>80920</v>
      </c>
      <c r="M643" s="21">
        <f t="shared" si="20"/>
        <v>0</v>
      </c>
      <c r="N643" s="52">
        <f t="shared" si="21"/>
        <v>0</v>
      </c>
    </row>
    <row r="644" spans="1:14" x14ac:dyDescent="0.3">
      <c r="A644" t="str">
        <f>정규화데이터!A644</f>
        <v>SK스토아</v>
      </c>
      <c r="B644" t="str">
        <f>정규화데이터!B644</f>
        <v>20260210360736</v>
      </c>
      <c r="C644" t="str">
        <f>정규화데이터!C644</f>
        <v>2026-02-12</v>
      </c>
      <c r="D644" t="str">
        <f>정규화데이터!D644</f>
        <v>58481090</v>
      </c>
      <c r="E644" s="16" t="str">
        <f>정규화데이터!E644</f>
        <v>미매핑</v>
      </c>
      <c r="F644" s="3">
        <f>정규화데이터!F644</f>
        <v>1</v>
      </c>
      <c r="G644" s="3">
        <f>정규화데이터!G644</f>
        <v>1</v>
      </c>
      <c r="H644" s="3">
        <f>정규화데이터!H644</f>
        <v>119000</v>
      </c>
      <c r="I644" s="3">
        <f>정규화데이터!I644</f>
        <v>113050</v>
      </c>
      <c r="J644" s="3">
        <f>정규화데이터!J644</f>
        <v>80920</v>
      </c>
      <c r="K644" s="25">
        <f>정규화데이터!K644</f>
        <v>0</v>
      </c>
      <c r="L644" s="25">
        <f>정규화데이터!L644</f>
        <v>80920</v>
      </c>
      <c r="M644" s="21">
        <f t="shared" si="20"/>
        <v>0</v>
      </c>
      <c r="N644" s="52">
        <f t="shared" si="21"/>
        <v>0</v>
      </c>
    </row>
    <row r="645" spans="1:14" x14ac:dyDescent="0.3">
      <c r="A645" t="str">
        <f>정규화데이터!A645</f>
        <v>SK스토아</v>
      </c>
      <c r="B645" t="str">
        <f>정규화데이터!B645</f>
        <v>20260205994812</v>
      </c>
      <c r="C645" t="str">
        <f>정규화데이터!C645</f>
        <v>2026-02-12</v>
      </c>
      <c r="D645" t="str">
        <f>정규화데이터!D645</f>
        <v>58481090</v>
      </c>
      <c r="E645" s="16" t="str">
        <f>정규화데이터!E645</f>
        <v>미매핑</v>
      </c>
      <c r="F645" s="3">
        <f>정규화데이터!F645</f>
        <v>1</v>
      </c>
      <c r="G645" s="3">
        <f>정규화데이터!G645</f>
        <v>1</v>
      </c>
      <c r="H645" s="3">
        <f>정규화데이터!H645</f>
        <v>119000</v>
      </c>
      <c r="I645" s="3">
        <f>정규화데이터!I645</f>
        <v>119000</v>
      </c>
      <c r="J645" s="3">
        <f>정규화데이터!J645</f>
        <v>82110</v>
      </c>
      <c r="K645" s="25">
        <f>정규화데이터!K645</f>
        <v>0</v>
      </c>
      <c r="L645" s="25">
        <f>정규화데이터!L645</f>
        <v>82110</v>
      </c>
      <c r="M645" s="21">
        <f t="shared" si="20"/>
        <v>0</v>
      </c>
      <c r="N645" s="52">
        <f t="shared" si="21"/>
        <v>0</v>
      </c>
    </row>
    <row r="646" spans="1:14" x14ac:dyDescent="0.3">
      <c r="A646" t="str">
        <f>정규화데이터!A646</f>
        <v>SK스토아</v>
      </c>
      <c r="B646" t="str">
        <f>정규화데이터!B646</f>
        <v>20260210360424</v>
      </c>
      <c r="C646" t="str">
        <f>정규화데이터!C646</f>
        <v>2026-02-12</v>
      </c>
      <c r="D646" t="str">
        <f>정규화데이터!D646</f>
        <v>58481090</v>
      </c>
      <c r="E646" s="16" t="str">
        <f>정규화데이터!E646</f>
        <v>미매핑</v>
      </c>
      <c r="F646" s="3">
        <f>정규화데이터!F646</f>
        <v>1</v>
      </c>
      <c r="G646" s="3">
        <f>정규화데이터!G646</f>
        <v>2</v>
      </c>
      <c r="H646" s="3">
        <f>정규화데이터!H646</f>
        <v>119000</v>
      </c>
      <c r="I646" s="3">
        <f>정규화데이터!I646</f>
        <v>238000</v>
      </c>
      <c r="J646" s="3">
        <f>정규화데이터!J646</f>
        <v>161840</v>
      </c>
      <c r="K646" s="25">
        <f>정규화데이터!K646</f>
        <v>0</v>
      </c>
      <c r="L646" s="25">
        <f>정규화데이터!L646</f>
        <v>161840</v>
      </c>
      <c r="M646" s="21">
        <f t="shared" si="20"/>
        <v>0</v>
      </c>
      <c r="N646" s="52">
        <f t="shared" si="21"/>
        <v>0</v>
      </c>
    </row>
    <row r="647" spans="1:14" x14ac:dyDescent="0.3">
      <c r="A647" t="str">
        <f>정규화데이터!A647</f>
        <v>SK스토아</v>
      </c>
      <c r="B647" t="str">
        <f>정규화데이터!B647</f>
        <v>20260210361466</v>
      </c>
      <c r="C647" t="str">
        <f>정규화데이터!C647</f>
        <v>2026-02-12</v>
      </c>
      <c r="D647" t="str">
        <f>정규화데이터!D647</f>
        <v>58481090</v>
      </c>
      <c r="E647" s="16" t="str">
        <f>정규화데이터!E647</f>
        <v>미매핑</v>
      </c>
      <c r="F647" s="3">
        <f>정규화데이터!F647</f>
        <v>1</v>
      </c>
      <c r="G647" s="3">
        <f>정규화데이터!G647</f>
        <v>1</v>
      </c>
      <c r="H647" s="3">
        <f>정규화데이터!H647</f>
        <v>119000</v>
      </c>
      <c r="I647" s="3">
        <f>정규화데이터!I647</f>
        <v>113050</v>
      </c>
      <c r="J647" s="3">
        <f>정규화데이터!J647</f>
        <v>80920</v>
      </c>
      <c r="K647" s="25">
        <f>정규화데이터!K647</f>
        <v>0</v>
      </c>
      <c r="L647" s="25">
        <f>정규화데이터!L647</f>
        <v>80920</v>
      </c>
      <c r="M647" s="21">
        <f t="shared" si="20"/>
        <v>0</v>
      </c>
      <c r="N647" s="52">
        <f t="shared" si="21"/>
        <v>0</v>
      </c>
    </row>
    <row r="648" spans="1:14" x14ac:dyDescent="0.3">
      <c r="A648" t="str">
        <f>정규화데이터!A648</f>
        <v>SK스토아</v>
      </c>
      <c r="B648" t="str">
        <f>정규화데이터!B648</f>
        <v>20260210360877</v>
      </c>
      <c r="C648" t="str">
        <f>정규화데이터!C648</f>
        <v>2026-02-12</v>
      </c>
      <c r="D648" t="str">
        <f>정규화데이터!D648</f>
        <v>58481090</v>
      </c>
      <c r="E648" s="16" t="str">
        <f>정규화데이터!E648</f>
        <v>미매핑</v>
      </c>
      <c r="F648" s="3">
        <f>정규화데이터!F648</f>
        <v>1</v>
      </c>
      <c r="G648" s="3">
        <f>정규화데이터!G648</f>
        <v>1</v>
      </c>
      <c r="H648" s="3">
        <f>정규화데이터!H648</f>
        <v>119000</v>
      </c>
      <c r="I648" s="3">
        <f>정규화데이터!I648</f>
        <v>119000</v>
      </c>
      <c r="J648" s="3">
        <f>정규화데이터!J648</f>
        <v>80920</v>
      </c>
      <c r="K648" s="25">
        <f>정규화데이터!K648</f>
        <v>0</v>
      </c>
      <c r="L648" s="25">
        <f>정규화데이터!L648</f>
        <v>80920</v>
      </c>
      <c r="M648" s="21">
        <f t="shared" si="20"/>
        <v>0</v>
      </c>
      <c r="N648" s="52">
        <f t="shared" si="21"/>
        <v>0</v>
      </c>
    </row>
    <row r="649" spans="1:14" x14ac:dyDescent="0.3">
      <c r="A649" t="str">
        <f>정규화데이터!A649</f>
        <v>SK스토아</v>
      </c>
      <c r="B649" t="str">
        <f>정규화데이터!B649</f>
        <v>20260210361967</v>
      </c>
      <c r="C649" t="str">
        <f>정규화데이터!C649</f>
        <v>2026-02-12</v>
      </c>
      <c r="D649" t="str">
        <f>정규화데이터!D649</f>
        <v>58481090</v>
      </c>
      <c r="E649" s="16" t="str">
        <f>정규화데이터!E649</f>
        <v>미매핑</v>
      </c>
      <c r="F649" s="3">
        <f>정규화데이터!F649</f>
        <v>1</v>
      </c>
      <c r="G649" s="3">
        <f>정규화데이터!G649</f>
        <v>1</v>
      </c>
      <c r="H649" s="3">
        <f>정규화데이터!H649</f>
        <v>119000</v>
      </c>
      <c r="I649" s="3">
        <f>정규화데이터!I649</f>
        <v>119000</v>
      </c>
      <c r="J649" s="3">
        <f>정규화데이터!J649</f>
        <v>80920</v>
      </c>
      <c r="K649" s="25">
        <f>정규화데이터!K649</f>
        <v>0</v>
      </c>
      <c r="L649" s="25">
        <f>정규화데이터!L649</f>
        <v>80920</v>
      </c>
      <c r="M649" s="21">
        <f t="shared" si="20"/>
        <v>0</v>
      </c>
      <c r="N649" s="52">
        <f t="shared" si="21"/>
        <v>0</v>
      </c>
    </row>
    <row r="650" spans="1:14" x14ac:dyDescent="0.3">
      <c r="A650" t="str">
        <f>정규화데이터!A650</f>
        <v>SK스토아</v>
      </c>
      <c r="B650" t="str">
        <f>정규화데이터!B650</f>
        <v>20260210361778</v>
      </c>
      <c r="C650" t="str">
        <f>정규화데이터!C650</f>
        <v>2026-02-12</v>
      </c>
      <c r="D650" t="str">
        <f>정규화데이터!D650</f>
        <v>58481090</v>
      </c>
      <c r="E650" s="16" t="str">
        <f>정규화데이터!E650</f>
        <v>미매핑</v>
      </c>
      <c r="F650" s="3">
        <f>정규화데이터!F650</f>
        <v>1</v>
      </c>
      <c r="G650" s="3">
        <f>정규화데이터!G650</f>
        <v>1</v>
      </c>
      <c r="H650" s="3">
        <f>정규화데이터!H650</f>
        <v>119000</v>
      </c>
      <c r="I650" s="3">
        <f>정규화데이터!I650</f>
        <v>119000</v>
      </c>
      <c r="J650" s="3">
        <f>정규화데이터!J650</f>
        <v>80920</v>
      </c>
      <c r="K650" s="25">
        <f>정규화데이터!K650</f>
        <v>0</v>
      </c>
      <c r="L650" s="25">
        <f>정규화데이터!L650</f>
        <v>80920</v>
      </c>
      <c r="M650" s="21">
        <f t="shared" si="20"/>
        <v>0</v>
      </c>
      <c r="N650" s="52">
        <f t="shared" si="21"/>
        <v>0</v>
      </c>
    </row>
    <row r="651" spans="1:14" x14ac:dyDescent="0.3">
      <c r="A651" t="str">
        <f>정규화데이터!A651</f>
        <v>SK스토아</v>
      </c>
      <c r="B651" t="str">
        <f>정규화데이터!B651</f>
        <v>20260210360506</v>
      </c>
      <c r="C651" t="str">
        <f>정규화데이터!C651</f>
        <v>2026-02-12</v>
      </c>
      <c r="D651" t="str">
        <f>정규화데이터!D651</f>
        <v>58481090</v>
      </c>
      <c r="E651" s="16" t="str">
        <f>정규화데이터!E651</f>
        <v>미매핑</v>
      </c>
      <c r="F651" s="3">
        <f>정규화데이터!F651</f>
        <v>1</v>
      </c>
      <c r="G651" s="3">
        <f>정규화데이터!G651</f>
        <v>1</v>
      </c>
      <c r="H651" s="3">
        <f>정규화데이터!H651</f>
        <v>119000</v>
      </c>
      <c r="I651" s="3">
        <f>정규화데이터!I651</f>
        <v>113050</v>
      </c>
      <c r="J651" s="3">
        <f>정규화데이터!J651</f>
        <v>80920</v>
      </c>
      <c r="K651" s="25">
        <f>정규화데이터!K651</f>
        <v>0</v>
      </c>
      <c r="L651" s="25">
        <f>정규화데이터!L651</f>
        <v>80920</v>
      </c>
      <c r="M651" s="21">
        <f t="shared" si="20"/>
        <v>0</v>
      </c>
      <c r="N651" s="52">
        <f t="shared" si="21"/>
        <v>0</v>
      </c>
    </row>
    <row r="652" spans="1:14" x14ac:dyDescent="0.3">
      <c r="A652" t="str">
        <f>정규화데이터!A652</f>
        <v>SK스토아</v>
      </c>
      <c r="B652" t="str">
        <f>정규화데이터!B652</f>
        <v>20260210361822</v>
      </c>
      <c r="C652" t="str">
        <f>정규화데이터!C652</f>
        <v>2026-02-12</v>
      </c>
      <c r="D652" t="str">
        <f>정규화데이터!D652</f>
        <v>58481090</v>
      </c>
      <c r="E652" s="16" t="str">
        <f>정규화데이터!E652</f>
        <v>미매핑</v>
      </c>
      <c r="F652" s="3">
        <f>정규화데이터!F652</f>
        <v>1</v>
      </c>
      <c r="G652" s="3">
        <f>정규화데이터!G652</f>
        <v>1</v>
      </c>
      <c r="H652" s="3">
        <f>정규화데이터!H652</f>
        <v>119000</v>
      </c>
      <c r="I652" s="3">
        <f>정규화데이터!I652</f>
        <v>119000</v>
      </c>
      <c r="J652" s="3">
        <f>정규화데이터!J652</f>
        <v>80920</v>
      </c>
      <c r="K652" s="25">
        <f>정규화데이터!K652</f>
        <v>0</v>
      </c>
      <c r="L652" s="25">
        <f>정규화데이터!L652</f>
        <v>80920</v>
      </c>
      <c r="M652" s="21">
        <f t="shared" si="20"/>
        <v>0</v>
      </c>
      <c r="N652" s="52">
        <f t="shared" si="21"/>
        <v>0</v>
      </c>
    </row>
    <row r="653" spans="1:14" x14ac:dyDescent="0.3">
      <c r="A653" t="str">
        <f>정규화데이터!A653</f>
        <v>SK스토아</v>
      </c>
      <c r="B653" t="str">
        <f>정규화데이터!B653</f>
        <v>20260211862060</v>
      </c>
      <c r="C653" t="str">
        <f>정규화데이터!C653</f>
        <v>2026-02-12</v>
      </c>
      <c r="D653" t="str">
        <f>정규화데이터!D653</f>
        <v>58481090</v>
      </c>
      <c r="E653" s="16" t="str">
        <f>정규화데이터!E653</f>
        <v>미매핑</v>
      </c>
      <c r="F653" s="3">
        <f>정규화데이터!F653</f>
        <v>1</v>
      </c>
      <c r="G653" s="3">
        <f>정규화데이터!G653</f>
        <v>1</v>
      </c>
      <c r="H653" s="3">
        <f>정규화데이터!H653</f>
        <v>119000</v>
      </c>
      <c r="I653" s="3">
        <f>정규화데이터!I653</f>
        <v>113050</v>
      </c>
      <c r="J653" s="3">
        <f>정규화데이터!J653</f>
        <v>80920</v>
      </c>
      <c r="K653" s="25">
        <f>정규화데이터!K653</f>
        <v>0</v>
      </c>
      <c r="L653" s="25">
        <f>정규화데이터!L653</f>
        <v>80920</v>
      </c>
      <c r="M653" s="21">
        <f t="shared" si="20"/>
        <v>0</v>
      </c>
      <c r="N653" s="52">
        <f t="shared" si="21"/>
        <v>0</v>
      </c>
    </row>
    <row r="654" spans="1:14" x14ac:dyDescent="0.3">
      <c r="A654" t="str">
        <f>정규화데이터!A654</f>
        <v>SK스토아</v>
      </c>
      <c r="B654" t="str">
        <f>정규화데이터!B654</f>
        <v>20260210361524</v>
      </c>
      <c r="C654" t="str">
        <f>정규화데이터!C654</f>
        <v>2026-02-12</v>
      </c>
      <c r="D654" t="str">
        <f>정규화데이터!D654</f>
        <v>58481090</v>
      </c>
      <c r="E654" s="16" t="str">
        <f>정규화데이터!E654</f>
        <v>미매핑</v>
      </c>
      <c r="F654" s="3">
        <f>정규화데이터!F654</f>
        <v>1</v>
      </c>
      <c r="G654" s="3">
        <f>정규화데이터!G654</f>
        <v>1</v>
      </c>
      <c r="H654" s="3">
        <f>정규화데이터!H654</f>
        <v>119000</v>
      </c>
      <c r="I654" s="3">
        <f>정규화데이터!I654</f>
        <v>119000</v>
      </c>
      <c r="J654" s="3">
        <f>정규화데이터!J654</f>
        <v>80920</v>
      </c>
      <c r="K654" s="25">
        <f>정규화데이터!K654</f>
        <v>0</v>
      </c>
      <c r="L654" s="25">
        <f>정규화데이터!L654</f>
        <v>80920</v>
      </c>
      <c r="M654" s="21">
        <f t="shared" si="20"/>
        <v>0</v>
      </c>
      <c r="N654" s="52">
        <f t="shared" si="21"/>
        <v>0</v>
      </c>
    </row>
    <row r="655" spans="1:14" x14ac:dyDescent="0.3">
      <c r="A655" t="str">
        <f>정규화데이터!A655</f>
        <v>SK스토아</v>
      </c>
      <c r="B655" t="str">
        <f>정규화데이터!B655</f>
        <v>20260210361369</v>
      </c>
      <c r="C655" t="str">
        <f>정규화데이터!C655</f>
        <v>2026-02-12</v>
      </c>
      <c r="D655" t="str">
        <f>정규화데이터!D655</f>
        <v>58481090</v>
      </c>
      <c r="E655" s="16" t="str">
        <f>정규화데이터!E655</f>
        <v>미매핑</v>
      </c>
      <c r="F655" s="3">
        <f>정규화데이터!F655</f>
        <v>1</v>
      </c>
      <c r="G655" s="3">
        <f>정규화데이터!G655</f>
        <v>1</v>
      </c>
      <c r="H655" s="3">
        <f>정규화데이터!H655</f>
        <v>119000</v>
      </c>
      <c r="I655" s="3">
        <f>정규화데이터!I655</f>
        <v>119000</v>
      </c>
      <c r="J655" s="3">
        <f>정규화데이터!J655</f>
        <v>80920</v>
      </c>
      <c r="K655" s="25">
        <f>정규화데이터!K655</f>
        <v>0</v>
      </c>
      <c r="L655" s="25">
        <f>정규화데이터!L655</f>
        <v>80920</v>
      </c>
      <c r="M655" s="21">
        <f t="shared" si="20"/>
        <v>0</v>
      </c>
      <c r="N655" s="52">
        <f t="shared" si="21"/>
        <v>0</v>
      </c>
    </row>
    <row r="656" spans="1:14" x14ac:dyDescent="0.3">
      <c r="A656" t="str">
        <f>정규화데이터!A656</f>
        <v>SK스토아</v>
      </c>
      <c r="B656" t="str">
        <f>정규화데이터!B656</f>
        <v>20260210361570</v>
      </c>
      <c r="C656" t="str">
        <f>정규화데이터!C656</f>
        <v>2026-02-12</v>
      </c>
      <c r="D656" t="str">
        <f>정규화데이터!D656</f>
        <v>58481090</v>
      </c>
      <c r="E656" s="16" t="str">
        <f>정규화데이터!E656</f>
        <v>미매핑</v>
      </c>
      <c r="F656" s="3">
        <f>정규화데이터!F656</f>
        <v>1</v>
      </c>
      <c r="G656" s="3">
        <f>정규화데이터!G656</f>
        <v>1</v>
      </c>
      <c r="H656" s="3">
        <f>정규화데이터!H656</f>
        <v>119000</v>
      </c>
      <c r="I656" s="3">
        <f>정규화데이터!I656</f>
        <v>119000</v>
      </c>
      <c r="J656" s="3">
        <f>정규화데이터!J656</f>
        <v>80920</v>
      </c>
      <c r="K656" s="25">
        <f>정규화데이터!K656</f>
        <v>0</v>
      </c>
      <c r="L656" s="25">
        <f>정규화데이터!L656</f>
        <v>80920</v>
      </c>
      <c r="M656" s="21">
        <f t="shared" si="20"/>
        <v>0</v>
      </c>
      <c r="N656" s="52">
        <f t="shared" si="21"/>
        <v>0</v>
      </c>
    </row>
    <row r="657" spans="1:14" x14ac:dyDescent="0.3">
      <c r="A657" t="str">
        <f>정규화데이터!A657</f>
        <v>SK스토아</v>
      </c>
      <c r="B657" t="str">
        <f>정규화데이터!B657</f>
        <v>20260210361915</v>
      </c>
      <c r="C657" t="str">
        <f>정규화데이터!C657</f>
        <v>2026-02-12</v>
      </c>
      <c r="D657" t="str">
        <f>정규화데이터!D657</f>
        <v>58481090</v>
      </c>
      <c r="E657" s="16" t="str">
        <f>정규화데이터!E657</f>
        <v>미매핑</v>
      </c>
      <c r="F657" s="3">
        <f>정규화데이터!F657</f>
        <v>1</v>
      </c>
      <c r="G657" s="3">
        <f>정규화데이터!G657</f>
        <v>1</v>
      </c>
      <c r="H657" s="3">
        <f>정규화데이터!H657</f>
        <v>119000</v>
      </c>
      <c r="I657" s="3">
        <f>정규화데이터!I657</f>
        <v>119000</v>
      </c>
      <c r="J657" s="3">
        <f>정규화데이터!J657</f>
        <v>80920</v>
      </c>
      <c r="K657" s="25">
        <f>정규화데이터!K657</f>
        <v>0</v>
      </c>
      <c r="L657" s="25">
        <f>정규화데이터!L657</f>
        <v>80920</v>
      </c>
      <c r="M657" s="21">
        <f t="shared" si="20"/>
        <v>0</v>
      </c>
      <c r="N657" s="52">
        <f t="shared" si="21"/>
        <v>0</v>
      </c>
    </row>
    <row r="658" spans="1:14" x14ac:dyDescent="0.3">
      <c r="A658" t="str">
        <f>정규화데이터!A658</f>
        <v>SK스토아</v>
      </c>
      <c r="B658" t="str">
        <f>정규화데이터!B658</f>
        <v>20260210362058</v>
      </c>
      <c r="C658" t="str">
        <f>정규화데이터!C658</f>
        <v>2026-02-12</v>
      </c>
      <c r="D658" t="str">
        <f>정규화데이터!D658</f>
        <v>58481090</v>
      </c>
      <c r="E658" s="16" t="str">
        <f>정규화데이터!E658</f>
        <v>미매핑</v>
      </c>
      <c r="F658" s="3">
        <f>정규화데이터!F658</f>
        <v>1</v>
      </c>
      <c r="G658" s="3">
        <f>정규화데이터!G658</f>
        <v>1</v>
      </c>
      <c r="H658" s="3">
        <f>정규화데이터!H658</f>
        <v>119000</v>
      </c>
      <c r="I658" s="3">
        <f>정규화데이터!I658</f>
        <v>109000</v>
      </c>
      <c r="J658" s="3">
        <f>정규화데이터!J658</f>
        <v>80920</v>
      </c>
      <c r="K658" s="25">
        <f>정규화데이터!K658</f>
        <v>0</v>
      </c>
      <c r="L658" s="25">
        <f>정규화데이터!L658</f>
        <v>80920</v>
      </c>
      <c r="M658" s="21">
        <f t="shared" si="20"/>
        <v>0</v>
      </c>
      <c r="N658" s="52">
        <f t="shared" si="21"/>
        <v>0</v>
      </c>
    </row>
    <row r="659" spans="1:14" x14ac:dyDescent="0.3">
      <c r="A659" t="str">
        <f>정규화데이터!A659</f>
        <v>SK스토아</v>
      </c>
      <c r="B659" t="str">
        <f>정규화데이터!B659</f>
        <v>20260210364113</v>
      </c>
      <c r="C659" t="str">
        <f>정규화데이터!C659</f>
        <v>2026-02-12</v>
      </c>
      <c r="D659" t="str">
        <f>정규화데이터!D659</f>
        <v>58481090</v>
      </c>
      <c r="E659" s="16" t="str">
        <f>정규화데이터!E659</f>
        <v>미매핑</v>
      </c>
      <c r="F659" s="3">
        <f>정규화데이터!F659</f>
        <v>1</v>
      </c>
      <c r="G659" s="3">
        <f>정규화데이터!G659</f>
        <v>1</v>
      </c>
      <c r="H659" s="3">
        <f>정규화데이터!H659</f>
        <v>119000</v>
      </c>
      <c r="I659" s="3">
        <f>정규화데이터!I659</f>
        <v>119000</v>
      </c>
      <c r="J659" s="3">
        <f>정규화데이터!J659</f>
        <v>80920</v>
      </c>
      <c r="K659" s="25">
        <f>정규화데이터!K659</f>
        <v>0</v>
      </c>
      <c r="L659" s="25">
        <f>정규화데이터!L659</f>
        <v>80920</v>
      </c>
      <c r="M659" s="21">
        <f t="shared" si="20"/>
        <v>0</v>
      </c>
      <c r="N659" s="52">
        <f t="shared" si="21"/>
        <v>0</v>
      </c>
    </row>
    <row r="660" spans="1:14" x14ac:dyDescent="0.3">
      <c r="A660" t="str">
        <f>정규화데이터!A660</f>
        <v>SK스토아</v>
      </c>
      <c r="B660" t="str">
        <f>정규화데이터!B660</f>
        <v>20260210366124</v>
      </c>
      <c r="C660" t="str">
        <f>정규화데이터!C660</f>
        <v>2026-02-12</v>
      </c>
      <c r="D660" t="str">
        <f>정규화데이터!D660</f>
        <v>58481090</v>
      </c>
      <c r="E660" s="16" t="str">
        <f>정규화데이터!E660</f>
        <v>미매핑</v>
      </c>
      <c r="F660" s="3">
        <f>정규화데이터!F660</f>
        <v>1</v>
      </c>
      <c r="G660" s="3">
        <f>정규화데이터!G660</f>
        <v>1</v>
      </c>
      <c r="H660" s="3">
        <f>정규화데이터!H660</f>
        <v>119000</v>
      </c>
      <c r="I660" s="3">
        <f>정규화데이터!I660</f>
        <v>119000</v>
      </c>
      <c r="J660" s="3">
        <f>정규화데이터!J660</f>
        <v>80920</v>
      </c>
      <c r="K660" s="25">
        <f>정규화데이터!K660</f>
        <v>0</v>
      </c>
      <c r="L660" s="25">
        <f>정규화데이터!L660</f>
        <v>80920</v>
      </c>
      <c r="M660" s="21">
        <f t="shared" si="20"/>
        <v>0</v>
      </c>
      <c r="N660" s="52">
        <f t="shared" si="21"/>
        <v>0</v>
      </c>
    </row>
    <row r="661" spans="1:14" x14ac:dyDescent="0.3">
      <c r="A661" t="str">
        <f>정규화데이터!A661</f>
        <v>SK스토아</v>
      </c>
      <c r="B661" t="str">
        <f>정규화데이터!B661</f>
        <v>20260210360947</v>
      </c>
      <c r="C661" t="str">
        <f>정규화데이터!C661</f>
        <v>2026-02-12</v>
      </c>
      <c r="D661" t="str">
        <f>정규화데이터!D661</f>
        <v>58481090</v>
      </c>
      <c r="E661" s="16" t="str">
        <f>정규화데이터!E661</f>
        <v>미매핑</v>
      </c>
      <c r="F661" s="3">
        <f>정규화데이터!F661</f>
        <v>1</v>
      </c>
      <c r="G661" s="3">
        <f>정규화데이터!G661</f>
        <v>1</v>
      </c>
      <c r="H661" s="3">
        <f>정규화데이터!H661</f>
        <v>119000</v>
      </c>
      <c r="I661" s="3">
        <f>정규화데이터!I661</f>
        <v>113050</v>
      </c>
      <c r="J661" s="3">
        <f>정규화데이터!J661</f>
        <v>80920</v>
      </c>
      <c r="K661" s="25">
        <f>정규화데이터!K661</f>
        <v>0</v>
      </c>
      <c r="L661" s="25">
        <f>정규화데이터!L661</f>
        <v>80920</v>
      </c>
      <c r="M661" s="21">
        <f t="shared" si="20"/>
        <v>0</v>
      </c>
      <c r="N661" s="52">
        <f t="shared" si="21"/>
        <v>0</v>
      </c>
    </row>
    <row r="662" spans="1:14" x14ac:dyDescent="0.3">
      <c r="A662" t="str">
        <f>정규화데이터!A662</f>
        <v>SK스토아</v>
      </c>
      <c r="B662" t="str">
        <f>정규화데이터!B662</f>
        <v>20260210360328</v>
      </c>
      <c r="C662" t="str">
        <f>정규화데이터!C662</f>
        <v>2026-02-12</v>
      </c>
      <c r="D662" t="str">
        <f>정규화데이터!D662</f>
        <v>58481090</v>
      </c>
      <c r="E662" s="16" t="str">
        <f>정규화데이터!E662</f>
        <v>미매핑</v>
      </c>
      <c r="F662" s="3">
        <f>정규화데이터!F662</f>
        <v>1</v>
      </c>
      <c r="G662" s="3">
        <f>정규화데이터!G662</f>
        <v>1</v>
      </c>
      <c r="H662" s="3">
        <f>정규화데이터!H662</f>
        <v>119000</v>
      </c>
      <c r="I662" s="3">
        <f>정규화데이터!I662</f>
        <v>119000</v>
      </c>
      <c r="J662" s="3">
        <f>정규화데이터!J662</f>
        <v>80920</v>
      </c>
      <c r="K662" s="25">
        <f>정규화데이터!K662</f>
        <v>0</v>
      </c>
      <c r="L662" s="25">
        <f>정규화데이터!L662</f>
        <v>80920</v>
      </c>
      <c r="M662" s="21">
        <f t="shared" si="20"/>
        <v>0</v>
      </c>
      <c r="N662" s="52">
        <f t="shared" si="21"/>
        <v>0</v>
      </c>
    </row>
    <row r="663" spans="1:14" x14ac:dyDescent="0.3">
      <c r="A663" t="str">
        <f>정규화데이터!A663</f>
        <v>SK스토아</v>
      </c>
      <c r="B663" t="str">
        <f>정규화데이터!B663</f>
        <v>20260210360456</v>
      </c>
      <c r="C663" t="str">
        <f>정규화데이터!C663</f>
        <v>2026-02-12</v>
      </c>
      <c r="D663" t="str">
        <f>정규화데이터!D663</f>
        <v>58481090</v>
      </c>
      <c r="E663" s="16" t="str">
        <f>정규화데이터!E663</f>
        <v>미매핑</v>
      </c>
      <c r="F663" s="3">
        <f>정규화데이터!F663</f>
        <v>1</v>
      </c>
      <c r="G663" s="3">
        <f>정규화데이터!G663</f>
        <v>1</v>
      </c>
      <c r="H663" s="3">
        <f>정규화데이터!H663</f>
        <v>119000</v>
      </c>
      <c r="I663" s="3">
        <f>정규화데이터!I663</f>
        <v>98800</v>
      </c>
      <c r="J663" s="3">
        <f>정규화데이터!J663</f>
        <v>80920</v>
      </c>
      <c r="K663" s="25">
        <f>정규화데이터!K663</f>
        <v>0</v>
      </c>
      <c r="L663" s="25">
        <f>정규화데이터!L663</f>
        <v>80920</v>
      </c>
      <c r="M663" s="21">
        <f t="shared" si="20"/>
        <v>0</v>
      </c>
      <c r="N663" s="52">
        <f t="shared" si="21"/>
        <v>0</v>
      </c>
    </row>
    <row r="664" spans="1:14" x14ac:dyDescent="0.3">
      <c r="A664" t="str">
        <f>정규화데이터!A664</f>
        <v>SK스토아</v>
      </c>
      <c r="B664" t="str">
        <f>정규화데이터!B664</f>
        <v>20260210362454</v>
      </c>
      <c r="C664" t="str">
        <f>정규화데이터!C664</f>
        <v>2026-02-12</v>
      </c>
      <c r="D664" t="str">
        <f>정규화데이터!D664</f>
        <v>58481090</v>
      </c>
      <c r="E664" s="16" t="str">
        <f>정규화데이터!E664</f>
        <v>미매핑</v>
      </c>
      <c r="F664" s="3">
        <f>정규화데이터!F664</f>
        <v>1</v>
      </c>
      <c r="G664" s="3">
        <f>정규화데이터!G664</f>
        <v>1</v>
      </c>
      <c r="H664" s="3">
        <f>정규화데이터!H664</f>
        <v>119000</v>
      </c>
      <c r="I664" s="3">
        <f>정규화데이터!I664</f>
        <v>113050</v>
      </c>
      <c r="J664" s="3">
        <f>정규화데이터!J664</f>
        <v>80920</v>
      </c>
      <c r="K664" s="25">
        <f>정규화데이터!K664</f>
        <v>0</v>
      </c>
      <c r="L664" s="25">
        <f>정규화데이터!L664</f>
        <v>80920</v>
      </c>
      <c r="M664" s="21">
        <f t="shared" si="20"/>
        <v>0</v>
      </c>
      <c r="N664" s="52">
        <f t="shared" si="21"/>
        <v>0</v>
      </c>
    </row>
    <row r="665" spans="1:14" x14ac:dyDescent="0.3">
      <c r="A665" t="str">
        <f>정규화데이터!A665</f>
        <v>SK스토아</v>
      </c>
      <c r="B665" t="str">
        <f>정규화데이터!B665</f>
        <v>20260210360934</v>
      </c>
      <c r="C665" t="str">
        <f>정규화데이터!C665</f>
        <v>2026-02-12</v>
      </c>
      <c r="D665" t="str">
        <f>정규화데이터!D665</f>
        <v>58481090</v>
      </c>
      <c r="E665" s="16" t="str">
        <f>정규화데이터!E665</f>
        <v>미매핑</v>
      </c>
      <c r="F665" s="3">
        <f>정규화데이터!F665</f>
        <v>1</v>
      </c>
      <c r="G665" s="3">
        <f>정규화데이터!G665</f>
        <v>1</v>
      </c>
      <c r="H665" s="3">
        <f>정규화데이터!H665</f>
        <v>119000</v>
      </c>
      <c r="I665" s="3">
        <f>정규화데이터!I665</f>
        <v>119000</v>
      </c>
      <c r="J665" s="3">
        <f>정규화데이터!J665</f>
        <v>80920</v>
      </c>
      <c r="K665" s="25">
        <f>정규화데이터!K665</f>
        <v>0</v>
      </c>
      <c r="L665" s="25">
        <f>정규화데이터!L665</f>
        <v>80920</v>
      </c>
      <c r="M665" s="21">
        <f t="shared" si="20"/>
        <v>0</v>
      </c>
      <c r="N665" s="52">
        <f t="shared" si="21"/>
        <v>0</v>
      </c>
    </row>
    <row r="666" spans="1:14" x14ac:dyDescent="0.3">
      <c r="A666" t="str">
        <f>정규화데이터!A666</f>
        <v>SK스토아</v>
      </c>
      <c r="B666" t="str">
        <f>정규화데이터!B666</f>
        <v>20260210360296</v>
      </c>
      <c r="C666" t="str">
        <f>정규화데이터!C666</f>
        <v>2026-02-12</v>
      </c>
      <c r="D666" t="str">
        <f>정규화데이터!D666</f>
        <v>58481090</v>
      </c>
      <c r="E666" s="16" t="str">
        <f>정규화데이터!E666</f>
        <v>미매핑</v>
      </c>
      <c r="F666" s="3">
        <f>정규화데이터!F666</f>
        <v>1</v>
      </c>
      <c r="G666" s="3">
        <f>정규화데이터!G666</f>
        <v>1</v>
      </c>
      <c r="H666" s="3">
        <f>정규화데이터!H666</f>
        <v>119000</v>
      </c>
      <c r="I666" s="3">
        <f>정규화데이터!I666</f>
        <v>119000</v>
      </c>
      <c r="J666" s="3">
        <f>정규화데이터!J666</f>
        <v>80920</v>
      </c>
      <c r="K666" s="25">
        <f>정규화데이터!K666</f>
        <v>0</v>
      </c>
      <c r="L666" s="25">
        <f>정규화데이터!L666</f>
        <v>80920</v>
      </c>
      <c r="M666" s="21">
        <f t="shared" si="20"/>
        <v>0</v>
      </c>
      <c r="N666" s="52">
        <f t="shared" si="21"/>
        <v>0</v>
      </c>
    </row>
    <row r="667" spans="1:14" x14ac:dyDescent="0.3">
      <c r="A667" t="str">
        <f>정규화데이터!A667</f>
        <v>SK스토아</v>
      </c>
      <c r="B667" t="str">
        <f>정규화데이터!B667</f>
        <v>20260210362146</v>
      </c>
      <c r="C667" t="str">
        <f>정규화데이터!C667</f>
        <v>2026-02-12</v>
      </c>
      <c r="D667" t="str">
        <f>정규화데이터!D667</f>
        <v>58481090</v>
      </c>
      <c r="E667" s="16" t="str">
        <f>정규화데이터!E667</f>
        <v>미매핑</v>
      </c>
      <c r="F667" s="3">
        <f>정규화데이터!F667</f>
        <v>1</v>
      </c>
      <c r="G667" s="3">
        <f>정규화데이터!G667</f>
        <v>1</v>
      </c>
      <c r="H667" s="3">
        <f>정규화데이터!H667</f>
        <v>119000</v>
      </c>
      <c r="I667" s="3">
        <f>정규화데이터!I667</f>
        <v>119000</v>
      </c>
      <c r="J667" s="3">
        <f>정규화데이터!J667</f>
        <v>80920</v>
      </c>
      <c r="K667" s="25">
        <f>정규화데이터!K667</f>
        <v>0</v>
      </c>
      <c r="L667" s="25">
        <f>정규화데이터!L667</f>
        <v>80920</v>
      </c>
      <c r="M667" s="21">
        <f t="shared" si="20"/>
        <v>0</v>
      </c>
      <c r="N667" s="52">
        <f t="shared" si="21"/>
        <v>0</v>
      </c>
    </row>
    <row r="668" spans="1:14" x14ac:dyDescent="0.3">
      <c r="A668" t="str">
        <f>정규화데이터!A668</f>
        <v>SK스토아</v>
      </c>
      <c r="B668" t="str">
        <f>정규화데이터!B668</f>
        <v>20260210360233</v>
      </c>
      <c r="C668" t="str">
        <f>정규화데이터!C668</f>
        <v>2026-02-12</v>
      </c>
      <c r="D668" t="str">
        <f>정규화데이터!D668</f>
        <v>58481090</v>
      </c>
      <c r="E668" s="16" t="str">
        <f>정규화데이터!E668</f>
        <v>미매핑</v>
      </c>
      <c r="F668" s="3">
        <f>정규화데이터!F668</f>
        <v>1</v>
      </c>
      <c r="G668" s="3">
        <f>정규화데이터!G668</f>
        <v>1</v>
      </c>
      <c r="H668" s="3">
        <f>정규화데이터!H668</f>
        <v>119000</v>
      </c>
      <c r="I668" s="3">
        <f>정규화데이터!I668</f>
        <v>95200</v>
      </c>
      <c r="J668" s="3">
        <f>정규화데이터!J668</f>
        <v>80920</v>
      </c>
      <c r="K668" s="25">
        <f>정규화데이터!K668</f>
        <v>0</v>
      </c>
      <c r="L668" s="25">
        <f>정규화데이터!L668</f>
        <v>80920</v>
      </c>
      <c r="M668" s="21">
        <f t="shared" si="20"/>
        <v>0</v>
      </c>
      <c r="N668" s="52">
        <f t="shared" si="21"/>
        <v>0</v>
      </c>
    </row>
    <row r="669" spans="1:14" x14ac:dyDescent="0.3">
      <c r="A669" t="str">
        <f>정규화데이터!A669</f>
        <v>SK스토아</v>
      </c>
      <c r="B669" t="str">
        <f>정규화데이터!B669</f>
        <v>20260210361754</v>
      </c>
      <c r="C669" t="str">
        <f>정규화데이터!C669</f>
        <v>2026-02-12</v>
      </c>
      <c r="D669" t="str">
        <f>정규화데이터!D669</f>
        <v>58481090</v>
      </c>
      <c r="E669" s="16" t="str">
        <f>정규화데이터!E669</f>
        <v>미매핑</v>
      </c>
      <c r="F669" s="3">
        <f>정규화데이터!F669</f>
        <v>1</v>
      </c>
      <c r="G669" s="3">
        <f>정규화데이터!G669</f>
        <v>1</v>
      </c>
      <c r="H669" s="3">
        <f>정규화데이터!H669</f>
        <v>119000</v>
      </c>
      <c r="I669" s="3">
        <f>정규화데이터!I669</f>
        <v>119000</v>
      </c>
      <c r="J669" s="3">
        <f>정규화데이터!J669</f>
        <v>80920</v>
      </c>
      <c r="K669" s="25">
        <f>정규화데이터!K669</f>
        <v>0</v>
      </c>
      <c r="L669" s="25">
        <f>정규화데이터!L669</f>
        <v>80920</v>
      </c>
      <c r="M669" s="21">
        <f t="shared" si="20"/>
        <v>0</v>
      </c>
      <c r="N669" s="52">
        <f t="shared" si="21"/>
        <v>0</v>
      </c>
    </row>
    <row r="670" spans="1:14" x14ac:dyDescent="0.3">
      <c r="A670" t="str">
        <f>정규화데이터!A670</f>
        <v>SK스토아</v>
      </c>
      <c r="B670" t="str">
        <f>정규화데이터!B670</f>
        <v>20260210361587</v>
      </c>
      <c r="C670" t="str">
        <f>정규화데이터!C670</f>
        <v>2026-02-12</v>
      </c>
      <c r="D670" t="str">
        <f>정규화데이터!D670</f>
        <v>58481090</v>
      </c>
      <c r="E670" s="16" t="str">
        <f>정규화데이터!E670</f>
        <v>미매핑</v>
      </c>
      <c r="F670" s="3">
        <f>정규화데이터!F670</f>
        <v>1</v>
      </c>
      <c r="G670" s="3">
        <f>정규화데이터!G670</f>
        <v>1</v>
      </c>
      <c r="H670" s="3">
        <f>정규화데이터!H670</f>
        <v>119000</v>
      </c>
      <c r="I670" s="3">
        <f>정규화데이터!I670</f>
        <v>119000</v>
      </c>
      <c r="J670" s="3">
        <f>정규화데이터!J670</f>
        <v>80920</v>
      </c>
      <c r="K670" s="25">
        <f>정규화데이터!K670</f>
        <v>0</v>
      </c>
      <c r="L670" s="25">
        <f>정규화데이터!L670</f>
        <v>80920</v>
      </c>
      <c r="M670" s="21">
        <f t="shared" si="20"/>
        <v>0</v>
      </c>
      <c r="N670" s="52">
        <f t="shared" si="21"/>
        <v>0</v>
      </c>
    </row>
    <row r="671" spans="1:14" x14ac:dyDescent="0.3">
      <c r="A671" t="str">
        <f>정규화데이터!A671</f>
        <v>SK스토아</v>
      </c>
      <c r="B671" t="str">
        <f>정규화데이터!B671</f>
        <v>20260210361077</v>
      </c>
      <c r="C671" t="str">
        <f>정규화데이터!C671</f>
        <v>2026-02-12</v>
      </c>
      <c r="D671" t="str">
        <f>정규화데이터!D671</f>
        <v>58481090</v>
      </c>
      <c r="E671" s="16" t="str">
        <f>정규화데이터!E671</f>
        <v>미매핑</v>
      </c>
      <c r="F671" s="3">
        <f>정규화데이터!F671</f>
        <v>1</v>
      </c>
      <c r="G671" s="3">
        <f>정규화데이터!G671</f>
        <v>1</v>
      </c>
      <c r="H671" s="3">
        <f>정규화데이터!H671</f>
        <v>119000</v>
      </c>
      <c r="I671" s="3">
        <f>정규화데이터!I671</f>
        <v>119000</v>
      </c>
      <c r="J671" s="3">
        <f>정규화데이터!J671</f>
        <v>80920</v>
      </c>
      <c r="K671" s="25">
        <f>정규화데이터!K671</f>
        <v>0</v>
      </c>
      <c r="L671" s="25">
        <f>정규화데이터!L671</f>
        <v>80920</v>
      </c>
      <c r="M671" s="21">
        <f t="shared" si="20"/>
        <v>0</v>
      </c>
      <c r="N671" s="52">
        <f t="shared" si="21"/>
        <v>0</v>
      </c>
    </row>
    <row r="672" spans="1:14" x14ac:dyDescent="0.3">
      <c r="A672" t="str">
        <f>정규화데이터!A672</f>
        <v>SK스토아</v>
      </c>
      <c r="B672" t="str">
        <f>정규화데이터!B672</f>
        <v>20260210360396</v>
      </c>
      <c r="C672" t="str">
        <f>정규화데이터!C672</f>
        <v>2026-02-12</v>
      </c>
      <c r="D672" t="str">
        <f>정규화데이터!D672</f>
        <v>58481090</v>
      </c>
      <c r="E672" s="16" t="str">
        <f>정규화데이터!E672</f>
        <v>미매핑</v>
      </c>
      <c r="F672" s="3">
        <f>정규화데이터!F672</f>
        <v>1</v>
      </c>
      <c r="G672" s="3">
        <f>정규화데이터!G672</f>
        <v>1</v>
      </c>
      <c r="H672" s="3">
        <f>정규화데이터!H672</f>
        <v>119000</v>
      </c>
      <c r="I672" s="3">
        <f>정규화데이터!I672</f>
        <v>119000</v>
      </c>
      <c r="J672" s="3">
        <f>정규화데이터!J672</f>
        <v>80920</v>
      </c>
      <c r="K672" s="25">
        <f>정규화데이터!K672</f>
        <v>0</v>
      </c>
      <c r="L672" s="25">
        <f>정규화데이터!L672</f>
        <v>80920</v>
      </c>
      <c r="M672" s="21">
        <f t="shared" si="20"/>
        <v>0</v>
      </c>
      <c r="N672" s="52">
        <f t="shared" si="21"/>
        <v>0</v>
      </c>
    </row>
    <row r="673" spans="1:14" x14ac:dyDescent="0.3">
      <c r="A673" t="str">
        <f>정규화데이터!A673</f>
        <v>SK스토아</v>
      </c>
      <c r="B673" t="str">
        <f>정규화데이터!B673</f>
        <v>20260210360400</v>
      </c>
      <c r="C673" t="str">
        <f>정규화데이터!C673</f>
        <v>2026-02-12</v>
      </c>
      <c r="D673" t="str">
        <f>정규화데이터!D673</f>
        <v>58481090</v>
      </c>
      <c r="E673" s="16" t="str">
        <f>정규화데이터!E673</f>
        <v>미매핑</v>
      </c>
      <c r="F673" s="3">
        <f>정규화데이터!F673</f>
        <v>1</v>
      </c>
      <c r="G673" s="3">
        <f>정규화데이터!G673</f>
        <v>1</v>
      </c>
      <c r="H673" s="3">
        <f>정규화데이터!H673</f>
        <v>119000</v>
      </c>
      <c r="I673" s="3">
        <f>정규화데이터!I673</f>
        <v>119000</v>
      </c>
      <c r="J673" s="3">
        <f>정규화데이터!J673</f>
        <v>80920</v>
      </c>
      <c r="K673" s="25">
        <f>정규화데이터!K673</f>
        <v>0</v>
      </c>
      <c r="L673" s="25">
        <f>정규화데이터!L673</f>
        <v>80920</v>
      </c>
      <c r="M673" s="21">
        <f t="shared" si="20"/>
        <v>0</v>
      </c>
      <c r="N673" s="52">
        <f t="shared" si="21"/>
        <v>0</v>
      </c>
    </row>
    <row r="674" spans="1:14" x14ac:dyDescent="0.3">
      <c r="A674" t="str">
        <f>정규화데이터!A674</f>
        <v>SK스토아</v>
      </c>
      <c r="B674" t="str">
        <f>정규화데이터!B674</f>
        <v>20260210360481</v>
      </c>
      <c r="C674" t="str">
        <f>정규화데이터!C674</f>
        <v>2026-02-12</v>
      </c>
      <c r="D674" t="str">
        <f>정규화데이터!D674</f>
        <v>58481090</v>
      </c>
      <c r="E674" s="16" t="str">
        <f>정규화데이터!E674</f>
        <v>미매핑</v>
      </c>
      <c r="F674" s="3">
        <f>정규화데이터!F674</f>
        <v>1</v>
      </c>
      <c r="G674" s="3">
        <f>정규화데이터!G674</f>
        <v>1</v>
      </c>
      <c r="H674" s="3">
        <f>정규화데이터!H674</f>
        <v>119000</v>
      </c>
      <c r="I674" s="3">
        <f>정규화데이터!I674</f>
        <v>119000</v>
      </c>
      <c r="J674" s="3">
        <f>정규화데이터!J674</f>
        <v>80920</v>
      </c>
      <c r="K674" s="25">
        <f>정규화데이터!K674</f>
        <v>0</v>
      </c>
      <c r="L674" s="25">
        <f>정규화데이터!L674</f>
        <v>80920</v>
      </c>
      <c r="M674" s="21">
        <f t="shared" si="20"/>
        <v>0</v>
      </c>
      <c r="N674" s="52">
        <f t="shared" si="21"/>
        <v>0</v>
      </c>
    </row>
    <row r="675" spans="1:14" x14ac:dyDescent="0.3">
      <c r="A675" t="str">
        <f>정규화데이터!A675</f>
        <v>SK스토아</v>
      </c>
      <c r="B675" t="str">
        <f>정규화데이터!B675</f>
        <v>20260210360563</v>
      </c>
      <c r="C675" t="str">
        <f>정규화데이터!C675</f>
        <v>2026-02-12</v>
      </c>
      <c r="D675" t="str">
        <f>정규화데이터!D675</f>
        <v>58481090</v>
      </c>
      <c r="E675" s="16" t="str">
        <f>정규화데이터!E675</f>
        <v>미매핑</v>
      </c>
      <c r="F675" s="3">
        <f>정규화데이터!F675</f>
        <v>1</v>
      </c>
      <c r="G675" s="3">
        <f>정규화데이터!G675</f>
        <v>1</v>
      </c>
      <c r="H675" s="3">
        <f>정규화데이터!H675</f>
        <v>119000</v>
      </c>
      <c r="I675" s="3">
        <f>정규화데이터!I675</f>
        <v>119000</v>
      </c>
      <c r="J675" s="3">
        <f>정규화데이터!J675</f>
        <v>80920</v>
      </c>
      <c r="K675" s="25">
        <f>정규화데이터!K675</f>
        <v>0</v>
      </c>
      <c r="L675" s="25">
        <f>정규화데이터!L675</f>
        <v>80920</v>
      </c>
      <c r="M675" s="21">
        <f t="shared" si="20"/>
        <v>0</v>
      </c>
      <c r="N675" s="52">
        <f t="shared" si="21"/>
        <v>0</v>
      </c>
    </row>
    <row r="676" spans="1:14" x14ac:dyDescent="0.3">
      <c r="A676" t="str">
        <f>정규화데이터!A676</f>
        <v>SK스토아</v>
      </c>
      <c r="B676" t="str">
        <f>정규화데이터!B676</f>
        <v>20260210360427</v>
      </c>
      <c r="C676" t="str">
        <f>정규화데이터!C676</f>
        <v>2026-02-12</v>
      </c>
      <c r="D676" t="str">
        <f>정규화데이터!D676</f>
        <v>58481090</v>
      </c>
      <c r="E676" s="16" t="str">
        <f>정규화데이터!E676</f>
        <v>미매핑</v>
      </c>
      <c r="F676" s="3">
        <f>정규화데이터!F676</f>
        <v>1</v>
      </c>
      <c r="G676" s="3">
        <f>정규화데이터!G676</f>
        <v>1</v>
      </c>
      <c r="H676" s="3">
        <f>정규화데이터!H676</f>
        <v>119000</v>
      </c>
      <c r="I676" s="3">
        <f>정규화데이터!I676</f>
        <v>119000</v>
      </c>
      <c r="J676" s="3">
        <f>정규화데이터!J676</f>
        <v>80920</v>
      </c>
      <c r="K676" s="25">
        <f>정규화데이터!K676</f>
        <v>0</v>
      </c>
      <c r="L676" s="25">
        <f>정규화데이터!L676</f>
        <v>80920</v>
      </c>
      <c r="M676" s="21">
        <f t="shared" si="20"/>
        <v>0</v>
      </c>
      <c r="N676" s="52">
        <f t="shared" si="21"/>
        <v>0</v>
      </c>
    </row>
    <row r="677" spans="1:14" x14ac:dyDescent="0.3">
      <c r="A677" t="str">
        <f>정규화데이터!A677</f>
        <v>SK스토아</v>
      </c>
      <c r="B677" t="str">
        <f>정규화데이터!B677</f>
        <v>20260210361451</v>
      </c>
      <c r="C677" t="str">
        <f>정규화데이터!C677</f>
        <v>2026-02-12</v>
      </c>
      <c r="D677" t="str">
        <f>정규화데이터!D677</f>
        <v>58481090</v>
      </c>
      <c r="E677" s="16" t="str">
        <f>정규화데이터!E677</f>
        <v>미매핑</v>
      </c>
      <c r="F677" s="3">
        <f>정규화데이터!F677</f>
        <v>1</v>
      </c>
      <c r="G677" s="3">
        <f>정규화데이터!G677</f>
        <v>1</v>
      </c>
      <c r="H677" s="3">
        <f>정규화데이터!H677</f>
        <v>119000</v>
      </c>
      <c r="I677" s="3">
        <f>정규화데이터!I677</f>
        <v>119000</v>
      </c>
      <c r="J677" s="3">
        <f>정규화데이터!J677</f>
        <v>80920</v>
      </c>
      <c r="K677" s="25">
        <f>정규화데이터!K677</f>
        <v>0</v>
      </c>
      <c r="L677" s="25">
        <f>정규화데이터!L677</f>
        <v>80920</v>
      </c>
      <c r="M677" s="21">
        <f t="shared" si="20"/>
        <v>0</v>
      </c>
      <c r="N677" s="52">
        <f t="shared" si="21"/>
        <v>0</v>
      </c>
    </row>
    <row r="678" spans="1:14" x14ac:dyDescent="0.3">
      <c r="A678" t="str">
        <f>정규화데이터!A678</f>
        <v>SK스토아</v>
      </c>
      <c r="B678" t="str">
        <f>정규화데이터!B678</f>
        <v>20260210361038</v>
      </c>
      <c r="C678" t="str">
        <f>정규화데이터!C678</f>
        <v>2026-02-12</v>
      </c>
      <c r="D678" t="str">
        <f>정규화데이터!D678</f>
        <v>58481090</v>
      </c>
      <c r="E678" s="16" t="str">
        <f>정규화데이터!E678</f>
        <v>미매핑</v>
      </c>
      <c r="F678" s="3">
        <f>정규화데이터!F678</f>
        <v>1</v>
      </c>
      <c r="G678" s="3">
        <f>정규화데이터!G678</f>
        <v>1</v>
      </c>
      <c r="H678" s="3">
        <f>정규화데이터!H678</f>
        <v>119000</v>
      </c>
      <c r="I678" s="3">
        <f>정규화데이터!I678</f>
        <v>119000</v>
      </c>
      <c r="J678" s="3">
        <f>정규화데이터!J678</f>
        <v>80920</v>
      </c>
      <c r="K678" s="25">
        <f>정규화데이터!K678</f>
        <v>0</v>
      </c>
      <c r="L678" s="25">
        <f>정규화데이터!L678</f>
        <v>80920</v>
      </c>
      <c r="M678" s="21">
        <f t="shared" si="20"/>
        <v>0</v>
      </c>
      <c r="N678" s="52">
        <f t="shared" si="21"/>
        <v>0</v>
      </c>
    </row>
    <row r="679" spans="1:14" x14ac:dyDescent="0.3">
      <c r="A679" t="str">
        <f>정규화데이터!A679</f>
        <v>SK스토아</v>
      </c>
      <c r="B679" t="str">
        <f>정규화데이터!B679</f>
        <v>20260210360291</v>
      </c>
      <c r="C679" t="str">
        <f>정규화데이터!C679</f>
        <v>2026-02-12</v>
      </c>
      <c r="D679" t="str">
        <f>정규화데이터!D679</f>
        <v>58481090</v>
      </c>
      <c r="E679" s="16" t="str">
        <f>정규화데이터!E679</f>
        <v>미매핑</v>
      </c>
      <c r="F679" s="3">
        <f>정규화데이터!F679</f>
        <v>1</v>
      </c>
      <c r="G679" s="3">
        <f>정규화데이터!G679</f>
        <v>1</v>
      </c>
      <c r="H679" s="3">
        <f>정규화데이터!H679</f>
        <v>119000</v>
      </c>
      <c r="I679" s="3">
        <f>정규화데이터!I679</f>
        <v>119000</v>
      </c>
      <c r="J679" s="3">
        <f>정규화데이터!J679</f>
        <v>80920</v>
      </c>
      <c r="K679" s="25">
        <f>정규화데이터!K679</f>
        <v>0</v>
      </c>
      <c r="L679" s="25">
        <f>정규화데이터!L679</f>
        <v>80920</v>
      </c>
      <c r="M679" s="21">
        <f t="shared" si="20"/>
        <v>0</v>
      </c>
      <c r="N679" s="52">
        <f t="shared" si="21"/>
        <v>0</v>
      </c>
    </row>
    <row r="680" spans="1:14" x14ac:dyDescent="0.3">
      <c r="A680" t="str">
        <f>정규화데이터!A680</f>
        <v>SK스토아</v>
      </c>
      <c r="B680" t="str">
        <f>정규화데이터!B680</f>
        <v>20260210361335</v>
      </c>
      <c r="C680" t="str">
        <f>정규화데이터!C680</f>
        <v>2026-02-12</v>
      </c>
      <c r="D680" t="str">
        <f>정규화데이터!D680</f>
        <v>58481090</v>
      </c>
      <c r="E680" s="16" t="str">
        <f>정규화데이터!E680</f>
        <v>미매핑</v>
      </c>
      <c r="F680" s="3">
        <f>정규화데이터!F680</f>
        <v>1</v>
      </c>
      <c r="G680" s="3">
        <f>정규화데이터!G680</f>
        <v>1</v>
      </c>
      <c r="H680" s="3">
        <f>정규화데이터!H680</f>
        <v>119000</v>
      </c>
      <c r="I680" s="3">
        <f>정규화데이터!I680</f>
        <v>119000</v>
      </c>
      <c r="J680" s="3">
        <f>정규화데이터!J680</f>
        <v>80920</v>
      </c>
      <c r="K680" s="25">
        <f>정규화데이터!K680</f>
        <v>0</v>
      </c>
      <c r="L680" s="25">
        <f>정규화데이터!L680</f>
        <v>80920</v>
      </c>
      <c r="M680" s="21">
        <f t="shared" si="20"/>
        <v>0</v>
      </c>
      <c r="N680" s="52">
        <f t="shared" si="21"/>
        <v>0</v>
      </c>
    </row>
    <row r="681" spans="1:14" x14ac:dyDescent="0.3">
      <c r="A681" t="str">
        <f>정규화데이터!A681</f>
        <v>SK스토아</v>
      </c>
      <c r="B681" t="str">
        <f>정규화데이터!B681</f>
        <v>20260210361495</v>
      </c>
      <c r="C681" t="str">
        <f>정규화데이터!C681</f>
        <v>2026-02-12</v>
      </c>
      <c r="D681" t="str">
        <f>정규화데이터!D681</f>
        <v>58481090</v>
      </c>
      <c r="E681" s="16" t="str">
        <f>정규화데이터!E681</f>
        <v>미매핑</v>
      </c>
      <c r="F681" s="3">
        <f>정규화데이터!F681</f>
        <v>1</v>
      </c>
      <c r="G681" s="3">
        <f>정규화데이터!G681</f>
        <v>1</v>
      </c>
      <c r="H681" s="3">
        <f>정규화데이터!H681</f>
        <v>119000</v>
      </c>
      <c r="I681" s="3">
        <f>정규화데이터!I681</f>
        <v>119000</v>
      </c>
      <c r="J681" s="3">
        <f>정규화데이터!J681</f>
        <v>80920</v>
      </c>
      <c r="K681" s="25">
        <f>정규화데이터!K681</f>
        <v>0</v>
      </c>
      <c r="L681" s="25">
        <f>정규화데이터!L681</f>
        <v>80920</v>
      </c>
      <c r="M681" s="21">
        <f t="shared" si="20"/>
        <v>0</v>
      </c>
      <c r="N681" s="52">
        <f t="shared" si="21"/>
        <v>0</v>
      </c>
    </row>
    <row r="682" spans="1:14" x14ac:dyDescent="0.3">
      <c r="A682" t="str">
        <f>정규화데이터!A682</f>
        <v>SK스토아</v>
      </c>
      <c r="B682" t="str">
        <f>정규화데이터!B682</f>
        <v>20260210361579</v>
      </c>
      <c r="C682" t="str">
        <f>정규화데이터!C682</f>
        <v>2026-02-12</v>
      </c>
      <c r="D682" t="str">
        <f>정규화데이터!D682</f>
        <v>58481090</v>
      </c>
      <c r="E682" s="16" t="str">
        <f>정규화데이터!E682</f>
        <v>미매핑</v>
      </c>
      <c r="F682" s="3">
        <f>정규화데이터!F682</f>
        <v>1</v>
      </c>
      <c r="G682" s="3">
        <f>정규화데이터!G682</f>
        <v>1</v>
      </c>
      <c r="H682" s="3">
        <f>정규화데이터!H682</f>
        <v>119000</v>
      </c>
      <c r="I682" s="3">
        <f>정규화데이터!I682</f>
        <v>119000</v>
      </c>
      <c r="J682" s="3">
        <f>정규화데이터!J682</f>
        <v>80920</v>
      </c>
      <c r="K682" s="25">
        <f>정규화데이터!K682</f>
        <v>0</v>
      </c>
      <c r="L682" s="25">
        <f>정규화데이터!L682</f>
        <v>80920</v>
      </c>
      <c r="M682" s="21">
        <f t="shared" si="20"/>
        <v>0</v>
      </c>
      <c r="N682" s="52">
        <f t="shared" si="21"/>
        <v>0</v>
      </c>
    </row>
    <row r="683" spans="1:14" x14ac:dyDescent="0.3">
      <c r="A683" t="str">
        <f>정규화데이터!A683</f>
        <v>SK스토아</v>
      </c>
      <c r="B683" t="str">
        <f>정규화데이터!B683</f>
        <v>20260210362044</v>
      </c>
      <c r="C683" t="str">
        <f>정규화데이터!C683</f>
        <v>2026-02-12</v>
      </c>
      <c r="D683" t="str">
        <f>정규화데이터!D683</f>
        <v>58481090</v>
      </c>
      <c r="E683" s="16" t="str">
        <f>정규화데이터!E683</f>
        <v>미매핑</v>
      </c>
      <c r="F683" s="3">
        <f>정규화데이터!F683</f>
        <v>1</v>
      </c>
      <c r="G683" s="3">
        <f>정규화데이터!G683</f>
        <v>1</v>
      </c>
      <c r="H683" s="3">
        <f>정규화데이터!H683</f>
        <v>119000</v>
      </c>
      <c r="I683" s="3">
        <f>정규화데이터!I683</f>
        <v>119000</v>
      </c>
      <c r="J683" s="3">
        <f>정규화데이터!J683</f>
        <v>80920</v>
      </c>
      <c r="K683" s="25">
        <f>정규화데이터!K683</f>
        <v>0</v>
      </c>
      <c r="L683" s="25">
        <f>정규화데이터!L683</f>
        <v>80920</v>
      </c>
      <c r="M683" s="21">
        <f t="shared" si="20"/>
        <v>0</v>
      </c>
      <c r="N683" s="52">
        <f t="shared" si="21"/>
        <v>0</v>
      </c>
    </row>
    <row r="684" spans="1:14" x14ac:dyDescent="0.3">
      <c r="A684" t="str">
        <f>정규화데이터!A684</f>
        <v>SK스토아</v>
      </c>
      <c r="B684" t="str">
        <f>정규화데이터!B684</f>
        <v>20260210360670</v>
      </c>
      <c r="C684" t="str">
        <f>정규화데이터!C684</f>
        <v>2026-02-12</v>
      </c>
      <c r="D684" t="str">
        <f>정규화데이터!D684</f>
        <v>58481090</v>
      </c>
      <c r="E684" s="16" t="str">
        <f>정규화데이터!E684</f>
        <v>미매핑</v>
      </c>
      <c r="F684" s="3">
        <f>정규화데이터!F684</f>
        <v>1</v>
      </c>
      <c r="G684" s="3">
        <f>정규화데이터!G684</f>
        <v>1</v>
      </c>
      <c r="H684" s="3">
        <f>정규화데이터!H684</f>
        <v>119000</v>
      </c>
      <c r="I684" s="3">
        <f>정규화데이터!I684</f>
        <v>119000</v>
      </c>
      <c r="J684" s="3">
        <f>정규화데이터!J684</f>
        <v>80920</v>
      </c>
      <c r="K684" s="25">
        <f>정규화데이터!K684</f>
        <v>0</v>
      </c>
      <c r="L684" s="25">
        <f>정규화데이터!L684</f>
        <v>80920</v>
      </c>
      <c r="M684" s="21">
        <f t="shared" si="20"/>
        <v>0</v>
      </c>
      <c r="N684" s="52">
        <f t="shared" si="21"/>
        <v>0</v>
      </c>
    </row>
    <row r="685" spans="1:14" x14ac:dyDescent="0.3">
      <c r="A685" t="str">
        <f>정규화데이터!A685</f>
        <v>SK스토아</v>
      </c>
      <c r="B685" t="str">
        <f>정규화데이터!B685</f>
        <v>20260210360241</v>
      </c>
      <c r="C685" t="str">
        <f>정규화데이터!C685</f>
        <v>2026-02-12</v>
      </c>
      <c r="D685" t="str">
        <f>정규화데이터!D685</f>
        <v>58481090</v>
      </c>
      <c r="E685" s="16" t="str">
        <f>정규화데이터!E685</f>
        <v>미매핑</v>
      </c>
      <c r="F685" s="3">
        <f>정규화데이터!F685</f>
        <v>1</v>
      </c>
      <c r="G685" s="3">
        <f>정규화데이터!G685</f>
        <v>1</v>
      </c>
      <c r="H685" s="3">
        <f>정규화데이터!H685</f>
        <v>119000</v>
      </c>
      <c r="I685" s="3">
        <f>정규화데이터!I685</f>
        <v>119000</v>
      </c>
      <c r="J685" s="3">
        <f>정규화데이터!J685</f>
        <v>80920</v>
      </c>
      <c r="K685" s="25">
        <f>정규화데이터!K685</f>
        <v>0</v>
      </c>
      <c r="L685" s="25">
        <f>정규화데이터!L685</f>
        <v>80920</v>
      </c>
      <c r="M685" s="21">
        <f t="shared" si="20"/>
        <v>0</v>
      </c>
      <c r="N685" s="52">
        <f t="shared" si="21"/>
        <v>0</v>
      </c>
    </row>
    <row r="686" spans="1:14" x14ac:dyDescent="0.3">
      <c r="A686" t="str">
        <f>정규화데이터!A686</f>
        <v>SK스토아</v>
      </c>
      <c r="B686" t="str">
        <f>정규화데이터!B686</f>
        <v>20260210361564</v>
      </c>
      <c r="C686" t="str">
        <f>정규화데이터!C686</f>
        <v>2026-02-12</v>
      </c>
      <c r="D686" t="str">
        <f>정규화데이터!D686</f>
        <v>58481090</v>
      </c>
      <c r="E686" s="16" t="str">
        <f>정규화데이터!E686</f>
        <v>미매핑</v>
      </c>
      <c r="F686" s="3">
        <f>정규화데이터!F686</f>
        <v>1</v>
      </c>
      <c r="G686" s="3">
        <f>정규화데이터!G686</f>
        <v>1</v>
      </c>
      <c r="H686" s="3">
        <f>정규화데이터!H686</f>
        <v>119000</v>
      </c>
      <c r="I686" s="3">
        <f>정규화데이터!I686</f>
        <v>119000</v>
      </c>
      <c r="J686" s="3">
        <f>정규화데이터!J686</f>
        <v>80920</v>
      </c>
      <c r="K686" s="25">
        <f>정규화데이터!K686</f>
        <v>0</v>
      </c>
      <c r="L686" s="25">
        <f>정규화데이터!L686</f>
        <v>80920</v>
      </c>
      <c r="M686" s="21">
        <f t="shared" si="20"/>
        <v>0</v>
      </c>
      <c r="N686" s="52">
        <f t="shared" si="21"/>
        <v>0</v>
      </c>
    </row>
    <row r="687" spans="1:14" x14ac:dyDescent="0.3">
      <c r="A687" t="str">
        <f>정규화데이터!A687</f>
        <v>SK스토아</v>
      </c>
      <c r="B687" t="str">
        <f>정규화데이터!B687</f>
        <v>20260210361948</v>
      </c>
      <c r="C687" t="str">
        <f>정규화데이터!C687</f>
        <v>2026-02-12</v>
      </c>
      <c r="D687" t="str">
        <f>정규화데이터!D687</f>
        <v>58481090</v>
      </c>
      <c r="E687" s="16" t="str">
        <f>정규화데이터!E687</f>
        <v>미매핑</v>
      </c>
      <c r="F687" s="3">
        <f>정규화데이터!F687</f>
        <v>1</v>
      </c>
      <c r="G687" s="3">
        <f>정규화데이터!G687</f>
        <v>1</v>
      </c>
      <c r="H687" s="3">
        <f>정규화데이터!H687</f>
        <v>119000</v>
      </c>
      <c r="I687" s="3">
        <f>정규화데이터!I687</f>
        <v>113050</v>
      </c>
      <c r="J687" s="3">
        <f>정규화데이터!J687</f>
        <v>80920</v>
      </c>
      <c r="K687" s="25">
        <f>정규화데이터!K687</f>
        <v>0</v>
      </c>
      <c r="L687" s="25">
        <f>정규화데이터!L687</f>
        <v>80920</v>
      </c>
      <c r="M687" s="21">
        <f t="shared" si="20"/>
        <v>0</v>
      </c>
      <c r="N687" s="52">
        <f t="shared" si="21"/>
        <v>0</v>
      </c>
    </row>
    <row r="688" spans="1:14" x14ac:dyDescent="0.3">
      <c r="A688" t="str">
        <f>정규화데이터!A688</f>
        <v>SK스토아</v>
      </c>
      <c r="B688" t="str">
        <f>정규화데이터!B688</f>
        <v>20260210361019</v>
      </c>
      <c r="C688" t="str">
        <f>정규화데이터!C688</f>
        <v>2026-02-12</v>
      </c>
      <c r="D688" t="str">
        <f>정규화데이터!D688</f>
        <v>58481090</v>
      </c>
      <c r="E688" s="16" t="str">
        <f>정규화데이터!E688</f>
        <v>미매핑</v>
      </c>
      <c r="F688" s="3">
        <f>정규화데이터!F688</f>
        <v>1</v>
      </c>
      <c r="G688" s="3">
        <f>정규화데이터!G688</f>
        <v>1</v>
      </c>
      <c r="H688" s="3">
        <f>정규화데이터!H688</f>
        <v>119000</v>
      </c>
      <c r="I688" s="3">
        <f>정규화데이터!I688</f>
        <v>119000</v>
      </c>
      <c r="J688" s="3">
        <f>정규화데이터!J688</f>
        <v>80920</v>
      </c>
      <c r="K688" s="25">
        <f>정규화데이터!K688</f>
        <v>0</v>
      </c>
      <c r="L688" s="25">
        <f>정규화데이터!L688</f>
        <v>80920</v>
      </c>
      <c r="M688" s="21">
        <f t="shared" si="20"/>
        <v>0</v>
      </c>
      <c r="N688" s="52">
        <f t="shared" si="21"/>
        <v>0</v>
      </c>
    </row>
    <row r="689" spans="1:14" x14ac:dyDescent="0.3">
      <c r="A689" t="str">
        <f>정규화데이터!A689</f>
        <v>SK스토아</v>
      </c>
      <c r="B689" t="str">
        <f>정규화데이터!B689</f>
        <v>20260210361847</v>
      </c>
      <c r="C689" t="str">
        <f>정규화데이터!C689</f>
        <v>2026-02-12</v>
      </c>
      <c r="D689" t="str">
        <f>정규화데이터!D689</f>
        <v>58481090</v>
      </c>
      <c r="E689" s="16" t="str">
        <f>정규화데이터!E689</f>
        <v>미매핑</v>
      </c>
      <c r="F689" s="3">
        <f>정규화데이터!F689</f>
        <v>1</v>
      </c>
      <c r="G689" s="3">
        <f>정규화데이터!G689</f>
        <v>1</v>
      </c>
      <c r="H689" s="3">
        <f>정규화데이터!H689</f>
        <v>119000</v>
      </c>
      <c r="I689" s="3">
        <f>정규화데이터!I689</f>
        <v>119000</v>
      </c>
      <c r="J689" s="3">
        <f>정규화데이터!J689</f>
        <v>80920</v>
      </c>
      <c r="K689" s="25">
        <f>정규화데이터!K689</f>
        <v>0</v>
      </c>
      <c r="L689" s="25">
        <f>정규화데이터!L689</f>
        <v>80920</v>
      </c>
      <c r="M689" s="21">
        <f t="shared" si="20"/>
        <v>0</v>
      </c>
      <c r="N689" s="52">
        <f t="shared" si="21"/>
        <v>0</v>
      </c>
    </row>
    <row r="690" spans="1:14" x14ac:dyDescent="0.3">
      <c r="A690" t="str">
        <f>정규화데이터!A690</f>
        <v>SK스토아</v>
      </c>
      <c r="B690" t="str">
        <f>정규화데이터!B690</f>
        <v>20260210362019</v>
      </c>
      <c r="C690" t="str">
        <f>정규화데이터!C690</f>
        <v>2026-02-12</v>
      </c>
      <c r="D690" t="str">
        <f>정규화데이터!D690</f>
        <v>58481090</v>
      </c>
      <c r="E690" s="16" t="str">
        <f>정규화데이터!E690</f>
        <v>미매핑</v>
      </c>
      <c r="F690" s="3">
        <f>정규화데이터!F690</f>
        <v>1</v>
      </c>
      <c r="G690" s="3">
        <f>정규화데이터!G690</f>
        <v>1</v>
      </c>
      <c r="H690" s="3">
        <f>정규화데이터!H690</f>
        <v>119000</v>
      </c>
      <c r="I690" s="3">
        <f>정규화데이터!I690</f>
        <v>113050</v>
      </c>
      <c r="J690" s="3">
        <f>정규화데이터!J690</f>
        <v>80920</v>
      </c>
      <c r="K690" s="25">
        <f>정규화데이터!K690</f>
        <v>0</v>
      </c>
      <c r="L690" s="25">
        <f>정규화데이터!L690</f>
        <v>80920</v>
      </c>
      <c r="M690" s="21">
        <f t="shared" si="20"/>
        <v>0</v>
      </c>
      <c r="N690" s="52">
        <f t="shared" si="21"/>
        <v>0</v>
      </c>
    </row>
    <row r="691" spans="1:14" x14ac:dyDescent="0.3">
      <c r="A691" t="str">
        <f>정규화데이터!A691</f>
        <v>SK스토아</v>
      </c>
      <c r="B691" t="str">
        <f>정규화데이터!B691</f>
        <v>20260210362206</v>
      </c>
      <c r="C691" t="str">
        <f>정규화데이터!C691</f>
        <v>2026-02-12</v>
      </c>
      <c r="D691" t="str">
        <f>정규화데이터!D691</f>
        <v>58481090</v>
      </c>
      <c r="E691" s="16" t="str">
        <f>정규화데이터!E691</f>
        <v>미매핑</v>
      </c>
      <c r="F691" s="3">
        <f>정규화데이터!F691</f>
        <v>1</v>
      </c>
      <c r="G691" s="3">
        <f>정규화데이터!G691</f>
        <v>1</v>
      </c>
      <c r="H691" s="3">
        <f>정규화데이터!H691</f>
        <v>119000</v>
      </c>
      <c r="I691" s="3">
        <f>정규화데이터!I691</f>
        <v>113050</v>
      </c>
      <c r="J691" s="3">
        <f>정규화데이터!J691</f>
        <v>80920</v>
      </c>
      <c r="K691" s="25">
        <f>정규화데이터!K691</f>
        <v>0</v>
      </c>
      <c r="L691" s="25">
        <f>정규화데이터!L691</f>
        <v>80920</v>
      </c>
      <c r="M691" s="21">
        <f t="shared" si="20"/>
        <v>0</v>
      </c>
      <c r="N691" s="52">
        <f t="shared" si="21"/>
        <v>0</v>
      </c>
    </row>
    <row r="692" spans="1:14" x14ac:dyDescent="0.3">
      <c r="A692" t="str">
        <f>정규화데이터!A692</f>
        <v>SK스토아</v>
      </c>
      <c r="B692" t="str">
        <f>정규화데이터!B692</f>
        <v>20260210361041</v>
      </c>
      <c r="C692" t="str">
        <f>정규화데이터!C692</f>
        <v>2026-02-12</v>
      </c>
      <c r="D692" t="str">
        <f>정규화데이터!D692</f>
        <v>58481090</v>
      </c>
      <c r="E692" s="16" t="str">
        <f>정규화데이터!E692</f>
        <v>미매핑</v>
      </c>
      <c r="F692" s="3">
        <f>정규화데이터!F692</f>
        <v>1</v>
      </c>
      <c r="G692" s="3">
        <f>정규화데이터!G692</f>
        <v>1</v>
      </c>
      <c r="H692" s="3">
        <f>정규화데이터!H692</f>
        <v>119000</v>
      </c>
      <c r="I692" s="3">
        <f>정규화데이터!I692</f>
        <v>113050</v>
      </c>
      <c r="J692" s="3">
        <f>정규화데이터!J692</f>
        <v>80920</v>
      </c>
      <c r="K692" s="25">
        <f>정규화데이터!K692</f>
        <v>0</v>
      </c>
      <c r="L692" s="25">
        <f>정규화데이터!L692</f>
        <v>80920</v>
      </c>
      <c r="M692" s="21">
        <f t="shared" si="20"/>
        <v>0</v>
      </c>
      <c r="N692" s="52">
        <f t="shared" si="21"/>
        <v>0</v>
      </c>
    </row>
    <row r="693" spans="1:14" x14ac:dyDescent="0.3">
      <c r="A693" t="str">
        <f>정규화데이터!A693</f>
        <v>SK스토아</v>
      </c>
      <c r="B693" t="str">
        <f>정규화데이터!B693</f>
        <v>20260210361683</v>
      </c>
      <c r="C693" t="str">
        <f>정규화데이터!C693</f>
        <v>2026-02-12</v>
      </c>
      <c r="D693" t="str">
        <f>정규화데이터!D693</f>
        <v>58481090</v>
      </c>
      <c r="E693" s="16" t="str">
        <f>정규화데이터!E693</f>
        <v>미매핑</v>
      </c>
      <c r="F693" s="3">
        <f>정규화데이터!F693</f>
        <v>1</v>
      </c>
      <c r="G693" s="3">
        <f>정규화데이터!G693</f>
        <v>1</v>
      </c>
      <c r="H693" s="3">
        <f>정규화데이터!H693</f>
        <v>119000</v>
      </c>
      <c r="I693" s="3">
        <f>정규화데이터!I693</f>
        <v>119000</v>
      </c>
      <c r="J693" s="3">
        <f>정규화데이터!J693</f>
        <v>80920</v>
      </c>
      <c r="K693" s="25">
        <f>정규화데이터!K693</f>
        <v>0</v>
      </c>
      <c r="L693" s="25">
        <f>정규화데이터!L693</f>
        <v>80920</v>
      </c>
      <c r="M693" s="21">
        <f t="shared" si="20"/>
        <v>0</v>
      </c>
      <c r="N693" s="52">
        <f t="shared" si="21"/>
        <v>0</v>
      </c>
    </row>
    <row r="694" spans="1:14" x14ac:dyDescent="0.3">
      <c r="A694" t="str">
        <f>정규화데이터!A694</f>
        <v>SK스토아</v>
      </c>
      <c r="B694" t="str">
        <f>정규화데이터!B694</f>
        <v>20260210361352</v>
      </c>
      <c r="C694" t="str">
        <f>정규화데이터!C694</f>
        <v>2026-02-12</v>
      </c>
      <c r="D694" t="str">
        <f>정규화데이터!D694</f>
        <v>58481090</v>
      </c>
      <c r="E694" s="16" t="str">
        <f>정규화데이터!E694</f>
        <v>미매핑</v>
      </c>
      <c r="F694" s="3">
        <f>정규화데이터!F694</f>
        <v>1</v>
      </c>
      <c r="G694" s="3">
        <f>정규화데이터!G694</f>
        <v>1</v>
      </c>
      <c r="H694" s="3">
        <f>정규화데이터!H694</f>
        <v>119000</v>
      </c>
      <c r="I694" s="3">
        <f>정규화데이터!I694</f>
        <v>119000</v>
      </c>
      <c r="J694" s="3">
        <f>정규화데이터!J694</f>
        <v>80920</v>
      </c>
      <c r="K694" s="25">
        <f>정규화데이터!K694</f>
        <v>0</v>
      </c>
      <c r="L694" s="25">
        <f>정규화데이터!L694</f>
        <v>80920</v>
      </c>
      <c r="M694" s="21">
        <f t="shared" si="20"/>
        <v>0</v>
      </c>
      <c r="N694" s="52">
        <f t="shared" si="21"/>
        <v>0</v>
      </c>
    </row>
    <row r="695" spans="1:14" x14ac:dyDescent="0.3">
      <c r="A695" t="str">
        <f>정규화데이터!A695</f>
        <v>SK스토아</v>
      </c>
      <c r="B695" t="str">
        <f>정규화데이터!B695</f>
        <v>20260210361525</v>
      </c>
      <c r="C695" t="str">
        <f>정규화데이터!C695</f>
        <v>2026-02-12</v>
      </c>
      <c r="D695" t="str">
        <f>정규화데이터!D695</f>
        <v>58481090</v>
      </c>
      <c r="E695" s="16" t="str">
        <f>정규화데이터!E695</f>
        <v>미매핑</v>
      </c>
      <c r="F695" s="3">
        <f>정규화데이터!F695</f>
        <v>1</v>
      </c>
      <c r="G695" s="3">
        <f>정규화데이터!G695</f>
        <v>1</v>
      </c>
      <c r="H695" s="3">
        <f>정규화데이터!H695</f>
        <v>119000</v>
      </c>
      <c r="I695" s="3">
        <f>정규화데이터!I695</f>
        <v>119000</v>
      </c>
      <c r="J695" s="3">
        <f>정규화데이터!J695</f>
        <v>80920</v>
      </c>
      <c r="K695" s="25">
        <f>정규화데이터!K695</f>
        <v>0</v>
      </c>
      <c r="L695" s="25">
        <f>정규화데이터!L695</f>
        <v>80920</v>
      </c>
      <c r="M695" s="21">
        <f t="shared" si="20"/>
        <v>0</v>
      </c>
      <c r="N695" s="52">
        <f t="shared" si="21"/>
        <v>0</v>
      </c>
    </row>
    <row r="696" spans="1:14" x14ac:dyDescent="0.3">
      <c r="A696" t="str">
        <f>정규화데이터!A696</f>
        <v>SK스토아</v>
      </c>
      <c r="B696" t="str">
        <f>정규화데이터!B696</f>
        <v>20260210361011</v>
      </c>
      <c r="C696" t="str">
        <f>정규화데이터!C696</f>
        <v>2026-02-12</v>
      </c>
      <c r="D696" t="str">
        <f>정규화데이터!D696</f>
        <v>58481090</v>
      </c>
      <c r="E696" s="16" t="str">
        <f>정규화데이터!E696</f>
        <v>미매핑</v>
      </c>
      <c r="F696" s="3">
        <f>정규화데이터!F696</f>
        <v>1</v>
      </c>
      <c r="G696" s="3">
        <f>정규화데이터!G696</f>
        <v>1</v>
      </c>
      <c r="H696" s="3">
        <f>정규화데이터!H696</f>
        <v>119000</v>
      </c>
      <c r="I696" s="3">
        <f>정규화데이터!I696</f>
        <v>119000</v>
      </c>
      <c r="J696" s="3">
        <f>정규화데이터!J696</f>
        <v>80920</v>
      </c>
      <c r="K696" s="25">
        <f>정규화데이터!K696</f>
        <v>0</v>
      </c>
      <c r="L696" s="25">
        <f>정규화데이터!L696</f>
        <v>80920</v>
      </c>
      <c r="M696" s="21">
        <f t="shared" si="20"/>
        <v>0</v>
      </c>
      <c r="N696" s="52">
        <f t="shared" si="21"/>
        <v>0</v>
      </c>
    </row>
    <row r="697" spans="1:14" x14ac:dyDescent="0.3">
      <c r="A697" t="str">
        <f>정규화데이터!A697</f>
        <v>SK스토아</v>
      </c>
      <c r="B697" t="str">
        <f>정규화데이터!B697</f>
        <v>20260210361551</v>
      </c>
      <c r="C697" t="str">
        <f>정규화데이터!C697</f>
        <v>2026-02-12</v>
      </c>
      <c r="D697" t="str">
        <f>정규화데이터!D697</f>
        <v>58481090</v>
      </c>
      <c r="E697" s="16" t="str">
        <f>정규화데이터!E697</f>
        <v>미매핑</v>
      </c>
      <c r="F697" s="3">
        <f>정규화데이터!F697</f>
        <v>1</v>
      </c>
      <c r="G697" s="3">
        <f>정규화데이터!G697</f>
        <v>1</v>
      </c>
      <c r="H697" s="3">
        <f>정규화데이터!H697</f>
        <v>119000</v>
      </c>
      <c r="I697" s="3">
        <f>정규화데이터!I697</f>
        <v>119000</v>
      </c>
      <c r="J697" s="3">
        <f>정규화데이터!J697</f>
        <v>80920</v>
      </c>
      <c r="K697" s="25">
        <f>정규화데이터!K697</f>
        <v>0</v>
      </c>
      <c r="L697" s="25">
        <f>정규화데이터!L697</f>
        <v>80920</v>
      </c>
      <c r="M697" s="21">
        <f t="shared" si="20"/>
        <v>0</v>
      </c>
      <c r="N697" s="52">
        <f t="shared" si="21"/>
        <v>0</v>
      </c>
    </row>
    <row r="698" spans="1:14" x14ac:dyDescent="0.3">
      <c r="A698" t="str">
        <f>정규화데이터!A698</f>
        <v>SK스토아</v>
      </c>
      <c r="B698" t="str">
        <f>정규화데이터!B698</f>
        <v>20260210361861</v>
      </c>
      <c r="C698" t="str">
        <f>정규화데이터!C698</f>
        <v>2026-02-12</v>
      </c>
      <c r="D698" t="str">
        <f>정규화데이터!D698</f>
        <v>58481090</v>
      </c>
      <c r="E698" s="16" t="str">
        <f>정규화데이터!E698</f>
        <v>미매핑</v>
      </c>
      <c r="F698" s="3">
        <f>정규화데이터!F698</f>
        <v>1</v>
      </c>
      <c r="G698" s="3">
        <f>정규화데이터!G698</f>
        <v>1</v>
      </c>
      <c r="H698" s="3">
        <f>정규화데이터!H698</f>
        <v>119000</v>
      </c>
      <c r="I698" s="3">
        <f>정규화데이터!I698</f>
        <v>119000</v>
      </c>
      <c r="J698" s="3">
        <f>정규화데이터!J698</f>
        <v>80920</v>
      </c>
      <c r="K698" s="25">
        <f>정규화데이터!K698</f>
        <v>0</v>
      </c>
      <c r="L698" s="25">
        <f>정규화데이터!L698</f>
        <v>80920</v>
      </c>
      <c r="M698" s="21">
        <f t="shared" si="20"/>
        <v>0</v>
      </c>
      <c r="N698" s="52">
        <f t="shared" si="21"/>
        <v>0</v>
      </c>
    </row>
    <row r="699" spans="1:14" x14ac:dyDescent="0.3">
      <c r="A699" t="str">
        <f>정규화데이터!A699</f>
        <v>SK스토아</v>
      </c>
      <c r="B699" t="str">
        <f>정규화데이터!B699</f>
        <v>20260210361346</v>
      </c>
      <c r="C699" t="str">
        <f>정규화데이터!C699</f>
        <v>2026-02-12</v>
      </c>
      <c r="D699" t="str">
        <f>정규화데이터!D699</f>
        <v>58481090</v>
      </c>
      <c r="E699" s="16" t="str">
        <f>정규화데이터!E699</f>
        <v>미매핑</v>
      </c>
      <c r="F699" s="3">
        <f>정규화데이터!F699</f>
        <v>1</v>
      </c>
      <c r="G699" s="3">
        <f>정규화데이터!G699</f>
        <v>1</v>
      </c>
      <c r="H699" s="3">
        <f>정규화데이터!H699</f>
        <v>119000</v>
      </c>
      <c r="I699" s="3">
        <f>정규화데이터!I699</f>
        <v>119000</v>
      </c>
      <c r="J699" s="3">
        <f>정규화데이터!J699</f>
        <v>80920</v>
      </c>
      <c r="K699" s="25">
        <f>정규화데이터!K699</f>
        <v>0</v>
      </c>
      <c r="L699" s="25">
        <f>정규화데이터!L699</f>
        <v>80920</v>
      </c>
      <c r="M699" s="21">
        <f t="shared" si="20"/>
        <v>0</v>
      </c>
      <c r="N699" s="52">
        <f t="shared" si="21"/>
        <v>0</v>
      </c>
    </row>
    <row r="700" spans="1:14" x14ac:dyDescent="0.3">
      <c r="A700" t="str">
        <f>정규화데이터!A700</f>
        <v>SK스토아</v>
      </c>
      <c r="B700" t="str">
        <f>정규화데이터!B700</f>
        <v>20260210361491</v>
      </c>
      <c r="C700" t="str">
        <f>정규화데이터!C700</f>
        <v>2026-02-12</v>
      </c>
      <c r="D700" t="str">
        <f>정규화데이터!D700</f>
        <v>58481090</v>
      </c>
      <c r="E700" s="16" t="str">
        <f>정규화데이터!E700</f>
        <v>미매핑</v>
      </c>
      <c r="F700" s="3">
        <f>정규화데이터!F700</f>
        <v>1</v>
      </c>
      <c r="G700" s="3">
        <f>정규화데이터!G700</f>
        <v>1</v>
      </c>
      <c r="H700" s="3">
        <f>정규화데이터!H700</f>
        <v>119000</v>
      </c>
      <c r="I700" s="3">
        <f>정규화데이터!I700</f>
        <v>119000</v>
      </c>
      <c r="J700" s="3">
        <f>정규화데이터!J700</f>
        <v>80920</v>
      </c>
      <c r="K700" s="25">
        <f>정규화데이터!K700</f>
        <v>0</v>
      </c>
      <c r="L700" s="25">
        <f>정규화데이터!L700</f>
        <v>80920</v>
      </c>
      <c r="M700" s="21">
        <f t="shared" si="20"/>
        <v>0</v>
      </c>
      <c r="N700" s="52">
        <f t="shared" si="21"/>
        <v>0</v>
      </c>
    </row>
    <row r="701" spans="1:14" x14ac:dyDescent="0.3">
      <c r="A701" t="str">
        <f>정규화데이터!A701</f>
        <v>SK스토아</v>
      </c>
      <c r="B701" t="str">
        <f>정규화데이터!B701</f>
        <v>20260210362075</v>
      </c>
      <c r="C701" t="str">
        <f>정규화데이터!C701</f>
        <v>2026-02-12</v>
      </c>
      <c r="D701" t="str">
        <f>정규화데이터!D701</f>
        <v>58481090</v>
      </c>
      <c r="E701" s="16" t="str">
        <f>정규화데이터!E701</f>
        <v>미매핑</v>
      </c>
      <c r="F701" s="3">
        <f>정규화데이터!F701</f>
        <v>1</v>
      </c>
      <c r="G701" s="3">
        <f>정규화데이터!G701</f>
        <v>1</v>
      </c>
      <c r="H701" s="3">
        <f>정규화데이터!H701</f>
        <v>119000</v>
      </c>
      <c r="I701" s="3">
        <f>정규화데이터!I701</f>
        <v>119000</v>
      </c>
      <c r="J701" s="3">
        <f>정규화데이터!J701</f>
        <v>80920</v>
      </c>
      <c r="K701" s="25">
        <f>정규화데이터!K701</f>
        <v>0</v>
      </c>
      <c r="L701" s="25">
        <f>정규화데이터!L701</f>
        <v>80920</v>
      </c>
      <c r="M701" s="21">
        <f t="shared" si="20"/>
        <v>0</v>
      </c>
      <c r="N701" s="52">
        <f t="shared" si="21"/>
        <v>0</v>
      </c>
    </row>
    <row r="702" spans="1:14" x14ac:dyDescent="0.3">
      <c r="A702" t="str">
        <f>정규화데이터!A702</f>
        <v>SK스토아</v>
      </c>
      <c r="B702" t="str">
        <f>정규화데이터!B702</f>
        <v>20260210362158</v>
      </c>
      <c r="C702" t="str">
        <f>정규화데이터!C702</f>
        <v>2026-02-12</v>
      </c>
      <c r="D702" t="str">
        <f>정규화데이터!D702</f>
        <v>58481090</v>
      </c>
      <c r="E702" s="16" t="str">
        <f>정규화데이터!E702</f>
        <v>미매핑</v>
      </c>
      <c r="F702" s="3">
        <f>정규화데이터!F702</f>
        <v>1</v>
      </c>
      <c r="G702" s="3">
        <f>정규화데이터!G702</f>
        <v>1</v>
      </c>
      <c r="H702" s="3">
        <f>정규화데이터!H702</f>
        <v>119000</v>
      </c>
      <c r="I702" s="3">
        <f>정규화데이터!I702</f>
        <v>119000</v>
      </c>
      <c r="J702" s="3">
        <f>정규화데이터!J702</f>
        <v>80920</v>
      </c>
      <c r="K702" s="25">
        <f>정규화데이터!K702</f>
        <v>0</v>
      </c>
      <c r="L702" s="25">
        <f>정규화데이터!L702</f>
        <v>80920</v>
      </c>
      <c r="M702" s="21">
        <f t="shared" si="20"/>
        <v>0</v>
      </c>
      <c r="N702" s="52">
        <f t="shared" si="21"/>
        <v>0</v>
      </c>
    </row>
    <row r="703" spans="1:14" x14ac:dyDescent="0.3">
      <c r="A703" t="str">
        <f>정규화데이터!A703</f>
        <v>SK스토아</v>
      </c>
      <c r="B703" t="str">
        <f>정규화데이터!B703</f>
        <v>20260210360596</v>
      </c>
      <c r="C703" t="str">
        <f>정규화데이터!C703</f>
        <v>2026-02-12</v>
      </c>
      <c r="D703" t="str">
        <f>정규화데이터!D703</f>
        <v>58481090</v>
      </c>
      <c r="E703" s="16" t="str">
        <f>정규화데이터!E703</f>
        <v>미매핑</v>
      </c>
      <c r="F703" s="3">
        <f>정규화데이터!F703</f>
        <v>1</v>
      </c>
      <c r="G703" s="3">
        <f>정규화데이터!G703</f>
        <v>1</v>
      </c>
      <c r="H703" s="3">
        <f>정규화데이터!H703</f>
        <v>119000</v>
      </c>
      <c r="I703" s="3">
        <f>정규화데이터!I703</f>
        <v>119000</v>
      </c>
      <c r="J703" s="3">
        <f>정규화데이터!J703</f>
        <v>80920</v>
      </c>
      <c r="K703" s="25">
        <f>정규화데이터!K703</f>
        <v>0</v>
      </c>
      <c r="L703" s="25">
        <f>정규화데이터!L703</f>
        <v>80920</v>
      </c>
      <c r="M703" s="21">
        <f t="shared" si="20"/>
        <v>0</v>
      </c>
      <c r="N703" s="52">
        <f t="shared" si="21"/>
        <v>0</v>
      </c>
    </row>
    <row r="704" spans="1:14" x14ac:dyDescent="0.3">
      <c r="A704" t="str">
        <f>정규화데이터!A704</f>
        <v>SK스토아</v>
      </c>
      <c r="B704" t="str">
        <f>정규화데이터!B704</f>
        <v>20260210360302</v>
      </c>
      <c r="C704" t="str">
        <f>정규화데이터!C704</f>
        <v>2026-02-12</v>
      </c>
      <c r="D704" t="str">
        <f>정규화데이터!D704</f>
        <v>58481090</v>
      </c>
      <c r="E704" s="16" t="str">
        <f>정규화데이터!E704</f>
        <v>미매핑</v>
      </c>
      <c r="F704" s="3">
        <f>정규화데이터!F704</f>
        <v>1</v>
      </c>
      <c r="G704" s="3">
        <f>정규화데이터!G704</f>
        <v>1</v>
      </c>
      <c r="H704" s="3">
        <f>정규화데이터!H704</f>
        <v>119000</v>
      </c>
      <c r="I704" s="3">
        <f>정규화데이터!I704</f>
        <v>119000</v>
      </c>
      <c r="J704" s="3">
        <f>정규화데이터!J704</f>
        <v>80920</v>
      </c>
      <c r="K704" s="25">
        <f>정규화데이터!K704</f>
        <v>0</v>
      </c>
      <c r="L704" s="25">
        <f>정규화데이터!L704</f>
        <v>80920</v>
      </c>
      <c r="M704" s="21">
        <f t="shared" si="20"/>
        <v>0</v>
      </c>
      <c r="N704" s="52">
        <f t="shared" si="21"/>
        <v>0</v>
      </c>
    </row>
    <row r="705" spans="1:14" x14ac:dyDescent="0.3">
      <c r="A705" t="str">
        <f>정규화데이터!A705</f>
        <v>SK스토아</v>
      </c>
      <c r="B705" t="str">
        <f>정규화데이터!B705</f>
        <v>20260210360928</v>
      </c>
      <c r="C705" t="str">
        <f>정규화데이터!C705</f>
        <v>2026-02-12</v>
      </c>
      <c r="D705" t="str">
        <f>정규화데이터!D705</f>
        <v>58481090</v>
      </c>
      <c r="E705" s="16" t="str">
        <f>정규화데이터!E705</f>
        <v>미매핑</v>
      </c>
      <c r="F705" s="3">
        <f>정규화데이터!F705</f>
        <v>1</v>
      </c>
      <c r="G705" s="3">
        <f>정규화데이터!G705</f>
        <v>1</v>
      </c>
      <c r="H705" s="3">
        <f>정규화데이터!H705</f>
        <v>119000</v>
      </c>
      <c r="I705" s="3">
        <f>정규화데이터!I705</f>
        <v>119000</v>
      </c>
      <c r="J705" s="3">
        <f>정규화데이터!J705</f>
        <v>80920</v>
      </c>
      <c r="K705" s="25">
        <f>정규화데이터!K705</f>
        <v>0</v>
      </c>
      <c r="L705" s="25">
        <f>정규화데이터!L705</f>
        <v>80920</v>
      </c>
      <c r="M705" s="21">
        <f t="shared" si="20"/>
        <v>0</v>
      </c>
      <c r="N705" s="52">
        <f t="shared" si="21"/>
        <v>0</v>
      </c>
    </row>
    <row r="706" spans="1:14" x14ac:dyDescent="0.3">
      <c r="A706" t="str">
        <f>정규화데이터!A706</f>
        <v>SK스토아</v>
      </c>
      <c r="B706" t="str">
        <f>정규화데이터!B706</f>
        <v>20260210360937</v>
      </c>
      <c r="C706" t="str">
        <f>정규화데이터!C706</f>
        <v>2026-02-12</v>
      </c>
      <c r="D706" t="str">
        <f>정규화데이터!D706</f>
        <v>58481090</v>
      </c>
      <c r="E706" s="16" t="str">
        <f>정규화데이터!E706</f>
        <v>미매핑</v>
      </c>
      <c r="F706" s="3">
        <f>정규화데이터!F706</f>
        <v>1</v>
      </c>
      <c r="G706" s="3">
        <f>정규화데이터!G706</f>
        <v>1</v>
      </c>
      <c r="H706" s="3">
        <f>정규화데이터!H706</f>
        <v>119000</v>
      </c>
      <c r="I706" s="3">
        <f>정규화데이터!I706</f>
        <v>119000</v>
      </c>
      <c r="J706" s="3">
        <f>정규화데이터!J706</f>
        <v>80920</v>
      </c>
      <c r="K706" s="25">
        <f>정규화데이터!K706</f>
        <v>0</v>
      </c>
      <c r="L706" s="25">
        <f>정규화데이터!L706</f>
        <v>80920</v>
      </c>
      <c r="M706" s="21">
        <f t="shared" ref="M706:M769" si="22">J706-L706</f>
        <v>0</v>
      </c>
      <c r="N706" s="52">
        <f t="shared" ref="N706:N769" si="23">IF(J706=0,0,M706/J706)</f>
        <v>0</v>
      </c>
    </row>
    <row r="707" spans="1:14" x14ac:dyDescent="0.3">
      <c r="A707" t="str">
        <f>정규화데이터!A707</f>
        <v>SK스토아</v>
      </c>
      <c r="B707" t="str">
        <f>정규화데이터!B707</f>
        <v>20260210360976</v>
      </c>
      <c r="C707" t="str">
        <f>정규화데이터!C707</f>
        <v>2026-02-12</v>
      </c>
      <c r="D707" t="str">
        <f>정규화데이터!D707</f>
        <v>58481090</v>
      </c>
      <c r="E707" s="16" t="str">
        <f>정규화데이터!E707</f>
        <v>미매핑</v>
      </c>
      <c r="F707" s="3">
        <f>정규화데이터!F707</f>
        <v>1</v>
      </c>
      <c r="G707" s="3">
        <f>정규화데이터!G707</f>
        <v>1</v>
      </c>
      <c r="H707" s="3">
        <f>정규화데이터!H707</f>
        <v>119000</v>
      </c>
      <c r="I707" s="3">
        <f>정규화데이터!I707</f>
        <v>119000</v>
      </c>
      <c r="J707" s="3">
        <f>정규화데이터!J707</f>
        <v>80920</v>
      </c>
      <c r="K707" s="25">
        <f>정규화데이터!K707</f>
        <v>0</v>
      </c>
      <c r="L707" s="25">
        <f>정규화데이터!L707</f>
        <v>80920</v>
      </c>
      <c r="M707" s="21">
        <f t="shared" si="22"/>
        <v>0</v>
      </c>
      <c r="N707" s="52">
        <f t="shared" si="23"/>
        <v>0</v>
      </c>
    </row>
    <row r="708" spans="1:14" x14ac:dyDescent="0.3">
      <c r="A708" t="str">
        <f>정규화데이터!A708</f>
        <v>SK스토아</v>
      </c>
      <c r="B708" t="str">
        <f>정규화데이터!B708</f>
        <v>20260210360392</v>
      </c>
      <c r="C708" t="str">
        <f>정규화데이터!C708</f>
        <v>2026-02-12</v>
      </c>
      <c r="D708" t="str">
        <f>정규화데이터!D708</f>
        <v>58481090</v>
      </c>
      <c r="E708" s="16" t="str">
        <f>정규화데이터!E708</f>
        <v>미매핑</v>
      </c>
      <c r="F708" s="3">
        <f>정규화데이터!F708</f>
        <v>1</v>
      </c>
      <c r="G708" s="3">
        <f>정규화데이터!G708</f>
        <v>1</v>
      </c>
      <c r="H708" s="3">
        <f>정규화데이터!H708</f>
        <v>119000</v>
      </c>
      <c r="I708" s="3">
        <f>정규화데이터!I708</f>
        <v>119000</v>
      </c>
      <c r="J708" s="3">
        <f>정규화데이터!J708</f>
        <v>80920</v>
      </c>
      <c r="K708" s="25">
        <f>정규화데이터!K708</f>
        <v>0</v>
      </c>
      <c r="L708" s="25">
        <f>정규화데이터!L708</f>
        <v>80920</v>
      </c>
      <c r="M708" s="21">
        <f t="shared" si="22"/>
        <v>0</v>
      </c>
      <c r="N708" s="52">
        <f t="shared" si="23"/>
        <v>0</v>
      </c>
    </row>
    <row r="709" spans="1:14" x14ac:dyDescent="0.3">
      <c r="A709" t="str">
        <f>정규화데이터!A709</f>
        <v>SK스토아</v>
      </c>
      <c r="B709" t="str">
        <f>정규화데이터!B709</f>
        <v>20260210361319</v>
      </c>
      <c r="C709" t="str">
        <f>정규화데이터!C709</f>
        <v>2026-02-12</v>
      </c>
      <c r="D709" t="str">
        <f>정규화데이터!D709</f>
        <v>58481090</v>
      </c>
      <c r="E709" s="16" t="str">
        <f>정규화데이터!E709</f>
        <v>미매핑</v>
      </c>
      <c r="F709" s="3">
        <f>정규화데이터!F709</f>
        <v>1</v>
      </c>
      <c r="G709" s="3">
        <f>정규화데이터!G709</f>
        <v>1</v>
      </c>
      <c r="H709" s="3">
        <f>정규화데이터!H709</f>
        <v>119000</v>
      </c>
      <c r="I709" s="3">
        <f>정규화데이터!I709</f>
        <v>119000</v>
      </c>
      <c r="J709" s="3">
        <f>정규화데이터!J709</f>
        <v>80920</v>
      </c>
      <c r="K709" s="25">
        <f>정규화데이터!K709</f>
        <v>0</v>
      </c>
      <c r="L709" s="25">
        <f>정규화데이터!L709</f>
        <v>80920</v>
      </c>
      <c r="M709" s="21">
        <f t="shared" si="22"/>
        <v>0</v>
      </c>
      <c r="N709" s="52">
        <f t="shared" si="23"/>
        <v>0</v>
      </c>
    </row>
    <row r="710" spans="1:14" x14ac:dyDescent="0.3">
      <c r="A710" t="str">
        <f>정규화데이터!A710</f>
        <v>SK스토아</v>
      </c>
      <c r="B710" t="str">
        <f>정규화데이터!B710</f>
        <v>20260210361317</v>
      </c>
      <c r="C710" t="str">
        <f>정규화데이터!C710</f>
        <v>2026-02-12</v>
      </c>
      <c r="D710" t="str">
        <f>정규화데이터!D710</f>
        <v>58481090</v>
      </c>
      <c r="E710" s="16" t="str">
        <f>정규화데이터!E710</f>
        <v>미매핑</v>
      </c>
      <c r="F710" s="3">
        <f>정규화데이터!F710</f>
        <v>1</v>
      </c>
      <c r="G710" s="3">
        <f>정규화데이터!G710</f>
        <v>1</v>
      </c>
      <c r="H710" s="3">
        <f>정규화데이터!H710</f>
        <v>119000</v>
      </c>
      <c r="I710" s="3">
        <f>정규화데이터!I710</f>
        <v>119000</v>
      </c>
      <c r="J710" s="3">
        <f>정규화데이터!J710</f>
        <v>80920</v>
      </c>
      <c r="K710" s="25">
        <f>정규화데이터!K710</f>
        <v>0</v>
      </c>
      <c r="L710" s="25">
        <f>정규화데이터!L710</f>
        <v>80920</v>
      </c>
      <c r="M710" s="21">
        <f t="shared" si="22"/>
        <v>0</v>
      </c>
      <c r="N710" s="52">
        <f t="shared" si="23"/>
        <v>0</v>
      </c>
    </row>
    <row r="711" spans="1:14" x14ac:dyDescent="0.3">
      <c r="A711" t="str">
        <f>정규화데이터!A711</f>
        <v>SK스토아</v>
      </c>
      <c r="B711" t="str">
        <f>정규화데이터!B711</f>
        <v>20260210361357</v>
      </c>
      <c r="C711" t="str">
        <f>정규화데이터!C711</f>
        <v>2026-02-12</v>
      </c>
      <c r="D711" t="str">
        <f>정규화데이터!D711</f>
        <v>58481090</v>
      </c>
      <c r="E711" s="16" t="str">
        <f>정규화데이터!E711</f>
        <v>미매핑</v>
      </c>
      <c r="F711" s="3">
        <f>정규화데이터!F711</f>
        <v>1</v>
      </c>
      <c r="G711" s="3">
        <f>정규화데이터!G711</f>
        <v>1</v>
      </c>
      <c r="H711" s="3">
        <f>정규화데이터!H711</f>
        <v>119000</v>
      </c>
      <c r="I711" s="3">
        <f>정규화데이터!I711</f>
        <v>119000</v>
      </c>
      <c r="J711" s="3">
        <f>정규화데이터!J711</f>
        <v>80920</v>
      </c>
      <c r="K711" s="25">
        <f>정규화데이터!K711</f>
        <v>0</v>
      </c>
      <c r="L711" s="25">
        <f>정규화데이터!L711</f>
        <v>80920</v>
      </c>
      <c r="M711" s="21">
        <f t="shared" si="22"/>
        <v>0</v>
      </c>
      <c r="N711" s="52">
        <f t="shared" si="23"/>
        <v>0</v>
      </c>
    </row>
    <row r="712" spans="1:14" x14ac:dyDescent="0.3">
      <c r="A712" t="str">
        <f>정규화데이터!A712</f>
        <v>SK스토아</v>
      </c>
      <c r="B712" t="str">
        <f>정규화데이터!B712</f>
        <v>20260210360557</v>
      </c>
      <c r="C712" t="str">
        <f>정규화데이터!C712</f>
        <v>2026-02-12</v>
      </c>
      <c r="D712" t="str">
        <f>정규화데이터!D712</f>
        <v>58481090</v>
      </c>
      <c r="E712" s="16" t="str">
        <f>정규화데이터!E712</f>
        <v>미매핑</v>
      </c>
      <c r="F712" s="3">
        <f>정규화데이터!F712</f>
        <v>1</v>
      </c>
      <c r="G712" s="3">
        <f>정규화데이터!G712</f>
        <v>1</v>
      </c>
      <c r="H712" s="3">
        <f>정규화데이터!H712</f>
        <v>119000</v>
      </c>
      <c r="I712" s="3">
        <f>정규화데이터!I712</f>
        <v>119000</v>
      </c>
      <c r="J712" s="3">
        <f>정규화데이터!J712</f>
        <v>80920</v>
      </c>
      <c r="K712" s="25">
        <f>정규화데이터!K712</f>
        <v>0</v>
      </c>
      <c r="L712" s="25">
        <f>정규화데이터!L712</f>
        <v>80920</v>
      </c>
      <c r="M712" s="21">
        <f t="shared" si="22"/>
        <v>0</v>
      </c>
      <c r="N712" s="52">
        <f t="shared" si="23"/>
        <v>0</v>
      </c>
    </row>
    <row r="713" spans="1:14" x14ac:dyDescent="0.3">
      <c r="A713" t="str">
        <f>정규화데이터!A713</f>
        <v>SK스토아</v>
      </c>
      <c r="B713" t="str">
        <f>정규화데이터!B713</f>
        <v>20260210361392</v>
      </c>
      <c r="C713" t="str">
        <f>정규화데이터!C713</f>
        <v>2026-02-12</v>
      </c>
      <c r="D713" t="str">
        <f>정규화데이터!D713</f>
        <v>58481090</v>
      </c>
      <c r="E713" s="16" t="str">
        <f>정규화데이터!E713</f>
        <v>미매핑</v>
      </c>
      <c r="F713" s="3">
        <f>정규화데이터!F713</f>
        <v>1</v>
      </c>
      <c r="G713" s="3">
        <f>정규화데이터!G713</f>
        <v>1</v>
      </c>
      <c r="H713" s="3">
        <f>정규화데이터!H713</f>
        <v>119000</v>
      </c>
      <c r="I713" s="3">
        <f>정규화데이터!I713</f>
        <v>119000</v>
      </c>
      <c r="J713" s="3">
        <f>정규화데이터!J713</f>
        <v>80920</v>
      </c>
      <c r="K713" s="25">
        <f>정규화데이터!K713</f>
        <v>0</v>
      </c>
      <c r="L713" s="25">
        <f>정규화데이터!L713</f>
        <v>80920</v>
      </c>
      <c r="M713" s="21">
        <f t="shared" si="22"/>
        <v>0</v>
      </c>
      <c r="N713" s="52">
        <f t="shared" si="23"/>
        <v>0</v>
      </c>
    </row>
    <row r="714" spans="1:14" x14ac:dyDescent="0.3">
      <c r="A714" t="str">
        <f>정규화데이터!A714</f>
        <v>SK스토아</v>
      </c>
      <c r="B714" t="str">
        <f>정규화데이터!B714</f>
        <v>20260210361499</v>
      </c>
      <c r="C714" t="str">
        <f>정규화데이터!C714</f>
        <v>2026-02-12</v>
      </c>
      <c r="D714" t="str">
        <f>정규화데이터!D714</f>
        <v>58481090</v>
      </c>
      <c r="E714" s="16" t="str">
        <f>정규화데이터!E714</f>
        <v>미매핑</v>
      </c>
      <c r="F714" s="3">
        <f>정규화데이터!F714</f>
        <v>1</v>
      </c>
      <c r="G714" s="3">
        <f>정규화데이터!G714</f>
        <v>1</v>
      </c>
      <c r="H714" s="3">
        <f>정규화데이터!H714</f>
        <v>119000</v>
      </c>
      <c r="I714" s="3">
        <f>정규화데이터!I714</f>
        <v>119000</v>
      </c>
      <c r="J714" s="3">
        <f>정규화데이터!J714</f>
        <v>80920</v>
      </c>
      <c r="K714" s="25">
        <f>정규화데이터!K714</f>
        <v>0</v>
      </c>
      <c r="L714" s="25">
        <f>정규화데이터!L714</f>
        <v>80920</v>
      </c>
      <c r="M714" s="21">
        <f t="shared" si="22"/>
        <v>0</v>
      </c>
      <c r="N714" s="52">
        <f t="shared" si="23"/>
        <v>0</v>
      </c>
    </row>
    <row r="715" spans="1:14" x14ac:dyDescent="0.3">
      <c r="A715" t="str">
        <f>정규화데이터!A715</f>
        <v>SK스토아</v>
      </c>
      <c r="B715" t="str">
        <f>정규화데이터!B715</f>
        <v>20260210360664</v>
      </c>
      <c r="C715" t="str">
        <f>정규화데이터!C715</f>
        <v>2026-02-12</v>
      </c>
      <c r="D715" t="str">
        <f>정규화데이터!D715</f>
        <v>58481090</v>
      </c>
      <c r="E715" s="16" t="str">
        <f>정규화데이터!E715</f>
        <v>미매핑</v>
      </c>
      <c r="F715" s="3">
        <f>정규화데이터!F715</f>
        <v>1</v>
      </c>
      <c r="G715" s="3">
        <f>정규화데이터!G715</f>
        <v>1</v>
      </c>
      <c r="H715" s="3">
        <f>정규화데이터!H715</f>
        <v>119000</v>
      </c>
      <c r="I715" s="3">
        <f>정규화데이터!I715</f>
        <v>119000</v>
      </c>
      <c r="J715" s="3">
        <f>정규화데이터!J715</f>
        <v>80920</v>
      </c>
      <c r="K715" s="25">
        <f>정규화데이터!K715</f>
        <v>0</v>
      </c>
      <c r="L715" s="25">
        <f>정규화데이터!L715</f>
        <v>80920</v>
      </c>
      <c r="M715" s="21">
        <f t="shared" si="22"/>
        <v>0</v>
      </c>
      <c r="N715" s="52">
        <f t="shared" si="23"/>
        <v>0</v>
      </c>
    </row>
    <row r="716" spans="1:14" x14ac:dyDescent="0.3">
      <c r="A716" t="str">
        <f>정규화데이터!A716</f>
        <v>SK스토아</v>
      </c>
      <c r="B716" t="str">
        <f>정규화데이터!B716</f>
        <v>20260210361611</v>
      </c>
      <c r="C716" t="str">
        <f>정규화데이터!C716</f>
        <v>2026-02-12</v>
      </c>
      <c r="D716" t="str">
        <f>정규화데이터!D716</f>
        <v>58481090</v>
      </c>
      <c r="E716" s="16" t="str">
        <f>정규화데이터!E716</f>
        <v>미매핑</v>
      </c>
      <c r="F716" s="3">
        <f>정규화데이터!F716</f>
        <v>1</v>
      </c>
      <c r="G716" s="3">
        <f>정규화데이터!G716</f>
        <v>1</v>
      </c>
      <c r="H716" s="3">
        <f>정규화데이터!H716</f>
        <v>119000</v>
      </c>
      <c r="I716" s="3">
        <f>정규화데이터!I716</f>
        <v>119000</v>
      </c>
      <c r="J716" s="3">
        <f>정규화데이터!J716</f>
        <v>80920</v>
      </c>
      <c r="K716" s="25">
        <f>정규화데이터!K716</f>
        <v>0</v>
      </c>
      <c r="L716" s="25">
        <f>정규화데이터!L716</f>
        <v>80920</v>
      </c>
      <c r="M716" s="21">
        <f t="shared" si="22"/>
        <v>0</v>
      </c>
      <c r="N716" s="52">
        <f t="shared" si="23"/>
        <v>0</v>
      </c>
    </row>
    <row r="717" spans="1:14" x14ac:dyDescent="0.3">
      <c r="A717" t="str">
        <f>정규화데이터!A717</f>
        <v>SK스토아</v>
      </c>
      <c r="B717" t="str">
        <f>정규화데이터!B717</f>
        <v>20260210361659</v>
      </c>
      <c r="C717" t="str">
        <f>정규화데이터!C717</f>
        <v>2026-02-12</v>
      </c>
      <c r="D717" t="str">
        <f>정규화데이터!D717</f>
        <v>58481090</v>
      </c>
      <c r="E717" s="16" t="str">
        <f>정규화데이터!E717</f>
        <v>미매핑</v>
      </c>
      <c r="F717" s="3">
        <f>정규화데이터!F717</f>
        <v>1</v>
      </c>
      <c r="G717" s="3">
        <f>정규화데이터!G717</f>
        <v>1</v>
      </c>
      <c r="H717" s="3">
        <f>정규화데이터!H717</f>
        <v>119000</v>
      </c>
      <c r="I717" s="3">
        <f>정규화데이터!I717</f>
        <v>119000</v>
      </c>
      <c r="J717" s="3">
        <f>정규화데이터!J717</f>
        <v>80920</v>
      </c>
      <c r="K717" s="25">
        <f>정규화데이터!K717</f>
        <v>0</v>
      </c>
      <c r="L717" s="25">
        <f>정규화데이터!L717</f>
        <v>80920</v>
      </c>
      <c r="M717" s="21">
        <f t="shared" si="22"/>
        <v>0</v>
      </c>
      <c r="N717" s="52">
        <f t="shared" si="23"/>
        <v>0</v>
      </c>
    </row>
    <row r="718" spans="1:14" x14ac:dyDescent="0.3">
      <c r="A718" t="str">
        <f>정규화데이터!A718</f>
        <v>SK스토아</v>
      </c>
      <c r="B718" t="str">
        <f>정규화데이터!B718</f>
        <v>20260210361936</v>
      </c>
      <c r="C718" t="str">
        <f>정규화데이터!C718</f>
        <v>2026-02-12</v>
      </c>
      <c r="D718" t="str">
        <f>정규화데이터!D718</f>
        <v>58481090</v>
      </c>
      <c r="E718" s="16" t="str">
        <f>정규화데이터!E718</f>
        <v>미매핑</v>
      </c>
      <c r="F718" s="3">
        <f>정규화데이터!F718</f>
        <v>1</v>
      </c>
      <c r="G718" s="3">
        <f>정규화데이터!G718</f>
        <v>1</v>
      </c>
      <c r="H718" s="3">
        <f>정규화데이터!H718</f>
        <v>119000</v>
      </c>
      <c r="I718" s="3">
        <f>정규화데이터!I718</f>
        <v>119000</v>
      </c>
      <c r="J718" s="3">
        <f>정규화데이터!J718</f>
        <v>80920</v>
      </c>
      <c r="K718" s="25">
        <f>정규화데이터!K718</f>
        <v>0</v>
      </c>
      <c r="L718" s="25">
        <f>정규화데이터!L718</f>
        <v>80920</v>
      </c>
      <c r="M718" s="21">
        <f t="shared" si="22"/>
        <v>0</v>
      </c>
      <c r="N718" s="52">
        <f t="shared" si="23"/>
        <v>0</v>
      </c>
    </row>
    <row r="719" spans="1:14" x14ac:dyDescent="0.3">
      <c r="A719" t="str">
        <f>정규화데이터!A719</f>
        <v>SK스토아</v>
      </c>
      <c r="B719" t="str">
        <f>정규화데이터!B719</f>
        <v>20260210362041</v>
      </c>
      <c r="C719" t="str">
        <f>정규화데이터!C719</f>
        <v>2026-02-12</v>
      </c>
      <c r="D719" t="str">
        <f>정규화데이터!D719</f>
        <v>58481090</v>
      </c>
      <c r="E719" s="16" t="str">
        <f>정규화데이터!E719</f>
        <v>미매핑</v>
      </c>
      <c r="F719" s="3">
        <f>정규화데이터!F719</f>
        <v>1</v>
      </c>
      <c r="G719" s="3">
        <f>정규화데이터!G719</f>
        <v>1</v>
      </c>
      <c r="H719" s="3">
        <f>정규화데이터!H719</f>
        <v>119000</v>
      </c>
      <c r="I719" s="3">
        <f>정규화데이터!I719</f>
        <v>119000</v>
      </c>
      <c r="J719" s="3">
        <f>정규화데이터!J719</f>
        <v>80920</v>
      </c>
      <c r="K719" s="25">
        <f>정규화데이터!K719</f>
        <v>0</v>
      </c>
      <c r="L719" s="25">
        <f>정규화데이터!L719</f>
        <v>80920</v>
      </c>
      <c r="M719" s="21">
        <f t="shared" si="22"/>
        <v>0</v>
      </c>
      <c r="N719" s="52">
        <f t="shared" si="23"/>
        <v>0</v>
      </c>
    </row>
    <row r="720" spans="1:14" x14ac:dyDescent="0.3">
      <c r="A720" t="str">
        <f>정규화데이터!A720</f>
        <v>SK스토아</v>
      </c>
      <c r="B720" t="str">
        <f>정규화데이터!B720</f>
        <v>20260210362161</v>
      </c>
      <c r="C720" t="str">
        <f>정규화데이터!C720</f>
        <v>2026-02-12</v>
      </c>
      <c r="D720" t="str">
        <f>정규화데이터!D720</f>
        <v>58481090</v>
      </c>
      <c r="E720" s="16" t="str">
        <f>정규화데이터!E720</f>
        <v>미매핑</v>
      </c>
      <c r="F720" s="3">
        <f>정규화데이터!F720</f>
        <v>1</v>
      </c>
      <c r="G720" s="3">
        <f>정규화데이터!G720</f>
        <v>1</v>
      </c>
      <c r="H720" s="3">
        <f>정규화데이터!H720</f>
        <v>119000</v>
      </c>
      <c r="I720" s="3">
        <f>정규화데이터!I720</f>
        <v>119000</v>
      </c>
      <c r="J720" s="3">
        <f>정규화데이터!J720</f>
        <v>80920</v>
      </c>
      <c r="K720" s="25">
        <f>정규화데이터!K720</f>
        <v>0</v>
      </c>
      <c r="L720" s="25">
        <f>정규화데이터!L720</f>
        <v>80920</v>
      </c>
      <c r="M720" s="21">
        <f t="shared" si="22"/>
        <v>0</v>
      </c>
      <c r="N720" s="52">
        <f t="shared" si="23"/>
        <v>0</v>
      </c>
    </row>
    <row r="721" spans="1:14" x14ac:dyDescent="0.3">
      <c r="A721" t="str">
        <f>정규화데이터!A721</f>
        <v>SK스토아</v>
      </c>
      <c r="B721" t="str">
        <f>정규화데이터!B721</f>
        <v>20260210360981</v>
      </c>
      <c r="C721" t="str">
        <f>정규화데이터!C721</f>
        <v>2026-02-12</v>
      </c>
      <c r="D721" t="str">
        <f>정규화데이터!D721</f>
        <v>58481090</v>
      </c>
      <c r="E721" s="16" t="str">
        <f>정규화데이터!E721</f>
        <v>미매핑</v>
      </c>
      <c r="F721" s="3">
        <f>정규화데이터!F721</f>
        <v>1</v>
      </c>
      <c r="G721" s="3">
        <f>정규화데이터!G721</f>
        <v>1</v>
      </c>
      <c r="H721" s="3">
        <f>정규화데이터!H721</f>
        <v>119000</v>
      </c>
      <c r="I721" s="3">
        <f>정규화데이터!I721</f>
        <v>109000</v>
      </c>
      <c r="J721" s="3">
        <f>정규화데이터!J721</f>
        <v>80920</v>
      </c>
      <c r="K721" s="25">
        <f>정규화데이터!K721</f>
        <v>0</v>
      </c>
      <c r="L721" s="25">
        <f>정규화데이터!L721</f>
        <v>80920</v>
      </c>
      <c r="M721" s="21">
        <f t="shared" si="22"/>
        <v>0</v>
      </c>
      <c r="N721" s="52">
        <f t="shared" si="23"/>
        <v>0</v>
      </c>
    </row>
    <row r="722" spans="1:14" x14ac:dyDescent="0.3">
      <c r="A722" t="str">
        <f>정규화데이터!A722</f>
        <v>SK스토아</v>
      </c>
      <c r="B722" t="str">
        <f>정규화데이터!B722</f>
        <v>20260210360090</v>
      </c>
      <c r="C722" t="str">
        <f>정규화데이터!C722</f>
        <v>2026-02-12</v>
      </c>
      <c r="D722" t="str">
        <f>정규화데이터!D722</f>
        <v>58481090</v>
      </c>
      <c r="E722" s="16" t="str">
        <f>정규화데이터!E722</f>
        <v>미매핑</v>
      </c>
      <c r="F722" s="3">
        <f>정규화데이터!F722</f>
        <v>1</v>
      </c>
      <c r="G722" s="3">
        <f>정규화데이터!G722</f>
        <v>1</v>
      </c>
      <c r="H722" s="3">
        <f>정규화데이터!H722</f>
        <v>119000</v>
      </c>
      <c r="I722" s="3">
        <f>정규화데이터!I722</f>
        <v>119000</v>
      </c>
      <c r="J722" s="3">
        <f>정규화데이터!J722</f>
        <v>80920</v>
      </c>
      <c r="K722" s="25">
        <f>정규화데이터!K722</f>
        <v>0</v>
      </c>
      <c r="L722" s="25">
        <f>정규화데이터!L722</f>
        <v>80920</v>
      </c>
      <c r="M722" s="21">
        <f t="shared" si="22"/>
        <v>0</v>
      </c>
      <c r="N722" s="52">
        <f t="shared" si="23"/>
        <v>0</v>
      </c>
    </row>
    <row r="723" spans="1:14" x14ac:dyDescent="0.3">
      <c r="A723" t="str">
        <f>정규화데이터!A723</f>
        <v>SK스토아</v>
      </c>
      <c r="B723" t="str">
        <f>정규화데이터!B723</f>
        <v>20260210360250</v>
      </c>
      <c r="C723" t="str">
        <f>정규화데이터!C723</f>
        <v>2026-02-12</v>
      </c>
      <c r="D723" t="str">
        <f>정규화데이터!D723</f>
        <v>58481090</v>
      </c>
      <c r="E723" s="16" t="str">
        <f>정규화데이터!E723</f>
        <v>미매핑</v>
      </c>
      <c r="F723" s="3">
        <f>정규화데이터!F723</f>
        <v>1</v>
      </c>
      <c r="G723" s="3">
        <f>정규화데이터!G723</f>
        <v>1</v>
      </c>
      <c r="H723" s="3">
        <f>정규화데이터!H723</f>
        <v>119000</v>
      </c>
      <c r="I723" s="3">
        <f>정규화데이터!I723</f>
        <v>119000</v>
      </c>
      <c r="J723" s="3">
        <f>정규화데이터!J723</f>
        <v>80920</v>
      </c>
      <c r="K723" s="25">
        <f>정규화데이터!K723</f>
        <v>0</v>
      </c>
      <c r="L723" s="25">
        <f>정규화데이터!L723</f>
        <v>80920</v>
      </c>
      <c r="M723" s="21">
        <f t="shared" si="22"/>
        <v>0</v>
      </c>
      <c r="N723" s="52">
        <f t="shared" si="23"/>
        <v>0</v>
      </c>
    </row>
    <row r="724" spans="1:14" x14ac:dyDescent="0.3">
      <c r="A724" t="str">
        <f>정규화데이터!A724</f>
        <v>SK스토아</v>
      </c>
      <c r="B724" t="str">
        <f>정규화데이터!B724</f>
        <v>20260210360422</v>
      </c>
      <c r="C724" t="str">
        <f>정규화데이터!C724</f>
        <v>2026-02-12</v>
      </c>
      <c r="D724" t="str">
        <f>정규화데이터!D724</f>
        <v>58481090</v>
      </c>
      <c r="E724" s="16" t="str">
        <f>정규화데이터!E724</f>
        <v>미매핑</v>
      </c>
      <c r="F724" s="3">
        <f>정규화데이터!F724</f>
        <v>1</v>
      </c>
      <c r="G724" s="3">
        <f>정규화데이터!G724</f>
        <v>1</v>
      </c>
      <c r="H724" s="3">
        <f>정규화데이터!H724</f>
        <v>119000</v>
      </c>
      <c r="I724" s="3">
        <f>정규화데이터!I724</f>
        <v>119000</v>
      </c>
      <c r="J724" s="3">
        <f>정규화데이터!J724</f>
        <v>80920</v>
      </c>
      <c r="K724" s="25">
        <f>정규화데이터!K724</f>
        <v>0</v>
      </c>
      <c r="L724" s="25">
        <f>정규화데이터!L724</f>
        <v>80920</v>
      </c>
      <c r="M724" s="21">
        <f t="shared" si="22"/>
        <v>0</v>
      </c>
      <c r="N724" s="52">
        <f t="shared" si="23"/>
        <v>0</v>
      </c>
    </row>
    <row r="725" spans="1:14" x14ac:dyDescent="0.3">
      <c r="A725" t="str">
        <f>정규화데이터!A725</f>
        <v>SK스토아</v>
      </c>
      <c r="B725" t="str">
        <f>정규화데이터!B725</f>
        <v>20260210360428</v>
      </c>
      <c r="C725" t="str">
        <f>정규화데이터!C725</f>
        <v>2026-02-12</v>
      </c>
      <c r="D725" t="str">
        <f>정규화데이터!D725</f>
        <v>58481090</v>
      </c>
      <c r="E725" s="16" t="str">
        <f>정규화데이터!E725</f>
        <v>미매핑</v>
      </c>
      <c r="F725" s="3">
        <f>정규화데이터!F725</f>
        <v>1</v>
      </c>
      <c r="G725" s="3">
        <f>정규화데이터!G725</f>
        <v>1</v>
      </c>
      <c r="H725" s="3">
        <f>정규화데이터!H725</f>
        <v>119000</v>
      </c>
      <c r="I725" s="3">
        <f>정규화데이터!I725</f>
        <v>119000</v>
      </c>
      <c r="J725" s="3">
        <f>정규화데이터!J725</f>
        <v>80920</v>
      </c>
      <c r="K725" s="25">
        <f>정규화데이터!K725</f>
        <v>0</v>
      </c>
      <c r="L725" s="25">
        <f>정규화데이터!L725</f>
        <v>80920</v>
      </c>
      <c r="M725" s="21">
        <f t="shared" si="22"/>
        <v>0</v>
      </c>
      <c r="N725" s="52">
        <f t="shared" si="23"/>
        <v>0</v>
      </c>
    </row>
    <row r="726" spans="1:14" x14ac:dyDescent="0.3">
      <c r="A726" t="str">
        <f>정규화데이터!A726</f>
        <v>SK스토아</v>
      </c>
      <c r="B726" t="str">
        <f>정규화데이터!B726</f>
        <v>20260210361274</v>
      </c>
      <c r="C726" t="str">
        <f>정규화데이터!C726</f>
        <v>2026-02-12</v>
      </c>
      <c r="D726" t="str">
        <f>정규화데이터!D726</f>
        <v>58481090</v>
      </c>
      <c r="E726" s="16" t="str">
        <f>정규화데이터!E726</f>
        <v>미매핑</v>
      </c>
      <c r="F726" s="3">
        <f>정규화데이터!F726</f>
        <v>1</v>
      </c>
      <c r="G726" s="3">
        <f>정규화데이터!G726</f>
        <v>1</v>
      </c>
      <c r="H726" s="3">
        <f>정규화데이터!H726</f>
        <v>119000</v>
      </c>
      <c r="I726" s="3">
        <f>정규화데이터!I726</f>
        <v>119000</v>
      </c>
      <c r="J726" s="3">
        <f>정규화데이터!J726</f>
        <v>80920</v>
      </c>
      <c r="K726" s="25">
        <f>정규화데이터!K726</f>
        <v>0</v>
      </c>
      <c r="L726" s="25">
        <f>정규화데이터!L726</f>
        <v>80920</v>
      </c>
      <c r="M726" s="21">
        <f t="shared" si="22"/>
        <v>0</v>
      </c>
      <c r="N726" s="52">
        <f t="shared" si="23"/>
        <v>0</v>
      </c>
    </row>
    <row r="727" spans="1:14" x14ac:dyDescent="0.3">
      <c r="A727" t="str">
        <f>정규화데이터!A727</f>
        <v>SK스토아</v>
      </c>
      <c r="B727" t="str">
        <f>정규화데이터!B727</f>
        <v>20260210361271</v>
      </c>
      <c r="C727" t="str">
        <f>정규화데이터!C727</f>
        <v>2026-02-12</v>
      </c>
      <c r="D727" t="str">
        <f>정규화데이터!D727</f>
        <v>58481090</v>
      </c>
      <c r="E727" s="16" t="str">
        <f>정규화데이터!E727</f>
        <v>미매핑</v>
      </c>
      <c r="F727" s="3">
        <f>정규화데이터!F727</f>
        <v>1</v>
      </c>
      <c r="G727" s="3">
        <f>정규화데이터!G727</f>
        <v>1</v>
      </c>
      <c r="H727" s="3">
        <f>정규화데이터!H727</f>
        <v>119000</v>
      </c>
      <c r="I727" s="3">
        <f>정규화데이터!I727</f>
        <v>119000</v>
      </c>
      <c r="J727" s="3">
        <f>정규화데이터!J727</f>
        <v>80920</v>
      </c>
      <c r="K727" s="25">
        <f>정규화데이터!K727</f>
        <v>0</v>
      </c>
      <c r="L727" s="25">
        <f>정규화데이터!L727</f>
        <v>80920</v>
      </c>
      <c r="M727" s="21">
        <f t="shared" si="22"/>
        <v>0</v>
      </c>
      <c r="N727" s="52">
        <f t="shared" si="23"/>
        <v>0</v>
      </c>
    </row>
    <row r="728" spans="1:14" x14ac:dyDescent="0.3">
      <c r="A728" t="str">
        <f>정규화데이터!A728</f>
        <v>SK스토아</v>
      </c>
      <c r="B728" t="str">
        <f>정규화데이터!B728</f>
        <v>20260210360545</v>
      </c>
      <c r="C728" t="str">
        <f>정규화데이터!C728</f>
        <v>2026-02-12</v>
      </c>
      <c r="D728" t="str">
        <f>정규화데이터!D728</f>
        <v>58481090</v>
      </c>
      <c r="E728" s="16" t="str">
        <f>정규화데이터!E728</f>
        <v>미매핑</v>
      </c>
      <c r="F728" s="3">
        <f>정규화데이터!F728</f>
        <v>1</v>
      </c>
      <c r="G728" s="3">
        <f>정규화데이터!G728</f>
        <v>1</v>
      </c>
      <c r="H728" s="3">
        <f>정규화데이터!H728</f>
        <v>119000</v>
      </c>
      <c r="I728" s="3">
        <f>정규화데이터!I728</f>
        <v>119000</v>
      </c>
      <c r="J728" s="3">
        <f>정규화데이터!J728</f>
        <v>80920</v>
      </c>
      <c r="K728" s="25">
        <f>정규화데이터!K728</f>
        <v>0</v>
      </c>
      <c r="L728" s="25">
        <f>정규화데이터!L728</f>
        <v>80920</v>
      </c>
      <c r="M728" s="21">
        <f t="shared" si="22"/>
        <v>0</v>
      </c>
      <c r="N728" s="52">
        <f t="shared" si="23"/>
        <v>0</v>
      </c>
    </row>
    <row r="729" spans="1:14" x14ac:dyDescent="0.3">
      <c r="A729" t="str">
        <f>정규화데이터!A729</f>
        <v>SK스토아</v>
      </c>
      <c r="B729" t="str">
        <f>정규화데이터!B729</f>
        <v>20260210360564</v>
      </c>
      <c r="C729" t="str">
        <f>정규화데이터!C729</f>
        <v>2026-02-12</v>
      </c>
      <c r="D729" t="str">
        <f>정규화데이터!D729</f>
        <v>58481090</v>
      </c>
      <c r="E729" s="16" t="str">
        <f>정규화데이터!E729</f>
        <v>미매핑</v>
      </c>
      <c r="F729" s="3">
        <f>정규화데이터!F729</f>
        <v>1</v>
      </c>
      <c r="G729" s="3">
        <f>정규화데이터!G729</f>
        <v>1</v>
      </c>
      <c r="H729" s="3">
        <f>정규화데이터!H729</f>
        <v>119000</v>
      </c>
      <c r="I729" s="3">
        <f>정규화데이터!I729</f>
        <v>113050</v>
      </c>
      <c r="J729" s="3">
        <f>정규화데이터!J729</f>
        <v>80920</v>
      </c>
      <c r="K729" s="25">
        <f>정규화데이터!K729</f>
        <v>0</v>
      </c>
      <c r="L729" s="25">
        <f>정규화데이터!L729</f>
        <v>80920</v>
      </c>
      <c r="M729" s="21">
        <f t="shared" si="22"/>
        <v>0</v>
      </c>
      <c r="N729" s="52">
        <f t="shared" si="23"/>
        <v>0</v>
      </c>
    </row>
    <row r="730" spans="1:14" x14ac:dyDescent="0.3">
      <c r="A730" t="str">
        <f>정규화데이터!A730</f>
        <v>SK스토아</v>
      </c>
      <c r="B730" t="str">
        <f>정규화데이터!B730</f>
        <v>20260210360718</v>
      </c>
      <c r="C730" t="str">
        <f>정규화데이터!C730</f>
        <v>2026-02-12</v>
      </c>
      <c r="D730" t="str">
        <f>정규화데이터!D730</f>
        <v>58481090</v>
      </c>
      <c r="E730" s="16" t="str">
        <f>정규화데이터!E730</f>
        <v>미매핑</v>
      </c>
      <c r="F730" s="3">
        <f>정규화데이터!F730</f>
        <v>1</v>
      </c>
      <c r="G730" s="3">
        <f>정규화데이터!G730</f>
        <v>1</v>
      </c>
      <c r="H730" s="3">
        <f>정규화데이터!H730</f>
        <v>119000</v>
      </c>
      <c r="I730" s="3">
        <f>정규화데이터!I730</f>
        <v>119000</v>
      </c>
      <c r="J730" s="3">
        <f>정규화데이터!J730</f>
        <v>80920</v>
      </c>
      <c r="K730" s="25">
        <f>정규화데이터!K730</f>
        <v>0</v>
      </c>
      <c r="L730" s="25">
        <f>정규화데이터!L730</f>
        <v>80920</v>
      </c>
      <c r="M730" s="21">
        <f t="shared" si="22"/>
        <v>0</v>
      </c>
      <c r="N730" s="52">
        <f t="shared" si="23"/>
        <v>0</v>
      </c>
    </row>
    <row r="731" spans="1:14" x14ac:dyDescent="0.3">
      <c r="A731" t="str">
        <f>정규화데이터!A731</f>
        <v>SK스토아</v>
      </c>
      <c r="B731" t="str">
        <f>정규화데이터!B731</f>
        <v>20260210361907</v>
      </c>
      <c r="C731" t="str">
        <f>정규화데이터!C731</f>
        <v>2026-02-12</v>
      </c>
      <c r="D731" t="str">
        <f>정규화데이터!D731</f>
        <v>58481090</v>
      </c>
      <c r="E731" s="16" t="str">
        <f>정규화데이터!E731</f>
        <v>미매핑</v>
      </c>
      <c r="F731" s="3">
        <f>정규화데이터!F731</f>
        <v>1</v>
      </c>
      <c r="G731" s="3">
        <f>정규화데이터!G731</f>
        <v>1</v>
      </c>
      <c r="H731" s="3">
        <f>정규화데이터!H731</f>
        <v>119000</v>
      </c>
      <c r="I731" s="3">
        <f>정규화데이터!I731</f>
        <v>119000</v>
      </c>
      <c r="J731" s="3">
        <f>정규화데이터!J731</f>
        <v>80920</v>
      </c>
      <c r="K731" s="25">
        <f>정규화데이터!K731</f>
        <v>0</v>
      </c>
      <c r="L731" s="25">
        <f>정규화데이터!L731</f>
        <v>80920</v>
      </c>
      <c r="M731" s="21">
        <f t="shared" si="22"/>
        <v>0</v>
      </c>
      <c r="N731" s="52">
        <f t="shared" si="23"/>
        <v>0</v>
      </c>
    </row>
    <row r="732" spans="1:14" x14ac:dyDescent="0.3">
      <c r="A732" t="str">
        <f>정규화데이터!A732</f>
        <v>SK스토아</v>
      </c>
      <c r="B732" t="str">
        <f>정규화데이터!B732</f>
        <v>20260210361763</v>
      </c>
      <c r="C732" t="str">
        <f>정규화데이터!C732</f>
        <v>2026-02-12</v>
      </c>
      <c r="D732" t="str">
        <f>정규화데이터!D732</f>
        <v>58481090</v>
      </c>
      <c r="E732" s="16" t="str">
        <f>정규화데이터!E732</f>
        <v>미매핑</v>
      </c>
      <c r="F732" s="3">
        <f>정규화데이터!F732</f>
        <v>1</v>
      </c>
      <c r="G732" s="3">
        <f>정규화데이터!G732</f>
        <v>1</v>
      </c>
      <c r="H732" s="3">
        <f>정규화데이터!H732</f>
        <v>119000</v>
      </c>
      <c r="I732" s="3">
        <f>정규화데이터!I732</f>
        <v>104720</v>
      </c>
      <c r="J732" s="3">
        <f>정규화데이터!J732</f>
        <v>80920</v>
      </c>
      <c r="K732" s="25">
        <f>정규화데이터!K732</f>
        <v>0</v>
      </c>
      <c r="L732" s="25">
        <f>정규화데이터!L732</f>
        <v>80920</v>
      </c>
      <c r="M732" s="21">
        <f t="shared" si="22"/>
        <v>0</v>
      </c>
      <c r="N732" s="52">
        <f t="shared" si="23"/>
        <v>0</v>
      </c>
    </row>
    <row r="733" spans="1:14" x14ac:dyDescent="0.3">
      <c r="A733" t="str">
        <f>정규화데이터!A733</f>
        <v>SK스토아</v>
      </c>
      <c r="B733" t="str">
        <f>정규화데이터!B733</f>
        <v>20260210361537</v>
      </c>
      <c r="C733" t="str">
        <f>정규화데이터!C733</f>
        <v>2026-02-12</v>
      </c>
      <c r="D733" t="str">
        <f>정규화데이터!D733</f>
        <v>58481090</v>
      </c>
      <c r="E733" s="16" t="str">
        <f>정규화데이터!E733</f>
        <v>미매핑</v>
      </c>
      <c r="F733" s="3">
        <f>정규화데이터!F733</f>
        <v>1</v>
      </c>
      <c r="G733" s="3">
        <f>정규화데이터!G733</f>
        <v>1</v>
      </c>
      <c r="H733" s="3">
        <f>정규화데이터!H733</f>
        <v>119000</v>
      </c>
      <c r="I733" s="3">
        <f>정규화데이터!I733</f>
        <v>119000</v>
      </c>
      <c r="J733" s="3">
        <f>정규화데이터!J733</f>
        <v>80920</v>
      </c>
      <c r="K733" s="25">
        <f>정규화데이터!K733</f>
        <v>0</v>
      </c>
      <c r="L733" s="25">
        <f>정규화데이터!L733</f>
        <v>80920</v>
      </c>
      <c r="M733" s="21">
        <f t="shared" si="22"/>
        <v>0</v>
      </c>
      <c r="N733" s="52">
        <f t="shared" si="23"/>
        <v>0</v>
      </c>
    </row>
    <row r="734" spans="1:14" x14ac:dyDescent="0.3">
      <c r="A734" t="str">
        <f>정규화데이터!A734</f>
        <v>SK스토아</v>
      </c>
      <c r="B734" t="str">
        <f>정규화데이터!B734</f>
        <v>20260210362086</v>
      </c>
      <c r="C734" t="str">
        <f>정규화데이터!C734</f>
        <v>2026-02-12</v>
      </c>
      <c r="D734" t="str">
        <f>정규화데이터!D734</f>
        <v>58481090</v>
      </c>
      <c r="E734" s="16" t="str">
        <f>정규화데이터!E734</f>
        <v>미매핑</v>
      </c>
      <c r="F734" s="3">
        <f>정규화데이터!F734</f>
        <v>1</v>
      </c>
      <c r="G734" s="3">
        <f>정규화데이터!G734</f>
        <v>1</v>
      </c>
      <c r="H734" s="3">
        <f>정규화데이터!H734</f>
        <v>119000</v>
      </c>
      <c r="I734" s="3">
        <f>정규화데이터!I734</f>
        <v>119000</v>
      </c>
      <c r="J734" s="3">
        <f>정규화데이터!J734</f>
        <v>80920</v>
      </c>
      <c r="K734" s="25">
        <f>정규화데이터!K734</f>
        <v>0</v>
      </c>
      <c r="L734" s="25">
        <f>정규화데이터!L734</f>
        <v>80920</v>
      </c>
      <c r="M734" s="21">
        <f t="shared" si="22"/>
        <v>0</v>
      </c>
      <c r="N734" s="52">
        <f t="shared" si="23"/>
        <v>0</v>
      </c>
    </row>
    <row r="735" spans="1:14" x14ac:dyDescent="0.3">
      <c r="A735" t="str">
        <f>정규화데이터!A735</f>
        <v>SK스토아</v>
      </c>
      <c r="B735" t="str">
        <f>정규화데이터!B735</f>
        <v>20260210360468</v>
      </c>
      <c r="C735" t="str">
        <f>정규화데이터!C735</f>
        <v>2026-02-12</v>
      </c>
      <c r="D735" t="str">
        <f>정규화데이터!D735</f>
        <v>58481090</v>
      </c>
      <c r="E735" s="16" t="str">
        <f>정규화데이터!E735</f>
        <v>미매핑</v>
      </c>
      <c r="F735" s="3">
        <f>정규화데이터!F735</f>
        <v>1</v>
      </c>
      <c r="G735" s="3">
        <f>정규화데이터!G735</f>
        <v>1</v>
      </c>
      <c r="H735" s="3">
        <f>정규화데이터!H735</f>
        <v>119000</v>
      </c>
      <c r="I735" s="3">
        <f>정규화데이터!I735</f>
        <v>119000</v>
      </c>
      <c r="J735" s="3">
        <f>정규화데이터!J735</f>
        <v>80920</v>
      </c>
      <c r="K735" s="25">
        <f>정규화데이터!K735</f>
        <v>0</v>
      </c>
      <c r="L735" s="25">
        <f>정규화데이터!L735</f>
        <v>80920</v>
      </c>
      <c r="M735" s="21">
        <f t="shared" si="22"/>
        <v>0</v>
      </c>
      <c r="N735" s="52">
        <f t="shared" si="23"/>
        <v>0</v>
      </c>
    </row>
    <row r="736" spans="1:14" x14ac:dyDescent="0.3">
      <c r="A736" t="str">
        <f>정규화데이터!A736</f>
        <v>SK스토아</v>
      </c>
      <c r="B736" t="str">
        <f>정규화데이터!B736</f>
        <v>20260210360549</v>
      </c>
      <c r="C736" t="str">
        <f>정규화데이터!C736</f>
        <v>2026-02-12</v>
      </c>
      <c r="D736" t="str">
        <f>정규화데이터!D736</f>
        <v>58481090</v>
      </c>
      <c r="E736" s="16" t="str">
        <f>정규화데이터!E736</f>
        <v>미매핑</v>
      </c>
      <c r="F736" s="3">
        <f>정규화데이터!F736</f>
        <v>1</v>
      </c>
      <c r="G736" s="3">
        <f>정규화데이터!G736</f>
        <v>1</v>
      </c>
      <c r="H736" s="3">
        <f>정규화데이터!H736</f>
        <v>119000</v>
      </c>
      <c r="I736" s="3">
        <f>정규화데이터!I736</f>
        <v>119000</v>
      </c>
      <c r="J736" s="3">
        <f>정규화데이터!J736</f>
        <v>80920</v>
      </c>
      <c r="K736" s="25">
        <f>정규화데이터!K736</f>
        <v>0</v>
      </c>
      <c r="L736" s="25">
        <f>정규화데이터!L736</f>
        <v>80920</v>
      </c>
      <c r="M736" s="21">
        <f t="shared" si="22"/>
        <v>0</v>
      </c>
      <c r="N736" s="52">
        <f t="shared" si="23"/>
        <v>0</v>
      </c>
    </row>
    <row r="737" spans="1:14" x14ac:dyDescent="0.3">
      <c r="A737" t="str">
        <f>정규화데이터!A737</f>
        <v>SK스토아</v>
      </c>
      <c r="B737" t="str">
        <f>정규화데이터!B737</f>
        <v>20260210360555</v>
      </c>
      <c r="C737" t="str">
        <f>정규화데이터!C737</f>
        <v>2026-02-12</v>
      </c>
      <c r="D737" t="str">
        <f>정규화데이터!D737</f>
        <v>58481090</v>
      </c>
      <c r="E737" s="16" t="str">
        <f>정규화데이터!E737</f>
        <v>미매핑</v>
      </c>
      <c r="F737" s="3">
        <f>정규화데이터!F737</f>
        <v>1</v>
      </c>
      <c r="G737" s="3">
        <f>정규화데이터!G737</f>
        <v>1</v>
      </c>
      <c r="H737" s="3">
        <f>정규화데이터!H737</f>
        <v>119000</v>
      </c>
      <c r="I737" s="3">
        <f>정규화데이터!I737</f>
        <v>119000</v>
      </c>
      <c r="J737" s="3">
        <f>정규화데이터!J737</f>
        <v>80920</v>
      </c>
      <c r="K737" s="25">
        <f>정규화데이터!K737</f>
        <v>0</v>
      </c>
      <c r="L737" s="25">
        <f>정규화데이터!L737</f>
        <v>80920</v>
      </c>
      <c r="M737" s="21">
        <f t="shared" si="22"/>
        <v>0</v>
      </c>
      <c r="N737" s="52">
        <f t="shared" si="23"/>
        <v>0</v>
      </c>
    </row>
    <row r="738" spans="1:14" x14ac:dyDescent="0.3">
      <c r="A738" t="str">
        <f>정규화데이터!A738</f>
        <v>SK스토아</v>
      </c>
      <c r="B738" t="str">
        <f>정규화데이터!B738</f>
        <v>20260210361541</v>
      </c>
      <c r="C738" t="str">
        <f>정규화데이터!C738</f>
        <v>2026-02-12</v>
      </c>
      <c r="D738" t="str">
        <f>정규화데이터!D738</f>
        <v>58481090</v>
      </c>
      <c r="E738" s="16" t="str">
        <f>정규화데이터!E738</f>
        <v>미매핑</v>
      </c>
      <c r="F738" s="3">
        <f>정규화데이터!F738</f>
        <v>1</v>
      </c>
      <c r="G738" s="3">
        <f>정규화데이터!G738</f>
        <v>1</v>
      </c>
      <c r="H738" s="3">
        <f>정규화데이터!H738</f>
        <v>119000</v>
      </c>
      <c r="I738" s="3">
        <f>정규화데이터!I738</f>
        <v>119000</v>
      </c>
      <c r="J738" s="3">
        <f>정규화데이터!J738</f>
        <v>80920</v>
      </c>
      <c r="K738" s="25">
        <f>정규화데이터!K738</f>
        <v>0</v>
      </c>
      <c r="L738" s="25">
        <f>정규화데이터!L738</f>
        <v>80920</v>
      </c>
      <c r="M738" s="21">
        <f t="shared" si="22"/>
        <v>0</v>
      </c>
      <c r="N738" s="52">
        <f t="shared" si="23"/>
        <v>0</v>
      </c>
    </row>
    <row r="739" spans="1:14" x14ac:dyDescent="0.3">
      <c r="A739" t="str">
        <f>정규화데이터!A739</f>
        <v>SK스토아</v>
      </c>
      <c r="B739" t="str">
        <f>정규화데이터!B739</f>
        <v>20260210361534</v>
      </c>
      <c r="C739" t="str">
        <f>정규화데이터!C739</f>
        <v>2026-02-12</v>
      </c>
      <c r="D739" t="str">
        <f>정규화데이터!D739</f>
        <v>58481090</v>
      </c>
      <c r="E739" s="16" t="str">
        <f>정규화데이터!E739</f>
        <v>미매핑</v>
      </c>
      <c r="F739" s="3">
        <f>정규화데이터!F739</f>
        <v>1</v>
      </c>
      <c r="G739" s="3">
        <f>정규화데이터!G739</f>
        <v>1</v>
      </c>
      <c r="H739" s="3">
        <f>정규화데이터!H739</f>
        <v>119000</v>
      </c>
      <c r="I739" s="3">
        <f>정규화데이터!I739</f>
        <v>119000</v>
      </c>
      <c r="J739" s="3">
        <f>정규화데이터!J739</f>
        <v>80920</v>
      </c>
      <c r="K739" s="25">
        <f>정규화데이터!K739</f>
        <v>0</v>
      </c>
      <c r="L739" s="25">
        <f>정규화데이터!L739</f>
        <v>80920</v>
      </c>
      <c r="M739" s="21">
        <f t="shared" si="22"/>
        <v>0</v>
      </c>
      <c r="N739" s="52">
        <f t="shared" si="23"/>
        <v>0</v>
      </c>
    </row>
    <row r="740" spans="1:14" x14ac:dyDescent="0.3">
      <c r="A740" t="str">
        <f>정규화데이터!A740</f>
        <v>SK스토아</v>
      </c>
      <c r="B740" t="str">
        <f>정규화데이터!B740</f>
        <v>20260210360682</v>
      </c>
      <c r="C740" t="str">
        <f>정규화데이터!C740</f>
        <v>2026-02-12</v>
      </c>
      <c r="D740" t="str">
        <f>정규화데이터!D740</f>
        <v>58481090</v>
      </c>
      <c r="E740" s="16" t="str">
        <f>정규화데이터!E740</f>
        <v>미매핑</v>
      </c>
      <c r="F740" s="3">
        <f>정규화데이터!F740</f>
        <v>1</v>
      </c>
      <c r="G740" s="3">
        <f>정규화데이터!G740</f>
        <v>1</v>
      </c>
      <c r="H740" s="3">
        <f>정규화데이터!H740</f>
        <v>119000</v>
      </c>
      <c r="I740" s="3">
        <f>정규화데이터!I740</f>
        <v>119000</v>
      </c>
      <c r="J740" s="3">
        <f>정규화데이터!J740</f>
        <v>80920</v>
      </c>
      <c r="K740" s="25">
        <f>정규화데이터!K740</f>
        <v>0</v>
      </c>
      <c r="L740" s="25">
        <f>정규화데이터!L740</f>
        <v>80920</v>
      </c>
      <c r="M740" s="21">
        <f t="shared" si="22"/>
        <v>0</v>
      </c>
      <c r="N740" s="52">
        <f t="shared" si="23"/>
        <v>0</v>
      </c>
    </row>
    <row r="741" spans="1:14" x14ac:dyDescent="0.3">
      <c r="A741" t="str">
        <f>정규화데이터!A741</f>
        <v>SK스토아</v>
      </c>
      <c r="B741" t="str">
        <f>정규화데이터!B741</f>
        <v>20260210361794</v>
      </c>
      <c r="C741" t="str">
        <f>정규화데이터!C741</f>
        <v>2026-02-12</v>
      </c>
      <c r="D741" t="str">
        <f>정규화데이터!D741</f>
        <v>58481090</v>
      </c>
      <c r="E741" s="16" t="str">
        <f>정규화데이터!E741</f>
        <v>미매핑</v>
      </c>
      <c r="F741" s="3">
        <f>정규화데이터!F741</f>
        <v>1</v>
      </c>
      <c r="G741" s="3">
        <f>정규화데이터!G741</f>
        <v>1</v>
      </c>
      <c r="H741" s="3">
        <f>정규화데이터!H741</f>
        <v>119000</v>
      </c>
      <c r="I741" s="3">
        <f>정규화데이터!I741</f>
        <v>119000</v>
      </c>
      <c r="J741" s="3">
        <f>정규화데이터!J741</f>
        <v>80920</v>
      </c>
      <c r="K741" s="25">
        <f>정규화데이터!K741</f>
        <v>0</v>
      </c>
      <c r="L741" s="25">
        <f>정규화데이터!L741</f>
        <v>80920</v>
      </c>
      <c r="M741" s="21">
        <f t="shared" si="22"/>
        <v>0</v>
      </c>
      <c r="N741" s="52">
        <f t="shared" si="23"/>
        <v>0</v>
      </c>
    </row>
    <row r="742" spans="1:14" x14ac:dyDescent="0.3">
      <c r="A742" t="str">
        <f>정규화데이터!A742</f>
        <v>SK스토아</v>
      </c>
      <c r="B742" t="str">
        <f>정규화데이터!B742</f>
        <v>20260210361965</v>
      </c>
      <c r="C742" t="str">
        <f>정규화데이터!C742</f>
        <v>2026-02-12</v>
      </c>
      <c r="D742" t="str">
        <f>정규화데이터!D742</f>
        <v>58481090</v>
      </c>
      <c r="E742" s="16" t="str">
        <f>정규화데이터!E742</f>
        <v>미매핑</v>
      </c>
      <c r="F742" s="3">
        <f>정규화데이터!F742</f>
        <v>1</v>
      </c>
      <c r="G742" s="3">
        <f>정규화데이터!G742</f>
        <v>1</v>
      </c>
      <c r="H742" s="3">
        <f>정규화데이터!H742</f>
        <v>119000</v>
      </c>
      <c r="I742" s="3">
        <f>정규화데이터!I742</f>
        <v>119000</v>
      </c>
      <c r="J742" s="3">
        <f>정규화데이터!J742</f>
        <v>80920</v>
      </c>
      <c r="K742" s="25">
        <f>정규화데이터!K742</f>
        <v>0</v>
      </c>
      <c r="L742" s="25">
        <f>정규화데이터!L742</f>
        <v>80920</v>
      </c>
      <c r="M742" s="21">
        <f t="shared" si="22"/>
        <v>0</v>
      </c>
      <c r="N742" s="52">
        <f t="shared" si="23"/>
        <v>0</v>
      </c>
    </row>
    <row r="743" spans="1:14" x14ac:dyDescent="0.3">
      <c r="A743" t="str">
        <f>정규화데이터!A743</f>
        <v>SK스토아</v>
      </c>
      <c r="B743" t="str">
        <f>정규화데이터!B743</f>
        <v>20260210362013</v>
      </c>
      <c r="C743" t="str">
        <f>정규화데이터!C743</f>
        <v>2026-02-12</v>
      </c>
      <c r="D743" t="str">
        <f>정규화데이터!D743</f>
        <v>58481090</v>
      </c>
      <c r="E743" s="16" t="str">
        <f>정규화데이터!E743</f>
        <v>미매핑</v>
      </c>
      <c r="F743" s="3">
        <f>정규화데이터!F743</f>
        <v>1</v>
      </c>
      <c r="G743" s="3">
        <f>정규화데이터!G743</f>
        <v>1</v>
      </c>
      <c r="H743" s="3">
        <f>정규화데이터!H743</f>
        <v>119000</v>
      </c>
      <c r="I743" s="3">
        <f>정규화데이터!I743</f>
        <v>119000</v>
      </c>
      <c r="J743" s="3">
        <f>정규화데이터!J743</f>
        <v>80920</v>
      </c>
      <c r="K743" s="25">
        <f>정규화데이터!K743</f>
        <v>0</v>
      </c>
      <c r="L743" s="25">
        <f>정규화데이터!L743</f>
        <v>80920</v>
      </c>
      <c r="M743" s="21">
        <f t="shared" si="22"/>
        <v>0</v>
      </c>
      <c r="N743" s="52">
        <f t="shared" si="23"/>
        <v>0</v>
      </c>
    </row>
    <row r="744" spans="1:14" x14ac:dyDescent="0.3">
      <c r="A744" t="str">
        <f>정규화데이터!A744</f>
        <v>SK스토아</v>
      </c>
      <c r="B744" t="str">
        <f>정규화데이터!B744</f>
        <v>20260210360694</v>
      </c>
      <c r="C744" t="str">
        <f>정규화데이터!C744</f>
        <v>2026-02-12</v>
      </c>
      <c r="D744" t="str">
        <f>정규화데이터!D744</f>
        <v>58481090</v>
      </c>
      <c r="E744" s="16" t="str">
        <f>정규화데이터!E744</f>
        <v>미매핑</v>
      </c>
      <c r="F744" s="3">
        <f>정규화데이터!F744</f>
        <v>1</v>
      </c>
      <c r="G744" s="3">
        <f>정규화데이터!G744</f>
        <v>1</v>
      </c>
      <c r="H744" s="3">
        <f>정규화데이터!H744</f>
        <v>119000</v>
      </c>
      <c r="I744" s="3">
        <f>정규화데이터!I744</f>
        <v>119000</v>
      </c>
      <c r="J744" s="3">
        <f>정규화데이터!J744</f>
        <v>80920</v>
      </c>
      <c r="K744" s="25">
        <f>정규화데이터!K744</f>
        <v>0</v>
      </c>
      <c r="L744" s="25">
        <f>정규화데이터!L744</f>
        <v>80920</v>
      </c>
      <c r="M744" s="21">
        <f t="shared" si="22"/>
        <v>0</v>
      </c>
      <c r="N744" s="52">
        <f t="shared" si="23"/>
        <v>0</v>
      </c>
    </row>
    <row r="745" spans="1:14" x14ac:dyDescent="0.3">
      <c r="A745" t="str">
        <f>정규화데이터!A745</f>
        <v>SK스토아</v>
      </c>
      <c r="B745" t="str">
        <f>정규화데이터!B745</f>
        <v>20260210361989</v>
      </c>
      <c r="C745" t="str">
        <f>정규화데이터!C745</f>
        <v>2026-02-12</v>
      </c>
      <c r="D745" t="str">
        <f>정규화데이터!D745</f>
        <v>58481090</v>
      </c>
      <c r="E745" s="16" t="str">
        <f>정규화데이터!E745</f>
        <v>미매핑</v>
      </c>
      <c r="F745" s="3">
        <f>정규화데이터!F745</f>
        <v>1</v>
      </c>
      <c r="G745" s="3">
        <f>정규화데이터!G745</f>
        <v>1</v>
      </c>
      <c r="H745" s="3">
        <f>정규화데이터!H745</f>
        <v>119000</v>
      </c>
      <c r="I745" s="3">
        <f>정규화데이터!I745</f>
        <v>119000</v>
      </c>
      <c r="J745" s="3">
        <f>정규화데이터!J745</f>
        <v>80920</v>
      </c>
      <c r="K745" s="25">
        <f>정규화데이터!K745</f>
        <v>0</v>
      </c>
      <c r="L745" s="25">
        <f>정규화데이터!L745</f>
        <v>80920</v>
      </c>
      <c r="M745" s="21">
        <f t="shared" si="22"/>
        <v>0</v>
      </c>
      <c r="N745" s="52">
        <f t="shared" si="23"/>
        <v>0</v>
      </c>
    </row>
    <row r="746" spans="1:14" x14ac:dyDescent="0.3">
      <c r="A746" t="str">
        <f>정규화데이터!A746</f>
        <v>SK스토아</v>
      </c>
      <c r="B746" t="str">
        <f>정규화데이터!B746</f>
        <v>20260210362685</v>
      </c>
      <c r="C746" t="str">
        <f>정규화데이터!C746</f>
        <v>2026-02-12</v>
      </c>
      <c r="D746" t="str">
        <f>정규화데이터!D746</f>
        <v>58481090</v>
      </c>
      <c r="E746" s="16" t="str">
        <f>정규화데이터!E746</f>
        <v>미매핑</v>
      </c>
      <c r="F746" s="3">
        <f>정규화데이터!F746</f>
        <v>1</v>
      </c>
      <c r="G746" s="3">
        <f>정규화데이터!G746</f>
        <v>1</v>
      </c>
      <c r="H746" s="3">
        <f>정규화데이터!H746</f>
        <v>119000</v>
      </c>
      <c r="I746" s="3">
        <f>정규화데이터!I746</f>
        <v>119000</v>
      </c>
      <c r="J746" s="3">
        <f>정규화데이터!J746</f>
        <v>80920</v>
      </c>
      <c r="K746" s="25">
        <f>정규화데이터!K746</f>
        <v>0</v>
      </c>
      <c r="L746" s="25">
        <f>정규화데이터!L746</f>
        <v>80920</v>
      </c>
      <c r="M746" s="21">
        <f t="shared" si="22"/>
        <v>0</v>
      </c>
      <c r="N746" s="52">
        <f t="shared" si="23"/>
        <v>0</v>
      </c>
    </row>
    <row r="747" spans="1:14" x14ac:dyDescent="0.3">
      <c r="A747" t="str">
        <f>정규화데이터!A747</f>
        <v>SK스토아</v>
      </c>
      <c r="B747" t="str">
        <f>정규화데이터!B747</f>
        <v>20260210369877</v>
      </c>
      <c r="C747" t="str">
        <f>정규화데이터!C747</f>
        <v>2026-02-12</v>
      </c>
      <c r="D747" t="str">
        <f>정규화데이터!D747</f>
        <v>58481090</v>
      </c>
      <c r="E747" s="16" t="str">
        <f>정규화데이터!E747</f>
        <v>미매핑</v>
      </c>
      <c r="F747" s="3">
        <f>정규화데이터!F747</f>
        <v>1</v>
      </c>
      <c r="G747" s="3">
        <f>정규화데이터!G747</f>
        <v>1</v>
      </c>
      <c r="H747" s="3">
        <f>정규화데이터!H747</f>
        <v>119000</v>
      </c>
      <c r="I747" s="3">
        <f>정규화데이터!I747</f>
        <v>119000</v>
      </c>
      <c r="J747" s="3">
        <f>정규화데이터!J747</f>
        <v>80920</v>
      </c>
      <c r="K747" s="25">
        <f>정규화데이터!K747</f>
        <v>0</v>
      </c>
      <c r="L747" s="25">
        <f>정규화데이터!L747</f>
        <v>80920</v>
      </c>
      <c r="M747" s="21">
        <f t="shared" si="22"/>
        <v>0</v>
      </c>
      <c r="N747" s="52">
        <f t="shared" si="23"/>
        <v>0</v>
      </c>
    </row>
    <row r="748" spans="1:14" x14ac:dyDescent="0.3">
      <c r="A748" t="str">
        <f>정규화데이터!A748</f>
        <v>SK스토아</v>
      </c>
      <c r="B748" t="str">
        <f>정규화데이터!B748</f>
        <v>20260210364014</v>
      </c>
      <c r="C748" t="str">
        <f>정규화데이터!C748</f>
        <v>2026-02-12</v>
      </c>
      <c r="D748" t="str">
        <f>정규화데이터!D748</f>
        <v>58481090</v>
      </c>
      <c r="E748" s="16" t="str">
        <f>정규화데이터!E748</f>
        <v>미매핑</v>
      </c>
      <c r="F748" s="3">
        <f>정규화데이터!F748</f>
        <v>1</v>
      </c>
      <c r="G748" s="3">
        <f>정규화데이터!G748</f>
        <v>1</v>
      </c>
      <c r="H748" s="3">
        <f>정규화데이터!H748</f>
        <v>119000</v>
      </c>
      <c r="I748" s="3">
        <f>정규화데이터!I748</f>
        <v>119000</v>
      </c>
      <c r="J748" s="3">
        <f>정규화데이터!J748</f>
        <v>80920</v>
      </c>
      <c r="K748" s="25">
        <f>정규화데이터!K748</f>
        <v>0</v>
      </c>
      <c r="L748" s="25">
        <f>정규화데이터!L748</f>
        <v>80920</v>
      </c>
      <c r="M748" s="21">
        <f t="shared" si="22"/>
        <v>0</v>
      </c>
      <c r="N748" s="52">
        <f t="shared" si="23"/>
        <v>0</v>
      </c>
    </row>
    <row r="749" spans="1:14" x14ac:dyDescent="0.3">
      <c r="A749" t="str">
        <f>정규화데이터!A749</f>
        <v>SK스토아</v>
      </c>
      <c r="B749" t="str">
        <f>정규화데이터!B749</f>
        <v>20260210361013</v>
      </c>
      <c r="C749" t="str">
        <f>정규화데이터!C749</f>
        <v>2026-02-12</v>
      </c>
      <c r="D749" t="str">
        <f>정규화데이터!D749</f>
        <v>58481090</v>
      </c>
      <c r="E749" s="16" t="str">
        <f>정규화데이터!E749</f>
        <v>미매핑</v>
      </c>
      <c r="F749" s="3">
        <f>정규화데이터!F749</f>
        <v>1</v>
      </c>
      <c r="G749" s="3">
        <f>정규화데이터!G749</f>
        <v>1</v>
      </c>
      <c r="H749" s="3">
        <f>정규화데이터!H749</f>
        <v>119000</v>
      </c>
      <c r="I749" s="3">
        <f>정규화데이터!I749</f>
        <v>119000</v>
      </c>
      <c r="J749" s="3">
        <f>정규화데이터!J749</f>
        <v>80920</v>
      </c>
      <c r="K749" s="25">
        <f>정규화데이터!K749</f>
        <v>0</v>
      </c>
      <c r="L749" s="25">
        <f>정규화데이터!L749</f>
        <v>80920</v>
      </c>
      <c r="M749" s="21">
        <f t="shared" si="22"/>
        <v>0</v>
      </c>
      <c r="N749" s="52">
        <f t="shared" si="23"/>
        <v>0</v>
      </c>
    </row>
    <row r="750" spans="1:14" x14ac:dyDescent="0.3">
      <c r="A750" t="str">
        <f>정규화데이터!A750</f>
        <v>SK스토아</v>
      </c>
      <c r="B750" t="str">
        <f>정규화데이터!B750</f>
        <v>20260210360886</v>
      </c>
      <c r="C750" t="str">
        <f>정규화데이터!C750</f>
        <v>2026-02-12</v>
      </c>
      <c r="D750" t="str">
        <f>정규화데이터!D750</f>
        <v>58481090</v>
      </c>
      <c r="E750" s="16" t="str">
        <f>정규화데이터!E750</f>
        <v>미매핑</v>
      </c>
      <c r="F750" s="3">
        <f>정규화데이터!F750</f>
        <v>1</v>
      </c>
      <c r="G750" s="3">
        <f>정규화데이터!G750</f>
        <v>1</v>
      </c>
      <c r="H750" s="3">
        <f>정규화데이터!H750</f>
        <v>119000</v>
      </c>
      <c r="I750" s="3">
        <f>정규화데이터!I750</f>
        <v>119000</v>
      </c>
      <c r="J750" s="3">
        <f>정규화데이터!J750</f>
        <v>80920</v>
      </c>
      <c r="K750" s="25">
        <f>정규화데이터!K750</f>
        <v>0</v>
      </c>
      <c r="L750" s="25">
        <f>정규화데이터!L750</f>
        <v>80920</v>
      </c>
      <c r="M750" s="21">
        <f t="shared" si="22"/>
        <v>0</v>
      </c>
      <c r="N750" s="52">
        <f t="shared" si="23"/>
        <v>0</v>
      </c>
    </row>
    <row r="751" spans="1:14" x14ac:dyDescent="0.3">
      <c r="A751" t="str">
        <f>정규화데이터!A751</f>
        <v>SK스토아</v>
      </c>
      <c r="B751" t="str">
        <f>정규화데이터!B751</f>
        <v>20260210360902</v>
      </c>
      <c r="C751" t="str">
        <f>정규화데이터!C751</f>
        <v>2026-02-12</v>
      </c>
      <c r="D751" t="str">
        <f>정규화데이터!D751</f>
        <v>58481090</v>
      </c>
      <c r="E751" s="16" t="str">
        <f>정규화데이터!E751</f>
        <v>미매핑</v>
      </c>
      <c r="F751" s="3">
        <f>정규화데이터!F751</f>
        <v>1</v>
      </c>
      <c r="G751" s="3">
        <f>정규화데이터!G751</f>
        <v>1</v>
      </c>
      <c r="H751" s="3">
        <f>정규화데이터!H751</f>
        <v>119000</v>
      </c>
      <c r="I751" s="3">
        <f>정규화데이터!I751</f>
        <v>95200</v>
      </c>
      <c r="J751" s="3">
        <f>정규화데이터!J751</f>
        <v>80920</v>
      </c>
      <c r="K751" s="25">
        <f>정규화데이터!K751</f>
        <v>0</v>
      </c>
      <c r="L751" s="25">
        <f>정규화데이터!L751</f>
        <v>80920</v>
      </c>
      <c r="M751" s="21">
        <f t="shared" si="22"/>
        <v>0</v>
      </c>
      <c r="N751" s="52">
        <f t="shared" si="23"/>
        <v>0</v>
      </c>
    </row>
    <row r="752" spans="1:14" x14ac:dyDescent="0.3">
      <c r="A752" t="str">
        <f>정규화데이터!A752</f>
        <v>SK스토아</v>
      </c>
      <c r="B752" t="str">
        <f>정규화데이터!B752</f>
        <v>20260210361527</v>
      </c>
      <c r="C752" t="str">
        <f>정규화데이터!C752</f>
        <v>2026-02-12</v>
      </c>
      <c r="D752" t="str">
        <f>정규화데이터!D752</f>
        <v>58481090</v>
      </c>
      <c r="E752" s="16" t="str">
        <f>정규화데이터!E752</f>
        <v>미매핑</v>
      </c>
      <c r="F752" s="3">
        <f>정규화데이터!F752</f>
        <v>1</v>
      </c>
      <c r="G752" s="3">
        <f>정규화데이터!G752</f>
        <v>1</v>
      </c>
      <c r="H752" s="3">
        <f>정규화데이터!H752</f>
        <v>119000</v>
      </c>
      <c r="I752" s="3">
        <f>정규화데이터!I752</f>
        <v>119000</v>
      </c>
      <c r="J752" s="3">
        <f>정규화데이터!J752</f>
        <v>80920</v>
      </c>
      <c r="K752" s="25">
        <f>정규화데이터!K752</f>
        <v>0</v>
      </c>
      <c r="L752" s="25">
        <f>정규화데이터!L752</f>
        <v>80920</v>
      </c>
      <c r="M752" s="21">
        <f t="shared" si="22"/>
        <v>0</v>
      </c>
      <c r="N752" s="52">
        <f t="shared" si="23"/>
        <v>0</v>
      </c>
    </row>
    <row r="753" spans="1:14" x14ac:dyDescent="0.3">
      <c r="A753" t="str">
        <f>정규화데이터!A753</f>
        <v>SK스토아</v>
      </c>
      <c r="B753" t="str">
        <f>정규화데이터!B753</f>
        <v>20260210360785</v>
      </c>
      <c r="C753" t="str">
        <f>정규화데이터!C753</f>
        <v>2026-02-12</v>
      </c>
      <c r="D753" t="str">
        <f>정규화데이터!D753</f>
        <v>58481090</v>
      </c>
      <c r="E753" s="16" t="str">
        <f>정규화데이터!E753</f>
        <v>미매핑</v>
      </c>
      <c r="F753" s="3">
        <f>정규화데이터!F753</f>
        <v>1</v>
      </c>
      <c r="G753" s="3">
        <f>정규화데이터!G753</f>
        <v>1</v>
      </c>
      <c r="H753" s="3">
        <f>정규화데이터!H753</f>
        <v>119000</v>
      </c>
      <c r="I753" s="3">
        <f>정규화데이터!I753</f>
        <v>119000</v>
      </c>
      <c r="J753" s="3">
        <f>정규화데이터!J753</f>
        <v>80920</v>
      </c>
      <c r="K753" s="25">
        <f>정규화데이터!K753</f>
        <v>0</v>
      </c>
      <c r="L753" s="25">
        <f>정규화데이터!L753</f>
        <v>80920</v>
      </c>
      <c r="M753" s="21">
        <f t="shared" si="22"/>
        <v>0</v>
      </c>
      <c r="N753" s="52">
        <f t="shared" si="23"/>
        <v>0</v>
      </c>
    </row>
    <row r="754" spans="1:14" x14ac:dyDescent="0.3">
      <c r="A754" t="str">
        <f>정규화데이터!A754</f>
        <v>SK스토아</v>
      </c>
      <c r="B754" t="str">
        <f>정규화데이터!B754</f>
        <v>20260210360903</v>
      </c>
      <c r="C754" t="str">
        <f>정규화데이터!C754</f>
        <v>2026-02-12</v>
      </c>
      <c r="D754" t="str">
        <f>정규화데이터!D754</f>
        <v>58481090</v>
      </c>
      <c r="E754" s="16" t="str">
        <f>정규화데이터!E754</f>
        <v>미매핑</v>
      </c>
      <c r="F754" s="3">
        <f>정규화데이터!F754</f>
        <v>1</v>
      </c>
      <c r="G754" s="3">
        <f>정규화데이터!G754</f>
        <v>1</v>
      </c>
      <c r="H754" s="3">
        <f>정규화데이터!H754</f>
        <v>119000</v>
      </c>
      <c r="I754" s="3">
        <f>정규화데이터!I754</f>
        <v>113050</v>
      </c>
      <c r="J754" s="3">
        <f>정규화데이터!J754</f>
        <v>80920</v>
      </c>
      <c r="K754" s="25">
        <f>정규화데이터!K754</f>
        <v>0</v>
      </c>
      <c r="L754" s="25">
        <f>정규화데이터!L754</f>
        <v>80920</v>
      </c>
      <c r="M754" s="21">
        <f t="shared" si="22"/>
        <v>0</v>
      </c>
      <c r="N754" s="52">
        <f t="shared" si="23"/>
        <v>0</v>
      </c>
    </row>
    <row r="755" spans="1:14" x14ac:dyDescent="0.3">
      <c r="A755" t="str">
        <f>정규화데이터!A755</f>
        <v>SK스토아</v>
      </c>
      <c r="B755" t="str">
        <f>정규화데이터!B755</f>
        <v>20260210360818</v>
      </c>
      <c r="C755" t="str">
        <f>정규화데이터!C755</f>
        <v>2026-02-12</v>
      </c>
      <c r="D755" t="str">
        <f>정규화데이터!D755</f>
        <v>58481090</v>
      </c>
      <c r="E755" s="16" t="str">
        <f>정규화데이터!E755</f>
        <v>미매핑</v>
      </c>
      <c r="F755" s="3">
        <f>정규화데이터!F755</f>
        <v>1</v>
      </c>
      <c r="G755" s="3">
        <f>정규화데이터!G755</f>
        <v>1</v>
      </c>
      <c r="H755" s="3">
        <f>정규화데이터!H755</f>
        <v>119000</v>
      </c>
      <c r="I755" s="3">
        <f>정규화데이터!I755</f>
        <v>119000</v>
      </c>
      <c r="J755" s="3">
        <f>정규화데이터!J755</f>
        <v>80920</v>
      </c>
      <c r="K755" s="25">
        <f>정규화데이터!K755</f>
        <v>0</v>
      </c>
      <c r="L755" s="25">
        <f>정규화데이터!L755</f>
        <v>80920</v>
      </c>
      <c r="M755" s="21">
        <f t="shared" si="22"/>
        <v>0</v>
      </c>
      <c r="N755" s="52">
        <f t="shared" si="23"/>
        <v>0</v>
      </c>
    </row>
    <row r="756" spans="1:14" x14ac:dyDescent="0.3">
      <c r="A756" t="str">
        <f>정규화데이터!A756</f>
        <v>SK스토아</v>
      </c>
      <c r="B756" t="str">
        <f>정규화데이터!B756</f>
        <v>20260210361184</v>
      </c>
      <c r="C756" t="str">
        <f>정규화데이터!C756</f>
        <v>2026-02-12</v>
      </c>
      <c r="D756" t="str">
        <f>정규화데이터!D756</f>
        <v>58481090</v>
      </c>
      <c r="E756" s="16" t="str">
        <f>정규화데이터!E756</f>
        <v>미매핑</v>
      </c>
      <c r="F756" s="3">
        <f>정규화데이터!F756</f>
        <v>1</v>
      </c>
      <c r="G756" s="3">
        <f>정규화데이터!G756</f>
        <v>1</v>
      </c>
      <c r="H756" s="3">
        <f>정규화데이터!H756</f>
        <v>119000</v>
      </c>
      <c r="I756" s="3">
        <f>정규화데이터!I756</f>
        <v>114000</v>
      </c>
      <c r="J756" s="3">
        <f>정규화데이터!J756</f>
        <v>80920</v>
      </c>
      <c r="K756" s="25">
        <f>정규화데이터!K756</f>
        <v>0</v>
      </c>
      <c r="L756" s="25">
        <f>정규화데이터!L756</f>
        <v>80920</v>
      </c>
      <c r="M756" s="21">
        <f t="shared" si="22"/>
        <v>0</v>
      </c>
      <c r="N756" s="52">
        <f t="shared" si="23"/>
        <v>0</v>
      </c>
    </row>
    <row r="757" spans="1:14" x14ac:dyDescent="0.3">
      <c r="A757" t="str">
        <f>정규화데이터!A757</f>
        <v>SK스토아</v>
      </c>
      <c r="B757" t="str">
        <f>정규화데이터!B757</f>
        <v>20260210360436</v>
      </c>
      <c r="C757" t="str">
        <f>정규화데이터!C757</f>
        <v>2026-02-12</v>
      </c>
      <c r="D757" t="str">
        <f>정규화데이터!D757</f>
        <v>58481090</v>
      </c>
      <c r="E757" s="16" t="str">
        <f>정규화데이터!E757</f>
        <v>미매핑</v>
      </c>
      <c r="F757" s="3">
        <f>정규화데이터!F757</f>
        <v>1</v>
      </c>
      <c r="G757" s="3">
        <f>정규화데이터!G757</f>
        <v>1</v>
      </c>
      <c r="H757" s="3">
        <f>정규화데이터!H757</f>
        <v>119000</v>
      </c>
      <c r="I757" s="3">
        <f>정규화데이터!I757</f>
        <v>119000</v>
      </c>
      <c r="J757" s="3">
        <f>정규화데이터!J757</f>
        <v>80920</v>
      </c>
      <c r="K757" s="25">
        <f>정규화데이터!K757</f>
        <v>0</v>
      </c>
      <c r="L757" s="25">
        <f>정규화데이터!L757</f>
        <v>80920</v>
      </c>
      <c r="M757" s="21">
        <f t="shared" si="22"/>
        <v>0</v>
      </c>
      <c r="N757" s="52">
        <f t="shared" si="23"/>
        <v>0</v>
      </c>
    </row>
    <row r="758" spans="1:14" x14ac:dyDescent="0.3">
      <c r="A758" t="str">
        <f>정규화데이터!A758</f>
        <v>SK스토아</v>
      </c>
      <c r="B758" t="str">
        <f>정규화데이터!B758</f>
        <v>20260210361793</v>
      </c>
      <c r="C758" t="str">
        <f>정규화데이터!C758</f>
        <v>2026-02-12</v>
      </c>
      <c r="D758" t="str">
        <f>정규화데이터!D758</f>
        <v>58481090</v>
      </c>
      <c r="E758" s="16" t="str">
        <f>정규화데이터!E758</f>
        <v>미매핑</v>
      </c>
      <c r="F758" s="3">
        <f>정규화데이터!F758</f>
        <v>1</v>
      </c>
      <c r="G758" s="3">
        <f>정규화데이터!G758</f>
        <v>1</v>
      </c>
      <c r="H758" s="3">
        <f>정규화데이터!H758</f>
        <v>119000</v>
      </c>
      <c r="I758" s="3">
        <f>정규화데이터!I758</f>
        <v>119000</v>
      </c>
      <c r="J758" s="3">
        <f>정규화데이터!J758</f>
        <v>80920</v>
      </c>
      <c r="K758" s="25">
        <f>정규화데이터!K758</f>
        <v>0</v>
      </c>
      <c r="L758" s="25">
        <f>정규화데이터!L758</f>
        <v>80920</v>
      </c>
      <c r="M758" s="21">
        <f t="shared" si="22"/>
        <v>0</v>
      </c>
      <c r="N758" s="52">
        <f t="shared" si="23"/>
        <v>0</v>
      </c>
    </row>
    <row r="759" spans="1:14" x14ac:dyDescent="0.3">
      <c r="A759" t="str">
        <f>정규화데이터!A759</f>
        <v>SK스토아</v>
      </c>
      <c r="B759" t="str">
        <f>정규화데이터!B759</f>
        <v>20260210361964</v>
      </c>
      <c r="C759" t="str">
        <f>정규화데이터!C759</f>
        <v>2026-02-12</v>
      </c>
      <c r="D759" t="str">
        <f>정규화데이터!D759</f>
        <v>58481090</v>
      </c>
      <c r="E759" s="16" t="str">
        <f>정규화데이터!E759</f>
        <v>미매핑</v>
      </c>
      <c r="F759" s="3">
        <f>정규화데이터!F759</f>
        <v>1</v>
      </c>
      <c r="G759" s="3">
        <f>정규화데이터!G759</f>
        <v>1</v>
      </c>
      <c r="H759" s="3">
        <f>정규화데이터!H759</f>
        <v>119000</v>
      </c>
      <c r="I759" s="3">
        <f>정규화데이터!I759</f>
        <v>119000</v>
      </c>
      <c r="J759" s="3">
        <f>정규화데이터!J759</f>
        <v>80920</v>
      </c>
      <c r="K759" s="25">
        <f>정규화데이터!K759</f>
        <v>0</v>
      </c>
      <c r="L759" s="25">
        <f>정규화데이터!L759</f>
        <v>80920</v>
      </c>
      <c r="M759" s="21">
        <f t="shared" si="22"/>
        <v>0</v>
      </c>
      <c r="N759" s="52">
        <f t="shared" si="23"/>
        <v>0</v>
      </c>
    </row>
    <row r="760" spans="1:14" x14ac:dyDescent="0.3">
      <c r="A760" t="str">
        <f>정규화데이터!A760</f>
        <v>SK스토아</v>
      </c>
      <c r="B760" t="str">
        <f>정규화데이터!B760</f>
        <v>20260210361971</v>
      </c>
      <c r="C760" t="str">
        <f>정규화데이터!C760</f>
        <v>2026-02-12</v>
      </c>
      <c r="D760" t="str">
        <f>정규화데이터!D760</f>
        <v>58481090</v>
      </c>
      <c r="E760" s="16" t="str">
        <f>정규화데이터!E760</f>
        <v>미매핑</v>
      </c>
      <c r="F760" s="3">
        <f>정규화데이터!F760</f>
        <v>1</v>
      </c>
      <c r="G760" s="3">
        <f>정규화데이터!G760</f>
        <v>1</v>
      </c>
      <c r="H760" s="3">
        <f>정규화데이터!H760</f>
        <v>119000</v>
      </c>
      <c r="I760" s="3">
        <f>정규화데이터!I760</f>
        <v>119000</v>
      </c>
      <c r="J760" s="3">
        <f>정규화데이터!J760</f>
        <v>80920</v>
      </c>
      <c r="K760" s="25">
        <f>정규화데이터!K760</f>
        <v>0</v>
      </c>
      <c r="L760" s="25">
        <f>정규화데이터!L760</f>
        <v>80920</v>
      </c>
      <c r="M760" s="21">
        <f t="shared" si="22"/>
        <v>0</v>
      </c>
      <c r="N760" s="52">
        <f t="shared" si="23"/>
        <v>0</v>
      </c>
    </row>
    <row r="761" spans="1:14" x14ac:dyDescent="0.3">
      <c r="A761" t="str">
        <f>정규화데이터!A761</f>
        <v>SK스토아</v>
      </c>
      <c r="B761" t="str">
        <f>정규화데이터!B761</f>
        <v>20260210360781</v>
      </c>
      <c r="C761" t="str">
        <f>정규화데이터!C761</f>
        <v>2026-02-12</v>
      </c>
      <c r="D761" t="str">
        <f>정규화데이터!D761</f>
        <v>58481090</v>
      </c>
      <c r="E761" s="16" t="str">
        <f>정규화데이터!E761</f>
        <v>미매핑</v>
      </c>
      <c r="F761" s="3">
        <f>정규화데이터!F761</f>
        <v>1</v>
      </c>
      <c r="G761" s="3">
        <f>정규화데이터!G761</f>
        <v>1</v>
      </c>
      <c r="H761" s="3">
        <f>정규화데이터!H761</f>
        <v>119000</v>
      </c>
      <c r="I761" s="3">
        <f>정규화데이터!I761</f>
        <v>119000</v>
      </c>
      <c r="J761" s="3">
        <f>정규화데이터!J761</f>
        <v>80920</v>
      </c>
      <c r="K761" s="25">
        <f>정규화데이터!K761</f>
        <v>0</v>
      </c>
      <c r="L761" s="25">
        <f>정규화데이터!L761</f>
        <v>80920</v>
      </c>
      <c r="M761" s="21">
        <f t="shared" si="22"/>
        <v>0</v>
      </c>
      <c r="N761" s="52">
        <f t="shared" si="23"/>
        <v>0</v>
      </c>
    </row>
    <row r="762" spans="1:14" x14ac:dyDescent="0.3">
      <c r="A762" t="str">
        <f>정규화데이터!A762</f>
        <v>SK스토아</v>
      </c>
      <c r="B762" t="str">
        <f>정규화데이터!B762</f>
        <v>20260210361080</v>
      </c>
      <c r="C762" t="str">
        <f>정규화데이터!C762</f>
        <v>2026-02-12</v>
      </c>
      <c r="D762" t="str">
        <f>정규화데이터!D762</f>
        <v>58481090</v>
      </c>
      <c r="E762" s="16" t="str">
        <f>정규화데이터!E762</f>
        <v>미매핑</v>
      </c>
      <c r="F762" s="3">
        <f>정규화데이터!F762</f>
        <v>1</v>
      </c>
      <c r="G762" s="3">
        <f>정규화데이터!G762</f>
        <v>1</v>
      </c>
      <c r="H762" s="3">
        <f>정규화데이터!H762</f>
        <v>119000</v>
      </c>
      <c r="I762" s="3">
        <f>정규화데이터!I762</f>
        <v>119000</v>
      </c>
      <c r="J762" s="3">
        <f>정규화데이터!J762</f>
        <v>80920</v>
      </c>
      <c r="K762" s="25">
        <f>정규화데이터!K762</f>
        <v>0</v>
      </c>
      <c r="L762" s="25">
        <f>정규화데이터!L762</f>
        <v>80920</v>
      </c>
      <c r="M762" s="21">
        <f t="shared" si="22"/>
        <v>0</v>
      </c>
      <c r="N762" s="52">
        <f t="shared" si="23"/>
        <v>0</v>
      </c>
    </row>
    <row r="763" spans="1:14" x14ac:dyDescent="0.3">
      <c r="A763" t="str">
        <f>정규화데이터!A763</f>
        <v>SK스토아</v>
      </c>
      <c r="B763" t="str">
        <f>정규화데이터!B763</f>
        <v>20260210361198</v>
      </c>
      <c r="C763" t="str">
        <f>정규화데이터!C763</f>
        <v>2026-02-12</v>
      </c>
      <c r="D763" t="str">
        <f>정규화데이터!D763</f>
        <v>58481090</v>
      </c>
      <c r="E763" s="16" t="str">
        <f>정규화데이터!E763</f>
        <v>미매핑</v>
      </c>
      <c r="F763" s="3">
        <f>정규화데이터!F763</f>
        <v>1</v>
      </c>
      <c r="G763" s="3">
        <f>정규화데이터!G763</f>
        <v>1</v>
      </c>
      <c r="H763" s="3">
        <f>정규화데이터!H763</f>
        <v>119000</v>
      </c>
      <c r="I763" s="3">
        <f>정규화데이터!I763</f>
        <v>113050</v>
      </c>
      <c r="J763" s="3">
        <f>정규화데이터!J763</f>
        <v>80920</v>
      </c>
      <c r="K763" s="25">
        <f>정규화데이터!K763</f>
        <v>0</v>
      </c>
      <c r="L763" s="25">
        <f>정규화데이터!L763</f>
        <v>80920</v>
      </c>
      <c r="M763" s="21">
        <f t="shared" si="22"/>
        <v>0</v>
      </c>
      <c r="N763" s="52">
        <f t="shared" si="23"/>
        <v>0</v>
      </c>
    </row>
    <row r="764" spans="1:14" x14ac:dyDescent="0.3">
      <c r="A764" t="str">
        <f>정규화데이터!A764</f>
        <v>SK스토아</v>
      </c>
      <c r="B764" t="str">
        <f>정규화데이터!B764</f>
        <v>20260210361300</v>
      </c>
      <c r="C764" t="str">
        <f>정규화데이터!C764</f>
        <v>2026-02-12</v>
      </c>
      <c r="D764" t="str">
        <f>정규화데이터!D764</f>
        <v>58481090</v>
      </c>
      <c r="E764" s="16" t="str">
        <f>정규화데이터!E764</f>
        <v>미매핑</v>
      </c>
      <c r="F764" s="3">
        <f>정규화데이터!F764</f>
        <v>1</v>
      </c>
      <c r="G764" s="3">
        <f>정규화데이터!G764</f>
        <v>1</v>
      </c>
      <c r="H764" s="3">
        <f>정규화데이터!H764</f>
        <v>119000</v>
      </c>
      <c r="I764" s="3">
        <f>정규화데이터!I764</f>
        <v>113050</v>
      </c>
      <c r="J764" s="3">
        <f>정규화데이터!J764</f>
        <v>80920</v>
      </c>
      <c r="K764" s="25">
        <f>정규화데이터!K764</f>
        <v>0</v>
      </c>
      <c r="L764" s="25">
        <f>정규화데이터!L764</f>
        <v>80920</v>
      </c>
      <c r="M764" s="21">
        <f t="shared" si="22"/>
        <v>0</v>
      </c>
      <c r="N764" s="52">
        <f t="shared" si="23"/>
        <v>0</v>
      </c>
    </row>
    <row r="765" spans="1:14" x14ac:dyDescent="0.3">
      <c r="A765" t="str">
        <f>정규화데이터!A765</f>
        <v>SK스토아</v>
      </c>
      <c r="B765" t="str">
        <f>정규화데이터!B765</f>
        <v>20260210360466</v>
      </c>
      <c r="C765" t="str">
        <f>정규화데이터!C765</f>
        <v>2026-02-12</v>
      </c>
      <c r="D765" t="str">
        <f>정규화데이터!D765</f>
        <v>58481090</v>
      </c>
      <c r="E765" s="16" t="str">
        <f>정규화데이터!E765</f>
        <v>미매핑</v>
      </c>
      <c r="F765" s="3">
        <f>정규화데이터!F765</f>
        <v>1</v>
      </c>
      <c r="G765" s="3">
        <f>정규화데이터!G765</f>
        <v>1</v>
      </c>
      <c r="H765" s="3">
        <f>정규화데이터!H765</f>
        <v>119000</v>
      </c>
      <c r="I765" s="3">
        <f>정규화데이터!I765</f>
        <v>119000</v>
      </c>
      <c r="J765" s="3">
        <f>정규화데이터!J765</f>
        <v>80920</v>
      </c>
      <c r="K765" s="25">
        <f>정규화데이터!K765</f>
        <v>0</v>
      </c>
      <c r="L765" s="25">
        <f>정규화데이터!L765</f>
        <v>80920</v>
      </c>
      <c r="M765" s="21">
        <f t="shared" si="22"/>
        <v>0</v>
      </c>
      <c r="N765" s="52">
        <f t="shared" si="23"/>
        <v>0</v>
      </c>
    </row>
    <row r="766" spans="1:14" x14ac:dyDescent="0.3">
      <c r="A766" t="str">
        <f>정규화데이터!A766</f>
        <v>SK스토아</v>
      </c>
      <c r="B766" t="str">
        <f>정규화데이터!B766</f>
        <v>20260210360681</v>
      </c>
      <c r="C766" t="str">
        <f>정규화데이터!C766</f>
        <v>2026-02-12</v>
      </c>
      <c r="D766" t="str">
        <f>정규화데이터!D766</f>
        <v>58481090</v>
      </c>
      <c r="E766" s="16" t="str">
        <f>정규화데이터!E766</f>
        <v>미매핑</v>
      </c>
      <c r="F766" s="3">
        <f>정규화데이터!F766</f>
        <v>1</v>
      </c>
      <c r="G766" s="3">
        <f>정규화데이터!G766</f>
        <v>1</v>
      </c>
      <c r="H766" s="3">
        <f>정규화데이터!H766</f>
        <v>119000</v>
      </c>
      <c r="I766" s="3">
        <f>정규화데이터!I766</f>
        <v>113050</v>
      </c>
      <c r="J766" s="3">
        <f>정규화데이터!J766</f>
        <v>80920</v>
      </c>
      <c r="K766" s="25">
        <f>정규화데이터!K766</f>
        <v>0</v>
      </c>
      <c r="L766" s="25">
        <f>정규화데이터!L766</f>
        <v>80920</v>
      </c>
      <c r="M766" s="21">
        <f t="shared" si="22"/>
        <v>0</v>
      </c>
      <c r="N766" s="52">
        <f t="shared" si="23"/>
        <v>0</v>
      </c>
    </row>
    <row r="767" spans="1:14" x14ac:dyDescent="0.3">
      <c r="A767" t="str">
        <f>정규화데이터!A767</f>
        <v>SK스토아</v>
      </c>
      <c r="B767" t="str">
        <f>정규화데이터!B767</f>
        <v>20260210361731</v>
      </c>
      <c r="C767" t="str">
        <f>정규화데이터!C767</f>
        <v>2026-02-12</v>
      </c>
      <c r="D767" t="str">
        <f>정규화데이터!D767</f>
        <v>58481090</v>
      </c>
      <c r="E767" s="16" t="str">
        <f>정규화데이터!E767</f>
        <v>미매핑</v>
      </c>
      <c r="F767" s="3">
        <f>정규화데이터!F767</f>
        <v>1</v>
      </c>
      <c r="G767" s="3">
        <f>정규화데이터!G767</f>
        <v>1</v>
      </c>
      <c r="H767" s="3">
        <f>정규화데이터!H767</f>
        <v>119000</v>
      </c>
      <c r="I767" s="3">
        <f>정규화데이터!I767</f>
        <v>119000</v>
      </c>
      <c r="J767" s="3">
        <f>정규화데이터!J767</f>
        <v>80920</v>
      </c>
      <c r="K767" s="25">
        <f>정규화데이터!K767</f>
        <v>0</v>
      </c>
      <c r="L767" s="25">
        <f>정규화데이터!L767</f>
        <v>80920</v>
      </c>
      <c r="M767" s="21">
        <f t="shared" si="22"/>
        <v>0</v>
      </c>
      <c r="N767" s="52">
        <f t="shared" si="23"/>
        <v>0</v>
      </c>
    </row>
    <row r="768" spans="1:14" x14ac:dyDescent="0.3">
      <c r="A768" t="str">
        <f>정규화데이터!A768</f>
        <v>SK스토아</v>
      </c>
      <c r="B768" t="str">
        <f>정규화데이터!B768</f>
        <v>20260210361854</v>
      </c>
      <c r="C768" t="str">
        <f>정규화데이터!C768</f>
        <v>2026-02-12</v>
      </c>
      <c r="D768" t="str">
        <f>정규화데이터!D768</f>
        <v>58481090</v>
      </c>
      <c r="E768" s="16" t="str">
        <f>정규화데이터!E768</f>
        <v>미매핑</v>
      </c>
      <c r="F768" s="3">
        <f>정규화데이터!F768</f>
        <v>1</v>
      </c>
      <c r="G768" s="3">
        <f>정규화데이터!G768</f>
        <v>1</v>
      </c>
      <c r="H768" s="3">
        <f>정규화데이터!H768</f>
        <v>119000</v>
      </c>
      <c r="I768" s="3">
        <f>정규화데이터!I768</f>
        <v>119000</v>
      </c>
      <c r="J768" s="3">
        <f>정규화데이터!J768</f>
        <v>80920</v>
      </c>
      <c r="K768" s="25">
        <f>정규화데이터!K768</f>
        <v>0</v>
      </c>
      <c r="L768" s="25">
        <f>정규화데이터!L768</f>
        <v>80920</v>
      </c>
      <c r="M768" s="21">
        <f t="shared" si="22"/>
        <v>0</v>
      </c>
      <c r="N768" s="52">
        <f t="shared" si="23"/>
        <v>0</v>
      </c>
    </row>
    <row r="769" spans="1:14" x14ac:dyDescent="0.3">
      <c r="A769" t="str">
        <f>정규화데이터!A769</f>
        <v>SK스토아</v>
      </c>
      <c r="B769" t="str">
        <f>정규화데이터!B769</f>
        <v>20260210362118</v>
      </c>
      <c r="C769" t="str">
        <f>정규화데이터!C769</f>
        <v>2026-02-12</v>
      </c>
      <c r="D769" t="str">
        <f>정규화데이터!D769</f>
        <v>58481090</v>
      </c>
      <c r="E769" s="16" t="str">
        <f>정규화데이터!E769</f>
        <v>미매핑</v>
      </c>
      <c r="F769" s="3">
        <f>정규화데이터!F769</f>
        <v>1</v>
      </c>
      <c r="G769" s="3">
        <f>정규화데이터!G769</f>
        <v>1</v>
      </c>
      <c r="H769" s="3">
        <f>정규화데이터!H769</f>
        <v>119000</v>
      </c>
      <c r="I769" s="3">
        <f>정규화데이터!I769</f>
        <v>119000</v>
      </c>
      <c r="J769" s="3">
        <f>정규화데이터!J769</f>
        <v>80920</v>
      </c>
      <c r="K769" s="25">
        <f>정규화데이터!K769</f>
        <v>0</v>
      </c>
      <c r="L769" s="25">
        <f>정규화데이터!L769</f>
        <v>80920</v>
      </c>
      <c r="M769" s="21">
        <f t="shared" si="22"/>
        <v>0</v>
      </c>
      <c r="N769" s="52">
        <f t="shared" si="23"/>
        <v>0</v>
      </c>
    </row>
    <row r="770" spans="1:14" x14ac:dyDescent="0.3">
      <c r="A770" t="str">
        <f>정규화데이터!A770</f>
        <v>SK스토아</v>
      </c>
      <c r="B770" t="str">
        <f>정규화데이터!B770</f>
        <v>20260210360847</v>
      </c>
      <c r="C770" t="str">
        <f>정규화데이터!C770</f>
        <v>2026-02-12</v>
      </c>
      <c r="D770" t="str">
        <f>정규화데이터!D770</f>
        <v>58481090</v>
      </c>
      <c r="E770" s="16" t="str">
        <f>정규화데이터!E770</f>
        <v>미매핑</v>
      </c>
      <c r="F770" s="3">
        <f>정규화데이터!F770</f>
        <v>1</v>
      </c>
      <c r="G770" s="3">
        <f>정규화데이터!G770</f>
        <v>1</v>
      </c>
      <c r="H770" s="3">
        <f>정규화데이터!H770</f>
        <v>119000</v>
      </c>
      <c r="I770" s="3">
        <f>정규화데이터!I770</f>
        <v>119000</v>
      </c>
      <c r="J770" s="3">
        <f>정규화데이터!J770</f>
        <v>80920</v>
      </c>
      <c r="K770" s="25">
        <f>정규화데이터!K770</f>
        <v>0</v>
      </c>
      <c r="L770" s="25">
        <f>정규화데이터!L770</f>
        <v>80920</v>
      </c>
      <c r="M770" s="21">
        <f t="shared" ref="M770:M833" si="24">J770-L770</f>
        <v>0</v>
      </c>
      <c r="N770" s="52">
        <f t="shared" ref="N770:N833" si="25">IF(J770=0,0,M770/J770)</f>
        <v>0</v>
      </c>
    </row>
    <row r="771" spans="1:14" x14ac:dyDescent="0.3">
      <c r="A771" t="str">
        <f>정규화데이터!A771</f>
        <v>SK스토아</v>
      </c>
      <c r="B771" t="str">
        <f>정규화데이터!B771</f>
        <v>20260210360648</v>
      </c>
      <c r="C771" t="str">
        <f>정규화데이터!C771</f>
        <v>2026-02-12</v>
      </c>
      <c r="D771" t="str">
        <f>정규화데이터!D771</f>
        <v>58481090</v>
      </c>
      <c r="E771" s="16" t="str">
        <f>정규화데이터!E771</f>
        <v>미매핑</v>
      </c>
      <c r="F771" s="3">
        <f>정규화데이터!F771</f>
        <v>1</v>
      </c>
      <c r="G771" s="3">
        <f>정규화데이터!G771</f>
        <v>1</v>
      </c>
      <c r="H771" s="3">
        <f>정규화데이터!H771</f>
        <v>119000</v>
      </c>
      <c r="I771" s="3">
        <f>정규화데이터!I771</f>
        <v>119000</v>
      </c>
      <c r="J771" s="3">
        <f>정규화데이터!J771</f>
        <v>80920</v>
      </c>
      <c r="K771" s="25">
        <f>정규화데이터!K771</f>
        <v>0</v>
      </c>
      <c r="L771" s="25">
        <f>정규화데이터!L771</f>
        <v>80920</v>
      </c>
      <c r="M771" s="21">
        <f t="shared" si="24"/>
        <v>0</v>
      </c>
      <c r="N771" s="52">
        <f t="shared" si="25"/>
        <v>0</v>
      </c>
    </row>
    <row r="772" spans="1:14" x14ac:dyDescent="0.3">
      <c r="A772" t="str">
        <f>정규화데이터!A772</f>
        <v>SK스토아</v>
      </c>
      <c r="B772" t="str">
        <f>정규화데이터!B772</f>
        <v>20260210360890</v>
      </c>
      <c r="C772" t="str">
        <f>정규화데이터!C772</f>
        <v>2026-02-12</v>
      </c>
      <c r="D772" t="str">
        <f>정규화데이터!D772</f>
        <v>58481090</v>
      </c>
      <c r="E772" s="16" t="str">
        <f>정규화데이터!E772</f>
        <v>미매핑</v>
      </c>
      <c r="F772" s="3">
        <f>정규화데이터!F772</f>
        <v>1</v>
      </c>
      <c r="G772" s="3">
        <f>정규화데이터!G772</f>
        <v>1</v>
      </c>
      <c r="H772" s="3">
        <f>정규화데이터!H772</f>
        <v>119000</v>
      </c>
      <c r="I772" s="3">
        <f>정규화데이터!I772</f>
        <v>119000</v>
      </c>
      <c r="J772" s="3">
        <f>정규화데이터!J772</f>
        <v>80920</v>
      </c>
      <c r="K772" s="25">
        <f>정규화데이터!K772</f>
        <v>0</v>
      </c>
      <c r="L772" s="25">
        <f>정규화데이터!L772</f>
        <v>80920</v>
      </c>
      <c r="M772" s="21">
        <f t="shared" si="24"/>
        <v>0</v>
      </c>
      <c r="N772" s="52">
        <f t="shared" si="25"/>
        <v>0</v>
      </c>
    </row>
    <row r="773" spans="1:14" x14ac:dyDescent="0.3">
      <c r="A773" t="str">
        <f>정규화데이터!A773</f>
        <v>SK스토아</v>
      </c>
      <c r="B773" t="str">
        <f>정규화데이터!B773</f>
        <v>20260210360922</v>
      </c>
      <c r="C773" t="str">
        <f>정규화데이터!C773</f>
        <v>2026-02-12</v>
      </c>
      <c r="D773" t="str">
        <f>정규화데이터!D773</f>
        <v>58481090</v>
      </c>
      <c r="E773" s="16" t="str">
        <f>정규화데이터!E773</f>
        <v>미매핑</v>
      </c>
      <c r="F773" s="3">
        <f>정규화데이터!F773</f>
        <v>1</v>
      </c>
      <c r="G773" s="3">
        <f>정규화데이터!G773</f>
        <v>1</v>
      </c>
      <c r="H773" s="3">
        <f>정규화데이터!H773</f>
        <v>119000</v>
      </c>
      <c r="I773" s="3">
        <f>정규화데이터!I773</f>
        <v>119000</v>
      </c>
      <c r="J773" s="3">
        <f>정규화데이터!J773</f>
        <v>80920</v>
      </c>
      <c r="K773" s="25">
        <f>정규화데이터!K773</f>
        <v>0</v>
      </c>
      <c r="L773" s="25">
        <f>정규화데이터!L773</f>
        <v>80920</v>
      </c>
      <c r="M773" s="21">
        <f t="shared" si="24"/>
        <v>0</v>
      </c>
      <c r="N773" s="52">
        <f t="shared" si="25"/>
        <v>0</v>
      </c>
    </row>
    <row r="774" spans="1:14" x14ac:dyDescent="0.3">
      <c r="A774" t="str">
        <f>정규화데이터!A774</f>
        <v>SK스토아</v>
      </c>
      <c r="B774" t="str">
        <f>정규화데이터!B774</f>
        <v>20260210361100</v>
      </c>
      <c r="C774" t="str">
        <f>정규화데이터!C774</f>
        <v>2026-02-12</v>
      </c>
      <c r="D774" t="str">
        <f>정규화데이터!D774</f>
        <v>58481090</v>
      </c>
      <c r="E774" s="16" t="str">
        <f>정규화데이터!E774</f>
        <v>미매핑</v>
      </c>
      <c r="F774" s="3">
        <f>정규화데이터!F774</f>
        <v>1</v>
      </c>
      <c r="G774" s="3">
        <f>정규화데이터!G774</f>
        <v>1</v>
      </c>
      <c r="H774" s="3">
        <f>정규화데이터!H774</f>
        <v>119000</v>
      </c>
      <c r="I774" s="3">
        <f>정규화데이터!I774</f>
        <v>119000</v>
      </c>
      <c r="J774" s="3">
        <f>정규화데이터!J774</f>
        <v>80920</v>
      </c>
      <c r="K774" s="25">
        <f>정규화데이터!K774</f>
        <v>0</v>
      </c>
      <c r="L774" s="25">
        <f>정규화데이터!L774</f>
        <v>80920</v>
      </c>
      <c r="M774" s="21">
        <f t="shared" si="24"/>
        <v>0</v>
      </c>
      <c r="N774" s="52">
        <f t="shared" si="25"/>
        <v>0</v>
      </c>
    </row>
    <row r="775" spans="1:14" x14ac:dyDescent="0.3">
      <c r="A775" t="str">
        <f>정규화데이터!A775</f>
        <v>SK스토아</v>
      </c>
      <c r="B775" t="str">
        <f>정규화데이터!B775</f>
        <v>20260210361163</v>
      </c>
      <c r="C775" t="str">
        <f>정규화데이터!C775</f>
        <v>2026-02-12</v>
      </c>
      <c r="D775" t="str">
        <f>정규화데이터!D775</f>
        <v>58481090</v>
      </c>
      <c r="E775" s="16" t="str">
        <f>정규화데이터!E775</f>
        <v>미매핑</v>
      </c>
      <c r="F775" s="3">
        <f>정규화데이터!F775</f>
        <v>1</v>
      </c>
      <c r="G775" s="3">
        <f>정규화데이터!G775</f>
        <v>1</v>
      </c>
      <c r="H775" s="3">
        <f>정규화데이터!H775</f>
        <v>119000</v>
      </c>
      <c r="I775" s="3">
        <f>정규화데이터!I775</f>
        <v>119000</v>
      </c>
      <c r="J775" s="3">
        <f>정규화데이터!J775</f>
        <v>80920</v>
      </c>
      <c r="K775" s="25">
        <f>정규화데이터!K775</f>
        <v>0</v>
      </c>
      <c r="L775" s="25">
        <f>정규화데이터!L775</f>
        <v>80920</v>
      </c>
      <c r="M775" s="21">
        <f t="shared" si="24"/>
        <v>0</v>
      </c>
      <c r="N775" s="52">
        <f t="shared" si="25"/>
        <v>0</v>
      </c>
    </row>
    <row r="776" spans="1:14" x14ac:dyDescent="0.3">
      <c r="A776" t="str">
        <f>정규화데이터!A776</f>
        <v>SK스토아</v>
      </c>
      <c r="B776" t="str">
        <f>정규화데이터!B776</f>
        <v>20260210360249</v>
      </c>
      <c r="C776" t="str">
        <f>정규화데이터!C776</f>
        <v>2026-02-12</v>
      </c>
      <c r="D776" t="str">
        <f>정규화데이터!D776</f>
        <v>58481090</v>
      </c>
      <c r="E776" s="16" t="str">
        <f>정규화데이터!E776</f>
        <v>미매핑</v>
      </c>
      <c r="F776" s="3">
        <f>정규화데이터!F776</f>
        <v>1</v>
      </c>
      <c r="G776" s="3">
        <f>정규화데이터!G776</f>
        <v>1</v>
      </c>
      <c r="H776" s="3">
        <f>정규화데이터!H776</f>
        <v>119000</v>
      </c>
      <c r="I776" s="3">
        <f>정규화데이터!I776</f>
        <v>119000</v>
      </c>
      <c r="J776" s="3">
        <f>정규화데이터!J776</f>
        <v>80920</v>
      </c>
      <c r="K776" s="25">
        <f>정규화데이터!K776</f>
        <v>0</v>
      </c>
      <c r="L776" s="25">
        <f>정규화데이터!L776</f>
        <v>80920</v>
      </c>
      <c r="M776" s="21">
        <f t="shared" si="24"/>
        <v>0</v>
      </c>
      <c r="N776" s="52">
        <f t="shared" si="25"/>
        <v>0</v>
      </c>
    </row>
    <row r="777" spans="1:14" x14ac:dyDescent="0.3">
      <c r="A777" t="str">
        <f>정규화데이터!A777</f>
        <v>SK스토아</v>
      </c>
      <c r="B777" t="str">
        <f>정규화데이터!B777</f>
        <v>20260210360429</v>
      </c>
      <c r="C777" t="str">
        <f>정규화데이터!C777</f>
        <v>2026-02-12</v>
      </c>
      <c r="D777" t="str">
        <f>정규화데이터!D777</f>
        <v>58481090</v>
      </c>
      <c r="E777" s="16" t="str">
        <f>정규화데이터!E777</f>
        <v>미매핑</v>
      </c>
      <c r="F777" s="3">
        <f>정규화데이터!F777</f>
        <v>1</v>
      </c>
      <c r="G777" s="3">
        <f>정규화데이터!G777</f>
        <v>1</v>
      </c>
      <c r="H777" s="3">
        <f>정규화데이터!H777</f>
        <v>119000</v>
      </c>
      <c r="I777" s="3">
        <f>정규화데이터!I777</f>
        <v>119000</v>
      </c>
      <c r="J777" s="3">
        <f>정규화데이터!J777</f>
        <v>80920</v>
      </c>
      <c r="K777" s="25">
        <f>정규화데이터!K777</f>
        <v>0</v>
      </c>
      <c r="L777" s="25">
        <f>정규화데이터!L777</f>
        <v>80920</v>
      </c>
      <c r="M777" s="21">
        <f t="shared" si="24"/>
        <v>0</v>
      </c>
      <c r="N777" s="52">
        <f t="shared" si="25"/>
        <v>0</v>
      </c>
    </row>
    <row r="778" spans="1:14" x14ac:dyDescent="0.3">
      <c r="A778" t="str">
        <f>정규화데이터!A778</f>
        <v>SK스토아</v>
      </c>
      <c r="B778" t="str">
        <f>정규화데이터!B778</f>
        <v>20260210361277</v>
      </c>
      <c r="C778" t="str">
        <f>정규화데이터!C778</f>
        <v>2026-02-12</v>
      </c>
      <c r="D778" t="str">
        <f>정규화데이터!D778</f>
        <v>58481090</v>
      </c>
      <c r="E778" s="16" t="str">
        <f>정규화데이터!E778</f>
        <v>미매핑</v>
      </c>
      <c r="F778" s="3">
        <f>정규화데이터!F778</f>
        <v>1</v>
      </c>
      <c r="G778" s="3">
        <f>정규화데이터!G778</f>
        <v>1</v>
      </c>
      <c r="H778" s="3">
        <f>정규화데이터!H778</f>
        <v>119000</v>
      </c>
      <c r="I778" s="3">
        <f>정규화데이터!I778</f>
        <v>119000</v>
      </c>
      <c r="J778" s="3">
        <f>정규화데이터!J778</f>
        <v>80920</v>
      </c>
      <c r="K778" s="25">
        <f>정규화데이터!K778</f>
        <v>0</v>
      </c>
      <c r="L778" s="25">
        <f>정규화데이터!L778</f>
        <v>80920</v>
      </c>
      <c r="M778" s="21">
        <f t="shared" si="24"/>
        <v>0</v>
      </c>
      <c r="N778" s="52">
        <f t="shared" si="25"/>
        <v>0</v>
      </c>
    </row>
    <row r="779" spans="1:14" x14ac:dyDescent="0.3">
      <c r="A779" t="str">
        <f>정규화데이터!A779</f>
        <v>SK스토아</v>
      </c>
      <c r="B779" t="str">
        <f>정규화데이터!B779</f>
        <v>20260210361301</v>
      </c>
      <c r="C779" t="str">
        <f>정규화데이터!C779</f>
        <v>2026-02-12</v>
      </c>
      <c r="D779" t="str">
        <f>정규화데이터!D779</f>
        <v>58481090</v>
      </c>
      <c r="E779" s="16" t="str">
        <f>정규화데이터!E779</f>
        <v>미매핑</v>
      </c>
      <c r="F779" s="3">
        <f>정규화데이터!F779</f>
        <v>1</v>
      </c>
      <c r="G779" s="3">
        <f>정규화데이터!G779</f>
        <v>1</v>
      </c>
      <c r="H779" s="3">
        <f>정규화데이터!H779</f>
        <v>119000</v>
      </c>
      <c r="I779" s="3">
        <f>정규화데이터!I779</f>
        <v>119000</v>
      </c>
      <c r="J779" s="3">
        <f>정규화데이터!J779</f>
        <v>80920</v>
      </c>
      <c r="K779" s="25">
        <f>정규화데이터!K779</f>
        <v>0</v>
      </c>
      <c r="L779" s="25">
        <f>정규화데이터!L779</f>
        <v>80920</v>
      </c>
      <c r="M779" s="21">
        <f t="shared" si="24"/>
        <v>0</v>
      </c>
      <c r="N779" s="52">
        <f t="shared" si="25"/>
        <v>0</v>
      </c>
    </row>
    <row r="780" spans="1:14" x14ac:dyDescent="0.3">
      <c r="A780" t="str">
        <f>정규화데이터!A780</f>
        <v>SK스토아</v>
      </c>
      <c r="B780" t="str">
        <f>정규화데이터!B780</f>
        <v>20260210360542</v>
      </c>
      <c r="C780" t="str">
        <f>정규화데이터!C780</f>
        <v>2026-02-12</v>
      </c>
      <c r="D780" t="str">
        <f>정규화데이터!D780</f>
        <v>58481090</v>
      </c>
      <c r="E780" s="16" t="str">
        <f>정규화데이터!E780</f>
        <v>미매핑</v>
      </c>
      <c r="F780" s="3">
        <f>정규화데이터!F780</f>
        <v>1</v>
      </c>
      <c r="G780" s="3">
        <f>정규화데이터!G780</f>
        <v>1</v>
      </c>
      <c r="H780" s="3">
        <f>정규화데이터!H780</f>
        <v>119000</v>
      </c>
      <c r="I780" s="3">
        <f>정규화데이터!I780</f>
        <v>119000</v>
      </c>
      <c r="J780" s="3">
        <f>정규화데이터!J780</f>
        <v>80920</v>
      </c>
      <c r="K780" s="25">
        <f>정규화데이터!K780</f>
        <v>0</v>
      </c>
      <c r="L780" s="25">
        <f>정규화데이터!L780</f>
        <v>80920</v>
      </c>
      <c r="M780" s="21">
        <f t="shared" si="24"/>
        <v>0</v>
      </c>
      <c r="N780" s="52">
        <f t="shared" si="25"/>
        <v>0</v>
      </c>
    </row>
    <row r="781" spans="1:14" x14ac:dyDescent="0.3">
      <c r="A781" t="str">
        <f>정규화데이터!A781</f>
        <v>SK스토아</v>
      </c>
      <c r="B781" t="str">
        <f>정규화데이터!B781</f>
        <v>20260210361360</v>
      </c>
      <c r="C781" t="str">
        <f>정규화데이터!C781</f>
        <v>2026-02-12</v>
      </c>
      <c r="D781" t="str">
        <f>정규화데이터!D781</f>
        <v>58481090</v>
      </c>
      <c r="E781" s="16" t="str">
        <f>정규화데이터!E781</f>
        <v>미매핑</v>
      </c>
      <c r="F781" s="3">
        <f>정규화데이터!F781</f>
        <v>1</v>
      </c>
      <c r="G781" s="3">
        <f>정규화데이터!G781</f>
        <v>1</v>
      </c>
      <c r="H781" s="3">
        <f>정규화데이터!H781</f>
        <v>119000</v>
      </c>
      <c r="I781" s="3">
        <f>정규화데이터!I781</f>
        <v>119000</v>
      </c>
      <c r="J781" s="3">
        <f>정규화데이터!J781</f>
        <v>80920</v>
      </c>
      <c r="K781" s="25">
        <f>정규화데이터!K781</f>
        <v>0</v>
      </c>
      <c r="L781" s="25">
        <f>정규화데이터!L781</f>
        <v>80920</v>
      </c>
      <c r="M781" s="21">
        <f t="shared" si="24"/>
        <v>0</v>
      </c>
      <c r="N781" s="52">
        <f t="shared" si="25"/>
        <v>0</v>
      </c>
    </row>
    <row r="782" spans="1:14" x14ac:dyDescent="0.3">
      <c r="A782" t="str">
        <f>정규화데이터!A782</f>
        <v>SK스토아</v>
      </c>
      <c r="B782" t="str">
        <f>정규화데이터!B782</f>
        <v>20260210361536</v>
      </c>
      <c r="C782" t="str">
        <f>정규화데이터!C782</f>
        <v>2026-02-12</v>
      </c>
      <c r="D782" t="str">
        <f>정규화데이터!D782</f>
        <v>58481090</v>
      </c>
      <c r="E782" s="16" t="str">
        <f>정규화데이터!E782</f>
        <v>미매핑</v>
      </c>
      <c r="F782" s="3">
        <f>정규화데이터!F782</f>
        <v>1</v>
      </c>
      <c r="G782" s="3">
        <f>정규화데이터!G782</f>
        <v>1</v>
      </c>
      <c r="H782" s="3">
        <f>정규화데이터!H782</f>
        <v>119000</v>
      </c>
      <c r="I782" s="3">
        <f>정규화데이터!I782</f>
        <v>119000</v>
      </c>
      <c r="J782" s="3">
        <f>정규화데이터!J782</f>
        <v>80920</v>
      </c>
      <c r="K782" s="25">
        <f>정규화데이터!K782</f>
        <v>0</v>
      </c>
      <c r="L782" s="25">
        <f>정규화데이터!L782</f>
        <v>80920</v>
      </c>
      <c r="M782" s="21">
        <f t="shared" si="24"/>
        <v>0</v>
      </c>
      <c r="N782" s="52">
        <f t="shared" si="25"/>
        <v>0</v>
      </c>
    </row>
    <row r="783" spans="1:14" x14ac:dyDescent="0.3">
      <c r="A783" t="str">
        <f>정규화데이터!A783</f>
        <v>SK스토아</v>
      </c>
      <c r="B783" t="str">
        <f>정규화데이터!B783</f>
        <v>20260210361726</v>
      </c>
      <c r="C783" t="str">
        <f>정규화데이터!C783</f>
        <v>2026-02-12</v>
      </c>
      <c r="D783" t="str">
        <f>정규화데이터!D783</f>
        <v>58481090</v>
      </c>
      <c r="E783" s="16" t="str">
        <f>정규화데이터!E783</f>
        <v>미매핑</v>
      </c>
      <c r="F783" s="3">
        <f>정규화데이터!F783</f>
        <v>1</v>
      </c>
      <c r="G783" s="3">
        <f>정규화데이터!G783</f>
        <v>1</v>
      </c>
      <c r="H783" s="3">
        <f>정규화데이터!H783</f>
        <v>119000</v>
      </c>
      <c r="I783" s="3">
        <f>정규화데이터!I783</f>
        <v>119000</v>
      </c>
      <c r="J783" s="3">
        <f>정규화데이터!J783</f>
        <v>80920</v>
      </c>
      <c r="K783" s="25">
        <f>정규화데이터!K783</f>
        <v>0</v>
      </c>
      <c r="L783" s="25">
        <f>정규화데이터!L783</f>
        <v>80920</v>
      </c>
      <c r="M783" s="21">
        <f t="shared" si="24"/>
        <v>0</v>
      </c>
      <c r="N783" s="52">
        <f t="shared" si="25"/>
        <v>0</v>
      </c>
    </row>
    <row r="784" spans="1:14" x14ac:dyDescent="0.3">
      <c r="A784" t="str">
        <f>정규화데이터!A784</f>
        <v>SK스토아</v>
      </c>
      <c r="B784" t="str">
        <f>정규화데이터!B784</f>
        <v>20260210361322</v>
      </c>
      <c r="C784" t="str">
        <f>정규화데이터!C784</f>
        <v>2026-02-12</v>
      </c>
      <c r="D784" t="str">
        <f>정규화데이터!D784</f>
        <v>58481090</v>
      </c>
      <c r="E784" s="16" t="str">
        <f>정규화데이터!E784</f>
        <v>미매핑</v>
      </c>
      <c r="F784" s="3">
        <f>정규화데이터!F784</f>
        <v>1</v>
      </c>
      <c r="G784" s="3">
        <f>정규화데이터!G784</f>
        <v>1</v>
      </c>
      <c r="H784" s="3">
        <f>정규화데이터!H784</f>
        <v>119000</v>
      </c>
      <c r="I784" s="3">
        <f>정규화데이터!I784</f>
        <v>119000</v>
      </c>
      <c r="J784" s="3">
        <f>정규화데이터!J784</f>
        <v>80920</v>
      </c>
      <c r="K784" s="25">
        <f>정규화데이터!K784</f>
        <v>0</v>
      </c>
      <c r="L784" s="25">
        <f>정규화데이터!L784</f>
        <v>80920</v>
      </c>
      <c r="M784" s="21">
        <f t="shared" si="24"/>
        <v>0</v>
      </c>
      <c r="N784" s="52">
        <f t="shared" si="25"/>
        <v>0</v>
      </c>
    </row>
    <row r="785" spans="1:14" x14ac:dyDescent="0.3">
      <c r="A785" t="str">
        <f>정규화데이터!A785</f>
        <v>SK스토아</v>
      </c>
      <c r="B785" t="str">
        <f>정규화데이터!B785</f>
        <v>20260210361734</v>
      </c>
      <c r="C785" t="str">
        <f>정규화데이터!C785</f>
        <v>2026-02-12</v>
      </c>
      <c r="D785" t="str">
        <f>정규화데이터!D785</f>
        <v>58481090</v>
      </c>
      <c r="E785" s="16" t="str">
        <f>정규화데이터!E785</f>
        <v>미매핑</v>
      </c>
      <c r="F785" s="3">
        <f>정규화데이터!F785</f>
        <v>1</v>
      </c>
      <c r="G785" s="3">
        <f>정규화데이터!G785</f>
        <v>1</v>
      </c>
      <c r="H785" s="3">
        <f>정규화데이터!H785</f>
        <v>119000</v>
      </c>
      <c r="I785" s="3">
        <f>정규화데이터!I785</f>
        <v>119000</v>
      </c>
      <c r="J785" s="3">
        <f>정규화데이터!J785</f>
        <v>80920</v>
      </c>
      <c r="K785" s="25">
        <f>정규화데이터!K785</f>
        <v>0</v>
      </c>
      <c r="L785" s="25">
        <f>정규화데이터!L785</f>
        <v>80920</v>
      </c>
      <c r="M785" s="21">
        <f t="shared" si="24"/>
        <v>0</v>
      </c>
      <c r="N785" s="52">
        <f t="shared" si="25"/>
        <v>0</v>
      </c>
    </row>
    <row r="786" spans="1:14" x14ac:dyDescent="0.3">
      <c r="A786" t="str">
        <f>정규화데이터!A786</f>
        <v>SK스토아</v>
      </c>
      <c r="B786" t="str">
        <f>정규화데이터!B786</f>
        <v>20260210361697</v>
      </c>
      <c r="C786" t="str">
        <f>정규화데이터!C786</f>
        <v>2026-02-12</v>
      </c>
      <c r="D786" t="str">
        <f>정규화데이터!D786</f>
        <v>58481090</v>
      </c>
      <c r="E786" s="16" t="str">
        <f>정규화데이터!E786</f>
        <v>미매핑</v>
      </c>
      <c r="F786" s="3">
        <f>정규화데이터!F786</f>
        <v>1</v>
      </c>
      <c r="G786" s="3">
        <f>정규화데이터!G786</f>
        <v>1</v>
      </c>
      <c r="H786" s="3">
        <f>정규화데이터!H786</f>
        <v>119000</v>
      </c>
      <c r="I786" s="3">
        <f>정규화데이터!I786</f>
        <v>119000</v>
      </c>
      <c r="J786" s="3">
        <f>정규화데이터!J786</f>
        <v>80920</v>
      </c>
      <c r="K786" s="25">
        <f>정규화데이터!K786</f>
        <v>0</v>
      </c>
      <c r="L786" s="25">
        <f>정규화데이터!L786</f>
        <v>80920</v>
      </c>
      <c r="M786" s="21">
        <f t="shared" si="24"/>
        <v>0</v>
      </c>
      <c r="N786" s="52">
        <f t="shared" si="25"/>
        <v>0</v>
      </c>
    </row>
    <row r="787" spans="1:14" x14ac:dyDescent="0.3">
      <c r="A787" t="str">
        <f>정규화데이터!A787</f>
        <v>SK스토아</v>
      </c>
      <c r="B787" t="str">
        <f>정규화데이터!B787</f>
        <v>20260210361959</v>
      </c>
      <c r="C787" t="str">
        <f>정규화데이터!C787</f>
        <v>2026-02-12</v>
      </c>
      <c r="D787" t="str">
        <f>정규화데이터!D787</f>
        <v>58481090</v>
      </c>
      <c r="E787" s="16" t="str">
        <f>정규화데이터!E787</f>
        <v>미매핑</v>
      </c>
      <c r="F787" s="3">
        <f>정규화데이터!F787</f>
        <v>1</v>
      </c>
      <c r="G787" s="3">
        <f>정규화데이터!G787</f>
        <v>1</v>
      </c>
      <c r="H787" s="3">
        <f>정규화데이터!H787</f>
        <v>119000</v>
      </c>
      <c r="I787" s="3">
        <f>정규화데이터!I787</f>
        <v>119000</v>
      </c>
      <c r="J787" s="3">
        <f>정규화데이터!J787</f>
        <v>80920</v>
      </c>
      <c r="K787" s="25">
        <f>정규화데이터!K787</f>
        <v>0</v>
      </c>
      <c r="L787" s="25">
        <f>정규화데이터!L787</f>
        <v>80920</v>
      </c>
      <c r="M787" s="21">
        <f t="shared" si="24"/>
        <v>0</v>
      </c>
      <c r="N787" s="52">
        <f t="shared" si="25"/>
        <v>0</v>
      </c>
    </row>
    <row r="788" spans="1:14" x14ac:dyDescent="0.3">
      <c r="A788" t="str">
        <f>정규화데이터!A788</f>
        <v>SK스토아</v>
      </c>
      <c r="B788" t="str">
        <f>정규화데이터!B788</f>
        <v>20260210361974</v>
      </c>
      <c r="C788" t="str">
        <f>정규화데이터!C788</f>
        <v>2026-02-12</v>
      </c>
      <c r="D788" t="str">
        <f>정규화데이터!D788</f>
        <v>58481090</v>
      </c>
      <c r="E788" s="16" t="str">
        <f>정규화데이터!E788</f>
        <v>미매핑</v>
      </c>
      <c r="F788" s="3">
        <f>정규화데이터!F788</f>
        <v>1</v>
      </c>
      <c r="G788" s="3">
        <f>정규화데이터!G788</f>
        <v>1</v>
      </c>
      <c r="H788" s="3">
        <f>정규화데이터!H788</f>
        <v>119000</v>
      </c>
      <c r="I788" s="3">
        <f>정규화데이터!I788</f>
        <v>119000</v>
      </c>
      <c r="J788" s="3">
        <f>정규화데이터!J788</f>
        <v>80920</v>
      </c>
      <c r="K788" s="25">
        <f>정규화데이터!K788</f>
        <v>0</v>
      </c>
      <c r="L788" s="25">
        <f>정규화데이터!L788</f>
        <v>80920</v>
      </c>
      <c r="M788" s="21">
        <f t="shared" si="24"/>
        <v>0</v>
      </c>
      <c r="N788" s="52">
        <f t="shared" si="25"/>
        <v>0</v>
      </c>
    </row>
    <row r="789" spans="1:14" x14ac:dyDescent="0.3">
      <c r="A789" t="str">
        <f>정규화데이터!A789</f>
        <v>SK스토아</v>
      </c>
      <c r="B789" t="str">
        <f>정규화데이터!B789</f>
        <v>20260210362007</v>
      </c>
      <c r="C789" t="str">
        <f>정규화데이터!C789</f>
        <v>2026-02-12</v>
      </c>
      <c r="D789" t="str">
        <f>정규화데이터!D789</f>
        <v>58481090</v>
      </c>
      <c r="E789" s="16" t="str">
        <f>정규화데이터!E789</f>
        <v>미매핑</v>
      </c>
      <c r="F789" s="3">
        <f>정규화데이터!F789</f>
        <v>1</v>
      </c>
      <c r="G789" s="3">
        <f>정규화데이터!G789</f>
        <v>1</v>
      </c>
      <c r="H789" s="3">
        <f>정규화데이터!H789</f>
        <v>119000</v>
      </c>
      <c r="I789" s="3">
        <f>정규화데이터!I789</f>
        <v>119000</v>
      </c>
      <c r="J789" s="3">
        <f>정규화데이터!J789</f>
        <v>80920</v>
      </c>
      <c r="K789" s="25">
        <f>정규화데이터!K789</f>
        <v>0</v>
      </c>
      <c r="L789" s="25">
        <f>정규화데이터!L789</f>
        <v>80920</v>
      </c>
      <c r="M789" s="21">
        <f t="shared" si="24"/>
        <v>0</v>
      </c>
      <c r="N789" s="52">
        <f t="shared" si="25"/>
        <v>0</v>
      </c>
    </row>
    <row r="790" spans="1:14" x14ac:dyDescent="0.3">
      <c r="A790" t="str">
        <f>정규화데이터!A790</f>
        <v>SK스토아</v>
      </c>
      <c r="B790" t="str">
        <f>정규화데이터!B790</f>
        <v>20260210360828</v>
      </c>
      <c r="C790" t="str">
        <f>정규화데이터!C790</f>
        <v>2026-02-12</v>
      </c>
      <c r="D790" t="str">
        <f>정규화데이터!D790</f>
        <v>58481090</v>
      </c>
      <c r="E790" s="16" t="str">
        <f>정규화데이터!E790</f>
        <v>미매핑</v>
      </c>
      <c r="F790" s="3">
        <f>정규화데이터!F790</f>
        <v>1</v>
      </c>
      <c r="G790" s="3">
        <f>정규화데이터!G790</f>
        <v>1</v>
      </c>
      <c r="H790" s="3">
        <f>정규화데이터!H790</f>
        <v>119000</v>
      </c>
      <c r="I790" s="3">
        <f>정규화데이터!I790</f>
        <v>113050</v>
      </c>
      <c r="J790" s="3">
        <f>정규화데이터!J790</f>
        <v>80920</v>
      </c>
      <c r="K790" s="25">
        <f>정규화데이터!K790</f>
        <v>0</v>
      </c>
      <c r="L790" s="25">
        <f>정규화데이터!L790</f>
        <v>80920</v>
      </c>
      <c r="M790" s="21">
        <f t="shared" si="24"/>
        <v>0</v>
      </c>
      <c r="N790" s="52">
        <f t="shared" si="25"/>
        <v>0</v>
      </c>
    </row>
    <row r="791" spans="1:14" x14ac:dyDescent="0.3">
      <c r="A791" t="str">
        <f>정규화데이터!A791</f>
        <v>SK스토아</v>
      </c>
      <c r="B791" t="str">
        <f>정규화데이터!B791</f>
        <v>20260210360893</v>
      </c>
      <c r="C791" t="str">
        <f>정규화데이터!C791</f>
        <v>2026-02-12</v>
      </c>
      <c r="D791" t="str">
        <f>정규화데이터!D791</f>
        <v>58481090</v>
      </c>
      <c r="E791" s="16" t="str">
        <f>정규화데이터!E791</f>
        <v>미매핑</v>
      </c>
      <c r="F791" s="3">
        <f>정규화데이터!F791</f>
        <v>1</v>
      </c>
      <c r="G791" s="3">
        <f>정규화데이터!G791</f>
        <v>1</v>
      </c>
      <c r="H791" s="3">
        <f>정규화데이터!H791</f>
        <v>119000</v>
      </c>
      <c r="I791" s="3">
        <f>정규화데이터!I791</f>
        <v>119000</v>
      </c>
      <c r="J791" s="3">
        <f>정규화데이터!J791</f>
        <v>80920</v>
      </c>
      <c r="K791" s="25">
        <f>정규화데이터!K791</f>
        <v>0</v>
      </c>
      <c r="L791" s="25">
        <f>정규화데이터!L791</f>
        <v>80920</v>
      </c>
      <c r="M791" s="21">
        <f t="shared" si="24"/>
        <v>0</v>
      </c>
      <c r="N791" s="52">
        <f t="shared" si="25"/>
        <v>0</v>
      </c>
    </row>
    <row r="792" spans="1:14" x14ac:dyDescent="0.3">
      <c r="A792" t="str">
        <f>정규화데이터!A792</f>
        <v>SK스토아</v>
      </c>
      <c r="B792" t="str">
        <f>정규화데이터!B792</f>
        <v>20260210360092</v>
      </c>
      <c r="C792" t="str">
        <f>정규화데이터!C792</f>
        <v>2026-02-12</v>
      </c>
      <c r="D792" t="str">
        <f>정규화데이터!D792</f>
        <v>58481090</v>
      </c>
      <c r="E792" s="16" t="str">
        <f>정규화데이터!E792</f>
        <v>미매핑</v>
      </c>
      <c r="F792" s="3">
        <f>정규화데이터!F792</f>
        <v>1</v>
      </c>
      <c r="G792" s="3">
        <f>정규화데이터!G792</f>
        <v>1</v>
      </c>
      <c r="H792" s="3">
        <f>정규화데이터!H792</f>
        <v>119000</v>
      </c>
      <c r="I792" s="3">
        <f>정규화데이터!I792</f>
        <v>119000</v>
      </c>
      <c r="J792" s="3">
        <f>정규화데이터!J792</f>
        <v>80920</v>
      </c>
      <c r="K792" s="25">
        <f>정규화데이터!K792</f>
        <v>0</v>
      </c>
      <c r="L792" s="25">
        <f>정규화데이터!L792</f>
        <v>80920</v>
      </c>
      <c r="M792" s="21">
        <f t="shared" si="24"/>
        <v>0</v>
      </c>
      <c r="N792" s="52">
        <f t="shared" si="25"/>
        <v>0</v>
      </c>
    </row>
    <row r="793" spans="1:14" x14ac:dyDescent="0.3">
      <c r="A793" t="str">
        <f>정규화데이터!A793</f>
        <v>SK스토아</v>
      </c>
      <c r="B793" t="str">
        <f>정규화데이터!B793</f>
        <v>20260210360272</v>
      </c>
      <c r="C793" t="str">
        <f>정규화데이터!C793</f>
        <v>2026-02-12</v>
      </c>
      <c r="D793" t="str">
        <f>정규화데이터!D793</f>
        <v>58481090</v>
      </c>
      <c r="E793" s="16" t="str">
        <f>정규화데이터!E793</f>
        <v>미매핑</v>
      </c>
      <c r="F793" s="3">
        <f>정규화데이터!F793</f>
        <v>1</v>
      </c>
      <c r="G793" s="3">
        <f>정규화데이터!G793</f>
        <v>1</v>
      </c>
      <c r="H793" s="3">
        <f>정규화데이터!H793</f>
        <v>119000</v>
      </c>
      <c r="I793" s="3">
        <f>정규화데이터!I793</f>
        <v>119000</v>
      </c>
      <c r="J793" s="3">
        <f>정규화데이터!J793</f>
        <v>80920</v>
      </c>
      <c r="K793" s="25">
        <f>정규화데이터!K793</f>
        <v>0</v>
      </c>
      <c r="L793" s="25">
        <f>정규화데이터!L793</f>
        <v>80920</v>
      </c>
      <c r="M793" s="21">
        <f t="shared" si="24"/>
        <v>0</v>
      </c>
      <c r="N793" s="52">
        <f t="shared" si="25"/>
        <v>0</v>
      </c>
    </row>
    <row r="794" spans="1:14" x14ac:dyDescent="0.3">
      <c r="A794" t="str">
        <f>정규화데이터!A794</f>
        <v>SK스토아</v>
      </c>
      <c r="B794" t="str">
        <f>정규화데이터!B794</f>
        <v>20260210361097</v>
      </c>
      <c r="C794" t="str">
        <f>정규화데이터!C794</f>
        <v>2026-02-12</v>
      </c>
      <c r="D794" t="str">
        <f>정규화데이터!D794</f>
        <v>58481090</v>
      </c>
      <c r="E794" s="16" t="str">
        <f>정규화데이터!E794</f>
        <v>미매핑</v>
      </c>
      <c r="F794" s="3">
        <f>정규화데이터!F794</f>
        <v>1</v>
      </c>
      <c r="G794" s="3">
        <f>정규화데이터!G794</f>
        <v>1</v>
      </c>
      <c r="H794" s="3">
        <f>정규화데이터!H794</f>
        <v>119000</v>
      </c>
      <c r="I794" s="3">
        <f>정규화데이터!I794</f>
        <v>113050</v>
      </c>
      <c r="J794" s="3">
        <f>정규화데이터!J794</f>
        <v>80920</v>
      </c>
      <c r="K794" s="25">
        <f>정규화데이터!K794</f>
        <v>0</v>
      </c>
      <c r="L794" s="25">
        <f>정규화데이터!L794</f>
        <v>80920</v>
      </c>
      <c r="M794" s="21">
        <f t="shared" si="24"/>
        <v>0</v>
      </c>
      <c r="N794" s="52">
        <f t="shared" si="25"/>
        <v>0</v>
      </c>
    </row>
    <row r="795" spans="1:14" x14ac:dyDescent="0.3">
      <c r="A795" t="str">
        <f>정규화데이터!A795</f>
        <v>SK스토아</v>
      </c>
      <c r="B795" t="str">
        <f>정규화데이터!B795</f>
        <v>20260210360282</v>
      </c>
      <c r="C795" t="str">
        <f>정규화데이터!C795</f>
        <v>2026-02-12</v>
      </c>
      <c r="D795" t="str">
        <f>정규화데이터!D795</f>
        <v>58481090</v>
      </c>
      <c r="E795" s="16" t="str">
        <f>정규화데이터!E795</f>
        <v>미매핑</v>
      </c>
      <c r="F795" s="3">
        <f>정규화데이터!F795</f>
        <v>1</v>
      </c>
      <c r="G795" s="3">
        <f>정규화데이터!G795</f>
        <v>1</v>
      </c>
      <c r="H795" s="3">
        <f>정규화데이터!H795</f>
        <v>119000</v>
      </c>
      <c r="I795" s="3">
        <f>정규화데이터!I795</f>
        <v>119000</v>
      </c>
      <c r="J795" s="3">
        <f>정규화데이터!J795</f>
        <v>80920</v>
      </c>
      <c r="K795" s="25">
        <f>정규화데이터!K795</f>
        <v>0</v>
      </c>
      <c r="L795" s="25">
        <f>정규화데이터!L795</f>
        <v>80920</v>
      </c>
      <c r="M795" s="21">
        <f t="shared" si="24"/>
        <v>0</v>
      </c>
      <c r="N795" s="52">
        <f t="shared" si="25"/>
        <v>0</v>
      </c>
    </row>
    <row r="796" spans="1:14" x14ac:dyDescent="0.3">
      <c r="A796" t="str">
        <f>정규화데이터!A796</f>
        <v>SK스토아</v>
      </c>
      <c r="B796" t="str">
        <f>정규화데이터!B796</f>
        <v>20260210361403</v>
      </c>
      <c r="C796" t="str">
        <f>정규화데이터!C796</f>
        <v>2026-02-12</v>
      </c>
      <c r="D796" t="str">
        <f>정규화데이터!D796</f>
        <v>58481090</v>
      </c>
      <c r="E796" s="16" t="str">
        <f>정규화데이터!E796</f>
        <v>미매핑</v>
      </c>
      <c r="F796" s="3">
        <f>정규화데이터!F796</f>
        <v>1</v>
      </c>
      <c r="G796" s="3">
        <f>정규화데이터!G796</f>
        <v>1</v>
      </c>
      <c r="H796" s="3">
        <f>정규화데이터!H796</f>
        <v>119000</v>
      </c>
      <c r="I796" s="3">
        <f>정규화데이터!I796</f>
        <v>119000</v>
      </c>
      <c r="J796" s="3">
        <f>정규화데이터!J796</f>
        <v>80920</v>
      </c>
      <c r="K796" s="25">
        <f>정규화데이터!K796</f>
        <v>0</v>
      </c>
      <c r="L796" s="25">
        <f>정규화데이터!L796</f>
        <v>80920</v>
      </c>
      <c r="M796" s="21">
        <f t="shared" si="24"/>
        <v>0</v>
      </c>
      <c r="N796" s="52">
        <f t="shared" si="25"/>
        <v>0</v>
      </c>
    </row>
    <row r="797" spans="1:14" x14ac:dyDescent="0.3">
      <c r="A797" t="str">
        <f>정규화데이터!A797</f>
        <v>SK스토아</v>
      </c>
      <c r="B797" t="str">
        <f>정규화데이터!B797</f>
        <v>20260210360433</v>
      </c>
      <c r="C797" t="str">
        <f>정규화데이터!C797</f>
        <v>2026-02-12</v>
      </c>
      <c r="D797" t="str">
        <f>정규화데이터!D797</f>
        <v>58481090</v>
      </c>
      <c r="E797" s="16" t="str">
        <f>정규화데이터!E797</f>
        <v>미매핑</v>
      </c>
      <c r="F797" s="3">
        <f>정규화데이터!F797</f>
        <v>1</v>
      </c>
      <c r="G797" s="3">
        <f>정규화데이터!G797</f>
        <v>1</v>
      </c>
      <c r="H797" s="3">
        <f>정규화데이터!H797</f>
        <v>119000</v>
      </c>
      <c r="I797" s="3">
        <f>정규화데이터!I797</f>
        <v>119000</v>
      </c>
      <c r="J797" s="3">
        <f>정규화데이터!J797</f>
        <v>80920</v>
      </c>
      <c r="K797" s="25">
        <f>정규화데이터!K797</f>
        <v>0</v>
      </c>
      <c r="L797" s="25">
        <f>정규화데이터!L797</f>
        <v>80920</v>
      </c>
      <c r="M797" s="21">
        <f t="shared" si="24"/>
        <v>0</v>
      </c>
      <c r="N797" s="52">
        <f t="shared" si="25"/>
        <v>0</v>
      </c>
    </row>
    <row r="798" spans="1:14" x14ac:dyDescent="0.3">
      <c r="A798" t="str">
        <f>정규화데이터!A798</f>
        <v>SK스토아</v>
      </c>
      <c r="B798" t="str">
        <f>정규화데이터!B798</f>
        <v>20260210361474</v>
      </c>
      <c r="C798" t="str">
        <f>정규화데이터!C798</f>
        <v>2026-02-12</v>
      </c>
      <c r="D798" t="str">
        <f>정규화데이터!D798</f>
        <v>58481090</v>
      </c>
      <c r="E798" s="16" t="str">
        <f>정규화데이터!E798</f>
        <v>미매핑</v>
      </c>
      <c r="F798" s="3">
        <f>정규화데이터!F798</f>
        <v>1</v>
      </c>
      <c r="G798" s="3">
        <f>정규화데이터!G798</f>
        <v>1</v>
      </c>
      <c r="H798" s="3">
        <f>정규화데이터!H798</f>
        <v>119000</v>
      </c>
      <c r="I798" s="3">
        <f>정규화데이터!I798</f>
        <v>119000</v>
      </c>
      <c r="J798" s="3">
        <f>정규화데이터!J798</f>
        <v>80920</v>
      </c>
      <c r="K798" s="25">
        <f>정규화데이터!K798</f>
        <v>0</v>
      </c>
      <c r="L798" s="25">
        <f>정규화데이터!L798</f>
        <v>80920</v>
      </c>
      <c r="M798" s="21">
        <f t="shared" si="24"/>
        <v>0</v>
      </c>
      <c r="N798" s="52">
        <f t="shared" si="25"/>
        <v>0</v>
      </c>
    </row>
    <row r="799" spans="1:14" x14ac:dyDescent="0.3">
      <c r="A799" t="str">
        <f>정규화데이터!A799</f>
        <v>SK스토아</v>
      </c>
      <c r="B799" t="str">
        <f>정규화데이터!B799</f>
        <v>20260210360656</v>
      </c>
      <c r="C799" t="str">
        <f>정규화데이터!C799</f>
        <v>2026-02-12</v>
      </c>
      <c r="D799" t="str">
        <f>정규화데이터!D799</f>
        <v>58481090</v>
      </c>
      <c r="E799" s="16" t="str">
        <f>정규화데이터!E799</f>
        <v>미매핑</v>
      </c>
      <c r="F799" s="3">
        <f>정규화데이터!F799</f>
        <v>1</v>
      </c>
      <c r="G799" s="3">
        <f>정규화데이터!G799</f>
        <v>1</v>
      </c>
      <c r="H799" s="3">
        <f>정규화데이터!H799</f>
        <v>119000</v>
      </c>
      <c r="I799" s="3">
        <f>정규화데이터!I799</f>
        <v>98770</v>
      </c>
      <c r="J799" s="3">
        <f>정규화데이터!J799</f>
        <v>80920</v>
      </c>
      <c r="K799" s="25">
        <f>정규화데이터!K799</f>
        <v>0</v>
      </c>
      <c r="L799" s="25">
        <f>정규화데이터!L799</f>
        <v>80920</v>
      </c>
      <c r="M799" s="21">
        <f t="shared" si="24"/>
        <v>0</v>
      </c>
      <c r="N799" s="52">
        <f t="shared" si="25"/>
        <v>0</v>
      </c>
    </row>
    <row r="800" spans="1:14" x14ac:dyDescent="0.3">
      <c r="A800" t="str">
        <f>정규화데이터!A800</f>
        <v>SK스토아</v>
      </c>
      <c r="B800" t="str">
        <f>정규화데이터!B800</f>
        <v>20260210361500</v>
      </c>
      <c r="C800" t="str">
        <f>정규화데이터!C800</f>
        <v>2026-02-12</v>
      </c>
      <c r="D800" t="str">
        <f>정규화데이터!D800</f>
        <v>58481090</v>
      </c>
      <c r="E800" s="16" t="str">
        <f>정규화데이터!E800</f>
        <v>미매핑</v>
      </c>
      <c r="F800" s="3">
        <f>정규화데이터!F800</f>
        <v>1</v>
      </c>
      <c r="G800" s="3">
        <f>정규화데이터!G800</f>
        <v>1</v>
      </c>
      <c r="H800" s="3">
        <f>정규화데이터!H800</f>
        <v>119000</v>
      </c>
      <c r="I800" s="3">
        <f>정규화데이터!I800</f>
        <v>119000</v>
      </c>
      <c r="J800" s="3">
        <f>정규화데이터!J800</f>
        <v>80920</v>
      </c>
      <c r="K800" s="25">
        <f>정규화데이터!K800</f>
        <v>0</v>
      </c>
      <c r="L800" s="25">
        <f>정규화데이터!L800</f>
        <v>80920</v>
      </c>
      <c r="M800" s="21">
        <f t="shared" si="24"/>
        <v>0</v>
      </c>
      <c r="N800" s="52">
        <f t="shared" si="25"/>
        <v>0</v>
      </c>
    </row>
    <row r="801" spans="1:14" x14ac:dyDescent="0.3">
      <c r="A801" t="str">
        <f>정규화데이터!A801</f>
        <v>SK스토아</v>
      </c>
      <c r="B801" t="str">
        <f>정규화데이터!B801</f>
        <v>20260210360722</v>
      </c>
      <c r="C801" t="str">
        <f>정규화데이터!C801</f>
        <v>2026-02-12</v>
      </c>
      <c r="D801" t="str">
        <f>정규화데이터!D801</f>
        <v>58481090</v>
      </c>
      <c r="E801" s="16" t="str">
        <f>정규화데이터!E801</f>
        <v>미매핑</v>
      </c>
      <c r="F801" s="3">
        <f>정규화데이터!F801</f>
        <v>1</v>
      </c>
      <c r="G801" s="3">
        <f>정규화데이터!G801</f>
        <v>1</v>
      </c>
      <c r="H801" s="3">
        <f>정규화데이터!H801</f>
        <v>119000</v>
      </c>
      <c r="I801" s="3">
        <f>정규화데이터!I801</f>
        <v>113050</v>
      </c>
      <c r="J801" s="3">
        <f>정규화데이터!J801</f>
        <v>80920</v>
      </c>
      <c r="K801" s="25">
        <f>정규화데이터!K801</f>
        <v>0</v>
      </c>
      <c r="L801" s="25">
        <f>정규화데이터!L801</f>
        <v>80920</v>
      </c>
      <c r="M801" s="21">
        <f t="shared" si="24"/>
        <v>0</v>
      </c>
      <c r="N801" s="52">
        <f t="shared" si="25"/>
        <v>0</v>
      </c>
    </row>
    <row r="802" spans="1:14" x14ac:dyDescent="0.3">
      <c r="A802" t="str">
        <f>정규화데이터!A802</f>
        <v>SK스토아</v>
      </c>
      <c r="B802" t="str">
        <f>정규화데이터!B802</f>
        <v>20260210361757</v>
      </c>
      <c r="C802" t="str">
        <f>정규화데이터!C802</f>
        <v>2026-02-12</v>
      </c>
      <c r="D802" t="str">
        <f>정규화데이터!D802</f>
        <v>58481090</v>
      </c>
      <c r="E802" s="16" t="str">
        <f>정규화데이터!E802</f>
        <v>미매핑</v>
      </c>
      <c r="F802" s="3">
        <f>정규화데이터!F802</f>
        <v>1</v>
      </c>
      <c r="G802" s="3">
        <f>정규화데이터!G802</f>
        <v>1</v>
      </c>
      <c r="H802" s="3">
        <f>정규화데이터!H802</f>
        <v>119000</v>
      </c>
      <c r="I802" s="3">
        <f>정규화데이터!I802</f>
        <v>119000</v>
      </c>
      <c r="J802" s="3">
        <f>정규화데이터!J802</f>
        <v>80920</v>
      </c>
      <c r="K802" s="25">
        <f>정규화데이터!K802</f>
        <v>0</v>
      </c>
      <c r="L802" s="25">
        <f>정규화데이터!L802</f>
        <v>80920</v>
      </c>
      <c r="M802" s="21">
        <f t="shared" si="24"/>
        <v>0</v>
      </c>
      <c r="N802" s="52">
        <f t="shared" si="25"/>
        <v>0</v>
      </c>
    </row>
    <row r="803" spans="1:14" x14ac:dyDescent="0.3">
      <c r="A803" t="str">
        <f>정규화데이터!A803</f>
        <v>SK스토아</v>
      </c>
      <c r="B803" t="str">
        <f>정규화데이터!B803</f>
        <v>20260210360526</v>
      </c>
      <c r="C803" t="str">
        <f>정규화데이터!C803</f>
        <v>2026-02-12</v>
      </c>
      <c r="D803" t="str">
        <f>정규화데이터!D803</f>
        <v>58481090</v>
      </c>
      <c r="E803" s="16" t="str">
        <f>정규화데이터!E803</f>
        <v>미매핑</v>
      </c>
      <c r="F803" s="3">
        <f>정규화데이터!F803</f>
        <v>1</v>
      </c>
      <c r="G803" s="3">
        <f>정규화데이터!G803</f>
        <v>1</v>
      </c>
      <c r="H803" s="3">
        <f>정규화데이터!H803</f>
        <v>119000</v>
      </c>
      <c r="I803" s="3">
        <f>정규화데이터!I803</f>
        <v>119000</v>
      </c>
      <c r="J803" s="3">
        <f>정규화데이터!J803</f>
        <v>80920</v>
      </c>
      <c r="K803" s="25">
        <f>정규화데이터!K803</f>
        <v>0</v>
      </c>
      <c r="L803" s="25">
        <f>정규화데이터!L803</f>
        <v>80920</v>
      </c>
      <c r="M803" s="21">
        <f t="shared" si="24"/>
        <v>0</v>
      </c>
      <c r="N803" s="52">
        <f t="shared" si="25"/>
        <v>0</v>
      </c>
    </row>
    <row r="804" spans="1:14" x14ac:dyDescent="0.3">
      <c r="A804" t="str">
        <f>정규화데이터!A804</f>
        <v>SK스토아</v>
      </c>
      <c r="B804" t="str">
        <f>정규화데이터!B804</f>
        <v>20260210361758</v>
      </c>
      <c r="C804" t="str">
        <f>정규화데이터!C804</f>
        <v>2026-02-12</v>
      </c>
      <c r="D804" t="str">
        <f>정규화데이터!D804</f>
        <v>58481090</v>
      </c>
      <c r="E804" s="16" t="str">
        <f>정규화데이터!E804</f>
        <v>미매핑</v>
      </c>
      <c r="F804" s="3">
        <f>정규화데이터!F804</f>
        <v>1</v>
      </c>
      <c r="G804" s="3">
        <f>정규화데이터!G804</f>
        <v>1</v>
      </c>
      <c r="H804" s="3">
        <f>정규화데이터!H804</f>
        <v>119000</v>
      </c>
      <c r="I804" s="3">
        <f>정규화데이터!I804</f>
        <v>119000</v>
      </c>
      <c r="J804" s="3">
        <f>정규화데이터!J804</f>
        <v>80920</v>
      </c>
      <c r="K804" s="25">
        <f>정규화데이터!K804</f>
        <v>0</v>
      </c>
      <c r="L804" s="25">
        <f>정규화데이터!L804</f>
        <v>80920</v>
      </c>
      <c r="M804" s="21">
        <f t="shared" si="24"/>
        <v>0</v>
      </c>
      <c r="N804" s="52">
        <f t="shared" si="25"/>
        <v>0</v>
      </c>
    </row>
    <row r="805" spans="1:14" x14ac:dyDescent="0.3">
      <c r="A805" t="str">
        <f>정규화데이터!A805</f>
        <v>SK스토아</v>
      </c>
      <c r="B805" t="str">
        <f>정규화데이터!B805</f>
        <v>20260210361268</v>
      </c>
      <c r="C805" t="str">
        <f>정규화데이터!C805</f>
        <v>2026-02-12</v>
      </c>
      <c r="D805" t="str">
        <f>정규화데이터!D805</f>
        <v>58481090</v>
      </c>
      <c r="E805" s="16" t="str">
        <f>정규화데이터!E805</f>
        <v>미매핑</v>
      </c>
      <c r="F805" s="3">
        <f>정규화데이터!F805</f>
        <v>1</v>
      </c>
      <c r="G805" s="3">
        <f>정규화데이터!G805</f>
        <v>1</v>
      </c>
      <c r="H805" s="3">
        <f>정규화데이터!H805</f>
        <v>119000</v>
      </c>
      <c r="I805" s="3">
        <f>정규화데이터!I805</f>
        <v>119000</v>
      </c>
      <c r="J805" s="3">
        <f>정규화데이터!J805</f>
        <v>80920</v>
      </c>
      <c r="K805" s="25">
        <f>정규화데이터!K805</f>
        <v>0</v>
      </c>
      <c r="L805" s="25">
        <f>정규화데이터!L805</f>
        <v>80920</v>
      </c>
      <c r="M805" s="21">
        <f t="shared" si="24"/>
        <v>0</v>
      </c>
      <c r="N805" s="52">
        <f t="shared" si="25"/>
        <v>0</v>
      </c>
    </row>
    <row r="806" spans="1:14" x14ac:dyDescent="0.3">
      <c r="A806" t="str">
        <f>정규화데이터!A806</f>
        <v>SK스토아</v>
      </c>
      <c r="B806" t="str">
        <f>정규화데이터!B806</f>
        <v>20260210361522</v>
      </c>
      <c r="C806" t="str">
        <f>정규화데이터!C806</f>
        <v>2026-02-12</v>
      </c>
      <c r="D806" t="str">
        <f>정규화데이터!D806</f>
        <v>58481090</v>
      </c>
      <c r="E806" s="16" t="str">
        <f>정규화데이터!E806</f>
        <v>미매핑</v>
      </c>
      <c r="F806" s="3">
        <f>정규화데이터!F806</f>
        <v>1</v>
      </c>
      <c r="G806" s="3">
        <f>정규화데이터!G806</f>
        <v>1</v>
      </c>
      <c r="H806" s="3">
        <f>정규화데이터!H806</f>
        <v>119000</v>
      </c>
      <c r="I806" s="3">
        <f>정규화데이터!I806</f>
        <v>119000</v>
      </c>
      <c r="J806" s="3">
        <f>정규화데이터!J806</f>
        <v>80920</v>
      </c>
      <c r="K806" s="25">
        <f>정규화데이터!K806</f>
        <v>0</v>
      </c>
      <c r="L806" s="25">
        <f>정규화데이터!L806</f>
        <v>80920</v>
      </c>
      <c r="M806" s="21">
        <f t="shared" si="24"/>
        <v>0</v>
      </c>
      <c r="N806" s="52">
        <f t="shared" si="25"/>
        <v>0</v>
      </c>
    </row>
    <row r="807" spans="1:14" x14ac:dyDescent="0.3">
      <c r="A807" t="str">
        <f>정규화데이터!A807</f>
        <v>SK스토아</v>
      </c>
      <c r="B807" t="str">
        <f>정규화데이터!B807</f>
        <v>20260210362264</v>
      </c>
      <c r="C807" t="str">
        <f>정규화데이터!C807</f>
        <v>2026-02-12</v>
      </c>
      <c r="D807" t="str">
        <f>정규화데이터!D807</f>
        <v>58481090</v>
      </c>
      <c r="E807" s="16" t="str">
        <f>정규화데이터!E807</f>
        <v>미매핑</v>
      </c>
      <c r="F807" s="3">
        <f>정규화데이터!F807</f>
        <v>1</v>
      </c>
      <c r="G807" s="3">
        <f>정규화데이터!G807</f>
        <v>1</v>
      </c>
      <c r="H807" s="3">
        <f>정규화데이터!H807</f>
        <v>119000</v>
      </c>
      <c r="I807" s="3">
        <f>정규화데이터!I807</f>
        <v>113050</v>
      </c>
      <c r="J807" s="3">
        <f>정규화데이터!J807</f>
        <v>80920</v>
      </c>
      <c r="K807" s="25">
        <f>정규화데이터!K807</f>
        <v>0</v>
      </c>
      <c r="L807" s="25">
        <f>정규화데이터!L807</f>
        <v>80920</v>
      </c>
      <c r="M807" s="21">
        <f t="shared" si="24"/>
        <v>0</v>
      </c>
      <c r="N807" s="52">
        <f t="shared" si="25"/>
        <v>0</v>
      </c>
    </row>
    <row r="808" spans="1:14" x14ac:dyDescent="0.3">
      <c r="A808" t="str">
        <f>정규화데이터!A808</f>
        <v>SK스토아</v>
      </c>
      <c r="B808" t="str">
        <f>정규화데이터!B808</f>
        <v>20260210360898</v>
      </c>
      <c r="C808" t="str">
        <f>정규화데이터!C808</f>
        <v>2026-02-12</v>
      </c>
      <c r="D808" t="str">
        <f>정규화데이터!D808</f>
        <v>58481090</v>
      </c>
      <c r="E808" s="16" t="str">
        <f>정규화데이터!E808</f>
        <v>미매핑</v>
      </c>
      <c r="F808" s="3">
        <f>정규화데이터!F808</f>
        <v>1</v>
      </c>
      <c r="G808" s="3">
        <f>정규화데이터!G808</f>
        <v>1</v>
      </c>
      <c r="H808" s="3">
        <f>정규화데이터!H808</f>
        <v>119000</v>
      </c>
      <c r="I808" s="3">
        <f>정규화데이터!I808</f>
        <v>119000</v>
      </c>
      <c r="J808" s="3">
        <f>정규화데이터!J808</f>
        <v>80920</v>
      </c>
      <c r="K808" s="25">
        <f>정규화데이터!K808</f>
        <v>0</v>
      </c>
      <c r="L808" s="25">
        <f>정규화데이터!L808</f>
        <v>80920</v>
      </c>
      <c r="M808" s="21">
        <f t="shared" si="24"/>
        <v>0</v>
      </c>
      <c r="N808" s="52">
        <f t="shared" si="25"/>
        <v>0</v>
      </c>
    </row>
    <row r="809" spans="1:14" x14ac:dyDescent="0.3">
      <c r="A809" t="str">
        <f>정규화데이터!A809</f>
        <v>SK스토아</v>
      </c>
      <c r="B809" t="str">
        <f>정규화데이터!B809</f>
        <v>20260210360968</v>
      </c>
      <c r="C809" t="str">
        <f>정규화데이터!C809</f>
        <v>2026-02-12</v>
      </c>
      <c r="D809" t="str">
        <f>정규화데이터!D809</f>
        <v>58481090</v>
      </c>
      <c r="E809" s="16" t="str">
        <f>정규화데이터!E809</f>
        <v>미매핑</v>
      </c>
      <c r="F809" s="3">
        <f>정규화데이터!F809</f>
        <v>1</v>
      </c>
      <c r="G809" s="3">
        <f>정규화데이터!G809</f>
        <v>1</v>
      </c>
      <c r="H809" s="3">
        <f>정규화데이터!H809</f>
        <v>119000</v>
      </c>
      <c r="I809" s="3">
        <f>정규화데이터!I809</f>
        <v>119000</v>
      </c>
      <c r="J809" s="3">
        <f>정규화데이터!J809</f>
        <v>80920</v>
      </c>
      <c r="K809" s="25">
        <f>정규화데이터!K809</f>
        <v>0</v>
      </c>
      <c r="L809" s="25">
        <f>정규화데이터!L809</f>
        <v>80920</v>
      </c>
      <c r="M809" s="21">
        <f t="shared" si="24"/>
        <v>0</v>
      </c>
      <c r="N809" s="52">
        <f t="shared" si="25"/>
        <v>0</v>
      </c>
    </row>
    <row r="810" spans="1:14" x14ac:dyDescent="0.3">
      <c r="A810" t="str">
        <f>정규화데이터!A810</f>
        <v>SK스토아</v>
      </c>
      <c r="B810" t="str">
        <f>정규화데이터!B810</f>
        <v>20260210361315</v>
      </c>
      <c r="C810" t="str">
        <f>정규화데이터!C810</f>
        <v>2026-02-12</v>
      </c>
      <c r="D810" t="str">
        <f>정규화데이터!D810</f>
        <v>58481090</v>
      </c>
      <c r="E810" s="16" t="str">
        <f>정규화데이터!E810</f>
        <v>미매핑</v>
      </c>
      <c r="F810" s="3">
        <f>정규화데이터!F810</f>
        <v>1</v>
      </c>
      <c r="G810" s="3">
        <f>정규화데이터!G810</f>
        <v>1</v>
      </c>
      <c r="H810" s="3">
        <f>정규화데이터!H810</f>
        <v>119000</v>
      </c>
      <c r="I810" s="3">
        <f>정규화데이터!I810</f>
        <v>119000</v>
      </c>
      <c r="J810" s="3">
        <f>정규화데이터!J810</f>
        <v>80920</v>
      </c>
      <c r="K810" s="25">
        <f>정규화데이터!K810</f>
        <v>0</v>
      </c>
      <c r="L810" s="25">
        <f>정규화데이터!L810</f>
        <v>80920</v>
      </c>
      <c r="M810" s="21">
        <f t="shared" si="24"/>
        <v>0</v>
      </c>
      <c r="N810" s="52">
        <f t="shared" si="25"/>
        <v>0</v>
      </c>
    </row>
    <row r="811" spans="1:14" x14ac:dyDescent="0.3">
      <c r="A811" t="str">
        <f>정규화데이터!A811</f>
        <v>SK스토아</v>
      </c>
      <c r="B811" t="str">
        <f>정규화데이터!B811</f>
        <v>20260210364732</v>
      </c>
      <c r="C811" t="str">
        <f>정규화데이터!C811</f>
        <v>2026-02-12</v>
      </c>
      <c r="D811" t="str">
        <f>정규화데이터!D811</f>
        <v>58481090</v>
      </c>
      <c r="E811" s="16" t="str">
        <f>정규화데이터!E811</f>
        <v>미매핑</v>
      </c>
      <c r="F811" s="3">
        <f>정규화데이터!F811</f>
        <v>1</v>
      </c>
      <c r="G811" s="3">
        <f>정규화데이터!G811</f>
        <v>1</v>
      </c>
      <c r="H811" s="3">
        <f>정규화데이터!H811</f>
        <v>119000</v>
      </c>
      <c r="I811" s="3">
        <f>정규화데이터!I811</f>
        <v>113050</v>
      </c>
      <c r="J811" s="3">
        <f>정규화데이터!J811</f>
        <v>80920</v>
      </c>
      <c r="K811" s="25">
        <f>정규화데이터!K811</f>
        <v>0</v>
      </c>
      <c r="L811" s="25">
        <f>정규화데이터!L811</f>
        <v>80920</v>
      </c>
      <c r="M811" s="21">
        <f t="shared" si="24"/>
        <v>0</v>
      </c>
      <c r="N811" s="52">
        <f t="shared" si="25"/>
        <v>0</v>
      </c>
    </row>
    <row r="812" spans="1:14" x14ac:dyDescent="0.3">
      <c r="A812" t="str">
        <f>정규화데이터!A812</f>
        <v>SK스토아</v>
      </c>
      <c r="B812" t="str">
        <f>정규화데이터!B812</f>
        <v>20260210361752</v>
      </c>
      <c r="C812" t="str">
        <f>정규화데이터!C812</f>
        <v>2026-02-12</v>
      </c>
      <c r="D812" t="str">
        <f>정규화데이터!D812</f>
        <v>58481090</v>
      </c>
      <c r="E812" s="16" t="str">
        <f>정규화데이터!E812</f>
        <v>미매핑</v>
      </c>
      <c r="F812" s="3">
        <f>정규화데이터!F812</f>
        <v>1</v>
      </c>
      <c r="G812" s="3">
        <f>정규화데이터!G812</f>
        <v>1</v>
      </c>
      <c r="H812" s="3">
        <f>정규화데이터!H812</f>
        <v>119000</v>
      </c>
      <c r="I812" s="3">
        <f>정규화데이터!I812</f>
        <v>119000</v>
      </c>
      <c r="J812" s="3">
        <f>정규화데이터!J812</f>
        <v>80920</v>
      </c>
      <c r="K812" s="25">
        <f>정규화데이터!K812</f>
        <v>0</v>
      </c>
      <c r="L812" s="25">
        <f>정규화데이터!L812</f>
        <v>80920</v>
      </c>
      <c r="M812" s="21">
        <f t="shared" si="24"/>
        <v>0</v>
      </c>
      <c r="N812" s="52">
        <f t="shared" si="25"/>
        <v>0</v>
      </c>
    </row>
    <row r="813" spans="1:14" x14ac:dyDescent="0.3">
      <c r="A813" t="str">
        <f>정규화데이터!A813</f>
        <v>SK스토아</v>
      </c>
      <c r="B813" t="str">
        <f>정규화데이터!B813</f>
        <v>20260210361404</v>
      </c>
      <c r="C813" t="str">
        <f>정규화데이터!C813</f>
        <v>2026-02-12</v>
      </c>
      <c r="D813" t="str">
        <f>정규화데이터!D813</f>
        <v>58481090</v>
      </c>
      <c r="E813" s="16" t="str">
        <f>정규화데이터!E813</f>
        <v>미매핑</v>
      </c>
      <c r="F813" s="3">
        <f>정규화데이터!F813</f>
        <v>1</v>
      </c>
      <c r="G813" s="3">
        <f>정규화데이터!G813</f>
        <v>1</v>
      </c>
      <c r="H813" s="3">
        <f>정규화데이터!H813</f>
        <v>119000</v>
      </c>
      <c r="I813" s="3">
        <f>정규화데이터!I813</f>
        <v>119000</v>
      </c>
      <c r="J813" s="3">
        <f>정규화데이터!J813</f>
        <v>80920</v>
      </c>
      <c r="K813" s="25">
        <f>정규화데이터!K813</f>
        <v>0</v>
      </c>
      <c r="L813" s="25">
        <f>정규화데이터!L813</f>
        <v>80920</v>
      </c>
      <c r="M813" s="21">
        <f t="shared" si="24"/>
        <v>0</v>
      </c>
      <c r="N813" s="52">
        <f t="shared" si="25"/>
        <v>0</v>
      </c>
    </row>
    <row r="814" spans="1:14" x14ac:dyDescent="0.3">
      <c r="A814" t="str">
        <f>정규화데이터!A814</f>
        <v>SK스토아</v>
      </c>
      <c r="B814" t="str">
        <f>정규화데이터!B814</f>
        <v>20260210361750</v>
      </c>
      <c r="C814" t="str">
        <f>정규화데이터!C814</f>
        <v>2026-02-12</v>
      </c>
      <c r="D814" t="str">
        <f>정규화데이터!D814</f>
        <v>58481090</v>
      </c>
      <c r="E814" s="16" t="str">
        <f>정규화데이터!E814</f>
        <v>미매핑</v>
      </c>
      <c r="F814" s="3">
        <f>정규화데이터!F814</f>
        <v>1</v>
      </c>
      <c r="G814" s="3">
        <f>정규화데이터!G814</f>
        <v>1</v>
      </c>
      <c r="H814" s="3">
        <f>정규화데이터!H814</f>
        <v>119000</v>
      </c>
      <c r="I814" s="3">
        <f>정규화데이터!I814</f>
        <v>119000</v>
      </c>
      <c r="J814" s="3">
        <f>정규화데이터!J814</f>
        <v>80920</v>
      </c>
      <c r="K814" s="25">
        <f>정규화데이터!K814</f>
        <v>0</v>
      </c>
      <c r="L814" s="25">
        <f>정규화데이터!L814</f>
        <v>80920</v>
      </c>
      <c r="M814" s="21">
        <f t="shared" si="24"/>
        <v>0</v>
      </c>
      <c r="N814" s="52">
        <f t="shared" si="25"/>
        <v>0</v>
      </c>
    </row>
    <row r="815" spans="1:14" x14ac:dyDescent="0.3">
      <c r="A815" t="str">
        <f>정규화데이터!A815</f>
        <v>SK스토아</v>
      </c>
      <c r="B815" t="str">
        <f>정규화데이터!B815</f>
        <v>20260210361384</v>
      </c>
      <c r="C815" t="str">
        <f>정규화데이터!C815</f>
        <v>2026-02-12</v>
      </c>
      <c r="D815" t="str">
        <f>정규화데이터!D815</f>
        <v>58481090</v>
      </c>
      <c r="E815" s="16" t="str">
        <f>정규화데이터!E815</f>
        <v>미매핑</v>
      </c>
      <c r="F815" s="3">
        <f>정규화데이터!F815</f>
        <v>1</v>
      </c>
      <c r="G815" s="3">
        <f>정규화데이터!G815</f>
        <v>1</v>
      </c>
      <c r="H815" s="3">
        <f>정규화데이터!H815</f>
        <v>119000</v>
      </c>
      <c r="I815" s="3">
        <f>정규화데이터!I815</f>
        <v>113050</v>
      </c>
      <c r="J815" s="3">
        <f>정규화데이터!J815</f>
        <v>80920</v>
      </c>
      <c r="K815" s="25">
        <f>정규화데이터!K815</f>
        <v>0</v>
      </c>
      <c r="L815" s="25">
        <f>정규화데이터!L815</f>
        <v>80920</v>
      </c>
      <c r="M815" s="21">
        <f t="shared" si="24"/>
        <v>0</v>
      </c>
      <c r="N815" s="52">
        <f t="shared" si="25"/>
        <v>0</v>
      </c>
    </row>
    <row r="816" spans="1:14" x14ac:dyDescent="0.3">
      <c r="A816" t="str">
        <f>정규화데이터!A816</f>
        <v>SK스토아</v>
      </c>
      <c r="B816" t="str">
        <f>정규화데이터!B816</f>
        <v>20260210360934</v>
      </c>
      <c r="C816" t="str">
        <f>정규화데이터!C816</f>
        <v>2026-02-12</v>
      </c>
      <c r="D816" t="str">
        <f>정규화데이터!D816</f>
        <v>58481090</v>
      </c>
      <c r="E816" s="16" t="str">
        <f>정규화데이터!E816</f>
        <v>미매핑</v>
      </c>
      <c r="F816" s="3">
        <f>정규화데이터!F816</f>
        <v>1</v>
      </c>
      <c r="G816" s="3">
        <f>정규화데이터!G816</f>
        <v>1</v>
      </c>
      <c r="H816" s="3">
        <f>정규화데이터!H816</f>
        <v>119000</v>
      </c>
      <c r="I816" s="3">
        <f>정규화데이터!I816</f>
        <v>119000</v>
      </c>
      <c r="J816" s="3">
        <f>정규화데이터!J816</f>
        <v>80920</v>
      </c>
      <c r="K816" s="25">
        <f>정규화데이터!K816</f>
        <v>0</v>
      </c>
      <c r="L816" s="25">
        <f>정규화데이터!L816</f>
        <v>80920</v>
      </c>
      <c r="M816" s="21">
        <f t="shared" si="24"/>
        <v>0</v>
      </c>
      <c r="N816" s="52">
        <f t="shared" si="25"/>
        <v>0</v>
      </c>
    </row>
    <row r="817" spans="1:14" x14ac:dyDescent="0.3">
      <c r="A817" t="str">
        <f>정규화데이터!A817</f>
        <v>SK스토아</v>
      </c>
      <c r="B817" t="str">
        <f>정규화데이터!B817</f>
        <v>20260210360899</v>
      </c>
      <c r="C817" t="str">
        <f>정규화데이터!C817</f>
        <v>2026-02-12</v>
      </c>
      <c r="D817" t="str">
        <f>정규화데이터!D817</f>
        <v>58481090</v>
      </c>
      <c r="E817" s="16" t="str">
        <f>정규화데이터!E817</f>
        <v>미매핑</v>
      </c>
      <c r="F817" s="3">
        <f>정규화데이터!F817</f>
        <v>1</v>
      </c>
      <c r="G817" s="3">
        <f>정규화데이터!G817</f>
        <v>1</v>
      </c>
      <c r="H817" s="3">
        <f>정규화데이터!H817</f>
        <v>119000</v>
      </c>
      <c r="I817" s="3">
        <f>정규화데이터!I817</f>
        <v>119000</v>
      </c>
      <c r="J817" s="3">
        <f>정규화데이터!J817</f>
        <v>80920</v>
      </c>
      <c r="K817" s="25">
        <f>정규화데이터!K817</f>
        <v>0</v>
      </c>
      <c r="L817" s="25">
        <f>정규화데이터!L817</f>
        <v>80920</v>
      </c>
      <c r="M817" s="21">
        <f t="shared" si="24"/>
        <v>0</v>
      </c>
      <c r="N817" s="52">
        <f t="shared" si="25"/>
        <v>0</v>
      </c>
    </row>
    <row r="818" spans="1:14" x14ac:dyDescent="0.3">
      <c r="A818" t="str">
        <f>정규화데이터!A818</f>
        <v>SK스토아</v>
      </c>
      <c r="B818" t="str">
        <f>정규화데이터!B818</f>
        <v>20260210360206</v>
      </c>
      <c r="C818" t="str">
        <f>정규화데이터!C818</f>
        <v>2026-02-12</v>
      </c>
      <c r="D818" t="str">
        <f>정규화데이터!D818</f>
        <v>58481090</v>
      </c>
      <c r="E818" s="16" t="str">
        <f>정규화데이터!E818</f>
        <v>미매핑</v>
      </c>
      <c r="F818" s="3">
        <f>정규화데이터!F818</f>
        <v>1</v>
      </c>
      <c r="G818" s="3">
        <f>정규화데이터!G818</f>
        <v>1</v>
      </c>
      <c r="H818" s="3">
        <f>정규화데이터!H818</f>
        <v>119000</v>
      </c>
      <c r="I818" s="3">
        <f>정규화데이터!I818</f>
        <v>119000</v>
      </c>
      <c r="J818" s="3">
        <f>정규화데이터!J818</f>
        <v>80920</v>
      </c>
      <c r="K818" s="25">
        <f>정규화데이터!K818</f>
        <v>0</v>
      </c>
      <c r="L818" s="25">
        <f>정규화데이터!L818</f>
        <v>80920</v>
      </c>
      <c r="M818" s="21">
        <f t="shared" si="24"/>
        <v>0</v>
      </c>
      <c r="N818" s="52">
        <f t="shared" si="25"/>
        <v>0</v>
      </c>
    </row>
    <row r="819" spans="1:14" x14ac:dyDescent="0.3">
      <c r="A819" t="str">
        <f>정규화데이터!A819</f>
        <v>SK스토아</v>
      </c>
      <c r="B819" t="str">
        <f>정규화데이터!B819</f>
        <v>20260210360674</v>
      </c>
      <c r="C819" t="str">
        <f>정규화데이터!C819</f>
        <v>2026-02-12</v>
      </c>
      <c r="D819" t="str">
        <f>정규화데이터!D819</f>
        <v>58481090</v>
      </c>
      <c r="E819" s="16" t="str">
        <f>정규화데이터!E819</f>
        <v>미매핑</v>
      </c>
      <c r="F819" s="3">
        <f>정규화데이터!F819</f>
        <v>1</v>
      </c>
      <c r="G819" s="3">
        <f>정규화데이터!G819</f>
        <v>1</v>
      </c>
      <c r="H819" s="3">
        <f>정규화데이터!H819</f>
        <v>119000</v>
      </c>
      <c r="I819" s="3">
        <f>정규화데이터!I819</f>
        <v>119000</v>
      </c>
      <c r="J819" s="3">
        <f>정규화데이터!J819</f>
        <v>80920</v>
      </c>
      <c r="K819" s="25">
        <f>정규화데이터!K819</f>
        <v>0</v>
      </c>
      <c r="L819" s="25">
        <f>정규화데이터!L819</f>
        <v>80920</v>
      </c>
      <c r="M819" s="21">
        <f t="shared" si="24"/>
        <v>0</v>
      </c>
      <c r="N819" s="52">
        <f t="shared" si="25"/>
        <v>0</v>
      </c>
    </row>
    <row r="820" spans="1:14" x14ac:dyDescent="0.3">
      <c r="A820" t="str">
        <f>정규화데이터!A820</f>
        <v>SK스토아</v>
      </c>
      <c r="B820" t="str">
        <f>정규화데이터!B820</f>
        <v>20260210361998</v>
      </c>
      <c r="C820" t="str">
        <f>정규화데이터!C820</f>
        <v>2026-02-12</v>
      </c>
      <c r="D820" t="str">
        <f>정규화데이터!D820</f>
        <v>58481090</v>
      </c>
      <c r="E820" s="16" t="str">
        <f>정규화데이터!E820</f>
        <v>미매핑</v>
      </c>
      <c r="F820" s="3">
        <f>정규화데이터!F820</f>
        <v>1</v>
      </c>
      <c r="G820" s="3">
        <f>정규화데이터!G820</f>
        <v>1</v>
      </c>
      <c r="H820" s="3">
        <f>정규화데이터!H820</f>
        <v>119000</v>
      </c>
      <c r="I820" s="3">
        <f>정규화데이터!I820</f>
        <v>109000</v>
      </c>
      <c r="J820" s="3">
        <f>정규화데이터!J820</f>
        <v>80920</v>
      </c>
      <c r="K820" s="25">
        <f>정규화데이터!K820</f>
        <v>0</v>
      </c>
      <c r="L820" s="25">
        <f>정규화데이터!L820</f>
        <v>80920</v>
      </c>
      <c r="M820" s="21">
        <f t="shared" si="24"/>
        <v>0</v>
      </c>
      <c r="N820" s="52">
        <f t="shared" si="25"/>
        <v>0</v>
      </c>
    </row>
    <row r="821" spans="1:14" x14ac:dyDescent="0.3">
      <c r="A821" t="str">
        <f>정규화데이터!A821</f>
        <v>SK스토아</v>
      </c>
      <c r="B821" t="str">
        <f>정규화데이터!B821</f>
        <v>20260210362210</v>
      </c>
      <c r="C821" t="str">
        <f>정규화데이터!C821</f>
        <v>2026-02-12</v>
      </c>
      <c r="D821" t="str">
        <f>정규화데이터!D821</f>
        <v>58481090</v>
      </c>
      <c r="E821" s="16" t="str">
        <f>정규화데이터!E821</f>
        <v>미매핑</v>
      </c>
      <c r="F821" s="3">
        <f>정규화데이터!F821</f>
        <v>1</v>
      </c>
      <c r="G821" s="3">
        <f>정규화데이터!G821</f>
        <v>1</v>
      </c>
      <c r="H821" s="3">
        <f>정규화데이터!H821</f>
        <v>119000</v>
      </c>
      <c r="I821" s="3">
        <f>정규화데이터!I821</f>
        <v>113050</v>
      </c>
      <c r="J821" s="3">
        <f>정규화데이터!J821</f>
        <v>80920</v>
      </c>
      <c r="K821" s="25">
        <f>정규화데이터!K821</f>
        <v>0</v>
      </c>
      <c r="L821" s="25">
        <f>정규화데이터!L821</f>
        <v>80920</v>
      </c>
      <c r="M821" s="21">
        <f t="shared" si="24"/>
        <v>0</v>
      </c>
      <c r="N821" s="52">
        <f t="shared" si="25"/>
        <v>0</v>
      </c>
    </row>
    <row r="822" spans="1:14" x14ac:dyDescent="0.3">
      <c r="A822" t="str">
        <f>정규화데이터!A822</f>
        <v>SK스토아</v>
      </c>
      <c r="B822" t="str">
        <f>정규화데이터!B822</f>
        <v>20260210361648</v>
      </c>
      <c r="C822" t="str">
        <f>정규화데이터!C822</f>
        <v>2026-02-12</v>
      </c>
      <c r="D822" t="str">
        <f>정규화데이터!D822</f>
        <v>58481090</v>
      </c>
      <c r="E822" s="16" t="str">
        <f>정규화데이터!E822</f>
        <v>미매핑</v>
      </c>
      <c r="F822" s="3">
        <f>정규화데이터!F822</f>
        <v>1</v>
      </c>
      <c r="G822" s="3">
        <f>정규화데이터!G822</f>
        <v>1</v>
      </c>
      <c r="H822" s="3">
        <f>정규화데이터!H822</f>
        <v>119000</v>
      </c>
      <c r="I822" s="3">
        <f>정규화데이터!I822</f>
        <v>113050</v>
      </c>
      <c r="J822" s="3">
        <f>정규화데이터!J822</f>
        <v>80920</v>
      </c>
      <c r="K822" s="25">
        <f>정규화데이터!K822</f>
        <v>0</v>
      </c>
      <c r="L822" s="25">
        <f>정규화데이터!L822</f>
        <v>80920</v>
      </c>
      <c r="M822" s="21">
        <f t="shared" si="24"/>
        <v>0</v>
      </c>
      <c r="N822" s="52">
        <f t="shared" si="25"/>
        <v>0</v>
      </c>
    </row>
    <row r="823" spans="1:14" x14ac:dyDescent="0.3">
      <c r="A823" t="str">
        <f>정규화데이터!A823</f>
        <v>SK스토아</v>
      </c>
      <c r="B823" t="str">
        <f>정규화데이터!B823</f>
        <v>20260210361577</v>
      </c>
      <c r="C823" t="str">
        <f>정규화데이터!C823</f>
        <v>2026-02-12</v>
      </c>
      <c r="D823" t="str">
        <f>정규화데이터!D823</f>
        <v>58481090</v>
      </c>
      <c r="E823" s="16" t="str">
        <f>정규화데이터!E823</f>
        <v>미매핑</v>
      </c>
      <c r="F823" s="3">
        <f>정규화데이터!F823</f>
        <v>1</v>
      </c>
      <c r="G823" s="3">
        <f>정규화데이터!G823</f>
        <v>1</v>
      </c>
      <c r="H823" s="3">
        <f>정규화데이터!H823</f>
        <v>119000</v>
      </c>
      <c r="I823" s="3">
        <f>정규화데이터!I823</f>
        <v>119000</v>
      </c>
      <c r="J823" s="3">
        <f>정규화데이터!J823</f>
        <v>80920</v>
      </c>
      <c r="K823" s="25">
        <f>정규화데이터!K823</f>
        <v>0</v>
      </c>
      <c r="L823" s="25">
        <f>정규화데이터!L823</f>
        <v>80920</v>
      </c>
      <c r="M823" s="21">
        <f t="shared" si="24"/>
        <v>0</v>
      </c>
      <c r="N823" s="52">
        <f t="shared" si="25"/>
        <v>0</v>
      </c>
    </row>
    <row r="824" spans="1:14" x14ac:dyDescent="0.3">
      <c r="A824" t="str">
        <f>정규화데이터!A824</f>
        <v>SK스토아</v>
      </c>
      <c r="B824" t="str">
        <f>정규화데이터!B824</f>
        <v>20260210361256</v>
      </c>
      <c r="C824" t="str">
        <f>정규화데이터!C824</f>
        <v>2026-02-12</v>
      </c>
      <c r="D824" t="str">
        <f>정규화데이터!D824</f>
        <v>58481090</v>
      </c>
      <c r="E824" s="16" t="str">
        <f>정규화데이터!E824</f>
        <v>미매핑</v>
      </c>
      <c r="F824" s="3">
        <f>정규화데이터!F824</f>
        <v>1</v>
      </c>
      <c r="G824" s="3">
        <f>정규화데이터!G824</f>
        <v>1</v>
      </c>
      <c r="H824" s="3">
        <f>정규화데이터!H824</f>
        <v>119000</v>
      </c>
      <c r="I824" s="3">
        <f>정규화데이터!I824</f>
        <v>113050</v>
      </c>
      <c r="J824" s="3">
        <f>정규화데이터!J824</f>
        <v>80920</v>
      </c>
      <c r="K824" s="25">
        <f>정규화데이터!K824</f>
        <v>0</v>
      </c>
      <c r="L824" s="25">
        <f>정규화데이터!L824</f>
        <v>80920</v>
      </c>
      <c r="M824" s="21">
        <f t="shared" si="24"/>
        <v>0</v>
      </c>
      <c r="N824" s="52">
        <f t="shared" si="25"/>
        <v>0</v>
      </c>
    </row>
    <row r="825" spans="1:14" x14ac:dyDescent="0.3">
      <c r="A825" t="str">
        <f>정규화데이터!A825</f>
        <v>SK스토아</v>
      </c>
      <c r="B825" t="str">
        <f>정규화데이터!B825</f>
        <v>20260210361264</v>
      </c>
      <c r="C825" t="str">
        <f>정규화데이터!C825</f>
        <v>2026-02-12</v>
      </c>
      <c r="D825" t="str">
        <f>정규화데이터!D825</f>
        <v>58481090</v>
      </c>
      <c r="E825" s="16" t="str">
        <f>정규화데이터!E825</f>
        <v>미매핑</v>
      </c>
      <c r="F825" s="3">
        <f>정규화데이터!F825</f>
        <v>1</v>
      </c>
      <c r="G825" s="3">
        <f>정규화데이터!G825</f>
        <v>1</v>
      </c>
      <c r="H825" s="3">
        <f>정규화데이터!H825</f>
        <v>119000</v>
      </c>
      <c r="I825" s="3">
        <f>정규화데이터!I825</f>
        <v>119000</v>
      </c>
      <c r="J825" s="3">
        <f>정규화데이터!J825</f>
        <v>80920</v>
      </c>
      <c r="K825" s="25">
        <f>정규화데이터!K825</f>
        <v>0</v>
      </c>
      <c r="L825" s="25">
        <f>정규화데이터!L825</f>
        <v>80920</v>
      </c>
      <c r="M825" s="21">
        <f t="shared" si="24"/>
        <v>0</v>
      </c>
      <c r="N825" s="52">
        <f t="shared" si="25"/>
        <v>0</v>
      </c>
    </row>
    <row r="826" spans="1:14" x14ac:dyDescent="0.3">
      <c r="A826" t="str">
        <f>정규화데이터!A826</f>
        <v>SK스토아</v>
      </c>
      <c r="B826" t="str">
        <f>정규화데이터!B826</f>
        <v>20260210360518</v>
      </c>
      <c r="C826" t="str">
        <f>정규화데이터!C826</f>
        <v>2026-02-12</v>
      </c>
      <c r="D826" t="str">
        <f>정규화데이터!D826</f>
        <v>58481090</v>
      </c>
      <c r="E826" s="16" t="str">
        <f>정규화데이터!E826</f>
        <v>미매핑</v>
      </c>
      <c r="F826" s="3">
        <f>정규화데이터!F826</f>
        <v>1</v>
      </c>
      <c r="G826" s="3">
        <f>정규화데이터!G826</f>
        <v>1</v>
      </c>
      <c r="H826" s="3">
        <f>정규화데이터!H826</f>
        <v>119000</v>
      </c>
      <c r="I826" s="3">
        <f>정규화데이터!I826</f>
        <v>119000</v>
      </c>
      <c r="J826" s="3">
        <f>정규화데이터!J826</f>
        <v>80920</v>
      </c>
      <c r="K826" s="25">
        <f>정규화데이터!K826</f>
        <v>0</v>
      </c>
      <c r="L826" s="25">
        <f>정규화데이터!L826</f>
        <v>80920</v>
      </c>
      <c r="M826" s="21">
        <f t="shared" si="24"/>
        <v>0</v>
      </c>
      <c r="N826" s="52">
        <f t="shared" si="25"/>
        <v>0</v>
      </c>
    </row>
    <row r="827" spans="1:14" x14ac:dyDescent="0.3">
      <c r="A827" t="str">
        <f>정규화데이터!A827</f>
        <v>SK스토아</v>
      </c>
      <c r="B827" t="str">
        <f>정규화데이터!B827</f>
        <v>20260210361362</v>
      </c>
      <c r="C827" t="str">
        <f>정규화데이터!C827</f>
        <v>2026-02-12</v>
      </c>
      <c r="D827" t="str">
        <f>정규화데이터!D827</f>
        <v>58481090</v>
      </c>
      <c r="E827" s="16" t="str">
        <f>정규화데이터!E827</f>
        <v>미매핑</v>
      </c>
      <c r="F827" s="3">
        <f>정규화데이터!F827</f>
        <v>1</v>
      </c>
      <c r="G827" s="3">
        <f>정규화데이터!G827</f>
        <v>1</v>
      </c>
      <c r="H827" s="3">
        <f>정규화데이터!H827</f>
        <v>119000</v>
      </c>
      <c r="I827" s="3">
        <f>정규화데이터!I827</f>
        <v>98770</v>
      </c>
      <c r="J827" s="3">
        <f>정규화데이터!J827</f>
        <v>80920</v>
      </c>
      <c r="K827" s="25">
        <f>정규화데이터!K827</f>
        <v>0</v>
      </c>
      <c r="L827" s="25">
        <f>정규화데이터!L827</f>
        <v>80920</v>
      </c>
      <c r="M827" s="21">
        <f t="shared" si="24"/>
        <v>0</v>
      </c>
      <c r="N827" s="52">
        <f t="shared" si="25"/>
        <v>0</v>
      </c>
    </row>
    <row r="828" spans="1:14" x14ac:dyDescent="0.3">
      <c r="A828" t="str">
        <f>정규화데이터!A828</f>
        <v>SK스토아</v>
      </c>
      <c r="B828" t="str">
        <f>정규화데이터!B828</f>
        <v>20260210361601</v>
      </c>
      <c r="C828" t="str">
        <f>정규화데이터!C828</f>
        <v>2026-02-12</v>
      </c>
      <c r="D828" t="str">
        <f>정규화데이터!D828</f>
        <v>58481090</v>
      </c>
      <c r="E828" s="16" t="str">
        <f>정규화데이터!E828</f>
        <v>미매핑</v>
      </c>
      <c r="F828" s="3">
        <f>정규화데이터!F828</f>
        <v>1</v>
      </c>
      <c r="G828" s="3">
        <f>정규화데이터!G828</f>
        <v>1</v>
      </c>
      <c r="H828" s="3">
        <f>정규화데이터!H828</f>
        <v>119000</v>
      </c>
      <c r="I828" s="3">
        <f>정규화데이터!I828</f>
        <v>109000</v>
      </c>
      <c r="J828" s="3">
        <f>정규화데이터!J828</f>
        <v>80920</v>
      </c>
      <c r="K828" s="25">
        <f>정규화데이터!K828</f>
        <v>0</v>
      </c>
      <c r="L828" s="25">
        <f>정규화데이터!L828</f>
        <v>80920</v>
      </c>
      <c r="M828" s="21">
        <f t="shared" si="24"/>
        <v>0</v>
      </c>
      <c r="N828" s="52">
        <f t="shared" si="25"/>
        <v>0</v>
      </c>
    </row>
    <row r="829" spans="1:14" x14ac:dyDescent="0.3">
      <c r="A829" t="str">
        <f>정규화데이터!A829</f>
        <v>SK스토아</v>
      </c>
      <c r="B829" t="str">
        <f>정규화데이터!B829</f>
        <v>20260210361654</v>
      </c>
      <c r="C829" t="str">
        <f>정규화데이터!C829</f>
        <v>2026-02-12</v>
      </c>
      <c r="D829" t="str">
        <f>정규화데이터!D829</f>
        <v>58481090</v>
      </c>
      <c r="E829" s="16" t="str">
        <f>정규화데이터!E829</f>
        <v>미매핑</v>
      </c>
      <c r="F829" s="3">
        <f>정규화데이터!F829</f>
        <v>1</v>
      </c>
      <c r="G829" s="3">
        <f>정규화데이터!G829</f>
        <v>1</v>
      </c>
      <c r="H829" s="3">
        <f>정규화데이터!H829</f>
        <v>119000</v>
      </c>
      <c r="I829" s="3">
        <f>정규화데이터!I829</f>
        <v>113050</v>
      </c>
      <c r="J829" s="3">
        <f>정규화데이터!J829</f>
        <v>80920</v>
      </c>
      <c r="K829" s="25">
        <f>정규화데이터!K829</f>
        <v>0</v>
      </c>
      <c r="L829" s="25">
        <f>정규화데이터!L829</f>
        <v>80920</v>
      </c>
      <c r="M829" s="21">
        <f t="shared" si="24"/>
        <v>0</v>
      </c>
      <c r="N829" s="52">
        <f t="shared" si="25"/>
        <v>0</v>
      </c>
    </row>
    <row r="830" spans="1:14" x14ac:dyDescent="0.3">
      <c r="A830" t="str">
        <f>정규화데이터!A830</f>
        <v>SK스토아</v>
      </c>
      <c r="B830" t="str">
        <f>정규화데이터!B830</f>
        <v>20260210360588</v>
      </c>
      <c r="C830" t="str">
        <f>정규화데이터!C830</f>
        <v>2026-02-12</v>
      </c>
      <c r="D830" t="str">
        <f>정규화데이터!D830</f>
        <v>58481090</v>
      </c>
      <c r="E830" s="16" t="str">
        <f>정규화데이터!E830</f>
        <v>미매핑</v>
      </c>
      <c r="F830" s="3">
        <f>정규화데이터!F830</f>
        <v>1</v>
      </c>
      <c r="G830" s="3">
        <f>정규화데이터!G830</f>
        <v>1</v>
      </c>
      <c r="H830" s="3">
        <f>정규화데이터!H830</f>
        <v>119000</v>
      </c>
      <c r="I830" s="3">
        <f>정규화데이터!I830</f>
        <v>119000</v>
      </c>
      <c r="J830" s="3">
        <f>정규화데이터!J830</f>
        <v>80920</v>
      </c>
      <c r="K830" s="25">
        <f>정규화데이터!K830</f>
        <v>0</v>
      </c>
      <c r="L830" s="25">
        <f>정규화데이터!L830</f>
        <v>80920</v>
      </c>
      <c r="M830" s="21">
        <f t="shared" si="24"/>
        <v>0</v>
      </c>
      <c r="N830" s="52">
        <f t="shared" si="25"/>
        <v>0</v>
      </c>
    </row>
    <row r="831" spans="1:14" x14ac:dyDescent="0.3">
      <c r="A831" t="str">
        <f>정규화데이터!A831</f>
        <v>SK스토아</v>
      </c>
      <c r="B831" t="str">
        <f>정규화데이터!B831</f>
        <v>20260210361176</v>
      </c>
      <c r="C831" t="str">
        <f>정규화데이터!C831</f>
        <v>2026-02-12</v>
      </c>
      <c r="D831" t="str">
        <f>정규화데이터!D831</f>
        <v>58481090</v>
      </c>
      <c r="E831" s="16" t="str">
        <f>정규화데이터!E831</f>
        <v>미매핑</v>
      </c>
      <c r="F831" s="3">
        <f>정규화데이터!F831</f>
        <v>1</v>
      </c>
      <c r="G831" s="3">
        <f>정규화데이터!G831</f>
        <v>1</v>
      </c>
      <c r="H831" s="3">
        <f>정규화데이터!H831</f>
        <v>119000</v>
      </c>
      <c r="I831" s="3">
        <f>정규화데이터!I831</f>
        <v>119000</v>
      </c>
      <c r="J831" s="3">
        <f>정규화데이터!J831</f>
        <v>80920</v>
      </c>
      <c r="K831" s="25">
        <f>정규화데이터!K831</f>
        <v>0</v>
      </c>
      <c r="L831" s="25">
        <f>정규화데이터!L831</f>
        <v>80920</v>
      </c>
      <c r="M831" s="21">
        <f t="shared" si="24"/>
        <v>0</v>
      </c>
      <c r="N831" s="52">
        <f t="shared" si="25"/>
        <v>0</v>
      </c>
    </row>
    <row r="832" spans="1:14" x14ac:dyDescent="0.3">
      <c r="A832" t="str">
        <f>정규화데이터!A832</f>
        <v>SK스토아</v>
      </c>
      <c r="B832" t="str">
        <f>정규화데이터!B832</f>
        <v>20260210362003</v>
      </c>
      <c r="C832" t="str">
        <f>정규화데이터!C832</f>
        <v>2026-02-12</v>
      </c>
      <c r="D832" t="str">
        <f>정규화데이터!D832</f>
        <v>58481090</v>
      </c>
      <c r="E832" s="16" t="str">
        <f>정규화데이터!E832</f>
        <v>미매핑</v>
      </c>
      <c r="F832" s="3">
        <f>정규화데이터!F832</f>
        <v>1</v>
      </c>
      <c r="G832" s="3">
        <f>정규화데이터!G832</f>
        <v>1</v>
      </c>
      <c r="H832" s="3">
        <f>정규화데이터!H832</f>
        <v>119000</v>
      </c>
      <c r="I832" s="3">
        <f>정규화데이터!I832</f>
        <v>119000</v>
      </c>
      <c r="J832" s="3">
        <f>정규화데이터!J832</f>
        <v>80920</v>
      </c>
      <c r="K832" s="25">
        <f>정규화데이터!K832</f>
        <v>0</v>
      </c>
      <c r="L832" s="25">
        <f>정규화데이터!L832</f>
        <v>80920</v>
      </c>
      <c r="M832" s="21">
        <f t="shared" si="24"/>
        <v>0</v>
      </c>
      <c r="N832" s="52">
        <f t="shared" si="25"/>
        <v>0</v>
      </c>
    </row>
    <row r="833" spans="1:14" x14ac:dyDescent="0.3">
      <c r="A833" t="str">
        <f>정규화데이터!A833</f>
        <v>SK스토아</v>
      </c>
      <c r="B833" t="str">
        <f>정규화데이터!B833</f>
        <v>20260210360969</v>
      </c>
      <c r="C833" t="str">
        <f>정규화데이터!C833</f>
        <v>2026-02-12</v>
      </c>
      <c r="D833" t="str">
        <f>정규화데이터!D833</f>
        <v>58481090</v>
      </c>
      <c r="E833" s="16" t="str">
        <f>정규화데이터!E833</f>
        <v>미매핑</v>
      </c>
      <c r="F833" s="3">
        <f>정규화데이터!F833</f>
        <v>1</v>
      </c>
      <c r="G833" s="3">
        <f>정규화데이터!G833</f>
        <v>1</v>
      </c>
      <c r="H833" s="3">
        <f>정규화데이터!H833</f>
        <v>119000</v>
      </c>
      <c r="I833" s="3">
        <f>정규화데이터!I833</f>
        <v>119000</v>
      </c>
      <c r="J833" s="3">
        <f>정규화데이터!J833</f>
        <v>80920</v>
      </c>
      <c r="K833" s="25">
        <f>정규화데이터!K833</f>
        <v>0</v>
      </c>
      <c r="L833" s="25">
        <f>정규화데이터!L833</f>
        <v>80920</v>
      </c>
      <c r="M833" s="21">
        <f t="shared" si="24"/>
        <v>0</v>
      </c>
      <c r="N833" s="52">
        <f t="shared" si="25"/>
        <v>0</v>
      </c>
    </row>
    <row r="834" spans="1:14" x14ac:dyDescent="0.3">
      <c r="A834" t="str">
        <f>정규화데이터!A834</f>
        <v>SK스토아</v>
      </c>
      <c r="B834" t="str">
        <f>정규화데이터!B834</f>
        <v>20260210361596</v>
      </c>
      <c r="C834" t="str">
        <f>정규화데이터!C834</f>
        <v>2026-02-12</v>
      </c>
      <c r="D834" t="str">
        <f>정규화데이터!D834</f>
        <v>58481090</v>
      </c>
      <c r="E834" s="16" t="str">
        <f>정규화데이터!E834</f>
        <v>미매핑</v>
      </c>
      <c r="F834" s="3">
        <f>정규화데이터!F834</f>
        <v>1</v>
      </c>
      <c r="G834" s="3">
        <f>정규화데이터!G834</f>
        <v>2</v>
      </c>
      <c r="H834" s="3">
        <f>정규화데이터!H834</f>
        <v>119000</v>
      </c>
      <c r="I834" s="3">
        <f>정규화데이터!I834</f>
        <v>238000</v>
      </c>
      <c r="J834" s="3">
        <f>정규화데이터!J834</f>
        <v>161840</v>
      </c>
      <c r="K834" s="25">
        <f>정규화데이터!K834</f>
        <v>0</v>
      </c>
      <c r="L834" s="25">
        <f>정규화데이터!L834</f>
        <v>161840</v>
      </c>
      <c r="M834" s="21">
        <f t="shared" ref="M834:M897" si="26">J834-L834</f>
        <v>0</v>
      </c>
      <c r="N834" s="52">
        <f t="shared" ref="N834:N897" si="27">IF(J834=0,0,M834/J834)</f>
        <v>0</v>
      </c>
    </row>
    <row r="835" spans="1:14" x14ac:dyDescent="0.3">
      <c r="A835" t="str">
        <f>정규화데이터!A835</f>
        <v>SK스토아</v>
      </c>
      <c r="B835" t="str">
        <f>정규화데이터!B835</f>
        <v>20260210361138</v>
      </c>
      <c r="C835" t="str">
        <f>정규화데이터!C835</f>
        <v>2026-02-12</v>
      </c>
      <c r="D835" t="str">
        <f>정규화데이터!D835</f>
        <v>58481090</v>
      </c>
      <c r="E835" s="16" t="str">
        <f>정규화데이터!E835</f>
        <v>미매핑</v>
      </c>
      <c r="F835" s="3">
        <f>정규화데이터!F835</f>
        <v>1</v>
      </c>
      <c r="G835" s="3">
        <f>정규화데이터!G835</f>
        <v>1</v>
      </c>
      <c r="H835" s="3">
        <f>정규화데이터!H835</f>
        <v>119000</v>
      </c>
      <c r="I835" s="3">
        <f>정규화데이터!I835</f>
        <v>119000</v>
      </c>
      <c r="J835" s="3">
        <f>정규화데이터!J835</f>
        <v>80920</v>
      </c>
      <c r="K835" s="25">
        <f>정규화데이터!K835</f>
        <v>0</v>
      </c>
      <c r="L835" s="25">
        <f>정규화데이터!L835</f>
        <v>80920</v>
      </c>
      <c r="M835" s="21">
        <f t="shared" si="26"/>
        <v>0</v>
      </c>
      <c r="N835" s="52">
        <f t="shared" si="27"/>
        <v>0</v>
      </c>
    </row>
    <row r="836" spans="1:14" x14ac:dyDescent="0.3">
      <c r="A836" t="str">
        <f>정규화데이터!A836</f>
        <v>SK스토아</v>
      </c>
      <c r="B836" t="str">
        <f>정규화데이터!B836</f>
        <v>20260210361906</v>
      </c>
      <c r="C836" t="str">
        <f>정규화데이터!C836</f>
        <v>2026-02-12</v>
      </c>
      <c r="D836" t="str">
        <f>정규화데이터!D836</f>
        <v>58481090</v>
      </c>
      <c r="E836" s="16" t="str">
        <f>정규화데이터!E836</f>
        <v>미매핑</v>
      </c>
      <c r="F836" s="3">
        <f>정규화데이터!F836</f>
        <v>1</v>
      </c>
      <c r="G836" s="3">
        <f>정규화데이터!G836</f>
        <v>1</v>
      </c>
      <c r="H836" s="3">
        <f>정규화데이터!H836</f>
        <v>119000</v>
      </c>
      <c r="I836" s="3">
        <f>정규화데이터!I836</f>
        <v>119000</v>
      </c>
      <c r="J836" s="3">
        <f>정규화데이터!J836</f>
        <v>80920</v>
      </c>
      <c r="K836" s="25">
        <f>정규화데이터!K836</f>
        <v>0</v>
      </c>
      <c r="L836" s="25">
        <f>정규화데이터!L836</f>
        <v>80920</v>
      </c>
      <c r="M836" s="21">
        <f t="shared" si="26"/>
        <v>0</v>
      </c>
      <c r="N836" s="52">
        <f t="shared" si="27"/>
        <v>0</v>
      </c>
    </row>
    <row r="837" spans="1:14" x14ac:dyDescent="0.3">
      <c r="A837" t="str">
        <f>정규화데이터!A837</f>
        <v>SK스토아</v>
      </c>
      <c r="B837" t="str">
        <f>정규화데이터!B837</f>
        <v>20260210360875</v>
      </c>
      <c r="C837" t="str">
        <f>정규화데이터!C837</f>
        <v>2026-02-12</v>
      </c>
      <c r="D837" t="str">
        <f>정규화데이터!D837</f>
        <v>58481090</v>
      </c>
      <c r="E837" s="16" t="str">
        <f>정규화데이터!E837</f>
        <v>미매핑</v>
      </c>
      <c r="F837" s="3">
        <f>정규화데이터!F837</f>
        <v>1</v>
      </c>
      <c r="G837" s="3">
        <f>정규화데이터!G837</f>
        <v>1</v>
      </c>
      <c r="H837" s="3">
        <f>정규화데이터!H837</f>
        <v>119000</v>
      </c>
      <c r="I837" s="3">
        <f>정규화데이터!I837</f>
        <v>119000</v>
      </c>
      <c r="J837" s="3">
        <f>정규화데이터!J837</f>
        <v>80920</v>
      </c>
      <c r="K837" s="25">
        <f>정규화데이터!K837</f>
        <v>0</v>
      </c>
      <c r="L837" s="25">
        <f>정규화데이터!L837</f>
        <v>80920</v>
      </c>
      <c r="M837" s="21">
        <f t="shared" si="26"/>
        <v>0</v>
      </c>
      <c r="N837" s="52">
        <f t="shared" si="27"/>
        <v>0</v>
      </c>
    </row>
    <row r="838" spans="1:14" x14ac:dyDescent="0.3">
      <c r="A838" t="str">
        <f>정규화데이터!A838</f>
        <v>SK스토아</v>
      </c>
      <c r="B838" t="str">
        <f>정규화데이터!B838</f>
        <v>20260210360271</v>
      </c>
      <c r="C838" t="str">
        <f>정규화데이터!C838</f>
        <v>2026-02-12</v>
      </c>
      <c r="D838" t="str">
        <f>정규화데이터!D838</f>
        <v>58481090</v>
      </c>
      <c r="E838" s="16" t="str">
        <f>정규화데이터!E838</f>
        <v>미매핑</v>
      </c>
      <c r="F838" s="3">
        <f>정규화데이터!F838</f>
        <v>1</v>
      </c>
      <c r="G838" s="3">
        <f>정규화데이터!G838</f>
        <v>2</v>
      </c>
      <c r="H838" s="3">
        <f>정규화데이터!H838</f>
        <v>119000</v>
      </c>
      <c r="I838" s="3">
        <f>정규화데이터!I838</f>
        <v>238000</v>
      </c>
      <c r="J838" s="3">
        <f>정규화데이터!J838</f>
        <v>161840</v>
      </c>
      <c r="K838" s="25">
        <f>정규화데이터!K838</f>
        <v>0</v>
      </c>
      <c r="L838" s="25">
        <f>정규화데이터!L838</f>
        <v>161840</v>
      </c>
      <c r="M838" s="21">
        <f t="shared" si="26"/>
        <v>0</v>
      </c>
      <c r="N838" s="52">
        <f t="shared" si="27"/>
        <v>0</v>
      </c>
    </row>
    <row r="839" spans="1:14" x14ac:dyDescent="0.3">
      <c r="A839" t="str">
        <f>정규화데이터!A839</f>
        <v>SK스토아</v>
      </c>
      <c r="B839" t="str">
        <f>정규화데이터!B839</f>
        <v>20260210360371</v>
      </c>
      <c r="C839" t="str">
        <f>정규화데이터!C839</f>
        <v>2026-02-12</v>
      </c>
      <c r="D839" t="str">
        <f>정규화데이터!D839</f>
        <v>58481090</v>
      </c>
      <c r="E839" s="16" t="str">
        <f>정규화데이터!E839</f>
        <v>미매핑</v>
      </c>
      <c r="F839" s="3">
        <f>정규화데이터!F839</f>
        <v>1</v>
      </c>
      <c r="G839" s="3">
        <f>정규화데이터!G839</f>
        <v>1</v>
      </c>
      <c r="H839" s="3">
        <f>정규화데이터!H839</f>
        <v>119000</v>
      </c>
      <c r="I839" s="3">
        <f>정규화데이터!I839</f>
        <v>113050</v>
      </c>
      <c r="J839" s="3">
        <f>정규화데이터!J839</f>
        <v>80920</v>
      </c>
      <c r="K839" s="25">
        <f>정규화데이터!K839</f>
        <v>0</v>
      </c>
      <c r="L839" s="25">
        <f>정규화데이터!L839</f>
        <v>80920</v>
      </c>
      <c r="M839" s="21">
        <f t="shared" si="26"/>
        <v>0</v>
      </c>
      <c r="N839" s="52">
        <f t="shared" si="27"/>
        <v>0</v>
      </c>
    </row>
    <row r="840" spans="1:14" x14ac:dyDescent="0.3">
      <c r="A840" t="str">
        <f>정규화데이터!A840</f>
        <v>SK스토아</v>
      </c>
      <c r="B840" t="str">
        <f>정규화데이터!B840</f>
        <v>20260210361908</v>
      </c>
      <c r="C840" t="str">
        <f>정규화데이터!C840</f>
        <v>2026-02-12</v>
      </c>
      <c r="D840" t="str">
        <f>정규화데이터!D840</f>
        <v>58481090</v>
      </c>
      <c r="E840" s="16" t="str">
        <f>정규화데이터!E840</f>
        <v>미매핑</v>
      </c>
      <c r="F840" s="3">
        <f>정규화데이터!F840</f>
        <v>1</v>
      </c>
      <c r="G840" s="3">
        <f>정규화데이터!G840</f>
        <v>1</v>
      </c>
      <c r="H840" s="3">
        <f>정규화데이터!H840</f>
        <v>119000</v>
      </c>
      <c r="I840" s="3">
        <f>정규화데이터!I840</f>
        <v>119000</v>
      </c>
      <c r="J840" s="3">
        <f>정규화데이터!J840</f>
        <v>80920</v>
      </c>
      <c r="K840" s="25">
        <f>정규화데이터!K840</f>
        <v>0</v>
      </c>
      <c r="L840" s="25">
        <f>정규화데이터!L840</f>
        <v>80920</v>
      </c>
      <c r="M840" s="21">
        <f t="shared" si="26"/>
        <v>0</v>
      </c>
      <c r="N840" s="52">
        <f t="shared" si="27"/>
        <v>0</v>
      </c>
    </row>
    <row r="841" spans="1:14" x14ac:dyDescent="0.3">
      <c r="A841" t="str">
        <f>정규화데이터!A841</f>
        <v>SK스토아</v>
      </c>
      <c r="B841" t="str">
        <f>정규화데이터!B841</f>
        <v>20260210360177</v>
      </c>
      <c r="C841" t="str">
        <f>정규화데이터!C841</f>
        <v>2026-02-12</v>
      </c>
      <c r="D841" t="str">
        <f>정규화데이터!D841</f>
        <v>58481090</v>
      </c>
      <c r="E841" s="16" t="str">
        <f>정규화데이터!E841</f>
        <v>미매핑</v>
      </c>
      <c r="F841" s="3">
        <f>정규화데이터!F841</f>
        <v>1</v>
      </c>
      <c r="G841" s="3">
        <f>정규화데이터!G841</f>
        <v>1</v>
      </c>
      <c r="H841" s="3">
        <f>정규화데이터!H841</f>
        <v>119000</v>
      </c>
      <c r="I841" s="3">
        <f>정규화데이터!I841</f>
        <v>119000</v>
      </c>
      <c r="J841" s="3">
        <f>정규화데이터!J841</f>
        <v>80920</v>
      </c>
      <c r="K841" s="25">
        <f>정규화데이터!K841</f>
        <v>0</v>
      </c>
      <c r="L841" s="25">
        <f>정규화데이터!L841</f>
        <v>80920</v>
      </c>
      <c r="M841" s="21">
        <f t="shared" si="26"/>
        <v>0</v>
      </c>
      <c r="N841" s="52">
        <f t="shared" si="27"/>
        <v>0</v>
      </c>
    </row>
    <row r="842" spans="1:14" x14ac:dyDescent="0.3">
      <c r="A842" t="str">
        <f>정규화데이터!A842</f>
        <v>SK스토아</v>
      </c>
      <c r="B842" t="str">
        <f>정규화데이터!B842</f>
        <v>20260210360979</v>
      </c>
      <c r="C842" t="str">
        <f>정규화데이터!C842</f>
        <v>2026-02-12</v>
      </c>
      <c r="D842" t="str">
        <f>정규화데이터!D842</f>
        <v>58481090</v>
      </c>
      <c r="E842" s="16" t="str">
        <f>정규화데이터!E842</f>
        <v>미매핑</v>
      </c>
      <c r="F842" s="3">
        <f>정규화데이터!F842</f>
        <v>1</v>
      </c>
      <c r="G842" s="3">
        <f>정규화데이터!G842</f>
        <v>1</v>
      </c>
      <c r="H842" s="3">
        <f>정규화데이터!H842</f>
        <v>119000</v>
      </c>
      <c r="I842" s="3">
        <f>정규화데이터!I842</f>
        <v>119000</v>
      </c>
      <c r="J842" s="3">
        <f>정규화데이터!J842</f>
        <v>80920</v>
      </c>
      <c r="K842" s="25">
        <f>정규화데이터!K842</f>
        <v>0</v>
      </c>
      <c r="L842" s="25">
        <f>정규화데이터!L842</f>
        <v>80920</v>
      </c>
      <c r="M842" s="21">
        <f t="shared" si="26"/>
        <v>0</v>
      </c>
      <c r="N842" s="52">
        <f t="shared" si="27"/>
        <v>0</v>
      </c>
    </row>
    <row r="843" spans="1:14" x14ac:dyDescent="0.3">
      <c r="A843" t="str">
        <f>정규화데이터!A843</f>
        <v>SK스토아</v>
      </c>
      <c r="B843" t="str">
        <f>정규화데이터!B843</f>
        <v>20260210361530</v>
      </c>
      <c r="C843" t="str">
        <f>정규화데이터!C843</f>
        <v>2026-02-12</v>
      </c>
      <c r="D843" t="str">
        <f>정규화데이터!D843</f>
        <v>58481090</v>
      </c>
      <c r="E843" s="16" t="str">
        <f>정규화데이터!E843</f>
        <v>미매핑</v>
      </c>
      <c r="F843" s="3">
        <f>정규화데이터!F843</f>
        <v>1</v>
      </c>
      <c r="G843" s="3">
        <f>정규화데이터!G843</f>
        <v>1</v>
      </c>
      <c r="H843" s="3">
        <f>정규화데이터!H843</f>
        <v>119000</v>
      </c>
      <c r="I843" s="3">
        <f>정규화데이터!I843</f>
        <v>119000</v>
      </c>
      <c r="J843" s="3">
        <f>정규화데이터!J843</f>
        <v>80920</v>
      </c>
      <c r="K843" s="25">
        <f>정규화데이터!K843</f>
        <v>0</v>
      </c>
      <c r="L843" s="25">
        <f>정규화데이터!L843</f>
        <v>80920</v>
      </c>
      <c r="M843" s="21">
        <f t="shared" si="26"/>
        <v>0</v>
      </c>
      <c r="N843" s="52">
        <f t="shared" si="27"/>
        <v>0</v>
      </c>
    </row>
    <row r="844" spans="1:14" x14ac:dyDescent="0.3">
      <c r="A844" t="str">
        <f>정규화데이터!A844</f>
        <v>SK스토아</v>
      </c>
      <c r="B844" t="str">
        <f>정규화데이터!B844</f>
        <v>20260210361628</v>
      </c>
      <c r="C844" t="str">
        <f>정규화데이터!C844</f>
        <v>2026-02-12</v>
      </c>
      <c r="D844" t="str">
        <f>정규화데이터!D844</f>
        <v>58481090</v>
      </c>
      <c r="E844" s="16" t="str">
        <f>정규화데이터!E844</f>
        <v>미매핑</v>
      </c>
      <c r="F844" s="3">
        <f>정규화데이터!F844</f>
        <v>1</v>
      </c>
      <c r="G844" s="3">
        <f>정규화데이터!G844</f>
        <v>1</v>
      </c>
      <c r="H844" s="3">
        <f>정규화데이터!H844</f>
        <v>119000</v>
      </c>
      <c r="I844" s="3">
        <f>정규화데이터!I844</f>
        <v>119000</v>
      </c>
      <c r="J844" s="3">
        <f>정규화데이터!J844</f>
        <v>80920</v>
      </c>
      <c r="K844" s="25">
        <f>정규화데이터!K844</f>
        <v>0</v>
      </c>
      <c r="L844" s="25">
        <f>정규화데이터!L844</f>
        <v>80920</v>
      </c>
      <c r="M844" s="21">
        <f t="shared" si="26"/>
        <v>0</v>
      </c>
      <c r="N844" s="52">
        <f t="shared" si="27"/>
        <v>0</v>
      </c>
    </row>
    <row r="845" spans="1:14" x14ac:dyDescent="0.3">
      <c r="A845" t="str">
        <f>정규화데이터!A845</f>
        <v>SK스토아</v>
      </c>
      <c r="B845" t="str">
        <f>정규화데이터!B845</f>
        <v>20260210360293</v>
      </c>
      <c r="C845" t="str">
        <f>정규화데이터!C845</f>
        <v>2026-02-12</v>
      </c>
      <c r="D845" t="str">
        <f>정규화데이터!D845</f>
        <v>58481090</v>
      </c>
      <c r="E845" s="16" t="str">
        <f>정규화데이터!E845</f>
        <v>미매핑</v>
      </c>
      <c r="F845" s="3">
        <f>정규화데이터!F845</f>
        <v>1</v>
      </c>
      <c r="G845" s="3">
        <f>정규화데이터!G845</f>
        <v>1</v>
      </c>
      <c r="H845" s="3">
        <f>정규화데이터!H845</f>
        <v>119000</v>
      </c>
      <c r="I845" s="3">
        <f>정규화데이터!I845</f>
        <v>119000</v>
      </c>
      <c r="J845" s="3">
        <f>정규화데이터!J845</f>
        <v>80920</v>
      </c>
      <c r="K845" s="25">
        <f>정규화데이터!K845</f>
        <v>0</v>
      </c>
      <c r="L845" s="25">
        <f>정규화데이터!L845</f>
        <v>80920</v>
      </c>
      <c r="M845" s="21">
        <f t="shared" si="26"/>
        <v>0</v>
      </c>
      <c r="N845" s="52">
        <f t="shared" si="27"/>
        <v>0</v>
      </c>
    </row>
    <row r="846" spans="1:14" x14ac:dyDescent="0.3">
      <c r="A846" t="str">
        <f>정규화데이터!A846</f>
        <v>SK스토아</v>
      </c>
      <c r="B846" t="str">
        <f>정규화데이터!B846</f>
        <v>20260210361554</v>
      </c>
      <c r="C846" t="str">
        <f>정규화데이터!C846</f>
        <v>2026-02-12</v>
      </c>
      <c r="D846" t="str">
        <f>정규화데이터!D846</f>
        <v>58481090</v>
      </c>
      <c r="E846" s="16" t="str">
        <f>정규화데이터!E846</f>
        <v>미매핑</v>
      </c>
      <c r="F846" s="3">
        <f>정규화데이터!F846</f>
        <v>1</v>
      </c>
      <c r="G846" s="3">
        <f>정규화데이터!G846</f>
        <v>1</v>
      </c>
      <c r="H846" s="3">
        <f>정규화데이터!H846</f>
        <v>119000</v>
      </c>
      <c r="I846" s="3">
        <f>정규화데이터!I846</f>
        <v>95200</v>
      </c>
      <c r="J846" s="3">
        <f>정규화데이터!J846</f>
        <v>80920</v>
      </c>
      <c r="K846" s="25">
        <f>정규화데이터!K846</f>
        <v>0</v>
      </c>
      <c r="L846" s="25">
        <f>정규화데이터!L846</f>
        <v>80920</v>
      </c>
      <c r="M846" s="21">
        <f t="shared" si="26"/>
        <v>0</v>
      </c>
      <c r="N846" s="52">
        <f t="shared" si="27"/>
        <v>0</v>
      </c>
    </row>
    <row r="847" spans="1:14" x14ac:dyDescent="0.3">
      <c r="A847" t="str">
        <f>정규화데이터!A847</f>
        <v>SK스토아</v>
      </c>
      <c r="B847" t="str">
        <f>정규화데이터!B847</f>
        <v>20260210360720</v>
      </c>
      <c r="C847" t="str">
        <f>정규화데이터!C847</f>
        <v>2026-02-12</v>
      </c>
      <c r="D847" t="str">
        <f>정규화데이터!D847</f>
        <v>58481090</v>
      </c>
      <c r="E847" s="16" t="str">
        <f>정규화데이터!E847</f>
        <v>미매핑</v>
      </c>
      <c r="F847" s="3">
        <f>정규화데이터!F847</f>
        <v>1</v>
      </c>
      <c r="G847" s="3">
        <f>정규화데이터!G847</f>
        <v>1</v>
      </c>
      <c r="H847" s="3">
        <f>정규화데이터!H847</f>
        <v>119000</v>
      </c>
      <c r="I847" s="3">
        <f>정규화데이터!I847</f>
        <v>119000</v>
      </c>
      <c r="J847" s="3">
        <f>정규화데이터!J847</f>
        <v>80920</v>
      </c>
      <c r="K847" s="25">
        <f>정규화데이터!K847</f>
        <v>0</v>
      </c>
      <c r="L847" s="25">
        <f>정규화데이터!L847</f>
        <v>80920</v>
      </c>
      <c r="M847" s="21">
        <f t="shared" si="26"/>
        <v>0</v>
      </c>
      <c r="N847" s="52">
        <f t="shared" si="27"/>
        <v>0</v>
      </c>
    </row>
    <row r="848" spans="1:14" x14ac:dyDescent="0.3">
      <c r="A848" t="str">
        <f>정규화데이터!A848</f>
        <v>SK스토아</v>
      </c>
      <c r="B848" t="str">
        <f>정규화데이터!B848</f>
        <v>20260210360283</v>
      </c>
      <c r="C848" t="str">
        <f>정규화데이터!C848</f>
        <v>2026-02-12</v>
      </c>
      <c r="D848" t="str">
        <f>정규화데이터!D848</f>
        <v>58481090</v>
      </c>
      <c r="E848" s="16" t="str">
        <f>정규화데이터!E848</f>
        <v>미매핑</v>
      </c>
      <c r="F848" s="3">
        <f>정규화데이터!F848</f>
        <v>1</v>
      </c>
      <c r="G848" s="3">
        <f>정규화데이터!G848</f>
        <v>2</v>
      </c>
      <c r="H848" s="3">
        <f>정규화데이터!H848</f>
        <v>119000</v>
      </c>
      <c r="I848" s="3">
        <f>정규화데이터!I848</f>
        <v>238000</v>
      </c>
      <c r="J848" s="3">
        <f>정규화데이터!J848</f>
        <v>161840</v>
      </c>
      <c r="K848" s="25">
        <f>정규화데이터!K848</f>
        <v>0</v>
      </c>
      <c r="L848" s="25">
        <f>정규화데이터!L848</f>
        <v>161840</v>
      </c>
      <c r="M848" s="21">
        <f t="shared" si="26"/>
        <v>0</v>
      </c>
      <c r="N848" s="52">
        <f t="shared" si="27"/>
        <v>0</v>
      </c>
    </row>
    <row r="849" spans="1:14" x14ac:dyDescent="0.3">
      <c r="A849" t="str">
        <f>정규화데이터!A849</f>
        <v>SK스토아</v>
      </c>
      <c r="B849" t="str">
        <f>정규화데이터!B849</f>
        <v>20260210361227</v>
      </c>
      <c r="C849" t="str">
        <f>정규화데이터!C849</f>
        <v>2026-02-12</v>
      </c>
      <c r="D849" t="str">
        <f>정규화데이터!D849</f>
        <v>58481090</v>
      </c>
      <c r="E849" s="16" t="str">
        <f>정규화데이터!E849</f>
        <v>미매핑</v>
      </c>
      <c r="F849" s="3">
        <f>정규화데이터!F849</f>
        <v>1</v>
      </c>
      <c r="G849" s="3">
        <f>정규화데이터!G849</f>
        <v>2</v>
      </c>
      <c r="H849" s="3">
        <f>정규화데이터!H849</f>
        <v>119000</v>
      </c>
      <c r="I849" s="3">
        <f>정규화데이터!I849</f>
        <v>238000</v>
      </c>
      <c r="J849" s="3">
        <f>정규화데이터!J849</f>
        <v>161840</v>
      </c>
      <c r="K849" s="25">
        <f>정규화데이터!K849</f>
        <v>0</v>
      </c>
      <c r="L849" s="25">
        <f>정규화데이터!L849</f>
        <v>161840</v>
      </c>
      <c r="M849" s="21">
        <f t="shared" si="26"/>
        <v>0</v>
      </c>
      <c r="N849" s="52">
        <f t="shared" si="27"/>
        <v>0</v>
      </c>
    </row>
    <row r="850" spans="1:14" x14ac:dyDescent="0.3">
      <c r="A850" t="str">
        <f>정규화데이터!A850</f>
        <v>SK스토아</v>
      </c>
      <c r="B850" t="str">
        <f>정규화데이터!B850</f>
        <v>20260210367975</v>
      </c>
      <c r="C850" t="str">
        <f>정규화데이터!C850</f>
        <v>2026-02-12</v>
      </c>
      <c r="D850" t="str">
        <f>정규화데이터!D850</f>
        <v>58481090</v>
      </c>
      <c r="E850" s="16" t="str">
        <f>정규화데이터!E850</f>
        <v>미매핑</v>
      </c>
      <c r="F850" s="3">
        <f>정규화데이터!F850</f>
        <v>1</v>
      </c>
      <c r="G850" s="3">
        <f>정규화데이터!G850</f>
        <v>1</v>
      </c>
      <c r="H850" s="3">
        <f>정규화데이터!H850</f>
        <v>119000</v>
      </c>
      <c r="I850" s="3">
        <f>정규화데이터!I850</f>
        <v>113050</v>
      </c>
      <c r="J850" s="3">
        <f>정규화데이터!J850</f>
        <v>80920</v>
      </c>
      <c r="K850" s="25">
        <f>정규화데이터!K850</f>
        <v>0</v>
      </c>
      <c r="L850" s="25">
        <f>정규화데이터!L850</f>
        <v>80920</v>
      </c>
      <c r="M850" s="21">
        <f t="shared" si="26"/>
        <v>0</v>
      </c>
      <c r="N850" s="52">
        <f t="shared" si="27"/>
        <v>0</v>
      </c>
    </row>
    <row r="851" spans="1:14" x14ac:dyDescent="0.3">
      <c r="A851" t="str">
        <f>정규화데이터!A851</f>
        <v>SK스토아</v>
      </c>
      <c r="B851" t="str">
        <f>정규화데이터!B851</f>
        <v>20260205994463</v>
      </c>
      <c r="C851" t="str">
        <f>정규화데이터!C851</f>
        <v>2026-02-12</v>
      </c>
      <c r="D851" t="str">
        <f>정규화데이터!D851</f>
        <v>58481090</v>
      </c>
      <c r="E851" s="16" t="str">
        <f>정규화데이터!E851</f>
        <v>미매핑</v>
      </c>
      <c r="F851" s="3">
        <f>정규화데이터!F851</f>
        <v>1</v>
      </c>
      <c r="G851" s="3">
        <f>정규화데이터!G851</f>
        <v>1</v>
      </c>
      <c r="H851" s="3">
        <f>정규화데이터!H851</f>
        <v>119000</v>
      </c>
      <c r="I851" s="3">
        <f>정규화데이터!I851</f>
        <v>119000</v>
      </c>
      <c r="J851" s="3">
        <f>정규화데이터!J851</f>
        <v>82110</v>
      </c>
      <c r="K851" s="25">
        <f>정규화데이터!K851</f>
        <v>0</v>
      </c>
      <c r="L851" s="25">
        <f>정규화데이터!L851</f>
        <v>82110</v>
      </c>
      <c r="M851" s="21">
        <f t="shared" si="26"/>
        <v>0</v>
      </c>
      <c r="N851" s="52">
        <f t="shared" si="27"/>
        <v>0</v>
      </c>
    </row>
    <row r="852" spans="1:14" x14ac:dyDescent="0.3">
      <c r="A852" t="str">
        <f>정규화데이터!A852</f>
        <v>SK스토아</v>
      </c>
      <c r="B852" t="str">
        <f>정규화데이터!B852</f>
        <v>20260210360499</v>
      </c>
      <c r="C852" t="str">
        <f>정규화데이터!C852</f>
        <v>2026-02-12</v>
      </c>
      <c r="D852" t="str">
        <f>정규화데이터!D852</f>
        <v>58481090</v>
      </c>
      <c r="E852" s="16" t="str">
        <f>정규화데이터!E852</f>
        <v>미매핑</v>
      </c>
      <c r="F852" s="3">
        <f>정규화데이터!F852</f>
        <v>1</v>
      </c>
      <c r="G852" s="3">
        <f>정규화데이터!G852</f>
        <v>1</v>
      </c>
      <c r="H852" s="3">
        <f>정규화데이터!H852</f>
        <v>119000</v>
      </c>
      <c r="I852" s="3">
        <f>정규화데이터!I852</f>
        <v>113050</v>
      </c>
      <c r="J852" s="3">
        <f>정규화데이터!J852</f>
        <v>80920</v>
      </c>
      <c r="K852" s="25">
        <f>정규화데이터!K852</f>
        <v>0</v>
      </c>
      <c r="L852" s="25">
        <f>정규화데이터!L852</f>
        <v>80920</v>
      </c>
      <c r="M852" s="21">
        <f t="shared" si="26"/>
        <v>0</v>
      </c>
      <c r="N852" s="52">
        <f t="shared" si="27"/>
        <v>0</v>
      </c>
    </row>
    <row r="853" spans="1:14" x14ac:dyDescent="0.3">
      <c r="A853" t="str">
        <f>정규화데이터!A853</f>
        <v>SK스토아</v>
      </c>
      <c r="B853" t="str">
        <f>정규화데이터!B853</f>
        <v>20260210361304</v>
      </c>
      <c r="C853" t="str">
        <f>정규화데이터!C853</f>
        <v>2026-02-12</v>
      </c>
      <c r="D853" t="str">
        <f>정규화데이터!D853</f>
        <v>58481090</v>
      </c>
      <c r="E853" s="16" t="str">
        <f>정규화데이터!E853</f>
        <v>미매핑</v>
      </c>
      <c r="F853" s="3">
        <f>정규화데이터!F853</f>
        <v>1</v>
      </c>
      <c r="G853" s="3">
        <f>정규화데이터!G853</f>
        <v>1</v>
      </c>
      <c r="H853" s="3">
        <f>정규화데이터!H853</f>
        <v>119000</v>
      </c>
      <c r="I853" s="3">
        <f>정규화데이터!I853</f>
        <v>119000</v>
      </c>
      <c r="J853" s="3">
        <f>정규화데이터!J853</f>
        <v>80920</v>
      </c>
      <c r="K853" s="25">
        <f>정규화데이터!K853</f>
        <v>0</v>
      </c>
      <c r="L853" s="25">
        <f>정규화데이터!L853</f>
        <v>80920</v>
      </c>
      <c r="M853" s="21">
        <f t="shared" si="26"/>
        <v>0</v>
      </c>
      <c r="N853" s="52">
        <f t="shared" si="27"/>
        <v>0</v>
      </c>
    </row>
    <row r="854" spans="1:14" x14ac:dyDescent="0.3">
      <c r="A854" t="str">
        <f>정규화데이터!A854</f>
        <v>SK스토아</v>
      </c>
      <c r="B854" t="str">
        <f>정규화데이터!B854</f>
        <v>20260210361296</v>
      </c>
      <c r="C854" t="str">
        <f>정규화데이터!C854</f>
        <v>2026-02-12</v>
      </c>
      <c r="D854" t="str">
        <f>정규화데이터!D854</f>
        <v>58481090</v>
      </c>
      <c r="E854" s="16" t="str">
        <f>정규화데이터!E854</f>
        <v>미매핑</v>
      </c>
      <c r="F854" s="3">
        <f>정규화데이터!F854</f>
        <v>1</v>
      </c>
      <c r="G854" s="3">
        <f>정규화데이터!G854</f>
        <v>1</v>
      </c>
      <c r="H854" s="3">
        <f>정규화데이터!H854</f>
        <v>119000</v>
      </c>
      <c r="I854" s="3">
        <f>정규화데이터!I854</f>
        <v>109000</v>
      </c>
      <c r="J854" s="3">
        <f>정규화데이터!J854</f>
        <v>80920</v>
      </c>
      <c r="K854" s="25">
        <f>정규화데이터!K854</f>
        <v>0</v>
      </c>
      <c r="L854" s="25">
        <f>정규화데이터!L854</f>
        <v>80920</v>
      </c>
      <c r="M854" s="21">
        <f t="shared" si="26"/>
        <v>0</v>
      </c>
      <c r="N854" s="52">
        <f t="shared" si="27"/>
        <v>0</v>
      </c>
    </row>
    <row r="855" spans="1:14" x14ac:dyDescent="0.3">
      <c r="A855" t="str">
        <f>정규화데이터!A855</f>
        <v>SK스토아</v>
      </c>
      <c r="B855" t="str">
        <f>정규화데이터!B855</f>
        <v>20260210361578</v>
      </c>
      <c r="C855" t="str">
        <f>정규화데이터!C855</f>
        <v>2026-02-12</v>
      </c>
      <c r="D855" t="str">
        <f>정규화데이터!D855</f>
        <v>58481090</v>
      </c>
      <c r="E855" s="16" t="str">
        <f>정규화데이터!E855</f>
        <v>미매핑</v>
      </c>
      <c r="F855" s="3">
        <f>정규화데이터!F855</f>
        <v>1</v>
      </c>
      <c r="G855" s="3">
        <f>정규화데이터!G855</f>
        <v>1</v>
      </c>
      <c r="H855" s="3">
        <f>정규화데이터!H855</f>
        <v>119000</v>
      </c>
      <c r="I855" s="3">
        <f>정규화데이터!I855</f>
        <v>119000</v>
      </c>
      <c r="J855" s="3">
        <f>정규화데이터!J855</f>
        <v>80920</v>
      </c>
      <c r="K855" s="25">
        <f>정규화데이터!K855</f>
        <v>0</v>
      </c>
      <c r="L855" s="25">
        <f>정규화데이터!L855</f>
        <v>80920</v>
      </c>
      <c r="M855" s="21">
        <f t="shared" si="26"/>
        <v>0</v>
      </c>
      <c r="N855" s="52">
        <f t="shared" si="27"/>
        <v>0</v>
      </c>
    </row>
    <row r="856" spans="1:14" x14ac:dyDescent="0.3">
      <c r="A856" t="str">
        <f>정규화데이터!A856</f>
        <v>SK스토아</v>
      </c>
      <c r="B856" t="str">
        <f>정규화데이터!B856</f>
        <v>20260210360604</v>
      </c>
      <c r="C856" t="str">
        <f>정규화데이터!C856</f>
        <v>2026-02-12</v>
      </c>
      <c r="D856" t="str">
        <f>정규화데이터!D856</f>
        <v>58481090</v>
      </c>
      <c r="E856" s="16" t="str">
        <f>정규화데이터!E856</f>
        <v>미매핑</v>
      </c>
      <c r="F856" s="3">
        <f>정규화데이터!F856</f>
        <v>1</v>
      </c>
      <c r="G856" s="3">
        <f>정규화데이터!G856</f>
        <v>1</v>
      </c>
      <c r="H856" s="3">
        <f>정규화데이터!H856</f>
        <v>119000</v>
      </c>
      <c r="I856" s="3">
        <f>정규화데이터!I856</f>
        <v>119000</v>
      </c>
      <c r="J856" s="3">
        <f>정규화데이터!J856</f>
        <v>80920</v>
      </c>
      <c r="K856" s="25">
        <f>정규화데이터!K856</f>
        <v>0</v>
      </c>
      <c r="L856" s="25">
        <f>정규화데이터!L856</f>
        <v>80920</v>
      </c>
      <c r="M856" s="21">
        <f t="shared" si="26"/>
        <v>0</v>
      </c>
      <c r="N856" s="52">
        <f t="shared" si="27"/>
        <v>0</v>
      </c>
    </row>
    <row r="857" spans="1:14" x14ac:dyDescent="0.3">
      <c r="A857" t="str">
        <f>정규화데이터!A857</f>
        <v>SK스토아</v>
      </c>
      <c r="B857" t="str">
        <f>정규화데이터!B857</f>
        <v>20260210361837</v>
      </c>
      <c r="C857" t="str">
        <f>정규화데이터!C857</f>
        <v>2026-02-12</v>
      </c>
      <c r="D857" t="str">
        <f>정규화데이터!D857</f>
        <v>58481090</v>
      </c>
      <c r="E857" s="16" t="str">
        <f>정규화데이터!E857</f>
        <v>미매핑</v>
      </c>
      <c r="F857" s="3">
        <f>정규화데이터!F857</f>
        <v>1</v>
      </c>
      <c r="G857" s="3">
        <f>정규화데이터!G857</f>
        <v>1</v>
      </c>
      <c r="H857" s="3">
        <f>정규화데이터!H857</f>
        <v>119000</v>
      </c>
      <c r="I857" s="3">
        <f>정규화데이터!I857</f>
        <v>113050</v>
      </c>
      <c r="J857" s="3">
        <f>정규화데이터!J857</f>
        <v>80920</v>
      </c>
      <c r="K857" s="25">
        <f>정규화데이터!K857</f>
        <v>0</v>
      </c>
      <c r="L857" s="25">
        <f>정규화데이터!L857</f>
        <v>80920</v>
      </c>
      <c r="M857" s="21">
        <f t="shared" si="26"/>
        <v>0</v>
      </c>
      <c r="N857" s="52">
        <f t="shared" si="27"/>
        <v>0</v>
      </c>
    </row>
    <row r="858" spans="1:14" x14ac:dyDescent="0.3">
      <c r="A858" t="str">
        <f>정규화데이터!A858</f>
        <v>SK스토아</v>
      </c>
      <c r="B858" t="str">
        <f>정규화데이터!B858</f>
        <v>20260210361837</v>
      </c>
      <c r="C858" t="str">
        <f>정규화데이터!C858</f>
        <v>2026-02-12</v>
      </c>
      <c r="D858" t="str">
        <f>정규화데이터!D858</f>
        <v>58481090</v>
      </c>
      <c r="E858" s="16" t="str">
        <f>정규화데이터!E858</f>
        <v>미매핑</v>
      </c>
      <c r="F858" s="3">
        <f>정규화데이터!F858</f>
        <v>1</v>
      </c>
      <c r="G858" s="3">
        <f>정규화데이터!G858</f>
        <v>1</v>
      </c>
      <c r="H858" s="3">
        <f>정규화데이터!H858</f>
        <v>119000</v>
      </c>
      <c r="I858" s="3">
        <f>정규화데이터!I858</f>
        <v>113050</v>
      </c>
      <c r="J858" s="3">
        <f>정규화데이터!J858</f>
        <v>80920</v>
      </c>
      <c r="K858" s="25">
        <f>정규화데이터!K858</f>
        <v>0</v>
      </c>
      <c r="L858" s="25">
        <f>정규화데이터!L858</f>
        <v>80920</v>
      </c>
      <c r="M858" s="21">
        <f t="shared" si="26"/>
        <v>0</v>
      </c>
      <c r="N858" s="52">
        <f t="shared" si="27"/>
        <v>0</v>
      </c>
    </row>
    <row r="859" spans="1:14" x14ac:dyDescent="0.3">
      <c r="A859" t="str">
        <f>정규화데이터!A859</f>
        <v>SK스토아</v>
      </c>
      <c r="B859" t="str">
        <f>정규화데이터!B859</f>
        <v>20260210360558</v>
      </c>
      <c r="C859" t="str">
        <f>정규화데이터!C859</f>
        <v>2026-02-12</v>
      </c>
      <c r="D859" t="str">
        <f>정규화데이터!D859</f>
        <v>58481090</v>
      </c>
      <c r="E859" s="16" t="str">
        <f>정규화데이터!E859</f>
        <v>미매핑</v>
      </c>
      <c r="F859" s="3">
        <f>정규화데이터!F859</f>
        <v>1</v>
      </c>
      <c r="G859" s="3">
        <f>정규화데이터!G859</f>
        <v>1</v>
      </c>
      <c r="H859" s="3">
        <f>정규화데이터!H859</f>
        <v>119000</v>
      </c>
      <c r="I859" s="3">
        <f>정규화데이터!I859</f>
        <v>119000</v>
      </c>
      <c r="J859" s="3">
        <f>정규화데이터!J859</f>
        <v>80920</v>
      </c>
      <c r="K859" s="25">
        <f>정규화데이터!K859</f>
        <v>0</v>
      </c>
      <c r="L859" s="25">
        <f>정규화데이터!L859</f>
        <v>80920</v>
      </c>
      <c r="M859" s="21">
        <f t="shared" si="26"/>
        <v>0</v>
      </c>
      <c r="N859" s="52">
        <f t="shared" si="27"/>
        <v>0</v>
      </c>
    </row>
    <row r="860" spans="1:14" x14ac:dyDescent="0.3">
      <c r="A860" t="str">
        <f>정규화데이터!A860</f>
        <v>SK스토아</v>
      </c>
      <c r="B860" t="str">
        <f>정규화데이터!B860</f>
        <v>20260210360940</v>
      </c>
      <c r="C860" t="str">
        <f>정규화데이터!C860</f>
        <v>2026-02-12</v>
      </c>
      <c r="D860" t="str">
        <f>정규화데이터!D860</f>
        <v>58481090</v>
      </c>
      <c r="E860" s="16" t="str">
        <f>정규화데이터!E860</f>
        <v>미매핑</v>
      </c>
      <c r="F860" s="3">
        <f>정규화데이터!F860</f>
        <v>1</v>
      </c>
      <c r="G860" s="3">
        <f>정규화데이터!G860</f>
        <v>1</v>
      </c>
      <c r="H860" s="3">
        <f>정규화데이터!H860</f>
        <v>119000</v>
      </c>
      <c r="I860" s="3">
        <f>정규화데이터!I860</f>
        <v>119000</v>
      </c>
      <c r="J860" s="3">
        <f>정규화데이터!J860</f>
        <v>80920</v>
      </c>
      <c r="K860" s="25">
        <f>정규화데이터!K860</f>
        <v>0</v>
      </c>
      <c r="L860" s="25">
        <f>정규화데이터!L860</f>
        <v>80920</v>
      </c>
      <c r="M860" s="21">
        <f t="shared" si="26"/>
        <v>0</v>
      </c>
      <c r="N860" s="52">
        <f t="shared" si="27"/>
        <v>0</v>
      </c>
    </row>
    <row r="861" spans="1:14" x14ac:dyDescent="0.3">
      <c r="A861" t="str">
        <f>정규화데이터!A861</f>
        <v>SK스토아</v>
      </c>
      <c r="B861" t="str">
        <f>정규화데이터!B861</f>
        <v>20260210360934</v>
      </c>
      <c r="C861" t="str">
        <f>정규화데이터!C861</f>
        <v>2026-02-12</v>
      </c>
      <c r="D861" t="str">
        <f>정규화데이터!D861</f>
        <v>58481090</v>
      </c>
      <c r="E861" s="16" t="str">
        <f>정규화데이터!E861</f>
        <v>미매핑</v>
      </c>
      <c r="F861" s="3">
        <f>정규화데이터!F861</f>
        <v>1</v>
      </c>
      <c r="G861" s="3">
        <f>정규화데이터!G861</f>
        <v>1</v>
      </c>
      <c r="H861" s="3">
        <f>정규화데이터!H861</f>
        <v>119000</v>
      </c>
      <c r="I861" s="3">
        <f>정규화데이터!I861</f>
        <v>119000</v>
      </c>
      <c r="J861" s="3">
        <f>정규화데이터!J861</f>
        <v>80920</v>
      </c>
      <c r="K861" s="25">
        <f>정규화데이터!K861</f>
        <v>0</v>
      </c>
      <c r="L861" s="25">
        <f>정규화데이터!L861</f>
        <v>80920</v>
      </c>
      <c r="M861" s="21">
        <f t="shared" si="26"/>
        <v>0</v>
      </c>
      <c r="N861" s="52">
        <f t="shared" si="27"/>
        <v>0</v>
      </c>
    </row>
    <row r="862" spans="1:14" x14ac:dyDescent="0.3">
      <c r="A862" t="str">
        <f>정규화데이터!A862</f>
        <v>SK스토아</v>
      </c>
      <c r="B862" t="str">
        <f>정규화데이터!B862</f>
        <v>20260210360612</v>
      </c>
      <c r="C862" t="str">
        <f>정규화데이터!C862</f>
        <v>2026-02-12</v>
      </c>
      <c r="D862" t="str">
        <f>정규화데이터!D862</f>
        <v>58481090</v>
      </c>
      <c r="E862" s="16" t="str">
        <f>정규화데이터!E862</f>
        <v>미매핑</v>
      </c>
      <c r="F862" s="3">
        <f>정규화데이터!F862</f>
        <v>1</v>
      </c>
      <c r="G862" s="3">
        <f>정규화데이터!G862</f>
        <v>1</v>
      </c>
      <c r="H862" s="3">
        <f>정규화데이터!H862</f>
        <v>119000</v>
      </c>
      <c r="I862" s="3">
        <f>정규화데이터!I862</f>
        <v>113050</v>
      </c>
      <c r="J862" s="3">
        <f>정규화데이터!J862</f>
        <v>80920</v>
      </c>
      <c r="K862" s="25">
        <f>정규화데이터!K862</f>
        <v>0</v>
      </c>
      <c r="L862" s="25">
        <f>정규화데이터!L862</f>
        <v>80920</v>
      </c>
      <c r="M862" s="21">
        <f t="shared" si="26"/>
        <v>0</v>
      </c>
      <c r="N862" s="52">
        <f t="shared" si="27"/>
        <v>0</v>
      </c>
    </row>
    <row r="863" spans="1:14" x14ac:dyDescent="0.3">
      <c r="A863" t="str">
        <f>정규화데이터!A863</f>
        <v>SK스토아</v>
      </c>
      <c r="B863" t="str">
        <f>정규화데이터!B863</f>
        <v>20260210361645</v>
      </c>
      <c r="C863" t="str">
        <f>정규화데이터!C863</f>
        <v>2026-02-12</v>
      </c>
      <c r="D863" t="str">
        <f>정규화데이터!D863</f>
        <v>58481090</v>
      </c>
      <c r="E863" s="16" t="str">
        <f>정규화데이터!E863</f>
        <v>미매핑</v>
      </c>
      <c r="F863" s="3">
        <f>정규화데이터!F863</f>
        <v>1</v>
      </c>
      <c r="G863" s="3">
        <f>정규화데이터!G863</f>
        <v>1</v>
      </c>
      <c r="H863" s="3">
        <f>정규화데이터!H863</f>
        <v>119000</v>
      </c>
      <c r="I863" s="3">
        <f>정규화데이터!I863</f>
        <v>119000</v>
      </c>
      <c r="J863" s="3">
        <f>정규화데이터!J863</f>
        <v>80920</v>
      </c>
      <c r="K863" s="25">
        <f>정규화데이터!K863</f>
        <v>0</v>
      </c>
      <c r="L863" s="25">
        <f>정규화데이터!L863</f>
        <v>80920</v>
      </c>
      <c r="M863" s="21">
        <f t="shared" si="26"/>
        <v>0</v>
      </c>
      <c r="N863" s="52">
        <f t="shared" si="27"/>
        <v>0</v>
      </c>
    </row>
    <row r="864" spans="1:14" x14ac:dyDescent="0.3">
      <c r="A864" t="str">
        <f>정규화데이터!A864</f>
        <v>SK스토아</v>
      </c>
      <c r="B864" t="str">
        <f>정규화데이터!B864</f>
        <v>20260210362008</v>
      </c>
      <c r="C864" t="str">
        <f>정규화데이터!C864</f>
        <v>2026-02-12</v>
      </c>
      <c r="D864" t="str">
        <f>정규화데이터!D864</f>
        <v>58481090</v>
      </c>
      <c r="E864" s="16" t="str">
        <f>정규화데이터!E864</f>
        <v>미매핑</v>
      </c>
      <c r="F864" s="3">
        <f>정규화데이터!F864</f>
        <v>1</v>
      </c>
      <c r="G864" s="3">
        <f>정규화데이터!G864</f>
        <v>1</v>
      </c>
      <c r="H864" s="3">
        <f>정규화데이터!H864</f>
        <v>119000</v>
      </c>
      <c r="I864" s="3">
        <f>정규화데이터!I864</f>
        <v>119000</v>
      </c>
      <c r="J864" s="3">
        <f>정규화데이터!J864</f>
        <v>80920</v>
      </c>
      <c r="K864" s="25">
        <f>정규화데이터!K864</f>
        <v>0</v>
      </c>
      <c r="L864" s="25">
        <f>정규화데이터!L864</f>
        <v>80920</v>
      </c>
      <c r="M864" s="21">
        <f t="shared" si="26"/>
        <v>0</v>
      </c>
      <c r="N864" s="52">
        <f t="shared" si="27"/>
        <v>0</v>
      </c>
    </row>
    <row r="865" spans="1:14" x14ac:dyDescent="0.3">
      <c r="A865" t="str">
        <f>정규화데이터!A865</f>
        <v>SK스토아</v>
      </c>
      <c r="B865" t="str">
        <f>정규화데이터!B865</f>
        <v>20260210360697</v>
      </c>
      <c r="C865" t="str">
        <f>정규화데이터!C865</f>
        <v>2026-02-12</v>
      </c>
      <c r="D865" t="str">
        <f>정규화데이터!D865</f>
        <v>58481090</v>
      </c>
      <c r="E865" s="16" t="str">
        <f>정규화데이터!E865</f>
        <v>미매핑</v>
      </c>
      <c r="F865" s="3">
        <f>정규화데이터!F865</f>
        <v>1</v>
      </c>
      <c r="G865" s="3">
        <f>정규화데이터!G865</f>
        <v>1</v>
      </c>
      <c r="H865" s="3">
        <f>정규화데이터!H865</f>
        <v>119000</v>
      </c>
      <c r="I865" s="3">
        <f>정규화데이터!I865</f>
        <v>101150</v>
      </c>
      <c r="J865" s="3">
        <f>정규화데이터!J865</f>
        <v>80920</v>
      </c>
      <c r="K865" s="25">
        <f>정규화데이터!K865</f>
        <v>0</v>
      </c>
      <c r="L865" s="25">
        <f>정규화데이터!L865</f>
        <v>80920</v>
      </c>
      <c r="M865" s="21">
        <f t="shared" si="26"/>
        <v>0</v>
      </c>
      <c r="N865" s="52">
        <f t="shared" si="27"/>
        <v>0</v>
      </c>
    </row>
    <row r="866" spans="1:14" x14ac:dyDescent="0.3">
      <c r="A866" t="str">
        <f>정규화데이터!A866</f>
        <v>SK스토아</v>
      </c>
      <c r="B866" t="str">
        <f>정규화데이터!B866</f>
        <v>20260210362079</v>
      </c>
      <c r="C866" t="str">
        <f>정규화데이터!C866</f>
        <v>2026-02-12</v>
      </c>
      <c r="D866" t="str">
        <f>정규화데이터!D866</f>
        <v>58481090</v>
      </c>
      <c r="E866" s="16" t="str">
        <f>정규화데이터!E866</f>
        <v>미매핑</v>
      </c>
      <c r="F866" s="3">
        <f>정규화데이터!F866</f>
        <v>1</v>
      </c>
      <c r="G866" s="3">
        <f>정규화데이터!G866</f>
        <v>1</v>
      </c>
      <c r="H866" s="3">
        <f>정규화데이터!H866</f>
        <v>119000</v>
      </c>
      <c r="I866" s="3">
        <f>정규화데이터!I866</f>
        <v>119000</v>
      </c>
      <c r="J866" s="3">
        <f>정규화데이터!J866</f>
        <v>80920</v>
      </c>
      <c r="K866" s="25">
        <f>정규화데이터!K866</f>
        <v>0</v>
      </c>
      <c r="L866" s="25">
        <f>정규화데이터!L866</f>
        <v>80920</v>
      </c>
      <c r="M866" s="21">
        <f t="shared" si="26"/>
        <v>0</v>
      </c>
      <c r="N866" s="52">
        <f t="shared" si="27"/>
        <v>0</v>
      </c>
    </row>
    <row r="867" spans="1:14" x14ac:dyDescent="0.3">
      <c r="A867" t="str">
        <f>정규화데이터!A867</f>
        <v>SK스토아</v>
      </c>
      <c r="B867" t="str">
        <f>정규화데이터!B867</f>
        <v>20260210361307</v>
      </c>
      <c r="C867" t="str">
        <f>정규화데이터!C867</f>
        <v>2026-02-12</v>
      </c>
      <c r="D867" t="str">
        <f>정규화데이터!D867</f>
        <v>58481090</v>
      </c>
      <c r="E867" s="16" t="str">
        <f>정규화데이터!E867</f>
        <v>미매핑</v>
      </c>
      <c r="F867" s="3">
        <f>정규화데이터!F867</f>
        <v>1</v>
      </c>
      <c r="G867" s="3">
        <f>정규화데이터!G867</f>
        <v>1</v>
      </c>
      <c r="H867" s="3">
        <f>정규화데이터!H867</f>
        <v>119000</v>
      </c>
      <c r="I867" s="3">
        <f>정규화데이터!I867</f>
        <v>119000</v>
      </c>
      <c r="J867" s="3">
        <f>정규화데이터!J867</f>
        <v>80920</v>
      </c>
      <c r="K867" s="25">
        <f>정규화데이터!K867</f>
        <v>0</v>
      </c>
      <c r="L867" s="25">
        <f>정규화데이터!L867</f>
        <v>80920</v>
      </c>
      <c r="M867" s="21">
        <f t="shared" si="26"/>
        <v>0</v>
      </c>
      <c r="N867" s="52">
        <f t="shared" si="27"/>
        <v>0</v>
      </c>
    </row>
    <row r="868" spans="1:14" x14ac:dyDescent="0.3">
      <c r="A868" t="str">
        <f>정규화데이터!A868</f>
        <v>SK스토아</v>
      </c>
      <c r="B868" t="str">
        <f>정규화데이터!B868</f>
        <v>20260210360709</v>
      </c>
      <c r="C868" t="str">
        <f>정규화데이터!C868</f>
        <v>2026-02-12</v>
      </c>
      <c r="D868" t="str">
        <f>정규화데이터!D868</f>
        <v>58481090</v>
      </c>
      <c r="E868" s="16" t="str">
        <f>정규화데이터!E868</f>
        <v>미매핑</v>
      </c>
      <c r="F868" s="3">
        <f>정규화데이터!F868</f>
        <v>1</v>
      </c>
      <c r="G868" s="3">
        <f>정규화데이터!G868</f>
        <v>1</v>
      </c>
      <c r="H868" s="3">
        <f>정규화데이터!H868</f>
        <v>119000</v>
      </c>
      <c r="I868" s="3">
        <f>정규화데이터!I868</f>
        <v>119000</v>
      </c>
      <c r="J868" s="3">
        <f>정규화데이터!J868</f>
        <v>80920</v>
      </c>
      <c r="K868" s="25">
        <f>정규화데이터!K868</f>
        <v>0</v>
      </c>
      <c r="L868" s="25">
        <f>정규화데이터!L868</f>
        <v>80920</v>
      </c>
      <c r="M868" s="21">
        <f t="shared" si="26"/>
        <v>0</v>
      </c>
      <c r="N868" s="52">
        <f t="shared" si="27"/>
        <v>0</v>
      </c>
    </row>
    <row r="869" spans="1:14" x14ac:dyDescent="0.3">
      <c r="A869" t="str">
        <f>정규화데이터!A869</f>
        <v>SK스토아</v>
      </c>
      <c r="B869" t="str">
        <f>정규화데이터!B869</f>
        <v>20260210361913</v>
      </c>
      <c r="C869" t="str">
        <f>정규화데이터!C869</f>
        <v>2026-02-12</v>
      </c>
      <c r="D869" t="str">
        <f>정규화데이터!D869</f>
        <v>58481090</v>
      </c>
      <c r="E869" s="16" t="str">
        <f>정규화데이터!E869</f>
        <v>미매핑</v>
      </c>
      <c r="F869" s="3">
        <f>정규화데이터!F869</f>
        <v>1</v>
      </c>
      <c r="G869" s="3">
        <f>정규화데이터!G869</f>
        <v>1</v>
      </c>
      <c r="H869" s="3">
        <f>정규화데이터!H869</f>
        <v>119000</v>
      </c>
      <c r="I869" s="3">
        <f>정규화데이터!I869</f>
        <v>119000</v>
      </c>
      <c r="J869" s="3">
        <f>정규화데이터!J869</f>
        <v>80920</v>
      </c>
      <c r="K869" s="25">
        <f>정규화데이터!K869</f>
        <v>0</v>
      </c>
      <c r="L869" s="25">
        <f>정규화데이터!L869</f>
        <v>80920</v>
      </c>
      <c r="M869" s="21">
        <f t="shared" si="26"/>
        <v>0</v>
      </c>
      <c r="N869" s="52">
        <f t="shared" si="27"/>
        <v>0</v>
      </c>
    </row>
    <row r="870" spans="1:14" x14ac:dyDescent="0.3">
      <c r="A870" t="str">
        <f>정규화데이터!A870</f>
        <v>SK스토아</v>
      </c>
      <c r="B870" t="str">
        <f>정규화데이터!B870</f>
        <v>20260210360756</v>
      </c>
      <c r="C870" t="str">
        <f>정규화데이터!C870</f>
        <v>2026-02-12</v>
      </c>
      <c r="D870" t="str">
        <f>정규화데이터!D870</f>
        <v>58481090</v>
      </c>
      <c r="E870" s="16" t="str">
        <f>정규화데이터!E870</f>
        <v>미매핑</v>
      </c>
      <c r="F870" s="3">
        <f>정규화데이터!F870</f>
        <v>1</v>
      </c>
      <c r="G870" s="3">
        <f>정규화데이터!G870</f>
        <v>1</v>
      </c>
      <c r="H870" s="3">
        <f>정규화데이터!H870</f>
        <v>119000</v>
      </c>
      <c r="I870" s="3">
        <f>정규화데이터!I870</f>
        <v>119000</v>
      </c>
      <c r="J870" s="3">
        <f>정규화데이터!J870</f>
        <v>80920</v>
      </c>
      <c r="K870" s="25">
        <f>정규화데이터!K870</f>
        <v>0</v>
      </c>
      <c r="L870" s="25">
        <f>정규화데이터!L870</f>
        <v>80920</v>
      </c>
      <c r="M870" s="21">
        <f t="shared" si="26"/>
        <v>0</v>
      </c>
      <c r="N870" s="52">
        <f t="shared" si="27"/>
        <v>0</v>
      </c>
    </row>
    <row r="871" spans="1:14" x14ac:dyDescent="0.3">
      <c r="A871" t="str">
        <f>정규화데이터!A871</f>
        <v>SK스토아</v>
      </c>
      <c r="B871" t="str">
        <f>정규화데이터!B871</f>
        <v>20260210361263</v>
      </c>
      <c r="C871" t="str">
        <f>정규화데이터!C871</f>
        <v>2026-02-12</v>
      </c>
      <c r="D871" t="str">
        <f>정규화데이터!D871</f>
        <v>58481090</v>
      </c>
      <c r="E871" s="16" t="str">
        <f>정규화데이터!E871</f>
        <v>미매핑</v>
      </c>
      <c r="F871" s="3">
        <f>정규화데이터!F871</f>
        <v>1</v>
      </c>
      <c r="G871" s="3">
        <f>정규화데이터!G871</f>
        <v>1</v>
      </c>
      <c r="H871" s="3">
        <f>정규화데이터!H871</f>
        <v>119000</v>
      </c>
      <c r="I871" s="3">
        <f>정규화데이터!I871</f>
        <v>119000</v>
      </c>
      <c r="J871" s="3">
        <f>정규화데이터!J871</f>
        <v>80920</v>
      </c>
      <c r="K871" s="25">
        <f>정규화데이터!K871</f>
        <v>0</v>
      </c>
      <c r="L871" s="25">
        <f>정규화데이터!L871</f>
        <v>80920</v>
      </c>
      <c r="M871" s="21">
        <f t="shared" si="26"/>
        <v>0</v>
      </c>
      <c r="N871" s="52">
        <f t="shared" si="27"/>
        <v>0</v>
      </c>
    </row>
    <row r="872" spans="1:14" x14ac:dyDescent="0.3">
      <c r="A872" t="str">
        <f>정규화데이터!A872</f>
        <v>SK스토아</v>
      </c>
      <c r="B872" t="str">
        <f>정규화데이터!B872</f>
        <v>20260210361539</v>
      </c>
      <c r="C872" t="str">
        <f>정규화데이터!C872</f>
        <v>2026-02-12</v>
      </c>
      <c r="D872" t="str">
        <f>정규화데이터!D872</f>
        <v>58481090</v>
      </c>
      <c r="E872" s="16" t="str">
        <f>정규화데이터!E872</f>
        <v>미매핑</v>
      </c>
      <c r="F872" s="3">
        <f>정규화데이터!F872</f>
        <v>1</v>
      </c>
      <c r="G872" s="3">
        <f>정규화데이터!G872</f>
        <v>1</v>
      </c>
      <c r="H872" s="3">
        <f>정규화데이터!H872</f>
        <v>119000</v>
      </c>
      <c r="I872" s="3">
        <f>정규화데이터!I872</f>
        <v>119000</v>
      </c>
      <c r="J872" s="3">
        <f>정규화데이터!J872</f>
        <v>80920</v>
      </c>
      <c r="K872" s="25">
        <f>정규화데이터!K872</f>
        <v>0</v>
      </c>
      <c r="L872" s="25">
        <f>정규화데이터!L872</f>
        <v>80920</v>
      </c>
      <c r="M872" s="21">
        <f t="shared" si="26"/>
        <v>0</v>
      </c>
      <c r="N872" s="52">
        <f t="shared" si="27"/>
        <v>0</v>
      </c>
    </row>
    <row r="873" spans="1:14" x14ac:dyDescent="0.3">
      <c r="A873" t="str">
        <f>정규화데이터!A873</f>
        <v>SK스토아</v>
      </c>
      <c r="B873" t="str">
        <f>정규화데이터!B873</f>
        <v>20260210361940</v>
      </c>
      <c r="C873" t="str">
        <f>정규화데이터!C873</f>
        <v>2026-02-12</v>
      </c>
      <c r="D873" t="str">
        <f>정규화데이터!D873</f>
        <v>58481090</v>
      </c>
      <c r="E873" s="16" t="str">
        <f>정규화데이터!E873</f>
        <v>미매핑</v>
      </c>
      <c r="F873" s="3">
        <f>정규화데이터!F873</f>
        <v>1</v>
      </c>
      <c r="G873" s="3">
        <f>정규화데이터!G873</f>
        <v>1</v>
      </c>
      <c r="H873" s="3">
        <f>정규화데이터!H873</f>
        <v>119000</v>
      </c>
      <c r="I873" s="3">
        <f>정규화데이터!I873</f>
        <v>119000</v>
      </c>
      <c r="J873" s="3">
        <f>정규화데이터!J873</f>
        <v>80920</v>
      </c>
      <c r="K873" s="25">
        <f>정규화데이터!K873</f>
        <v>0</v>
      </c>
      <c r="L873" s="25">
        <f>정규화데이터!L873</f>
        <v>80920</v>
      </c>
      <c r="M873" s="21">
        <f t="shared" si="26"/>
        <v>0</v>
      </c>
      <c r="N873" s="52">
        <f t="shared" si="27"/>
        <v>0</v>
      </c>
    </row>
    <row r="874" spans="1:14" x14ac:dyDescent="0.3">
      <c r="A874" t="str">
        <f>정규화데이터!A874</f>
        <v>SK스토아</v>
      </c>
      <c r="B874" t="str">
        <f>정규화데이터!B874</f>
        <v>20260210362078</v>
      </c>
      <c r="C874" t="str">
        <f>정규화데이터!C874</f>
        <v>2026-02-12</v>
      </c>
      <c r="D874" t="str">
        <f>정규화데이터!D874</f>
        <v>58481090</v>
      </c>
      <c r="E874" s="16" t="str">
        <f>정규화데이터!E874</f>
        <v>미매핑</v>
      </c>
      <c r="F874" s="3">
        <f>정규화데이터!F874</f>
        <v>1</v>
      </c>
      <c r="G874" s="3">
        <f>정규화데이터!G874</f>
        <v>1</v>
      </c>
      <c r="H874" s="3">
        <f>정규화데이터!H874</f>
        <v>119000</v>
      </c>
      <c r="I874" s="3">
        <f>정규화데이터!I874</f>
        <v>119000</v>
      </c>
      <c r="J874" s="3">
        <f>정규화데이터!J874</f>
        <v>80920</v>
      </c>
      <c r="K874" s="25">
        <f>정규화데이터!K874</f>
        <v>0</v>
      </c>
      <c r="L874" s="25">
        <f>정규화데이터!L874</f>
        <v>80920</v>
      </c>
      <c r="M874" s="21">
        <f t="shared" si="26"/>
        <v>0</v>
      </c>
      <c r="N874" s="52">
        <f t="shared" si="27"/>
        <v>0</v>
      </c>
    </row>
    <row r="875" spans="1:14" x14ac:dyDescent="0.3">
      <c r="A875" t="str">
        <f>정규화데이터!A875</f>
        <v>SK스토아</v>
      </c>
      <c r="B875" t="str">
        <f>정규화데이터!B875</f>
        <v>20260210361721</v>
      </c>
      <c r="C875" t="str">
        <f>정규화데이터!C875</f>
        <v>2026-02-12</v>
      </c>
      <c r="D875" t="str">
        <f>정규화데이터!D875</f>
        <v>58481090</v>
      </c>
      <c r="E875" s="16" t="str">
        <f>정규화데이터!E875</f>
        <v>미매핑</v>
      </c>
      <c r="F875" s="3">
        <f>정규화데이터!F875</f>
        <v>1</v>
      </c>
      <c r="G875" s="3">
        <f>정규화데이터!G875</f>
        <v>1</v>
      </c>
      <c r="H875" s="3">
        <f>정규화데이터!H875</f>
        <v>119000</v>
      </c>
      <c r="I875" s="3">
        <f>정규화데이터!I875</f>
        <v>119000</v>
      </c>
      <c r="J875" s="3">
        <f>정규화데이터!J875</f>
        <v>80920</v>
      </c>
      <c r="K875" s="25">
        <f>정규화데이터!K875</f>
        <v>0</v>
      </c>
      <c r="L875" s="25">
        <f>정규화데이터!L875</f>
        <v>80920</v>
      </c>
      <c r="M875" s="21">
        <f t="shared" si="26"/>
        <v>0</v>
      </c>
      <c r="N875" s="52">
        <f t="shared" si="27"/>
        <v>0</v>
      </c>
    </row>
    <row r="876" spans="1:14" x14ac:dyDescent="0.3">
      <c r="A876" t="str">
        <f>정규화데이터!A876</f>
        <v>SK스토아</v>
      </c>
      <c r="B876" t="str">
        <f>정규화데이터!B876</f>
        <v>20260210361178</v>
      </c>
      <c r="C876" t="str">
        <f>정규화데이터!C876</f>
        <v>2026-02-12</v>
      </c>
      <c r="D876" t="str">
        <f>정규화데이터!D876</f>
        <v>58481090</v>
      </c>
      <c r="E876" s="16" t="str">
        <f>정규화데이터!E876</f>
        <v>미매핑</v>
      </c>
      <c r="F876" s="3">
        <f>정규화데이터!F876</f>
        <v>1</v>
      </c>
      <c r="G876" s="3">
        <f>정규화데이터!G876</f>
        <v>1</v>
      </c>
      <c r="H876" s="3">
        <f>정규화데이터!H876</f>
        <v>119000</v>
      </c>
      <c r="I876" s="3">
        <f>정규화데이터!I876</f>
        <v>119000</v>
      </c>
      <c r="J876" s="3">
        <f>정규화데이터!J876</f>
        <v>80920</v>
      </c>
      <c r="K876" s="25">
        <f>정규화데이터!K876</f>
        <v>0</v>
      </c>
      <c r="L876" s="25">
        <f>정규화데이터!L876</f>
        <v>80920</v>
      </c>
      <c r="M876" s="21">
        <f t="shared" si="26"/>
        <v>0</v>
      </c>
      <c r="N876" s="52">
        <f t="shared" si="27"/>
        <v>0</v>
      </c>
    </row>
    <row r="877" spans="1:14" x14ac:dyDescent="0.3">
      <c r="A877" t="str">
        <f>정규화데이터!A877</f>
        <v>SK스토아</v>
      </c>
      <c r="B877" t="str">
        <f>정규화데이터!B877</f>
        <v>20260210360216</v>
      </c>
      <c r="C877" t="str">
        <f>정규화데이터!C877</f>
        <v>2026-02-12</v>
      </c>
      <c r="D877" t="str">
        <f>정규화데이터!D877</f>
        <v>58481090</v>
      </c>
      <c r="E877" s="16" t="str">
        <f>정규화데이터!E877</f>
        <v>미매핑</v>
      </c>
      <c r="F877" s="3">
        <f>정규화데이터!F877</f>
        <v>1</v>
      </c>
      <c r="G877" s="3">
        <f>정규화데이터!G877</f>
        <v>1</v>
      </c>
      <c r="H877" s="3">
        <f>정규화데이터!H877</f>
        <v>119000</v>
      </c>
      <c r="I877" s="3">
        <f>정규화데이터!I877</f>
        <v>119000</v>
      </c>
      <c r="J877" s="3">
        <f>정규화데이터!J877</f>
        <v>80920</v>
      </c>
      <c r="K877" s="25">
        <f>정규화데이터!K877</f>
        <v>0</v>
      </c>
      <c r="L877" s="25">
        <f>정규화데이터!L877</f>
        <v>80920</v>
      </c>
      <c r="M877" s="21">
        <f t="shared" si="26"/>
        <v>0</v>
      </c>
      <c r="N877" s="52">
        <f t="shared" si="27"/>
        <v>0</v>
      </c>
    </row>
    <row r="878" spans="1:14" x14ac:dyDescent="0.3">
      <c r="A878" t="str">
        <f>정규화데이터!A878</f>
        <v>SK스토아</v>
      </c>
      <c r="B878" t="str">
        <f>정규화데이터!B878</f>
        <v>20260210360543</v>
      </c>
      <c r="C878" t="str">
        <f>정규화데이터!C878</f>
        <v>2026-02-12</v>
      </c>
      <c r="D878" t="str">
        <f>정규화데이터!D878</f>
        <v>58481090</v>
      </c>
      <c r="E878" s="16" t="str">
        <f>정규화데이터!E878</f>
        <v>미매핑</v>
      </c>
      <c r="F878" s="3">
        <f>정규화데이터!F878</f>
        <v>1</v>
      </c>
      <c r="G878" s="3">
        <f>정규화데이터!G878</f>
        <v>1</v>
      </c>
      <c r="H878" s="3">
        <f>정규화데이터!H878</f>
        <v>119000</v>
      </c>
      <c r="I878" s="3">
        <f>정규화데이터!I878</f>
        <v>119000</v>
      </c>
      <c r="J878" s="3">
        <f>정규화데이터!J878</f>
        <v>80920</v>
      </c>
      <c r="K878" s="25">
        <f>정규화데이터!K878</f>
        <v>0</v>
      </c>
      <c r="L878" s="25">
        <f>정규화데이터!L878</f>
        <v>80920</v>
      </c>
      <c r="M878" s="21">
        <f t="shared" si="26"/>
        <v>0</v>
      </c>
      <c r="N878" s="52">
        <f t="shared" si="27"/>
        <v>0</v>
      </c>
    </row>
    <row r="879" spans="1:14" x14ac:dyDescent="0.3">
      <c r="A879" t="str">
        <f>정규화데이터!A879</f>
        <v>SK스토아</v>
      </c>
      <c r="B879" t="str">
        <f>정규화데이터!B879</f>
        <v>20260210361735</v>
      </c>
      <c r="C879" t="str">
        <f>정규화데이터!C879</f>
        <v>2026-02-12</v>
      </c>
      <c r="D879" t="str">
        <f>정규화데이터!D879</f>
        <v>58481090</v>
      </c>
      <c r="E879" s="16" t="str">
        <f>정규화데이터!E879</f>
        <v>미매핑</v>
      </c>
      <c r="F879" s="3">
        <f>정규화데이터!F879</f>
        <v>1</v>
      </c>
      <c r="G879" s="3">
        <f>정규화데이터!G879</f>
        <v>1</v>
      </c>
      <c r="H879" s="3">
        <f>정규화데이터!H879</f>
        <v>119000</v>
      </c>
      <c r="I879" s="3">
        <f>정규화데이터!I879</f>
        <v>113050</v>
      </c>
      <c r="J879" s="3">
        <f>정규화데이터!J879</f>
        <v>80920</v>
      </c>
      <c r="K879" s="25">
        <f>정규화데이터!K879</f>
        <v>0</v>
      </c>
      <c r="L879" s="25">
        <f>정규화데이터!L879</f>
        <v>80920</v>
      </c>
      <c r="M879" s="21">
        <f t="shared" si="26"/>
        <v>0</v>
      </c>
      <c r="N879" s="52">
        <f t="shared" si="27"/>
        <v>0</v>
      </c>
    </row>
    <row r="880" spans="1:14" x14ac:dyDescent="0.3">
      <c r="A880" t="str">
        <f>정규화데이터!A880</f>
        <v>SK스토아</v>
      </c>
      <c r="B880" t="str">
        <f>정규화데이터!B880</f>
        <v>20260210360908</v>
      </c>
      <c r="C880" t="str">
        <f>정규화데이터!C880</f>
        <v>2026-02-13</v>
      </c>
      <c r="D880" t="str">
        <f>정규화데이터!D880</f>
        <v>58481090</v>
      </c>
      <c r="E880" s="16" t="str">
        <f>정규화데이터!E880</f>
        <v>미매핑</v>
      </c>
      <c r="F880" s="3">
        <f>정규화데이터!F880</f>
        <v>1</v>
      </c>
      <c r="G880" s="3">
        <f>정규화데이터!G880</f>
        <v>1</v>
      </c>
      <c r="H880" s="3">
        <f>정규화데이터!H880</f>
        <v>119000</v>
      </c>
      <c r="I880" s="3">
        <f>정규화데이터!I880</f>
        <v>113050</v>
      </c>
      <c r="J880" s="3">
        <f>정규화데이터!J880</f>
        <v>80920</v>
      </c>
      <c r="K880" s="25">
        <f>정규화데이터!K880</f>
        <v>0</v>
      </c>
      <c r="L880" s="25">
        <f>정규화데이터!L880</f>
        <v>80920</v>
      </c>
      <c r="M880" s="21">
        <f t="shared" si="26"/>
        <v>0</v>
      </c>
      <c r="N880" s="52">
        <f t="shared" si="27"/>
        <v>0</v>
      </c>
    </row>
    <row r="881" spans="1:14" x14ac:dyDescent="0.3">
      <c r="A881" t="str">
        <f>정규화데이터!A881</f>
        <v>SK스토아</v>
      </c>
      <c r="B881" t="str">
        <f>정규화데이터!B881</f>
        <v>20260210342835</v>
      </c>
      <c r="C881" t="str">
        <f>정규화데이터!C881</f>
        <v>2026-02-13</v>
      </c>
      <c r="D881" t="str">
        <f>정규화데이터!D881</f>
        <v>58481090</v>
      </c>
      <c r="E881" s="16" t="str">
        <f>정규화데이터!E881</f>
        <v>미매핑</v>
      </c>
      <c r="F881" s="3">
        <f>정규화데이터!F881</f>
        <v>1</v>
      </c>
      <c r="G881" s="3">
        <f>정규화데이터!G881</f>
        <v>1</v>
      </c>
      <c r="H881" s="3">
        <f>정규화데이터!H881</f>
        <v>119000</v>
      </c>
      <c r="I881" s="3">
        <f>정규화데이터!I881</f>
        <v>119000</v>
      </c>
      <c r="J881" s="3">
        <f>정규화데이터!J881</f>
        <v>80920</v>
      </c>
      <c r="K881" s="25">
        <f>정규화데이터!K881</f>
        <v>0</v>
      </c>
      <c r="L881" s="25">
        <f>정규화데이터!L881</f>
        <v>80920</v>
      </c>
      <c r="M881" s="21">
        <f t="shared" si="26"/>
        <v>0</v>
      </c>
      <c r="N881" s="52">
        <f t="shared" si="27"/>
        <v>0</v>
      </c>
    </row>
    <row r="882" spans="1:14" x14ac:dyDescent="0.3">
      <c r="A882" t="str">
        <f>정규화데이터!A882</f>
        <v>쿠팡</v>
      </c>
      <c r="B882">
        <f>정규화데이터!B882</f>
        <v>12100169248866</v>
      </c>
      <c r="C882" t="str">
        <f>정규화데이터!C882</f>
        <v>2026-02-04</v>
      </c>
      <c r="D882">
        <f>정규화데이터!D882</f>
        <v>9354612220</v>
      </c>
      <c r="E882" s="16" t="str">
        <f>정규화데이터!E882</f>
        <v>미매핑</v>
      </c>
      <c r="F882" s="3">
        <f>정규화데이터!F882</f>
        <v>1</v>
      </c>
      <c r="G882" s="3">
        <f>정규화데이터!G882</f>
        <v>1</v>
      </c>
      <c r="H882" s="3">
        <f>정규화데이터!H882</f>
        <v>20900</v>
      </c>
      <c r="I882" s="3">
        <f>정규화데이터!I882</f>
        <v>20900</v>
      </c>
      <c r="J882" s="3">
        <f>정규화데이터!J882</f>
        <v>20900</v>
      </c>
      <c r="K882" s="25">
        <f>정규화데이터!K882</f>
        <v>0</v>
      </c>
      <c r="L882" s="25" t="str">
        <f ca="1">정규화데이터!L882</f>
        <v/>
      </c>
      <c r="M882" s="21" t="str">
        <f t="shared" ca="1" si="26"/>
        <v/>
      </c>
      <c r="N882" s="52" t="str">
        <f t="shared" ca="1" si="27"/>
        <v/>
      </c>
    </row>
    <row r="883" spans="1:14" x14ac:dyDescent="0.3">
      <c r="A883" t="str">
        <f>정규화데이터!A883</f>
        <v>쿠팡</v>
      </c>
      <c r="B883">
        <f>정규화데이터!B883</f>
        <v>28100169339326</v>
      </c>
      <c r="C883" t="str">
        <f>정규화데이터!C883</f>
        <v>2026-02-04</v>
      </c>
      <c r="D883">
        <f>정규화데이터!D883</f>
        <v>9354612220</v>
      </c>
      <c r="E883" s="16" t="str">
        <f>정규화데이터!E883</f>
        <v>미매핑</v>
      </c>
      <c r="F883" s="3">
        <f>정규화데이터!F883</f>
        <v>1</v>
      </c>
      <c r="G883" s="3">
        <f>정규화데이터!G883</f>
        <v>1</v>
      </c>
      <c r="H883" s="3">
        <f>정규화데이터!H883</f>
        <v>20900</v>
      </c>
      <c r="I883" s="3">
        <f>정규화데이터!I883</f>
        <v>20900</v>
      </c>
      <c r="J883" s="3">
        <f>정규화데이터!J883</f>
        <v>20900</v>
      </c>
      <c r="K883" s="25">
        <f>정규화데이터!K883</f>
        <v>0</v>
      </c>
      <c r="L883" s="25" t="str">
        <f ca="1">정규화데이터!L883</f>
        <v/>
      </c>
      <c r="M883" s="21" t="str">
        <f t="shared" ca="1" si="26"/>
        <v/>
      </c>
      <c r="N883" s="52" t="str">
        <f t="shared" ca="1" si="27"/>
        <v/>
      </c>
    </row>
    <row r="884" spans="1:14" x14ac:dyDescent="0.3">
      <c r="A884" t="str">
        <f>정규화데이터!A884</f>
        <v>쿠팡</v>
      </c>
      <c r="B884">
        <f>정규화데이터!B884</f>
        <v>30100169868577</v>
      </c>
      <c r="C884" t="str">
        <f>정규화데이터!C884</f>
        <v>2026-02-05</v>
      </c>
      <c r="D884">
        <f>정규화데이터!D884</f>
        <v>9354612220</v>
      </c>
      <c r="E884" s="16" t="str">
        <f>정규화데이터!E884</f>
        <v>미매핑</v>
      </c>
      <c r="F884" s="3">
        <f>정규화데이터!F884</f>
        <v>1</v>
      </c>
      <c r="G884" s="3">
        <f>정규화데이터!G884</f>
        <v>3</v>
      </c>
      <c r="H884" s="3">
        <f>정규화데이터!H884</f>
        <v>20900</v>
      </c>
      <c r="I884" s="3">
        <f>정규화데이터!I884</f>
        <v>62700</v>
      </c>
      <c r="J884" s="3">
        <f>정규화데이터!J884</f>
        <v>62700</v>
      </c>
      <c r="K884" s="25">
        <f>정규화데이터!K884</f>
        <v>0</v>
      </c>
      <c r="L884" s="25" t="str">
        <f ca="1">정규화데이터!L884</f>
        <v/>
      </c>
      <c r="M884" s="21" t="str">
        <f t="shared" ca="1" si="26"/>
        <v/>
      </c>
      <c r="N884" s="52" t="str">
        <f t="shared" ca="1" si="27"/>
        <v/>
      </c>
    </row>
    <row r="885" spans="1:14" x14ac:dyDescent="0.3">
      <c r="A885" t="str">
        <f>정규화데이터!A885</f>
        <v>쿠팡</v>
      </c>
      <c r="B885">
        <f>정규화데이터!B885</f>
        <v>19100169693948</v>
      </c>
      <c r="C885" t="str">
        <f>정규화데이터!C885</f>
        <v>2026-02-05</v>
      </c>
      <c r="D885">
        <f>정규화데이터!D885</f>
        <v>9354612220</v>
      </c>
      <c r="E885" s="16" t="str">
        <f>정규화데이터!E885</f>
        <v>미매핑</v>
      </c>
      <c r="F885" s="3">
        <f>정규화데이터!F885</f>
        <v>1</v>
      </c>
      <c r="G885" s="3">
        <f>정규화데이터!G885</f>
        <v>1</v>
      </c>
      <c r="H885" s="3">
        <f>정규화데이터!H885</f>
        <v>20900</v>
      </c>
      <c r="I885" s="3">
        <f>정규화데이터!I885</f>
        <v>20900</v>
      </c>
      <c r="J885" s="3">
        <f>정규화데이터!J885</f>
        <v>20900</v>
      </c>
      <c r="K885" s="25">
        <f>정규화데이터!K885</f>
        <v>0</v>
      </c>
      <c r="L885" s="25" t="str">
        <f ca="1">정규화데이터!L885</f>
        <v/>
      </c>
      <c r="M885" s="21" t="str">
        <f t="shared" ca="1" si="26"/>
        <v/>
      </c>
      <c r="N885" s="52" t="str">
        <f t="shared" ca="1" si="27"/>
        <v/>
      </c>
    </row>
    <row r="886" spans="1:14" x14ac:dyDescent="0.3">
      <c r="A886" t="str">
        <f>정규화데이터!A886</f>
        <v>쿠팡</v>
      </c>
      <c r="B886">
        <f>정규화데이터!B886</f>
        <v>26100169614931</v>
      </c>
      <c r="C886" t="str">
        <f>정규화데이터!C886</f>
        <v>2026-02-05</v>
      </c>
      <c r="D886">
        <f>정규화데이터!D886</f>
        <v>9354612220</v>
      </c>
      <c r="E886" s="16" t="str">
        <f>정규화데이터!E886</f>
        <v>미매핑</v>
      </c>
      <c r="F886" s="3">
        <f>정규화데이터!F886</f>
        <v>1</v>
      </c>
      <c r="G886" s="3">
        <f>정규화데이터!G886</f>
        <v>1</v>
      </c>
      <c r="H886" s="3">
        <f>정규화데이터!H886</f>
        <v>40000</v>
      </c>
      <c r="I886" s="3">
        <f>정규화데이터!I886</f>
        <v>40000</v>
      </c>
      <c r="J886" s="3">
        <f>정규화데이터!J886</f>
        <v>40000</v>
      </c>
      <c r="K886" s="25">
        <f>정규화데이터!K886</f>
        <v>0</v>
      </c>
      <c r="L886" s="25" t="str">
        <f ca="1">정규화데이터!L886</f>
        <v/>
      </c>
      <c r="M886" s="21" t="str">
        <f t="shared" ca="1" si="26"/>
        <v/>
      </c>
      <c r="N886" s="52" t="str">
        <f t="shared" ca="1" si="27"/>
        <v/>
      </c>
    </row>
    <row r="887" spans="1:14" x14ac:dyDescent="0.3">
      <c r="A887" t="str">
        <f>정규화데이터!A887</f>
        <v>쿠팡</v>
      </c>
      <c r="B887">
        <f>정규화데이터!B887</f>
        <v>7100170513612</v>
      </c>
      <c r="C887" t="str">
        <f>정규화데이터!C887</f>
        <v>2026-02-07</v>
      </c>
      <c r="D887">
        <f>정규화데이터!D887</f>
        <v>9361402632</v>
      </c>
      <c r="E887" s="16" t="str">
        <f>정규화데이터!E887</f>
        <v>미매핑</v>
      </c>
      <c r="F887" s="3">
        <f>정규화데이터!F887</f>
        <v>1</v>
      </c>
      <c r="G887" s="3">
        <f>정규화데이터!G887</f>
        <v>1</v>
      </c>
      <c r="H887" s="3">
        <f>정규화데이터!H887</f>
        <v>78000</v>
      </c>
      <c r="I887" s="3">
        <f>정규화데이터!I887</f>
        <v>78000</v>
      </c>
      <c r="J887" s="3">
        <f>정규화데이터!J887</f>
        <v>78000</v>
      </c>
      <c r="K887" s="25">
        <f>정규화데이터!K887</f>
        <v>0</v>
      </c>
      <c r="L887" s="25" t="str">
        <f ca="1">정규화데이터!L887</f>
        <v/>
      </c>
      <c r="M887" s="21" t="str">
        <f t="shared" ca="1" si="26"/>
        <v/>
      </c>
      <c r="N887" s="52" t="str">
        <f t="shared" ca="1" si="27"/>
        <v/>
      </c>
    </row>
    <row r="888" spans="1:14" x14ac:dyDescent="0.3">
      <c r="A888" t="str">
        <f>정규화데이터!A888</f>
        <v>쿠팡</v>
      </c>
      <c r="B888">
        <f>정규화데이터!B888</f>
        <v>32100170207333</v>
      </c>
      <c r="C888" t="str">
        <f>정규화데이터!C888</f>
        <v>2026-02-08</v>
      </c>
      <c r="D888">
        <f>정규화데이터!D888</f>
        <v>9361402632</v>
      </c>
      <c r="E888" s="16" t="str">
        <f>정규화데이터!E888</f>
        <v>미매핑</v>
      </c>
      <c r="F888" s="3">
        <f>정규화데이터!F888</f>
        <v>1</v>
      </c>
      <c r="G888" s="3">
        <f>정규화데이터!G888</f>
        <v>1</v>
      </c>
      <c r="H888" s="3">
        <f>정규화데이터!H888</f>
        <v>78000</v>
      </c>
      <c r="I888" s="3">
        <f>정규화데이터!I888</f>
        <v>78000</v>
      </c>
      <c r="J888" s="3">
        <f>정규화데이터!J888</f>
        <v>78000</v>
      </c>
      <c r="K888" s="25">
        <f>정규화데이터!K888</f>
        <v>0</v>
      </c>
      <c r="L888" s="25" t="str">
        <f ca="1">정규화데이터!L888</f>
        <v/>
      </c>
      <c r="M888" s="21" t="str">
        <f t="shared" ca="1" si="26"/>
        <v/>
      </c>
      <c r="N888" s="52" t="str">
        <f t="shared" ca="1" si="27"/>
        <v/>
      </c>
    </row>
    <row r="889" spans="1:14" x14ac:dyDescent="0.3">
      <c r="A889" t="str">
        <f>정규화데이터!A889</f>
        <v>쿠팡</v>
      </c>
      <c r="B889">
        <f>정규화데이터!B889</f>
        <v>18100170248996</v>
      </c>
      <c r="C889" t="str">
        <f>정규화데이터!C889</f>
        <v>2026-02-09</v>
      </c>
      <c r="D889">
        <f>정규화데이터!D889</f>
        <v>9354612220</v>
      </c>
      <c r="E889" s="16" t="str">
        <f>정규화데이터!E889</f>
        <v>미매핑</v>
      </c>
      <c r="F889" s="3">
        <f>정규화데이터!F889</f>
        <v>1</v>
      </c>
      <c r="G889" s="3">
        <f>정규화데이터!G889</f>
        <v>1</v>
      </c>
      <c r="H889" s="3">
        <f>정규화데이터!H889</f>
        <v>40000</v>
      </c>
      <c r="I889" s="3">
        <f>정규화데이터!I889</f>
        <v>40000</v>
      </c>
      <c r="J889" s="3">
        <f>정규화데이터!J889</f>
        <v>40000</v>
      </c>
      <c r="K889" s="25">
        <f>정규화데이터!K889</f>
        <v>0</v>
      </c>
      <c r="L889" s="25" t="str">
        <f ca="1">정규화데이터!L889</f>
        <v/>
      </c>
      <c r="M889" s="21" t="str">
        <f t="shared" ca="1" si="26"/>
        <v/>
      </c>
      <c r="N889" s="52" t="str">
        <f t="shared" ca="1" si="27"/>
        <v/>
      </c>
    </row>
    <row r="890" spans="1:14" x14ac:dyDescent="0.3">
      <c r="A890" t="str">
        <f>정규화데이터!A890</f>
        <v>쿠팡</v>
      </c>
      <c r="B890">
        <f>정규화데이터!B890</f>
        <v>9100170443201</v>
      </c>
      <c r="C890" t="str">
        <f>정규화데이터!C890</f>
        <v>2026-02-10</v>
      </c>
      <c r="D890">
        <f>정규화데이터!D890</f>
        <v>9361402632</v>
      </c>
      <c r="E890" s="16" t="str">
        <f>정규화데이터!E890</f>
        <v>미매핑</v>
      </c>
      <c r="F890" s="3">
        <f>정규화데이터!F890</f>
        <v>1</v>
      </c>
      <c r="G890" s="3">
        <f>정규화데이터!G890</f>
        <v>1</v>
      </c>
      <c r="H890" s="3">
        <f>정규화데이터!H890</f>
        <v>78000</v>
      </c>
      <c r="I890" s="3">
        <f>정규화데이터!I890</f>
        <v>78000</v>
      </c>
      <c r="J890" s="3">
        <f>정규화데이터!J890</f>
        <v>78000</v>
      </c>
      <c r="K890" s="25">
        <f>정규화데이터!K890</f>
        <v>0</v>
      </c>
      <c r="L890" s="25" t="str">
        <f ca="1">정규화데이터!L890</f>
        <v/>
      </c>
      <c r="M890" s="21" t="str">
        <f t="shared" ca="1" si="26"/>
        <v/>
      </c>
      <c r="N890" s="52" t="str">
        <f t="shared" ca="1" si="27"/>
        <v/>
      </c>
    </row>
    <row r="891" spans="1:14" x14ac:dyDescent="0.3">
      <c r="A891" t="str">
        <f>정규화데이터!A891</f>
        <v>쿠팡</v>
      </c>
      <c r="B891">
        <f>정규화데이터!B891</f>
        <v>9100170453124</v>
      </c>
      <c r="C891" t="str">
        <f>정규화데이터!C891</f>
        <v>2026-02-10</v>
      </c>
      <c r="D891">
        <f>정규화데이터!D891</f>
        <v>9361402632</v>
      </c>
      <c r="E891" s="16" t="str">
        <f>정규화데이터!E891</f>
        <v>미매핑</v>
      </c>
      <c r="F891" s="3">
        <f>정규화데이터!F891</f>
        <v>1</v>
      </c>
      <c r="G891" s="3">
        <f>정규화데이터!G891</f>
        <v>1</v>
      </c>
      <c r="H891" s="3">
        <f>정규화데이터!H891</f>
        <v>78000</v>
      </c>
      <c r="I891" s="3">
        <f>정규화데이터!I891</f>
        <v>78000</v>
      </c>
      <c r="J891" s="3">
        <f>정규화데이터!J891</f>
        <v>78000</v>
      </c>
      <c r="K891" s="25">
        <f>정규화데이터!K891</f>
        <v>0</v>
      </c>
      <c r="L891" s="25" t="str">
        <f ca="1">정규화데이터!L891</f>
        <v/>
      </c>
      <c r="M891" s="21" t="str">
        <f t="shared" ca="1" si="26"/>
        <v/>
      </c>
      <c r="N891" s="52" t="str">
        <f t="shared" ca="1" si="27"/>
        <v/>
      </c>
    </row>
    <row r="892" spans="1:14" x14ac:dyDescent="0.3">
      <c r="A892" t="str">
        <f>정규화데이터!A892</f>
        <v>쿠팡</v>
      </c>
      <c r="B892">
        <f>정규화데이터!B892</f>
        <v>16100171241527</v>
      </c>
      <c r="C892" t="str">
        <f>정규화데이터!C892</f>
        <v>2026-02-10</v>
      </c>
      <c r="D892">
        <f>정규화데이터!D892</f>
        <v>9354612220</v>
      </c>
      <c r="E892" s="16" t="str">
        <f>정규화데이터!E892</f>
        <v>미매핑</v>
      </c>
      <c r="F892" s="3">
        <f>정규화데이터!F892</f>
        <v>1</v>
      </c>
      <c r="G892" s="3">
        <f>정규화데이터!G892</f>
        <v>1</v>
      </c>
      <c r="H892" s="3">
        <f>정규화데이터!H892</f>
        <v>40000</v>
      </c>
      <c r="I892" s="3">
        <f>정규화데이터!I892</f>
        <v>40000</v>
      </c>
      <c r="J892" s="3">
        <f>정규화데이터!J892</f>
        <v>40000</v>
      </c>
      <c r="K892" s="25">
        <f>정규화데이터!K892</f>
        <v>0</v>
      </c>
      <c r="L892" s="25" t="str">
        <f ca="1">정규화데이터!L892</f>
        <v/>
      </c>
      <c r="M892" s="21" t="str">
        <f t="shared" ca="1" si="26"/>
        <v/>
      </c>
      <c r="N892" s="52" t="str">
        <f t="shared" ca="1" si="27"/>
        <v/>
      </c>
    </row>
    <row r="893" spans="1:14" x14ac:dyDescent="0.3">
      <c r="A893" t="str">
        <f>정규화데이터!A893</f>
        <v>쿠팡</v>
      </c>
      <c r="B893">
        <f>정규화데이터!B893</f>
        <v>32100170791524</v>
      </c>
      <c r="C893" t="str">
        <f>정규화데이터!C893</f>
        <v>2026-02-11</v>
      </c>
      <c r="D893">
        <f>정규화데이터!D893</f>
        <v>9361402632</v>
      </c>
      <c r="E893" s="16" t="str">
        <f>정규화데이터!E893</f>
        <v>미매핑</v>
      </c>
      <c r="F893" s="3">
        <f>정규화데이터!F893</f>
        <v>1</v>
      </c>
      <c r="G893" s="3">
        <f>정규화데이터!G893</f>
        <v>1</v>
      </c>
      <c r="H893" s="3">
        <f>정규화데이터!H893</f>
        <v>78000</v>
      </c>
      <c r="I893" s="3">
        <f>정규화데이터!I893</f>
        <v>78000</v>
      </c>
      <c r="J893" s="3">
        <f>정규화데이터!J893</f>
        <v>78000</v>
      </c>
      <c r="K893" s="25">
        <f>정규화데이터!K893</f>
        <v>0</v>
      </c>
      <c r="L893" s="25" t="str">
        <f ca="1">정규화데이터!L893</f>
        <v/>
      </c>
      <c r="M893" s="21" t="str">
        <f t="shared" ca="1" si="26"/>
        <v/>
      </c>
      <c r="N893" s="52" t="str">
        <f t="shared" ca="1" si="27"/>
        <v/>
      </c>
    </row>
    <row r="894" spans="1:14" x14ac:dyDescent="0.3">
      <c r="A894" t="str">
        <f>정규화데이터!A894</f>
        <v>쿠팡</v>
      </c>
      <c r="B894">
        <f>정규화데이터!B894</f>
        <v>6100170728171</v>
      </c>
      <c r="C894" t="str">
        <f>정규화데이터!C894</f>
        <v>2026-02-11</v>
      </c>
      <c r="D894">
        <f>정규화데이터!D894</f>
        <v>9354612220</v>
      </c>
      <c r="E894" s="16" t="str">
        <f>정규화데이터!E894</f>
        <v>미매핑</v>
      </c>
      <c r="F894" s="3">
        <f>정규화데이터!F894</f>
        <v>1</v>
      </c>
      <c r="G894" s="3">
        <f>정규화데이터!G894</f>
        <v>1</v>
      </c>
      <c r="H894" s="3">
        <f>정규화데이터!H894</f>
        <v>40000</v>
      </c>
      <c r="I894" s="3">
        <f>정규화데이터!I894</f>
        <v>40000</v>
      </c>
      <c r="J894" s="3">
        <f>정규화데이터!J894</f>
        <v>40000</v>
      </c>
      <c r="K894" s="25">
        <f>정규화데이터!K894</f>
        <v>0</v>
      </c>
      <c r="L894" s="25" t="str">
        <f ca="1">정규화데이터!L894</f>
        <v/>
      </c>
      <c r="M894" s="21" t="str">
        <f t="shared" ca="1" si="26"/>
        <v/>
      </c>
      <c r="N894" s="52" t="str">
        <f t="shared" ca="1" si="27"/>
        <v/>
      </c>
    </row>
    <row r="895" spans="1:14" x14ac:dyDescent="0.3">
      <c r="A895" t="str">
        <f>정규화데이터!A895</f>
        <v>쿠팡</v>
      </c>
      <c r="B895">
        <f>정규화데이터!B895</f>
        <v>17100170827220</v>
      </c>
      <c r="C895" t="str">
        <f>정규화데이터!C895</f>
        <v>2026-02-11</v>
      </c>
      <c r="D895">
        <f>정규화데이터!D895</f>
        <v>9354612220</v>
      </c>
      <c r="E895" s="16" t="str">
        <f>정규화데이터!E895</f>
        <v>미매핑</v>
      </c>
      <c r="F895" s="3">
        <f>정규화데이터!F895</f>
        <v>1</v>
      </c>
      <c r="G895" s="3">
        <f>정규화데이터!G895</f>
        <v>2</v>
      </c>
      <c r="H895" s="3">
        <f>정규화데이터!H895</f>
        <v>40000</v>
      </c>
      <c r="I895" s="3">
        <f>정규화데이터!I895</f>
        <v>80000</v>
      </c>
      <c r="J895" s="3">
        <f>정규화데이터!J895</f>
        <v>80000</v>
      </c>
      <c r="K895" s="25">
        <f>정규화데이터!K895</f>
        <v>0</v>
      </c>
      <c r="L895" s="25" t="str">
        <f ca="1">정규화데이터!L895</f>
        <v/>
      </c>
      <c r="M895" s="21" t="str">
        <f t="shared" ca="1" si="26"/>
        <v/>
      </c>
      <c r="N895" s="52" t="str">
        <f t="shared" ca="1" si="27"/>
        <v/>
      </c>
    </row>
    <row r="896" spans="1:14" x14ac:dyDescent="0.3">
      <c r="A896" t="str">
        <f>정규화데이터!A896</f>
        <v>쿠팡</v>
      </c>
      <c r="B896">
        <f>정규화데이터!B896</f>
        <v>20100171016693</v>
      </c>
      <c r="C896" t="str">
        <f>정규화데이터!C896</f>
        <v>2026-02-11</v>
      </c>
      <c r="D896">
        <f>정규화데이터!D896</f>
        <v>9361402619</v>
      </c>
      <c r="E896" s="16" t="str">
        <f>정규화데이터!E896</f>
        <v>미매핑</v>
      </c>
      <c r="F896" s="3">
        <f>정규화데이터!F896</f>
        <v>1</v>
      </c>
      <c r="G896" s="3">
        <f>정규화데이터!G896</f>
        <v>1</v>
      </c>
      <c r="H896" s="3">
        <f>정규화데이터!H896</f>
        <v>20900</v>
      </c>
      <c r="I896" s="3">
        <f>정규화데이터!I896</f>
        <v>20900</v>
      </c>
      <c r="J896" s="3">
        <f>정규화데이터!J896</f>
        <v>20900</v>
      </c>
      <c r="K896" s="25">
        <f>정규화데이터!K896</f>
        <v>0</v>
      </c>
      <c r="L896" s="25" t="str">
        <f ca="1">정규화데이터!L896</f>
        <v/>
      </c>
      <c r="M896" s="21" t="str">
        <f t="shared" ca="1" si="26"/>
        <v/>
      </c>
      <c r="N896" s="52" t="str">
        <f t="shared" ca="1" si="27"/>
        <v/>
      </c>
    </row>
    <row r="897" spans="1:14" x14ac:dyDescent="0.3">
      <c r="A897" t="str">
        <f>정규화데이터!A897</f>
        <v>네이버</v>
      </c>
      <c r="B897">
        <f>정규화데이터!B897</f>
        <v>2026020586412210</v>
      </c>
      <c r="C897" t="str">
        <f>정규화데이터!C897</f>
        <v>2026-02-05</v>
      </c>
      <c r="D897">
        <f>정규화데이터!D897</f>
        <v>13026511254</v>
      </c>
      <c r="E897" s="16" t="str">
        <f>정규화데이터!E897</f>
        <v>미매핑</v>
      </c>
      <c r="F897" s="3">
        <f>정규화데이터!F897</f>
        <v>1</v>
      </c>
      <c r="G897" s="3">
        <f>정규화데이터!G897</f>
        <v>1</v>
      </c>
      <c r="H897" s="3">
        <f>정규화데이터!H897</f>
        <v>45800</v>
      </c>
      <c r="I897" s="3">
        <f>정규화데이터!I897</f>
        <v>33900</v>
      </c>
      <c r="J897" s="3">
        <f>정규화데이터!J897</f>
        <v>31653</v>
      </c>
      <c r="K897" s="25">
        <f>정규화데이터!K897</f>
        <v>0</v>
      </c>
      <c r="L897" s="25">
        <f>정규화데이터!L897</f>
        <v>0</v>
      </c>
      <c r="M897" s="21">
        <f t="shared" si="26"/>
        <v>31653</v>
      </c>
      <c r="N897" s="52">
        <f t="shared" si="27"/>
        <v>1</v>
      </c>
    </row>
    <row r="898" spans="1:14" x14ac:dyDescent="0.3">
      <c r="A898" t="str">
        <f>정규화데이터!A898</f>
        <v>네이버</v>
      </c>
      <c r="B898">
        <f>정규화데이터!B898</f>
        <v>2026020586046790</v>
      </c>
      <c r="C898" t="str">
        <f>정규화데이터!C898</f>
        <v>2026-02-05</v>
      </c>
      <c r="D898">
        <f>정규화데이터!D898</f>
        <v>13026511253</v>
      </c>
      <c r="E898" s="16" t="str">
        <f>정규화데이터!E898</f>
        <v>미매핑</v>
      </c>
      <c r="F898" s="3">
        <f>정규화데이터!F898</f>
        <v>1</v>
      </c>
      <c r="G898" s="3">
        <f>정규화데이터!G898</f>
        <v>1</v>
      </c>
      <c r="H898" s="3">
        <f>정규화데이터!H898</f>
        <v>22900</v>
      </c>
      <c r="I898" s="3">
        <f>정규화데이터!I898</f>
        <v>17800</v>
      </c>
      <c r="J898" s="3">
        <f>정규화데이터!J898</f>
        <v>16620</v>
      </c>
      <c r="K898" s="25">
        <f>정규화데이터!K898</f>
        <v>0</v>
      </c>
      <c r="L898" s="25">
        <f>정규화데이터!L898</f>
        <v>0</v>
      </c>
      <c r="M898" s="21">
        <f t="shared" ref="M898:M961" si="28">J898-L898</f>
        <v>16620</v>
      </c>
      <c r="N898" s="52">
        <f t="shared" ref="N898:N961" si="29">IF(J898=0,0,M898/J898)</f>
        <v>1</v>
      </c>
    </row>
    <row r="899" spans="1:14" x14ac:dyDescent="0.3">
      <c r="A899" t="str">
        <f>정규화데이터!A899</f>
        <v>네이버</v>
      </c>
      <c r="B899">
        <f>정규화데이터!B899</f>
        <v>2026020477087660</v>
      </c>
      <c r="C899" t="str">
        <f>정규화데이터!C899</f>
        <v>2026-02-04</v>
      </c>
      <c r="D899">
        <f>정규화데이터!D899</f>
        <v>13026511253</v>
      </c>
      <c r="E899" s="16" t="str">
        <f>정규화데이터!E899</f>
        <v>미매핑</v>
      </c>
      <c r="F899" s="3">
        <f>정규화데이터!F899</f>
        <v>1</v>
      </c>
      <c r="G899" s="3">
        <f>정규화데이터!G899</f>
        <v>1</v>
      </c>
      <c r="H899" s="3">
        <f>정규화데이터!H899</f>
        <v>22900</v>
      </c>
      <c r="I899" s="3">
        <f>정규화데이터!I899</f>
        <v>17800</v>
      </c>
      <c r="J899" s="3">
        <f>정규화데이터!J899</f>
        <v>16620</v>
      </c>
      <c r="K899" s="25">
        <f>정규화데이터!K899</f>
        <v>0</v>
      </c>
      <c r="L899" s="25">
        <f>정규화데이터!L899</f>
        <v>0</v>
      </c>
      <c r="M899" s="21">
        <f t="shared" si="28"/>
        <v>16620</v>
      </c>
      <c r="N899" s="52">
        <f t="shared" si="29"/>
        <v>1</v>
      </c>
    </row>
    <row r="900" spans="1:14" x14ac:dyDescent="0.3">
      <c r="A900" t="str">
        <f>정규화데이터!A900</f>
        <v>네이버</v>
      </c>
      <c r="B900">
        <f>정규화데이터!B900</f>
        <v>2026020662700250</v>
      </c>
      <c r="C900" t="str">
        <f>정규화데이터!C900</f>
        <v>2026-02-06</v>
      </c>
      <c r="D900">
        <f>정규화데이터!D900</f>
        <v>13026511254</v>
      </c>
      <c r="E900" s="16" t="str">
        <f>정규화데이터!E900</f>
        <v>미매핑</v>
      </c>
      <c r="F900" s="3">
        <f>정규화데이터!F900</f>
        <v>1</v>
      </c>
      <c r="G900" s="3">
        <f>정규화데이터!G900</f>
        <v>1</v>
      </c>
      <c r="H900" s="3">
        <f>정규화데이터!H900</f>
        <v>45800</v>
      </c>
      <c r="I900" s="3">
        <f>정규화데이터!I900</f>
        <v>33900</v>
      </c>
      <c r="J900" s="3">
        <f>정규화데이터!J900</f>
        <v>31653</v>
      </c>
      <c r="K900" s="25">
        <f>정규화데이터!K900</f>
        <v>0</v>
      </c>
      <c r="L900" s="25">
        <f>정규화데이터!L900</f>
        <v>0</v>
      </c>
      <c r="M900" s="21">
        <f t="shared" si="28"/>
        <v>31653</v>
      </c>
      <c r="N900" s="52">
        <f t="shared" si="29"/>
        <v>1</v>
      </c>
    </row>
    <row r="901" spans="1:14" x14ac:dyDescent="0.3">
      <c r="A901" t="str">
        <f>정규화데이터!A901</f>
        <v>카카오</v>
      </c>
      <c r="B901">
        <f>정규화데이터!B901</f>
        <v>3242789909</v>
      </c>
      <c r="C901" t="str">
        <f>정규화데이터!C901</f>
        <v>2026-02-11</v>
      </c>
      <c r="D901">
        <f>정규화데이터!D901</f>
        <v>691542495</v>
      </c>
      <c r="E901" s="16" t="str">
        <f>정규화데이터!E901</f>
        <v>미매핑</v>
      </c>
      <c r="F901" s="3">
        <f>정규화데이터!F901</f>
        <v>1</v>
      </c>
      <c r="G901" s="3">
        <f>정규화데이터!G901</f>
        <v>1</v>
      </c>
      <c r="H901" s="3">
        <f>정규화데이터!H901</f>
        <v>22900</v>
      </c>
      <c r="I901" s="3">
        <f>정규화데이터!I901</f>
        <v>22900</v>
      </c>
      <c r="J901" s="3">
        <f>정규화데이터!J901</f>
        <v>18400</v>
      </c>
      <c r="K901" s="25">
        <f>정규화데이터!K901</f>
        <v>0</v>
      </c>
      <c r="L901" s="25">
        <f>정규화데이터!L901</f>
        <v>0</v>
      </c>
      <c r="M901" s="21">
        <f t="shared" si="28"/>
        <v>18400</v>
      </c>
      <c r="N901" s="52">
        <f t="shared" si="29"/>
        <v>1</v>
      </c>
    </row>
    <row r="902" spans="1:14" x14ac:dyDescent="0.3">
      <c r="A902" t="str">
        <f>정규화데이터!A902</f>
        <v>카카오</v>
      </c>
      <c r="B902">
        <f>정규화데이터!B902</f>
        <v>3242866950</v>
      </c>
      <c r="C902" t="str">
        <f>정규화데이터!C902</f>
        <v>2026-02-11</v>
      </c>
      <c r="D902">
        <f>정규화데이터!D902</f>
        <v>691542495</v>
      </c>
      <c r="E902" s="16" t="str">
        <f>정규화데이터!E902</f>
        <v>미매핑</v>
      </c>
      <c r="F902" s="3">
        <f>정규화데이터!F902</f>
        <v>1</v>
      </c>
      <c r="G902" s="3">
        <f>정규화데이터!G902</f>
        <v>2</v>
      </c>
      <c r="H902" s="3">
        <f>정규화데이터!H902</f>
        <v>45800</v>
      </c>
      <c r="I902" s="3">
        <f>정규화데이터!I902</f>
        <v>45800</v>
      </c>
      <c r="J902" s="3">
        <f>정규화데이터!J902</f>
        <v>37800</v>
      </c>
      <c r="K902" s="25">
        <f>정규화데이터!K902</f>
        <v>0</v>
      </c>
      <c r="L902" s="25">
        <f>정규화데이터!L902</f>
        <v>0</v>
      </c>
      <c r="M902" s="21">
        <f t="shared" si="28"/>
        <v>37800</v>
      </c>
      <c r="N902" s="52">
        <f t="shared" si="29"/>
        <v>1</v>
      </c>
    </row>
    <row r="903" spans="1:14" x14ac:dyDescent="0.3">
      <c r="A903" t="str">
        <f>정규화데이터!A903</f>
        <v>카카오</v>
      </c>
      <c r="B903">
        <f>정규화데이터!B903</f>
        <v>3242952358</v>
      </c>
      <c r="C903" t="str">
        <f>정규화데이터!C903</f>
        <v>2026-02-11</v>
      </c>
      <c r="D903">
        <f>정규화데이터!D903</f>
        <v>691542495</v>
      </c>
      <c r="E903" s="16" t="str">
        <f>정규화데이터!E903</f>
        <v>미매핑</v>
      </c>
      <c r="F903" s="3">
        <f>정규화데이터!F903</f>
        <v>1</v>
      </c>
      <c r="G903" s="3">
        <f>정규화데이터!G903</f>
        <v>1</v>
      </c>
      <c r="H903" s="3">
        <f>정규화데이터!H903</f>
        <v>22900</v>
      </c>
      <c r="I903" s="3">
        <f>정규화데이터!I903</f>
        <v>22900</v>
      </c>
      <c r="J903" s="3">
        <f>정규화데이터!J903</f>
        <v>18900</v>
      </c>
      <c r="K903" s="25">
        <f>정규화데이터!K903</f>
        <v>0</v>
      </c>
      <c r="L903" s="25">
        <f>정규화데이터!L903</f>
        <v>0</v>
      </c>
      <c r="M903" s="21">
        <f t="shared" si="28"/>
        <v>18900</v>
      </c>
      <c r="N903" s="52">
        <f t="shared" si="29"/>
        <v>1</v>
      </c>
    </row>
    <row r="904" spans="1:14" x14ac:dyDescent="0.3">
      <c r="A904" t="str">
        <f>정규화데이터!A904</f>
        <v>카카오</v>
      </c>
      <c r="B904">
        <f>정규화데이터!B904</f>
        <v>3242962470</v>
      </c>
      <c r="C904" t="str">
        <f>정규화데이터!C904</f>
        <v>2026-02-11</v>
      </c>
      <c r="D904">
        <f>정규화데이터!D904</f>
        <v>691542495</v>
      </c>
      <c r="E904" s="16" t="str">
        <f>정규화데이터!E904</f>
        <v>미매핑</v>
      </c>
      <c r="F904" s="3">
        <f>정규화데이터!F904</f>
        <v>1</v>
      </c>
      <c r="G904" s="3">
        <f>정규화데이터!G904</f>
        <v>2</v>
      </c>
      <c r="H904" s="3">
        <f>정규화데이터!H904</f>
        <v>45800</v>
      </c>
      <c r="I904" s="3">
        <f>정규화데이터!I904</f>
        <v>45800</v>
      </c>
      <c r="J904" s="3">
        <f>정규화데이터!J904</f>
        <v>37800</v>
      </c>
      <c r="K904" s="25">
        <f>정규화데이터!K904</f>
        <v>0</v>
      </c>
      <c r="L904" s="25">
        <f>정규화데이터!L904</f>
        <v>0</v>
      </c>
      <c r="M904" s="21">
        <f t="shared" si="28"/>
        <v>37800</v>
      </c>
      <c r="N904" s="52">
        <f t="shared" si="29"/>
        <v>1</v>
      </c>
    </row>
    <row r="905" spans="1:14" x14ac:dyDescent="0.3">
      <c r="A905" t="str">
        <f>정규화데이터!A905</f>
        <v>카카오</v>
      </c>
      <c r="B905">
        <f>정규화데이터!B905</f>
        <v>3242973875</v>
      </c>
      <c r="C905" t="str">
        <f>정규화데이터!C905</f>
        <v>2026-02-11</v>
      </c>
      <c r="D905">
        <f>정규화데이터!D905</f>
        <v>691542495</v>
      </c>
      <c r="E905" s="16" t="str">
        <f>정규화데이터!E905</f>
        <v>미매핑</v>
      </c>
      <c r="F905" s="3">
        <f>정규화데이터!F905</f>
        <v>1</v>
      </c>
      <c r="G905" s="3">
        <f>정규화데이터!G905</f>
        <v>2</v>
      </c>
      <c r="H905" s="3">
        <f>정규화데이터!H905</f>
        <v>45800</v>
      </c>
      <c r="I905" s="3">
        <f>정규화데이터!I905</f>
        <v>45800</v>
      </c>
      <c r="J905" s="3">
        <f>정규화데이터!J905</f>
        <v>39800</v>
      </c>
      <c r="K905" s="25">
        <f>정규화데이터!K905</f>
        <v>0</v>
      </c>
      <c r="L905" s="25">
        <f>정규화데이터!L905</f>
        <v>0</v>
      </c>
      <c r="M905" s="21">
        <f t="shared" si="28"/>
        <v>39800</v>
      </c>
      <c r="N905" s="52">
        <f t="shared" si="29"/>
        <v>1</v>
      </c>
    </row>
    <row r="906" spans="1:14" x14ac:dyDescent="0.3">
      <c r="A906" t="str">
        <f>정규화데이터!A906</f>
        <v>리씽크</v>
      </c>
      <c r="B906" t="str">
        <f>정규화데이터!B906</f>
        <v>2026020510583150000</v>
      </c>
      <c r="C906" t="str">
        <f>정규화데이터!C906</f>
        <v>2026-02-05</v>
      </c>
      <c r="D906">
        <f>정규화데이터!D906</f>
        <v>143790</v>
      </c>
      <c r="E906" s="16" t="str">
        <f>정규화데이터!E906</f>
        <v>SKU001</v>
      </c>
      <c r="F906" s="3">
        <f>정규화데이터!F906</f>
        <v>4</v>
      </c>
      <c r="G906" s="3">
        <f>정규화데이터!G906</f>
        <v>1</v>
      </c>
      <c r="H906" s="3">
        <f>정규화데이터!H906</f>
        <v>45500</v>
      </c>
      <c r="I906" s="3">
        <f>정규화데이터!I906</f>
        <v>45500</v>
      </c>
      <c r="J906" s="3">
        <f>정규화데이터!J906</f>
        <v>45500</v>
      </c>
      <c r="K906" s="25" t="str">
        <f>정규화데이터!K906</f>
        <v>[워커힐] 시그니처 양념갈비 300G</v>
      </c>
      <c r="L906" s="25">
        <f>정규화데이터!L906</f>
        <v>0</v>
      </c>
      <c r="M906" s="21">
        <f t="shared" si="28"/>
        <v>45500</v>
      </c>
      <c r="N906" s="52">
        <f t="shared" si="29"/>
        <v>1</v>
      </c>
    </row>
    <row r="907" spans="1:14" x14ac:dyDescent="0.3">
      <c r="A907" t="str">
        <f>정규화데이터!A907</f>
        <v>리씽크</v>
      </c>
      <c r="B907" t="str">
        <f>정규화데이터!B907</f>
        <v>2026020510393950000</v>
      </c>
      <c r="C907" t="str">
        <f>정규화데이터!C907</f>
        <v>2026-02-05</v>
      </c>
      <c r="D907">
        <f>정규화데이터!D907</f>
        <v>143790</v>
      </c>
      <c r="E907" s="16" t="str">
        <f>정규화데이터!E907</f>
        <v>SKU001</v>
      </c>
      <c r="F907" s="3">
        <f>정규화데이터!F907</f>
        <v>4</v>
      </c>
      <c r="G907" s="3">
        <f>정규화데이터!G907</f>
        <v>1</v>
      </c>
      <c r="H907" s="3">
        <f>정규화데이터!H907</f>
        <v>45500</v>
      </c>
      <c r="I907" s="3">
        <f>정규화데이터!I907</f>
        <v>45500</v>
      </c>
      <c r="J907" s="3">
        <f>정규화데이터!J907</f>
        <v>45500</v>
      </c>
      <c r="K907" s="25" t="str">
        <f>정규화데이터!K907</f>
        <v>[워커힐] 시그니처 양념갈비 300G</v>
      </c>
      <c r="L907" s="25">
        <f>정규화데이터!L907</f>
        <v>0</v>
      </c>
      <c r="M907" s="21">
        <f t="shared" si="28"/>
        <v>45500</v>
      </c>
      <c r="N907" s="52">
        <f t="shared" si="29"/>
        <v>1</v>
      </c>
    </row>
    <row r="908" spans="1:14" x14ac:dyDescent="0.3">
      <c r="A908" t="str">
        <f>정규화데이터!A908</f>
        <v>리씽크</v>
      </c>
      <c r="B908" t="str">
        <f>정규화데이터!B908</f>
        <v>2026020510385530000</v>
      </c>
      <c r="C908" t="str">
        <f>정규화데이터!C908</f>
        <v>2026-02-05</v>
      </c>
      <c r="D908">
        <f>정규화데이터!D908</f>
        <v>143790</v>
      </c>
      <c r="E908" s="16" t="str">
        <f>정규화데이터!E908</f>
        <v>SKU001</v>
      </c>
      <c r="F908" s="3">
        <f>정규화데이터!F908</f>
        <v>4</v>
      </c>
      <c r="G908" s="3">
        <f>정규화데이터!G908</f>
        <v>1</v>
      </c>
      <c r="H908" s="3">
        <f>정규화데이터!H908</f>
        <v>45500</v>
      </c>
      <c r="I908" s="3">
        <f>정규화데이터!I908</f>
        <v>45500</v>
      </c>
      <c r="J908" s="3">
        <f>정규화데이터!J908</f>
        <v>45500</v>
      </c>
      <c r="K908" s="25" t="str">
        <f>정규화데이터!K908</f>
        <v>[워커힐] 시그니처 양념갈비 300G</v>
      </c>
      <c r="L908" s="25">
        <f>정규화데이터!L908</f>
        <v>0</v>
      </c>
      <c r="M908" s="21">
        <f t="shared" si="28"/>
        <v>45500</v>
      </c>
      <c r="N908" s="52">
        <f t="shared" si="29"/>
        <v>1</v>
      </c>
    </row>
    <row r="909" spans="1:14" x14ac:dyDescent="0.3">
      <c r="A909" t="str">
        <f>정규화데이터!A909</f>
        <v>리씽크</v>
      </c>
      <c r="B909" t="str">
        <f>정규화데이터!B909</f>
        <v>2026020510243000000</v>
      </c>
      <c r="C909" t="str">
        <f>정규화데이터!C909</f>
        <v>2026-02-05</v>
      </c>
      <c r="D909">
        <f>정규화데이터!D909</f>
        <v>143790</v>
      </c>
      <c r="E909" s="16" t="str">
        <f>정규화데이터!E909</f>
        <v>SKU001</v>
      </c>
      <c r="F909" s="3">
        <f>정규화데이터!F909</f>
        <v>4</v>
      </c>
      <c r="G909" s="3">
        <f>정규화데이터!G909</f>
        <v>1</v>
      </c>
      <c r="H909" s="3">
        <f>정규화데이터!H909</f>
        <v>45500</v>
      </c>
      <c r="I909" s="3">
        <f>정규화데이터!I909</f>
        <v>45500</v>
      </c>
      <c r="J909" s="3">
        <f>정규화데이터!J909</f>
        <v>45500</v>
      </c>
      <c r="K909" s="25" t="str">
        <f>정규화데이터!K909</f>
        <v>[워커힐] 시그니처 양념갈비 300G</v>
      </c>
      <c r="L909" s="25">
        <f>정규화데이터!L909</f>
        <v>0</v>
      </c>
      <c r="M909" s="21">
        <f t="shared" si="28"/>
        <v>45500</v>
      </c>
      <c r="N909" s="52">
        <f t="shared" si="29"/>
        <v>1</v>
      </c>
    </row>
    <row r="910" spans="1:14" x14ac:dyDescent="0.3">
      <c r="A910" t="str">
        <f>정규화데이터!A910</f>
        <v>리씽크</v>
      </c>
      <c r="B910" t="str">
        <f>정규화데이터!B910</f>
        <v>2026020510241500000</v>
      </c>
      <c r="C910" t="str">
        <f>정규화데이터!C910</f>
        <v>2026-02-05</v>
      </c>
      <c r="D910">
        <f>정규화데이터!D910</f>
        <v>143790</v>
      </c>
      <c r="E910" s="16" t="str">
        <f>정규화데이터!E910</f>
        <v>SKU001</v>
      </c>
      <c r="F910" s="3">
        <f>정규화데이터!F910</f>
        <v>4</v>
      </c>
      <c r="G910" s="3">
        <f>정규화데이터!G910</f>
        <v>1</v>
      </c>
      <c r="H910" s="3">
        <f>정규화데이터!H910</f>
        <v>45500</v>
      </c>
      <c r="I910" s="3">
        <f>정규화데이터!I910</f>
        <v>45500</v>
      </c>
      <c r="J910" s="3">
        <f>정규화데이터!J910</f>
        <v>45500</v>
      </c>
      <c r="K910" s="25" t="str">
        <f>정규화데이터!K910</f>
        <v>[워커힐] 시그니처 양념갈비 300G</v>
      </c>
      <c r="L910" s="25">
        <f>정규화데이터!L910</f>
        <v>0</v>
      </c>
      <c r="M910" s="21">
        <f t="shared" si="28"/>
        <v>45500</v>
      </c>
      <c r="N910" s="52">
        <f t="shared" si="29"/>
        <v>1</v>
      </c>
    </row>
    <row r="911" spans="1:14" x14ac:dyDescent="0.3">
      <c r="A911" t="str">
        <f>정규화데이터!A911</f>
        <v>리씽크</v>
      </c>
      <c r="B911" t="str">
        <f>정규화데이터!B911</f>
        <v>2026020510233250000</v>
      </c>
      <c r="C911" t="str">
        <f>정규화데이터!C911</f>
        <v>2026-02-05</v>
      </c>
      <c r="D911">
        <f>정규화데이터!D911</f>
        <v>143790</v>
      </c>
      <c r="E911" s="16" t="str">
        <f>정규화데이터!E911</f>
        <v>SKU001</v>
      </c>
      <c r="F911" s="3">
        <f>정규화데이터!F911</f>
        <v>4</v>
      </c>
      <c r="G911" s="3">
        <f>정규화데이터!G911</f>
        <v>1</v>
      </c>
      <c r="H911" s="3">
        <f>정규화데이터!H911</f>
        <v>45500</v>
      </c>
      <c r="I911" s="3">
        <f>정규화데이터!I911</f>
        <v>45500</v>
      </c>
      <c r="J911" s="3">
        <f>정규화데이터!J911</f>
        <v>45500</v>
      </c>
      <c r="K911" s="25" t="str">
        <f>정규화데이터!K911</f>
        <v>[워커힐] 시그니처 양념갈비 300G</v>
      </c>
      <c r="L911" s="25">
        <f>정규화데이터!L911</f>
        <v>0</v>
      </c>
      <c r="M911" s="21">
        <f t="shared" si="28"/>
        <v>45500</v>
      </c>
      <c r="N911" s="52">
        <f t="shared" si="29"/>
        <v>1</v>
      </c>
    </row>
    <row r="912" spans="1:14" x14ac:dyDescent="0.3">
      <c r="A912" t="str">
        <f>정규화데이터!A912</f>
        <v>리씽크</v>
      </c>
      <c r="B912" t="str">
        <f>정규화데이터!B912</f>
        <v>2026020510194340000</v>
      </c>
      <c r="C912" t="str">
        <f>정규화데이터!C912</f>
        <v>2026-02-05</v>
      </c>
      <c r="D912">
        <f>정규화데이터!D912</f>
        <v>143790</v>
      </c>
      <c r="E912" s="16" t="str">
        <f>정규화데이터!E912</f>
        <v>SKU001</v>
      </c>
      <c r="F912" s="3">
        <f>정규화데이터!F912</f>
        <v>4</v>
      </c>
      <c r="G912" s="3">
        <f>정규화데이터!G912</f>
        <v>2</v>
      </c>
      <c r="H912" s="3">
        <f>정규화데이터!H912</f>
        <v>45500</v>
      </c>
      <c r="I912" s="3">
        <f>정규화데이터!I912</f>
        <v>91000</v>
      </c>
      <c r="J912" s="3">
        <f>정규화데이터!J912</f>
        <v>91000</v>
      </c>
      <c r="K912" s="25" t="str">
        <f>정규화데이터!K912</f>
        <v>[워커힐] 시그니처 양념갈비 300G</v>
      </c>
      <c r="L912" s="25">
        <f>정규화데이터!L912</f>
        <v>0</v>
      </c>
      <c r="M912" s="21">
        <f t="shared" si="28"/>
        <v>91000</v>
      </c>
      <c r="N912" s="52">
        <f t="shared" si="29"/>
        <v>1</v>
      </c>
    </row>
    <row r="913" spans="1:14" x14ac:dyDescent="0.3">
      <c r="A913" t="str">
        <f>정규화데이터!A913</f>
        <v>리씽크</v>
      </c>
      <c r="B913" t="str">
        <f>정규화데이터!B913</f>
        <v>2026020510081620000</v>
      </c>
      <c r="C913" t="str">
        <f>정규화데이터!C913</f>
        <v>2026-02-05</v>
      </c>
      <c r="D913">
        <f>정규화데이터!D913</f>
        <v>143790</v>
      </c>
      <c r="E913" s="16" t="str">
        <f>정규화데이터!E913</f>
        <v>SKU001</v>
      </c>
      <c r="F913" s="3">
        <f>정규화데이터!F913</f>
        <v>4</v>
      </c>
      <c r="G913" s="3">
        <f>정규화데이터!G913</f>
        <v>1</v>
      </c>
      <c r="H913" s="3">
        <f>정규화데이터!H913</f>
        <v>45500</v>
      </c>
      <c r="I913" s="3">
        <f>정규화데이터!I913</f>
        <v>45500</v>
      </c>
      <c r="J913" s="3">
        <f>정규화데이터!J913</f>
        <v>45500</v>
      </c>
      <c r="K913" s="25" t="str">
        <f>정규화데이터!K913</f>
        <v>[워커힐] 시그니처 양념갈비 300G</v>
      </c>
      <c r="L913" s="25">
        <f>정규화데이터!L913</f>
        <v>0</v>
      </c>
      <c r="M913" s="21">
        <f t="shared" si="28"/>
        <v>45500</v>
      </c>
      <c r="N913" s="52">
        <f t="shared" si="29"/>
        <v>1</v>
      </c>
    </row>
    <row r="914" spans="1:14" x14ac:dyDescent="0.3">
      <c r="A914" t="str">
        <f>정규화데이터!A914</f>
        <v>리씽크</v>
      </c>
      <c r="B914" t="str">
        <f>정규화데이터!B914</f>
        <v>2026020510024740000</v>
      </c>
      <c r="C914" t="str">
        <f>정규화데이터!C914</f>
        <v>2026-02-05</v>
      </c>
      <c r="D914">
        <f>정규화데이터!D914</f>
        <v>143790</v>
      </c>
      <c r="E914" s="16" t="str">
        <f>정규화데이터!E914</f>
        <v>SKU001</v>
      </c>
      <c r="F914" s="3">
        <f>정규화데이터!F914</f>
        <v>4</v>
      </c>
      <c r="G914" s="3">
        <f>정규화데이터!G914</f>
        <v>1</v>
      </c>
      <c r="H914" s="3">
        <f>정규화데이터!H914</f>
        <v>45500</v>
      </c>
      <c r="I914" s="3">
        <f>정규화데이터!I914</f>
        <v>45500</v>
      </c>
      <c r="J914" s="3">
        <f>정규화데이터!J914</f>
        <v>45500</v>
      </c>
      <c r="K914" s="25" t="str">
        <f>정규화데이터!K914</f>
        <v>[워커힐] 시그니처 양념갈비 300G</v>
      </c>
      <c r="L914" s="25">
        <f>정규화데이터!L914</f>
        <v>0</v>
      </c>
      <c r="M914" s="21">
        <f t="shared" si="28"/>
        <v>45500</v>
      </c>
      <c r="N914" s="52">
        <f t="shared" si="29"/>
        <v>1</v>
      </c>
    </row>
    <row r="915" spans="1:14" x14ac:dyDescent="0.3">
      <c r="A915" t="str">
        <f>정규화데이터!A915</f>
        <v>리씽크</v>
      </c>
      <c r="B915" t="str">
        <f>정규화데이터!B915</f>
        <v>2026020509505650000</v>
      </c>
      <c r="C915" t="str">
        <f>정규화데이터!C915</f>
        <v>2026-02-05</v>
      </c>
      <c r="D915">
        <f>정규화데이터!D915</f>
        <v>143790</v>
      </c>
      <c r="E915" s="16" t="str">
        <f>정규화데이터!E915</f>
        <v>SKU001</v>
      </c>
      <c r="F915" s="3">
        <f>정규화데이터!F915</f>
        <v>4</v>
      </c>
      <c r="G915" s="3">
        <f>정규화데이터!G915</f>
        <v>1</v>
      </c>
      <c r="H915" s="3">
        <f>정규화데이터!H915</f>
        <v>45500</v>
      </c>
      <c r="I915" s="3">
        <f>정규화데이터!I915</f>
        <v>45500</v>
      </c>
      <c r="J915" s="3">
        <f>정규화데이터!J915</f>
        <v>45500</v>
      </c>
      <c r="K915" s="25" t="str">
        <f>정규화데이터!K915</f>
        <v>[워커힐] 시그니처 양념갈비 300G</v>
      </c>
      <c r="L915" s="25">
        <f>정규화데이터!L915</f>
        <v>0</v>
      </c>
      <c r="M915" s="21">
        <f t="shared" si="28"/>
        <v>45500</v>
      </c>
      <c r="N915" s="52">
        <f t="shared" si="29"/>
        <v>1</v>
      </c>
    </row>
    <row r="916" spans="1:14" x14ac:dyDescent="0.3">
      <c r="A916" t="str">
        <f>정규화데이터!A916</f>
        <v>리씽크</v>
      </c>
      <c r="B916" t="str">
        <f>정규화데이터!B916</f>
        <v>2026020509473560000</v>
      </c>
      <c r="C916" t="str">
        <f>정규화데이터!C916</f>
        <v>2026-02-05</v>
      </c>
      <c r="D916">
        <f>정규화데이터!D916</f>
        <v>143790</v>
      </c>
      <c r="E916" s="16" t="str">
        <f>정규화데이터!E916</f>
        <v>SKU001</v>
      </c>
      <c r="F916" s="3">
        <f>정규화데이터!F916</f>
        <v>4</v>
      </c>
      <c r="G916" s="3">
        <f>정규화데이터!G916</f>
        <v>1</v>
      </c>
      <c r="H916" s="3">
        <f>정규화데이터!H916</f>
        <v>45500</v>
      </c>
      <c r="I916" s="3">
        <f>정규화데이터!I916</f>
        <v>45500</v>
      </c>
      <c r="J916" s="3">
        <f>정규화데이터!J916</f>
        <v>45500</v>
      </c>
      <c r="K916" s="25" t="str">
        <f>정규화데이터!K916</f>
        <v>[워커힐] 시그니처 양념갈비 300G</v>
      </c>
      <c r="L916" s="25">
        <f>정규화데이터!L916</f>
        <v>0</v>
      </c>
      <c r="M916" s="21">
        <f t="shared" si="28"/>
        <v>45500</v>
      </c>
      <c r="N916" s="52">
        <f t="shared" si="29"/>
        <v>1</v>
      </c>
    </row>
    <row r="917" spans="1:14" x14ac:dyDescent="0.3">
      <c r="A917" t="str">
        <f>정규화데이터!A917</f>
        <v>리씽크</v>
      </c>
      <c r="B917" t="str">
        <f>정규화데이터!B917</f>
        <v>2026020509430600000</v>
      </c>
      <c r="C917" t="str">
        <f>정규화데이터!C917</f>
        <v>2026-02-05</v>
      </c>
      <c r="D917">
        <f>정규화데이터!D917</f>
        <v>143790</v>
      </c>
      <c r="E917" s="16" t="str">
        <f>정규화데이터!E917</f>
        <v>SKU001</v>
      </c>
      <c r="F917" s="3">
        <f>정규화데이터!F917</f>
        <v>4</v>
      </c>
      <c r="G917" s="3">
        <f>정규화데이터!G917</f>
        <v>1</v>
      </c>
      <c r="H917" s="3">
        <f>정규화데이터!H917</f>
        <v>45500</v>
      </c>
      <c r="I917" s="3">
        <f>정규화데이터!I917</f>
        <v>45500</v>
      </c>
      <c r="J917" s="3">
        <f>정규화데이터!J917</f>
        <v>45500</v>
      </c>
      <c r="K917" s="25" t="str">
        <f>정규화데이터!K917</f>
        <v>[워커힐] 시그니처 양념갈비 300G</v>
      </c>
      <c r="L917" s="25">
        <f>정규화데이터!L917</f>
        <v>0</v>
      </c>
      <c r="M917" s="21">
        <f t="shared" si="28"/>
        <v>45500</v>
      </c>
      <c r="N917" s="52">
        <f t="shared" si="29"/>
        <v>1</v>
      </c>
    </row>
    <row r="918" spans="1:14" x14ac:dyDescent="0.3">
      <c r="A918" t="str">
        <f>정규화데이터!A918</f>
        <v>리씽크</v>
      </c>
      <c r="B918" t="str">
        <f>정규화데이터!B918</f>
        <v>2026020509433700000</v>
      </c>
      <c r="C918" t="str">
        <f>정규화데이터!C918</f>
        <v>2026-02-05</v>
      </c>
      <c r="D918">
        <f>정규화데이터!D918</f>
        <v>143790</v>
      </c>
      <c r="E918" s="16" t="str">
        <f>정규화데이터!E918</f>
        <v>SKU001</v>
      </c>
      <c r="F918" s="3">
        <f>정규화데이터!F918</f>
        <v>4</v>
      </c>
      <c r="G918" s="3">
        <f>정규화데이터!G918</f>
        <v>1</v>
      </c>
      <c r="H918" s="3">
        <f>정규화데이터!H918</f>
        <v>45500</v>
      </c>
      <c r="I918" s="3">
        <f>정규화데이터!I918</f>
        <v>45500</v>
      </c>
      <c r="J918" s="3">
        <f>정규화데이터!J918</f>
        <v>45500</v>
      </c>
      <c r="K918" s="25" t="str">
        <f>정규화데이터!K918</f>
        <v>[워커힐] 시그니처 양념갈비 300G</v>
      </c>
      <c r="L918" s="25">
        <f>정규화데이터!L918</f>
        <v>0</v>
      </c>
      <c r="M918" s="21">
        <f t="shared" si="28"/>
        <v>45500</v>
      </c>
      <c r="N918" s="52">
        <f t="shared" si="29"/>
        <v>1</v>
      </c>
    </row>
    <row r="919" spans="1:14" x14ac:dyDescent="0.3">
      <c r="A919" t="str">
        <f>정규화데이터!A919</f>
        <v>리씽크</v>
      </c>
      <c r="B919" t="str">
        <f>정규화데이터!B919</f>
        <v>2026020509423090000</v>
      </c>
      <c r="C919" t="str">
        <f>정규화데이터!C919</f>
        <v>2026-02-05</v>
      </c>
      <c r="D919">
        <f>정규화데이터!D919</f>
        <v>143790</v>
      </c>
      <c r="E919" s="16" t="str">
        <f>정규화데이터!E919</f>
        <v>SKU001</v>
      </c>
      <c r="F919" s="3">
        <f>정규화데이터!F919</f>
        <v>4</v>
      </c>
      <c r="G919" s="3">
        <f>정규화데이터!G919</f>
        <v>1</v>
      </c>
      <c r="H919" s="3">
        <f>정규화데이터!H919</f>
        <v>45500</v>
      </c>
      <c r="I919" s="3">
        <f>정규화데이터!I919</f>
        <v>45500</v>
      </c>
      <c r="J919" s="3">
        <f>정규화데이터!J919</f>
        <v>45500</v>
      </c>
      <c r="K919" s="25" t="str">
        <f>정규화데이터!K919</f>
        <v>[워커힐] 시그니처 양념갈비 300G</v>
      </c>
      <c r="L919" s="25">
        <f>정규화데이터!L919</f>
        <v>0</v>
      </c>
      <c r="M919" s="21">
        <f t="shared" si="28"/>
        <v>45500</v>
      </c>
      <c r="N919" s="52">
        <f t="shared" si="29"/>
        <v>1</v>
      </c>
    </row>
    <row r="920" spans="1:14" x14ac:dyDescent="0.3">
      <c r="A920" t="str">
        <f>정규화데이터!A920</f>
        <v>리씽크</v>
      </c>
      <c r="B920" t="str">
        <f>정규화데이터!B920</f>
        <v>2026020509383150000</v>
      </c>
      <c r="C920" t="str">
        <f>정규화데이터!C920</f>
        <v>2026-02-05</v>
      </c>
      <c r="D920">
        <f>정규화데이터!D920</f>
        <v>143790</v>
      </c>
      <c r="E920" s="16" t="str">
        <f>정규화데이터!E920</f>
        <v>SKU001</v>
      </c>
      <c r="F920" s="3">
        <f>정규화데이터!F920</f>
        <v>4</v>
      </c>
      <c r="G920" s="3">
        <f>정규화데이터!G920</f>
        <v>2</v>
      </c>
      <c r="H920" s="3">
        <f>정규화데이터!H920</f>
        <v>45500</v>
      </c>
      <c r="I920" s="3">
        <f>정규화데이터!I920</f>
        <v>91000</v>
      </c>
      <c r="J920" s="3">
        <f>정규화데이터!J920</f>
        <v>91000</v>
      </c>
      <c r="K920" s="25" t="str">
        <f>정규화데이터!K920</f>
        <v>[워커힐] 시그니처 양념갈비 300G</v>
      </c>
      <c r="L920" s="25">
        <f>정규화데이터!L920</f>
        <v>0</v>
      </c>
      <c r="M920" s="21">
        <f t="shared" si="28"/>
        <v>91000</v>
      </c>
      <c r="N920" s="52">
        <f t="shared" si="29"/>
        <v>1</v>
      </c>
    </row>
    <row r="921" spans="1:14" x14ac:dyDescent="0.3">
      <c r="A921" t="str">
        <f>정규화데이터!A921</f>
        <v>리씽크</v>
      </c>
      <c r="B921" t="str">
        <f>정규화데이터!B921</f>
        <v>2026020509332860000</v>
      </c>
      <c r="C921" t="str">
        <f>정규화데이터!C921</f>
        <v>2026-02-05</v>
      </c>
      <c r="D921">
        <f>정규화데이터!D921</f>
        <v>143790</v>
      </c>
      <c r="E921" s="16" t="str">
        <f>정규화데이터!E921</f>
        <v>SKU001</v>
      </c>
      <c r="F921" s="3">
        <f>정규화데이터!F921</f>
        <v>4</v>
      </c>
      <c r="G921" s="3">
        <f>정규화데이터!G921</f>
        <v>1</v>
      </c>
      <c r="H921" s="3">
        <f>정규화데이터!H921</f>
        <v>45500</v>
      </c>
      <c r="I921" s="3">
        <f>정규화데이터!I921</f>
        <v>45500</v>
      </c>
      <c r="J921" s="3">
        <f>정규화데이터!J921</f>
        <v>45500</v>
      </c>
      <c r="K921" s="25" t="str">
        <f>정규화데이터!K921</f>
        <v>[워커힐] 시그니처 양념갈비 300G</v>
      </c>
      <c r="L921" s="25">
        <f>정규화데이터!L921</f>
        <v>0</v>
      </c>
      <c r="M921" s="21">
        <f t="shared" si="28"/>
        <v>45500</v>
      </c>
      <c r="N921" s="52">
        <f t="shared" si="29"/>
        <v>1</v>
      </c>
    </row>
    <row r="922" spans="1:14" x14ac:dyDescent="0.3">
      <c r="A922" t="str">
        <f>정규화데이터!A922</f>
        <v>리씽크</v>
      </c>
      <c r="B922" t="str">
        <f>정규화데이터!B922</f>
        <v>2026020509301060000</v>
      </c>
      <c r="C922" t="str">
        <f>정규화데이터!C922</f>
        <v>2026-02-05</v>
      </c>
      <c r="D922">
        <f>정규화데이터!D922</f>
        <v>143790</v>
      </c>
      <c r="E922" s="16" t="str">
        <f>정규화데이터!E922</f>
        <v>SKU001</v>
      </c>
      <c r="F922" s="3">
        <f>정규화데이터!F922</f>
        <v>4</v>
      </c>
      <c r="G922" s="3">
        <f>정규화데이터!G922</f>
        <v>1</v>
      </c>
      <c r="H922" s="3">
        <f>정규화데이터!H922</f>
        <v>45500</v>
      </c>
      <c r="I922" s="3">
        <f>정규화데이터!I922</f>
        <v>45500</v>
      </c>
      <c r="J922" s="3">
        <f>정규화데이터!J922</f>
        <v>45500</v>
      </c>
      <c r="K922" s="25" t="str">
        <f>정규화데이터!K922</f>
        <v>[워커힐] 시그니처 양념갈비 300G</v>
      </c>
      <c r="L922" s="25">
        <f>정규화데이터!L922</f>
        <v>0</v>
      </c>
      <c r="M922" s="21">
        <f t="shared" si="28"/>
        <v>45500</v>
      </c>
      <c r="N922" s="52">
        <f t="shared" si="29"/>
        <v>1</v>
      </c>
    </row>
    <row r="923" spans="1:14" x14ac:dyDescent="0.3">
      <c r="A923" t="str">
        <f>정규화데이터!A923</f>
        <v>리씽크</v>
      </c>
      <c r="B923" t="str">
        <f>정규화데이터!B923</f>
        <v>2026020509252640000</v>
      </c>
      <c r="C923" t="str">
        <f>정규화데이터!C923</f>
        <v>2026-02-05</v>
      </c>
      <c r="D923">
        <f>정규화데이터!D923</f>
        <v>143790</v>
      </c>
      <c r="E923" s="16" t="str">
        <f>정규화데이터!E923</f>
        <v>SKU001</v>
      </c>
      <c r="F923" s="3">
        <f>정규화데이터!F923</f>
        <v>4</v>
      </c>
      <c r="G923" s="3">
        <f>정규화데이터!G923</f>
        <v>1</v>
      </c>
      <c r="H923" s="3">
        <f>정규화데이터!H923</f>
        <v>45500</v>
      </c>
      <c r="I923" s="3">
        <f>정규화데이터!I923</f>
        <v>45500</v>
      </c>
      <c r="J923" s="3">
        <f>정규화데이터!J923</f>
        <v>45500</v>
      </c>
      <c r="K923" s="25" t="str">
        <f>정규화데이터!K923</f>
        <v>[워커힐] 시그니처 양념갈비 300G</v>
      </c>
      <c r="L923" s="25">
        <f>정규화데이터!L923</f>
        <v>0</v>
      </c>
      <c r="M923" s="21">
        <f t="shared" si="28"/>
        <v>45500</v>
      </c>
      <c r="N923" s="52">
        <f t="shared" si="29"/>
        <v>1</v>
      </c>
    </row>
    <row r="924" spans="1:14" x14ac:dyDescent="0.3">
      <c r="A924" t="str">
        <f>정규화데이터!A924</f>
        <v>리씽크</v>
      </c>
      <c r="B924" t="str">
        <f>정규화데이터!B924</f>
        <v>2026020509193270000</v>
      </c>
      <c r="C924" t="str">
        <f>정규화데이터!C924</f>
        <v>2026-02-05</v>
      </c>
      <c r="D924">
        <f>정규화데이터!D924</f>
        <v>143790</v>
      </c>
      <c r="E924" s="16" t="str">
        <f>정규화데이터!E924</f>
        <v>SKU001</v>
      </c>
      <c r="F924" s="3">
        <f>정규화데이터!F924</f>
        <v>4</v>
      </c>
      <c r="G924" s="3">
        <f>정규화데이터!G924</f>
        <v>1</v>
      </c>
      <c r="H924" s="3">
        <f>정규화데이터!H924</f>
        <v>45500</v>
      </c>
      <c r="I924" s="3">
        <f>정규화데이터!I924</f>
        <v>45500</v>
      </c>
      <c r="J924" s="3">
        <f>정규화데이터!J924</f>
        <v>45500</v>
      </c>
      <c r="K924" s="25" t="str">
        <f>정규화데이터!K924</f>
        <v>[워커힐] 시그니처 양념갈비 300G</v>
      </c>
      <c r="L924" s="25">
        <f>정규화데이터!L924</f>
        <v>0</v>
      </c>
      <c r="M924" s="21">
        <f t="shared" si="28"/>
        <v>45500</v>
      </c>
      <c r="N924" s="52">
        <f t="shared" si="29"/>
        <v>1</v>
      </c>
    </row>
    <row r="925" spans="1:14" x14ac:dyDescent="0.3">
      <c r="A925" t="str">
        <f>정규화데이터!A925</f>
        <v>리씽크</v>
      </c>
      <c r="B925" t="str">
        <f>정규화데이터!B925</f>
        <v>2026020509162630000</v>
      </c>
      <c r="C925" t="str">
        <f>정규화데이터!C925</f>
        <v>2026-02-05</v>
      </c>
      <c r="D925">
        <f>정규화데이터!D925</f>
        <v>143790</v>
      </c>
      <c r="E925" s="16" t="str">
        <f>정규화데이터!E925</f>
        <v>SKU001</v>
      </c>
      <c r="F925" s="3">
        <f>정규화데이터!F925</f>
        <v>4</v>
      </c>
      <c r="G925" s="3">
        <f>정규화데이터!G925</f>
        <v>1</v>
      </c>
      <c r="H925" s="3">
        <f>정규화데이터!H925</f>
        <v>45500</v>
      </c>
      <c r="I925" s="3">
        <f>정규화데이터!I925</f>
        <v>45500</v>
      </c>
      <c r="J925" s="3">
        <f>정규화데이터!J925</f>
        <v>45500</v>
      </c>
      <c r="K925" s="25" t="str">
        <f>정규화데이터!K925</f>
        <v>[워커힐] 시그니처 양념갈비 300G</v>
      </c>
      <c r="L925" s="25">
        <f>정규화데이터!L925</f>
        <v>0</v>
      </c>
      <c r="M925" s="21">
        <f t="shared" si="28"/>
        <v>45500</v>
      </c>
      <c r="N925" s="52">
        <f t="shared" si="29"/>
        <v>1</v>
      </c>
    </row>
    <row r="926" spans="1:14" x14ac:dyDescent="0.3">
      <c r="A926" t="str">
        <f>정규화데이터!A926</f>
        <v>리씽크</v>
      </c>
      <c r="B926" t="str">
        <f>정규화데이터!B926</f>
        <v>2026020509130320000</v>
      </c>
      <c r="C926" t="str">
        <f>정규화데이터!C926</f>
        <v>2026-02-05</v>
      </c>
      <c r="D926">
        <f>정규화데이터!D926</f>
        <v>143790</v>
      </c>
      <c r="E926" s="16" t="str">
        <f>정규화데이터!E926</f>
        <v>SKU001</v>
      </c>
      <c r="F926" s="3">
        <f>정규화데이터!F926</f>
        <v>4</v>
      </c>
      <c r="G926" s="3">
        <f>정규화데이터!G926</f>
        <v>1</v>
      </c>
      <c r="H926" s="3">
        <f>정규화데이터!H926</f>
        <v>45500</v>
      </c>
      <c r="I926" s="3">
        <f>정규화데이터!I926</f>
        <v>45500</v>
      </c>
      <c r="J926" s="3">
        <f>정규화데이터!J926</f>
        <v>45500</v>
      </c>
      <c r="K926" s="25" t="str">
        <f>정규화데이터!K926</f>
        <v>[워커힐] 시그니처 양념갈비 300G</v>
      </c>
      <c r="L926" s="25">
        <f>정규화데이터!L926</f>
        <v>0</v>
      </c>
      <c r="M926" s="21">
        <f t="shared" si="28"/>
        <v>45500</v>
      </c>
      <c r="N926" s="52">
        <f t="shared" si="29"/>
        <v>1</v>
      </c>
    </row>
    <row r="927" spans="1:14" x14ac:dyDescent="0.3">
      <c r="A927" t="str">
        <f>정규화데이터!A927</f>
        <v>리씽크</v>
      </c>
      <c r="B927" t="str">
        <f>정규화데이터!B927</f>
        <v>2026020509125200000</v>
      </c>
      <c r="C927" t="str">
        <f>정규화데이터!C927</f>
        <v>2026-02-05</v>
      </c>
      <c r="D927">
        <f>정규화데이터!D927</f>
        <v>143790</v>
      </c>
      <c r="E927" s="16" t="str">
        <f>정규화데이터!E927</f>
        <v>SKU001</v>
      </c>
      <c r="F927" s="3">
        <f>정규화데이터!F927</f>
        <v>4</v>
      </c>
      <c r="G927" s="3">
        <f>정규화데이터!G927</f>
        <v>1</v>
      </c>
      <c r="H927" s="3">
        <f>정규화데이터!H927</f>
        <v>45500</v>
      </c>
      <c r="I927" s="3">
        <f>정규화데이터!I927</f>
        <v>45500</v>
      </c>
      <c r="J927" s="3">
        <f>정규화데이터!J927</f>
        <v>45500</v>
      </c>
      <c r="K927" s="25" t="str">
        <f>정규화데이터!K927</f>
        <v>[워커힐] 시그니처 양념갈비 300G</v>
      </c>
      <c r="L927" s="25">
        <f>정규화데이터!L927</f>
        <v>0</v>
      </c>
      <c r="M927" s="21">
        <f t="shared" si="28"/>
        <v>45500</v>
      </c>
      <c r="N927" s="52">
        <f t="shared" si="29"/>
        <v>1</v>
      </c>
    </row>
    <row r="928" spans="1:14" x14ac:dyDescent="0.3">
      <c r="A928" t="str">
        <f>정규화데이터!A928</f>
        <v>리씽크</v>
      </c>
      <c r="B928" t="str">
        <f>정규화데이터!B928</f>
        <v>2026020509084270000</v>
      </c>
      <c r="C928" t="str">
        <f>정규화데이터!C928</f>
        <v>2026-02-05</v>
      </c>
      <c r="D928">
        <f>정규화데이터!D928</f>
        <v>143790</v>
      </c>
      <c r="E928" s="16" t="str">
        <f>정규화데이터!E928</f>
        <v>SKU001</v>
      </c>
      <c r="F928" s="3">
        <f>정규화데이터!F928</f>
        <v>4</v>
      </c>
      <c r="G928" s="3">
        <f>정규화데이터!G928</f>
        <v>1</v>
      </c>
      <c r="H928" s="3">
        <f>정규화데이터!H928</f>
        <v>45500</v>
      </c>
      <c r="I928" s="3">
        <f>정규화데이터!I928</f>
        <v>45500</v>
      </c>
      <c r="J928" s="3">
        <f>정규화데이터!J928</f>
        <v>45500</v>
      </c>
      <c r="K928" s="25" t="str">
        <f>정규화데이터!K928</f>
        <v>[워커힐] 시그니처 양념갈비 300G</v>
      </c>
      <c r="L928" s="25">
        <f>정규화데이터!L928</f>
        <v>0</v>
      </c>
      <c r="M928" s="21">
        <f t="shared" si="28"/>
        <v>45500</v>
      </c>
      <c r="N928" s="52">
        <f t="shared" si="29"/>
        <v>1</v>
      </c>
    </row>
    <row r="929" spans="1:14" x14ac:dyDescent="0.3">
      <c r="A929" t="str">
        <f>정규화데이터!A929</f>
        <v>리씽크</v>
      </c>
      <c r="B929" t="str">
        <f>정규화데이터!B929</f>
        <v>2026020509074030000</v>
      </c>
      <c r="C929" t="str">
        <f>정규화데이터!C929</f>
        <v>2026-02-05</v>
      </c>
      <c r="D929">
        <f>정규화데이터!D929</f>
        <v>143790</v>
      </c>
      <c r="E929" s="16" t="str">
        <f>정규화데이터!E929</f>
        <v>SKU001</v>
      </c>
      <c r="F929" s="3">
        <f>정규화데이터!F929</f>
        <v>4</v>
      </c>
      <c r="G929" s="3">
        <f>정규화데이터!G929</f>
        <v>1</v>
      </c>
      <c r="H929" s="3">
        <f>정규화데이터!H929</f>
        <v>45500</v>
      </c>
      <c r="I929" s="3">
        <f>정규화데이터!I929</f>
        <v>45500</v>
      </c>
      <c r="J929" s="3">
        <f>정규화데이터!J929</f>
        <v>45500</v>
      </c>
      <c r="K929" s="25" t="str">
        <f>정규화데이터!K929</f>
        <v>[워커힐] 시그니처 양념갈비 300G</v>
      </c>
      <c r="L929" s="25">
        <f>정규화데이터!L929</f>
        <v>0</v>
      </c>
      <c r="M929" s="21">
        <f t="shared" si="28"/>
        <v>45500</v>
      </c>
      <c r="N929" s="52">
        <f t="shared" si="29"/>
        <v>1</v>
      </c>
    </row>
    <row r="930" spans="1:14" x14ac:dyDescent="0.3">
      <c r="A930" t="str">
        <f>정규화데이터!A930</f>
        <v>리씽크</v>
      </c>
      <c r="B930" t="str">
        <f>정규화데이터!B930</f>
        <v>2026020509034770000</v>
      </c>
      <c r="C930" t="str">
        <f>정규화데이터!C930</f>
        <v>2026-02-05</v>
      </c>
      <c r="D930">
        <f>정규화데이터!D930</f>
        <v>143790</v>
      </c>
      <c r="E930" s="16" t="str">
        <f>정규화데이터!E930</f>
        <v>SKU001</v>
      </c>
      <c r="F930" s="3">
        <f>정규화데이터!F930</f>
        <v>4</v>
      </c>
      <c r="G930" s="3">
        <f>정규화데이터!G930</f>
        <v>1</v>
      </c>
      <c r="H930" s="3">
        <f>정규화데이터!H930</f>
        <v>45500</v>
      </c>
      <c r="I930" s="3">
        <f>정규화데이터!I930</f>
        <v>45500</v>
      </c>
      <c r="J930" s="3">
        <f>정규화데이터!J930</f>
        <v>45500</v>
      </c>
      <c r="K930" s="25" t="str">
        <f>정규화데이터!K930</f>
        <v>[워커힐] 시그니처 양념갈비 300G</v>
      </c>
      <c r="L930" s="25">
        <f>정규화데이터!L930</f>
        <v>0</v>
      </c>
      <c r="M930" s="21">
        <f t="shared" si="28"/>
        <v>45500</v>
      </c>
      <c r="N930" s="52">
        <f t="shared" si="29"/>
        <v>1</v>
      </c>
    </row>
    <row r="931" spans="1:14" x14ac:dyDescent="0.3">
      <c r="A931" t="str">
        <f>정규화데이터!A931</f>
        <v>리씽크</v>
      </c>
      <c r="B931" t="str">
        <f>정규화데이터!B931</f>
        <v>2026020509005460000</v>
      </c>
      <c r="C931" t="str">
        <f>정규화데이터!C931</f>
        <v>2026-02-05</v>
      </c>
      <c r="D931">
        <f>정규화데이터!D931</f>
        <v>143790</v>
      </c>
      <c r="E931" s="16" t="str">
        <f>정규화데이터!E931</f>
        <v>SKU001</v>
      </c>
      <c r="F931" s="3">
        <f>정규화데이터!F931</f>
        <v>4</v>
      </c>
      <c r="G931" s="3">
        <f>정규화데이터!G931</f>
        <v>2</v>
      </c>
      <c r="H931" s="3">
        <f>정규화데이터!H931</f>
        <v>45500</v>
      </c>
      <c r="I931" s="3">
        <f>정규화데이터!I931</f>
        <v>91000</v>
      </c>
      <c r="J931" s="3">
        <f>정규화데이터!J931</f>
        <v>91000</v>
      </c>
      <c r="K931" s="25" t="str">
        <f>정규화데이터!K931</f>
        <v>[워커힐] 시그니처 양념갈비 300G</v>
      </c>
      <c r="L931" s="25">
        <f>정규화데이터!L931</f>
        <v>0</v>
      </c>
      <c r="M931" s="21">
        <f t="shared" si="28"/>
        <v>91000</v>
      </c>
      <c r="N931" s="52">
        <f t="shared" si="29"/>
        <v>1</v>
      </c>
    </row>
    <row r="932" spans="1:14" x14ac:dyDescent="0.3">
      <c r="A932" t="str">
        <f>정규화데이터!A932</f>
        <v>리씽크</v>
      </c>
      <c r="B932" t="str">
        <f>정규화데이터!B932</f>
        <v>2026020509001650000</v>
      </c>
      <c r="C932" t="str">
        <f>정규화데이터!C932</f>
        <v>2026-02-05</v>
      </c>
      <c r="D932">
        <f>정규화데이터!D932</f>
        <v>143790</v>
      </c>
      <c r="E932" s="16" t="str">
        <f>정규화데이터!E932</f>
        <v>SKU001</v>
      </c>
      <c r="F932" s="3">
        <f>정규화데이터!F932</f>
        <v>4</v>
      </c>
      <c r="G932" s="3">
        <f>정규화데이터!G932</f>
        <v>1</v>
      </c>
      <c r="H932" s="3">
        <f>정규화데이터!H932</f>
        <v>45500</v>
      </c>
      <c r="I932" s="3">
        <f>정규화데이터!I932</f>
        <v>45500</v>
      </c>
      <c r="J932" s="3">
        <f>정규화데이터!J932</f>
        <v>45500</v>
      </c>
      <c r="K932" s="25" t="str">
        <f>정규화데이터!K932</f>
        <v>[워커힐] 시그니처 양념갈비 300G</v>
      </c>
      <c r="L932" s="25">
        <f>정규화데이터!L932</f>
        <v>0</v>
      </c>
      <c r="M932" s="21">
        <f t="shared" si="28"/>
        <v>45500</v>
      </c>
      <c r="N932" s="52">
        <f t="shared" si="29"/>
        <v>1</v>
      </c>
    </row>
    <row r="933" spans="1:14" x14ac:dyDescent="0.3">
      <c r="A933" t="str">
        <f>정규화데이터!A933</f>
        <v>리씽크</v>
      </c>
      <c r="B933" t="str">
        <f>정규화데이터!B933</f>
        <v>2026020508372780000</v>
      </c>
      <c r="C933" t="str">
        <f>정규화데이터!C933</f>
        <v>2026-02-05</v>
      </c>
      <c r="D933">
        <f>정규화데이터!D933</f>
        <v>143790</v>
      </c>
      <c r="E933" s="16" t="str">
        <f>정규화데이터!E933</f>
        <v>SKU001</v>
      </c>
      <c r="F933" s="3">
        <f>정규화데이터!F933</f>
        <v>4</v>
      </c>
      <c r="G933" s="3">
        <f>정규화데이터!G933</f>
        <v>3</v>
      </c>
      <c r="H933" s="3">
        <f>정규화데이터!H933</f>
        <v>45500</v>
      </c>
      <c r="I933" s="3">
        <f>정규화데이터!I933</f>
        <v>136500</v>
      </c>
      <c r="J933" s="3">
        <f>정규화데이터!J933</f>
        <v>136500</v>
      </c>
      <c r="K933" s="25" t="str">
        <f>정규화데이터!K933</f>
        <v>[워커힐] 시그니처 양념갈비 300G</v>
      </c>
      <c r="L933" s="25">
        <f>정규화데이터!L933</f>
        <v>0</v>
      </c>
      <c r="M933" s="21">
        <f t="shared" si="28"/>
        <v>136500</v>
      </c>
      <c r="N933" s="52">
        <f t="shared" si="29"/>
        <v>1</v>
      </c>
    </row>
    <row r="934" spans="1:14" x14ac:dyDescent="0.3">
      <c r="A934" t="str">
        <f>정규화데이터!A934</f>
        <v>리씽크</v>
      </c>
      <c r="B934" t="str">
        <f>정규화데이터!B934</f>
        <v>2026020508542720000</v>
      </c>
      <c r="C934" t="str">
        <f>정규화데이터!C934</f>
        <v>2026-02-05</v>
      </c>
      <c r="D934">
        <f>정규화데이터!D934</f>
        <v>143790</v>
      </c>
      <c r="E934" s="16" t="str">
        <f>정규화데이터!E934</f>
        <v>SKU001</v>
      </c>
      <c r="F934" s="3">
        <f>정규화데이터!F934</f>
        <v>4</v>
      </c>
      <c r="G934" s="3">
        <f>정규화데이터!G934</f>
        <v>1</v>
      </c>
      <c r="H934" s="3">
        <f>정규화데이터!H934</f>
        <v>45500</v>
      </c>
      <c r="I934" s="3">
        <f>정규화데이터!I934</f>
        <v>45500</v>
      </c>
      <c r="J934" s="3">
        <f>정규화데이터!J934</f>
        <v>45500</v>
      </c>
      <c r="K934" s="25" t="str">
        <f>정규화데이터!K934</f>
        <v>[워커힐] 시그니처 양념갈비 300G</v>
      </c>
      <c r="L934" s="25">
        <f>정규화데이터!L934</f>
        <v>0</v>
      </c>
      <c r="M934" s="21">
        <f t="shared" si="28"/>
        <v>45500</v>
      </c>
      <c r="N934" s="52">
        <f t="shared" si="29"/>
        <v>1</v>
      </c>
    </row>
    <row r="935" spans="1:14" x14ac:dyDescent="0.3">
      <c r="A935" t="str">
        <f>정규화데이터!A935</f>
        <v>리씽크</v>
      </c>
      <c r="B935" t="str">
        <f>정규화데이터!B935</f>
        <v>2026020508544750000</v>
      </c>
      <c r="C935" t="str">
        <f>정규화데이터!C935</f>
        <v>2026-02-05</v>
      </c>
      <c r="D935">
        <f>정규화데이터!D935</f>
        <v>143790</v>
      </c>
      <c r="E935" s="16" t="str">
        <f>정규화데이터!E935</f>
        <v>SKU001</v>
      </c>
      <c r="F935" s="3">
        <f>정규화데이터!F935</f>
        <v>4</v>
      </c>
      <c r="G935" s="3">
        <f>정규화데이터!G935</f>
        <v>1</v>
      </c>
      <c r="H935" s="3">
        <f>정규화데이터!H935</f>
        <v>45500</v>
      </c>
      <c r="I935" s="3">
        <f>정규화데이터!I935</f>
        <v>45500</v>
      </c>
      <c r="J935" s="3">
        <f>정규화데이터!J935</f>
        <v>45500</v>
      </c>
      <c r="K935" s="25" t="str">
        <f>정규화데이터!K935</f>
        <v>[워커힐] 시그니처 양념갈비 300G</v>
      </c>
      <c r="L935" s="25">
        <f>정규화데이터!L935</f>
        <v>0</v>
      </c>
      <c r="M935" s="21">
        <f t="shared" si="28"/>
        <v>45500</v>
      </c>
      <c r="N935" s="52">
        <f t="shared" si="29"/>
        <v>1</v>
      </c>
    </row>
    <row r="936" spans="1:14" x14ac:dyDescent="0.3">
      <c r="A936" t="str">
        <f>정규화데이터!A936</f>
        <v>리씽크</v>
      </c>
      <c r="B936" t="str">
        <f>정규화데이터!B936</f>
        <v>2026020508471370000</v>
      </c>
      <c r="C936" t="str">
        <f>정규화데이터!C936</f>
        <v>2026-02-05</v>
      </c>
      <c r="D936">
        <f>정규화데이터!D936</f>
        <v>143790</v>
      </c>
      <c r="E936" s="16" t="str">
        <f>정규화데이터!E936</f>
        <v>SKU001</v>
      </c>
      <c r="F936" s="3">
        <f>정규화데이터!F936</f>
        <v>4</v>
      </c>
      <c r="G936" s="3">
        <f>정규화데이터!G936</f>
        <v>1</v>
      </c>
      <c r="H936" s="3">
        <f>정규화데이터!H936</f>
        <v>45500</v>
      </c>
      <c r="I936" s="3">
        <f>정규화데이터!I936</f>
        <v>45500</v>
      </c>
      <c r="J936" s="3">
        <f>정규화데이터!J936</f>
        <v>45500</v>
      </c>
      <c r="K936" s="25" t="str">
        <f>정규화데이터!K936</f>
        <v>[워커힐] 시그니처 양념갈비 300G</v>
      </c>
      <c r="L936" s="25">
        <f>정규화데이터!L936</f>
        <v>0</v>
      </c>
      <c r="M936" s="21">
        <f t="shared" si="28"/>
        <v>45500</v>
      </c>
      <c r="N936" s="52">
        <f t="shared" si="29"/>
        <v>1</v>
      </c>
    </row>
    <row r="937" spans="1:14" x14ac:dyDescent="0.3">
      <c r="A937" t="str">
        <f>정규화데이터!A937</f>
        <v>리씽크</v>
      </c>
      <c r="B937" t="str">
        <f>정규화데이터!B937</f>
        <v>2026020508493890000</v>
      </c>
      <c r="C937" t="str">
        <f>정규화데이터!C937</f>
        <v>2026-02-05</v>
      </c>
      <c r="D937">
        <f>정규화데이터!D937</f>
        <v>143790</v>
      </c>
      <c r="E937" s="16" t="str">
        <f>정규화데이터!E937</f>
        <v>SKU001</v>
      </c>
      <c r="F937" s="3">
        <f>정규화데이터!F937</f>
        <v>4</v>
      </c>
      <c r="G937" s="3">
        <f>정규화데이터!G937</f>
        <v>1</v>
      </c>
      <c r="H937" s="3">
        <f>정규화데이터!H937</f>
        <v>45500</v>
      </c>
      <c r="I937" s="3">
        <f>정규화데이터!I937</f>
        <v>45500</v>
      </c>
      <c r="J937" s="3">
        <f>정규화데이터!J937</f>
        <v>45500</v>
      </c>
      <c r="K937" s="25" t="str">
        <f>정규화데이터!K937</f>
        <v>[워커힐] 시그니처 양념갈비 300G</v>
      </c>
      <c r="L937" s="25">
        <f>정규화데이터!L937</f>
        <v>0</v>
      </c>
      <c r="M937" s="21">
        <f t="shared" si="28"/>
        <v>45500</v>
      </c>
      <c r="N937" s="52">
        <f t="shared" si="29"/>
        <v>1</v>
      </c>
    </row>
    <row r="938" spans="1:14" x14ac:dyDescent="0.3">
      <c r="A938" t="str">
        <f>정규화데이터!A938</f>
        <v>리씽크</v>
      </c>
      <c r="B938" t="str">
        <f>정규화데이터!B938</f>
        <v>2026020508483490000</v>
      </c>
      <c r="C938" t="str">
        <f>정규화데이터!C938</f>
        <v>2026-02-05</v>
      </c>
      <c r="D938">
        <f>정규화데이터!D938</f>
        <v>143790</v>
      </c>
      <c r="E938" s="16" t="str">
        <f>정규화데이터!E938</f>
        <v>SKU001</v>
      </c>
      <c r="F938" s="3">
        <f>정규화데이터!F938</f>
        <v>4</v>
      </c>
      <c r="G938" s="3">
        <f>정규화데이터!G938</f>
        <v>1</v>
      </c>
      <c r="H938" s="3">
        <f>정규화데이터!H938</f>
        <v>45500</v>
      </c>
      <c r="I938" s="3">
        <f>정규화데이터!I938</f>
        <v>45500</v>
      </c>
      <c r="J938" s="3">
        <f>정규화데이터!J938</f>
        <v>45500</v>
      </c>
      <c r="K938" s="25" t="str">
        <f>정규화데이터!K938</f>
        <v>[워커힐] 시그니처 양념갈비 300G</v>
      </c>
      <c r="L938" s="25">
        <f>정규화데이터!L938</f>
        <v>0</v>
      </c>
      <c r="M938" s="21">
        <f t="shared" si="28"/>
        <v>45500</v>
      </c>
      <c r="N938" s="52">
        <f t="shared" si="29"/>
        <v>1</v>
      </c>
    </row>
    <row r="939" spans="1:14" x14ac:dyDescent="0.3">
      <c r="A939" t="str">
        <f>정규화데이터!A939</f>
        <v>리씽크</v>
      </c>
      <c r="B939" t="str">
        <f>정규화데이터!B939</f>
        <v>2026020508450990000</v>
      </c>
      <c r="C939" t="str">
        <f>정규화데이터!C939</f>
        <v>2026-02-05</v>
      </c>
      <c r="D939">
        <f>정규화데이터!D939</f>
        <v>143790</v>
      </c>
      <c r="E939" s="16" t="str">
        <f>정규화데이터!E939</f>
        <v>SKU001</v>
      </c>
      <c r="F939" s="3">
        <f>정규화데이터!F939</f>
        <v>4</v>
      </c>
      <c r="G939" s="3">
        <f>정규화데이터!G939</f>
        <v>1</v>
      </c>
      <c r="H939" s="3">
        <f>정규화데이터!H939</f>
        <v>45500</v>
      </c>
      <c r="I939" s="3">
        <f>정규화데이터!I939</f>
        <v>45500</v>
      </c>
      <c r="J939" s="3">
        <f>정규화데이터!J939</f>
        <v>45500</v>
      </c>
      <c r="K939" s="25" t="str">
        <f>정규화데이터!K939</f>
        <v>[워커힐] 시그니처 양념갈비 300G</v>
      </c>
      <c r="L939" s="25">
        <f>정규화데이터!L939</f>
        <v>0</v>
      </c>
      <c r="M939" s="21">
        <f t="shared" si="28"/>
        <v>45500</v>
      </c>
      <c r="N939" s="52">
        <f t="shared" si="29"/>
        <v>1</v>
      </c>
    </row>
    <row r="940" spans="1:14" x14ac:dyDescent="0.3">
      <c r="A940" t="str">
        <f>정규화데이터!A940</f>
        <v>리씽크</v>
      </c>
      <c r="B940" t="str">
        <f>정규화데이터!B940</f>
        <v>2026020508421250000</v>
      </c>
      <c r="C940" t="str">
        <f>정규화데이터!C940</f>
        <v>2026-02-05</v>
      </c>
      <c r="D940">
        <f>정규화데이터!D940</f>
        <v>143790</v>
      </c>
      <c r="E940" s="16" t="str">
        <f>정규화데이터!E940</f>
        <v>SKU001</v>
      </c>
      <c r="F940" s="3">
        <f>정규화데이터!F940</f>
        <v>4</v>
      </c>
      <c r="G940" s="3">
        <f>정규화데이터!G940</f>
        <v>1</v>
      </c>
      <c r="H940" s="3">
        <f>정규화데이터!H940</f>
        <v>45500</v>
      </c>
      <c r="I940" s="3">
        <f>정규화데이터!I940</f>
        <v>45500</v>
      </c>
      <c r="J940" s="3">
        <f>정규화데이터!J940</f>
        <v>45500</v>
      </c>
      <c r="K940" s="25" t="str">
        <f>정규화데이터!K940</f>
        <v>[워커힐] 시그니처 양념갈비 300G</v>
      </c>
      <c r="L940" s="25">
        <f>정규화데이터!L940</f>
        <v>0</v>
      </c>
      <c r="M940" s="21">
        <f t="shared" si="28"/>
        <v>45500</v>
      </c>
      <c r="N940" s="52">
        <f t="shared" si="29"/>
        <v>1</v>
      </c>
    </row>
    <row r="941" spans="1:14" x14ac:dyDescent="0.3">
      <c r="A941" t="str">
        <f>정규화데이터!A941</f>
        <v>리씽크</v>
      </c>
      <c r="B941" t="str">
        <f>정규화데이터!B941</f>
        <v>2026020508432630000</v>
      </c>
      <c r="C941" t="str">
        <f>정규화데이터!C941</f>
        <v>2026-02-05</v>
      </c>
      <c r="D941">
        <f>정규화데이터!D941</f>
        <v>143790</v>
      </c>
      <c r="E941" s="16" t="str">
        <f>정규화데이터!E941</f>
        <v>SKU001</v>
      </c>
      <c r="F941" s="3">
        <f>정규화데이터!F941</f>
        <v>4</v>
      </c>
      <c r="G941" s="3">
        <f>정규화데이터!G941</f>
        <v>1</v>
      </c>
      <c r="H941" s="3">
        <f>정규화데이터!H941</f>
        <v>45500</v>
      </c>
      <c r="I941" s="3">
        <f>정규화데이터!I941</f>
        <v>45500</v>
      </c>
      <c r="J941" s="3">
        <f>정규화데이터!J941</f>
        <v>45500</v>
      </c>
      <c r="K941" s="25" t="str">
        <f>정규화데이터!K941</f>
        <v>[워커힐] 시그니처 양념갈비 300G</v>
      </c>
      <c r="L941" s="25">
        <f>정규화데이터!L941</f>
        <v>0</v>
      </c>
      <c r="M941" s="21">
        <f t="shared" si="28"/>
        <v>45500</v>
      </c>
      <c r="N941" s="52">
        <f t="shared" si="29"/>
        <v>1</v>
      </c>
    </row>
    <row r="942" spans="1:14" x14ac:dyDescent="0.3">
      <c r="A942" t="str">
        <f>정규화데이터!A942</f>
        <v>리씽크</v>
      </c>
      <c r="B942" t="str">
        <f>정규화데이터!B942</f>
        <v>2026020508334800000</v>
      </c>
      <c r="C942" t="str">
        <f>정규화데이터!C942</f>
        <v>2026-02-05</v>
      </c>
      <c r="D942">
        <f>정규화데이터!D942</f>
        <v>143790</v>
      </c>
      <c r="E942" s="16" t="str">
        <f>정규화데이터!E942</f>
        <v>SKU001</v>
      </c>
      <c r="F942" s="3">
        <f>정규화데이터!F942</f>
        <v>4</v>
      </c>
      <c r="G942" s="3">
        <f>정규화데이터!G942</f>
        <v>1</v>
      </c>
      <c r="H942" s="3">
        <f>정규화데이터!H942</f>
        <v>45500</v>
      </c>
      <c r="I942" s="3">
        <f>정규화데이터!I942</f>
        <v>45500</v>
      </c>
      <c r="J942" s="3">
        <f>정규화데이터!J942</f>
        <v>45500</v>
      </c>
      <c r="K942" s="25" t="str">
        <f>정규화데이터!K942</f>
        <v>[워커힐] 시그니처 양념갈비 300G</v>
      </c>
      <c r="L942" s="25">
        <f>정규화데이터!L942</f>
        <v>0</v>
      </c>
      <c r="M942" s="21">
        <f t="shared" si="28"/>
        <v>45500</v>
      </c>
      <c r="N942" s="52">
        <f t="shared" si="29"/>
        <v>1</v>
      </c>
    </row>
    <row r="943" spans="1:14" x14ac:dyDescent="0.3">
      <c r="A943" t="str">
        <f>정규화데이터!A943</f>
        <v>리씽크</v>
      </c>
      <c r="B943" t="str">
        <f>정규화데이터!B943</f>
        <v>2026020508392550000</v>
      </c>
      <c r="C943" t="str">
        <f>정규화데이터!C943</f>
        <v>2026-02-05</v>
      </c>
      <c r="D943">
        <f>정규화데이터!D943</f>
        <v>143790</v>
      </c>
      <c r="E943" s="16" t="str">
        <f>정규화데이터!E943</f>
        <v>SKU001</v>
      </c>
      <c r="F943" s="3">
        <f>정규화데이터!F943</f>
        <v>4</v>
      </c>
      <c r="G943" s="3">
        <f>정규화데이터!G943</f>
        <v>1</v>
      </c>
      <c r="H943" s="3">
        <f>정규화데이터!H943</f>
        <v>45500</v>
      </c>
      <c r="I943" s="3">
        <f>정규화데이터!I943</f>
        <v>45500</v>
      </c>
      <c r="J943" s="3">
        <f>정규화데이터!J943</f>
        <v>45500</v>
      </c>
      <c r="K943" s="25" t="str">
        <f>정규화데이터!K943</f>
        <v>[워커힐] 시그니처 양념갈비 300G</v>
      </c>
      <c r="L943" s="25">
        <f>정규화데이터!L943</f>
        <v>0</v>
      </c>
      <c r="M943" s="21">
        <f t="shared" si="28"/>
        <v>45500</v>
      </c>
      <c r="N943" s="52">
        <f t="shared" si="29"/>
        <v>1</v>
      </c>
    </row>
    <row r="944" spans="1:14" x14ac:dyDescent="0.3">
      <c r="A944" t="str">
        <f>정규화데이터!A944</f>
        <v>리씽크</v>
      </c>
      <c r="B944" t="str">
        <f>정규화데이터!B944</f>
        <v>2026020508351650000</v>
      </c>
      <c r="C944" t="str">
        <f>정규화데이터!C944</f>
        <v>2026-02-05</v>
      </c>
      <c r="D944">
        <f>정규화데이터!D944</f>
        <v>143790</v>
      </c>
      <c r="E944" s="16" t="str">
        <f>정규화데이터!E944</f>
        <v>SKU001</v>
      </c>
      <c r="F944" s="3">
        <f>정규화데이터!F944</f>
        <v>4</v>
      </c>
      <c r="G944" s="3">
        <f>정규화데이터!G944</f>
        <v>2</v>
      </c>
      <c r="H944" s="3">
        <f>정규화데이터!H944</f>
        <v>45500</v>
      </c>
      <c r="I944" s="3">
        <f>정규화데이터!I944</f>
        <v>91000</v>
      </c>
      <c r="J944" s="3">
        <f>정규화데이터!J944</f>
        <v>91000</v>
      </c>
      <c r="K944" s="25" t="str">
        <f>정규화데이터!K944</f>
        <v>[워커힐] 시그니처 양념갈비 300G</v>
      </c>
      <c r="L944" s="25">
        <f>정규화데이터!L944</f>
        <v>0</v>
      </c>
      <c r="M944" s="21">
        <f t="shared" si="28"/>
        <v>91000</v>
      </c>
      <c r="N944" s="52">
        <f t="shared" si="29"/>
        <v>1</v>
      </c>
    </row>
    <row r="945" spans="1:14" x14ac:dyDescent="0.3">
      <c r="A945" t="str">
        <f>정규화데이터!A945</f>
        <v>리씽크</v>
      </c>
      <c r="B945" t="str">
        <f>정규화데이터!B945</f>
        <v>2026020508363370000</v>
      </c>
      <c r="C945" t="str">
        <f>정규화데이터!C945</f>
        <v>2026-02-05</v>
      </c>
      <c r="D945">
        <f>정규화데이터!D945</f>
        <v>143790</v>
      </c>
      <c r="E945" s="16" t="str">
        <f>정규화데이터!E945</f>
        <v>SKU001</v>
      </c>
      <c r="F945" s="3">
        <f>정규화데이터!F945</f>
        <v>4</v>
      </c>
      <c r="G945" s="3">
        <f>정규화데이터!G945</f>
        <v>1</v>
      </c>
      <c r="H945" s="3">
        <f>정규화데이터!H945</f>
        <v>45500</v>
      </c>
      <c r="I945" s="3">
        <f>정규화데이터!I945</f>
        <v>45500</v>
      </c>
      <c r="J945" s="3">
        <f>정규화데이터!J945</f>
        <v>45500</v>
      </c>
      <c r="K945" s="25" t="str">
        <f>정규화데이터!K945</f>
        <v>[워커힐] 시그니처 양념갈비 300G</v>
      </c>
      <c r="L945" s="25">
        <f>정규화데이터!L945</f>
        <v>0</v>
      </c>
      <c r="M945" s="21">
        <f t="shared" si="28"/>
        <v>45500</v>
      </c>
      <c r="N945" s="52">
        <f t="shared" si="29"/>
        <v>1</v>
      </c>
    </row>
    <row r="946" spans="1:14" x14ac:dyDescent="0.3">
      <c r="A946" t="str">
        <f>정규화데이터!A946</f>
        <v>리씽크</v>
      </c>
      <c r="B946" t="str">
        <f>정규화데이터!B946</f>
        <v>2026020508331060000</v>
      </c>
      <c r="C946" t="str">
        <f>정규화데이터!C946</f>
        <v>2026-02-05</v>
      </c>
      <c r="D946">
        <f>정규화데이터!D946</f>
        <v>143790</v>
      </c>
      <c r="E946" s="16" t="str">
        <f>정규화데이터!E946</f>
        <v>SKU001</v>
      </c>
      <c r="F946" s="3">
        <f>정규화데이터!F946</f>
        <v>4</v>
      </c>
      <c r="G946" s="3">
        <f>정규화데이터!G946</f>
        <v>1</v>
      </c>
      <c r="H946" s="3">
        <f>정규화데이터!H946</f>
        <v>45500</v>
      </c>
      <c r="I946" s="3">
        <f>정규화데이터!I946</f>
        <v>45500</v>
      </c>
      <c r="J946" s="3">
        <f>정규화데이터!J946</f>
        <v>45500</v>
      </c>
      <c r="K946" s="25" t="str">
        <f>정규화데이터!K946</f>
        <v>[워커힐] 시그니처 양념갈비 300G</v>
      </c>
      <c r="L946" s="25">
        <f>정규화데이터!L946</f>
        <v>0</v>
      </c>
      <c r="M946" s="21">
        <f t="shared" si="28"/>
        <v>45500</v>
      </c>
      <c r="N946" s="52">
        <f t="shared" si="29"/>
        <v>1</v>
      </c>
    </row>
    <row r="947" spans="1:14" x14ac:dyDescent="0.3">
      <c r="A947" t="str">
        <f>정규화데이터!A947</f>
        <v>리씽크</v>
      </c>
      <c r="B947" t="str">
        <f>정규화데이터!B947</f>
        <v>2026020508321900000</v>
      </c>
      <c r="C947" t="str">
        <f>정규화데이터!C947</f>
        <v>2026-02-05</v>
      </c>
      <c r="D947">
        <f>정규화데이터!D947</f>
        <v>143790</v>
      </c>
      <c r="E947" s="16" t="str">
        <f>정규화데이터!E947</f>
        <v>SKU001</v>
      </c>
      <c r="F947" s="3">
        <f>정규화데이터!F947</f>
        <v>4</v>
      </c>
      <c r="G947" s="3">
        <f>정규화데이터!G947</f>
        <v>1</v>
      </c>
      <c r="H947" s="3">
        <f>정규화데이터!H947</f>
        <v>45500</v>
      </c>
      <c r="I947" s="3">
        <f>정규화데이터!I947</f>
        <v>45500</v>
      </c>
      <c r="J947" s="3">
        <f>정규화데이터!J947</f>
        <v>45500</v>
      </c>
      <c r="K947" s="25" t="str">
        <f>정규화데이터!K947</f>
        <v>[워커힐] 시그니처 양념갈비 300G</v>
      </c>
      <c r="L947" s="25">
        <f>정규화데이터!L947</f>
        <v>0</v>
      </c>
      <c r="M947" s="21">
        <f t="shared" si="28"/>
        <v>45500</v>
      </c>
      <c r="N947" s="52">
        <f t="shared" si="29"/>
        <v>1</v>
      </c>
    </row>
    <row r="948" spans="1:14" x14ac:dyDescent="0.3">
      <c r="A948" t="str">
        <f>정규화데이터!A948</f>
        <v>리씽크</v>
      </c>
      <c r="B948" t="str">
        <f>정규화데이터!B948</f>
        <v>2026020508330260000</v>
      </c>
      <c r="C948" t="str">
        <f>정규화데이터!C948</f>
        <v>2026-02-05</v>
      </c>
      <c r="D948">
        <f>정규화데이터!D948</f>
        <v>143790</v>
      </c>
      <c r="E948" s="16" t="str">
        <f>정규화데이터!E948</f>
        <v>SKU001</v>
      </c>
      <c r="F948" s="3">
        <f>정규화데이터!F948</f>
        <v>4</v>
      </c>
      <c r="G948" s="3">
        <f>정규화데이터!G948</f>
        <v>1</v>
      </c>
      <c r="H948" s="3">
        <f>정규화데이터!H948</f>
        <v>45500</v>
      </c>
      <c r="I948" s="3">
        <f>정규화데이터!I948</f>
        <v>45500</v>
      </c>
      <c r="J948" s="3">
        <f>정규화데이터!J948</f>
        <v>45500</v>
      </c>
      <c r="K948" s="25" t="str">
        <f>정규화데이터!K948</f>
        <v>[워커힐] 시그니처 양념갈비 300G</v>
      </c>
      <c r="L948" s="25">
        <f>정규화데이터!L948</f>
        <v>0</v>
      </c>
      <c r="M948" s="21">
        <f t="shared" si="28"/>
        <v>45500</v>
      </c>
      <c r="N948" s="52">
        <f t="shared" si="29"/>
        <v>1</v>
      </c>
    </row>
    <row r="949" spans="1:14" x14ac:dyDescent="0.3">
      <c r="A949" t="str">
        <f>정규화데이터!A949</f>
        <v>리씽크</v>
      </c>
      <c r="B949" t="str">
        <f>정규화데이터!B949</f>
        <v>2026020508301250000</v>
      </c>
      <c r="C949" t="str">
        <f>정규화데이터!C949</f>
        <v>2026-02-05</v>
      </c>
      <c r="D949">
        <f>정규화데이터!D949</f>
        <v>143790</v>
      </c>
      <c r="E949" s="16" t="str">
        <f>정규화데이터!E949</f>
        <v>SKU001</v>
      </c>
      <c r="F949" s="3">
        <f>정규화데이터!F949</f>
        <v>4</v>
      </c>
      <c r="G949" s="3">
        <f>정규화데이터!G949</f>
        <v>1</v>
      </c>
      <c r="H949" s="3">
        <f>정규화데이터!H949</f>
        <v>45500</v>
      </c>
      <c r="I949" s="3">
        <f>정규화데이터!I949</f>
        <v>45500</v>
      </c>
      <c r="J949" s="3">
        <f>정규화데이터!J949</f>
        <v>45500</v>
      </c>
      <c r="K949" s="25" t="str">
        <f>정규화데이터!K949</f>
        <v>[워커힐] 시그니처 양념갈비 300G</v>
      </c>
      <c r="L949" s="25">
        <f>정규화데이터!L949</f>
        <v>0</v>
      </c>
      <c r="M949" s="21">
        <f t="shared" si="28"/>
        <v>45500</v>
      </c>
      <c r="N949" s="52">
        <f t="shared" si="29"/>
        <v>1</v>
      </c>
    </row>
    <row r="950" spans="1:14" x14ac:dyDescent="0.3">
      <c r="A950" t="str">
        <f>정규화데이터!A950</f>
        <v>리씽크</v>
      </c>
      <c r="B950" t="str">
        <f>정규화데이터!B950</f>
        <v>2026020508294670000</v>
      </c>
      <c r="C950" t="str">
        <f>정규화데이터!C950</f>
        <v>2026-02-05</v>
      </c>
      <c r="D950">
        <f>정규화데이터!D950</f>
        <v>143790</v>
      </c>
      <c r="E950" s="16" t="str">
        <f>정규화데이터!E950</f>
        <v>SKU001</v>
      </c>
      <c r="F950" s="3">
        <f>정규화데이터!F950</f>
        <v>4</v>
      </c>
      <c r="G950" s="3">
        <f>정규화데이터!G950</f>
        <v>1</v>
      </c>
      <c r="H950" s="3">
        <f>정규화데이터!H950</f>
        <v>45500</v>
      </c>
      <c r="I950" s="3">
        <f>정규화데이터!I950</f>
        <v>45500</v>
      </c>
      <c r="J950" s="3">
        <f>정규화데이터!J950</f>
        <v>45500</v>
      </c>
      <c r="K950" s="25" t="str">
        <f>정규화데이터!K950</f>
        <v>[워커힐] 시그니처 양념갈비 300G</v>
      </c>
      <c r="L950" s="25">
        <f>정규화데이터!L950</f>
        <v>0</v>
      </c>
      <c r="M950" s="21">
        <f t="shared" si="28"/>
        <v>45500</v>
      </c>
      <c r="N950" s="52">
        <f t="shared" si="29"/>
        <v>1</v>
      </c>
    </row>
    <row r="951" spans="1:14" x14ac:dyDescent="0.3">
      <c r="A951" t="str">
        <f>정규화데이터!A951</f>
        <v>리씽크</v>
      </c>
      <c r="B951" t="str">
        <f>정규화데이터!B951</f>
        <v>2026020508254500000</v>
      </c>
      <c r="C951" t="str">
        <f>정규화데이터!C951</f>
        <v>2026-02-05</v>
      </c>
      <c r="D951">
        <f>정규화데이터!D951</f>
        <v>143790</v>
      </c>
      <c r="E951" s="16" t="str">
        <f>정규화데이터!E951</f>
        <v>SKU001</v>
      </c>
      <c r="F951" s="3">
        <f>정규화데이터!F951</f>
        <v>4</v>
      </c>
      <c r="G951" s="3">
        <f>정규화데이터!G951</f>
        <v>1</v>
      </c>
      <c r="H951" s="3">
        <f>정규화데이터!H951</f>
        <v>45500</v>
      </c>
      <c r="I951" s="3">
        <f>정규화데이터!I951</f>
        <v>45500</v>
      </c>
      <c r="J951" s="3">
        <f>정규화데이터!J951</f>
        <v>45500</v>
      </c>
      <c r="K951" s="25" t="str">
        <f>정규화데이터!K951</f>
        <v>[워커힐] 시그니처 양념갈비 300G</v>
      </c>
      <c r="L951" s="25">
        <f>정규화데이터!L951</f>
        <v>0</v>
      </c>
      <c r="M951" s="21">
        <f t="shared" si="28"/>
        <v>45500</v>
      </c>
      <c r="N951" s="52">
        <f t="shared" si="29"/>
        <v>1</v>
      </c>
    </row>
    <row r="952" spans="1:14" x14ac:dyDescent="0.3">
      <c r="A952" t="str">
        <f>정규화데이터!A952</f>
        <v>리씽크</v>
      </c>
      <c r="B952" t="str">
        <f>정규화데이터!B952</f>
        <v>2026020508284140000</v>
      </c>
      <c r="C952" t="str">
        <f>정규화데이터!C952</f>
        <v>2026-02-05</v>
      </c>
      <c r="D952">
        <f>정규화데이터!D952</f>
        <v>143790</v>
      </c>
      <c r="E952" s="16" t="str">
        <f>정규화데이터!E952</f>
        <v>SKU001</v>
      </c>
      <c r="F952" s="3">
        <f>정규화데이터!F952</f>
        <v>4</v>
      </c>
      <c r="G952" s="3">
        <f>정규화데이터!G952</f>
        <v>1</v>
      </c>
      <c r="H952" s="3">
        <f>정규화데이터!H952</f>
        <v>45500</v>
      </c>
      <c r="I952" s="3">
        <f>정규화데이터!I952</f>
        <v>45500</v>
      </c>
      <c r="J952" s="3">
        <f>정규화데이터!J952</f>
        <v>45500</v>
      </c>
      <c r="K952" s="25" t="str">
        <f>정규화데이터!K952</f>
        <v>[워커힐] 시그니처 양념갈비 300G</v>
      </c>
      <c r="L952" s="25">
        <f>정규화데이터!L952</f>
        <v>0</v>
      </c>
      <c r="M952" s="21">
        <f t="shared" si="28"/>
        <v>45500</v>
      </c>
      <c r="N952" s="52">
        <f t="shared" si="29"/>
        <v>1</v>
      </c>
    </row>
    <row r="953" spans="1:14" x14ac:dyDescent="0.3">
      <c r="A953" t="str">
        <f>정규화데이터!A953</f>
        <v>리씽크</v>
      </c>
      <c r="B953" t="str">
        <f>정규화데이터!B953</f>
        <v>2026020508235190000</v>
      </c>
      <c r="C953" t="str">
        <f>정규화데이터!C953</f>
        <v>2026-02-05</v>
      </c>
      <c r="D953">
        <f>정규화데이터!D953</f>
        <v>143790</v>
      </c>
      <c r="E953" s="16" t="str">
        <f>정규화데이터!E953</f>
        <v>SKU001</v>
      </c>
      <c r="F953" s="3">
        <f>정규화데이터!F953</f>
        <v>4</v>
      </c>
      <c r="G953" s="3">
        <f>정규화데이터!G953</f>
        <v>1</v>
      </c>
      <c r="H953" s="3">
        <f>정규화데이터!H953</f>
        <v>45500</v>
      </c>
      <c r="I953" s="3">
        <f>정규화데이터!I953</f>
        <v>45500</v>
      </c>
      <c r="J953" s="3">
        <f>정규화데이터!J953</f>
        <v>45500</v>
      </c>
      <c r="K953" s="25" t="str">
        <f>정규화데이터!K953</f>
        <v>[워커힐] 시그니처 양념갈비 300G</v>
      </c>
      <c r="L953" s="25">
        <f>정규화데이터!L953</f>
        <v>0</v>
      </c>
      <c r="M953" s="21">
        <f t="shared" si="28"/>
        <v>45500</v>
      </c>
      <c r="N953" s="52">
        <f t="shared" si="29"/>
        <v>1</v>
      </c>
    </row>
    <row r="954" spans="1:14" x14ac:dyDescent="0.3">
      <c r="A954" t="str">
        <f>정규화데이터!A954</f>
        <v>리씽크</v>
      </c>
      <c r="B954" t="str">
        <f>정규화데이터!B954</f>
        <v>2026020508195910000</v>
      </c>
      <c r="C954" t="str">
        <f>정규화데이터!C954</f>
        <v>2026-02-05</v>
      </c>
      <c r="D954">
        <f>정규화데이터!D954</f>
        <v>143790</v>
      </c>
      <c r="E954" s="16" t="str">
        <f>정규화데이터!E954</f>
        <v>SKU001</v>
      </c>
      <c r="F954" s="3">
        <f>정규화데이터!F954</f>
        <v>4</v>
      </c>
      <c r="G954" s="3">
        <f>정규화데이터!G954</f>
        <v>1</v>
      </c>
      <c r="H954" s="3">
        <f>정규화데이터!H954</f>
        <v>45500</v>
      </c>
      <c r="I954" s="3">
        <f>정규화데이터!I954</f>
        <v>45500</v>
      </c>
      <c r="J954" s="3">
        <f>정규화데이터!J954</f>
        <v>45500</v>
      </c>
      <c r="K954" s="25" t="str">
        <f>정규화데이터!K954</f>
        <v>[워커힐] 시그니처 양념갈비 300G</v>
      </c>
      <c r="L954" s="25">
        <f>정규화데이터!L954</f>
        <v>0</v>
      </c>
      <c r="M954" s="21">
        <f t="shared" si="28"/>
        <v>45500</v>
      </c>
      <c r="N954" s="52">
        <f t="shared" si="29"/>
        <v>1</v>
      </c>
    </row>
    <row r="955" spans="1:14" x14ac:dyDescent="0.3">
      <c r="A955" t="str">
        <f>정규화데이터!A955</f>
        <v>리씽크</v>
      </c>
      <c r="B955" t="str">
        <f>정규화데이터!B955</f>
        <v>2026020508195600000</v>
      </c>
      <c r="C955" t="str">
        <f>정규화데이터!C955</f>
        <v>2026-02-05</v>
      </c>
      <c r="D955">
        <f>정규화데이터!D955</f>
        <v>143790</v>
      </c>
      <c r="E955" s="16" t="str">
        <f>정규화데이터!E955</f>
        <v>SKU001</v>
      </c>
      <c r="F955" s="3">
        <f>정규화데이터!F955</f>
        <v>4</v>
      </c>
      <c r="G955" s="3">
        <f>정규화데이터!G955</f>
        <v>1</v>
      </c>
      <c r="H955" s="3">
        <f>정규화데이터!H955</f>
        <v>45500</v>
      </c>
      <c r="I955" s="3">
        <f>정규화데이터!I955</f>
        <v>45500</v>
      </c>
      <c r="J955" s="3">
        <f>정규화데이터!J955</f>
        <v>45500</v>
      </c>
      <c r="K955" s="25" t="str">
        <f>정규화데이터!K955</f>
        <v>[워커힐] 시그니처 양념갈비 300G</v>
      </c>
      <c r="L955" s="25">
        <f>정규화데이터!L955</f>
        <v>0</v>
      </c>
      <c r="M955" s="21">
        <f t="shared" si="28"/>
        <v>45500</v>
      </c>
      <c r="N955" s="52">
        <f t="shared" si="29"/>
        <v>1</v>
      </c>
    </row>
    <row r="956" spans="1:14" x14ac:dyDescent="0.3">
      <c r="A956" t="str">
        <f>정규화데이터!A956</f>
        <v>리씽크</v>
      </c>
      <c r="B956" t="str">
        <f>정규화데이터!B956</f>
        <v>2026020508201600000</v>
      </c>
      <c r="C956" t="str">
        <f>정규화데이터!C956</f>
        <v>2026-02-05</v>
      </c>
      <c r="D956">
        <f>정규화데이터!D956</f>
        <v>143790</v>
      </c>
      <c r="E956" s="16" t="str">
        <f>정규화데이터!E956</f>
        <v>SKU001</v>
      </c>
      <c r="F956" s="3">
        <f>정규화데이터!F956</f>
        <v>4</v>
      </c>
      <c r="G956" s="3">
        <f>정규화데이터!G956</f>
        <v>2</v>
      </c>
      <c r="H956" s="3">
        <f>정규화데이터!H956</f>
        <v>45500</v>
      </c>
      <c r="I956" s="3">
        <f>정규화데이터!I956</f>
        <v>91000</v>
      </c>
      <c r="J956" s="3">
        <f>정규화데이터!J956</f>
        <v>91000</v>
      </c>
      <c r="K956" s="25" t="str">
        <f>정규화데이터!K956</f>
        <v>[워커힐] 시그니처 양념갈비 300G</v>
      </c>
      <c r="L956" s="25">
        <f>정규화데이터!L956</f>
        <v>0</v>
      </c>
      <c r="M956" s="21">
        <f t="shared" si="28"/>
        <v>91000</v>
      </c>
      <c r="N956" s="52">
        <f t="shared" si="29"/>
        <v>1</v>
      </c>
    </row>
    <row r="957" spans="1:14" x14ac:dyDescent="0.3">
      <c r="A957" t="str">
        <f>정규화데이터!A957</f>
        <v>리씽크</v>
      </c>
      <c r="B957" t="str">
        <f>정규화데이터!B957</f>
        <v>2026020508163790000</v>
      </c>
      <c r="C957" t="str">
        <f>정규화데이터!C957</f>
        <v>2026-02-05</v>
      </c>
      <c r="D957">
        <f>정규화데이터!D957</f>
        <v>143790</v>
      </c>
      <c r="E957" s="16" t="str">
        <f>정규화데이터!E957</f>
        <v>SKU001</v>
      </c>
      <c r="F957" s="3">
        <f>정규화데이터!F957</f>
        <v>4</v>
      </c>
      <c r="G957" s="3">
        <f>정규화데이터!G957</f>
        <v>1</v>
      </c>
      <c r="H957" s="3">
        <f>정규화데이터!H957</f>
        <v>45500</v>
      </c>
      <c r="I957" s="3">
        <f>정규화데이터!I957</f>
        <v>45500</v>
      </c>
      <c r="J957" s="3">
        <f>정규화데이터!J957</f>
        <v>45500</v>
      </c>
      <c r="K957" s="25" t="str">
        <f>정규화데이터!K957</f>
        <v>[워커힐] 시그니처 양념갈비 300G</v>
      </c>
      <c r="L957" s="25">
        <f>정규화데이터!L957</f>
        <v>0</v>
      </c>
      <c r="M957" s="21">
        <f t="shared" si="28"/>
        <v>45500</v>
      </c>
      <c r="N957" s="52">
        <f t="shared" si="29"/>
        <v>1</v>
      </c>
    </row>
    <row r="958" spans="1:14" x14ac:dyDescent="0.3">
      <c r="A958" t="str">
        <f>정규화데이터!A958</f>
        <v>리씽크</v>
      </c>
      <c r="B958" t="str">
        <f>정규화데이터!B958</f>
        <v>2026020508174390000</v>
      </c>
      <c r="C958" t="str">
        <f>정규화데이터!C958</f>
        <v>2026-02-05</v>
      </c>
      <c r="D958">
        <f>정규화데이터!D958</f>
        <v>143790</v>
      </c>
      <c r="E958" s="16" t="str">
        <f>정규화데이터!E958</f>
        <v>SKU001</v>
      </c>
      <c r="F958" s="3">
        <f>정규화데이터!F958</f>
        <v>4</v>
      </c>
      <c r="G958" s="3">
        <f>정규화데이터!G958</f>
        <v>1</v>
      </c>
      <c r="H958" s="3">
        <f>정규화데이터!H958</f>
        <v>45500</v>
      </c>
      <c r="I958" s="3">
        <f>정규화데이터!I958</f>
        <v>45500</v>
      </c>
      <c r="J958" s="3">
        <f>정규화데이터!J958</f>
        <v>45500</v>
      </c>
      <c r="K958" s="25" t="str">
        <f>정규화데이터!K958</f>
        <v>[워커힐] 시그니처 양념갈비 300G</v>
      </c>
      <c r="L958" s="25">
        <f>정규화데이터!L958</f>
        <v>0</v>
      </c>
      <c r="M958" s="21">
        <f t="shared" si="28"/>
        <v>45500</v>
      </c>
      <c r="N958" s="52">
        <f t="shared" si="29"/>
        <v>1</v>
      </c>
    </row>
    <row r="959" spans="1:14" x14ac:dyDescent="0.3">
      <c r="A959" t="str">
        <f>정규화데이터!A959</f>
        <v>리씽크</v>
      </c>
      <c r="B959" t="str">
        <f>정규화데이터!B959</f>
        <v>2026020508131620000</v>
      </c>
      <c r="C959" t="str">
        <f>정규화데이터!C959</f>
        <v>2026-02-05</v>
      </c>
      <c r="D959">
        <f>정규화데이터!D959</f>
        <v>143790</v>
      </c>
      <c r="E959" s="16" t="str">
        <f>정규화데이터!E959</f>
        <v>SKU001</v>
      </c>
      <c r="F959" s="3">
        <f>정규화데이터!F959</f>
        <v>4</v>
      </c>
      <c r="G959" s="3">
        <f>정규화데이터!G959</f>
        <v>1</v>
      </c>
      <c r="H959" s="3">
        <f>정규화데이터!H959</f>
        <v>45500</v>
      </c>
      <c r="I959" s="3">
        <f>정규화데이터!I959</f>
        <v>45500</v>
      </c>
      <c r="J959" s="3">
        <f>정규화데이터!J959</f>
        <v>45500</v>
      </c>
      <c r="K959" s="25" t="str">
        <f>정규화데이터!K959</f>
        <v>[워커힐] 시그니처 양념갈비 300G</v>
      </c>
      <c r="L959" s="25">
        <f>정규화데이터!L959</f>
        <v>0</v>
      </c>
      <c r="M959" s="21">
        <f t="shared" si="28"/>
        <v>45500</v>
      </c>
      <c r="N959" s="52">
        <f t="shared" si="29"/>
        <v>1</v>
      </c>
    </row>
    <row r="960" spans="1:14" x14ac:dyDescent="0.3">
      <c r="A960" t="str">
        <f>정규화데이터!A960</f>
        <v>리씽크</v>
      </c>
      <c r="B960" t="str">
        <f>정규화데이터!B960</f>
        <v>2026020508155090000</v>
      </c>
      <c r="C960" t="str">
        <f>정규화데이터!C960</f>
        <v>2026-02-05</v>
      </c>
      <c r="D960">
        <f>정규화데이터!D960</f>
        <v>143790</v>
      </c>
      <c r="E960" s="16" t="str">
        <f>정규화데이터!E960</f>
        <v>SKU001</v>
      </c>
      <c r="F960" s="3">
        <f>정규화데이터!F960</f>
        <v>4</v>
      </c>
      <c r="G960" s="3">
        <f>정규화데이터!G960</f>
        <v>1</v>
      </c>
      <c r="H960" s="3">
        <f>정규화데이터!H960</f>
        <v>45500</v>
      </c>
      <c r="I960" s="3">
        <f>정규화데이터!I960</f>
        <v>45500</v>
      </c>
      <c r="J960" s="3">
        <f>정규화데이터!J960</f>
        <v>45500</v>
      </c>
      <c r="K960" s="25" t="str">
        <f>정규화데이터!K960</f>
        <v>[워커힐] 시그니처 양념갈비 300G</v>
      </c>
      <c r="L960" s="25">
        <f>정규화데이터!L960</f>
        <v>0</v>
      </c>
      <c r="M960" s="21">
        <f t="shared" si="28"/>
        <v>45500</v>
      </c>
      <c r="N960" s="52">
        <f t="shared" si="29"/>
        <v>1</v>
      </c>
    </row>
    <row r="961" spans="1:14" x14ac:dyDescent="0.3">
      <c r="A961" t="str">
        <f>정규화데이터!A961</f>
        <v>리씽크</v>
      </c>
      <c r="B961" t="str">
        <f>정규화데이터!B961</f>
        <v>2026020508142540000</v>
      </c>
      <c r="C961" t="str">
        <f>정규화데이터!C961</f>
        <v>2026-02-05</v>
      </c>
      <c r="D961">
        <f>정규화데이터!D961</f>
        <v>143790</v>
      </c>
      <c r="E961" s="16" t="str">
        <f>정규화데이터!E961</f>
        <v>SKU001</v>
      </c>
      <c r="F961" s="3">
        <f>정규화데이터!F961</f>
        <v>4</v>
      </c>
      <c r="G961" s="3">
        <f>정규화데이터!G961</f>
        <v>1</v>
      </c>
      <c r="H961" s="3">
        <f>정규화데이터!H961</f>
        <v>45500</v>
      </c>
      <c r="I961" s="3">
        <f>정규화데이터!I961</f>
        <v>45500</v>
      </c>
      <c r="J961" s="3">
        <f>정규화데이터!J961</f>
        <v>45500</v>
      </c>
      <c r="K961" s="25" t="str">
        <f>정규화데이터!K961</f>
        <v>[워커힐] 시그니처 양념갈비 300G</v>
      </c>
      <c r="L961" s="25">
        <f>정규화데이터!L961</f>
        <v>0</v>
      </c>
      <c r="M961" s="21">
        <f t="shared" si="28"/>
        <v>45500</v>
      </c>
      <c r="N961" s="52">
        <f t="shared" si="29"/>
        <v>1</v>
      </c>
    </row>
    <row r="962" spans="1:14" x14ac:dyDescent="0.3">
      <c r="A962" t="str">
        <f>정규화데이터!A962</f>
        <v>리씽크</v>
      </c>
      <c r="B962" t="str">
        <f>정규화데이터!B962</f>
        <v>2026020508142710000</v>
      </c>
      <c r="C962" t="str">
        <f>정규화데이터!C962</f>
        <v>2026-02-05</v>
      </c>
      <c r="D962">
        <f>정규화데이터!D962</f>
        <v>143790</v>
      </c>
      <c r="E962" s="16" t="str">
        <f>정규화데이터!E962</f>
        <v>SKU001</v>
      </c>
      <c r="F962" s="3">
        <f>정규화데이터!F962</f>
        <v>4</v>
      </c>
      <c r="G962" s="3">
        <f>정규화데이터!G962</f>
        <v>1</v>
      </c>
      <c r="H962" s="3">
        <f>정규화데이터!H962</f>
        <v>45500</v>
      </c>
      <c r="I962" s="3">
        <f>정규화데이터!I962</f>
        <v>45500</v>
      </c>
      <c r="J962" s="3">
        <f>정규화데이터!J962</f>
        <v>45500</v>
      </c>
      <c r="K962" s="25" t="str">
        <f>정규화데이터!K962</f>
        <v>[워커힐] 시그니처 양념갈비 300G</v>
      </c>
      <c r="L962" s="25">
        <f>정규화데이터!L962</f>
        <v>0</v>
      </c>
      <c r="M962" s="21">
        <f t="shared" ref="M962:M1025" si="30">J962-L962</f>
        <v>45500</v>
      </c>
      <c r="N962" s="52">
        <f t="shared" ref="N962:N1025" si="31">IF(J962=0,0,M962/J962)</f>
        <v>1</v>
      </c>
    </row>
    <row r="963" spans="1:14" x14ac:dyDescent="0.3">
      <c r="A963" t="str">
        <f>정규화데이터!A963</f>
        <v>리씽크</v>
      </c>
      <c r="B963" t="str">
        <f>정규화데이터!B963</f>
        <v>2026020508133650000</v>
      </c>
      <c r="C963" t="str">
        <f>정규화데이터!C963</f>
        <v>2026-02-05</v>
      </c>
      <c r="D963">
        <f>정규화데이터!D963</f>
        <v>143790</v>
      </c>
      <c r="E963" s="16" t="str">
        <f>정규화데이터!E963</f>
        <v>SKU001</v>
      </c>
      <c r="F963" s="3">
        <f>정규화데이터!F963</f>
        <v>4</v>
      </c>
      <c r="G963" s="3">
        <f>정규화데이터!G963</f>
        <v>1</v>
      </c>
      <c r="H963" s="3">
        <f>정규화데이터!H963</f>
        <v>45500</v>
      </c>
      <c r="I963" s="3">
        <f>정규화데이터!I963</f>
        <v>45500</v>
      </c>
      <c r="J963" s="3">
        <f>정규화데이터!J963</f>
        <v>45500</v>
      </c>
      <c r="K963" s="25" t="str">
        <f>정규화데이터!K963</f>
        <v>[워커힐] 시그니처 양념갈비 300G</v>
      </c>
      <c r="L963" s="25">
        <f>정규화데이터!L963</f>
        <v>0</v>
      </c>
      <c r="M963" s="21">
        <f t="shared" si="30"/>
        <v>45500</v>
      </c>
      <c r="N963" s="52">
        <f t="shared" si="31"/>
        <v>1</v>
      </c>
    </row>
    <row r="964" spans="1:14" x14ac:dyDescent="0.3">
      <c r="A964" t="str">
        <f>정규화데이터!A964</f>
        <v>리씽크</v>
      </c>
      <c r="B964" t="str">
        <f>정규화데이터!B964</f>
        <v>2026020508133420000</v>
      </c>
      <c r="C964" t="str">
        <f>정규화데이터!C964</f>
        <v>2026-02-05</v>
      </c>
      <c r="D964">
        <f>정규화데이터!D964</f>
        <v>143790</v>
      </c>
      <c r="E964" s="16" t="str">
        <f>정규화데이터!E964</f>
        <v>SKU001</v>
      </c>
      <c r="F964" s="3">
        <f>정규화데이터!F964</f>
        <v>4</v>
      </c>
      <c r="G964" s="3">
        <f>정규화데이터!G964</f>
        <v>1</v>
      </c>
      <c r="H964" s="3">
        <f>정규화데이터!H964</f>
        <v>45500</v>
      </c>
      <c r="I964" s="3">
        <f>정규화데이터!I964</f>
        <v>45500</v>
      </c>
      <c r="J964" s="3">
        <f>정규화데이터!J964</f>
        <v>45500</v>
      </c>
      <c r="K964" s="25" t="str">
        <f>정규화데이터!K964</f>
        <v>[워커힐] 시그니처 양념갈비 300G</v>
      </c>
      <c r="L964" s="25">
        <f>정규화데이터!L964</f>
        <v>0</v>
      </c>
      <c r="M964" s="21">
        <f t="shared" si="30"/>
        <v>45500</v>
      </c>
      <c r="N964" s="52">
        <f t="shared" si="31"/>
        <v>1</v>
      </c>
    </row>
    <row r="965" spans="1:14" x14ac:dyDescent="0.3">
      <c r="A965" t="str">
        <f>정규화데이터!A965</f>
        <v>리씽크</v>
      </c>
      <c r="B965" t="str">
        <f>정규화데이터!B965</f>
        <v>2026020508095340000</v>
      </c>
      <c r="C965" t="str">
        <f>정규화데이터!C965</f>
        <v>2026-02-05</v>
      </c>
      <c r="D965">
        <f>정규화데이터!D965</f>
        <v>143790</v>
      </c>
      <c r="E965" s="16" t="str">
        <f>정규화데이터!E965</f>
        <v>SKU001</v>
      </c>
      <c r="F965" s="3">
        <f>정규화데이터!F965</f>
        <v>4</v>
      </c>
      <c r="G965" s="3">
        <f>정규화데이터!G965</f>
        <v>1</v>
      </c>
      <c r="H965" s="3">
        <f>정규화데이터!H965</f>
        <v>45500</v>
      </c>
      <c r="I965" s="3">
        <f>정규화데이터!I965</f>
        <v>45500</v>
      </c>
      <c r="J965" s="3">
        <f>정규화데이터!J965</f>
        <v>45500</v>
      </c>
      <c r="K965" s="25" t="str">
        <f>정규화데이터!K965</f>
        <v>[워커힐] 시그니처 양념갈비 300G</v>
      </c>
      <c r="L965" s="25">
        <f>정규화데이터!L965</f>
        <v>0</v>
      </c>
      <c r="M965" s="21">
        <f t="shared" si="30"/>
        <v>45500</v>
      </c>
      <c r="N965" s="52">
        <f t="shared" si="31"/>
        <v>1</v>
      </c>
    </row>
    <row r="966" spans="1:14" x14ac:dyDescent="0.3">
      <c r="A966" t="str">
        <f>정규화데이터!A966</f>
        <v>리씽크</v>
      </c>
      <c r="B966" t="str">
        <f>정규화데이터!B966</f>
        <v>2026020508110370000</v>
      </c>
      <c r="C966" t="str">
        <f>정규화데이터!C966</f>
        <v>2026-02-05</v>
      </c>
      <c r="D966">
        <f>정규화데이터!D966</f>
        <v>143790</v>
      </c>
      <c r="E966" s="16" t="str">
        <f>정규화데이터!E966</f>
        <v>SKU001</v>
      </c>
      <c r="F966" s="3">
        <f>정규화데이터!F966</f>
        <v>4</v>
      </c>
      <c r="G966" s="3">
        <f>정규화데이터!G966</f>
        <v>1</v>
      </c>
      <c r="H966" s="3">
        <f>정규화데이터!H966</f>
        <v>45500</v>
      </c>
      <c r="I966" s="3">
        <f>정규화데이터!I966</f>
        <v>45500</v>
      </c>
      <c r="J966" s="3">
        <f>정규화데이터!J966</f>
        <v>45500</v>
      </c>
      <c r="K966" s="25" t="str">
        <f>정규화데이터!K966</f>
        <v>[워커힐] 시그니처 양념갈비 300G</v>
      </c>
      <c r="L966" s="25">
        <f>정규화데이터!L966</f>
        <v>0</v>
      </c>
      <c r="M966" s="21">
        <f t="shared" si="30"/>
        <v>45500</v>
      </c>
      <c r="N966" s="52">
        <f t="shared" si="31"/>
        <v>1</v>
      </c>
    </row>
    <row r="967" spans="1:14" x14ac:dyDescent="0.3">
      <c r="A967" t="str">
        <f>정규화데이터!A967</f>
        <v>리씽크</v>
      </c>
      <c r="B967" t="str">
        <f>정규화데이터!B967</f>
        <v>2026020508113150000</v>
      </c>
      <c r="C967" t="str">
        <f>정규화데이터!C967</f>
        <v>2026-02-05</v>
      </c>
      <c r="D967">
        <f>정규화데이터!D967</f>
        <v>143790</v>
      </c>
      <c r="E967" s="16" t="str">
        <f>정규화데이터!E967</f>
        <v>SKU001</v>
      </c>
      <c r="F967" s="3">
        <f>정규화데이터!F967</f>
        <v>4</v>
      </c>
      <c r="G967" s="3">
        <f>정규화데이터!G967</f>
        <v>1</v>
      </c>
      <c r="H967" s="3">
        <f>정규화데이터!H967</f>
        <v>45500</v>
      </c>
      <c r="I967" s="3">
        <f>정규화데이터!I967</f>
        <v>45500</v>
      </c>
      <c r="J967" s="3">
        <f>정규화데이터!J967</f>
        <v>45500</v>
      </c>
      <c r="K967" s="25" t="str">
        <f>정규화데이터!K967</f>
        <v>[워커힐] 시그니처 양념갈비 300G</v>
      </c>
      <c r="L967" s="25">
        <f>정규화데이터!L967</f>
        <v>0</v>
      </c>
      <c r="M967" s="21">
        <f t="shared" si="30"/>
        <v>45500</v>
      </c>
      <c r="N967" s="52">
        <f t="shared" si="31"/>
        <v>1</v>
      </c>
    </row>
    <row r="968" spans="1:14" x14ac:dyDescent="0.3">
      <c r="A968" t="str">
        <f>정규화데이터!A968</f>
        <v>리씽크</v>
      </c>
      <c r="B968" t="str">
        <f>정규화데이터!B968</f>
        <v>2026020508094030000</v>
      </c>
      <c r="C968" t="str">
        <f>정규화데이터!C968</f>
        <v>2026-02-05</v>
      </c>
      <c r="D968">
        <f>정규화데이터!D968</f>
        <v>143790</v>
      </c>
      <c r="E968" s="16" t="str">
        <f>정규화데이터!E968</f>
        <v>SKU001</v>
      </c>
      <c r="F968" s="3">
        <f>정규화데이터!F968</f>
        <v>4</v>
      </c>
      <c r="G968" s="3">
        <f>정규화데이터!G968</f>
        <v>1</v>
      </c>
      <c r="H968" s="3">
        <f>정규화데이터!H968</f>
        <v>45500</v>
      </c>
      <c r="I968" s="3">
        <f>정규화데이터!I968</f>
        <v>45500</v>
      </c>
      <c r="J968" s="3">
        <f>정규화데이터!J968</f>
        <v>45500</v>
      </c>
      <c r="K968" s="25" t="str">
        <f>정규화데이터!K968</f>
        <v>[워커힐] 시그니처 양념갈비 300G</v>
      </c>
      <c r="L968" s="25">
        <f>정규화데이터!L968</f>
        <v>0</v>
      </c>
      <c r="M968" s="21">
        <f t="shared" si="30"/>
        <v>45500</v>
      </c>
      <c r="N968" s="52">
        <f t="shared" si="31"/>
        <v>1</v>
      </c>
    </row>
    <row r="969" spans="1:14" x14ac:dyDescent="0.3">
      <c r="A969" t="str">
        <f>정규화데이터!A969</f>
        <v>리씽크</v>
      </c>
      <c r="B969" t="str">
        <f>정규화데이터!B969</f>
        <v>2026020507584280000</v>
      </c>
      <c r="C969" t="str">
        <f>정규화데이터!C969</f>
        <v>2026-02-05</v>
      </c>
      <c r="D969">
        <f>정규화데이터!D969</f>
        <v>143790</v>
      </c>
      <c r="E969" s="16" t="str">
        <f>정규화데이터!E969</f>
        <v>SKU001</v>
      </c>
      <c r="F969" s="3">
        <f>정규화데이터!F969</f>
        <v>4</v>
      </c>
      <c r="G969" s="3">
        <f>정규화데이터!G969</f>
        <v>1</v>
      </c>
      <c r="H969" s="3">
        <f>정규화데이터!H969</f>
        <v>45500</v>
      </c>
      <c r="I969" s="3">
        <f>정규화데이터!I969</f>
        <v>45500</v>
      </c>
      <c r="J969" s="3">
        <f>정규화데이터!J969</f>
        <v>45500</v>
      </c>
      <c r="K969" s="25" t="str">
        <f>정규화데이터!K969</f>
        <v>[워커힐] 시그니처 양념갈비 300G</v>
      </c>
      <c r="L969" s="25">
        <f>정규화데이터!L969</f>
        <v>0</v>
      </c>
      <c r="M969" s="21">
        <f t="shared" si="30"/>
        <v>45500</v>
      </c>
      <c r="N969" s="52">
        <f t="shared" si="31"/>
        <v>1</v>
      </c>
    </row>
    <row r="970" spans="1:14" x14ac:dyDescent="0.3">
      <c r="A970" t="str">
        <f>정규화데이터!A970</f>
        <v>리씽크</v>
      </c>
      <c r="B970" t="str">
        <f>정규화데이터!B970</f>
        <v>2026020508062240000</v>
      </c>
      <c r="C970" t="str">
        <f>정규화데이터!C970</f>
        <v>2026-02-05</v>
      </c>
      <c r="D970">
        <f>정규화데이터!D970</f>
        <v>143790</v>
      </c>
      <c r="E970" s="16" t="str">
        <f>정규화데이터!E970</f>
        <v>SKU001</v>
      </c>
      <c r="F970" s="3">
        <f>정규화데이터!F970</f>
        <v>4</v>
      </c>
      <c r="G970" s="3">
        <f>정규화데이터!G970</f>
        <v>1</v>
      </c>
      <c r="H970" s="3">
        <f>정규화데이터!H970</f>
        <v>45500</v>
      </c>
      <c r="I970" s="3">
        <f>정규화데이터!I970</f>
        <v>45500</v>
      </c>
      <c r="J970" s="3">
        <f>정규화데이터!J970</f>
        <v>45500</v>
      </c>
      <c r="K970" s="25" t="str">
        <f>정규화데이터!K970</f>
        <v>[워커힐] 시그니처 양념갈비 300G</v>
      </c>
      <c r="L970" s="25">
        <f>정규화데이터!L970</f>
        <v>0</v>
      </c>
      <c r="M970" s="21">
        <f t="shared" si="30"/>
        <v>45500</v>
      </c>
      <c r="N970" s="52">
        <f t="shared" si="31"/>
        <v>1</v>
      </c>
    </row>
    <row r="971" spans="1:14" x14ac:dyDescent="0.3">
      <c r="A971" t="str">
        <f>정규화데이터!A971</f>
        <v>리씽크</v>
      </c>
      <c r="B971" t="str">
        <f>정규화데이터!B971</f>
        <v>2026020508082160000</v>
      </c>
      <c r="C971" t="str">
        <f>정규화데이터!C971</f>
        <v>2026-02-05</v>
      </c>
      <c r="D971">
        <f>정규화데이터!D971</f>
        <v>143790</v>
      </c>
      <c r="E971" s="16" t="str">
        <f>정규화데이터!E971</f>
        <v>SKU001</v>
      </c>
      <c r="F971" s="3">
        <f>정규화데이터!F971</f>
        <v>4</v>
      </c>
      <c r="G971" s="3">
        <f>정규화데이터!G971</f>
        <v>1</v>
      </c>
      <c r="H971" s="3">
        <f>정규화데이터!H971</f>
        <v>45500</v>
      </c>
      <c r="I971" s="3">
        <f>정규화데이터!I971</f>
        <v>45500</v>
      </c>
      <c r="J971" s="3">
        <f>정규화데이터!J971</f>
        <v>45500</v>
      </c>
      <c r="K971" s="25" t="str">
        <f>정규화데이터!K971</f>
        <v>[워커힐] 시그니처 양념갈비 300G</v>
      </c>
      <c r="L971" s="25">
        <f>정규화데이터!L971</f>
        <v>0</v>
      </c>
      <c r="M971" s="21">
        <f t="shared" si="30"/>
        <v>45500</v>
      </c>
      <c r="N971" s="52">
        <f t="shared" si="31"/>
        <v>1</v>
      </c>
    </row>
    <row r="972" spans="1:14" x14ac:dyDescent="0.3">
      <c r="A972" t="str">
        <f>정규화데이터!A972</f>
        <v>리씽크</v>
      </c>
      <c r="B972" t="str">
        <f>정규화데이터!B972</f>
        <v>2026020508085880000</v>
      </c>
      <c r="C972" t="str">
        <f>정규화데이터!C972</f>
        <v>2026-02-05</v>
      </c>
      <c r="D972">
        <f>정규화데이터!D972</f>
        <v>143790</v>
      </c>
      <c r="E972" s="16" t="str">
        <f>정규화데이터!E972</f>
        <v>SKU001</v>
      </c>
      <c r="F972" s="3">
        <f>정규화데이터!F972</f>
        <v>4</v>
      </c>
      <c r="G972" s="3">
        <f>정규화데이터!G972</f>
        <v>1</v>
      </c>
      <c r="H972" s="3">
        <f>정규화데이터!H972</f>
        <v>45500</v>
      </c>
      <c r="I972" s="3">
        <f>정규화데이터!I972</f>
        <v>45500</v>
      </c>
      <c r="J972" s="3">
        <f>정규화데이터!J972</f>
        <v>45500</v>
      </c>
      <c r="K972" s="25" t="str">
        <f>정규화데이터!K972</f>
        <v>[워커힐] 시그니처 양념갈비 300G</v>
      </c>
      <c r="L972" s="25">
        <f>정규화데이터!L972</f>
        <v>0</v>
      </c>
      <c r="M972" s="21">
        <f t="shared" si="30"/>
        <v>45500</v>
      </c>
      <c r="N972" s="52">
        <f t="shared" si="31"/>
        <v>1</v>
      </c>
    </row>
    <row r="973" spans="1:14" x14ac:dyDescent="0.3">
      <c r="A973" t="str">
        <f>정규화데이터!A973</f>
        <v>리씽크</v>
      </c>
      <c r="B973" t="str">
        <f>정규화데이터!B973</f>
        <v>2026020508003890000</v>
      </c>
      <c r="C973" t="str">
        <f>정규화데이터!C973</f>
        <v>2026-02-05</v>
      </c>
      <c r="D973">
        <f>정규화데이터!D973</f>
        <v>143790</v>
      </c>
      <c r="E973" s="16" t="str">
        <f>정규화데이터!E973</f>
        <v>SKU001</v>
      </c>
      <c r="F973" s="3">
        <f>정규화데이터!F973</f>
        <v>4</v>
      </c>
      <c r="G973" s="3">
        <f>정규화데이터!G973</f>
        <v>1</v>
      </c>
      <c r="H973" s="3">
        <f>정규화데이터!H973</f>
        <v>45500</v>
      </c>
      <c r="I973" s="3">
        <f>정규화데이터!I973</f>
        <v>45500</v>
      </c>
      <c r="J973" s="3">
        <f>정규화데이터!J973</f>
        <v>45500</v>
      </c>
      <c r="K973" s="25" t="str">
        <f>정규화데이터!K973</f>
        <v>[워커힐] 시그니처 양념갈비 300G</v>
      </c>
      <c r="L973" s="25">
        <f>정규화데이터!L973</f>
        <v>0</v>
      </c>
      <c r="M973" s="21">
        <f t="shared" si="30"/>
        <v>45500</v>
      </c>
      <c r="N973" s="52">
        <f t="shared" si="31"/>
        <v>1</v>
      </c>
    </row>
    <row r="974" spans="1:14" x14ac:dyDescent="0.3">
      <c r="A974" t="str">
        <f>정규화데이터!A974</f>
        <v>리씽크</v>
      </c>
      <c r="B974" t="str">
        <f>정규화데이터!B974</f>
        <v>2026020508084820000</v>
      </c>
      <c r="C974" t="str">
        <f>정규화데이터!C974</f>
        <v>2026-02-05</v>
      </c>
      <c r="D974">
        <f>정규화데이터!D974</f>
        <v>143790</v>
      </c>
      <c r="E974" s="16" t="str">
        <f>정규화데이터!E974</f>
        <v>SKU001</v>
      </c>
      <c r="F974" s="3">
        <f>정규화데이터!F974</f>
        <v>4</v>
      </c>
      <c r="G974" s="3">
        <f>정규화데이터!G974</f>
        <v>1</v>
      </c>
      <c r="H974" s="3">
        <f>정규화데이터!H974</f>
        <v>45500</v>
      </c>
      <c r="I974" s="3">
        <f>정규화데이터!I974</f>
        <v>45500</v>
      </c>
      <c r="J974" s="3">
        <f>정규화데이터!J974</f>
        <v>45500</v>
      </c>
      <c r="K974" s="25" t="str">
        <f>정규화데이터!K974</f>
        <v>[워커힐] 시그니처 양념갈비 300G</v>
      </c>
      <c r="L974" s="25">
        <f>정규화데이터!L974</f>
        <v>0</v>
      </c>
      <c r="M974" s="21">
        <f t="shared" si="30"/>
        <v>45500</v>
      </c>
      <c r="N974" s="52">
        <f t="shared" si="31"/>
        <v>1</v>
      </c>
    </row>
    <row r="975" spans="1:14" x14ac:dyDescent="0.3">
      <c r="A975" t="str">
        <f>정규화데이터!A975</f>
        <v>리씽크</v>
      </c>
      <c r="B975" t="str">
        <f>정규화데이터!B975</f>
        <v>2026020507595200000</v>
      </c>
      <c r="C975" t="str">
        <f>정규화데이터!C975</f>
        <v>2026-02-05</v>
      </c>
      <c r="D975">
        <f>정규화데이터!D975</f>
        <v>143790</v>
      </c>
      <c r="E975" s="16" t="str">
        <f>정규화데이터!E975</f>
        <v>SKU001</v>
      </c>
      <c r="F975" s="3">
        <f>정규화데이터!F975</f>
        <v>4</v>
      </c>
      <c r="G975" s="3">
        <f>정규화데이터!G975</f>
        <v>1</v>
      </c>
      <c r="H975" s="3">
        <f>정규화데이터!H975</f>
        <v>45500</v>
      </c>
      <c r="I975" s="3">
        <f>정규화데이터!I975</f>
        <v>45500</v>
      </c>
      <c r="J975" s="3">
        <f>정규화데이터!J975</f>
        <v>45500</v>
      </c>
      <c r="K975" s="25" t="str">
        <f>정규화데이터!K975</f>
        <v>[워커힐] 시그니처 양념갈비 300G</v>
      </c>
      <c r="L975" s="25">
        <f>정규화데이터!L975</f>
        <v>0</v>
      </c>
      <c r="M975" s="21">
        <f t="shared" si="30"/>
        <v>45500</v>
      </c>
      <c r="N975" s="52">
        <f t="shared" si="31"/>
        <v>1</v>
      </c>
    </row>
    <row r="976" spans="1:14" x14ac:dyDescent="0.3">
      <c r="A976" t="str">
        <f>정규화데이터!A976</f>
        <v>리씽크</v>
      </c>
      <c r="B976" t="str">
        <f>정규화데이터!B976</f>
        <v>2026020508081490000</v>
      </c>
      <c r="C976" t="str">
        <f>정규화데이터!C976</f>
        <v>2026-02-05</v>
      </c>
      <c r="D976">
        <f>정규화데이터!D976</f>
        <v>143790</v>
      </c>
      <c r="E976" s="16" t="str">
        <f>정규화데이터!E976</f>
        <v>SKU001</v>
      </c>
      <c r="F976" s="3">
        <f>정규화데이터!F976</f>
        <v>4</v>
      </c>
      <c r="G976" s="3">
        <f>정규화데이터!G976</f>
        <v>1</v>
      </c>
      <c r="H976" s="3">
        <f>정규화데이터!H976</f>
        <v>45500</v>
      </c>
      <c r="I976" s="3">
        <f>정규화데이터!I976</f>
        <v>45500</v>
      </c>
      <c r="J976" s="3">
        <f>정규화데이터!J976</f>
        <v>45500</v>
      </c>
      <c r="K976" s="25" t="str">
        <f>정규화데이터!K976</f>
        <v>[워커힐] 시그니처 양념갈비 300G</v>
      </c>
      <c r="L976" s="25">
        <f>정규화데이터!L976</f>
        <v>0</v>
      </c>
      <c r="M976" s="21">
        <f t="shared" si="30"/>
        <v>45500</v>
      </c>
      <c r="N976" s="52">
        <f t="shared" si="31"/>
        <v>1</v>
      </c>
    </row>
    <row r="977" spans="1:14" x14ac:dyDescent="0.3">
      <c r="A977" t="str">
        <f>정규화데이터!A977</f>
        <v>리씽크</v>
      </c>
      <c r="B977" t="str">
        <f>정규화데이터!B977</f>
        <v>2026020508072470000</v>
      </c>
      <c r="C977" t="str">
        <f>정규화데이터!C977</f>
        <v>2026-02-05</v>
      </c>
      <c r="D977">
        <f>정규화데이터!D977</f>
        <v>143790</v>
      </c>
      <c r="E977" s="16" t="str">
        <f>정규화데이터!E977</f>
        <v>SKU001</v>
      </c>
      <c r="F977" s="3">
        <f>정규화데이터!F977</f>
        <v>4</v>
      </c>
      <c r="G977" s="3">
        <f>정규화데이터!G977</f>
        <v>1</v>
      </c>
      <c r="H977" s="3">
        <f>정규화데이터!H977</f>
        <v>45500</v>
      </c>
      <c r="I977" s="3">
        <f>정규화데이터!I977</f>
        <v>45500</v>
      </c>
      <c r="J977" s="3">
        <f>정규화데이터!J977</f>
        <v>45500</v>
      </c>
      <c r="K977" s="25" t="str">
        <f>정규화데이터!K977</f>
        <v>[워커힐] 시그니처 양념갈비 300G</v>
      </c>
      <c r="L977" s="25">
        <f>정규화데이터!L977</f>
        <v>0</v>
      </c>
      <c r="M977" s="21">
        <f t="shared" si="30"/>
        <v>45500</v>
      </c>
      <c r="N977" s="52">
        <f t="shared" si="31"/>
        <v>1</v>
      </c>
    </row>
    <row r="978" spans="1:14" x14ac:dyDescent="0.3">
      <c r="A978" t="str">
        <f>정규화데이터!A978</f>
        <v>리씽크</v>
      </c>
      <c r="B978" t="str">
        <f>정규화데이터!B978</f>
        <v>2026020508052930000</v>
      </c>
      <c r="C978" t="str">
        <f>정규화데이터!C978</f>
        <v>2026-02-05</v>
      </c>
      <c r="D978">
        <f>정규화데이터!D978</f>
        <v>143790</v>
      </c>
      <c r="E978" s="16" t="str">
        <f>정규화데이터!E978</f>
        <v>SKU001</v>
      </c>
      <c r="F978" s="3">
        <f>정규화데이터!F978</f>
        <v>4</v>
      </c>
      <c r="G978" s="3">
        <f>정규화데이터!G978</f>
        <v>1</v>
      </c>
      <c r="H978" s="3">
        <f>정규화데이터!H978</f>
        <v>45500</v>
      </c>
      <c r="I978" s="3">
        <f>정규화데이터!I978</f>
        <v>45500</v>
      </c>
      <c r="J978" s="3">
        <f>정규화데이터!J978</f>
        <v>45500</v>
      </c>
      <c r="K978" s="25" t="str">
        <f>정규화데이터!K978</f>
        <v>[워커힐] 시그니처 양념갈비 300G</v>
      </c>
      <c r="L978" s="25">
        <f>정규화데이터!L978</f>
        <v>0</v>
      </c>
      <c r="M978" s="21">
        <f t="shared" si="30"/>
        <v>45500</v>
      </c>
      <c r="N978" s="52">
        <f t="shared" si="31"/>
        <v>1</v>
      </c>
    </row>
    <row r="979" spans="1:14" x14ac:dyDescent="0.3">
      <c r="A979" t="str">
        <f>정규화데이터!A979</f>
        <v>리씽크</v>
      </c>
      <c r="B979" t="str">
        <f>정규화데이터!B979</f>
        <v>2026020508043780000</v>
      </c>
      <c r="C979" t="str">
        <f>정규화데이터!C979</f>
        <v>2026-02-05</v>
      </c>
      <c r="D979">
        <f>정규화데이터!D979</f>
        <v>143790</v>
      </c>
      <c r="E979" s="16" t="str">
        <f>정규화데이터!E979</f>
        <v>SKU001</v>
      </c>
      <c r="F979" s="3">
        <f>정규화데이터!F979</f>
        <v>4</v>
      </c>
      <c r="G979" s="3">
        <f>정규화데이터!G979</f>
        <v>1</v>
      </c>
      <c r="H979" s="3">
        <f>정규화데이터!H979</f>
        <v>45500</v>
      </c>
      <c r="I979" s="3">
        <f>정규화데이터!I979</f>
        <v>45500</v>
      </c>
      <c r="J979" s="3">
        <f>정규화데이터!J979</f>
        <v>45500</v>
      </c>
      <c r="K979" s="25" t="str">
        <f>정규화데이터!K979</f>
        <v>[워커힐] 시그니처 양념갈비 300G</v>
      </c>
      <c r="L979" s="25">
        <f>정규화데이터!L979</f>
        <v>0</v>
      </c>
      <c r="M979" s="21">
        <f t="shared" si="30"/>
        <v>45500</v>
      </c>
      <c r="N979" s="52">
        <f t="shared" si="31"/>
        <v>1</v>
      </c>
    </row>
    <row r="980" spans="1:14" x14ac:dyDescent="0.3">
      <c r="A980" t="str">
        <f>정규화데이터!A980</f>
        <v>리씽크</v>
      </c>
      <c r="B980" t="str">
        <f>정규화데이터!B980</f>
        <v>2026020508033570000</v>
      </c>
      <c r="C980" t="str">
        <f>정규화데이터!C980</f>
        <v>2026-02-05</v>
      </c>
      <c r="D980">
        <f>정규화데이터!D980</f>
        <v>143790</v>
      </c>
      <c r="E980" s="16" t="str">
        <f>정규화데이터!E980</f>
        <v>SKU001</v>
      </c>
      <c r="F980" s="3">
        <f>정규화데이터!F980</f>
        <v>4</v>
      </c>
      <c r="G980" s="3">
        <f>정규화데이터!G980</f>
        <v>1</v>
      </c>
      <c r="H980" s="3">
        <f>정규화데이터!H980</f>
        <v>45500</v>
      </c>
      <c r="I980" s="3">
        <f>정규화데이터!I980</f>
        <v>45500</v>
      </c>
      <c r="J980" s="3">
        <f>정규화데이터!J980</f>
        <v>45500</v>
      </c>
      <c r="K980" s="25" t="str">
        <f>정규화데이터!K980</f>
        <v>[워커힐] 시그니처 양념갈비 300G</v>
      </c>
      <c r="L980" s="25">
        <f>정규화데이터!L980</f>
        <v>0</v>
      </c>
      <c r="M980" s="21">
        <f t="shared" si="30"/>
        <v>45500</v>
      </c>
      <c r="N980" s="52">
        <f t="shared" si="31"/>
        <v>1</v>
      </c>
    </row>
    <row r="981" spans="1:14" x14ac:dyDescent="0.3">
      <c r="A981" t="str">
        <f>정규화데이터!A981</f>
        <v>리씽크</v>
      </c>
      <c r="B981" t="str">
        <f>정규화데이터!B981</f>
        <v>2026020508032560000</v>
      </c>
      <c r="C981" t="str">
        <f>정규화데이터!C981</f>
        <v>2026-02-05</v>
      </c>
      <c r="D981">
        <f>정규화데이터!D981</f>
        <v>143790</v>
      </c>
      <c r="E981" s="16" t="str">
        <f>정규화데이터!E981</f>
        <v>SKU001</v>
      </c>
      <c r="F981" s="3">
        <f>정규화데이터!F981</f>
        <v>4</v>
      </c>
      <c r="G981" s="3">
        <f>정규화데이터!G981</f>
        <v>1</v>
      </c>
      <c r="H981" s="3">
        <f>정규화데이터!H981</f>
        <v>45500</v>
      </c>
      <c r="I981" s="3">
        <f>정규화데이터!I981</f>
        <v>45500</v>
      </c>
      <c r="J981" s="3">
        <f>정규화데이터!J981</f>
        <v>45500</v>
      </c>
      <c r="K981" s="25" t="str">
        <f>정규화데이터!K981</f>
        <v>[워커힐] 시그니처 양념갈비 300G</v>
      </c>
      <c r="L981" s="25">
        <f>정규화데이터!L981</f>
        <v>0</v>
      </c>
      <c r="M981" s="21">
        <f t="shared" si="30"/>
        <v>45500</v>
      </c>
      <c r="N981" s="52">
        <f t="shared" si="31"/>
        <v>1</v>
      </c>
    </row>
    <row r="982" spans="1:14" x14ac:dyDescent="0.3">
      <c r="A982" t="str">
        <f>정규화데이터!A982</f>
        <v>리씽크</v>
      </c>
      <c r="B982" t="str">
        <f>정규화데이터!B982</f>
        <v>2026020508050960000</v>
      </c>
      <c r="C982" t="str">
        <f>정규화데이터!C982</f>
        <v>2026-02-05</v>
      </c>
      <c r="D982">
        <f>정규화데이터!D982</f>
        <v>143790</v>
      </c>
      <c r="E982" s="16" t="str">
        <f>정규화데이터!E982</f>
        <v>SKU001</v>
      </c>
      <c r="F982" s="3">
        <f>정규화데이터!F982</f>
        <v>4</v>
      </c>
      <c r="G982" s="3">
        <f>정규화데이터!G982</f>
        <v>1</v>
      </c>
      <c r="H982" s="3">
        <f>정규화데이터!H982</f>
        <v>45500</v>
      </c>
      <c r="I982" s="3">
        <f>정규화데이터!I982</f>
        <v>45500</v>
      </c>
      <c r="J982" s="3">
        <f>정규화데이터!J982</f>
        <v>45500</v>
      </c>
      <c r="K982" s="25" t="str">
        <f>정규화데이터!K982</f>
        <v>[워커힐] 시그니처 양념갈비 300G</v>
      </c>
      <c r="L982" s="25">
        <f>정규화데이터!L982</f>
        <v>0</v>
      </c>
      <c r="M982" s="21">
        <f t="shared" si="30"/>
        <v>45500</v>
      </c>
      <c r="N982" s="52">
        <f t="shared" si="31"/>
        <v>1</v>
      </c>
    </row>
    <row r="983" spans="1:14" x14ac:dyDescent="0.3">
      <c r="A983" t="str">
        <f>정규화데이터!A983</f>
        <v>리씽크</v>
      </c>
      <c r="B983" t="str">
        <f>정규화데이터!B983</f>
        <v>2026020507593910000</v>
      </c>
      <c r="C983" t="str">
        <f>정규화데이터!C983</f>
        <v>2026-02-05</v>
      </c>
      <c r="D983">
        <f>정규화데이터!D983</f>
        <v>143790</v>
      </c>
      <c r="E983" s="16" t="str">
        <f>정규화데이터!E983</f>
        <v>SKU001</v>
      </c>
      <c r="F983" s="3">
        <f>정규화데이터!F983</f>
        <v>4</v>
      </c>
      <c r="G983" s="3">
        <f>정규화데이터!G983</f>
        <v>1</v>
      </c>
      <c r="H983" s="3">
        <f>정규화데이터!H983</f>
        <v>45500</v>
      </c>
      <c r="I983" s="3">
        <f>정규화데이터!I983</f>
        <v>45500</v>
      </c>
      <c r="J983" s="3">
        <f>정규화데이터!J983</f>
        <v>45500</v>
      </c>
      <c r="K983" s="25" t="str">
        <f>정규화데이터!K983</f>
        <v>[워커힐] 시그니처 양념갈비 300G</v>
      </c>
      <c r="L983" s="25">
        <f>정규화데이터!L983</f>
        <v>0</v>
      </c>
      <c r="M983" s="21">
        <f t="shared" si="30"/>
        <v>45500</v>
      </c>
      <c r="N983" s="52">
        <f t="shared" si="31"/>
        <v>1</v>
      </c>
    </row>
    <row r="984" spans="1:14" x14ac:dyDescent="0.3">
      <c r="A984" t="str">
        <f>정규화데이터!A984</f>
        <v>리씽크</v>
      </c>
      <c r="B984" t="str">
        <f>정규화데이터!B984</f>
        <v>2026020508051210000</v>
      </c>
      <c r="C984" t="str">
        <f>정규화데이터!C984</f>
        <v>2026-02-05</v>
      </c>
      <c r="D984">
        <f>정규화데이터!D984</f>
        <v>143790</v>
      </c>
      <c r="E984" s="16" t="str">
        <f>정규화데이터!E984</f>
        <v>SKU001</v>
      </c>
      <c r="F984" s="3">
        <f>정규화데이터!F984</f>
        <v>4</v>
      </c>
      <c r="G984" s="3">
        <f>정규화데이터!G984</f>
        <v>2</v>
      </c>
      <c r="H984" s="3">
        <f>정규화데이터!H984</f>
        <v>45500</v>
      </c>
      <c r="I984" s="3">
        <f>정규화데이터!I984</f>
        <v>91000</v>
      </c>
      <c r="J984" s="3">
        <f>정규화데이터!J984</f>
        <v>91000</v>
      </c>
      <c r="K984" s="25" t="str">
        <f>정규화데이터!K984</f>
        <v>[워커힐] 시그니처 양념갈비 300G</v>
      </c>
      <c r="L984" s="25">
        <f>정규화데이터!L984</f>
        <v>0</v>
      </c>
      <c r="M984" s="21">
        <f t="shared" si="30"/>
        <v>91000</v>
      </c>
      <c r="N984" s="52">
        <f t="shared" si="31"/>
        <v>1</v>
      </c>
    </row>
    <row r="985" spans="1:14" x14ac:dyDescent="0.3">
      <c r="A985" t="str">
        <f>정규화데이터!A985</f>
        <v>리씽크</v>
      </c>
      <c r="B985" t="str">
        <f>정규화데이터!B985</f>
        <v>2026020508042730000</v>
      </c>
      <c r="C985" t="str">
        <f>정규화데이터!C985</f>
        <v>2026-02-05</v>
      </c>
      <c r="D985">
        <f>정규화데이터!D985</f>
        <v>143790</v>
      </c>
      <c r="E985" s="16" t="str">
        <f>정규화데이터!E985</f>
        <v>SKU001</v>
      </c>
      <c r="F985" s="3">
        <f>정규화데이터!F985</f>
        <v>4</v>
      </c>
      <c r="G985" s="3">
        <f>정규화데이터!G985</f>
        <v>1</v>
      </c>
      <c r="H985" s="3">
        <f>정규화데이터!H985</f>
        <v>45500</v>
      </c>
      <c r="I985" s="3">
        <f>정규화데이터!I985</f>
        <v>45500</v>
      </c>
      <c r="J985" s="3">
        <f>정규화데이터!J985</f>
        <v>45500</v>
      </c>
      <c r="K985" s="25" t="str">
        <f>정규화데이터!K985</f>
        <v>[워커힐] 시그니처 양념갈비 300G</v>
      </c>
      <c r="L985" s="25">
        <f>정규화데이터!L985</f>
        <v>0</v>
      </c>
      <c r="M985" s="21">
        <f t="shared" si="30"/>
        <v>45500</v>
      </c>
      <c r="N985" s="52">
        <f t="shared" si="31"/>
        <v>1</v>
      </c>
    </row>
    <row r="986" spans="1:14" x14ac:dyDescent="0.3">
      <c r="A986" t="str">
        <f>정규화데이터!A986</f>
        <v>리씽크</v>
      </c>
      <c r="B986" t="str">
        <f>정규화데이터!B986</f>
        <v>2026020508013660000</v>
      </c>
      <c r="C986" t="str">
        <f>정규화데이터!C986</f>
        <v>2026-02-05</v>
      </c>
      <c r="D986">
        <f>정규화데이터!D986</f>
        <v>143790</v>
      </c>
      <c r="E986" s="16" t="str">
        <f>정규화데이터!E986</f>
        <v>SKU001</v>
      </c>
      <c r="F986" s="3">
        <f>정규화데이터!F986</f>
        <v>4</v>
      </c>
      <c r="G986" s="3">
        <f>정규화데이터!G986</f>
        <v>1</v>
      </c>
      <c r="H986" s="3">
        <f>정규화데이터!H986</f>
        <v>45500</v>
      </c>
      <c r="I986" s="3">
        <f>정규화데이터!I986</f>
        <v>45500</v>
      </c>
      <c r="J986" s="3">
        <f>정규화데이터!J986</f>
        <v>45500</v>
      </c>
      <c r="K986" s="25" t="str">
        <f>정규화데이터!K986</f>
        <v>[워커힐] 시그니처 양념갈비 300G</v>
      </c>
      <c r="L986" s="25">
        <f>정규화데이터!L986</f>
        <v>0</v>
      </c>
      <c r="M986" s="21">
        <f t="shared" si="30"/>
        <v>45500</v>
      </c>
      <c r="N986" s="52">
        <f t="shared" si="31"/>
        <v>1</v>
      </c>
    </row>
    <row r="987" spans="1:14" x14ac:dyDescent="0.3">
      <c r="A987" t="str">
        <f>정규화데이터!A987</f>
        <v>리씽크</v>
      </c>
      <c r="B987" t="str">
        <f>정규화데이터!B987</f>
        <v>2026020507561960000</v>
      </c>
      <c r="C987" t="str">
        <f>정규화데이터!C987</f>
        <v>2026-02-05</v>
      </c>
      <c r="D987">
        <f>정규화데이터!D987</f>
        <v>143790</v>
      </c>
      <c r="E987" s="16" t="str">
        <f>정규화데이터!E987</f>
        <v>SKU001</v>
      </c>
      <c r="F987" s="3">
        <f>정규화데이터!F987</f>
        <v>4</v>
      </c>
      <c r="G987" s="3">
        <f>정규화데이터!G987</f>
        <v>1</v>
      </c>
      <c r="H987" s="3">
        <f>정규화데이터!H987</f>
        <v>45500</v>
      </c>
      <c r="I987" s="3">
        <f>정규화데이터!I987</f>
        <v>45500</v>
      </c>
      <c r="J987" s="3">
        <f>정규화데이터!J987</f>
        <v>45500</v>
      </c>
      <c r="K987" s="25" t="str">
        <f>정규화데이터!K987</f>
        <v>[워커힐] 시그니처 양념갈비 300G</v>
      </c>
      <c r="L987" s="25">
        <f>정규화데이터!L987</f>
        <v>0</v>
      </c>
      <c r="M987" s="21">
        <f t="shared" si="30"/>
        <v>45500</v>
      </c>
      <c r="N987" s="52">
        <f t="shared" si="31"/>
        <v>1</v>
      </c>
    </row>
    <row r="988" spans="1:14" x14ac:dyDescent="0.3">
      <c r="A988" t="str">
        <f>정규화데이터!A988</f>
        <v>리씽크</v>
      </c>
      <c r="B988" t="str">
        <f>정규화데이터!B988</f>
        <v>2026020508025940000</v>
      </c>
      <c r="C988" t="str">
        <f>정규화데이터!C988</f>
        <v>2026-02-05</v>
      </c>
      <c r="D988">
        <f>정규화데이터!D988</f>
        <v>143790</v>
      </c>
      <c r="E988" s="16" t="str">
        <f>정규화데이터!E988</f>
        <v>SKU001</v>
      </c>
      <c r="F988" s="3">
        <f>정규화데이터!F988</f>
        <v>4</v>
      </c>
      <c r="G988" s="3">
        <f>정규화데이터!G988</f>
        <v>1</v>
      </c>
      <c r="H988" s="3">
        <f>정규화데이터!H988</f>
        <v>45500</v>
      </c>
      <c r="I988" s="3">
        <f>정규화데이터!I988</f>
        <v>45500</v>
      </c>
      <c r="J988" s="3">
        <f>정규화데이터!J988</f>
        <v>45500</v>
      </c>
      <c r="K988" s="25" t="str">
        <f>정규화데이터!K988</f>
        <v>[워커힐] 시그니처 양념갈비 300G</v>
      </c>
      <c r="L988" s="25">
        <f>정규화데이터!L988</f>
        <v>0</v>
      </c>
      <c r="M988" s="21">
        <f t="shared" si="30"/>
        <v>45500</v>
      </c>
      <c r="N988" s="52">
        <f t="shared" si="31"/>
        <v>1</v>
      </c>
    </row>
    <row r="989" spans="1:14" x14ac:dyDescent="0.3">
      <c r="A989" t="str">
        <f>정규화데이터!A989</f>
        <v>리씽크</v>
      </c>
      <c r="B989" t="str">
        <f>정규화데이터!B989</f>
        <v>2026020508000550000</v>
      </c>
      <c r="C989" t="str">
        <f>정규화데이터!C989</f>
        <v>2026-02-05</v>
      </c>
      <c r="D989">
        <f>정규화데이터!D989</f>
        <v>143790</v>
      </c>
      <c r="E989" s="16" t="str">
        <f>정규화데이터!E989</f>
        <v>SKU001</v>
      </c>
      <c r="F989" s="3">
        <f>정규화데이터!F989</f>
        <v>4</v>
      </c>
      <c r="G989" s="3">
        <f>정규화데이터!G989</f>
        <v>1</v>
      </c>
      <c r="H989" s="3">
        <f>정규화데이터!H989</f>
        <v>45500</v>
      </c>
      <c r="I989" s="3">
        <f>정규화데이터!I989</f>
        <v>45500</v>
      </c>
      <c r="J989" s="3">
        <f>정규화데이터!J989</f>
        <v>45500</v>
      </c>
      <c r="K989" s="25" t="str">
        <f>정규화데이터!K989</f>
        <v>[워커힐] 시그니처 양념갈비 300G</v>
      </c>
      <c r="L989" s="25">
        <f>정규화데이터!L989</f>
        <v>0</v>
      </c>
      <c r="M989" s="21">
        <f t="shared" si="30"/>
        <v>45500</v>
      </c>
      <c r="N989" s="52">
        <f t="shared" si="31"/>
        <v>1</v>
      </c>
    </row>
    <row r="990" spans="1:14" x14ac:dyDescent="0.3">
      <c r="A990" t="str">
        <f>정규화데이터!A990</f>
        <v>리씽크</v>
      </c>
      <c r="B990" t="str">
        <f>정규화데이터!B990</f>
        <v>2026020508025510000</v>
      </c>
      <c r="C990" t="str">
        <f>정규화데이터!C990</f>
        <v>2026-02-05</v>
      </c>
      <c r="D990">
        <f>정규화데이터!D990</f>
        <v>143790</v>
      </c>
      <c r="E990" s="16" t="str">
        <f>정규화데이터!E990</f>
        <v>SKU001</v>
      </c>
      <c r="F990" s="3">
        <f>정규화데이터!F990</f>
        <v>4</v>
      </c>
      <c r="G990" s="3">
        <f>정규화데이터!G990</f>
        <v>1</v>
      </c>
      <c r="H990" s="3">
        <f>정규화데이터!H990</f>
        <v>45500</v>
      </c>
      <c r="I990" s="3">
        <f>정규화데이터!I990</f>
        <v>45500</v>
      </c>
      <c r="J990" s="3">
        <f>정규화데이터!J990</f>
        <v>45500</v>
      </c>
      <c r="K990" s="25" t="str">
        <f>정규화데이터!K990</f>
        <v>[워커힐] 시그니처 양념갈비 300G</v>
      </c>
      <c r="L990" s="25">
        <f>정규화데이터!L990</f>
        <v>0</v>
      </c>
      <c r="M990" s="21">
        <f t="shared" si="30"/>
        <v>45500</v>
      </c>
      <c r="N990" s="52">
        <f t="shared" si="31"/>
        <v>1</v>
      </c>
    </row>
    <row r="991" spans="1:14" x14ac:dyDescent="0.3">
      <c r="A991" t="str">
        <f>정규화데이터!A991</f>
        <v>리씽크</v>
      </c>
      <c r="B991" t="str">
        <f>정규화데이터!B991</f>
        <v>2026020508011960000</v>
      </c>
      <c r="C991" t="str">
        <f>정규화데이터!C991</f>
        <v>2026-02-05</v>
      </c>
      <c r="D991">
        <f>정규화데이터!D991</f>
        <v>143790</v>
      </c>
      <c r="E991" s="16" t="str">
        <f>정규화데이터!E991</f>
        <v>SKU001</v>
      </c>
      <c r="F991" s="3">
        <f>정규화데이터!F991</f>
        <v>4</v>
      </c>
      <c r="G991" s="3">
        <f>정규화데이터!G991</f>
        <v>1</v>
      </c>
      <c r="H991" s="3">
        <f>정규화데이터!H991</f>
        <v>45500</v>
      </c>
      <c r="I991" s="3">
        <f>정규화데이터!I991</f>
        <v>45500</v>
      </c>
      <c r="J991" s="3">
        <f>정규화데이터!J991</f>
        <v>45500</v>
      </c>
      <c r="K991" s="25" t="str">
        <f>정규화데이터!K991</f>
        <v>[워커힐] 시그니처 양념갈비 300G</v>
      </c>
      <c r="L991" s="25">
        <f>정규화데이터!L991</f>
        <v>0</v>
      </c>
      <c r="M991" s="21">
        <f t="shared" si="30"/>
        <v>45500</v>
      </c>
      <c r="N991" s="52">
        <f t="shared" si="31"/>
        <v>1</v>
      </c>
    </row>
    <row r="992" spans="1:14" x14ac:dyDescent="0.3">
      <c r="A992" t="str">
        <f>정규화데이터!A992</f>
        <v>리씽크</v>
      </c>
      <c r="B992" t="str">
        <f>정규화데이터!B992</f>
        <v>2026020508012630000</v>
      </c>
      <c r="C992" t="str">
        <f>정규화데이터!C992</f>
        <v>2026-02-05</v>
      </c>
      <c r="D992">
        <f>정규화데이터!D992</f>
        <v>143790</v>
      </c>
      <c r="E992" s="16" t="str">
        <f>정규화데이터!E992</f>
        <v>SKU001</v>
      </c>
      <c r="F992" s="3">
        <f>정규화데이터!F992</f>
        <v>4</v>
      </c>
      <c r="G992" s="3">
        <f>정규화데이터!G992</f>
        <v>1</v>
      </c>
      <c r="H992" s="3">
        <f>정규화데이터!H992</f>
        <v>45500</v>
      </c>
      <c r="I992" s="3">
        <f>정규화데이터!I992</f>
        <v>45500</v>
      </c>
      <c r="J992" s="3">
        <f>정규화데이터!J992</f>
        <v>45500</v>
      </c>
      <c r="K992" s="25" t="str">
        <f>정규화데이터!K992</f>
        <v>[워커힐] 시그니처 양념갈비 300G</v>
      </c>
      <c r="L992" s="25">
        <f>정규화데이터!L992</f>
        <v>0</v>
      </c>
      <c r="M992" s="21">
        <f t="shared" si="30"/>
        <v>45500</v>
      </c>
      <c r="N992" s="52">
        <f t="shared" si="31"/>
        <v>1</v>
      </c>
    </row>
    <row r="993" spans="1:14" x14ac:dyDescent="0.3">
      <c r="A993" t="str">
        <f>정규화데이터!A993</f>
        <v>리씽크</v>
      </c>
      <c r="B993" t="str">
        <f>정규화데이터!B993</f>
        <v>2026020507572800000</v>
      </c>
      <c r="C993" t="str">
        <f>정규화데이터!C993</f>
        <v>2026-02-05</v>
      </c>
      <c r="D993">
        <f>정규화데이터!D993</f>
        <v>143790</v>
      </c>
      <c r="E993" s="16" t="str">
        <f>정규화데이터!E993</f>
        <v>SKU001</v>
      </c>
      <c r="F993" s="3">
        <f>정규화데이터!F993</f>
        <v>4</v>
      </c>
      <c r="G993" s="3">
        <f>정규화데이터!G993</f>
        <v>1</v>
      </c>
      <c r="H993" s="3">
        <f>정규화데이터!H993</f>
        <v>45500</v>
      </c>
      <c r="I993" s="3">
        <f>정규화데이터!I993</f>
        <v>45500</v>
      </c>
      <c r="J993" s="3">
        <f>정규화데이터!J993</f>
        <v>45500</v>
      </c>
      <c r="K993" s="25" t="str">
        <f>정규화데이터!K993</f>
        <v>[워커힐] 시그니처 양념갈비 300G</v>
      </c>
      <c r="L993" s="25">
        <f>정규화데이터!L993</f>
        <v>0</v>
      </c>
      <c r="M993" s="21">
        <f t="shared" si="30"/>
        <v>45500</v>
      </c>
      <c r="N993" s="52">
        <f t="shared" si="31"/>
        <v>1</v>
      </c>
    </row>
    <row r="994" spans="1:14" x14ac:dyDescent="0.3">
      <c r="A994" t="str">
        <f>정규화데이터!A994</f>
        <v>리씽크</v>
      </c>
      <c r="B994" t="str">
        <f>정규화데이터!B994</f>
        <v>2026020508012310000</v>
      </c>
      <c r="C994" t="str">
        <f>정규화데이터!C994</f>
        <v>2026-02-05</v>
      </c>
      <c r="D994">
        <f>정규화데이터!D994</f>
        <v>143790</v>
      </c>
      <c r="E994" s="16" t="str">
        <f>정규화데이터!E994</f>
        <v>SKU001</v>
      </c>
      <c r="F994" s="3">
        <f>정규화데이터!F994</f>
        <v>4</v>
      </c>
      <c r="G994" s="3">
        <f>정규화데이터!G994</f>
        <v>1</v>
      </c>
      <c r="H994" s="3">
        <f>정규화데이터!H994</f>
        <v>45500</v>
      </c>
      <c r="I994" s="3">
        <f>정규화데이터!I994</f>
        <v>45500</v>
      </c>
      <c r="J994" s="3">
        <f>정규화데이터!J994</f>
        <v>45500</v>
      </c>
      <c r="K994" s="25" t="str">
        <f>정규화데이터!K994</f>
        <v>[워커힐] 시그니처 양념갈비 300G</v>
      </c>
      <c r="L994" s="25">
        <f>정규화데이터!L994</f>
        <v>0</v>
      </c>
      <c r="M994" s="21">
        <f t="shared" si="30"/>
        <v>45500</v>
      </c>
      <c r="N994" s="52">
        <f t="shared" si="31"/>
        <v>1</v>
      </c>
    </row>
    <row r="995" spans="1:14" x14ac:dyDescent="0.3">
      <c r="A995" t="str">
        <f>정규화데이터!A995</f>
        <v>리씽크</v>
      </c>
      <c r="B995" t="str">
        <f>정규화데이터!B995</f>
        <v>2026020508002840000</v>
      </c>
      <c r="C995" t="str">
        <f>정규화데이터!C995</f>
        <v>2026-02-05</v>
      </c>
      <c r="D995">
        <f>정규화데이터!D995</f>
        <v>143790</v>
      </c>
      <c r="E995" s="16" t="str">
        <f>정규화데이터!E995</f>
        <v>SKU001</v>
      </c>
      <c r="F995" s="3">
        <f>정규화데이터!F995</f>
        <v>4</v>
      </c>
      <c r="G995" s="3">
        <f>정규화데이터!G995</f>
        <v>1</v>
      </c>
      <c r="H995" s="3">
        <f>정규화데이터!H995</f>
        <v>45500</v>
      </c>
      <c r="I995" s="3">
        <f>정규화데이터!I995</f>
        <v>45500</v>
      </c>
      <c r="J995" s="3">
        <f>정규화데이터!J995</f>
        <v>45500</v>
      </c>
      <c r="K995" s="25" t="str">
        <f>정규화데이터!K995</f>
        <v>[워커힐] 시그니처 양념갈비 300G</v>
      </c>
      <c r="L995" s="25">
        <f>정규화데이터!L995</f>
        <v>0</v>
      </c>
      <c r="M995" s="21">
        <f t="shared" si="30"/>
        <v>45500</v>
      </c>
      <c r="N995" s="52">
        <f t="shared" si="31"/>
        <v>1</v>
      </c>
    </row>
    <row r="996" spans="1:14" x14ac:dyDescent="0.3">
      <c r="A996" t="str">
        <f>정규화데이터!A996</f>
        <v>리씽크</v>
      </c>
      <c r="B996" t="str">
        <f>정규화데이터!B996</f>
        <v>2026020507595840000</v>
      </c>
      <c r="C996" t="str">
        <f>정규화데이터!C996</f>
        <v>2026-02-05</v>
      </c>
      <c r="D996">
        <f>정규화데이터!D996</f>
        <v>143790</v>
      </c>
      <c r="E996" s="16" t="str">
        <f>정규화데이터!E996</f>
        <v>SKU001</v>
      </c>
      <c r="F996" s="3">
        <f>정규화데이터!F996</f>
        <v>4</v>
      </c>
      <c r="G996" s="3">
        <f>정규화데이터!G996</f>
        <v>1</v>
      </c>
      <c r="H996" s="3">
        <f>정규화데이터!H996</f>
        <v>45500</v>
      </c>
      <c r="I996" s="3">
        <f>정규화데이터!I996</f>
        <v>45500</v>
      </c>
      <c r="J996" s="3">
        <f>정규화데이터!J996</f>
        <v>45500</v>
      </c>
      <c r="K996" s="25" t="str">
        <f>정규화데이터!K996</f>
        <v>[워커힐] 시그니처 양념갈비 300G</v>
      </c>
      <c r="L996" s="25">
        <f>정규화데이터!L996</f>
        <v>0</v>
      </c>
      <c r="M996" s="21">
        <f t="shared" si="30"/>
        <v>45500</v>
      </c>
      <c r="N996" s="52">
        <f t="shared" si="31"/>
        <v>1</v>
      </c>
    </row>
    <row r="997" spans="1:14" x14ac:dyDescent="0.3">
      <c r="A997" t="str">
        <f>정규화데이터!A997</f>
        <v>리씽크</v>
      </c>
      <c r="B997" t="str">
        <f>정규화데이터!B997</f>
        <v>2026020508005700000</v>
      </c>
      <c r="C997" t="str">
        <f>정규화데이터!C997</f>
        <v>2026-02-05</v>
      </c>
      <c r="D997">
        <f>정규화데이터!D997</f>
        <v>143790</v>
      </c>
      <c r="E997" s="16" t="str">
        <f>정규화데이터!E997</f>
        <v>SKU001</v>
      </c>
      <c r="F997" s="3">
        <f>정규화데이터!F997</f>
        <v>4</v>
      </c>
      <c r="G997" s="3">
        <f>정규화데이터!G997</f>
        <v>1</v>
      </c>
      <c r="H997" s="3">
        <f>정규화데이터!H997</f>
        <v>45500</v>
      </c>
      <c r="I997" s="3">
        <f>정규화데이터!I997</f>
        <v>45500</v>
      </c>
      <c r="J997" s="3">
        <f>정규화데이터!J997</f>
        <v>45500</v>
      </c>
      <c r="K997" s="25" t="str">
        <f>정규화데이터!K997</f>
        <v>[워커힐] 시그니처 양념갈비 300G</v>
      </c>
      <c r="L997" s="25">
        <f>정규화데이터!L997</f>
        <v>0</v>
      </c>
      <c r="M997" s="21">
        <f t="shared" si="30"/>
        <v>45500</v>
      </c>
      <c r="N997" s="52">
        <f t="shared" si="31"/>
        <v>1</v>
      </c>
    </row>
    <row r="998" spans="1:14" x14ac:dyDescent="0.3">
      <c r="A998" t="str">
        <f>정규화데이터!A998</f>
        <v>리씽크</v>
      </c>
      <c r="B998" t="str">
        <f>정규화데이터!B998</f>
        <v>2026020507575190000</v>
      </c>
      <c r="C998" t="str">
        <f>정규화데이터!C998</f>
        <v>2026-02-05</v>
      </c>
      <c r="D998">
        <f>정규화데이터!D998</f>
        <v>143790</v>
      </c>
      <c r="E998" s="16" t="str">
        <f>정규화데이터!E998</f>
        <v>SKU001</v>
      </c>
      <c r="F998" s="3">
        <f>정규화데이터!F998</f>
        <v>4</v>
      </c>
      <c r="G998" s="3">
        <f>정규화데이터!G998</f>
        <v>1</v>
      </c>
      <c r="H998" s="3">
        <f>정규화데이터!H998</f>
        <v>45500</v>
      </c>
      <c r="I998" s="3">
        <f>정규화데이터!I998</f>
        <v>45500</v>
      </c>
      <c r="J998" s="3">
        <f>정규화데이터!J998</f>
        <v>45500</v>
      </c>
      <c r="K998" s="25" t="str">
        <f>정규화데이터!K998</f>
        <v>[워커힐] 시그니처 양념갈비 300G</v>
      </c>
      <c r="L998" s="25">
        <f>정규화데이터!L998</f>
        <v>0</v>
      </c>
      <c r="M998" s="21">
        <f t="shared" si="30"/>
        <v>45500</v>
      </c>
      <c r="N998" s="52">
        <f t="shared" si="31"/>
        <v>1</v>
      </c>
    </row>
    <row r="999" spans="1:14" x14ac:dyDescent="0.3">
      <c r="A999" t="str">
        <f>정규화데이터!A999</f>
        <v>리씽크</v>
      </c>
      <c r="B999" t="str">
        <f>정규화데이터!B999</f>
        <v>2026020508005390000</v>
      </c>
      <c r="C999" t="str">
        <f>정규화데이터!C999</f>
        <v>2026-02-05</v>
      </c>
      <c r="D999">
        <f>정규화데이터!D999</f>
        <v>143790</v>
      </c>
      <c r="E999" s="16" t="str">
        <f>정규화데이터!E999</f>
        <v>SKU001</v>
      </c>
      <c r="F999" s="3">
        <f>정규화데이터!F999</f>
        <v>4</v>
      </c>
      <c r="G999" s="3">
        <f>정규화데이터!G999</f>
        <v>1</v>
      </c>
      <c r="H999" s="3">
        <f>정규화데이터!H999</f>
        <v>45500</v>
      </c>
      <c r="I999" s="3">
        <f>정규화데이터!I999</f>
        <v>45500</v>
      </c>
      <c r="J999" s="3">
        <f>정규화데이터!J999</f>
        <v>45500</v>
      </c>
      <c r="K999" s="25" t="str">
        <f>정규화데이터!K999</f>
        <v>[워커힐] 시그니처 양념갈비 300G</v>
      </c>
      <c r="L999" s="25">
        <f>정규화데이터!L999</f>
        <v>0</v>
      </c>
      <c r="M999" s="21">
        <f t="shared" si="30"/>
        <v>45500</v>
      </c>
      <c r="N999" s="52">
        <f t="shared" si="31"/>
        <v>1</v>
      </c>
    </row>
    <row r="1000" spans="1:14" x14ac:dyDescent="0.3">
      <c r="A1000" t="str">
        <f>정규화데이터!A1000</f>
        <v>리씽크</v>
      </c>
      <c r="B1000" t="str">
        <f>정규화데이터!B1000</f>
        <v>2026020507590050000</v>
      </c>
      <c r="C1000" t="str">
        <f>정규화데이터!C1000</f>
        <v>2026-02-05</v>
      </c>
      <c r="D1000">
        <f>정규화데이터!D1000</f>
        <v>143790</v>
      </c>
      <c r="E1000" s="16" t="str">
        <f>정규화데이터!E1000</f>
        <v>SKU001</v>
      </c>
      <c r="F1000" s="3">
        <f>정규화데이터!F1000</f>
        <v>4</v>
      </c>
      <c r="G1000" s="3">
        <f>정규화데이터!G1000</f>
        <v>1</v>
      </c>
      <c r="H1000" s="3">
        <f>정규화데이터!H1000</f>
        <v>45500</v>
      </c>
      <c r="I1000" s="3">
        <f>정규화데이터!I1000</f>
        <v>45500</v>
      </c>
      <c r="J1000" s="3">
        <f>정규화데이터!J1000</f>
        <v>45500</v>
      </c>
      <c r="K1000" s="25" t="str">
        <f>정규화데이터!K1000</f>
        <v>[워커힐] 시그니처 양념갈비 300G</v>
      </c>
      <c r="L1000" s="25">
        <f>정규화데이터!L1000</f>
        <v>0</v>
      </c>
      <c r="M1000" s="21">
        <f t="shared" si="30"/>
        <v>45500</v>
      </c>
      <c r="N1000" s="52">
        <f t="shared" si="31"/>
        <v>1</v>
      </c>
    </row>
    <row r="1001" spans="1:14" x14ac:dyDescent="0.3">
      <c r="A1001" t="str">
        <f>정규화데이터!A1001</f>
        <v>리씽크</v>
      </c>
      <c r="B1001" t="str">
        <f>정규화데이터!B1001</f>
        <v>2026020507573810000</v>
      </c>
      <c r="C1001" t="str">
        <f>정규화데이터!C1001</f>
        <v>2026-02-05</v>
      </c>
      <c r="D1001">
        <f>정규화데이터!D1001</f>
        <v>143790</v>
      </c>
      <c r="E1001" s="16" t="str">
        <f>정규화데이터!E1001</f>
        <v>SKU001</v>
      </c>
      <c r="F1001" s="3">
        <f>정규화데이터!F1001</f>
        <v>4</v>
      </c>
      <c r="G1001" s="3">
        <f>정규화데이터!G1001</f>
        <v>1</v>
      </c>
      <c r="H1001" s="3">
        <f>정규화데이터!H1001</f>
        <v>45500</v>
      </c>
      <c r="I1001" s="3">
        <f>정규화데이터!I1001</f>
        <v>45500</v>
      </c>
      <c r="J1001" s="3">
        <f>정규화데이터!J1001</f>
        <v>45500</v>
      </c>
      <c r="K1001" s="25" t="str">
        <f>정규화데이터!K1001</f>
        <v>[워커힐] 시그니처 양념갈비 300G</v>
      </c>
      <c r="L1001" s="25">
        <f>정규화데이터!L1001</f>
        <v>0</v>
      </c>
      <c r="M1001" s="21">
        <f t="shared" si="30"/>
        <v>45500</v>
      </c>
      <c r="N1001" s="52">
        <f t="shared" si="31"/>
        <v>1</v>
      </c>
    </row>
    <row r="1002" spans="1:14" x14ac:dyDescent="0.3">
      <c r="A1002" t="str">
        <f>정규화데이터!A1002</f>
        <v>리씽크</v>
      </c>
      <c r="B1002" t="str">
        <f>정규화데이터!B1002</f>
        <v>2026020508003560000</v>
      </c>
      <c r="C1002" t="str">
        <f>정규화데이터!C1002</f>
        <v>2026-02-05</v>
      </c>
      <c r="D1002">
        <f>정규화데이터!D1002</f>
        <v>143790</v>
      </c>
      <c r="E1002" s="16" t="str">
        <f>정규화데이터!E1002</f>
        <v>SKU001</v>
      </c>
      <c r="F1002" s="3">
        <f>정규화데이터!F1002</f>
        <v>4</v>
      </c>
      <c r="G1002" s="3">
        <f>정규화데이터!G1002</f>
        <v>1</v>
      </c>
      <c r="H1002" s="3">
        <f>정규화데이터!H1002</f>
        <v>45500</v>
      </c>
      <c r="I1002" s="3">
        <f>정규화데이터!I1002</f>
        <v>45500</v>
      </c>
      <c r="J1002" s="3">
        <f>정규화데이터!J1002</f>
        <v>45500</v>
      </c>
      <c r="K1002" s="25" t="str">
        <f>정규화데이터!K1002</f>
        <v>[워커힐] 시그니처 양념갈비 300G</v>
      </c>
      <c r="L1002" s="25">
        <f>정규화데이터!L1002</f>
        <v>0</v>
      </c>
      <c r="M1002" s="21">
        <f t="shared" si="30"/>
        <v>45500</v>
      </c>
      <c r="N1002" s="52">
        <f t="shared" si="31"/>
        <v>1</v>
      </c>
    </row>
    <row r="1003" spans="1:14" x14ac:dyDescent="0.3">
      <c r="A1003" t="str">
        <f>정규화데이터!A1003</f>
        <v>리씽크</v>
      </c>
      <c r="B1003" t="str">
        <f>정규화데이터!B1003</f>
        <v>2026020507591000000</v>
      </c>
      <c r="C1003" t="str">
        <f>정규화데이터!C1003</f>
        <v>2026-02-05</v>
      </c>
      <c r="D1003">
        <f>정규화데이터!D1003</f>
        <v>143790</v>
      </c>
      <c r="E1003" s="16" t="str">
        <f>정규화데이터!E1003</f>
        <v>SKU001</v>
      </c>
      <c r="F1003" s="3">
        <f>정규화데이터!F1003</f>
        <v>4</v>
      </c>
      <c r="G1003" s="3">
        <f>정규화데이터!G1003</f>
        <v>1</v>
      </c>
      <c r="H1003" s="3">
        <f>정규화데이터!H1003</f>
        <v>45500</v>
      </c>
      <c r="I1003" s="3">
        <f>정규화데이터!I1003</f>
        <v>45500</v>
      </c>
      <c r="J1003" s="3">
        <f>정규화데이터!J1003</f>
        <v>45500</v>
      </c>
      <c r="K1003" s="25" t="str">
        <f>정규화데이터!K1003</f>
        <v>[워커힐] 시그니처 양념갈비 300G</v>
      </c>
      <c r="L1003" s="25">
        <f>정규화데이터!L1003</f>
        <v>0</v>
      </c>
      <c r="M1003" s="21">
        <f t="shared" si="30"/>
        <v>45500</v>
      </c>
      <c r="N1003" s="52">
        <f t="shared" si="31"/>
        <v>1</v>
      </c>
    </row>
    <row r="1004" spans="1:14" x14ac:dyDescent="0.3">
      <c r="A1004" t="str">
        <f>정규화데이터!A1004</f>
        <v>리씽크</v>
      </c>
      <c r="B1004" t="str">
        <f>정규화데이터!B1004</f>
        <v>2026020507595980000</v>
      </c>
      <c r="C1004" t="str">
        <f>정규화데이터!C1004</f>
        <v>2026-02-05</v>
      </c>
      <c r="D1004">
        <f>정규화데이터!D1004</f>
        <v>143790</v>
      </c>
      <c r="E1004" s="16" t="str">
        <f>정규화데이터!E1004</f>
        <v>SKU001</v>
      </c>
      <c r="F1004" s="3">
        <f>정규화데이터!F1004</f>
        <v>4</v>
      </c>
      <c r="G1004" s="3">
        <f>정규화데이터!G1004</f>
        <v>1</v>
      </c>
      <c r="H1004" s="3">
        <f>정규화데이터!H1004</f>
        <v>45500</v>
      </c>
      <c r="I1004" s="3">
        <f>정규화데이터!I1004</f>
        <v>45500</v>
      </c>
      <c r="J1004" s="3">
        <f>정규화데이터!J1004</f>
        <v>45500</v>
      </c>
      <c r="K1004" s="25" t="str">
        <f>정규화데이터!K1004</f>
        <v>[워커힐] 시그니처 양념갈비 300G</v>
      </c>
      <c r="L1004" s="25">
        <f>정규화데이터!L1004</f>
        <v>0</v>
      </c>
      <c r="M1004" s="21">
        <f t="shared" si="30"/>
        <v>45500</v>
      </c>
      <c r="N1004" s="52">
        <f t="shared" si="31"/>
        <v>1</v>
      </c>
    </row>
    <row r="1005" spans="1:14" x14ac:dyDescent="0.3">
      <c r="A1005" t="str">
        <f>정규화데이터!A1005</f>
        <v>리씽크</v>
      </c>
      <c r="B1005" t="str">
        <f>정규화데이터!B1005</f>
        <v>2026020507581490000</v>
      </c>
      <c r="C1005" t="str">
        <f>정규화데이터!C1005</f>
        <v>2026-02-05</v>
      </c>
      <c r="D1005">
        <f>정규화데이터!D1005</f>
        <v>143790</v>
      </c>
      <c r="E1005" s="16" t="str">
        <f>정규화데이터!E1005</f>
        <v>SKU001</v>
      </c>
      <c r="F1005" s="3">
        <f>정규화데이터!F1005</f>
        <v>4</v>
      </c>
      <c r="G1005" s="3">
        <f>정규화데이터!G1005</f>
        <v>1</v>
      </c>
      <c r="H1005" s="3">
        <f>정규화데이터!H1005</f>
        <v>45500</v>
      </c>
      <c r="I1005" s="3">
        <f>정규화데이터!I1005</f>
        <v>45500</v>
      </c>
      <c r="J1005" s="3">
        <f>정규화데이터!J1005</f>
        <v>45500</v>
      </c>
      <c r="K1005" s="25" t="str">
        <f>정규화데이터!K1005</f>
        <v>[워커힐] 시그니처 양념갈비 300G</v>
      </c>
      <c r="L1005" s="25">
        <f>정규화데이터!L1005</f>
        <v>0</v>
      </c>
      <c r="M1005" s="21">
        <f t="shared" si="30"/>
        <v>45500</v>
      </c>
      <c r="N1005" s="52">
        <f t="shared" si="31"/>
        <v>1</v>
      </c>
    </row>
    <row r="1006" spans="1:14" x14ac:dyDescent="0.3">
      <c r="A1006" t="str">
        <f>정규화데이터!A1006</f>
        <v>리씽크</v>
      </c>
      <c r="B1006" t="str">
        <f>정규화데이터!B1006</f>
        <v>2026020507584800000</v>
      </c>
      <c r="C1006" t="str">
        <f>정규화데이터!C1006</f>
        <v>2026-02-05</v>
      </c>
      <c r="D1006">
        <f>정규화데이터!D1006</f>
        <v>143790</v>
      </c>
      <c r="E1006" s="16" t="str">
        <f>정규화데이터!E1006</f>
        <v>SKU001</v>
      </c>
      <c r="F1006" s="3">
        <f>정규화데이터!F1006</f>
        <v>4</v>
      </c>
      <c r="G1006" s="3">
        <f>정규화데이터!G1006</f>
        <v>1</v>
      </c>
      <c r="H1006" s="3">
        <f>정규화데이터!H1006</f>
        <v>45500</v>
      </c>
      <c r="I1006" s="3">
        <f>정규화데이터!I1006</f>
        <v>45500</v>
      </c>
      <c r="J1006" s="3">
        <f>정규화데이터!J1006</f>
        <v>45500</v>
      </c>
      <c r="K1006" s="25" t="str">
        <f>정규화데이터!K1006</f>
        <v>[워커힐] 시그니처 양념갈비 300G</v>
      </c>
      <c r="L1006" s="25">
        <f>정규화데이터!L1006</f>
        <v>0</v>
      </c>
      <c r="M1006" s="21">
        <f t="shared" si="30"/>
        <v>45500</v>
      </c>
      <c r="N1006" s="52">
        <f t="shared" si="31"/>
        <v>1</v>
      </c>
    </row>
    <row r="1007" spans="1:14" x14ac:dyDescent="0.3">
      <c r="A1007" t="str">
        <f>정규화데이터!A1007</f>
        <v>리씽크</v>
      </c>
      <c r="B1007" t="str">
        <f>정규화데이터!B1007</f>
        <v>2026020507572900000</v>
      </c>
      <c r="C1007" t="str">
        <f>정규화데이터!C1007</f>
        <v>2026-02-05</v>
      </c>
      <c r="D1007">
        <f>정규화데이터!D1007</f>
        <v>143790</v>
      </c>
      <c r="E1007" s="16" t="str">
        <f>정규화데이터!E1007</f>
        <v>SKU001</v>
      </c>
      <c r="F1007" s="3">
        <f>정규화데이터!F1007</f>
        <v>4</v>
      </c>
      <c r="G1007" s="3">
        <f>정규화데이터!G1007</f>
        <v>1</v>
      </c>
      <c r="H1007" s="3">
        <f>정규화데이터!H1007</f>
        <v>45500</v>
      </c>
      <c r="I1007" s="3">
        <f>정규화데이터!I1007</f>
        <v>45500</v>
      </c>
      <c r="J1007" s="3">
        <f>정규화데이터!J1007</f>
        <v>45500</v>
      </c>
      <c r="K1007" s="25" t="str">
        <f>정규화데이터!K1007</f>
        <v>[워커힐] 시그니처 양념갈비 300G</v>
      </c>
      <c r="L1007" s="25">
        <f>정규화데이터!L1007</f>
        <v>0</v>
      </c>
      <c r="M1007" s="21">
        <f t="shared" si="30"/>
        <v>45500</v>
      </c>
      <c r="N1007" s="52">
        <f t="shared" si="31"/>
        <v>1</v>
      </c>
    </row>
    <row r="1008" spans="1:14" x14ac:dyDescent="0.3">
      <c r="A1008" t="str">
        <f>정규화데이터!A1008</f>
        <v>리씽크</v>
      </c>
      <c r="B1008" t="str">
        <f>정규화데이터!B1008</f>
        <v>2026020507580320000</v>
      </c>
      <c r="C1008" t="str">
        <f>정규화데이터!C1008</f>
        <v>2026-02-05</v>
      </c>
      <c r="D1008">
        <f>정규화데이터!D1008</f>
        <v>143790</v>
      </c>
      <c r="E1008" s="16" t="str">
        <f>정규화데이터!E1008</f>
        <v>SKU001</v>
      </c>
      <c r="F1008" s="3">
        <f>정규화데이터!F1008</f>
        <v>4</v>
      </c>
      <c r="G1008" s="3">
        <f>정규화데이터!G1008</f>
        <v>1</v>
      </c>
      <c r="H1008" s="3">
        <f>정규화데이터!H1008</f>
        <v>45500</v>
      </c>
      <c r="I1008" s="3">
        <f>정규화데이터!I1008</f>
        <v>45500</v>
      </c>
      <c r="J1008" s="3">
        <f>정규화데이터!J1008</f>
        <v>45500</v>
      </c>
      <c r="K1008" s="25" t="str">
        <f>정규화데이터!K1008</f>
        <v>[워커힐] 시그니처 양념갈비 300G</v>
      </c>
      <c r="L1008" s="25">
        <f>정규화데이터!L1008</f>
        <v>0</v>
      </c>
      <c r="M1008" s="21">
        <f t="shared" si="30"/>
        <v>45500</v>
      </c>
      <c r="N1008" s="52">
        <f t="shared" si="31"/>
        <v>1</v>
      </c>
    </row>
    <row r="1009" spans="1:14" x14ac:dyDescent="0.3">
      <c r="A1009" t="str">
        <f>정규화데이터!A1009</f>
        <v>리씽크</v>
      </c>
      <c r="B1009" t="str">
        <f>정규화데이터!B1009</f>
        <v>2026020507585600000</v>
      </c>
      <c r="C1009" t="str">
        <f>정규화데이터!C1009</f>
        <v>2026-02-05</v>
      </c>
      <c r="D1009">
        <f>정규화데이터!D1009</f>
        <v>143790</v>
      </c>
      <c r="E1009" s="16" t="str">
        <f>정규화데이터!E1009</f>
        <v>SKU001</v>
      </c>
      <c r="F1009" s="3">
        <f>정규화데이터!F1009</f>
        <v>4</v>
      </c>
      <c r="G1009" s="3">
        <f>정규화데이터!G1009</f>
        <v>1</v>
      </c>
      <c r="H1009" s="3">
        <f>정규화데이터!H1009</f>
        <v>45500</v>
      </c>
      <c r="I1009" s="3">
        <f>정규화데이터!I1009</f>
        <v>45500</v>
      </c>
      <c r="J1009" s="3">
        <f>정규화데이터!J1009</f>
        <v>45500</v>
      </c>
      <c r="K1009" s="25" t="str">
        <f>정규화데이터!K1009</f>
        <v>[워커힐] 시그니처 양념갈비 300G</v>
      </c>
      <c r="L1009" s="25">
        <f>정규화데이터!L1009</f>
        <v>0</v>
      </c>
      <c r="M1009" s="21">
        <f t="shared" si="30"/>
        <v>45500</v>
      </c>
      <c r="N1009" s="52">
        <f t="shared" si="31"/>
        <v>1</v>
      </c>
    </row>
    <row r="1010" spans="1:14" x14ac:dyDescent="0.3">
      <c r="A1010" t="str">
        <f>정규화데이터!A1010</f>
        <v>리씽크</v>
      </c>
      <c r="B1010" t="str">
        <f>정규화데이터!B1010</f>
        <v>2026020507571250000</v>
      </c>
      <c r="C1010" t="str">
        <f>정규화데이터!C1010</f>
        <v>2026-02-05</v>
      </c>
      <c r="D1010">
        <f>정규화데이터!D1010</f>
        <v>143790</v>
      </c>
      <c r="E1010" s="16" t="str">
        <f>정규화데이터!E1010</f>
        <v>SKU001</v>
      </c>
      <c r="F1010" s="3">
        <f>정규화데이터!F1010</f>
        <v>4</v>
      </c>
      <c r="G1010" s="3">
        <f>정규화데이터!G1010</f>
        <v>2</v>
      </c>
      <c r="H1010" s="3">
        <f>정규화데이터!H1010</f>
        <v>45500</v>
      </c>
      <c r="I1010" s="3">
        <f>정규화데이터!I1010</f>
        <v>91000</v>
      </c>
      <c r="J1010" s="3">
        <f>정규화데이터!J1010</f>
        <v>91000</v>
      </c>
      <c r="K1010" s="25" t="str">
        <f>정규화데이터!K1010</f>
        <v>[워커힐] 시그니처 양념갈비 300G</v>
      </c>
      <c r="L1010" s="25">
        <f>정규화데이터!L1010</f>
        <v>0</v>
      </c>
      <c r="M1010" s="21">
        <f t="shared" si="30"/>
        <v>91000</v>
      </c>
      <c r="N1010" s="52">
        <f t="shared" si="31"/>
        <v>1</v>
      </c>
    </row>
    <row r="1011" spans="1:14" x14ac:dyDescent="0.3">
      <c r="A1011" t="str">
        <f>정규화데이터!A1011</f>
        <v>리씽크</v>
      </c>
      <c r="B1011" t="str">
        <f>정규화데이터!B1011</f>
        <v>2026020507575500000</v>
      </c>
      <c r="C1011" t="str">
        <f>정규화데이터!C1011</f>
        <v>2026-02-05</v>
      </c>
      <c r="D1011">
        <f>정규화데이터!D1011</f>
        <v>143790</v>
      </c>
      <c r="E1011" s="16" t="str">
        <f>정규화데이터!E1011</f>
        <v>SKU001</v>
      </c>
      <c r="F1011" s="3">
        <f>정규화데이터!F1011</f>
        <v>4</v>
      </c>
      <c r="G1011" s="3">
        <f>정규화데이터!G1011</f>
        <v>1</v>
      </c>
      <c r="H1011" s="3">
        <f>정규화데이터!H1011</f>
        <v>45500</v>
      </c>
      <c r="I1011" s="3">
        <f>정규화데이터!I1011</f>
        <v>45500</v>
      </c>
      <c r="J1011" s="3">
        <f>정규화데이터!J1011</f>
        <v>45500</v>
      </c>
      <c r="K1011" s="25" t="str">
        <f>정규화데이터!K1011</f>
        <v>[워커힐] 시그니처 양념갈비 300G</v>
      </c>
      <c r="L1011" s="25">
        <f>정규화데이터!L1011</f>
        <v>0</v>
      </c>
      <c r="M1011" s="21">
        <f t="shared" si="30"/>
        <v>45500</v>
      </c>
      <c r="N1011" s="52">
        <f t="shared" si="31"/>
        <v>1</v>
      </c>
    </row>
    <row r="1012" spans="1:14" x14ac:dyDescent="0.3">
      <c r="A1012" t="str">
        <f>정규화데이터!A1012</f>
        <v>리씽크</v>
      </c>
      <c r="B1012" t="str">
        <f>정규화데이터!B1012</f>
        <v>2026020507591350000</v>
      </c>
      <c r="C1012" t="str">
        <f>정규화데이터!C1012</f>
        <v>2026-02-05</v>
      </c>
      <c r="D1012">
        <f>정규화데이터!D1012</f>
        <v>143790</v>
      </c>
      <c r="E1012" s="16" t="str">
        <f>정규화데이터!E1012</f>
        <v>SKU001</v>
      </c>
      <c r="F1012" s="3">
        <f>정규화데이터!F1012</f>
        <v>4</v>
      </c>
      <c r="G1012" s="3">
        <f>정규화데이터!G1012</f>
        <v>1</v>
      </c>
      <c r="H1012" s="3">
        <f>정규화데이터!H1012</f>
        <v>45500</v>
      </c>
      <c r="I1012" s="3">
        <f>정규화데이터!I1012</f>
        <v>45500</v>
      </c>
      <c r="J1012" s="3">
        <f>정규화데이터!J1012</f>
        <v>45500</v>
      </c>
      <c r="K1012" s="25" t="str">
        <f>정규화데이터!K1012</f>
        <v>[워커힐] 시그니처 양념갈비 300G</v>
      </c>
      <c r="L1012" s="25">
        <f>정규화데이터!L1012</f>
        <v>0</v>
      </c>
      <c r="M1012" s="21">
        <f t="shared" si="30"/>
        <v>45500</v>
      </c>
      <c r="N1012" s="52">
        <f t="shared" si="31"/>
        <v>1</v>
      </c>
    </row>
    <row r="1013" spans="1:14" x14ac:dyDescent="0.3">
      <c r="A1013" t="str">
        <f>정규화데이터!A1013</f>
        <v>리씽크</v>
      </c>
      <c r="B1013" t="str">
        <f>정규화데이터!B1013</f>
        <v>2026020507561740000</v>
      </c>
      <c r="C1013" t="str">
        <f>정규화데이터!C1013</f>
        <v>2026-02-05</v>
      </c>
      <c r="D1013">
        <f>정규화데이터!D1013</f>
        <v>143790</v>
      </c>
      <c r="E1013" s="16" t="str">
        <f>정규화데이터!E1013</f>
        <v>SKU001</v>
      </c>
      <c r="F1013" s="3">
        <f>정규화데이터!F1013</f>
        <v>4</v>
      </c>
      <c r="G1013" s="3">
        <f>정규화데이터!G1013</f>
        <v>2</v>
      </c>
      <c r="H1013" s="3">
        <f>정규화데이터!H1013</f>
        <v>45500</v>
      </c>
      <c r="I1013" s="3">
        <f>정규화데이터!I1013</f>
        <v>91000</v>
      </c>
      <c r="J1013" s="3">
        <f>정규화데이터!J1013</f>
        <v>91000</v>
      </c>
      <c r="K1013" s="25" t="str">
        <f>정규화데이터!K1013</f>
        <v>[워커힐] 시그니처 양념갈비 300G</v>
      </c>
      <c r="L1013" s="25">
        <f>정규화데이터!L1013</f>
        <v>0</v>
      </c>
      <c r="M1013" s="21">
        <f t="shared" si="30"/>
        <v>91000</v>
      </c>
      <c r="N1013" s="52">
        <f t="shared" si="31"/>
        <v>1</v>
      </c>
    </row>
    <row r="1014" spans="1:14" x14ac:dyDescent="0.3">
      <c r="A1014" t="str">
        <f>정규화데이터!A1014</f>
        <v>리씽크</v>
      </c>
      <c r="B1014" t="str">
        <f>정규화데이터!B1014</f>
        <v>2026020507584610000</v>
      </c>
      <c r="C1014" t="str">
        <f>정규화데이터!C1014</f>
        <v>2026-02-05</v>
      </c>
      <c r="D1014">
        <f>정규화데이터!D1014</f>
        <v>143790</v>
      </c>
      <c r="E1014" s="16" t="str">
        <f>정규화데이터!E1014</f>
        <v>SKU001</v>
      </c>
      <c r="F1014" s="3">
        <f>정규화데이터!F1014</f>
        <v>4</v>
      </c>
      <c r="G1014" s="3">
        <f>정규화데이터!G1014</f>
        <v>1</v>
      </c>
      <c r="H1014" s="3">
        <f>정규화데이터!H1014</f>
        <v>45500</v>
      </c>
      <c r="I1014" s="3">
        <f>정규화데이터!I1014</f>
        <v>45500</v>
      </c>
      <c r="J1014" s="3">
        <f>정규화데이터!J1014</f>
        <v>45500</v>
      </c>
      <c r="K1014" s="25" t="str">
        <f>정규화데이터!K1014</f>
        <v>[워커힐] 시그니처 양념갈비 300G</v>
      </c>
      <c r="L1014" s="25">
        <f>정규화데이터!L1014</f>
        <v>0</v>
      </c>
      <c r="M1014" s="21">
        <f t="shared" si="30"/>
        <v>45500</v>
      </c>
      <c r="N1014" s="52">
        <f t="shared" si="31"/>
        <v>1</v>
      </c>
    </row>
    <row r="1015" spans="1:14" x14ac:dyDescent="0.3">
      <c r="A1015" t="str">
        <f>정규화데이터!A1015</f>
        <v>리씽크</v>
      </c>
      <c r="B1015" t="str">
        <f>정규화데이터!B1015</f>
        <v>2026020507573010000</v>
      </c>
      <c r="C1015" t="str">
        <f>정규화데이터!C1015</f>
        <v>2026-02-05</v>
      </c>
      <c r="D1015">
        <f>정규화데이터!D1015</f>
        <v>143790</v>
      </c>
      <c r="E1015" s="16" t="str">
        <f>정규화데이터!E1015</f>
        <v>SKU001</v>
      </c>
      <c r="F1015" s="3">
        <f>정규화데이터!F1015</f>
        <v>4</v>
      </c>
      <c r="G1015" s="3">
        <f>정규화데이터!G1015</f>
        <v>1</v>
      </c>
      <c r="H1015" s="3">
        <f>정규화데이터!H1015</f>
        <v>45500</v>
      </c>
      <c r="I1015" s="3">
        <f>정규화데이터!I1015</f>
        <v>45500</v>
      </c>
      <c r="J1015" s="3">
        <f>정규화데이터!J1015</f>
        <v>45500</v>
      </c>
      <c r="K1015" s="25" t="str">
        <f>정규화데이터!K1015</f>
        <v>[워커힐] 시그니처 양념갈비 300G</v>
      </c>
      <c r="L1015" s="25">
        <f>정규화데이터!L1015</f>
        <v>0</v>
      </c>
      <c r="M1015" s="21">
        <f t="shared" si="30"/>
        <v>45500</v>
      </c>
      <c r="N1015" s="52">
        <f t="shared" si="31"/>
        <v>1</v>
      </c>
    </row>
    <row r="1016" spans="1:14" x14ac:dyDescent="0.3">
      <c r="A1016" t="str">
        <f>정규화데이터!A1016</f>
        <v>리씽크</v>
      </c>
      <c r="B1016" t="str">
        <f>정규화데이터!B1016</f>
        <v>2026020507590390000</v>
      </c>
      <c r="C1016" t="str">
        <f>정규화데이터!C1016</f>
        <v>2026-02-05</v>
      </c>
      <c r="D1016">
        <f>정규화데이터!D1016</f>
        <v>143790</v>
      </c>
      <c r="E1016" s="16" t="str">
        <f>정규화데이터!E1016</f>
        <v>SKU001</v>
      </c>
      <c r="F1016" s="3">
        <f>정규화데이터!F1016</f>
        <v>4</v>
      </c>
      <c r="G1016" s="3">
        <f>정규화데이터!G1016</f>
        <v>1</v>
      </c>
      <c r="H1016" s="3">
        <f>정규화데이터!H1016</f>
        <v>45500</v>
      </c>
      <c r="I1016" s="3">
        <f>정규화데이터!I1016</f>
        <v>45500</v>
      </c>
      <c r="J1016" s="3">
        <f>정규화데이터!J1016</f>
        <v>45500</v>
      </c>
      <c r="K1016" s="25" t="str">
        <f>정규화데이터!K1016</f>
        <v>[워커힐] 시그니처 양념갈비 300G</v>
      </c>
      <c r="L1016" s="25">
        <f>정규화데이터!L1016</f>
        <v>0</v>
      </c>
      <c r="M1016" s="21">
        <f t="shared" si="30"/>
        <v>45500</v>
      </c>
      <c r="N1016" s="52">
        <f t="shared" si="31"/>
        <v>1</v>
      </c>
    </row>
    <row r="1017" spans="1:14" x14ac:dyDescent="0.3">
      <c r="A1017" t="str">
        <f>정규화데이터!A1017</f>
        <v>리씽크</v>
      </c>
      <c r="B1017" t="str">
        <f>정규화데이터!B1017</f>
        <v>2026020507571800000</v>
      </c>
      <c r="C1017" t="str">
        <f>정규화데이터!C1017</f>
        <v>2026-02-05</v>
      </c>
      <c r="D1017">
        <f>정규화데이터!D1017</f>
        <v>143790</v>
      </c>
      <c r="E1017" s="16" t="str">
        <f>정규화데이터!E1017</f>
        <v>SKU001</v>
      </c>
      <c r="F1017" s="3">
        <f>정규화데이터!F1017</f>
        <v>4</v>
      </c>
      <c r="G1017" s="3">
        <f>정규화데이터!G1017</f>
        <v>1</v>
      </c>
      <c r="H1017" s="3">
        <f>정규화데이터!H1017</f>
        <v>45500</v>
      </c>
      <c r="I1017" s="3">
        <f>정규화데이터!I1017</f>
        <v>45500</v>
      </c>
      <c r="J1017" s="3">
        <f>정규화데이터!J1017</f>
        <v>45500</v>
      </c>
      <c r="K1017" s="25" t="str">
        <f>정규화데이터!K1017</f>
        <v>[워커힐] 시그니처 양념갈비 300G</v>
      </c>
      <c r="L1017" s="25">
        <f>정규화데이터!L1017</f>
        <v>0</v>
      </c>
      <c r="M1017" s="21">
        <f t="shared" si="30"/>
        <v>45500</v>
      </c>
      <c r="N1017" s="52">
        <f t="shared" si="31"/>
        <v>1</v>
      </c>
    </row>
    <row r="1018" spans="1:14" x14ac:dyDescent="0.3">
      <c r="A1018" t="str">
        <f>정규화데이터!A1018</f>
        <v>리씽크</v>
      </c>
      <c r="B1018" t="str">
        <f>정규화데이터!B1018</f>
        <v>2026020507575480000</v>
      </c>
      <c r="C1018" t="str">
        <f>정규화데이터!C1018</f>
        <v>2026-02-05</v>
      </c>
      <c r="D1018">
        <f>정규화데이터!D1018</f>
        <v>143790</v>
      </c>
      <c r="E1018" s="16" t="str">
        <f>정규화데이터!E1018</f>
        <v>SKU001</v>
      </c>
      <c r="F1018" s="3">
        <f>정규화데이터!F1018</f>
        <v>4</v>
      </c>
      <c r="G1018" s="3">
        <f>정규화데이터!G1018</f>
        <v>1</v>
      </c>
      <c r="H1018" s="3">
        <f>정규화데이터!H1018</f>
        <v>45500</v>
      </c>
      <c r="I1018" s="3">
        <f>정규화데이터!I1018</f>
        <v>45500</v>
      </c>
      <c r="J1018" s="3">
        <f>정규화데이터!J1018</f>
        <v>45500</v>
      </c>
      <c r="K1018" s="25" t="str">
        <f>정규화데이터!K1018</f>
        <v>[워커힐] 시그니처 양념갈비 300G</v>
      </c>
      <c r="L1018" s="25">
        <f>정규화데이터!L1018</f>
        <v>0</v>
      </c>
      <c r="M1018" s="21">
        <f t="shared" si="30"/>
        <v>45500</v>
      </c>
      <c r="N1018" s="52">
        <f t="shared" si="31"/>
        <v>1</v>
      </c>
    </row>
    <row r="1019" spans="1:14" x14ac:dyDescent="0.3">
      <c r="A1019" t="str">
        <f>정규화데이터!A1019</f>
        <v>리씽크</v>
      </c>
      <c r="B1019" t="str">
        <f>정규화데이터!B1019</f>
        <v>2026020507572700000</v>
      </c>
      <c r="C1019" t="str">
        <f>정규화데이터!C1019</f>
        <v>2026-02-05</v>
      </c>
      <c r="D1019">
        <f>정규화데이터!D1019</f>
        <v>143790</v>
      </c>
      <c r="E1019" s="16" t="str">
        <f>정규화데이터!E1019</f>
        <v>SKU001</v>
      </c>
      <c r="F1019" s="3">
        <f>정규화데이터!F1019</f>
        <v>4</v>
      </c>
      <c r="G1019" s="3">
        <f>정규화데이터!G1019</f>
        <v>2</v>
      </c>
      <c r="H1019" s="3">
        <f>정규화데이터!H1019</f>
        <v>45500</v>
      </c>
      <c r="I1019" s="3">
        <f>정규화데이터!I1019</f>
        <v>91000</v>
      </c>
      <c r="J1019" s="3">
        <f>정규화데이터!J1019</f>
        <v>91000</v>
      </c>
      <c r="K1019" s="25" t="str">
        <f>정규화데이터!K1019</f>
        <v>[워커힐] 시그니처 양념갈비 300G</v>
      </c>
      <c r="L1019" s="25">
        <f>정규화데이터!L1019</f>
        <v>0</v>
      </c>
      <c r="M1019" s="21">
        <f t="shared" si="30"/>
        <v>91000</v>
      </c>
      <c r="N1019" s="52">
        <f t="shared" si="31"/>
        <v>1</v>
      </c>
    </row>
    <row r="1020" spans="1:14" x14ac:dyDescent="0.3">
      <c r="A1020" t="str">
        <f>정규화데이터!A1020</f>
        <v>리씽크</v>
      </c>
      <c r="B1020" t="str">
        <f>정규화데이터!B1020</f>
        <v>2026020507560990000</v>
      </c>
      <c r="C1020" t="str">
        <f>정규화데이터!C1020</f>
        <v>2026-02-05</v>
      </c>
      <c r="D1020">
        <f>정규화데이터!D1020</f>
        <v>143790</v>
      </c>
      <c r="E1020" s="16" t="str">
        <f>정규화데이터!E1020</f>
        <v>SKU001</v>
      </c>
      <c r="F1020" s="3">
        <f>정규화데이터!F1020</f>
        <v>4</v>
      </c>
      <c r="G1020" s="3">
        <f>정규화데이터!G1020</f>
        <v>2</v>
      </c>
      <c r="H1020" s="3">
        <f>정규화데이터!H1020</f>
        <v>45500</v>
      </c>
      <c r="I1020" s="3">
        <f>정규화데이터!I1020</f>
        <v>91000</v>
      </c>
      <c r="J1020" s="3">
        <f>정규화데이터!J1020</f>
        <v>91000</v>
      </c>
      <c r="K1020" s="25" t="str">
        <f>정규화데이터!K1020</f>
        <v>[워커힐] 시그니처 양념갈비 300G</v>
      </c>
      <c r="L1020" s="25">
        <f>정규화데이터!L1020</f>
        <v>0</v>
      </c>
      <c r="M1020" s="21">
        <f t="shared" si="30"/>
        <v>91000</v>
      </c>
      <c r="N1020" s="52">
        <f t="shared" si="31"/>
        <v>1</v>
      </c>
    </row>
    <row r="1021" spans="1:14" x14ac:dyDescent="0.3">
      <c r="A1021" t="str">
        <f>정규화데이터!A1021</f>
        <v>리씽크</v>
      </c>
      <c r="B1021" t="str">
        <f>정규화데이터!B1021</f>
        <v>2026020507574720000</v>
      </c>
      <c r="C1021" t="str">
        <f>정규화데이터!C1021</f>
        <v>2026-02-05</v>
      </c>
      <c r="D1021">
        <f>정규화데이터!D1021</f>
        <v>143790</v>
      </c>
      <c r="E1021" s="16" t="str">
        <f>정규화데이터!E1021</f>
        <v>SKU001</v>
      </c>
      <c r="F1021" s="3">
        <f>정규화데이터!F1021</f>
        <v>4</v>
      </c>
      <c r="G1021" s="3">
        <f>정규화데이터!G1021</f>
        <v>1</v>
      </c>
      <c r="H1021" s="3">
        <f>정규화데이터!H1021</f>
        <v>45500</v>
      </c>
      <c r="I1021" s="3">
        <f>정규화데이터!I1021</f>
        <v>45500</v>
      </c>
      <c r="J1021" s="3">
        <f>정규화데이터!J1021</f>
        <v>45500</v>
      </c>
      <c r="K1021" s="25" t="str">
        <f>정규화데이터!K1021</f>
        <v>[워커힐] 시그니처 양념갈비 300G</v>
      </c>
      <c r="L1021" s="25">
        <f>정규화데이터!L1021</f>
        <v>0</v>
      </c>
      <c r="M1021" s="21">
        <f t="shared" si="30"/>
        <v>45500</v>
      </c>
      <c r="N1021" s="52">
        <f t="shared" si="31"/>
        <v>1</v>
      </c>
    </row>
    <row r="1022" spans="1:14" x14ac:dyDescent="0.3">
      <c r="A1022" t="str">
        <f>정규화데이터!A1022</f>
        <v>리씽크</v>
      </c>
      <c r="B1022" t="str">
        <f>정규화데이터!B1022</f>
        <v>2026020507543460000</v>
      </c>
      <c r="C1022" t="str">
        <f>정규화데이터!C1022</f>
        <v>2026-02-05</v>
      </c>
      <c r="D1022">
        <f>정규화데이터!D1022</f>
        <v>143790</v>
      </c>
      <c r="E1022" s="16" t="str">
        <f>정규화데이터!E1022</f>
        <v>SKU001</v>
      </c>
      <c r="F1022" s="3">
        <f>정규화데이터!F1022</f>
        <v>4</v>
      </c>
      <c r="G1022" s="3">
        <f>정규화데이터!G1022</f>
        <v>1</v>
      </c>
      <c r="H1022" s="3">
        <f>정규화데이터!H1022</f>
        <v>45500</v>
      </c>
      <c r="I1022" s="3">
        <f>정규화데이터!I1022</f>
        <v>45500</v>
      </c>
      <c r="J1022" s="3">
        <f>정규화데이터!J1022</f>
        <v>45500</v>
      </c>
      <c r="K1022" s="25" t="str">
        <f>정규화데이터!K1022</f>
        <v>[워커힐] 시그니처 양념갈비 300G</v>
      </c>
      <c r="L1022" s="25">
        <f>정규화데이터!L1022</f>
        <v>0</v>
      </c>
      <c r="M1022" s="21">
        <f t="shared" si="30"/>
        <v>45500</v>
      </c>
      <c r="N1022" s="52">
        <f t="shared" si="31"/>
        <v>1</v>
      </c>
    </row>
    <row r="1023" spans="1:14" x14ac:dyDescent="0.3">
      <c r="A1023" t="str">
        <f>정규화데이터!A1023</f>
        <v>리씽크</v>
      </c>
      <c r="B1023" t="str">
        <f>정규화데이터!B1023</f>
        <v>2026020507583630000</v>
      </c>
      <c r="C1023" t="str">
        <f>정규화데이터!C1023</f>
        <v>2026-02-05</v>
      </c>
      <c r="D1023">
        <f>정규화데이터!D1023</f>
        <v>143790</v>
      </c>
      <c r="E1023" s="16" t="str">
        <f>정규화데이터!E1023</f>
        <v>SKU001</v>
      </c>
      <c r="F1023" s="3">
        <f>정규화데이터!F1023</f>
        <v>4</v>
      </c>
      <c r="G1023" s="3">
        <f>정규화데이터!G1023</f>
        <v>1</v>
      </c>
      <c r="H1023" s="3">
        <f>정규화데이터!H1023</f>
        <v>45500</v>
      </c>
      <c r="I1023" s="3">
        <f>정규화데이터!I1023</f>
        <v>45500</v>
      </c>
      <c r="J1023" s="3">
        <f>정규화데이터!J1023</f>
        <v>45500</v>
      </c>
      <c r="K1023" s="25" t="str">
        <f>정규화데이터!K1023</f>
        <v>[워커힐] 시그니처 양념갈비 300G</v>
      </c>
      <c r="L1023" s="25">
        <f>정규화데이터!L1023</f>
        <v>0</v>
      </c>
      <c r="M1023" s="21">
        <f t="shared" si="30"/>
        <v>45500</v>
      </c>
      <c r="N1023" s="52">
        <f t="shared" si="31"/>
        <v>1</v>
      </c>
    </row>
    <row r="1024" spans="1:14" x14ac:dyDescent="0.3">
      <c r="A1024" t="str">
        <f>정규화데이터!A1024</f>
        <v>리씽크</v>
      </c>
      <c r="B1024" t="str">
        <f>정규화데이터!B1024</f>
        <v>2026020507553340000</v>
      </c>
      <c r="C1024" t="str">
        <f>정규화데이터!C1024</f>
        <v>2026-02-05</v>
      </c>
      <c r="D1024">
        <f>정규화데이터!D1024</f>
        <v>143790</v>
      </c>
      <c r="E1024" s="16" t="str">
        <f>정규화데이터!E1024</f>
        <v>SKU001</v>
      </c>
      <c r="F1024" s="3">
        <f>정규화데이터!F1024</f>
        <v>4</v>
      </c>
      <c r="G1024" s="3">
        <f>정규화데이터!G1024</f>
        <v>1</v>
      </c>
      <c r="H1024" s="3">
        <f>정규화데이터!H1024</f>
        <v>45500</v>
      </c>
      <c r="I1024" s="3">
        <f>정규화데이터!I1024</f>
        <v>45500</v>
      </c>
      <c r="J1024" s="3">
        <f>정규화데이터!J1024</f>
        <v>45500</v>
      </c>
      <c r="K1024" s="25" t="str">
        <f>정규화데이터!K1024</f>
        <v>[워커힐] 시그니처 양념갈비 300G</v>
      </c>
      <c r="L1024" s="25">
        <f>정규화데이터!L1024</f>
        <v>0</v>
      </c>
      <c r="M1024" s="21">
        <f t="shared" si="30"/>
        <v>45500</v>
      </c>
      <c r="N1024" s="52">
        <f t="shared" si="31"/>
        <v>1</v>
      </c>
    </row>
    <row r="1025" spans="1:14" x14ac:dyDescent="0.3">
      <c r="A1025" t="str">
        <f>정규화데이터!A1025</f>
        <v>리씽크</v>
      </c>
      <c r="B1025" t="str">
        <f>정규화데이터!B1025</f>
        <v>2026020507572830000</v>
      </c>
      <c r="C1025" t="str">
        <f>정규화데이터!C1025</f>
        <v>2026-02-05</v>
      </c>
      <c r="D1025">
        <f>정규화데이터!D1025</f>
        <v>143790</v>
      </c>
      <c r="E1025" s="16" t="str">
        <f>정규화데이터!E1025</f>
        <v>SKU001</v>
      </c>
      <c r="F1025" s="3">
        <f>정규화데이터!F1025</f>
        <v>4</v>
      </c>
      <c r="G1025" s="3">
        <f>정규화데이터!G1025</f>
        <v>1</v>
      </c>
      <c r="H1025" s="3">
        <f>정규화데이터!H1025</f>
        <v>45500</v>
      </c>
      <c r="I1025" s="3">
        <f>정규화데이터!I1025</f>
        <v>45500</v>
      </c>
      <c r="J1025" s="3">
        <f>정규화데이터!J1025</f>
        <v>45500</v>
      </c>
      <c r="K1025" s="25" t="str">
        <f>정규화데이터!K1025</f>
        <v>[워커힐] 시그니처 양념갈비 300G</v>
      </c>
      <c r="L1025" s="25">
        <f>정규화데이터!L1025</f>
        <v>0</v>
      </c>
      <c r="M1025" s="21">
        <f t="shared" si="30"/>
        <v>45500</v>
      </c>
      <c r="N1025" s="52">
        <f t="shared" si="31"/>
        <v>1</v>
      </c>
    </row>
    <row r="1026" spans="1:14" x14ac:dyDescent="0.3">
      <c r="A1026" t="str">
        <f>정규화데이터!A1026</f>
        <v>리씽크</v>
      </c>
      <c r="B1026" t="str">
        <f>정규화데이터!B1026</f>
        <v>2026020507581680000</v>
      </c>
      <c r="C1026" t="str">
        <f>정규화데이터!C1026</f>
        <v>2026-02-05</v>
      </c>
      <c r="D1026">
        <f>정규화데이터!D1026</f>
        <v>143790</v>
      </c>
      <c r="E1026" s="16" t="str">
        <f>정규화데이터!E1026</f>
        <v>SKU001</v>
      </c>
      <c r="F1026" s="3">
        <f>정규화데이터!F1026</f>
        <v>4</v>
      </c>
      <c r="G1026" s="3">
        <f>정규화데이터!G1026</f>
        <v>1</v>
      </c>
      <c r="H1026" s="3">
        <f>정규화데이터!H1026</f>
        <v>45500</v>
      </c>
      <c r="I1026" s="3">
        <f>정규화데이터!I1026</f>
        <v>45500</v>
      </c>
      <c r="J1026" s="3">
        <f>정규화데이터!J1026</f>
        <v>45500</v>
      </c>
      <c r="K1026" s="25" t="str">
        <f>정규화데이터!K1026</f>
        <v>[워커힐] 시그니처 양념갈비 300G</v>
      </c>
      <c r="L1026" s="25">
        <f>정규화데이터!L1026</f>
        <v>0</v>
      </c>
      <c r="M1026" s="21">
        <f t="shared" ref="M1026:M1089" si="32">J1026-L1026</f>
        <v>45500</v>
      </c>
      <c r="N1026" s="52">
        <f t="shared" ref="N1026:N1089" si="33">IF(J1026=0,0,M1026/J1026)</f>
        <v>1</v>
      </c>
    </row>
    <row r="1027" spans="1:14" x14ac:dyDescent="0.3">
      <c r="A1027" t="str">
        <f>정규화데이터!A1027</f>
        <v>리씽크</v>
      </c>
      <c r="B1027" t="str">
        <f>정규화데이터!B1027</f>
        <v>2026020507554970000</v>
      </c>
      <c r="C1027" t="str">
        <f>정규화데이터!C1027</f>
        <v>2026-02-05</v>
      </c>
      <c r="D1027">
        <f>정규화데이터!D1027</f>
        <v>143790</v>
      </c>
      <c r="E1027" s="16" t="str">
        <f>정규화데이터!E1027</f>
        <v>SKU001</v>
      </c>
      <c r="F1027" s="3">
        <f>정규화데이터!F1027</f>
        <v>4</v>
      </c>
      <c r="G1027" s="3">
        <f>정규화데이터!G1027</f>
        <v>1</v>
      </c>
      <c r="H1027" s="3">
        <f>정규화데이터!H1027</f>
        <v>45500</v>
      </c>
      <c r="I1027" s="3">
        <f>정규화데이터!I1027</f>
        <v>45500</v>
      </c>
      <c r="J1027" s="3">
        <f>정규화데이터!J1027</f>
        <v>45500</v>
      </c>
      <c r="K1027" s="25" t="str">
        <f>정규화데이터!K1027</f>
        <v>[워커힐] 시그니처 양념갈비 300G</v>
      </c>
      <c r="L1027" s="25">
        <f>정규화데이터!L1027</f>
        <v>0</v>
      </c>
      <c r="M1027" s="21">
        <f t="shared" si="32"/>
        <v>45500</v>
      </c>
      <c r="N1027" s="52">
        <f t="shared" si="33"/>
        <v>1</v>
      </c>
    </row>
    <row r="1028" spans="1:14" x14ac:dyDescent="0.3">
      <c r="A1028" t="str">
        <f>정규화데이터!A1028</f>
        <v>리씽크</v>
      </c>
      <c r="B1028" t="str">
        <f>정규화데이터!B1028</f>
        <v>2026020507563640000</v>
      </c>
      <c r="C1028" t="str">
        <f>정규화데이터!C1028</f>
        <v>2026-02-05</v>
      </c>
      <c r="D1028">
        <f>정규화데이터!D1028</f>
        <v>143790</v>
      </c>
      <c r="E1028" s="16" t="str">
        <f>정규화데이터!E1028</f>
        <v>SKU001</v>
      </c>
      <c r="F1028" s="3">
        <f>정규화데이터!F1028</f>
        <v>4</v>
      </c>
      <c r="G1028" s="3">
        <f>정규화데이터!G1028</f>
        <v>1</v>
      </c>
      <c r="H1028" s="3">
        <f>정규화데이터!H1028</f>
        <v>45500</v>
      </c>
      <c r="I1028" s="3">
        <f>정규화데이터!I1028</f>
        <v>45500</v>
      </c>
      <c r="J1028" s="3">
        <f>정규화데이터!J1028</f>
        <v>45500</v>
      </c>
      <c r="K1028" s="25" t="str">
        <f>정규화데이터!K1028</f>
        <v>[워커힐] 시그니처 양념갈비 300G</v>
      </c>
      <c r="L1028" s="25">
        <f>정규화데이터!L1028</f>
        <v>0</v>
      </c>
      <c r="M1028" s="21">
        <f t="shared" si="32"/>
        <v>45500</v>
      </c>
      <c r="N1028" s="52">
        <f t="shared" si="33"/>
        <v>1</v>
      </c>
    </row>
    <row r="1029" spans="1:14" x14ac:dyDescent="0.3">
      <c r="A1029" t="str">
        <f>정규화데이터!A1029</f>
        <v>리씽크</v>
      </c>
      <c r="B1029" t="str">
        <f>정규화데이터!B1029</f>
        <v>2026020507564330000</v>
      </c>
      <c r="C1029" t="str">
        <f>정규화데이터!C1029</f>
        <v>2026-02-05</v>
      </c>
      <c r="D1029">
        <f>정규화데이터!D1029</f>
        <v>143790</v>
      </c>
      <c r="E1029" s="16" t="str">
        <f>정규화데이터!E1029</f>
        <v>SKU001</v>
      </c>
      <c r="F1029" s="3">
        <f>정규화데이터!F1029</f>
        <v>4</v>
      </c>
      <c r="G1029" s="3">
        <f>정규화데이터!G1029</f>
        <v>1</v>
      </c>
      <c r="H1029" s="3">
        <f>정규화데이터!H1029</f>
        <v>45500</v>
      </c>
      <c r="I1029" s="3">
        <f>정규화데이터!I1029</f>
        <v>45500</v>
      </c>
      <c r="J1029" s="3">
        <f>정규화데이터!J1029</f>
        <v>45500</v>
      </c>
      <c r="K1029" s="25" t="str">
        <f>정규화데이터!K1029</f>
        <v>[워커힐] 시그니처 양념갈비 300G</v>
      </c>
      <c r="L1029" s="25">
        <f>정규화데이터!L1029</f>
        <v>0</v>
      </c>
      <c r="M1029" s="21">
        <f t="shared" si="32"/>
        <v>45500</v>
      </c>
      <c r="N1029" s="52">
        <f t="shared" si="33"/>
        <v>1</v>
      </c>
    </row>
    <row r="1030" spans="1:14" x14ac:dyDescent="0.3">
      <c r="A1030" t="str">
        <f>정규화데이터!A1030</f>
        <v>리씽크</v>
      </c>
      <c r="B1030" t="str">
        <f>정규화데이터!B1030</f>
        <v>2026020507562610000</v>
      </c>
      <c r="C1030" t="str">
        <f>정규화데이터!C1030</f>
        <v>2026-02-05</v>
      </c>
      <c r="D1030">
        <f>정규화데이터!D1030</f>
        <v>143790</v>
      </c>
      <c r="E1030" s="16" t="str">
        <f>정규화데이터!E1030</f>
        <v>SKU001</v>
      </c>
      <c r="F1030" s="3">
        <f>정규화데이터!F1030</f>
        <v>4</v>
      </c>
      <c r="G1030" s="3">
        <f>정규화데이터!G1030</f>
        <v>1</v>
      </c>
      <c r="H1030" s="3">
        <f>정규화데이터!H1030</f>
        <v>45500</v>
      </c>
      <c r="I1030" s="3">
        <f>정규화데이터!I1030</f>
        <v>45500</v>
      </c>
      <c r="J1030" s="3">
        <f>정규화데이터!J1030</f>
        <v>45500</v>
      </c>
      <c r="K1030" s="25" t="str">
        <f>정규화데이터!K1030</f>
        <v>[워커힐] 시그니처 양념갈비 300G</v>
      </c>
      <c r="L1030" s="25">
        <f>정규화데이터!L1030</f>
        <v>0</v>
      </c>
      <c r="M1030" s="21">
        <f t="shared" si="32"/>
        <v>45500</v>
      </c>
      <c r="N1030" s="52">
        <f t="shared" si="33"/>
        <v>1</v>
      </c>
    </row>
    <row r="1031" spans="1:14" x14ac:dyDescent="0.3">
      <c r="A1031" t="str">
        <f>정규화데이터!A1031</f>
        <v>리씽크</v>
      </c>
      <c r="B1031" t="str">
        <f>정규화데이터!B1031</f>
        <v>2026020507574370000</v>
      </c>
      <c r="C1031" t="str">
        <f>정규화데이터!C1031</f>
        <v>2026-02-05</v>
      </c>
      <c r="D1031">
        <f>정규화데이터!D1031</f>
        <v>143790</v>
      </c>
      <c r="E1031" s="16" t="str">
        <f>정규화데이터!E1031</f>
        <v>SKU001</v>
      </c>
      <c r="F1031" s="3">
        <f>정규화데이터!F1031</f>
        <v>4</v>
      </c>
      <c r="G1031" s="3">
        <f>정규화데이터!G1031</f>
        <v>2</v>
      </c>
      <c r="H1031" s="3">
        <f>정규화데이터!H1031</f>
        <v>45500</v>
      </c>
      <c r="I1031" s="3">
        <f>정규화데이터!I1031</f>
        <v>91000</v>
      </c>
      <c r="J1031" s="3">
        <f>정규화데이터!J1031</f>
        <v>91000</v>
      </c>
      <c r="K1031" s="25" t="str">
        <f>정규화데이터!K1031</f>
        <v>[워커힐] 시그니처 양념갈비 300G</v>
      </c>
      <c r="L1031" s="25">
        <f>정규화데이터!L1031</f>
        <v>0</v>
      </c>
      <c r="M1031" s="21">
        <f t="shared" si="32"/>
        <v>91000</v>
      </c>
      <c r="N1031" s="52">
        <f t="shared" si="33"/>
        <v>1</v>
      </c>
    </row>
    <row r="1032" spans="1:14" x14ac:dyDescent="0.3">
      <c r="A1032" t="str">
        <f>정규화데이터!A1032</f>
        <v>리씽크</v>
      </c>
      <c r="B1032" t="str">
        <f>정규화데이터!B1032</f>
        <v>2026020507561640000</v>
      </c>
      <c r="C1032" t="str">
        <f>정규화데이터!C1032</f>
        <v>2026-02-05</v>
      </c>
      <c r="D1032">
        <f>정규화데이터!D1032</f>
        <v>143790</v>
      </c>
      <c r="E1032" s="16" t="str">
        <f>정규화데이터!E1032</f>
        <v>SKU001</v>
      </c>
      <c r="F1032" s="3">
        <f>정규화데이터!F1032</f>
        <v>4</v>
      </c>
      <c r="G1032" s="3">
        <f>정규화데이터!G1032</f>
        <v>1</v>
      </c>
      <c r="H1032" s="3">
        <f>정규화데이터!H1032</f>
        <v>45500</v>
      </c>
      <c r="I1032" s="3">
        <f>정규화데이터!I1032</f>
        <v>45500</v>
      </c>
      <c r="J1032" s="3">
        <f>정규화데이터!J1032</f>
        <v>45500</v>
      </c>
      <c r="K1032" s="25" t="str">
        <f>정규화데이터!K1032</f>
        <v>[워커힐] 시그니처 양념갈비 300G</v>
      </c>
      <c r="L1032" s="25">
        <f>정규화데이터!L1032</f>
        <v>0</v>
      </c>
      <c r="M1032" s="21">
        <f t="shared" si="32"/>
        <v>45500</v>
      </c>
      <c r="N1032" s="52">
        <f t="shared" si="33"/>
        <v>1</v>
      </c>
    </row>
    <row r="1033" spans="1:14" x14ac:dyDescent="0.3">
      <c r="A1033" t="str">
        <f>정규화데이터!A1033</f>
        <v>리씽크</v>
      </c>
      <c r="B1033" t="str">
        <f>정규화데이터!B1033</f>
        <v>2026020507555920000</v>
      </c>
      <c r="C1033" t="str">
        <f>정규화데이터!C1033</f>
        <v>2026-02-05</v>
      </c>
      <c r="D1033">
        <f>정규화데이터!D1033</f>
        <v>143790</v>
      </c>
      <c r="E1033" s="16" t="str">
        <f>정규화데이터!E1033</f>
        <v>SKU001</v>
      </c>
      <c r="F1033" s="3">
        <f>정규화데이터!F1033</f>
        <v>4</v>
      </c>
      <c r="G1033" s="3">
        <f>정규화데이터!G1033</f>
        <v>1</v>
      </c>
      <c r="H1033" s="3">
        <f>정규화데이터!H1033</f>
        <v>45500</v>
      </c>
      <c r="I1033" s="3">
        <f>정규화데이터!I1033</f>
        <v>45500</v>
      </c>
      <c r="J1033" s="3">
        <f>정규화데이터!J1033</f>
        <v>45500</v>
      </c>
      <c r="K1033" s="25" t="str">
        <f>정규화데이터!K1033</f>
        <v>[워커힐] 시그니처 양념갈비 300G</v>
      </c>
      <c r="L1033" s="25">
        <f>정규화데이터!L1033</f>
        <v>0</v>
      </c>
      <c r="M1033" s="21">
        <f t="shared" si="32"/>
        <v>45500</v>
      </c>
      <c r="N1033" s="52">
        <f t="shared" si="33"/>
        <v>1</v>
      </c>
    </row>
    <row r="1034" spans="1:14" x14ac:dyDescent="0.3">
      <c r="A1034" t="str">
        <f>정규화데이터!A1034</f>
        <v>리씽크</v>
      </c>
      <c r="B1034" t="str">
        <f>정규화데이터!B1034</f>
        <v>2026020507571230000</v>
      </c>
      <c r="C1034" t="str">
        <f>정규화데이터!C1034</f>
        <v>2026-02-05</v>
      </c>
      <c r="D1034">
        <f>정규화데이터!D1034</f>
        <v>143790</v>
      </c>
      <c r="E1034" s="16" t="str">
        <f>정규화데이터!E1034</f>
        <v>SKU001</v>
      </c>
      <c r="F1034" s="3">
        <f>정규화데이터!F1034</f>
        <v>4</v>
      </c>
      <c r="G1034" s="3">
        <f>정규화데이터!G1034</f>
        <v>1</v>
      </c>
      <c r="H1034" s="3">
        <f>정규화데이터!H1034</f>
        <v>45500</v>
      </c>
      <c r="I1034" s="3">
        <f>정규화데이터!I1034</f>
        <v>45500</v>
      </c>
      <c r="J1034" s="3">
        <f>정규화데이터!J1034</f>
        <v>45500</v>
      </c>
      <c r="K1034" s="25" t="str">
        <f>정규화데이터!K1034</f>
        <v>[워커힐] 시그니처 양념갈비 300G</v>
      </c>
      <c r="L1034" s="25">
        <f>정규화데이터!L1034</f>
        <v>0</v>
      </c>
      <c r="M1034" s="21">
        <f t="shared" si="32"/>
        <v>45500</v>
      </c>
      <c r="N1034" s="52">
        <f t="shared" si="33"/>
        <v>1</v>
      </c>
    </row>
    <row r="1035" spans="1:14" x14ac:dyDescent="0.3">
      <c r="A1035" t="str">
        <f>정규화데이터!A1035</f>
        <v>리씽크</v>
      </c>
      <c r="B1035" t="str">
        <f>정규화데이터!B1035</f>
        <v>2026020507563550000</v>
      </c>
      <c r="C1035" t="str">
        <f>정규화데이터!C1035</f>
        <v>2026-02-05</v>
      </c>
      <c r="D1035">
        <f>정규화데이터!D1035</f>
        <v>143790</v>
      </c>
      <c r="E1035" s="16" t="str">
        <f>정규화데이터!E1035</f>
        <v>SKU001</v>
      </c>
      <c r="F1035" s="3">
        <f>정규화데이터!F1035</f>
        <v>4</v>
      </c>
      <c r="G1035" s="3">
        <f>정규화데이터!G1035</f>
        <v>1</v>
      </c>
      <c r="H1035" s="3">
        <f>정규화데이터!H1035</f>
        <v>45500</v>
      </c>
      <c r="I1035" s="3">
        <f>정규화데이터!I1035</f>
        <v>45500</v>
      </c>
      <c r="J1035" s="3">
        <f>정규화데이터!J1035</f>
        <v>45500</v>
      </c>
      <c r="K1035" s="25" t="str">
        <f>정규화데이터!K1035</f>
        <v>[워커힐] 시그니처 양념갈비 300G</v>
      </c>
      <c r="L1035" s="25">
        <f>정규화데이터!L1035</f>
        <v>0</v>
      </c>
      <c r="M1035" s="21">
        <f t="shared" si="32"/>
        <v>45500</v>
      </c>
      <c r="N1035" s="52">
        <f t="shared" si="33"/>
        <v>1</v>
      </c>
    </row>
    <row r="1036" spans="1:14" x14ac:dyDescent="0.3">
      <c r="A1036" t="str">
        <f>정규화데이터!A1036</f>
        <v>리씽크</v>
      </c>
      <c r="B1036" t="str">
        <f>정규화데이터!B1036</f>
        <v>2026020507554670000</v>
      </c>
      <c r="C1036" t="str">
        <f>정규화데이터!C1036</f>
        <v>2026-02-05</v>
      </c>
      <c r="D1036">
        <f>정규화데이터!D1036</f>
        <v>143790</v>
      </c>
      <c r="E1036" s="16" t="str">
        <f>정규화데이터!E1036</f>
        <v>SKU001</v>
      </c>
      <c r="F1036" s="3">
        <f>정규화데이터!F1036</f>
        <v>4</v>
      </c>
      <c r="G1036" s="3">
        <f>정규화데이터!G1036</f>
        <v>1</v>
      </c>
      <c r="H1036" s="3">
        <f>정규화데이터!H1036</f>
        <v>45500</v>
      </c>
      <c r="I1036" s="3">
        <f>정규화데이터!I1036</f>
        <v>45500</v>
      </c>
      <c r="J1036" s="3">
        <f>정규화데이터!J1036</f>
        <v>45500</v>
      </c>
      <c r="K1036" s="25" t="str">
        <f>정규화데이터!K1036</f>
        <v>[워커힐] 시그니처 양념갈비 300G</v>
      </c>
      <c r="L1036" s="25">
        <f>정규화데이터!L1036</f>
        <v>0</v>
      </c>
      <c r="M1036" s="21">
        <f t="shared" si="32"/>
        <v>45500</v>
      </c>
      <c r="N1036" s="52">
        <f t="shared" si="33"/>
        <v>1</v>
      </c>
    </row>
    <row r="1037" spans="1:14" x14ac:dyDescent="0.3">
      <c r="A1037" t="str">
        <f>정규화데이터!A1037</f>
        <v>리씽크</v>
      </c>
      <c r="B1037" t="str">
        <f>정규화데이터!B1037</f>
        <v>2026020507562620000</v>
      </c>
      <c r="C1037" t="str">
        <f>정규화데이터!C1037</f>
        <v>2026-02-05</v>
      </c>
      <c r="D1037">
        <f>정규화데이터!D1037</f>
        <v>143790</v>
      </c>
      <c r="E1037" s="16" t="str">
        <f>정규화데이터!E1037</f>
        <v>SKU001</v>
      </c>
      <c r="F1037" s="3">
        <f>정규화데이터!F1037</f>
        <v>4</v>
      </c>
      <c r="G1037" s="3">
        <f>정규화데이터!G1037</f>
        <v>1</v>
      </c>
      <c r="H1037" s="3">
        <f>정규화데이터!H1037</f>
        <v>45500</v>
      </c>
      <c r="I1037" s="3">
        <f>정규화데이터!I1037</f>
        <v>45500</v>
      </c>
      <c r="J1037" s="3">
        <f>정규화데이터!J1037</f>
        <v>45500</v>
      </c>
      <c r="K1037" s="25" t="str">
        <f>정규화데이터!K1037</f>
        <v>[워커힐] 시그니처 양념갈비 300G</v>
      </c>
      <c r="L1037" s="25">
        <f>정규화데이터!L1037</f>
        <v>0</v>
      </c>
      <c r="M1037" s="21">
        <f t="shared" si="32"/>
        <v>45500</v>
      </c>
      <c r="N1037" s="52">
        <f t="shared" si="33"/>
        <v>1</v>
      </c>
    </row>
    <row r="1038" spans="1:14" x14ac:dyDescent="0.3">
      <c r="A1038" t="str">
        <f>정규화데이터!A1038</f>
        <v>리씽크</v>
      </c>
      <c r="B1038" t="str">
        <f>정규화데이터!B1038</f>
        <v>2026020507552970000</v>
      </c>
      <c r="C1038" t="str">
        <f>정규화데이터!C1038</f>
        <v>2026-02-05</v>
      </c>
      <c r="D1038">
        <f>정규화데이터!D1038</f>
        <v>143790</v>
      </c>
      <c r="E1038" s="16" t="str">
        <f>정규화데이터!E1038</f>
        <v>SKU001</v>
      </c>
      <c r="F1038" s="3">
        <f>정규화데이터!F1038</f>
        <v>4</v>
      </c>
      <c r="G1038" s="3">
        <f>정규화데이터!G1038</f>
        <v>2</v>
      </c>
      <c r="H1038" s="3">
        <f>정규화데이터!H1038</f>
        <v>45500</v>
      </c>
      <c r="I1038" s="3">
        <f>정규화데이터!I1038</f>
        <v>91000</v>
      </c>
      <c r="J1038" s="3">
        <f>정규화데이터!J1038</f>
        <v>91000</v>
      </c>
      <c r="K1038" s="25" t="str">
        <f>정규화데이터!K1038</f>
        <v>[워커힐] 시그니처 양념갈비 300G</v>
      </c>
      <c r="L1038" s="25">
        <f>정규화데이터!L1038</f>
        <v>0</v>
      </c>
      <c r="M1038" s="21">
        <f t="shared" si="32"/>
        <v>91000</v>
      </c>
      <c r="N1038" s="52">
        <f t="shared" si="33"/>
        <v>1</v>
      </c>
    </row>
    <row r="1039" spans="1:14" x14ac:dyDescent="0.3">
      <c r="A1039" t="str">
        <f>정규화데이터!A1039</f>
        <v>리씽크</v>
      </c>
      <c r="B1039" t="str">
        <f>정규화데이터!B1039</f>
        <v>2026020507555620000</v>
      </c>
      <c r="C1039" t="str">
        <f>정규화데이터!C1039</f>
        <v>2026-02-05</v>
      </c>
      <c r="D1039">
        <f>정규화데이터!D1039</f>
        <v>143790</v>
      </c>
      <c r="E1039" s="16" t="str">
        <f>정규화데이터!E1039</f>
        <v>SKU001</v>
      </c>
      <c r="F1039" s="3">
        <f>정규화데이터!F1039</f>
        <v>4</v>
      </c>
      <c r="G1039" s="3">
        <f>정규화데이터!G1039</f>
        <v>4</v>
      </c>
      <c r="H1039" s="3">
        <f>정규화데이터!H1039</f>
        <v>45500</v>
      </c>
      <c r="I1039" s="3">
        <f>정규화데이터!I1039</f>
        <v>182000</v>
      </c>
      <c r="J1039" s="3">
        <f>정규화데이터!J1039</f>
        <v>182000</v>
      </c>
      <c r="K1039" s="25" t="str">
        <f>정규화데이터!K1039</f>
        <v>[워커힐] 시그니처 양념갈비 300G</v>
      </c>
      <c r="L1039" s="25">
        <f>정규화데이터!L1039</f>
        <v>0</v>
      </c>
      <c r="M1039" s="21">
        <f t="shared" si="32"/>
        <v>182000</v>
      </c>
      <c r="N1039" s="52">
        <f t="shared" si="33"/>
        <v>1</v>
      </c>
    </row>
    <row r="1040" spans="1:14" x14ac:dyDescent="0.3">
      <c r="A1040" t="str">
        <f>정규화데이터!A1040</f>
        <v>리씽크</v>
      </c>
      <c r="B1040" t="str">
        <f>정규화데이터!B1040</f>
        <v>2026020507562440000</v>
      </c>
      <c r="C1040" t="str">
        <f>정규화데이터!C1040</f>
        <v>2026-02-05</v>
      </c>
      <c r="D1040">
        <f>정규화데이터!D1040</f>
        <v>143790</v>
      </c>
      <c r="E1040" s="16" t="str">
        <f>정규화데이터!E1040</f>
        <v>SKU001</v>
      </c>
      <c r="F1040" s="3">
        <f>정규화데이터!F1040</f>
        <v>4</v>
      </c>
      <c r="G1040" s="3">
        <f>정규화데이터!G1040</f>
        <v>3</v>
      </c>
      <c r="H1040" s="3">
        <f>정규화데이터!H1040</f>
        <v>45500</v>
      </c>
      <c r="I1040" s="3">
        <f>정규화데이터!I1040</f>
        <v>136500</v>
      </c>
      <c r="J1040" s="3">
        <f>정규화데이터!J1040</f>
        <v>136500</v>
      </c>
      <c r="K1040" s="25" t="str">
        <f>정규화데이터!K1040</f>
        <v>[워커힐] 시그니처 양념갈비 300G</v>
      </c>
      <c r="L1040" s="25">
        <f>정규화데이터!L1040</f>
        <v>0</v>
      </c>
      <c r="M1040" s="21">
        <f t="shared" si="32"/>
        <v>136500</v>
      </c>
      <c r="N1040" s="52">
        <f t="shared" si="33"/>
        <v>1</v>
      </c>
    </row>
    <row r="1041" spans="1:14" x14ac:dyDescent="0.3">
      <c r="A1041" t="str">
        <f>정규화데이터!A1041</f>
        <v>리씽크</v>
      </c>
      <c r="B1041" t="str">
        <f>정규화데이터!B1041</f>
        <v>2026020507563390000</v>
      </c>
      <c r="C1041" t="str">
        <f>정규화데이터!C1041</f>
        <v>2026-02-05</v>
      </c>
      <c r="D1041">
        <f>정규화데이터!D1041</f>
        <v>143790</v>
      </c>
      <c r="E1041" s="16" t="str">
        <f>정규화데이터!E1041</f>
        <v>SKU001</v>
      </c>
      <c r="F1041" s="3">
        <f>정규화데이터!F1041</f>
        <v>4</v>
      </c>
      <c r="G1041" s="3">
        <f>정규화데이터!G1041</f>
        <v>1</v>
      </c>
      <c r="H1041" s="3">
        <f>정규화데이터!H1041</f>
        <v>45500</v>
      </c>
      <c r="I1041" s="3">
        <f>정규화데이터!I1041</f>
        <v>45500</v>
      </c>
      <c r="J1041" s="3">
        <f>정규화데이터!J1041</f>
        <v>45500</v>
      </c>
      <c r="K1041" s="25" t="str">
        <f>정규화데이터!K1041</f>
        <v>[워커힐] 시그니처 양념갈비 300G</v>
      </c>
      <c r="L1041" s="25">
        <f>정규화데이터!L1041</f>
        <v>0</v>
      </c>
      <c r="M1041" s="21">
        <f t="shared" si="32"/>
        <v>45500</v>
      </c>
      <c r="N1041" s="52">
        <f t="shared" si="33"/>
        <v>1</v>
      </c>
    </row>
    <row r="1042" spans="1:14" x14ac:dyDescent="0.3">
      <c r="A1042" t="str">
        <f>정규화데이터!A1042</f>
        <v>리씽크</v>
      </c>
      <c r="B1042" t="str">
        <f>정규화데이터!B1042</f>
        <v>2026020507561920000</v>
      </c>
      <c r="C1042" t="str">
        <f>정규화데이터!C1042</f>
        <v>2026-02-05</v>
      </c>
      <c r="D1042">
        <f>정규화데이터!D1042</f>
        <v>143790</v>
      </c>
      <c r="E1042" s="16" t="str">
        <f>정규화데이터!E1042</f>
        <v>SKU001</v>
      </c>
      <c r="F1042" s="3">
        <f>정규화데이터!F1042</f>
        <v>4</v>
      </c>
      <c r="G1042" s="3">
        <f>정규화데이터!G1042</f>
        <v>1</v>
      </c>
      <c r="H1042" s="3">
        <f>정규화데이터!H1042</f>
        <v>45500</v>
      </c>
      <c r="I1042" s="3">
        <f>정규화데이터!I1042</f>
        <v>45500</v>
      </c>
      <c r="J1042" s="3">
        <f>정규화데이터!J1042</f>
        <v>45500</v>
      </c>
      <c r="K1042" s="25" t="str">
        <f>정규화데이터!K1042</f>
        <v>[워커힐] 시그니처 양념갈비 300G</v>
      </c>
      <c r="L1042" s="25">
        <f>정규화데이터!L1042</f>
        <v>0</v>
      </c>
      <c r="M1042" s="21">
        <f t="shared" si="32"/>
        <v>45500</v>
      </c>
      <c r="N1042" s="52">
        <f t="shared" si="33"/>
        <v>1</v>
      </c>
    </row>
    <row r="1043" spans="1:14" x14ac:dyDescent="0.3">
      <c r="A1043" t="str">
        <f>정규화데이터!A1043</f>
        <v>리씽크</v>
      </c>
      <c r="B1043" t="str">
        <f>정규화데이터!B1043</f>
        <v>2026020507552250000</v>
      </c>
      <c r="C1043" t="str">
        <f>정규화데이터!C1043</f>
        <v>2026-02-05</v>
      </c>
      <c r="D1043">
        <f>정규화데이터!D1043</f>
        <v>143790</v>
      </c>
      <c r="E1043" s="16" t="str">
        <f>정규화데이터!E1043</f>
        <v>SKU001</v>
      </c>
      <c r="F1043" s="3">
        <f>정규화데이터!F1043</f>
        <v>4</v>
      </c>
      <c r="G1043" s="3">
        <f>정규화데이터!G1043</f>
        <v>1</v>
      </c>
      <c r="H1043" s="3">
        <f>정규화데이터!H1043</f>
        <v>45500</v>
      </c>
      <c r="I1043" s="3">
        <f>정규화데이터!I1043</f>
        <v>45500</v>
      </c>
      <c r="J1043" s="3">
        <f>정규화데이터!J1043</f>
        <v>45500</v>
      </c>
      <c r="K1043" s="25" t="str">
        <f>정규화데이터!K1043</f>
        <v>[워커힐] 시그니처 양념갈비 300G</v>
      </c>
      <c r="L1043" s="25">
        <f>정규화데이터!L1043</f>
        <v>0</v>
      </c>
      <c r="M1043" s="21">
        <f t="shared" si="32"/>
        <v>45500</v>
      </c>
      <c r="N1043" s="52">
        <f t="shared" si="33"/>
        <v>1</v>
      </c>
    </row>
    <row r="1044" spans="1:14" x14ac:dyDescent="0.3">
      <c r="A1044" t="str">
        <f>정규화데이터!A1044</f>
        <v>리씽크</v>
      </c>
      <c r="B1044" t="str">
        <f>정규화데이터!B1044</f>
        <v>2026020507543020000</v>
      </c>
      <c r="C1044" t="str">
        <f>정규화데이터!C1044</f>
        <v>2026-02-05</v>
      </c>
      <c r="D1044">
        <f>정규화데이터!D1044</f>
        <v>143790</v>
      </c>
      <c r="E1044" s="16" t="str">
        <f>정규화데이터!E1044</f>
        <v>SKU001</v>
      </c>
      <c r="F1044" s="3">
        <f>정규화데이터!F1044</f>
        <v>4</v>
      </c>
      <c r="G1044" s="3">
        <f>정규화데이터!G1044</f>
        <v>1</v>
      </c>
      <c r="H1044" s="3">
        <f>정규화데이터!H1044</f>
        <v>45500</v>
      </c>
      <c r="I1044" s="3">
        <f>정규화데이터!I1044</f>
        <v>45500</v>
      </c>
      <c r="J1044" s="3">
        <f>정규화데이터!J1044</f>
        <v>45500</v>
      </c>
      <c r="K1044" s="25" t="str">
        <f>정규화데이터!K1044</f>
        <v>[워커힐] 시그니처 양념갈비 300G</v>
      </c>
      <c r="L1044" s="25">
        <f>정규화데이터!L1044</f>
        <v>0</v>
      </c>
      <c r="M1044" s="21">
        <f t="shared" si="32"/>
        <v>45500</v>
      </c>
      <c r="N1044" s="52">
        <f t="shared" si="33"/>
        <v>1</v>
      </c>
    </row>
    <row r="1045" spans="1:14" x14ac:dyDescent="0.3">
      <c r="A1045" t="str">
        <f>정규화데이터!A1045</f>
        <v>리씽크</v>
      </c>
      <c r="B1045" t="str">
        <f>정규화데이터!B1045</f>
        <v>2026020507554190000</v>
      </c>
      <c r="C1045" t="str">
        <f>정규화데이터!C1045</f>
        <v>2026-02-05</v>
      </c>
      <c r="D1045">
        <f>정규화데이터!D1045</f>
        <v>143790</v>
      </c>
      <c r="E1045" s="16" t="str">
        <f>정규화데이터!E1045</f>
        <v>SKU001</v>
      </c>
      <c r="F1045" s="3">
        <f>정규화데이터!F1045</f>
        <v>4</v>
      </c>
      <c r="G1045" s="3">
        <f>정규화데이터!G1045</f>
        <v>1</v>
      </c>
      <c r="H1045" s="3">
        <f>정규화데이터!H1045</f>
        <v>45500</v>
      </c>
      <c r="I1045" s="3">
        <f>정규화데이터!I1045</f>
        <v>45500</v>
      </c>
      <c r="J1045" s="3">
        <f>정규화데이터!J1045</f>
        <v>45500</v>
      </c>
      <c r="K1045" s="25" t="str">
        <f>정규화데이터!K1045</f>
        <v>[워커힐] 시그니처 양념갈비 300G</v>
      </c>
      <c r="L1045" s="25">
        <f>정규화데이터!L1045</f>
        <v>0</v>
      </c>
      <c r="M1045" s="21">
        <f t="shared" si="32"/>
        <v>45500</v>
      </c>
      <c r="N1045" s="52">
        <f t="shared" si="33"/>
        <v>1</v>
      </c>
    </row>
    <row r="1046" spans="1:14" x14ac:dyDescent="0.3">
      <c r="A1046" t="str">
        <f>정규화데이터!A1046</f>
        <v>리씽크</v>
      </c>
      <c r="B1046" t="str">
        <f>정규화데이터!B1046</f>
        <v>2026020507563100000</v>
      </c>
      <c r="C1046" t="str">
        <f>정규화데이터!C1046</f>
        <v>2026-02-05</v>
      </c>
      <c r="D1046">
        <f>정규화데이터!D1046</f>
        <v>143790</v>
      </c>
      <c r="E1046" s="16" t="str">
        <f>정규화데이터!E1046</f>
        <v>SKU001</v>
      </c>
      <c r="F1046" s="3">
        <f>정규화데이터!F1046</f>
        <v>4</v>
      </c>
      <c r="G1046" s="3">
        <f>정규화데이터!G1046</f>
        <v>1</v>
      </c>
      <c r="H1046" s="3">
        <f>정규화데이터!H1046</f>
        <v>45500</v>
      </c>
      <c r="I1046" s="3">
        <f>정규화데이터!I1046</f>
        <v>45500</v>
      </c>
      <c r="J1046" s="3">
        <f>정규화데이터!J1046</f>
        <v>45500</v>
      </c>
      <c r="K1046" s="25" t="str">
        <f>정규화데이터!K1046</f>
        <v>[워커힐] 시그니처 양념갈비 300G</v>
      </c>
      <c r="L1046" s="25">
        <f>정규화데이터!L1046</f>
        <v>0</v>
      </c>
      <c r="M1046" s="21">
        <f t="shared" si="32"/>
        <v>45500</v>
      </c>
      <c r="N1046" s="52">
        <f t="shared" si="33"/>
        <v>1</v>
      </c>
    </row>
    <row r="1047" spans="1:14" x14ac:dyDescent="0.3">
      <c r="A1047" t="str">
        <f>정규화데이터!A1047</f>
        <v>리씽크</v>
      </c>
      <c r="B1047" t="str">
        <f>정규화데이터!B1047</f>
        <v>2026020507553110000</v>
      </c>
      <c r="C1047" t="str">
        <f>정규화데이터!C1047</f>
        <v>2026-02-05</v>
      </c>
      <c r="D1047">
        <f>정규화데이터!D1047</f>
        <v>143790</v>
      </c>
      <c r="E1047" s="16" t="str">
        <f>정규화데이터!E1047</f>
        <v>SKU001</v>
      </c>
      <c r="F1047" s="3">
        <f>정규화데이터!F1047</f>
        <v>4</v>
      </c>
      <c r="G1047" s="3">
        <f>정규화데이터!G1047</f>
        <v>1</v>
      </c>
      <c r="H1047" s="3">
        <f>정규화데이터!H1047</f>
        <v>45500</v>
      </c>
      <c r="I1047" s="3">
        <f>정규화데이터!I1047</f>
        <v>45500</v>
      </c>
      <c r="J1047" s="3">
        <f>정규화데이터!J1047</f>
        <v>45500</v>
      </c>
      <c r="K1047" s="25" t="str">
        <f>정규화데이터!K1047</f>
        <v>[워커힐] 시그니처 양념갈비 300G</v>
      </c>
      <c r="L1047" s="25">
        <f>정규화데이터!L1047</f>
        <v>0</v>
      </c>
      <c r="M1047" s="21">
        <f t="shared" si="32"/>
        <v>45500</v>
      </c>
      <c r="N1047" s="52">
        <f t="shared" si="33"/>
        <v>1</v>
      </c>
    </row>
    <row r="1048" spans="1:14" x14ac:dyDescent="0.3">
      <c r="A1048" t="str">
        <f>정규화데이터!A1048</f>
        <v>리씽크</v>
      </c>
      <c r="B1048" t="str">
        <f>정규화데이터!B1048</f>
        <v>2026020507545190000</v>
      </c>
      <c r="C1048" t="str">
        <f>정규화데이터!C1048</f>
        <v>2026-02-05</v>
      </c>
      <c r="D1048">
        <f>정규화데이터!D1048</f>
        <v>143790</v>
      </c>
      <c r="E1048" s="16" t="str">
        <f>정규화데이터!E1048</f>
        <v>SKU001</v>
      </c>
      <c r="F1048" s="3">
        <f>정규화데이터!F1048</f>
        <v>4</v>
      </c>
      <c r="G1048" s="3">
        <f>정규화데이터!G1048</f>
        <v>1</v>
      </c>
      <c r="H1048" s="3">
        <f>정규화데이터!H1048</f>
        <v>45500</v>
      </c>
      <c r="I1048" s="3">
        <f>정규화데이터!I1048</f>
        <v>45500</v>
      </c>
      <c r="J1048" s="3">
        <f>정규화데이터!J1048</f>
        <v>45500</v>
      </c>
      <c r="K1048" s="25" t="str">
        <f>정규화데이터!K1048</f>
        <v>[워커힐] 시그니처 양념갈비 300G</v>
      </c>
      <c r="L1048" s="25">
        <f>정규화데이터!L1048</f>
        <v>0</v>
      </c>
      <c r="M1048" s="21">
        <f t="shared" si="32"/>
        <v>45500</v>
      </c>
      <c r="N1048" s="52">
        <f t="shared" si="33"/>
        <v>1</v>
      </c>
    </row>
    <row r="1049" spans="1:14" x14ac:dyDescent="0.3">
      <c r="A1049" t="str">
        <f>정규화데이터!A1049</f>
        <v>리씽크</v>
      </c>
      <c r="B1049" t="str">
        <f>정규화데이터!B1049</f>
        <v>2026020507555350000</v>
      </c>
      <c r="C1049" t="str">
        <f>정규화데이터!C1049</f>
        <v>2026-02-05</v>
      </c>
      <c r="D1049">
        <f>정규화데이터!D1049</f>
        <v>143790</v>
      </c>
      <c r="E1049" s="16" t="str">
        <f>정규화데이터!E1049</f>
        <v>SKU001</v>
      </c>
      <c r="F1049" s="3">
        <f>정규화데이터!F1049</f>
        <v>4</v>
      </c>
      <c r="G1049" s="3">
        <f>정규화데이터!G1049</f>
        <v>2</v>
      </c>
      <c r="H1049" s="3">
        <f>정규화데이터!H1049</f>
        <v>45500</v>
      </c>
      <c r="I1049" s="3">
        <f>정규화데이터!I1049</f>
        <v>91000</v>
      </c>
      <c r="J1049" s="3">
        <f>정규화데이터!J1049</f>
        <v>91000</v>
      </c>
      <c r="K1049" s="25" t="str">
        <f>정규화데이터!K1049</f>
        <v>[워커힐] 시그니처 양념갈비 300G</v>
      </c>
      <c r="L1049" s="25">
        <f>정규화데이터!L1049</f>
        <v>0</v>
      </c>
      <c r="M1049" s="21">
        <f t="shared" si="32"/>
        <v>91000</v>
      </c>
      <c r="N1049" s="52">
        <f t="shared" si="33"/>
        <v>1</v>
      </c>
    </row>
    <row r="1050" spans="1:14" x14ac:dyDescent="0.3">
      <c r="A1050" t="str">
        <f>정규화데이터!A1050</f>
        <v>리씽크</v>
      </c>
      <c r="B1050" t="str">
        <f>정규화데이터!B1050</f>
        <v>2026020507542030000</v>
      </c>
      <c r="C1050" t="str">
        <f>정규화데이터!C1050</f>
        <v>2026-02-05</v>
      </c>
      <c r="D1050">
        <f>정규화데이터!D1050</f>
        <v>143790</v>
      </c>
      <c r="E1050" s="16" t="str">
        <f>정규화데이터!E1050</f>
        <v>SKU001</v>
      </c>
      <c r="F1050" s="3">
        <f>정규화데이터!F1050</f>
        <v>4</v>
      </c>
      <c r="G1050" s="3">
        <f>정규화데이터!G1050</f>
        <v>1</v>
      </c>
      <c r="H1050" s="3">
        <f>정규화데이터!H1050</f>
        <v>45500</v>
      </c>
      <c r="I1050" s="3">
        <f>정규화데이터!I1050</f>
        <v>45500</v>
      </c>
      <c r="J1050" s="3">
        <f>정규화데이터!J1050</f>
        <v>45500</v>
      </c>
      <c r="K1050" s="25" t="str">
        <f>정규화데이터!K1050</f>
        <v>[워커힐] 시그니처 양념갈비 300G</v>
      </c>
      <c r="L1050" s="25">
        <f>정규화데이터!L1050</f>
        <v>0</v>
      </c>
      <c r="M1050" s="21">
        <f t="shared" si="32"/>
        <v>45500</v>
      </c>
      <c r="N1050" s="52">
        <f t="shared" si="33"/>
        <v>1</v>
      </c>
    </row>
    <row r="1051" spans="1:14" x14ac:dyDescent="0.3">
      <c r="A1051" t="str">
        <f>정규화데이터!A1051</f>
        <v>리씽크</v>
      </c>
      <c r="B1051" t="str">
        <f>정규화데이터!B1051</f>
        <v>2026020507550380000</v>
      </c>
      <c r="C1051" t="str">
        <f>정규화데이터!C1051</f>
        <v>2026-02-05</v>
      </c>
      <c r="D1051">
        <f>정규화데이터!D1051</f>
        <v>143790</v>
      </c>
      <c r="E1051" s="16" t="str">
        <f>정규화데이터!E1051</f>
        <v>SKU001</v>
      </c>
      <c r="F1051" s="3">
        <f>정규화데이터!F1051</f>
        <v>4</v>
      </c>
      <c r="G1051" s="3">
        <f>정규화데이터!G1051</f>
        <v>1</v>
      </c>
      <c r="H1051" s="3">
        <f>정규화데이터!H1051</f>
        <v>45500</v>
      </c>
      <c r="I1051" s="3">
        <f>정규화데이터!I1051</f>
        <v>45500</v>
      </c>
      <c r="J1051" s="3">
        <f>정규화데이터!J1051</f>
        <v>45500</v>
      </c>
      <c r="K1051" s="25" t="str">
        <f>정규화데이터!K1051</f>
        <v>[워커힐] 시그니처 양념갈비 300G</v>
      </c>
      <c r="L1051" s="25">
        <f>정규화데이터!L1051</f>
        <v>0</v>
      </c>
      <c r="M1051" s="21">
        <f t="shared" si="32"/>
        <v>45500</v>
      </c>
      <c r="N1051" s="52">
        <f t="shared" si="33"/>
        <v>1</v>
      </c>
    </row>
    <row r="1052" spans="1:14" x14ac:dyDescent="0.3">
      <c r="A1052" t="str">
        <f>정규화데이터!A1052</f>
        <v>리씽크</v>
      </c>
      <c r="B1052" t="str">
        <f>정규화데이터!B1052</f>
        <v>2026020507545280000</v>
      </c>
      <c r="C1052" t="str">
        <f>정규화데이터!C1052</f>
        <v>2026-02-05</v>
      </c>
      <c r="D1052">
        <f>정규화데이터!D1052</f>
        <v>143790</v>
      </c>
      <c r="E1052" s="16" t="str">
        <f>정규화데이터!E1052</f>
        <v>SKU001</v>
      </c>
      <c r="F1052" s="3">
        <f>정규화데이터!F1052</f>
        <v>4</v>
      </c>
      <c r="G1052" s="3">
        <f>정규화데이터!G1052</f>
        <v>1</v>
      </c>
      <c r="H1052" s="3">
        <f>정규화데이터!H1052</f>
        <v>45500</v>
      </c>
      <c r="I1052" s="3">
        <f>정규화데이터!I1052</f>
        <v>45500</v>
      </c>
      <c r="J1052" s="3">
        <f>정규화데이터!J1052</f>
        <v>45500</v>
      </c>
      <c r="K1052" s="25" t="str">
        <f>정규화데이터!K1052</f>
        <v>[워커힐] 시그니처 양념갈비 300G</v>
      </c>
      <c r="L1052" s="25">
        <f>정규화데이터!L1052</f>
        <v>0</v>
      </c>
      <c r="M1052" s="21">
        <f t="shared" si="32"/>
        <v>45500</v>
      </c>
      <c r="N1052" s="52">
        <f t="shared" si="33"/>
        <v>1</v>
      </c>
    </row>
    <row r="1053" spans="1:14" x14ac:dyDescent="0.3">
      <c r="A1053" t="str">
        <f>정규화데이터!A1053</f>
        <v>리씽크</v>
      </c>
      <c r="B1053" t="str">
        <f>정규화데이터!B1053</f>
        <v>2026020507542200000</v>
      </c>
      <c r="C1053" t="str">
        <f>정규화데이터!C1053</f>
        <v>2026-02-05</v>
      </c>
      <c r="D1053">
        <f>정규화데이터!D1053</f>
        <v>143790</v>
      </c>
      <c r="E1053" s="16" t="str">
        <f>정규화데이터!E1053</f>
        <v>SKU001</v>
      </c>
      <c r="F1053" s="3">
        <f>정규화데이터!F1053</f>
        <v>4</v>
      </c>
      <c r="G1053" s="3">
        <f>정규화데이터!G1053</f>
        <v>1</v>
      </c>
      <c r="H1053" s="3">
        <f>정규화데이터!H1053</f>
        <v>45500</v>
      </c>
      <c r="I1053" s="3">
        <f>정규화데이터!I1053</f>
        <v>45500</v>
      </c>
      <c r="J1053" s="3">
        <f>정규화데이터!J1053</f>
        <v>45500</v>
      </c>
      <c r="K1053" s="25" t="str">
        <f>정규화데이터!K1053</f>
        <v>[워커힐] 시그니처 양념갈비 300G</v>
      </c>
      <c r="L1053" s="25">
        <f>정규화데이터!L1053</f>
        <v>0</v>
      </c>
      <c r="M1053" s="21">
        <f t="shared" si="32"/>
        <v>45500</v>
      </c>
      <c r="N1053" s="52">
        <f t="shared" si="33"/>
        <v>1</v>
      </c>
    </row>
    <row r="1054" spans="1:14" x14ac:dyDescent="0.3">
      <c r="A1054" t="str">
        <f>정규화데이터!A1054</f>
        <v>리씽크</v>
      </c>
      <c r="B1054" t="str">
        <f>정규화데이터!B1054</f>
        <v>2026020507540160000</v>
      </c>
      <c r="C1054" t="str">
        <f>정규화데이터!C1054</f>
        <v>2026-02-05</v>
      </c>
      <c r="D1054">
        <f>정규화데이터!D1054</f>
        <v>143790</v>
      </c>
      <c r="E1054" s="16" t="str">
        <f>정규화데이터!E1054</f>
        <v>SKU001</v>
      </c>
      <c r="F1054" s="3">
        <f>정규화데이터!F1054</f>
        <v>4</v>
      </c>
      <c r="G1054" s="3">
        <f>정규화데이터!G1054</f>
        <v>1</v>
      </c>
      <c r="H1054" s="3">
        <f>정규화데이터!H1054</f>
        <v>45500</v>
      </c>
      <c r="I1054" s="3">
        <f>정규화데이터!I1054</f>
        <v>45500</v>
      </c>
      <c r="J1054" s="3">
        <f>정규화데이터!J1054</f>
        <v>45500</v>
      </c>
      <c r="K1054" s="25" t="str">
        <f>정규화데이터!K1054</f>
        <v>[워커힐] 시그니처 양념갈비 300G</v>
      </c>
      <c r="L1054" s="25">
        <f>정규화데이터!L1054</f>
        <v>0</v>
      </c>
      <c r="M1054" s="21">
        <f t="shared" si="32"/>
        <v>45500</v>
      </c>
      <c r="N1054" s="52">
        <f t="shared" si="33"/>
        <v>1</v>
      </c>
    </row>
    <row r="1055" spans="1:14" x14ac:dyDescent="0.3">
      <c r="A1055" t="str">
        <f>정규화데이터!A1055</f>
        <v>리씽크</v>
      </c>
      <c r="B1055" t="str">
        <f>정규화데이터!B1055</f>
        <v>2026020507541590000</v>
      </c>
      <c r="C1055" t="str">
        <f>정규화데이터!C1055</f>
        <v>2026-02-05</v>
      </c>
      <c r="D1055">
        <f>정규화데이터!D1055</f>
        <v>143790</v>
      </c>
      <c r="E1055" s="16" t="str">
        <f>정규화데이터!E1055</f>
        <v>SKU001</v>
      </c>
      <c r="F1055" s="3">
        <f>정규화데이터!F1055</f>
        <v>4</v>
      </c>
      <c r="G1055" s="3">
        <f>정규화데이터!G1055</f>
        <v>1</v>
      </c>
      <c r="H1055" s="3">
        <f>정규화데이터!H1055</f>
        <v>45500</v>
      </c>
      <c r="I1055" s="3">
        <f>정규화데이터!I1055</f>
        <v>45500</v>
      </c>
      <c r="J1055" s="3">
        <f>정규화데이터!J1055</f>
        <v>45500</v>
      </c>
      <c r="K1055" s="25" t="str">
        <f>정규화데이터!K1055</f>
        <v>[워커힐] 시그니처 양념갈비 300G</v>
      </c>
      <c r="L1055" s="25">
        <f>정규화데이터!L1055</f>
        <v>0</v>
      </c>
      <c r="M1055" s="21">
        <f t="shared" si="32"/>
        <v>45500</v>
      </c>
      <c r="N1055" s="52">
        <f t="shared" si="33"/>
        <v>1</v>
      </c>
    </row>
    <row r="1056" spans="1:14" x14ac:dyDescent="0.3">
      <c r="A1056" t="str">
        <f>정규화데이터!A1056</f>
        <v>리씽크</v>
      </c>
      <c r="B1056" t="str">
        <f>정규화데이터!B1056</f>
        <v>2026020507443140000</v>
      </c>
      <c r="C1056" t="str">
        <f>정규화데이터!C1056</f>
        <v>2026-02-05</v>
      </c>
      <c r="D1056">
        <f>정규화데이터!D1056</f>
        <v>143790</v>
      </c>
      <c r="E1056" s="16" t="str">
        <f>정규화데이터!E1056</f>
        <v>SKU001</v>
      </c>
      <c r="F1056" s="3">
        <f>정규화데이터!F1056</f>
        <v>4</v>
      </c>
      <c r="G1056" s="3">
        <f>정규화데이터!G1056</f>
        <v>1</v>
      </c>
      <c r="H1056" s="3">
        <f>정규화데이터!H1056</f>
        <v>45500</v>
      </c>
      <c r="I1056" s="3">
        <f>정규화데이터!I1056</f>
        <v>45500</v>
      </c>
      <c r="J1056" s="3">
        <f>정규화데이터!J1056</f>
        <v>45500</v>
      </c>
      <c r="K1056" s="25" t="str">
        <f>정규화데이터!K1056</f>
        <v>[워커힐] 시그니처 양념갈비 300G</v>
      </c>
      <c r="L1056" s="25">
        <f>정규화데이터!L1056</f>
        <v>0</v>
      </c>
      <c r="M1056" s="21">
        <f t="shared" si="32"/>
        <v>45500</v>
      </c>
      <c r="N1056" s="52">
        <f t="shared" si="33"/>
        <v>1</v>
      </c>
    </row>
    <row r="1057" spans="1:14" x14ac:dyDescent="0.3">
      <c r="A1057" t="str">
        <f>정규화데이터!A1057</f>
        <v>리씽크</v>
      </c>
      <c r="B1057" t="str">
        <f>정규화데이터!B1057</f>
        <v>2026020507404140000</v>
      </c>
      <c r="C1057" t="str">
        <f>정규화데이터!C1057</f>
        <v>2026-02-05</v>
      </c>
      <c r="D1057">
        <f>정규화데이터!D1057</f>
        <v>143790</v>
      </c>
      <c r="E1057" s="16" t="str">
        <f>정규화데이터!E1057</f>
        <v>SKU001</v>
      </c>
      <c r="F1057" s="3">
        <f>정규화데이터!F1057</f>
        <v>4</v>
      </c>
      <c r="G1057" s="3">
        <f>정규화데이터!G1057</f>
        <v>1</v>
      </c>
      <c r="H1057" s="3">
        <f>정규화데이터!H1057</f>
        <v>45500</v>
      </c>
      <c r="I1057" s="3">
        <f>정규화데이터!I1057</f>
        <v>45500</v>
      </c>
      <c r="J1057" s="3">
        <f>정규화데이터!J1057</f>
        <v>45500</v>
      </c>
      <c r="K1057" s="25" t="str">
        <f>정규화데이터!K1057</f>
        <v>[워커힐] 시그니처 양념갈비 300G</v>
      </c>
      <c r="L1057" s="25">
        <f>정규화데이터!L1057</f>
        <v>0</v>
      </c>
      <c r="M1057" s="21">
        <f t="shared" si="32"/>
        <v>45500</v>
      </c>
      <c r="N1057" s="52">
        <f t="shared" si="33"/>
        <v>1</v>
      </c>
    </row>
    <row r="1058" spans="1:14" x14ac:dyDescent="0.3">
      <c r="A1058" t="str">
        <f>정규화데이터!A1058</f>
        <v>리씽크</v>
      </c>
      <c r="B1058" t="str">
        <f>정규화데이터!B1058</f>
        <v>2026020507280220000</v>
      </c>
      <c r="C1058" t="str">
        <f>정규화데이터!C1058</f>
        <v>2026-02-05</v>
      </c>
      <c r="D1058">
        <f>정규화데이터!D1058</f>
        <v>143790</v>
      </c>
      <c r="E1058" s="16" t="str">
        <f>정규화데이터!E1058</f>
        <v>SKU001</v>
      </c>
      <c r="F1058" s="3">
        <f>정규화데이터!F1058</f>
        <v>4</v>
      </c>
      <c r="G1058" s="3">
        <f>정규화데이터!G1058</f>
        <v>1</v>
      </c>
      <c r="H1058" s="3">
        <f>정규화데이터!H1058</f>
        <v>45500</v>
      </c>
      <c r="I1058" s="3">
        <f>정규화데이터!I1058</f>
        <v>45500</v>
      </c>
      <c r="J1058" s="3">
        <f>정규화데이터!J1058</f>
        <v>45500</v>
      </c>
      <c r="K1058" s="25" t="str">
        <f>정규화데이터!K1058</f>
        <v>[워커힐] 시그니처 양념갈비 300G</v>
      </c>
      <c r="L1058" s="25">
        <f>정규화데이터!L1058</f>
        <v>0</v>
      </c>
      <c r="M1058" s="21">
        <f t="shared" si="32"/>
        <v>45500</v>
      </c>
      <c r="N1058" s="52">
        <f t="shared" si="33"/>
        <v>1</v>
      </c>
    </row>
    <row r="1059" spans="1:14" x14ac:dyDescent="0.3">
      <c r="A1059" t="str">
        <f>정규화데이터!A1059</f>
        <v>리씽크</v>
      </c>
      <c r="B1059" t="str">
        <f>정규화데이터!B1059</f>
        <v>2026020507233470000</v>
      </c>
      <c r="C1059" t="str">
        <f>정규화데이터!C1059</f>
        <v>2026-02-05</v>
      </c>
      <c r="D1059">
        <f>정규화데이터!D1059</f>
        <v>143790</v>
      </c>
      <c r="E1059" s="16" t="str">
        <f>정규화데이터!E1059</f>
        <v>SKU001</v>
      </c>
      <c r="F1059" s="3">
        <f>정규화데이터!F1059</f>
        <v>4</v>
      </c>
      <c r="G1059" s="3">
        <f>정규화데이터!G1059</f>
        <v>1</v>
      </c>
      <c r="H1059" s="3">
        <f>정규화데이터!H1059</f>
        <v>45500</v>
      </c>
      <c r="I1059" s="3">
        <f>정규화데이터!I1059</f>
        <v>45500</v>
      </c>
      <c r="J1059" s="3">
        <f>정규화데이터!J1059</f>
        <v>45500</v>
      </c>
      <c r="K1059" s="25" t="str">
        <f>정규화데이터!K1059</f>
        <v>[워커힐] 시그니처 양념갈비 300G</v>
      </c>
      <c r="L1059" s="25">
        <f>정규화데이터!L1059</f>
        <v>0</v>
      </c>
      <c r="M1059" s="21">
        <f t="shared" si="32"/>
        <v>45500</v>
      </c>
      <c r="N1059" s="52">
        <f t="shared" si="33"/>
        <v>1</v>
      </c>
    </row>
    <row r="1060" spans="1:14" x14ac:dyDescent="0.3">
      <c r="A1060" t="str">
        <f>정규화데이터!A1060</f>
        <v>리씽크</v>
      </c>
      <c r="B1060" t="str">
        <f>정규화데이터!B1060</f>
        <v>2026020507213600000</v>
      </c>
      <c r="C1060" t="str">
        <f>정규화데이터!C1060</f>
        <v>2026-02-05</v>
      </c>
      <c r="D1060">
        <f>정규화데이터!D1060</f>
        <v>143790</v>
      </c>
      <c r="E1060" s="16" t="str">
        <f>정규화데이터!E1060</f>
        <v>SKU001</v>
      </c>
      <c r="F1060" s="3">
        <f>정규화데이터!F1060</f>
        <v>4</v>
      </c>
      <c r="G1060" s="3">
        <f>정규화데이터!G1060</f>
        <v>1</v>
      </c>
      <c r="H1060" s="3">
        <f>정규화데이터!H1060</f>
        <v>45500</v>
      </c>
      <c r="I1060" s="3">
        <f>정규화데이터!I1060</f>
        <v>45500</v>
      </c>
      <c r="J1060" s="3">
        <f>정규화데이터!J1060</f>
        <v>45500</v>
      </c>
      <c r="K1060" s="25" t="str">
        <f>정규화데이터!K1060</f>
        <v>[워커힐] 시그니처 양념갈비 300G</v>
      </c>
      <c r="L1060" s="25">
        <f>정규화데이터!L1060</f>
        <v>0</v>
      </c>
      <c r="M1060" s="21">
        <f t="shared" si="32"/>
        <v>45500</v>
      </c>
      <c r="N1060" s="52">
        <f t="shared" si="33"/>
        <v>1</v>
      </c>
    </row>
    <row r="1061" spans="1:14" x14ac:dyDescent="0.3">
      <c r="A1061" t="str">
        <f>정규화데이터!A1061</f>
        <v>리씽크</v>
      </c>
      <c r="B1061" t="str">
        <f>정규화데이터!B1061</f>
        <v>2026020507202860000</v>
      </c>
      <c r="C1061" t="str">
        <f>정규화데이터!C1061</f>
        <v>2026-02-05</v>
      </c>
      <c r="D1061">
        <f>정규화데이터!D1061</f>
        <v>143790</v>
      </c>
      <c r="E1061" s="16" t="str">
        <f>정규화데이터!E1061</f>
        <v>SKU001</v>
      </c>
      <c r="F1061" s="3">
        <f>정규화데이터!F1061</f>
        <v>4</v>
      </c>
      <c r="G1061" s="3">
        <f>정규화데이터!G1061</f>
        <v>1</v>
      </c>
      <c r="H1061" s="3">
        <f>정규화데이터!H1061</f>
        <v>45500</v>
      </c>
      <c r="I1061" s="3">
        <f>정규화데이터!I1061</f>
        <v>45500</v>
      </c>
      <c r="J1061" s="3">
        <f>정규화데이터!J1061</f>
        <v>45500</v>
      </c>
      <c r="K1061" s="25" t="str">
        <f>정규화데이터!K1061</f>
        <v>[워커힐] 시그니처 양념갈비 300G</v>
      </c>
      <c r="L1061" s="25">
        <f>정규화데이터!L1061</f>
        <v>0</v>
      </c>
      <c r="M1061" s="21">
        <f t="shared" si="32"/>
        <v>45500</v>
      </c>
      <c r="N1061" s="52">
        <f t="shared" si="33"/>
        <v>1</v>
      </c>
    </row>
    <row r="1062" spans="1:14" x14ac:dyDescent="0.3">
      <c r="A1062" t="str">
        <f>정규화데이터!A1062</f>
        <v>리씽크</v>
      </c>
      <c r="B1062" t="str">
        <f>정규화데이터!B1062</f>
        <v>2026020507202200000</v>
      </c>
      <c r="C1062" t="str">
        <f>정규화데이터!C1062</f>
        <v>2026-02-05</v>
      </c>
      <c r="D1062">
        <f>정규화데이터!D1062</f>
        <v>143790</v>
      </c>
      <c r="E1062" s="16" t="str">
        <f>정규화데이터!E1062</f>
        <v>SKU001</v>
      </c>
      <c r="F1062" s="3">
        <f>정규화데이터!F1062</f>
        <v>4</v>
      </c>
      <c r="G1062" s="3">
        <f>정규화데이터!G1062</f>
        <v>1</v>
      </c>
      <c r="H1062" s="3">
        <f>정규화데이터!H1062</f>
        <v>45500</v>
      </c>
      <c r="I1062" s="3">
        <f>정규화데이터!I1062</f>
        <v>45500</v>
      </c>
      <c r="J1062" s="3">
        <f>정규화데이터!J1062</f>
        <v>45500</v>
      </c>
      <c r="K1062" s="25" t="str">
        <f>정규화데이터!K1062</f>
        <v>[워커힐] 시그니처 양념갈비 300G</v>
      </c>
      <c r="L1062" s="25">
        <f>정규화데이터!L1062</f>
        <v>0</v>
      </c>
      <c r="M1062" s="21">
        <f t="shared" si="32"/>
        <v>45500</v>
      </c>
      <c r="N1062" s="52">
        <f t="shared" si="33"/>
        <v>1</v>
      </c>
    </row>
    <row r="1063" spans="1:14" x14ac:dyDescent="0.3">
      <c r="A1063" t="str">
        <f>정규화데이터!A1063</f>
        <v>리씽크</v>
      </c>
      <c r="B1063" t="str">
        <f>정규화데이터!B1063</f>
        <v>2026020507184210000</v>
      </c>
      <c r="C1063" t="str">
        <f>정규화데이터!C1063</f>
        <v>2026-02-05</v>
      </c>
      <c r="D1063">
        <f>정규화데이터!D1063</f>
        <v>143790</v>
      </c>
      <c r="E1063" s="16" t="str">
        <f>정규화데이터!E1063</f>
        <v>SKU001</v>
      </c>
      <c r="F1063" s="3">
        <f>정규화데이터!F1063</f>
        <v>4</v>
      </c>
      <c r="G1063" s="3">
        <f>정규화데이터!G1063</f>
        <v>1</v>
      </c>
      <c r="H1063" s="3">
        <f>정규화데이터!H1063</f>
        <v>45500</v>
      </c>
      <c r="I1063" s="3">
        <f>정규화데이터!I1063</f>
        <v>45500</v>
      </c>
      <c r="J1063" s="3">
        <f>정규화데이터!J1063</f>
        <v>45500</v>
      </c>
      <c r="K1063" s="25" t="str">
        <f>정규화데이터!K1063</f>
        <v>[워커힐] 시그니처 양념갈비 300G</v>
      </c>
      <c r="L1063" s="25">
        <f>정규화데이터!L1063</f>
        <v>0</v>
      </c>
      <c r="M1063" s="21">
        <f t="shared" si="32"/>
        <v>45500</v>
      </c>
      <c r="N1063" s="52">
        <f t="shared" si="33"/>
        <v>1</v>
      </c>
    </row>
    <row r="1064" spans="1:14" x14ac:dyDescent="0.3">
      <c r="A1064" t="str">
        <f>정규화데이터!A1064</f>
        <v>리씽크</v>
      </c>
      <c r="B1064" t="str">
        <f>정규화데이터!B1064</f>
        <v>2026020507172530000</v>
      </c>
      <c r="C1064" t="str">
        <f>정규화데이터!C1064</f>
        <v>2026-02-05</v>
      </c>
      <c r="D1064">
        <f>정규화데이터!D1064</f>
        <v>143790</v>
      </c>
      <c r="E1064" s="16" t="str">
        <f>정규화데이터!E1064</f>
        <v>SKU001</v>
      </c>
      <c r="F1064" s="3">
        <f>정규화데이터!F1064</f>
        <v>4</v>
      </c>
      <c r="G1064" s="3">
        <f>정규화데이터!G1064</f>
        <v>1</v>
      </c>
      <c r="H1064" s="3">
        <f>정규화데이터!H1064</f>
        <v>45500</v>
      </c>
      <c r="I1064" s="3">
        <f>정규화데이터!I1064</f>
        <v>45500</v>
      </c>
      <c r="J1064" s="3">
        <f>정규화데이터!J1064</f>
        <v>45500</v>
      </c>
      <c r="K1064" s="25" t="str">
        <f>정규화데이터!K1064</f>
        <v>[워커힐] 시그니처 양념갈비 300G</v>
      </c>
      <c r="L1064" s="25">
        <f>정규화데이터!L1064</f>
        <v>0</v>
      </c>
      <c r="M1064" s="21">
        <f t="shared" si="32"/>
        <v>45500</v>
      </c>
      <c r="N1064" s="52">
        <f t="shared" si="33"/>
        <v>1</v>
      </c>
    </row>
    <row r="1065" spans="1:14" x14ac:dyDescent="0.3">
      <c r="A1065" t="str">
        <f>정규화데이터!A1065</f>
        <v>리씽크</v>
      </c>
      <c r="B1065" t="str">
        <f>정규화데이터!B1065</f>
        <v>2026020507165690000</v>
      </c>
      <c r="C1065" t="str">
        <f>정규화데이터!C1065</f>
        <v>2026-02-05</v>
      </c>
      <c r="D1065">
        <f>정규화데이터!D1065</f>
        <v>143790</v>
      </c>
      <c r="E1065" s="16" t="str">
        <f>정규화데이터!E1065</f>
        <v>SKU001</v>
      </c>
      <c r="F1065" s="3">
        <f>정규화데이터!F1065</f>
        <v>4</v>
      </c>
      <c r="G1065" s="3">
        <f>정규화데이터!G1065</f>
        <v>1</v>
      </c>
      <c r="H1065" s="3">
        <f>정규화데이터!H1065</f>
        <v>45500</v>
      </c>
      <c r="I1065" s="3">
        <f>정규화데이터!I1065</f>
        <v>45500</v>
      </c>
      <c r="J1065" s="3">
        <f>정규화데이터!J1065</f>
        <v>45500</v>
      </c>
      <c r="K1065" s="25" t="str">
        <f>정규화데이터!K1065</f>
        <v>[워커힐] 시그니처 양념갈비 300G</v>
      </c>
      <c r="L1065" s="25">
        <f>정규화데이터!L1065</f>
        <v>0</v>
      </c>
      <c r="M1065" s="21">
        <f t="shared" si="32"/>
        <v>45500</v>
      </c>
      <c r="N1065" s="52">
        <f t="shared" si="33"/>
        <v>1</v>
      </c>
    </row>
    <row r="1066" spans="1:14" x14ac:dyDescent="0.3">
      <c r="A1066" t="str">
        <f>정규화데이터!A1066</f>
        <v>리씽크</v>
      </c>
      <c r="B1066" t="str">
        <f>정규화데이터!B1066</f>
        <v>2026020507155670000</v>
      </c>
      <c r="C1066" t="str">
        <f>정규화데이터!C1066</f>
        <v>2026-02-05</v>
      </c>
      <c r="D1066">
        <f>정규화데이터!D1066</f>
        <v>143790</v>
      </c>
      <c r="E1066" s="16" t="str">
        <f>정규화데이터!E1066</f>
        <v>SKU001</v>
      </c>
      <c r="F1066" s="3">
        <f>정규화데이터!F1066</f>
        <v>4</v>
      </c>
      <c r="G1066" s="3">
        <f>정규화데이터!G1066</f>
        <v>2</v>
      </c>
      <c r="H1066" s="3">
        <f>정규화데이터!H1066</f>
        <v>45500</v>
      </c>
      <c r="I1066" s="3">
        <f>정규화데이터!I1066</f>
        <v>91000</v>
      </c>
      <c r="J1066" s="3">
        <f>정규화데이터!J1066</f>
        <v>91000</v>
      </c>
      <c r="K1066" s="25" t="str">
        <f>정규화데이터!K1066</f>
        <v>[워커힐] 시그니처 양념갈비 300G</v>
      </c>
      <c r="L1066" s="25">
        <f>정규화데이터!L1066</f>
        <v>0</v>
      </c>
      <c r="M1066" s="21">
        <f t="shared" si="32"/>
        <v>91000</v>
      </c>
      <c r="N1066" s="52">
        <f t="shared" si="33"/>
        <v>1</v>
      </c>
    </row>
    <row r="1067" spans="1:14" x14ac:dyDescent="0.3">
      <c r="A1067" t="str">
        <f>정규화데이터!A1067</f>
        <v>리씽크</v>
      </c>
      <c r="B1067" t="str">
        <f>정규화데이터!B1067</f>
        <v>2026020506512390000</v>
      </c>
      <c r="C1067" t="str">
        <f>정규화데이터!C1067</f>
        <v>2026-02-05</v>
      </c>
      <c r="D1067">
        <f>정규화데이터!D1067</f>
        <v>143790</v>
      </c>
      <c r="E1067" s="16" t="str">
        <f>정규화데이터!E1067</f>
        <v>SKU001</v>
      </c>
      <c r="F1067" s="3">
        <f>정규화데이터!F1067</f>
        <v>4</v>
      </c>
      <c r="G1067" s="3">
        <f>정규화데이터!G1067</f>
        <v>1</v>
      </c>
      <c r="H1067" s="3">
        <f>정규화데이터!H1067</f>
        <v>45500</v>
      </c>
      <c r="I1067" s="3">
        <f>정규화데이터!I1067</f>
        <v>45500</v>
      </c>
      <c r="J1067" s="3">
        <f>정규화데이터!J1067</f>
        <v>45500</v>
      </c>
      <c r="K1067" s="25" t="str">
        <f>정규화데이터!K1067</f>
        <v>[워커힐] 시그니처 양념갈비 300G</v>
      </c>
      <c r="L1067" s="25">
        <f>정규화데이터!L1067</f>
        <v>0</v>
      </c>
      <c r="M1067" s="21">
        <f t="shared" si="32"/>
        <v>45500</v>
      </c>
      <c r="N1067" s="52">
        <f t="shared" si="33"/>
        <v>1</v>
      </c>
    </row>
    <row r="1068" spans="1:14" x14ac:dyDescent="0.3">
      <c r="A1068" t="str">
        <f>정규화데이터!A1068</f>
        <v>리씽크</v>
      </c>
      <c r="B1068" t="str">
        <f>정규화데이터!B1068</f>
        <v>2026020507124960000</v>
      </c>
      <c r="C1068" t="str">
        <f>정규화데이터!C1068</f>
        <v>2026-02-05</v>
      </c>
      <c r="D1068">
        <f>정규화데이터!D1068</f>
        <v>143790</v>
      </c>
      <c r="E1068" s="16" t="str">
        <f>정규화데이터!E1068</f>
        <v>SKU001</v>
      </c>
      <c r="F1068" s="3">
        <f>정규화데이터!F1068</f>
        <v>4</v>
      </c>
      <c r="G1068" s="3">
        <f>정규화데이터!G1068</f>
        <v>1</v>
      </c>
      <c r="H1068" s="3">
        <f>정규화데이터!H1068</f>
        <v>45500</v>
      </c>
      <c r="I1068" s="3">
        <f>정규화데이터!I1068</f>
        <v>45500</v>
      </c>
      <c r="J1068" s="3">
        <f>정규화데이터!J1068</f>
        <v>45500</v>
      </c>
      <c r="K1068" s="25" t="str">
        <f>정규화데이터!K1068</f>
        <v>[워커힐] 시그니처 양념갈비 300G</v>
      </c>
      <c r="L1068" s="25">
        <f>정규화데이터!L1068</f>
        <v>0</v>
      </c>
      <c r="M1068" s="21">
        <f t="shared" si="32"/>
        <v>45500</v>
      </c>
      <c r="N1068" s="52">
        <f t="shared" si="33"/>
        <v>1</v>
      </c>
    </row>
    <row r="1069" spans="1:14" x14ac:dyDescent="0.3">
      <c r="A1069" t="str">
        <f>정규화데이터!A1069</f>
        <v>리씽크</v>
      </c>
      <c r="B1069" t="str">
        <f>정규화데이터!B1069</f>
        <v>2026020507110300000</v>
      </c>
      <c r="C1069" t="str">
        <f>정규화데이터!C1069</f>
        <v>2026-02-05</v>
      </c>
      <c r="D1069">
        <f>정규화데이터!D1069</f>
        <v>143790</v>
      </c>
      <c r="E1069" s="16" t="str">
        <f>정규화데이터!E1069</f>
        <v>SKU001</v>
      </c>
      <c r="F1069" s="3">
        <f>정규화데이터!F1069</f>
        <v>4</v>
      </c>
      <c r="G1069" s="3">
        <f>정규화데이터!G1069</f>
        <v>2</v>
      </c>
      <c r="H1069" s="3">
        <f>정규화데이터!H1069</f>
        <v>45500</v>
      </c>
      <c r="I1069" s="3">
        <f>정규화데이터!I1069</f>
        <v>91000</v>
      </c>
      <c r="J1069" s="3">
        <f>정규화데이터!J1069</f>
        <v>91000</v>
      </c>
      <c r="K1069" s="25" t="str">
        <f>정규화데이터!K1069</f>
        <v>[워커힐] 시그니처 양념갈비 300G</v>
      </c>
      <c r="L1069" s="25">
        <f>정규화데이터!L1069</f>
        <v>0</v>
      </c>
      <c r="M1069" s="21">
        <f t="shared" si="32"/>
        <v>91000</v>
      </c>
      <c r="N1069" s="52">
        <f t="shared" si="33"/>
        <v>1</v>
      </c>
    </row>
    <row r="1070" spans="1:14" x14ac:dyDescent="0.3">
      <c r="A1070" t="str">
        <f>정규화데이터!A1070</f>
        <v>리씽크</v>
      </c>
      <c r="B1070" t="str">
        <f>정규화데이터!B1070</f>
        <v>2026020507104400000</v>
      </c>
      <c r="C1070" t="str">
        <f>정규화데이터!C1070</f>
        <v>2026-02-05</v>
      </c>
      <c r="D1070">
        <f>정규화데이터!D1070</f>
        <v>143790</v>
      </c>
      <c r="E1070" s="16" t="str">
        <f>정규화데이터!E1070</f>
        <v>SKU001</v>
      </c>
      <c r="F1070" s="3">
        <f>정규화데이터!F1070</f>
        <v>4</v>
      </c>
      <c r="G1070" s="3">
        <f>정규화데이터!G1070</f>
        <v>1</v>
      </c>
      <c r="H1070" s="3">
        <f>정규화데이터!H1070</f>
        <v>45500</v>
      </c>
      <c r="I1070" s="3">
        <f>정규화데이터!I1070</f>
        <v>45500</v>
      </c>
      <c r="J1070" s="3">
        <f>정규화데이터!J1070</f>
        <v>45500</v>
      </c>
      <c r="K1070" s="25" t="str">
        <f>정규화데이터!K1070</f>
        <v>[워커힐] 시그니처 양념갈비 300G</v>
      </c>
      <c r="L1070" s="25">
        <f>정규화데이터!L1070</f>
        <v>0</v>
      </c>
      <c r="M1070" s="21">
        <f t="shared" si="32"/>
        <v>45500</v>
      </c>
      <c r="N1070" s="52">
        <f t="shared" si="33"/>
        <v>1</v>
      </c>
    </row>
    <row r="1071" spans="1:14" x14ac:dyDescent="0.3">
      <c r="A1071" t="str">
        <f>정규화데이터!A1071</f>
        <v>리씽크</v>
      </c>
      <c r="B1071" t="str">
        <f>정규화데이터!B1071</f>
        <v>2026020507073950000</v>
      </c>
      <c r="C1071" t="str">
        <f>정규화데이터!C1071</f>
        <v>2026-02-05</v>
      </c>
      <c r="D1071">
        <f>정규화데이터!D1071</f>
        <v>143790</v>
      </c>
      <c r="E1071" s="16" t="str">
        <f>정규화데이터!E1071</f>
        <v>SKU001</v>
      </c>
      <c r="F1071" s="3">
        <f>정규화데이터!F1071</f>
        <v>4</v>
      </c>
      <c r="G1071" s="3">
        <f>정규화데이터!G1071</f>
        <v>4</v>
      </c>
      <c r="H1071" s="3">
        <f>정규화데이터!H1071</f>
        <v>45500</v>
      </c>
      <c r="I1071" s="3">
        <f>정규화데이터!I1071</f>
        <v>182000</v>
      </c>
      <c r="J1071" s="3">
        <f>정규화데이터!J1071</f>
        <v>182000</v>
      </c>
      <c r="K1071" s="25" t="str">
        <f>정규화데이터!K1071</f>
        <v>[워커힐] 시그니처 양념갈비 300G</v>
      </c>
      <c r="L1071" s="25">
        <f>정규화데이터!L1071</f>
        <v>0</v>
      </c>
      <c r="M1071" s="21">
        <f t="shared" si="32"/>
        <v>182000</v>
      </c>
      <c r="N1071" s="52">
        <f t="shared" si="33"/>
        <v>1</v>
      </c>
    </row>
    <row r="1072" spans="1:14" x14ac:dyDescent="0.3">
      <c r="A1072" t="str">
        <f>정규화데이터!A1072</f>
        <v>리씽크</v>
      </c>
      <c r="B1072" t="str">
        <f>정규화데이터!B1072</f>
        <v>2026020507064370000</v>
      </c>
      <c r="C1072" t="str">
        <f>정규화데이터!C1072</f>
        <v>2026-02-05</v>
      </c>
      <c r="D1072">
        <f>정규화데이터!D1072</f>
        <v>143790</v>
      </c>
      <c r="E1072" s="16" t="str">
        <f>정규화데이터!E1072</f>
        <v>SKU001</v>
      </c>
      <c r="F1072" s="3">
        <f>정규화데이터!F1072</f>
        <v>4</v>
      </c>
      <c r="G1072" s="3">
        <f>정규화데이터!G1072</f>
        <v>1</v>
      </c>
      <c r="H1072" s="3">
        <f>정규화데이터!H1072</f>
        <v>45500</v>
      </c>
      <c r="I1072" s="3">
        <f>정규화데이터!I1072</f>
        <v>45500</v>
      </c>
      <c r="J1072" s="3">
        <f>정규화데이터!J1072</f>
        <v>45500</v>
      </c>
      <c r="K1072" s="25" t="str">
        <f>정규화데이터!K1072</f>
        <v>[워커힐] 시그니처 양념갈비 300G</v>
      </c>
      <c r="L1072" s="25">
        <f>정규화데이터!L1072</f>
        <v>0</v>
      </c>
      <c r="M1072" s="21">
        <f t="shared" si="32"/>
        <v>45500</v>
      </c>
      <c r="N1072" s="52">
        <f t="shared" si="33"/>
        <v>1</v>
      </c>
    </row>
    <row r="1073" spans="1:14" x14ac:dyDescent="0.3">
      <c r="A1073" t="str">
        <f>정규화데이터!A1073</f>
        <v>리씽크</v>
      </c>
      <c r="B1073" t="str">
        <f>정규화데이터!B1073</f>
        <v>2026020507045430000</v>
      </c>
      <c r="C1073" t="str">
        <f>정규화데이터!C1073</f>
        <v>2026-02-05</v>
      </c>
      <c r="D1073">
        <f>정규화데이터!D1073</f>
        <v>143790</v>
      </c>
      <c r="E1073" s="16" t="str">
        <f>정규화데이터!E1073</f>
        <v>SKU001</v>
      </c>
      <c r="F1073" s="3">
        <f>정규화데이터!F1073</f>
        <v>4</v>
      </c>
      <c r="G1073" s="3">
        <f>정규화데이터!G1073</f>
        <v>1</v>
      </c>
      <c r="H1073" s="3">
        <f>정규화데이터!H1073</f>
        <v>45500</v>
      </c>
      <c r="I1073" s="3">
        <f>정규화데이터!I1073</f>
        <v>45500</v>
      </c>
      <c r="J1073" s="3">
        <f>정규화데이터!J1073</f>
        <v>45500</v>
      </c>
      <c r="K1073" s="25" t="str">
        <f>정규화데이터!K1073</f>
        <v>[워커힐] 시그니처 양념갈비 300G</v>
      </c>
      <c r="L1073" s="25">
        <f>정규화데이터!L1073</f>
        <v>0</v>
      </c>
      <c r="M1073" s="21">
        <f t="shared" si="32"/>
        <v>45500</v>
      </c>
      <c r="N1073" s="52">
        <f t="shared" si="33"/>
        <v>1</v>
      </c>
    </row>
    <row r="1074" spans="1:14" x14ac:dyDescent="0.3">
      <c r="A1074" t="str">
        <f>정규화데이터!A1074</f>
        <v>리씽크</v>
      </c>
      <c r="B1074" t="str">
        <f>정규화데이터!B1074</f>
        <v>2026020507053300000</v>
      </c>
      <c r="C1074" t="str">
        <f>정규화데이터!C1074</f>
        <v>2026-02-05</v>
      </c>
      <c r="D1074">
        <f>정규화데이터!D1074</f>
        <v>143790</v>
      </c>
      <c r="E1074" s="16" t="str">
        <f>정규화데이터!E1074</f>
        <v>SKU001</v>
      </c>
      <c r="F1074" s="3">
        <f>정규화데이터!F1074</f>
        <v>4</v>
      </c>
      <c r="G1074" s="3">
        <f>정규화데이터!G1074</f>
        <v>1</v>
      </c>
      <c r="H1074" s="3">
        <f>정규화데이터!H1074</f>
        <v>45500</v>
      </c>
      <c r="I1074" s="3">
        <f>정규화데이터!I1074</f>
        <v>45500</v>
      </c>
      <c r="J1074" s="3">
        <f>정규화데이터!J1074</f>
        <v>45500</v>
      </c>
      <c r="K1074" s="25" t="str">
        <f>정규화데이터!K1074</f>
        <v>[워커힐] 시그니처 양념갈비 300G</v>
      </c>
      <c r="L1074" s="25">
        <f>정규화데이터!L1074</f>
        <v>0</v>
      </c>
      <c r="M1074" s="21">
        <f t="shared" si="32"/>
        <v>45500</v>
      </c>
      <c r="N1074" s="52">
        <f t="shared" si="33"/>
        <v>1</v>
      </c>
    </row>
    <row r="1075" spans="1:14" x14ac:dyDescent="0.3">
      <c r="A1075" t="str">
        <f>정규화데이터!A1075</f>
        <v>리씽크</v>
      </c>
      <c r="B1075" t="str">
        <f>정규화데이터!B1075</f>
        <v>2026020507032640000</v>
      </c>
      <c r="C1075" t="str">
        <f>정규화데이터!C1075</f>
        <v>2026-02-05</v>
      </c>
      <c r="D1075">
        <f>정규화데이터!D1075</f>
        <v>143790</v>
      </c>
      <c r="E1075" s="16" t="str">
        <f>정규화데이터!E1075</f>
        <v>SKU001</v>
      </c>
      <c r="F1075" s="3">
        <f>정규화데이터!F1075</f>
        <v>4</v>
      </c>
      <c r="G1075" s="3">
        <f>정규화데이터!G1075</f>
        <v>1</v>
      </c>
      <c r="H1075" s="3">
        <f>정규화데이터!H1075</f>
        <v>45500</v>
      </c>
      <c r="I1075" s="3">
        <f>정규화데이터!I1075</f>
        <v>45500</v>
      </c>
      <c r="J1075" s="3">
        <f>정규화데이터!J1075</f>
        <v>45500</v>
      </c>
      <c r="K1075" s="25" t="str">
        <f>정규화데이터!K1075</f>
        <v>[워커힐] 시그니처 양념갈비 300G</v>
      </c>
      <c r="L1075" s="25">
        <f>정규화데이터!L1075</f>
        <v>0</v>
      </c>
      <c r="M1075" s="21">
        <f t="shared" si="32"/>
        <v>45500</v>
      </c>
      <c r="N1075" s="52">
        <f t="shared" si="33"/>
        <v>1</v>
      </c>
    </row>
    <row r="1076" spans="1:14" x14ac:dyDescent="0.3">
      <c r="A1076" t="str">
        <f>정규화데이터!A1076</f>
        <v>리씽크</v>
      </c>
      <c r="B1076" t="str">
        <f>정규화데이터!B1076</f>
        <v>2026020507024720000</v>
      </c>
      <c r="C1076" t="str">
        <f>정규화데이터!C1076</f>
        <v>2026-02-05</v>
      </c>
      <c r="D1076">
        <f>정규화데이터!D1076</f>
        <v>143790</v>
      </c>
      <c r="E1076" s="16" t="str">
        <f>정규화데이터!E1076</f>
        <v>SKU001</v>
      </c>
      <c r="F1076" s="3">
        <f>정규화데이터!F1076</f>
        <v>4</v>
      </c>
      <c r="G1076" s="3">
        <f>정규화데이터!G1076</f>
        <v>1</v>
      </c>
      <c r="H1076" s="3">
        <f>정규화데이터!H1076</f>
        <v>45500</v>
      </c>
      <c r="I1076" s="3">
        <f>정규화데이터!I1076</f>
        <v>45500</v>
      </c>
      <c r="J1076" s="3">
        <f>정규화데이터!J1076</f>
        <v>45500</v>
      </c>
      <c r="K1076" s="25" t="str">
        <f>정규화데이터!K1076</f>
        <v>[워커힐] 시그니처 양념갈비 300G</v>
      </c>
      <c r="L1076" s="25">
        <f>정규화데이터!L1076</f>
        <v>0</v>
      </c>
      <c r="M1076" s="21">
        <f t="shared" si="32"/>
        <v>45500</v>
      </c>
      <c r="N1076" s="52">
        <f t="shared" si="33"/>
        <v>1</v>
      </c>
    </row>
    <row r="1077" spans="1:14" x14ac:dyDescent="0.3">
      <c r="A1077" t="str">
        <f>정규화데이터!A1077</f>
        <v>리씽크</v>
      </c>
      <c r="B1077" t="str">
        <f>정규화데이터!B1077</f>
        <v>2026020506581000000</v>
      </c>
      <c r="C1077" t="str">
        <f>정규화데이터!C1077</f>
        <v>2026-02-05</v>
      </c>
      <c r="D1077">
        <f>정규화데이터!D1077</f>
        <v>143790</v>
      </c>
      <c r="E1077" s="16" t="str">
        <f>정규화데이터!E1077</f>
        <v>SKU001</v>
      </c>
      <c r="F1077" s="3">
        <f>정규화데이터!F1077</f>
        <v>4</v>
      </c>
      <c r="G1077" s="3">
        <f>정규화데이터!G1077</f>
        <v>1</v>
      </c>
      <c r="H1077" s="3">
        <f>정규화데이터!H1077</f>
        <v>45500</v>
      </c>
      <c r="I1077" s="3">
        <f>정규화데이터!I1077</f>
        <v>45500</v>
      </c>
      <c r="J1077" s="3">
        <f>정규화데이터!J1077</f>
        <v>45500</v>
      </c>
      <c r="K1077" s="25" t="str">
        <f>정규화데이터!K1077</f>
        <v>[워커힐] 시그니처 양념갈비 300G</v>
      </c>
      <c r="L1077" s="25">
        <f>정규화데이터!L1077</f>
        <v>0</v>
      </c>
      <c r="M1077" s="21">
        <f t="shared" si="32"/>
        <v>45500</v>
      </c>
      <c r="N1077" s="52">
        <f t="shared" si="33"/>
        <v>1</v>
      </c>
    </row>
    <row r="1078" spans="1:14" x14ac:dyDescent="0.3">
      <c r="A1078" t="str">
        <f>정규화데이터!A1078</f>
        <v>리씽크</v>
      </c>
      <c r="B1078" t="str">
        <f>정규화데이터!B1078</f>
        <v>2026020506574720000</v>
      </c>
      <c r="C1078" t="str">
        <f>정규화데이터!C1078</f>
        <v>2026-02-05</v>
      </c>
      <c r="D1078">
        <f>정규화데이터!D1078</f>
        <v>143790</v>
      </c>
      <c r="E1078" s="16" t="str">
        <f>정규화데이터!E1078</f>
        <v>SKU001</v>
      </c>
      <c r="F1078" s="3">
        <f>정규화데이터!F1078</f>
        <v>4</v>
      </c>
      <c r="G1078" s="3">
        <f>정규화데이터!G1078</f>
        <v>1</v>
      </c>
      <c r="H1078" s="3">
        <f>정규화데이터!H1078</f>
        <v>45500</v>
      </c>
      <c r="I1078" s="3">
        <f>정규화데이터!I1078</f>
        <v>45500</v>
      </c>
      <c r="J1078" s="3">
        <f>정규화데이터!J1078</f>
        <v>45500</v>
      </c>
      <c r="K1078" s="25" t="str">
        <f>정규화데이터!K1078</f>
        <v>[워커힐] 시그니처 양념갈비 300G</v>
      </c>
      <c r="L1078" s="25">
        <f>정규화데이터!L1078</f>
        <v>0</v>
      </c>
      <c r="M1078" s="21">
        <f t="shared" si="32"/>
        <v>45500</v>
      </c>
      <c r="N1078" s="52">
        <f t="shared" si="33"/>
        <v>1</v>
      </c>
    </row>
    <row r="1079" spans="1:14" x14ac:dyDescent="0.3">
      <c r="A1079" t="str">
        <f>정규화데이터!A1079</f>
        <v>리씽크</v>
      </c>
      <c r="B1079" t="str">
        <f>정규화데이터!B1079</f>
        <v>2026020506565390000</v>
      </c>
      <c r="C1079" t="str">
        <f>정규화데이터!C1079</f>
        <v>2026-02-05</v>
      </c>
      <c r="D1079">
        <f>정규화데이터!D1079</f>
        <v>143790</v>
      </c>
      <c r="E1079" s="16" t="str">
        <f>정규화데이터!E1079</f>
        <v>SKU001</v>
      </c>
      <c r="F1079" s="3">
        <f>정규화데이터!F1079</f>
        <v>4</v>
      </c>
      <c r="G1079" s="3">
        <f>정규화데이터!G1079</f>
        <v>1</v>
      </c>
      <c r="H1079" s="3">
        <f>정규화데이터!H1079</f>
        <v>45500</v>
      </c>
      <c r="I1079" s="3">
        <f>정규화데이터!I1079</f>
        <v>45500</v>
      </c>
      <c r="J1079" s="3">
        <f>정규화데이터!J1079</f>
        <v>45500</v>
      </c>
      <c r="K1079" s="25" t="str">
        <f>정규화데이터!K1079</f>
        <v>[워커힐] 시그니처 양념갈비 300G</v>
      </c>
      <c r="L1079" s="25">
        <f>정규화데이터!L1079</f>
        <v>0</v>
      </c>
      <c r="M1079" s="21">
        <f t="shared" si="32"/>
        <v>45500</v>
      </c>
      <c r="N1079" s="52">
        <f t="shared" si="33"/>
        <v>1</v>
      </c>
    </row>
    <row r="1080" spans="1:14" x14ac:dyDescent="0.3">
      <c r="A1080" t="str">
        <f>정규화데이터!A1080</f>
        <v>리씽크</v>
      </c>
      <c r="B1080" t="str">
        <f>정규화데이터!B1080</f>
        <v>2026020506575330000</v>
      </c>
      <c r="C1080" t="str">
        <f>정규화데이터!C1080</f>
        <v>2026-02-05</v>
      </c>
      <c r="D1080">
        <f>정규화데이터!D1080</f>
        <v>143790</v>
      </c>
      <c r="E1080" s="16" t="str">
        <f>정규화데이터!E1080</f>
        <v>SKU001</v>
      </c>
      <c r="F1080" s="3">
        <f>정규화데이터!F1080</f>
        <v>4</v>
      </c>
      <c r="G1080" s="3">
        <f>정규화데이터!G1080</f>
        <v>1</v>
      </c>
      <c r="H1080" s="3">
        <f>정규화데이터!H1080</f>
        <v>45500</v>
      </c>
      <c r="I1080" s="3">
        <f>정규화데이터!I1080</f>
        <v>45500</v>
      </c>
      <c r="J1080" s="3">
        <f>정규화데이터!J1080</f>
        <v>45500</v>
      </c>
      <c r="K1080" s="25" t="str">
        <f>정규화데이터!K1080</f>
        <v>[워커힐] 시그니처 양념갈비 300G</v>
      </c>
      <c r="L1080" s="25">
        <f>정규화데이터!L1080</f>
        <v>0</v>
      </c>
      <c r="M1080" s="21">
        <f t="shared" si="32"/>
        <v>45500</v>
      </c>
      <c r="N1080" s="52">
        <f t="shared" si="33"/>
        <v>1</v>
      </c>
    </row>
    <row r="1081" spans="1:14" x14ac:dyDescent="0.3">
      <c r="A1081" t="str">
        <f>정규화데이터!A1081</f>
        <v>리씽크</v>
      </c>
      <c r="B1081" t="str">
        <f>정규화데이터!B1081</f>
        <v>2026020506510590000</v>
      </c>
      <c r="C1081" t="str">
        <f>정규화데이터!C1081</f>
        <v>2026-02-05</v>
      </c>
      <c r="D1081">
        <f>정규화데이터!D1081</f>
        <v>143790</v>
      </c>
      <c r="E1081" s="16" t="str">
        <f>정규화데이터!E1081</f>
        <v>SKU001</v>
      </c>
      <c r="F1081" s="3">
        <f>정규화데이터!F1081</f>
        <v>4</v>
      </c>
      <c r="G1081" s="3">
        <f>정규화데이터!G1081</f>
        <v>1</v>
      </c>
      <c r="H1081" s="3">
        <f>정규화데이터!H1081</f>
        <v>45500</v>
      </c>
      <c r="I1081" s="3">
        <f>정규화데이터!I1081</f>
        <v>45500</v>
      </c>
      <c r="J1081" s="3">
        <f>정규화데이터!J1081</f>
        <v>45500</v>
      </c>
      <c r="K1081" s="25" t="str">
        <f>정규화데이터!K1081</f>
        <v>[워커힐] 시그니처 양념갈비 300G</v>
      </c>
      <c r="L1081" s="25">
        <f>정규화데이터!L1081</f>
        <v>0</v>
      </c>
      <c r="M1081" s="21">
        <f t="shared" si="32"/>
        <v>45500</v>
      </c>
      <c r="N1081" s="52">
        <f t="shared" si="33"/>
        <v>1</v>
      </c>
    </row>
    <row r="1082" spans="1:14" x14ac:dyDescent="0.3">
      <c r="A1082" t="str">
        <f>정규화데이터!A1082</f>
        <v>리씽크</v>
      </c>
      <c r="B1082" t="str">
        <f>정규화데이터!B1082</f>
        <v>2026020506544060000</v>
      </c>
      <c r="C1082" t="str">
        <f>정규화데이터!C1082</f>
        <v>2026-02-05</v>
      </c>
      <c r="D1082">
        <f>정규화데이터!D1082</f>
        <v>143790</v>
      </c>
      <c r="E1082" s="16" t="str">
        <f>정규화데이터!E1082</f>
        <v>SKU001</v>
      </c>
      <c r="F1082" s="3">
        <f>정규화데이터!F1082</f>
        <v>4</v>
      </c>
      <c r="G1082" s="3">
        <f>정규화데이터!G1082</f>
        <v>2</v>
      </c>
      <c r="H1082" s="3">
        <f>정규화데이터!H1082</f>
        <v>45500</v>
      </c>
      <c r="I1082" s="3">
        <f>정규화데이터!I1082</f>
        <v>91000</v>
      </c>
      <c r="J1082" s="3">
        <f>정규화데이터!J1082</f>
        <v>91000</v>
      </c>
      <c r="K1082" s="25" t="str">
        <f>정규화데이터!K1082</f>
        <v>[워커힐] 시그니처 양념갈비 300G</v>
      </c>
      <c r="L1082" s="25">
        <f>정규화데이터!L1082</f>
        <v>0</v>
      </c>
      <c r="M1082" s="21">
        <f t="shared" si="32"/>
        <v>91000</v>
      </c>
      <c r="N1082" s="52">
        <f t="shared" si="33"/>
        <v>1</v>
      </c>
    </row>
    <row r="1083" spans="1:14" x14ac:dyDescent="0.3">
      <c r="A1083" t="str">
        <f>정규화데이터!A1083</f>
        <v>리씽크</v>
      </c>
      <c r="B1083" t="str">
        <f>정규화데이터!B1083</f>
        <v>2026020506530720000</v>
      </c>
      <c r="C1083" t="str">
        <f>정규화데이터!C1083</f>
        <v>2026-02-05</v>
      </c>
      <c r="D1083">
        <f>정규화데이터!D1083</f>
        <v>143790</v>
      </c>
      <c r="E1083" s="16" t="str">
        <f>정규화데이터!E1083</f>
        <v>SKU001</v>
      </c>
      <c r="F1083" s="3">
        <f>정규화데이터!F1083</f>
        <v>4</v>
      </c>
      <c r="G1083" s="3">
        <f>정규화데이터!G1083</f>
        <v>1</v>
      </c>
      <c r="H1083" s="3">
        <f>정규화데이터!H1083</f>
        <v>45500</v>
      </c>
      <c r="I1083" s="3">
        <f>정규화데이터!I1083</f>
        <v>45500</v>
      </c>
      <c r="J1083" s="3">
        <f>정규화데이터!J1083</f>
        <v>45500</v>
      </c>
      <c r="K1083" s="25" t="str">
        <f>정규화데이터!K1083</f>
        <v>[워커힐] 시그니처 양념갈비 300G</v>
      </c>
      <c r="L1083" s="25">
        <f>정규화데이터!L1083</f>
        <v>0</v>
      </c>
      <c r="M1083" s="21">
        <f t="shared" si="32"/>
        <v>45500</v>
      </c>
      <c r="N1083" s="52">
        <f t="shared" si="33"/>
        <v>1</v>
      </c>
    </row>
    <row r="1084" spans="1:14" x14ac:dyDescent="0.3">
      <c r="A1084" t="str">
        <f>정규화데이터!A1084</f>
        <v>리씽크</v>
      </c>
      <c r="B1084" t="str">
        <f>정규화데이터!B1084</f>
        <v>2026020506535230000</v>
      </c>
      <c r="C1084" t="str">
        <f>정규화데이터!C1084</f>
        <v>2026-02-05</v>
      </c>
      <c r="D1084">
        <f>정규화데이터!D1084</f>
        <v>143790</v>
      </c>
      <c r="E1084" s="16" t="str">
        <f>정규화데이터!E1084</f>
        <v>SKU001</v>
      </c>
      <c r="F1084" s="3">
        <f>정규화데이터!F1084</f>
        <v>4</v>
      </c>
      <c r="G1084" s="3">
        <f>정규화데이터!G1084</f>
        <v>1</v>
      </c>
      <c r="H1084" s="3">
        <f>정규화데이터!H1084</f>
        <v>45500</v>
      </c>
      <c r="I1084" s="3">
        <f>정규화데이터!I1084</f>
        <v>45500</v>
      </c>
      <c r="J1084" s="3">
        <f>정규화데이터!J1084</f>
        <v>45500</v>
      </c>
      <c r="K1084" s="25" t="str">
        <f>정규화데이터!K1084</f>
        <v>[워커힐] 시그니처 양념갈비 300G</v>
      </c>
      <c r="L1084" s="25">
        <f>정규화데이터!L1084</f>
        <v>0</v>
      </c>
      <c r="M1084" s="21">
        <f t="shared" si="32"/>
        <v>45500</v>
      </c>
      <c r="N1084" s="52">
        <f t="shared" si="33"/>
        <v>1</v>
      </c>
    </row>
    <row r="1085" spans="1:14" x14ac:dyDescent="0.3">
      <c r="A1085" t="str">
        <f>정규화데이터!A1085</f>
        <v>리씽크</v>
      </c>
      <c r="B1085" t="str">
        <f>정규화데이터!B1085</f>
        <v>2026020506525540000</v>
      </c>
      <c r="C1085" t="str">
        <f>정규화데이터!C1085</f>
        <v>2026-02-05</v>
      </c>
      <c r="D1085">
        <f>정규화데이터!D1085</f>
        <v>143790</v>
      </c>
      <c r="E1085" s="16" t="str">
        <f>정규화데이터!E1085</f>
        <v>SKU001</v>
      </c>
      <c r="F1085" s="3">
        <f>정규화데이터!F1085</f>
        <v>4</v>
      </c>
      <c r="G1085" s="3">
        <f>정규화데이터!G1085</f>
        <v>1</v>
      </c>
      <c r="H1085" s="3">
        <f>정규화데이터!H1085</f>
        <v>45500</v>
      </c>
      <c r="I1085" s="3">
        <f>정규화데이터!I1085</f>
        <v>45500</v>
      </c>
      <c r="J1085" s="3">
        <f>정규화데이터!J1085</f>
        <v>45500</v>
      </c>
      <c r="K1085" s="25" t="str">
        <f>정규화데이터!K1085</f>
        <v>[워커힐] 시그니처 양념갈비 300G</v>
      </c>
      <c r="L1085" s="25">
        <f>정규화데이터!L1085</f>
        <v>0</v>
      </c>
      <c r="M1085" s="21">
        <f t="shared" si="32"/>
        <v>45500</v>
      </c>
      <c r="N1085" s="52">
        <f t="shared" si="33"/>
        <v>1</v>
      </c>
    </row>
    <row r="1086" spans="1:14" x14ac:dyDescent="0.3">
      <c r="A1086" t="str">
        <f>정규화데이터!A1086</f>
        <v>리씽크</v>
      </c>
      <c r="B1086" t="str">
        <f>정규화데이터!B1086</f>
        <v>2026020506521710000</v>
      </c>
      <c r="C1086" t="str">
        <f>정규화데이터!C1086</f>
        <v>2026-02-05</v>
      </c>
      <c r="D1086">
        <f>정규화데이터!D1086</f>
        <v>143790</v>
      </c>
      <c r="E1086" s="16" t="str">
        <f>정규화데이터!E1086</f>
        <v>SKU001</v>
      </c>
      <c r="F1086" s="3">
        <f>정규화데이터!F1086</f>
        <v>4</v>
      </c>
      <c r="G1086" s="3">
        <f>정규화데이터!G1086</f>
        <v>1</v>
      </c>
      <c r="H1086" s="3">
        <f>정규화데이터!H1086</f>
        <v>45500</v>
      </c>
      <c r="I1086" s="3">
        <f>정규화데이터!I1086</f>
        <v>45500</v>
      </c>
      <c r="J1086" s="3">
        <f>정규화데이터!J1086</f>
        <v>45500</v>
      </c>
      <c r="K1086" s="25" t="str">
        <f>정규화데이터!K1086</f>
        <v>[워커힐] 시그니처 양념갈비 300G</v>
      </c>
      <c r="L1086" s="25">
        <f>정규화데이터!L1086</f>
        <v>0</v>
      </c>
      <c r="M1086" s="21">
        <f t="shared" si="32"/>
        <v>45500</v>
      </c>
      <c r="N1086" s="52">
        <f t="shared" si="33"/>
        <v>1</v>
      </c>
    </row>
    <row r="1087" spans="1:14" x14ac:dyDescent="0.3">
      <c r="A1087" t="str">
        <f>정규화데이터!A1087</f>
        <v>리씽크</v>
      </c>
      <c r="B1087" t="str">
        <f>정규화데이터!B1087</f>
        <v>2026020506512580000</v>
      </c>
      <c r="C1087" t="str">
        <f>정규화데이터!C1087</f>
        <v>2026-02-05</v>
      </c>
      <c r="D1087">
        <f>정규화데이터!D1087</f>
        <v>143790</v>
      </c>
      <c r="E1087" s="16" t="str">
        <f>정규화데이터!E1087</f>
        <v>SKU001</v>
      </c>
      <c r="F1087" s="3">
        <f>정규화데이터!F1087</f>
        <v>4</v>
      </c>
      <c r="G1087" s="3">
        <f>정규화데이터!G1087</f>
        <v>1</v>
      </c>
      <c r="H1087" s="3">
        <f>정규화데이터!H1087</f>
        <v>45500</v>
      </c>
      <c r="I1087" s="3">
        <f>정규화데이터!I1087</f>
        <v>45500</v>
      </c>
      <c r="J1087" s="3">
        <f>정규화데이터!J1087</f>
        <v>45500</v>
      </c>
      <c r="K1087" s="25" t="str">
        <f>정규화데이터!K1087</f>
        <v>[워커힐] 시그니처 양념갈비 300G</v>
      </c>
      <c r="L1087" s="25">
        <f>정규화데이터!L1087</f>
        <v>0</v>
      </c>
      <c r="M1087" s="21">
        <f t="shared" si="32"/>
        <v>45500</v>
      </c>
      <c r="N1087" s="52">
        <f t="shared" si="33"/>
        <v>1</v>
      </c>
    </row>
    <row r="1088" spans="1:14" x14ac:dyDescent="0.3">
      <c r="A1088" t="str">
        <f>정규화데이터!A1088</f>
        <v>리씽크</v>
      </c>
      <c r="B1088" t="str">
        <f>정규화데이터!B1088</f>
        <v>2026020506514420000</v>
      </c>
      <c r="C1088" t="str">
        <f>정규화데이터!C1088</f>
        <v>2026-02-05</v>
      </c>
      <c r="D1088">
        <f>정규화데이터!D1088</f>
        <v>143790</v>
      </c>
      <c r="E1088" s="16" t="str">
        <f>정규화데이터!E1088</f>
        <v>SKU001</v>
      </c>
      <c r="F1088" s="3">
        <f>정규화데이터!F1088</f>
        <v>4</v>
      </c>
      <c r="G1088" s="3">
        <f>정규화데이터!G1088</f>
        <v>1</v>
      </c>
      <c r="H1088" s="3">
        <f>정규화데이터!H1088</f>
        <v>45500</v>
      </c>
      <c r="I1088" s="3">
        <f>정규화데이터!I1088</f>
        <v>45500</v>
      </c>
      <c r="J1088" s="3">
        <f>정규화데이터!J1088</f>
        <v>45500</v>
      </c>
      <c r="K1088" s="25" t="str">
        <f>정규화데이터!K1088</f>
        <v>[워커힐] 시그니처 양념갈비 300G</v>
      </c>
      <c r="L1088" s="25">
        <f>정규화데이터!L1088</f>
        <v>0</v>
      </c>
      <c r="M1088" s="21">
        <f t="shared" si="32"/>
        <v>45500</v>
      </c>
      <c r="N1088" s="52">
        <f t="shared" si="33"/>
        <v>1</v>
      </c>
    </row>
    <row r="1089" spans="1:14" x14ac:dyDescent="0.3">
      <c r="A1089" t="str">
        <f>정규화데이터!A1089</f>
        <v>리씽크</v>
      </c>
      <c r="B1089" t="str">
        <f>정규화데이터!B1089</f>
        <v>2026020506513440000</v>
      </c>
      <c r="C1089" t="str">
        <f>정규화데이터!C1089</f>
        <v>2026-02-05</v>
      </c>
      <c r="D1089">
        <f>정규화데이터!D1089</f>
        <v>143790</v>
      </c>
      <c r="E1089" s="16" t="str">
        <f>정규화데이터!E1089</f>
        <v>SKU001</v>
      </c>
      <c r="F1089" s="3">
        <f>정규화데이터!F1089</f>
        <v>4</v>
      </c>
      <c r="G1089" s="3">
        <f>정규화데이터!G1089</f>
        <v>2</v>
      </c>
      <c r="H1089" s="3">
        <f>정규화데이터!H1089</f>
        <v>45500</v>
      </c>
      <c r="I1089" s="3">
        <f>정규화데이터!I1089</f>
        <v>91000</v>
      </c>
      <c r="J1089" s="3">
        <f>정규화데이터!J1089</f>
        <v>91000</v>
      </c>
      <c r="K1089" s="25" t="str">
        <f>정규화데이터!K1089</f>
        <v>[워커힐] 시그니처 양념갈비 300G</v>
      </c>
      <c r="L1089" s="25">
        <f>정규화데이터!L1089</f>
        <v>0</v>
      </c>
      <c r="M1089" s="21">
        <f t="shared" si="32"/>
        <v>91000</v>
      </c>
      <c r="N1089" s="52">
        <f t="shared" si="33"/>
        <v>1</v>
      </c>
    </row>
    <row r="1090" spans="1:14" x14ac:dyDescent="0.3">
      <c r="A1090" t="str">
        <f>정규화데이터!A1090</f>
        <v>리씽크</v>
      </c>
      <c r="B1090" t="str">
        <f>정규화데이터!B1090</f>
        <v>2026020506483560000</v>
      </c>
      <c r="C1090" t="str">
        <f>정규화데이터!C1090</f>
        <v>2026-02-05</v>
      </c>
      <c r="D1090">
        <f>정규화데이터!D1090</f>
        <v>143790</v>
      </c>
      <c r="E1090" s="16" t="str">
        <f>정규화데이터!E1090</f>
        <v>SKU001</v>
      </c>
      <c r="F1090" s="3">
        <f>정규화데이터!F1090</f>
        <v>4</v>
      </c>
      <c r="G1090" s="3">
        <f>정규화데이터!G1090</f>
        <v>1</v>
      </c>
      <c r="H1090" s="3">
        <f>정규화데이터!H1090</f>
        <v>45500</v>
      </c>
      <c r="I1090" s="3">
        <f>정규화데이터!I1090</f>
        <v>45500</v>
      </c>
      <c r="J1090" s="3">
        <f>정규화데이터!J1090</f>
        <v>45500</v>
      </c>
      <c r="K1090" s="25" t="str">
        <f>정규화데이터!K1090</f>
        <v>[워커힐] 시그니처 양념갈비 300G</v>
      </c>
      <c r="L1090" s="25">
        <f>정규화데이터!L1090</f>
        <v>0</v>
      </c>
      <c r="M1090" s="21">
        <f t="shared" ref="M1090:M1153" si="34">J1090-L1090</f>
        <v>45500</v>
      </c>
      <c r="N1090" s="52">
        <f t="shared" ref="N1090:N1153" si="35">IF(J1090=0,0,M1090/J1090)</f>
        <v>1</v>
      </c>
    </row>
    <row r="1091" spans="1:14" x14ac:dyDescent="0.3">
      <c r="A1091" t="str">
        <f>정규화데이터!A1091</f>
        <v>리씽크</v>
      </c>
      <c r="B1091" t="str">
        <f>정규화데이터!B1091</f>
        <v>2026020506504030000</v>
      </c>
      <c r="C1091" t="str">
        <f>정규화데이터!C1091</f>
        <v>2026-02-05</v>
      </c>
      <c r="D1091">
        <f>정규화데이터!D1091</f>
        <v>143790</v>
      </c>
      <c r="E1091" s="16" t="str">
        <f>정규화데이터!E1091</f>
        <v>SKU001</v>
      </c>
      <c r="F1091" s="3">
        <f>정규화데이터!F1091</f>
        <v>4</v>
      </c>
      <c r="G1091" s="3">
        <f>정규화데이터!G1091</f>
        <v>1</v>
      </c>
      <c r="H1091" s="3">
        <f>정규화데이터!H1091</f>
        <v>45500</v>
      </c>
      <c r="I1091" s="3">
        <f>정규화데이터!I1091</f>
        <v>45500</v>
      </c>
      <c r="J1091" s="3">
        <f>정규화데이터!J1091</f>
        <v>45500</v>
      </c>
      <c r="K1091" s="25" t="str">
        <f>정규화데이터!K1091</f>
        <v>[워커힐] 시그니처 양념갈비 300G</v>
      </c>
      <c r="L1091" s="25">
        <f>정규화데이터!L1091</f>
        <v>0</v>
      </c>
      <c r="M1091" s="21">
        <f t="shared" si="34"/>
        <v>45500</v>
      </c>
      <c r="N1091" s="52">
        <f t="shared" si="35"/>
        <v>1</v>
      </c>
    </row>
    <row r="1092" spans="1:14" x14ac:dyDescent="0.3">
      <c r="A1092" t="str">
        <f>정규화데이터!A1092</f>
        <v>리씽크</v>
      </c>
      <c r="B1092" t="str">
        <f>정규화데이터!B1092</f>
        <v>2026020506501070000</v>
      </c>
      <c r="C1092" t="str">
        <f>정규화데이터!C1092</f>
        <v>2026-02-05</v>
      </c>
      <c r="D1092">
        <f>정규화데이터!D1092</f>
        <v>143790</v>
      </c>
      <c r="E1092" s="16" t="str">
        <f>정규화데이터!E1092</f>
        <v>SKU001</v>
      </c>
      <c r="F1092" s="3">
        <f>정규화데이터!F1092</f>
        <v>4</v>
      </c>
      <c r="G1092" s="3">
        <f>정규화데이터!G1092</f>
        <v>1</v>
      </c>
      <c r="H1092" s="3">
        <f>정규화데이터!H1092</f>
        <v>45500</v>
      </c>
      <c r="I1092" s="3">
        <f>정규화데이터!I1092</f>
        <v>45500</v>
      </c>
      <c r="J1092" s="3">
        <f>정규화데이터!J1092</f>
        <v>45500</v>
      </c>
      <c r="K1092" s="25" t="str">
        <f>정규화데이터!K1092</f>
        <v>[워커힐] 시그니처 양념갈비 300G</v>
      </c>
      <c r="L1092" s="25">
        <f>정규화데이터!L1092</f>
        <v>0</v>
      </c>
      <c r="M1092" s="21">
        <f t="shared" si="34"/>
        <v>45500</v>
      </c>
      <c r="N1092" s="52">
        <f t="shared" si="35"/>
        <v>1</v>
      </c>
    </row>
    <row r="1093" spans="1:14" x14ac:dyDescent="0.3">
      <c r="A1093" t="str">
        <f>정규화데이터!A1093</f>
        <v>리씽크</v>
      </c>
      <c r="B1093" t="str">
        <f>정규화데이터!B1093</f>
        <v>2026020506454690000</v>
      </c>
      <c r="C1093" t="str">
        <f>정규화데이터!C1093</f>
        <v>2026-02-05</v>
      </c>
      <c r="D1093">
        <f>정규화데이터!D1093</f>
        <v>143790</v>
      </c>
      <c r="E1093" s="16" t="str">
        <f>정규화데이터!E1093</f>
        <v>SKU001</v>
      </c>
      <c r="F1093" s="3">
        <f>정규화데이터!F1093</f>
        <v>4</v>
      </c>
      <c r="G1093" s="3">
        <f>정규화데이터!G1093</f>
        <v>1</v>
      </c>
      <c r="H1093" s="3">
        <f>정규화데이터!H1093</f>
        <v>45500</v>
      </c>
      <c r="I1093" s="3">
        <f>정규화데이터!I1093</f>
        <v>45500</v>
      </c>
      <c r="J1093" s="3">
        <f>정규화데이터!J1093</f>
        <v>45500</v>
      </c>
      <c r="K1093" s="25" t="str">
        <f>정규화데이터!K1093</f>
        <v>[워커힐] 시그니처 양념갈비 300G</v>
      </c>
      <c r="L1093" s="25">
        <f>정규화데이터!L1093</f>
        <v>0</v>
      </c>
      <c r="M1093" s="21">
        <f t="shared" si="34"/>
        <v>45500</v>
      </c>
      <c r="N1093" s="52">
        <f t="shared" si="35"/>
        <v>1</v>
      </c>
    </row>
    <row r="1094" spans="1:14" x14ac:dyDescent="0.3">
      <c r="A1094" t="str">
        <f>정규화데이터!A1094</f>
        <v>리씽크</v>
      </c>
      <c r="B1094" t="str">
        <f>정규화데이터!B1094</f>
        <v>2026020506493570000</v>
      </c>
      <c r="C1094" t="str">
        <f>정규화데이터!C1094</f>
        <v>2026-02-05</v>
      </c>
      <c r="D1094">
        <f>정규화데이터!D1094</f>
        <v>143790</v>
      </c>
      <c r="E1094" s="16" t="str">
        <f>정규화데이터!E1094</f>
        <v>SKU001</v>
      </c>
      <c r="F1094" s="3">
        <f>정규화데이터!F1094</f>
        <v>4</v>
      </c>
      <c r="G1094" s="3">
        <f>정규화데이터!G1094</f>
        <v>1</v>
      </c>
      <c r="H1094" s="3">
        <f>정규화데이터!H1094</f>
        <v>45500</v>
      </c>
      <c r="I1094" s="3">
        <f>정규화데이터!I1094</f>
        <v>45500</v>
      </c>
      <c r="J1094" s="3">
        <f>정규화데이터!J1094</f>
        <v>45500</v>
      </c>
      <c r="K1094" s="25" t="str">
        <f>정규화데이터!K1094</f>
        <v>[워커힐] 시그니처 양념갈비 300G</v>
      </c>
      <c r="L1094" s="25">
        <f>정규화데이터!L1094</f>
        <v>0</v>
      </c>
      <c r="M1094" s="21">
        <f t="shared" si="34"/>
        <v>45500</v>
      </c>
      <c r="N1094" s="52">
        <f t="shared" si="35"/>
        <v>1</v>
      </c>
    </row>
    <row r="1095" spans="1:14" x14ac:dyDescent="0.3">
      <c r="A1095" t="str">
        <f>정규화데이터!A1095</f>
        <v>리씽크</v>
      </c>
      <c r="B1095" t="str">
        <f>정규화데이터!B1095</f>
        <v>2026020506463710000</v>
      </c>
      <c r="C1095" t="str">
        <f>정규화데이터!C1095</f>
        <v>2026-02-05</v>
      </c>
      <c r="D1095">
        <f>정규화데이터!D1095</f>
        <v>143790</v>
      </c>
      <c r="E1095" s="16" t="str">
        <f>정규화데이터!E1095</f>
        <v>SKU001</v>
      </c>
      <c r="F1095" s="3">
        <f>정규화데이터!F1095</f>
        <v>4</v>
      </c>
      <c r="G1095" s="3">
        <f>정규화데이터!G1095</f>
        <v>1</v>
      </c>
      <c r="H1095" s="3">
        <f>정규화데이터!H1095</f>
        <v>45500</v>
      </c>
      <c r="I1095" s="3">
        <f>정규화데이터!I1095</f>
        <v>45500</v>
      </c>
      <c r="J1095" s="3">
        <f>정규화데이터!J1095</f>
        <v>45500</v>
      </c>
      <c r="K1095" s="25" t="str">
        <f>정규화데이터!K1095</f>
        <v>[워커힐] 시그니처 양념갈비 300G</v>
      </c>
      <c r="L1095" s="25">
        <f>정규화데이터!L1095</f>
        <v>0</v>
      </c>
      <c r="M1095" s="21">
        <f t="shared" si="34"/>
        <v>45500</v>
      </c>
      <c r="N1095" s="52">
        <f t="shared" si="35"/>
        <v>1</v>
      </c>
    </row>
    <row r="1096" spans="1:14" x14ac:dyDescent="0.3">
      <c r="A1096" t="str">
        <f>정규화데이터!A1096</f>
        <v>리씽크</v>
      </c>
      <c r="B1096" t="str">
        <f>정규화데이터!B1096</f>
        <v>2026020506482080000</v>
      </c>
      <c r="C1096" t="str">
        <f>정규화데이터!C1096</f>
        <v>2026-02-05</v>
      </c>
      <c r="D1096">
        <f>정규화데이터!D1096</f>
        <v>143790</v>
      </c>
      <c r="E1096" s="16" t="str">
        <f>정규화데이터!E1096</f>
        <v>SKU001</v>
      </c>
      <c r="F1096" s="3">
        <f>정규화데이터!F1096</f>
        <v>4</v>
      </c>
      <c r="G1096" s="3">
        <f>정규화데이터!G1096</f>
        <v>1</v>
      </c>
      <c r="H1096" s="3">
        <f>정규화데이터!H1096</f>
        <v>45500</v>
      </c>
      <c r="I1096" s="3">
        <f>정규화데이터!I1096</f>
        <v>45500</v>
      </c>
      <c r="J1096" s="3">
        <f>정규화데이터!J1096</f>
        <v>45500</v>
      </c>
      <c r="K1096" s="25" t="str">
        <f>정규화데이터!K1096</f>
        <v>[워커힐] 시그니처 양념갈비 300G</v>
      </c>
      <c r="L1096" s="25">
        <f>정규화데이터!L1096</f>
        <v>0</v>
      </c>
      <c r="M1096" s="21">
        <f t="shared" si="34"/>
        <v>45500</v>
      </c>
      <c r="N1096" s="52">
        <f t="shared" si="35"/>
        <v>1</v>
      </c>
    </row>
    <row r="1097" spans="1:14" x14ac:dyDescent="0.3">
      <c r="A1097" t="str">
        <f>정규화데이터!A1097</f>
        <v>리씽크</v>
      </c>
      <c r="B1097" t="str">
        <f>정규화데이터!B1097</f>
        <v>2026020506495950000</v>
      </c>
      <c r="C1097" t="str">
        <f>정규화데이터!C1097</f>
        <v>2026-02-05</v>
      </c>
      <c r="D1097">
        <f>정규화데이터!D1097</f>
        <v>143790</v>
      </c>
      <c r="E1097" s="16" t="str">
        <f>정규화데이터!E1097</f>
        <v>SKU001</v>
      </c>
      <c r="F1097" s="3">
        <f>정규화데이터!F1097</f>
        <v>4</v>
      </c>
      <c r="G1097" s="3">
        <f>정규화데이터!G1097</f>
        <v>1</v>
      </c>
      <c r="H1097" s="3">
        <f>정규화데이터!H1097</f>
        <v>45500</v>
      </c>
      <c r="I1097" s="3">
        <f>정규화데이터!I1097</f>
        <v>45500</v>
      </c>
      <c r="J1097" s="3">
        <f>정규화데이터!J1097</f>
        <v>45500</v>
      </c>
      <c r="K1097" s="25" t="str">
        <f>정규화데이터!K1097</f>
        <v>[워커힐] 시그니처 양념갈비 300G</v>
      </c>
      <c r="L1097" s="25">
        <f>정규화데이터!L1097</f>
        <v>0</v>
      </c>
      <c r="M1097" s="21">
        <f t="shared" si="34"/>
        <v>45500</v>
      </c>
      <c r="N1097" s="52">
        <f t="shared" si="35"/>
        <v>1</v>
      </c>
    </row>
    <row r="1098" spans="1:14" x14ac:dyDescent="0.3">
      <c r="A1098" t="str">
        <f>정규화데이터!A1098</f>
        <v>리씽크</v>
      </c>
      <c r="B1098" t="str">
        <f>정규화데이터!B1098</f>
        <v>2026020506494080000</v>
      </c>
      <c r="C1098" t="str">
        <f>정규화데이터!C1098</f>
        <v>2026-02-05</v>
      </c>
      <c r="D1098">
        <f>정규화데이터!D1098</f>
        <v>143790</v>
      </c>
      <c r="E1098" s="16" t="str">
        <f>정규화데이터!E1098</f>
        <v>SKU001</v>
      </c>
      <c r="F1098" s="3">
        <f>정규화데이터!F1098</f>
        <v>4</v>
      </c>
      <c r="G1098" s="3">
        <f>정규화데이터!G1098</f>
        <v>1</v>
      </c>
      <c r="H1098" s="3">
        <f>정규화데이터!H1098</f>
        <v>45500</v>
      </c>
      <c r="I1098" s="3">
        <f>정규화데이터!I1098</f>
        <v>45500</v>
      </c>
      <c r="J1098" s="3">
        <f>정규화데이터!J1098</f>
        <v>45500</v>
      </c>
      <c r="K1098" s="25" t="str">
        <f>정규화데이터!K1098</f>
        <v>[워커힐] 시그니처 양념갈비 300G</v>
      </c>
      <c r="L1098" s="25">
        <f>정규화데이터!L1098</f>
        <v>0</v>
      </c>
      <c r="M1098" s="21">
        <f t="shared" si="34"/>
        <v>45500</v>
      </c>
      <c r="N1098" s="52">
        <f t="shared" si="35"/>
        <v>1</v>
      </c>
    </row>
    <row r="1099" spans="1:14" x14ac:dyDescent="0.3">
      <c r="A1099" t="str">
        <f>정규화데이터!A1099</f>
        <v>리씽크</v>
      </c>
      <c r="B1099" t="str">
        <f>정규화데이터!B1099</f>
        <v>2026020506493620000</v>
      </c>
      <c r="C1099" t="str">
        <f>정규화데이터!C1099</f>
        <v>2026-02-05</v>
      </c>
      <c r="D1099">
        <f>정규화데이터!D1099</f>
        <v>143790</v>
      </c>
      <c r="E1099" s="16" t="str">
        <f>정규화데이터!E1099</f>
        <v>SKU001</v>
      </c>
      <c r="F1099" s="3">
        <f>정규화데이터!F1099</f>
        <v>4</v>
      </c>
      <c r="G1099" s="3">
        <f>정규화데이터!G1099</f>
        <v>1</v>
      </c>
      <c r="H1099" s="3">
        <f>정규화데이터!H1099</f>
        <v>45500</v>
      </c>
      <c r="I1099" s="3">
        <f>정규화데이터!I1099</f>
        <v>45500</v>
      </c>
      <c r="J1099" s="3">
        <f>정규화데이터!J1099</f>
        <v>45500</v>
      </c>
      <c r="K1099" s="25" t="str">
        <f>정규화데이터!K1099</f>
        <v>[워커힐] 시그니처 양념갈비 300G</v>
      </c>
      <c r="L1099" s="25">
        <f>정규화데이터!L1099</f>
        <v>0</v>
      </c>
      <c r="M1099" s="21">
        <f t="shared" si="34"/>
        <v>45500</v>
      </c>
      <c r="N1099" s="52">
        <f t="shared" si="35"/>
        <v>1</v>
      </c>
    </row>
    <row r="1100" spans="1:14" x14ac:dyDescent="0.3">
      <c r="A1100" t="str">
        <f>정규화데이터!A1100</f>
        <v>리씽크</v>
      </c>
      <c r="B1100" t="str">
        <f>정규화데이터!B1100</f>
        <v>2026020506484930000</v>
      </c>
      <c r="C1100" t="str">
        <f>정규화데이터!C1100</f>
        <v>2026-02-05</v>
      </c>
      <c r="D1100">
        <f>정규화데이터!D1100</f>
        <v>143790</v>
      </c>
      <c r="E1100" s="16" t="str">
        <f>정규화데이터!E1100</f>
        <v>SKU001</v>
      </c>
      <c r="F1100" s="3">
        <f>정규화데이터!F1100</f>
        <v>4</v>
      </c>
      <c r="G1100" s="3">
        <f>정규화데이터!G1100</f>
        <v>1</v>
      </c>
      <c r="H1100" s="3">
        <f>정규화데이터!H1100</f>
        <v>45500</v>
      </c>
      <c r="I1100" s="3">
        <f>정규화데이터!I1100</f>
        <v>45500</v>
      </c>
      <c r="J1100" s="3">
        <f>정규화데이터!J1100</f>
        <v>45500</v>
      </c>
      <c r="K1100" s="25" t="str">
        <f>정규화데이터!K1100</f>
        <v>[워커힐] 시그니처 양념갈비 300G</v>
      </c>
      <c r="L1100" s="25">
        <f>정규화데이터!L1100</f>
        <v>0</v>
      </c>
      <c r="M1100" s="21">
        <f t="shared" si="34"/>
        <v>45500</v>
      </c>
      <c r="N1100" s="52">
        <f t="shared" si="35"/>
        <v>1</v>
      </c>
    </row>
    <row r="1101" spans="1:14" x14ac:dyDescent="0.3">
      <c r="A1101" t="str">
        <f>정규화데이터!A1101</f>
        <v>리씽크</v>
      </c>
      <c r="B1101" t="str">
        <f>정규화데이터!B1101</f>
        <v>2026020506475380000</v>
      </c>
      <c r="C1101" t="str">
        <f>정규화데이터!C1101</f>
        <v>2026-02-05</v>
      </c>
      <c r="D1101">
        <f>정규화데이터!D1101</f>
        <v>143790</v>
      </c>
      <c r="E1101" s="16" t="str">
        <f>정규화데이터!E1101</f>
        <v>SKU001</v>
      </c>
      <c r="F1101" s="3">
        <f>정규화데이터!F1101</f>
        <v>4</v>
      </c>
      <c r="G1101" s="3">
        <f>정규화데이터!G1101</f>
        <v>1</v>
      </c>
      <c r="H1101" s="3">
        <f>정규화데이터!H1101</f>
        <v>45500</v>
      </c>
      <c r="I1101" s="3">
        <f>정규화데이터!I1101</f>
        <v>45500</v>
      </c>
      <c r="J1101" s="3">
        <f>정규화데이터!J1101</f>
        <v>45500</v>
      </c>
      <c r="K1101" s="25" t="str">
        <f>정규화데이터!K1101</f>
        <v>[워커힐] 시그니처 양념갈비 300G</v>
      </c>
      <c r="L1101" s="25">
        <f>정규화데이터!L1101</f>
        <v>0</v>
      </c>
      <c r="M1101" s="21">
        <f t="shared" si="34"/>
        <v>45500</v>
      </c>
      <c r="N1101" s="52">
        <f t="shared" si="35"/>
        <v>1</v>
      </c>
    </row>
    <row r="1102" spans="1:14" x14ac:dyDescent="0.3">
      <c r="A1102" t="str">
        <f>정규화데이터!A1102</f>
        <v>리씽크</v>
      </c>
      <c r="B1102" t="str">
        <f>정규화데이터!B1102</f>
        <v>2026020506481320000</v>
      </c>
      <c r="C1102" t="str">
        <f>정규화데이터!C1102</f>
        <v>2026-02-05</v>
      </c>
      <c r="D1102">
        <f>정규화데이터!D1102</f>
        <v>143790</v>
      </c>
      <c r="E1102" s="16" t="str">
        <f>정규화데이터!E1102</f>
        <v>SKU001</v>
      </c>
      <c r="F1102" s="3">
        <f>정규화데이터!F1102</f>
        <v>4</v>
      </c>
      <c r="G1102" s="3">
        <f>정규화데이터!G1102</f>
        <v>1</v>
      </c>
      <c r="H1102" s="3">
        <f>정규화데이터!H1102</f>
        <v>45500</v>
      </c>
      <c r="I1102" s="3">
        <f>정규화데이터!I1102</f>
        <v>45500</v>
      </c>
      <c r="J1102" s="3">
        <f>정규화데이터!J1102</f>
        <v>45500</v>
      </c>
      <c r="K1102" s="25" t="str">
        <f>정규화데이터!K1102</f>
        <v>[워커힐] 시그니처 양념갈비 300G</v>
      </c>
      <c r="L1102" s="25">
        <f>정규화데이터!L1102</f>
        <v>0</v>
      </c>
      <c r="M1102" s="21">
        <f t="shared" si="34"/>
        <v>45500</v>
      </c>
      <c r="N1102" s="52">
        <f t="shared" si="35"/>
        <v>1</v>
      </c>
    </row>
    <row r="1103" spans="1:14" x14ac:dyDescent="0.3">
      <c r="A1103" t="str">
        <f>정규화데이터!A1103</f>
        <v>리씽크</v>
      </c>
      <c r="B1103" t="str">
        <f>정규화데이터!B1103</f>
        <v>2026020506465060000</v>
      </c>
      <c r="C1103" t="str">
        <f>정규화데이터!C1103</f>
        <v>2026-02-05</v>
      </c>
      <c r="D1103">
        <f>정규화데이터!D1103</f>
        <v>143790</v>
      </c>
      <c r="E1103" s="16" t="str">
        <f>정규화데이터!E1103</f>
        <v>SKU001</v>
      </c>
      <c r="F1103" s="3">
        <f>정규화데이터!F1103</f>
        <v>4</v>
      </c>
      <c r="G1103" s="3">
        <f>정규화데이터!G1103</f>
        <v>1</v>
      </c>
      <c r="H1103" s="3">
        <f>정규화데이터!H1103</f>
        <v>45500</v>
      </c>
      <c r="I1103" s="3">
        <f>정규화데이터!I1103</f>
        <v>45500</v>
      </c>
      <c r="J1103" s="3">
        <f>정규화데이터!J1103</f>
        <v>45500</v>
      </c>
      <c r="K1103" s="25" t="str">
        <f>정규화데이터!K1103</f>
        <v>[워커힐] 시그니처 양념갈비 300G</v>
      </c>
      <c r="L1103" s="25">
        <f>정규화데이터!L1103</f>
        <v>0</v>
      </c>
      <c r="M1103" s="21">
        <f t="shared" si="34"/>
        <v>45500</v>
      </c>
      <c r="N1103" s="52">
        <f t="shared" si="35"/>
        <v>1</v>
      </c>
    </row>
    <row r="1104" spans="1:14" x14ac:dyDescent="0.3">
      <c r="A1104" t="str">
        <f>정규화데이터!A1104</f>
        <v>리씽크</v>
      </c>
      <c r="B1104" t="str">
        <f>정규화데이터!B1104</f>
        <v>2026020506462950000</v>
      </c>
      <c r="C1104" t="str">
        <f>정규화데이터!C1104</f>
        <v>2026-02-05</v>
      </c>
      <c r="D1104">
        <f>정규화데이터!D1104</f>
        <v>143790</v>
      </c>
      <c r="E1104" s="16" t="str">
        <f>정규화데이터!E1104</f>
        <v>SKU001</v>
      </c>
      <c r="F1104" s="3">
        <f>정규화데이터!F1104</f>
        <v>4</v>
      </c>
      <c r="G1104" s="3">
        <f>정규화데이터!G1104</f>
        <v>1</v>
      </c>
      <c r="H1104" s="3">
        <f>정규화데이터!H1104</f>
        <v>45500</v>
      </c>
      <c r="I1104" s="3">
        <f>정규화데이터!I1104</f>
        <v>45500</v>
      </c>
      <c r="J1104" s="3">
        <f>정규화데이터!J1104</f>
        <v>45500</v>
      </c>
      <c r="K1104" s="25" t="str">
        <f>정규화데이터!K1104</f>
        <v>[워커힐] 시그니처 양념갈비 300G</v>
      </c>
      <c r="L1104" s="25">
        <f>정규화데이터!L1104</f>
        <v>0</v>
      </c>
      <c r="M1104" s="21">
        <f t="shared" si="34"/>
        <v>45500</v>
      </c>
      <c r="N1104" s="52">
        <f t="shared" si="35"/>
        <v>1</v>
      </c>
    </row>
    <row r="1105" spans="1:14" x14ac:dyDescent="0.3">
      <c r="A1105" t="str">
        <f>정규화데이터!A1105</f>
        <v>리씽크</v>
      </c>
      <c r="B1105" t="str">
        <f>정규화데이터!B1105</f>
        <v>2026020506473900000</v>
      </c>
      <c r="C1105" t="str">
        <f>정규화데이터!C1105</f>
        <v>2026-02-05</v>
      </c>
      <c r="D1105">
        <f>정규화데이터!D1105</f>
        <v>143790</v>
      </c>
      <c r="E1105" s="16" t="str">
        <f>정규화데이터!E1105</f>
        <v>SKU001</v>
      </c>
      <c r="F1105" s="3">
        <f>정규화데이터!F1105</f>
        <v>4</v>
      </c>
      <c r="G1105" s="3">
        <f>정규화데이터!G1105</f>
        <v>1</v>
      </c>
      <c r="H1105" s="3">
        <f>정규화데이터!H1105</f>
        <v>45500</v>
      </c>
      <c r="I1105" s="3">
        <f>정규화데이터!I1105</f>
        <v>45500</v>
      </c>
      <c r="J1105" s="3">
        <f>정규화데이터!J1105</f>
        <v>45500</v>
      </c>
      <c r="K1105" s="25" t="str">
        <f>정규화데이터!K1105</f>
        <v>[워커힐] 시그니처 양념갈비 300G</v>
      </c>
      <c r="L1105" s="25">
        <f>정규화데이터!L1105</f>
        <v>0</v>
      </c>
      <c r="M1105" s="21">
        <f t="shared" si="34"/>
        <v>45500</v>
      </c>
      <c r="N1105" s="52">
        <f t="shared" si="35"/>
        <v>1</v>
      </c>
    </row>
    <row r="1106" spans="1:14" x14ac:dyDescent="0.3">
      <c r="A1106" t="str">
        <f>정규화데이터!A1106</f>
        <v>리씽크</v>
      </c>
      <c r="B1106" t="str">
        <f>정규화데이터!B1106</f>
        <v>2026020506464370000</v>
      </c>
      <c r="C1106" t="str">
        <f>정규화데이터!C1106</f>
        <v>2026-02-05</v>
      </c>
      <c r="D1106">
        <f>정규화데이터!D1106</f>
        <v>143790</v>
      </c>
      <c r="E1106" s="16" t="str">
        <f>정규화데이터!E1106</f>
        <v>SKU001</v>
      </c>
      <c r="F1106" s="3">
        <f>정규화데이터!F1106</f>
        <v>4</v>
      </c>
      <c r="G1106" s="3">
        <f>정규화데이터!G1106</f>
        <v>1</v>
      </c>
      <c r="H1106" s="3">
        <f>정규화데이터!H1106</f>
        <v>45500</v>
      </c>
      <c r="I1106" s="3">
        <f>정규화데이터!I1106</f>
        <v>45500</v>
      </c>
      <c r="J1106" s="3">
        <f>정규화데이터!J1106</f>
        <v>45500</v>
      </c>
      <c r="K1106" s="25" t="str">
        <f>정규화데이터!K1106</f>
        <v>[워커힐] 시그니처 양념갈비 300G</v>
      </c>
      <c r="L1106" s="25">
        <f>정규화데이터!L1106</f>
        <v>0</v>
      </c>
      <c r="M1106" s="21">
        <f t="shared" si="34"/>
        <v>45500</v>
      </c>
      <c r="N1106" s="52">
        <f t="shared" si="35"/>
        <v>1</v>
      </c>
    </row>
    <row r="1107" spans="1:14" x14ac:dyDescent="0.3">
      <c r="A1107" t="str">
        <f>정규화데이터!A1107</f>
        <v>리씽크</v>
      </c>
      <c r="B1107" t="str">
        <f>정규화데이터!B1107</f>
        <v>2026020506462000000</v>
      </c>
      <c r="C1107" t="str">
        <f>정규화데이터!C1107</f>
        <v>2026-02-05</v>
      </c>
      <c r="D1107">
        <f>정규화데이터!D1107</f>
        <v>143790</v>
      </c>
      <c r="E1107" s="16" t="str">
        <f>정규화데이터!E1107</f>
        <v>SKU001</v>
      </c>
      <c r="F1107" s="3">
        <f>정규화데이터!F1107</f>
        <v>4</v>
      </c>
      <c r="G1107" s="3">
        <f>정규화데이터!G1107</f>
        <v>1</v>
      </c>
      <c r="H1107" s="3">
        <f>정규화데이터!H1107</f>
        <v>45500</v>
      </c>
      <c r="I1107" s="3">
        <f>정규화데이터!I1107</f>
        <v>45500</v>
      </c>
      <c r="J1107" s="3">
        <f>정규화데이터!J1107</f>
        <v>45500</v>
      </c>
      <c r="K1107" s="25" t="str">
        <f>정규화데이터!K1107</f>
        <v>[워커힐] 시그니처 양념갈비 300G</v>
      </c>
      <c r="L1107" s="25">
        <f>정규화데이터!L1107</f>
        <v>0</v>
      </c>
      <c r="M1107" s="21">
        <f t="shared" si="34"/>
        <v>45500</v>
      </c>
      <c r="N1107" s="52">
        <f t="shared" si="35"/>
        <v>1</v>
      </c>
    </row>
    <row r="1108" spans="1:14" x14ac:dyDescent="0.3">
      <c r="A1108" t="str">
        <f>정규화데이터!A1108</f>
        <v>리씽크</v>
      </c>
      <c r="B1108" t="str">
        <f>정규화데이터!B1108</f>
        <v>2026020506460910000</v>
      </c>
      <c r="C1108" t="str">
        <f>정규화데이터!C1108</f>
        <v>2026-02-05</v>
      </c>
      <c r="D1108">
        <f>정규화데이터!D1108</f>
        <v>143790</v>
      </c>
      <c r="E1108" s="16" t="str">
        <f>정규화데이터!E1108</f>
        <v>SKU001</v>
      </c>
      <c r="F1108" s="3">
        <f>정규화데이터!F1108</f>
        <v>4</v>
      </c>
      <c r="G1108" s="3">
        <f>정규화데이터!G1108</f>
        <v>2</v>
      </c>
      <c r="H1108" s="3">
        <f>정규화데이터!H1108</f>
        <v>45500</v>
      </c>
      <c r="I1108" s="3">
        <f>정규화데이터!I1108</f>
        <v>91000</v>
      </c>
      <c r="J1108" s="3">
        <f>정규화데이터!J1108</f>
        <v>91000</v>
      </c>
      <c r="K1108" s="25" t="str">
        <f>정규화데이터!K1108</f>
        <v>[워커힐] 시그니처 양념갈비 300G</v>
      </c>
      <c r="L1108" s="25">
        <f>정규화데이터!L1108</f>
        <v>0</v>
      </c>
      <c r="M1108" s="21">
        <f t="shared" si="34"/>
        <v>91000</v>
      </c>
      <c r="N1108" s="52">
        <f t="shared" si="35"/>
        <v>1</v>
      </c>
    </row>
    <row r="1109" spans="1:14" x14ac:dyDescent="0.3">
      <c r="A1109" t="str">
        <f>정규화데이터!A1109</f>
        <v>리씽크</v>
      </c>
      <c r="B1109" t="str">
        <f>정규화데이터!B1109</f>
        <v>2026020506450550000</v>
      </c>
      <c r="C1109" t="str">
        <f>정규화데이터!C1109</f>
        <v>2026-02-05</v>
      </c>
      <c r="D1109">
        <f>정규화데이터!D1109</f>
        <v>143790</v>
      </c>
      <c r="E1109" s="16" t="str">
        <f>정규화데이터!E1109</f>
        <v>SKU001</v>
      </c>
      <c r="F1109" s="3">
        <f>정규화데이터!F1109</f>
        <v>4</v>
      </c>
      <c r="G1109" s="3">
        <f>정규화데이터!G1109</f>
        <v>1</v>
      </c>
      <c r="H1109" s="3">
        <f>정규화데이터!H1109</f>
        <v>45500</v>
      </c>
      <c r="I1109" s="3">
        <f>정규화데이터!I1109</f>
        <v>45500</v>
      </c>
      <c r="J1109" s="3">
        <f>정규화데이터!J1109</f>
        <v>45500</v>
      </c>
      <c r="K1109" s="25" t="str">
        <f>정규화데이터!K1109</f>
        <v>[워커힐] 시그니처 양념갈비 300G</v>
      </c>
      <c r="L1109" s="25">
        <f>정규화데이터!L1109</f>
        <v>0</v>
      </c>
      <c r="M1109" s="21">
        <f t="shared" si="34"/>
        <v>45500</v>
      </c>
      <c r="N1109" s="52">
        <f t="shared" si="35"/>
        <v>1</v>
      </c>
    </row>
    <row r="1110" spans="1:14" x14ac:dyDescent="0.3">
      <c r="A1110" t="str">
        <f>정규화데이터!A1110</f>
        <v>리씽크</v>
      </c>
      <c r="B1110" t="str">
        <f>정규화데이터!B1110</f>
        <v>2026020506454130000</v>
      </c>
      <c r="C1110" t="str">
        <f>정규화데이터!C1110</f>
        <v>2026-02-05</v>
      </c>
      <c r="D1110">
        <f>정규화데이터!D1110</f>
        <v>143790</v>
      </c>
      <c r="E1110" s="16" t="str">
        <f>정규화데이터!E1110</f>
        <v>SKU001</v>
      </c>
      <c r="F1110" s="3">
        <f>정규화데이터!F1110</f>
        <v>4</v>
      </c>
      <c r="G1110" s="3">
        <f>정규화데이터!G1110</f>
        <v>1</v>
      </c>
      <c r="H1110" s="3">
        <f>정규화데이터!H1110</f>
        <v>45500</v>
      </c>
      <c r="I1110" s="3">
        <f>정규화데이터!I1110</f>
        <v>45500</v>
      </c>
      <c r="J1110" s="3">
        <f>정규화데이터!J1110</f>
        <v>45500</v>
      </c>
      <c r="K1110" s="25" t="str">
        <f>정규화데이터!K1110</f>
        <v>[워커힐] 시그니처 양념갈비 300G</v>
      </c>
      <c r="L1110" s="25">
        <f>정규화데이터!L1110</f>
        <v>0</v>
      </c>
      <c r="M1110" s="21">
        <f t="shared" si="34"/>
        <v>45500</v>
      </c>
      <c r="N1110" s="52">
        <f t="shared" si="35"/>
        <v>1</v>
      </c>
    </row>
    <row r="1111" spans="1:14" x14ac:dyDescent="0.3">
      <c r="A1111" t="str">
        <f>정규화데이터!A1111</f>
        <v>리씽크</v>
      </c>
      <c r="B1111" t="str">
        <f>정규화데이터!B1111</f>
        <v>2026020506402860000</v>
      </c>
      <c r="C1111" t="str">
        <f>정규화데이터!C1111</f>
        <v>2026-02-05</v>
      </c>
      <c r="D1111">
        <f>정규화데이터!D1111</f>
        <v>143790</v>
      </c>
      <c r="E1111" s="16" t="str">
        <f>정규화데이터!E1111</f>
        <v>SKU001</v>
      </c>
      <c r="F1111" s="3">
        <f>정규화데이터!F1111</f>
        <v>4</v>
      </c>
      <c r="G1111" s="3">
        <f>정규화데이터!G1111</f>
        <v>1</v>
      </c>
      <c r="H1111" s="3">
        <f>정규화데이터!H1111</f>
        <v>45500</v>
      </c>
      <c r="I1111" s="3">
        <f>정규화데이터!I1111</f>
        <v>45500</v>
      </c>
      <c r="J1111" s="3">
        <f>정규화데이터!J1111</f>
        <v>45500</v>
      </c>
      <c r="K1111" s="25" t="str">
        <f>정규화데이터!K1111</f>
        <v>[워커힐] 시그니처 양념갈비 300G</v>
      </c>
      <c r="L1111" s="25">
        <f>정규화데이터!L1111</f>
        <v>0</v>
      </c>
      <c r="M1111" s="21">
        <f t="shared" si="34"/>
        <v>45500</v>
      </c>
      <c r="N1111" s="52">
        <f t="shared" si="35"/>
        <v>1</v>
      </c>
    </row>
    <row r="1112" spans="1:14" x14ac:dyDescent="0.3">
      <c r="A1112" t="str">
        <f>정규화데이터!A1112</f>
        <v>리씽크</v>
      </c>
      <c r="B1112" t="str">
        <f>정규화데이터!B1112</f>
        <v>2026020506271660000</v>
      </c>
      <c r="C1112" t="str">
        <f>정규화데이터!C1112</f>
        <v>2026-02-05</v>
      </c>
      <c r="D1112">
        <f>정규화데이터!D1112</f>
        <v>143790</v>
      </c>
      <c r="E1112" s="16" t="str">
        <f>정규화데이터!E1112</f>
        <v>SKU001</v>
      </c>
      <c r="F1112" s="3">
        <f>정규화데이터!F1112</f>
        <v>4</v>
      </c>
      <c r="G1112" s="3">
        <f>정규화데이터!G1112</f>
        <v>1</v>
      </c>
      <c r="H1112" s="3">
        <f>정규화데이터!H1112</f>
        <v>45500</v>
      </c>
      <c r="I1112" s="3">
        <f>정규화데이터!I1112</f>
        <v>45500</v>
      </c>
      <c r="J1112" s="3">
        <f>정규화데이터!J1112</f>
        <v>45500</v>
      </c>
      <c r="K1112" s="25" t="str">
        <f>정규화데이터!K1112</f>
        <v>[워커힐] 시그니처 양념갈비 300G</v>
      </c>
      <c r="L1112" s="25">
        <f>정규화데이터!L1112</f>
        <v>0</v>
      </c>
      <c r="M1112" s="21">
        <f t="shared" si="34"/>
        <v>45500</v>
      </c>
      <c r="N1112" s="52">
        <f t="shared" si="35"/>
        <v>1</v>
      </c>
    </row>
    <row r="1113" spans="1:14" x14ac:dyDescent="0.3">
      <c r="A1113" t="str">
        <f>정규화데이터!A1113</f>
        <v>리씽크</v>
      </c>
      <c r="B1113" t="str">
        <f>정규화데이터!B1113</f>
        <v>2026020506145790000</v>
      </c>
      <c r="C1113" t="str">
        <f>정규화데이터!C1113</f>
        <v>2026-02-05</v>
      </c>
      <c r="D1113">
        <f>정규화데이터!D1113</f>
        <v>143790</v>
      </c>
      <c r="E1113" s="16" t="str">
        <f>정규화데이터!E1113</f>
        <v>SKU001</v>
      </c>
      <c r="F1113" s="3">
        <f>정규화데이터!F1113</f>
        <v>4</v>
      </c>
      <c r="G1113" s="3">
        <f>정규화데이터!G1113</f>
        <v>1</v>
      </c>
      <c r="H1113" s="3">
        <f>정규화데이터!H1113</f>
        <v>45500</v>
      </c>
      <c r="I1113" s="3">
        <f>정규화데이터!I1113</f>
        <v>45500</v>
      </c>
      <c r="J1113" s="3">
        <f>정규화데이터!J1113</f>
        <v>45500</v>
      </c>
      <c r="K1113" s="25" t="str">
        <f>정규화데이터!K1113</f>
        <v>[워커힐] 시그니처 양념갈비 300G</v>
      </c>
      <c r="L1113" s="25">
        <f>정규화데이터!L1113</f>
        <v>0</v>
      </c>
      <c r="M1113" s="21">
        <f t="shared" si="34"/>
        <v>45500</v>
      </c>
      <c r="N1113" s="52">
        <f t="shared" si="35"/>
        <v>1</v>
      </c>
    </row>
    <row r="1114" spans="1:14" x14ac:dyDescent="0.3">
      <c r="A1114" t="str">
        <f>정규화데이터!A1114</f>
        <v>리씽크</v>
      </c>
      <c r="B1114" t="str">
        <f>정규화데이터!B1114</f>
        <v>2026020504473080000</v>
      </c>
      <c r="C1114" t="str">
        <f>정규화데이터!C1114</f>
        <v>2026-02-05</v>
      </c>
      <c r="D1114">
        <f>정규화데이터!D1114</f>
        <v>143790</v>
      </c>
      <c r="E1114" s="16" t="str">
        <f>정규화데이터!E1114</f>
        <v>SKU001</v>
      </c>
      <c r="F1114" s="3">
        <f>정규화데이터!F1114</f>
        <v>4</v>
      </c>
      <c r="G1114" s="3">
        <f>정규화데이터!G1114</f>
        <v>1</v>
      </c>
      <c r="H1114" s="3">
        <f>정규화데이터!H1114</f>
        <v>45500</v>
      </c>
      <c r="I1114" s="3">
        <f>정규화데이터!I1114</f>
        <v>45500</v>
      </c>
      <c r="J1114" s="3">
        <f>정규화데이터!J1114</f>
        <v>45500</v>
      </c>
      <c r="K1114" s="25" t="str">
        <f>정규화데이터!K1114</f>
        <v>[워커힐] 시그니처 양념갈비 300G</v>
      </c>
      <c r="L1114" s="25">
        <f>정규화데이터!L1114</f>
        <v>0</v>
      </c>
      <c r="M1114" s="21">
        <f t="shared" si="34"/>
        <v>45500</v>
      </c>
      <c r="N1114" s="52">
        <f t="shared" si="35"/>
        <v>1</v>
      </c>
    </row>
    <row r="1115" spans="1:14" x14ac:dyDescent="0.3">
      <c r="A1115" t="str">
        <f>정규화데이터!A1115</f>
        <v>리씽크</v>
      </c>
      <c r="B1115" t="str">
        <f>정규화데이터!B1115</f>
        <v>2026020503342920000</v>
      </c>
      <c r="C1115" t="str">
        <f>정규화데이터!C1115</f>
        <v>2026-02-05</v>
      </c>
      <c r="D1115">
        <f>정규화데이터!D1115</f>
        <v>143790</v>
      </c>
      <c r="E1115" s="16" t="str">
        <f>정규화데이터!E1115</f>
        <v>SKU001</v>
      </c>
      <c r="F1115" s="3">
        <f>정규화데이터!F1115</f>
        <v>4</v>
      </c>
      <c r="G1115" s="3">
        <f>정규화데이터!G1115</f>
        <v>1</v>
      </c>
      <c r="H1115" s="3">
        <f>정규화데이터!H1115</f>
        <v>45500</v>
      </c>
      <c r="I1115" s="3">
        <f>정규화데이터!I1115</f>
        <v>45500</v>
      </c>
      <c r="J1115" s="3">
        <f>정규화데이터!J1115</f>
        <v>45500</v>
      </c>
      <c r="K1115" s="25" t="str">
        <f>정규화데이터!K1115</f>
        <v>[워커힐] 시그니처 양념갈비 300G</v>
      </c>
      <c r="L1115" s="25">
        <f>정규화데이터!L1115</f>
        <v>0</v>
      </c>
      <c r="M1115" s="21">
        <f t="shared" si="34"/>
        <v>45500</v>
      </c>
      <c r="N1115" s="52">
        <f t="shared" si="35"/>
        <v>1</v>
      </c>
    </row>
    <row r="1116" spans="1:14" x14ac:dyDescent="0.3">
      <c r="A1116" t="str">
        <f>정규화데이터!A1116</f>
        <v>리씽크</v>
      </c>
      <c r="B1116" t="str">
        <f>정규화데이터!B1116</f>
        <v>2026020501335640000</v>
      </c>
      <c r="C1116" t="str">
        <f>정규화데이터!C1116</f>
        <v>2026-02-05</v>
      </c>
      <c r="D1116">
        <f>정규화데이터!D1116</f>
        <v>143790</v>
      </c>
      <c r="E1116" s="16" t="str">
        <f>정규화데이터!E1116</f>
        <v>SKU001</v>
      </c>
      <c r="F1116" s="3">
        <f>정규화데이터!F1116</f>
        <v>4</v>
      </c>
      <c r="G1116" s="3">
        <f>정규화데이터!G1116</f>
        <v>1</v>
      </c>
      <c r="H1116" s="3">
        <f>정규화데이터!H1116</f>
        <v>45500</v>
      </c>
      <c r="I1116" s="3">
        <f>정규화데이터!I1116</f>
        <v>45500</v>
      </c>
      <c r="J1116" s="3">
        <f>정규화데이터!J1116</f>
        <v>45500</v>
      </c>
      <c r="K1116" s="25" t="str">
        <f>정규화데이터!K1116</f>
        <v>[워커힐] 시그니처 양념갈비 300G</v>
      </c>
      <c r="L1116" s="25">
        <f>정규화데이터!L1116</f>
        <v>0</v>
      </c>
      <c r="M1116" s="21">
        <f t="shared" si="34"/>
        <v>45500</v>
      </c>
      <c r="N1116" s="52">
        <f t="shared" si="35"/>
        <v>1</v>
      </c>
    </row>
    <row r="1117" spans="1:14" x14ac:dyDescent="0.3">
      <c r="A1117" t="str">
        <f>정규화데이터!A1117</f>
        <v>리씽크</v>
      </c>
      <c r="B1117" t="str">
        <f>정규화데이터!B1117</f>
        <v>2026020500495220000</v>
      </c>
      <c r="C1117" t="str">
        <f>정규화데이터!C1117</f>
        <v>2026-02-05</v>
      </c>
      <c r="D1117">
        <f>정규화데이터!D1117</f>
        <v>143790</v>
      </c>
      <c r="E1117" s="16" t="str">
        <f>정규화데이터!E1117</f>
        <v>SKU001</v>
      </c>
      <c r="F1117" s="3">
        <f>정규화데이터!F1117</f>
        <v>4</v>
      </c>
      <c r="G1117" s="3">
        <f>정규화데이터!G1117</f>
        <v>2</v>
      </c>
      <c r="H1117" s="3">
        <f>정규화데이터!H1117</f>
        <v>45500</v>
      </c>
      <c r="I1117" s="3">
        <f>정규화데이터!I1117</f>
        <v>91000</v>
      </c>
      <c r="J1117" s="3">
        <f>정규화데이터!J1117</f>
        <v>91000</v>
      </c>
      <c r="K1117" s="25" t="str">
        <f>정규화데이터!K1117</f>
        <v>[워커힐] 시그니처 양념갈비 300G</v>
      </c>
      <c r="L1117" s="25">
        <f>정규화데이터!L1117</f>
        <v>0</v>
      </c>
      <c r="M1117" s="21">
        <f t="shared" si="34"/>
        <v>91000</v>
      </c>
      <c r="N1117" s="52">
        <f t="shared" si="35"/>
        <v>1</v>
      </c>
    </row>
    <row r="1118" spans="1:14" x14ac:dyDescent="0.3">
      <c r="A1118" t="str">
        <f>정규화데이터!A1118</f>
        <v>리씽크</v>
      </c>
      <c r="B1118" t="str">
        <f>정규화데이터!B1118</f>
        <v>2026020500221540000</v>
      </c>
      <c r="C1118" t="str">
        <f>정규화데이터!C1118</f>
        <v>2026-02-05</v>
      </c>
      <c r="D1118">
        <f>정규화데이터!D1118</f>
        <v>143790</v>
      </c>
      <c r="E1118" s="16" t="str">
        <f>정규화데이터!E1118</f>
        <v>SKU001</v>
      </c>
      <c r="F1118" s="3">
        <f>정규화데이터!F1118</f>
        <v>4</v>
      </c>
      <c r="G1118" s="3">
        <f>정규화데이터!G1118</f>
        <v>1</v>
      </c>
      <c r="H1118" s="3">
        <f>정규화데이터!H1118</f>
        <v>45500</v>
      </c>
      <c r="I1118" s="3">
        <f>정규화데이터!I1118</f>
        <v>45500</v>
      </c>
      <c r="J1118" s="3">
        <f>정규화데이터!J1118</f>
        <v>45500</v>
      </c>
      <c r="K1118" s="25" t="str">
        <f>정규화데이터!K1118</f>
        <v>[워커힐] 시그니처 양념갈비 300G</v>
      </c>
      <c r="L1118" s="25">
        <f>정규화데이터!L1118</f>
        <v>0</v>
      </c>
      <c r="M1118" s="21">
        <f t="shared" si="34"/>
        <v>45500</v>
      </c>
      <c r="N1118" s="52">
        <f t="shared" si="35"/>
        <v>1</v>
      </c>
    </row>
    <row r="1119" spans="1:14" x14ac:dyDescent="0.3">
      <c r="A1119" t="str">
        <f>정규화데이터!A1119</f>
        <v>리씽크</v>
      </c>
      <c r="B1119" t="str">
        <f>정규화데이터!B1119</f>
        <v>2026020422381840000</v>
      </c>
      <c r="C1119" t="str">
        <f>정규화데이터!C1119</f>
        <v>2026-02-04</v>
      </c>
      <c r="D1119">
        <f>정규화데이터!D1119</f>
        <v>143790</v>
      </c>
      <c r="E1119" s="16" t="str">
        <f>정규화데이터!E1119</f>
        <v>SKU001</v>
      </c>
      <c r="F1119" s="3">
        <f>정규화데이터!F1119</f>
        <v>4</v>
      </c>
      <c r="G1119" s="3">
        <f>정규화데이터!G1119</f>
        <v>1</v>
      </c>
      <c r="H1119" s="3">
        <f>정규화데이터!H1119</f>
        <v>45500</v>
      </c>
      <c r="I1119" s="3">
        <f>정규화데이터!I1119</f>
        <v>45500</v>
      </c>
      <c r="J1119" s="3">
        <f>정규화데이터!J1119</f>
        <v>45500</v>
      </c>
      <c r="K1119" s="25" t="str">
        <f>정규화데이터!K1119</f>
        <v>[워커힐] 시그니처 양념갈비 300G</v>
      </c>
      <c r="L1119" s="25">
        <f>정규화데이터!L1119</f>
        <v>0</v>
      </c>
      <c r="M1119" s="21">
        <f t="shared" si="34"/>
        <v>45500</v>
      </c>
      <c r="N1119" s="52">
        <f t="shared" si="35"/>
        <v>1</v>
      </c>
    </row>
    <row r="1120" spans="1:14" x14ac:dyDescent="0.3">
      <c r="A1120" t="str">
        <f>정규화데이터!A1120</f>
        <v>리씽크</v>
      </c>
      <c r="B1120" t="str">
        <f>정규화데이터!B1120</f>
        <v>2026020422345280000</v>
      </c>
      <c r="C1120" t="str">
        <f>정규화데이터!C1120</f>
        <v>2026-02-04</v>
      </c>
      <c r="D1120">
        <f>정규화데이터!D1120</f>
        <v>143790</v>
      </c>
      <c r="E1120" s="16" t="str">
        <f>정규화데이터!E1120</f>
        <v>SKU001</v>
      </c>
      <c r="F1120" s="3">
        <f>정규화데이터!F1120</f>
        <v>4</v>
      </c>
      <c r="G1120" s="3">
        <f>정규화데이터!G1120</f>
        <v>1</v>
      </c>
      <c r="H1120" s="3">
        <f>정규화데이터!H1120</f>
        <v>45500</v>
      </c>
      <c r="I1120" s="3">
        <f>정규화데이터!I1120</f>
        <v>45500</v>
      </c>
      <c r="J1120" s="3">
        <f>정규화데이터!J1120</f>
        <v>45500</v>
      </c>
      <c r="K1120" s="25" t="str">
        <f>정규화데이터!K1120</f>
        <v>[워커힐] 시그니처 양념갈비 300G</v>
      </c>
      <c r="L1120" s="25">
        <f>정규화데이터!L1120</f>
        <v>0</v>
      </c>
      <c r="M1120" s="21">
        <f t="shared" si="34"/>
        <v>45500</v>
      </c>
      <c r="N1120" s="52">
        <f t="shared" si="35"/>
        <v>1</v>
      </c>
    </row>
    <row r="1121" spans="1:14" x14ac:dyDescent="0.3">
      <c r="A1121" t="str">
        <f>정규화데이터!A1121</f>
        <v>리씽크</v>
      </c>
      <c r="B1121" t="str">
        <f>정규화데이터!B1121</f>
        <v>2026020422312720000</v>
      </c>
      <c r="C1121" t="str">
        <f>정규화데이터!C1121</f>
        <v>2026-02-04</v>
      </c>
      <c r="D1121">
        <f>정규화데이터!D1121</f>
        <v>143790</v>
      </c>
      <c r="E1121" s="16" t="str">
        <f>정규화데이터!E1121</f>
        <v>SKU001</v>
      </c>
      <c r="F1121" s="3">
        <f>정규화데이터!F1121</f>
        <v>4</v>
      </c>
      <c r="G1121" s="3">
        <f>정규화데이터!G1121</f>
        <v>1</v>
      </c>
      <c r="H1121" s="3">
        <f>정규화데이터!H1121</f>
        <v>45500</v>
      </c>
      <c r="I1121" s="3">
        <f>정규화데이터!I1121</f>
        <v>45500</v>
      </c>
      <c r="J1121" s="3">
        <f>정규화데이터!J1121</f>
        <v>45500</v>
      </c>
      <c r="K1121" s="25" t="str">
        <f>정규화데이터!K1121</f>
        <v>[워커힐] 시그니처 양념갈비 300G</v>
      </c>
      <c r="L1121" s="25">
        <f>정규화데이터!L1121</f>
        <v>0</v>
      </c>
      <c r="M1121" s="21">
        <f t="shared" si="34"/>
        <v>45500</v>
      </c>
      <c r="N1121" s="52">
        <f t="shared" si="35"/>
        <v>1</v>
      </c>
    </row>
    <row r="1122" spans="1:14" x14ac:dyDescent="0.3">
      <c r="A1122" t="str">
        <f>정규화데이터!A1122</f>
        <v>리씽크</v>
      </c>
      <c r="B1122" t="str">
        <f>정규화데이터!B1122</f>
        <v>2026020422215480000</v>
      </c>
      <c r="C1122" t="str">
        <f>정규화데이터!C1122</f>
        <v>2026-02-04</v>
      </c>
      <c r="D1122">
        <f>정규화데이터!D1122</f>
        <v>143790</v>
      </c>
      <c r="E1122" s="16" t="str">
        <f>정규화데이터!E1122</f>
        <v>SKU001</v>
      </c>
      <c r="F1122" s="3">
        <f>정규화데이터!F1122</f>
        <v>4</v>
      </c>
      <c r="G1122" s="3">
        <f>정규화데이터!G1122</f>
        <v>1</v>
      </c>
      <c r="H1122" s="3">
        <f>정규화데이터!H1122</f>
        <v>45500</v>
      </c>
      <c r="I1122" s="3">
        <f>정규화데이터!I1122</f>
        <v>45500</v>
      </c>
      <c r="J1122" s="3">
        <f>정규화데이터!J1122</f>
        <v>45500</v>
      </c>
      <c r="K1122" s="25" t="str">
        <f>정규화데이터!K1122</f>
        <v>[워커힐] 시그니처 양념갈비 300G</v>
      </c>
      <c r="L1122" s="25">
        <f>정규화데이터!L1122</f>
        <v>0</v>
      </c>
      <c r="M1122" s="21">
        <f t="shared" si="34"/>
        <v>45500</v>
      </c>
      <c r="N1122" s="52">
        <f t="shared" si="35"/>
        <v>1</v>
      </c>
    </row>
    <row r="1123" spans="1:14" x14ac:dyDescent="0.3">
      <c r="A1123" t="str">
        <f>정규화데이터!A1123</f>
        <v>리씽크</v>
      </c>
      <c r="B1123" t="str">
        <f>정규화데이터!B1123</f>
        <v>2026020422154890000</v>
      </c>
      <c r="C1123" t="str">
        <f>정규화데이터!C1123</f>
        <v>2026-02-04</v>
      </c>
      <c r="D1123">
        <f>정규화데이터!D1123</f>
        <v>143790</v>
      </c>
      <c r="E1123" s="16" t="str">
        <f>정규화데이터!E1123</f>
        <v>SKU001</v>
      </c>
      <c r="F1123" s="3">
        <f>정규화데이터!F1123</f>
        <v>4</v>
      </c>
      <c r="G1123" s="3">
        <f>정규화데이터!G1123</f>
        <v>1</v>
      </c>
      <c r="H1123" s="3">
        <f>정규화데이터!H1123</f>
        <v>45500</v>
      </c>
      <c r="I1123" s="3">
        <f>정규화데이터!I1123</f>
        <v>45500</v>
      </c>
      <c r="J1123" s="3">
        <f>정규화데이터!J1123</f>
        <v>45500</v>
      </c>
      <c r="K1123" s="25" t="str">
        <f>정규화데이터!K1123</f>
        <v>[워커힐] 시그니처 양념갈비 300G</v>
      </c>
      <c r="L1123" s="25">
        <f>정규화데이터!L1123</f>
        <v>0</v>
      </c>
      <c r="M1123" s="21">
        <f t="shared" si="34"/>
        <v>45500</v>
      </c>
      <c r="N1123" s="52">
        <f t="shared" si="35"/>
        <v>1</v>
      </c>
    </row>
    <row r="1124" spans="1:14" x14ac:dyDescent="0.3">
      <c r="A1124" t="str">
        <f>정규화데이터!A1124</f>
        <v>리씽크</v>
      </c>
      <c r="B1124" t="str">
        <f>정규화데이터!B1124</f>
        <v>2026020422130130000</v>
      </c>
      <c r="C1124" t="str">
        <f>정규화데이터!C1124</f>
        <v>2026-02-04</v>
      </c>
      <c r="D1124">
        <f>정규화데이터!D1124</f>
        <v>143790</v>
      </c>
      <c r="E1124" s="16" t="str">
        <f>정규화데이터!E1124</f>
        <v>SKU001</v>
      </c>
      <c r="F1124" s="3">
        <f>정규화데이터!F1124</f>
        <v>4</v>
      </c>
      <c r="G1124" s="3">
        <f>정규화데이터!G1124</f>
        <v>1</v>
      </c>
      <c r="H1124" s="3">
        <f>정규화데이터!H1124</f>
        <v>45500</v>
      </c>
      <c r="I1124" s="3">
        <f>정규화데이터!I1124</f>
        <v>45500</v>
      </c>
      <c r="J1124" s="3">
        <f>정규화데이터!J1124</f>
        <v>45500</v>
      </c>
      <c r="K1124" s="25" t="str">
        <f>정규화데이터!K1124</f>
        <v>[워커힐] 시그니처 양념갈비 300G</v>
      </c>
      <c r="L1124" s="25">
        <f>정규화데이터!L1124</f>
        <v>0</v>
      </c>
      <c r="M1124" s="21">
        <f t="shared" si="34"/>
        <v>45500</v>
      </c>
      <c r="N1124" s="52">
        <f t="shared" si="35"/>
        <v>1</v>
      </c>
    </row>
    <row r="1125" spans="1:14" x14ac:dyDescent="0.3">
      <c r="A1125" t="str">
        <f>정규화데이터!A1125</f>
        <v>리씽크</v>
      </c>
      <c r="B1125" t="str">
        <f>정규화데이터!B1125</f>
        <v>2026020421453510000</v>
      </c>
      <c r="C1125" t="str">
        <f>정규화데이터!C1125</f>
        <v>2026-02-04</v>
      </c>
      <c r="D1125">
        <f>정규화데이터!D1125</f>
        <v>143790</v>
      </c>
      <c r="E1125" s="16" t="str">
        <f>정규화데이터!E1125</f>
        <v>SKU001</v>
      </c>
      <c r="F1125" s="3">
        <f>정규화데이터!F1125</f>
        <v>4</v>
      </c>
      <c r="G1125" s="3">
        <f>정규화데이터!G1125</f>
        <v>1</v>
      </c>
      <c r="H1125" s="3">
        <f>정규화데이터!H1125</f>
        <v>45500</v>
      </c>
      <c r="I1125" s="3">
        <f>정규화데이터!I1125</f>
        <v>45500</v>
      </c>
      <c r="J1125" s="3">
        <f>정규화데이터!J1125</f>
        <v>45500</v>
      </c>
      <c r="K1125" s="25" t="str">
        <f>정규화데이터!K1125</f>
        <v>[워커힐] 시그니처 양념갈비 300G</v>
      </c>
      <c r="L1125" s="25">
        <f>정규화데이터!L1125</f>
        <v>0</v>
      </c>
      <c r="M1125" s="21">
        <f t="shared" si="34"/>
        <v>45500</v>
      </c>
      <c r="N1125" s="52">
        <f t="shared" si="35"/>
        <v>1</v>
      </c>
    </row>
    <row r="1126" spans="1:14" x14ac:dyDescent="0.3">
      <c r="A1126" t="str">
        <f>정규화데이터!A1126</f>
        <v>리씽크</v>
      </c>
      <c r="B1126" t="str">
        <f>정규화데이터!B1126</f>
        <v>2026020421313830000</v>
      </c>
      <c r="C1126" t="str">
        <f>정규화데이터!C1126</f>
        <v>2026-02-04</v>
      </c>
      <c r="D1126">
        <f>정규화데이터!D1126</f>
        <v>143790</v>
      </c>
      <c r="E1126" s="16" t="str">
        <f>정규화데이터!E1126</f>
        <v>SKU001</v>
      </c>
      <c r="F1126" s="3">
        <f>정규화데이터!F1126</f>
        <v>4</v>
      </c>
      <c r="G1126" s="3">
        <f>정규화데이터!G1126</f>
        <v>2</v>
      </c>
      <c r="H1126" s="3">
        <f>정규화데이터!H1126</f>
        <v>45500</v>
      </c>
      <c r="I1126" s="3">
        <f>정규화데이터!I1126</f>
        <v>91000</v>
      </c>
      <c r="J1126" s="3">
        <f>정규화데이터!J1126</f>
        <v>91000</v>
      </c>
      <c r="K1126" s="25" t="str">
        <f>정규화데이터!K1126</f>
        <v>[워커힐] 시그니처 양념갈비 300G</v>
      </c>
      <c r="L1126" s="25">
        <f>정규화데이터!L1126</f>
        <v>0</v>
      </c>
      <c r="M1126" s="21">
        <f t="shared" si="34"/>
        <v>91000</v>
      </c>
      <c r="N1126" s="52">
        <f t="shared" si="35"/>
        <v>1</v>
      </c>
    </row>
    <row r="1127" spans="1:14" x14ac:dyDescent="0.3">
      <c r="A1127" t="str">
        <f>정규화데이터!A1127</f>
        <v>리씽크</v>
      </c>
      <c r="B1127" t="str">
        <f>정규화데이터!B1127</f>
        <v>2026020421271020000</v>
      </c>
      <c r="C1127" t="str">
        <f>정규화데이터!C1127</f>
        <v>2026-02-04</v>
      </c>
      <c r="D1127">
        <f>정규화데이터!D1127</f>
        <v>143790</v>
      </c>
      <c r="E1127" s="16" t="str">
        <f>정규화데이터!E1127</f>
        <v>SKU001</v>
      </c>
      <c r="F1127" s="3">
        <f>정규화데이터!F1127</f>
        <v>4</v>
      </c>
      <c r="G1127" s="3">
        <f>정규화데이터!G1127</f>
        <v>1</v>
      </c>
      <c r="H1127" s="3">
        <f>정규화데이터!H1127</f>
        <v>45500</v>
      </c>
      <c r="I1127" s="3">
        <f>정규화데이터!I1127</f>
        <v>45500</v>
      </c>
      <c r="J1127" s="3">
        <f>정규화데이터!J1127</f>
        <v>45500</v>
      </c>
      <c r="K1127" s="25" t="str">
        <f>정규화데이터!K1127</f>
        <v>[워커힐] 시그니처 양념갈비 300G</v>
      </c>
      <c r="L1127" s="25">
        <f>정규화데이터!L1127</f>
        <v>0</v>
      </c>
      <c r="M1127" s="21">
        <f t="shared" si="34"/>
        <v>45500</v>
      </c>
      <c r="N1127" s="52">
        <f t="shared" si="35"/>
        <v>1</v>
      </c>
    </row>
    <row r="1128" spans="1:14" x14ac:dyDescent="0.3">
      <c r="A1128" t="str">
        <f>정규화데이터!A1128</f>
        <v>리씽크</v>
      </c>
      <c r="B1128" t="str">
        <f>정규화데이터!B1128</f>
        <v>2026020421100830000</v>
      </c>
      <c r="C1128" t="str">
        <f>정규화데이터!C1128</f>
        <v>2026-02-04</v>
      </c>
      <c r="D1128">
        <f>정규화데이터!D1128</f>
        <v>143790</v>
      </c>
      <c r="E1128" s="16" t="str">
        <f>정규화데이터!E1128</f>
        <v>SKU001</v>
      </c>
      <c r="F1128" s="3">
        <f>정규화데이터!F1128</f>
        <v>4</v>
      </c>
      <c r="G1128" s="3">
        <f>정규화데이터!G1128</f>
        <v>1</v>
      </c>
      <c r="H1128" s="3">
        <f>정규화데이터!H1128</f>
        <v>45500</v>
      </c>
      <c r="I1128" s="3">
        <f>정규화데이터!I1128</f>
        <v>45500</v>
      </c>
      <c r="J1128" s="3">
        <f>정규화데이터!J1128</f>
        <v>45500</v>
      </c>
      <c r="K1128" s="25" t="str">
        <f>정규화데이터!K1128</f>
        <v>[워커힐] 시그니처 양념갈비 300G</v>
      </c>
      <c r="L1128" s="25">
        <f>정규화데이터!L1128</f>
        <v>0</v>
      </c>
      <c r="M1128" s="21">
        <f t="shared" si="34"/>
        <v>45500</v>
      </c>
      <c r="N1128" s="52">
        <f t="shared" si="35"/>
        <v>1</v>
      </c>
    </row>
    <row r="1129" spans="1:14" x14ac:dyDescent="0.3">
      <c r="A1129" t="str">
        <f>정규화데이터!A1129</f>
        <v>리씽크</v>
      </c>
      <c r="B1129" t="str">
        <f>정규화데이터!B1129</f>
        <v>2026020421074760000</v>
      </c>
      <c r="C1129" t="str">
        <f>정규화데이터!C1129</f>
        <v>2026-02-04</v>
      </c>
      <c r="D1129">
        <f>정규화데이터!D1129</f>
        <v>143790</v>
      </c>
      <c r="E1129" s="16" t="str">
        <f>정규화데이터!E1129</f>
        <v>SKU001</v>
      </c>
      <c r="F1129" s="3">
        <f>정규화데이터!F1129</f>
        <v>4</v>
      </c>
      <c r="G1129" s="3">
        <f>정규화데이터!G1129</f>
        <v>1</v>
      </c>
      <c r="H1129" s="3">
        <f>정규화데이터!H1129</f>
        <v>45500</v>
      </c>
      <c r="I1129" s="3">
        <f>정규화데이터!I1129</f>
        <v>45500</v>
      </c>
      <c r="J1129" s="3">
        <f>정규화데이터!J1129</f>
        <v>45500</v>
      </c>
      <c r="K1129" s="25" t="str">
        <f>정규화데이터!K1129</f>
        <v>[워커힐] 시그니처 양념갈비 300G</v>
      </c>
      <c r="L1129" s="25">
        <f>정규화데이터!L1129</f>
        <v>0</v>
      </c>
      <c r="M1129" s="21">
        <f t="shared" si="34"/>
        <v>45500</v>
      </c>
      <c r="N1129" s="52">
        <f t="shared" si="35"/>
        <v>1</v>
      </c>
    </row>
    <row r="1130" spans="1:14" x14ac:dyDescent="0.3">
      <c r="A1130" t="str">
        <f>정규화데이터!A1130</f>
        <v>리씽크</v>
      </c>
      <c r="B1130" t="str">
        <f>정규화데이터!B1130</f>
        <v>2026020420522060000</v>
      </c>
      <c r="C1130" t="str">
        <f>정규화데이터!C1130</f>
        <v>2026-02-04</v>
      </c>
      <c r="D1130">
        <f>정규화데이터!D1130</f>
        <v>143790</v>
      </c>
      <c r="E1130" s="16" t="str">
        <f>정규화데이터!E1130</f>
        <v>SKU001</v>
      </c>
      <c r="F1130" s="3">
        <f>정규화데이터!F1130</f>
        <v>4</v>
      </c>
      <c r="G1130" s="3">
        <f>정규화데이터!G1130</f>
        <v>1</v>
      </c>
      <c r="H1130" s="3">
        <f>정규화데이터!H1130</f>
        <v>45500</v>
      </c>
      <c r="I1130" s="3">
        <f>정규화데이터!I1130</f>
        <v>45500</v>
      </c>
      <c r="J1130" s="3">
        <f>정규화데이터!J1130</f>
        <v>45500</v>
      </c>
      <c r="K1130" s="25" t="str">
        <f>정규화데이터!K1130</f>
        <v>[워커힐] 시그니처 양념갈비 300G</v>
      </c>
      <c r="L1130" s="25">
        <f>정규화데이터!L1130</f>
        <v>0</v>
      </c>
      <c r="M1130" s="21">
        <f t="shared" si="34"/>
        <v>45500</v>
      </c>
      <c r="N1130" s="52">
        <f t="shared" si="35"/>
        <v>1</v>
      </c>
    </row>
    <row r="1131" spans="1:14" x14ac:dyDescent="0.3">
      <c r="A1131" t="str">
        <f>정규화데이터!A1131</f>
        <v>리씽크</v>
      </c>
      <c r="B1131" t="str">
        <f>정규화데이터!B1131</f>
        <v>2026020420522750000</v>
      </c>
      <c r="C1131" t="str">
        <f>정규화데이터!C1131</f>
        <v>2026-02-04</v>
      </c>
      <c r="D1131">
        <f>정규화데이터!D1131</f>
        <v>143790</v>
      </c>
      <c r="E1131" s="16" t="str">
        <f>정규화데이터!E1131</f>
        <v>SKU001</v>
      </c>
      <c r="F1131" s="3">
        <f>정규화데이터!F1131</f>
        <v>4</v>
      </c>
      <c r="G1131" s="3">
        <f>정규화데이터!G1131</f>
        <v>3</v>
      </c>
      <c r="H1131" s="3">
        <f>정규화데이터!H1131</f>
        <v>45500</v>
      </c>
      <c r="I1131" s="3">
        <f>정규화데이터!I1131</f>
        <v>136500</v>
      </c>
      <c r="J1131" s="3">
        <f>정규화데이터!J1131</f>
        <v>136500</v>
      </c>
      <c r="K1131" s="25" t="str">
        <f>정규화데이터!K1131</f>
        <v>[워커힐] 시그니처 양념갈비 300G</v>
      </c>
      <c r="L1131" s="25">
        <f>정규화데이터!L1131</f>
        <v>0</v>
      </c>
      <c r="M1131" s="21">
        <f t="shared" si="34"/>
        <v>136500</v>
      </c>
      <c r="N1131" s="52">
        <f t="shared" si="35"/>
        <v>1</v>
      </c>
    </row>
    <row r="1132" spans="1:14" x14ac:dyDescent="0.3">
      <c r="A1132" t="str">
        <f>정규화데이터!A1132</f>
        <v>리씽크</v>
      </c>
      <c r="B1132" t="str">
        <f>정규화데이터!B1132</f>
        <v>2026020420195450000</v>
      </c>
      <c r="C1132" t="str">
        <f>정규화데이터!C1132</f>
        <v>2026-02-04</v>
      </c>
      <c r="D1132">
        <f>정규화데이터!D1132</f>
        <v>143790</v>
      </c>
      <c r="E1132" s="16" t="str">
        <f>정규화데이터!E1132</f>
        <v>SKU001</v>
      </c>
      <c r="F1132" s="3">
        <f>정규화데이터!F1132</f>
        <v>4</v>
      </c>
      <c r="G1132" s="3">
        <f>정규화데이터!G1132</f>
        <v>1</v>
      </c>
      <c r="H1132" s="3">
        <f>정규화데이터!H1132</f>
        <v>45500</v>
      </c>
      <c r="I1132" s="3">
        <f>정규화데이터!I1132</f>
        <v>45500</v>
      </c>
      <c r="J1132" s="3">
        <f>정규화데이터!J1132</f>
        <v>45500</v>
      </c>
      <c r="K1132" s="25" t="str">
        <f>정규화데이터!K1132</f>
        <v>[워커힐] 시그니처 양념갈비 300G</v>
      </c>
      <c r="L1132" s="25">
        <f>정규화데이터!L1132</f>
        <v>0</v>
      </c>
      <c r="M1132" s="21">
        <f t="shared" si="34"/>
        <v>45500</v>
      </c>
      <c r="N1132" s="52">
        <f t="shared" si="35"/>
        <v>1</v>
      </c>
    </row>
    <row r="1133" spans="1:14" x14ac:dyDescent="0.3">
      <c r="A1133" t="str">
        <f>정규화데이터!A1133</f>
        <v>리씽크</v>
      </c>
      <c r="B1133" t="str">
        <f>정규화데이터!B1133</f>
        <v>2026020420142830000</v>
      </c>
      <c r="C1133" t="str">
        <f>정규화데이터!C1133</f>
        <v>2026-02-04</v>
      </c>
      <c r="D1133">
        <f>정규화데이터!D1133</f>
        <v>143790</v>
      </c>
      <c r="E1133" s="16" t="str">
        <f>정규화데이터!E1133</f>
        <v>SKU001</v>
      </c>
      <c r="F1133" s="3">
        <f>정규화데이터!F1133</f>
        <v>4</v>
      </c>
      <c r="G1133" s="3">
        <f>정규화데이터!G1133</f>
        <v>1</v>
      </c>
      <c r="H1133" s="3">
        <f>정규화데이터!H1133</f>
        <v>45500</v>
      </c>
      <c r="I1133" s="3">
        <f>정규화데이터!I1133</f>
        <v>45500</v>
      </c>
      <c r="J1133" s="3">
        <f>정규화데이터!J1133</f>
        <v>45500</v>
      </c>
      <c r="K1133" s="25" t="str">
        <f>정규화데이터!K1133</f>
        <v>[워커힐] 시그니처 양념갈비 300G</v>
      </c>
      <c r="L1133" s="25">
        <f>정규화데이터!L1133</f>
        <v>0</v>
      </c>
      <c r="M1133" s="21">
        <f t="shared" si="34"/>
        <v>45500</v>
      </c>
      <c r="N1133" s="52">
        <f t="shared" si="35"/>
        <v>1</v>
      </c>
    </row>
    <row r="1134" spans="1:14" x14ac:dyDescent="0.3">
      <c r="A1134" t="str">
        <f>정규화데이터!A1134</f>
        <v>리씽크</v>
      </c>
      <c r="B1134" t="str">
        <f>정규화데이터!B1134</f>
        <v>2026020510315900000</v>
      </c>
      <c r="C1134" t="str">
        <f>정규화데이터!C1134</f>
        <v>2026-02-05</v>
      </c>
      <c r="D1134">
        <f>정규화데이터!D1134</f>
        <v>143790</v>
      </c>
      <c r="E1134" s="16" t="str">
        <f>정규화데이터!E1134</f>
        <v>SKU001</v>
      </c>
      <c r="F1134" s="3">
        <f>정규화데이터!F1134</f>
        <v>4</v>
      </c>
      <c r="G1134" s="3">
        <f>정규화데이터!G1134</f>
        <v>1</v>
      </c>
      <c r="H1134" s="3">
        <f>정규화데이터!H1134</f>
        <v>63000</v>
      </c>
      <c r="I1134" s="3">
        <f>정규화데이터!I1134</f>
        <v>63000</v>
      </c>
      <c r="J1134" s="3">
        <f>정규화데이터!J1134</f>
        <v>63000</v>
      </c>
      <c r="K1134" s="25" t="str">
        <f>정규화데이터!K1134</f>
        <v>[워커힐] 시그니처 양념갈비 300G</v>
      </c>
      <c r="L1134" s="25" t="e">
        <f>정규화데이터!L1134</f>
        <v>#VALUE!</v>
      </c>
      <c r="M1134" s="21" t="e">
        <f t="shared" si="34"/>
        <v>#VALUE!</v>
      </c>
      <c r="N1134" s="52" t="e">
        <f t="shared" si="35"/>
        <v>#VALUE!</v>
      </c>
    </row>
    <row r="1135" spans="1:14" x14ac:dyDescent="0.3">
      <c r="A1135" t="str">
        <f>정규화데이터!A1135</f>
        <v>리씽크</v>
      </c>
      <c r="B1135" t="str">
        <f>정규화데이터!B1135</f>
        <v>2026020510422710000</v>
      </c>
      <c r="C1135" t="str">
        <f>정규화데이터!C1135</f>
        <v>2026-02-05</v>
      </c>
      <c r="D1135">
        <f>정규화데이터!D1135</f>
        <v>143790</v>
      </c>
      <c r="E1135" s="16" t="str">
        <f>정규화데이터!E1135</f>
        <v>SKU001</v>
      </c>
      <c r="F1135" s="3">
        <f>정규화데이터!F1135</f>
        <v>4</v>
      </c>
      <c r="G1135" s="3">
        <f>정규화데이터!G1135</f>
        <v>1</v>
      </c>
      <c r="H1135" s="3">
        <f>정규화데이터!H1135</f>
        <v>63000</v>
      </c>
      <c r="I1135" s="3">
        <f>정규화데이터!I1135</f>
        <v>63000</v>
      </c>
      <c r="J1135" s="3">
        <f>정규화데이터!J1135</f>
        <v>63000</v>
      </c>
      <c r="K1135" s="25" t="str">
        <f>정규화데이터!K1135</f>
        <v>[워커힐] 시그니처 양념갈비 300G</v>
      </c>
      <c r="L1135" s="25" t="e">
        <f>정규화데이터!L1135</f>
        <v>#VALUE!</v>
      </c>
      <c r="M1135" s="21" t="e">
        <f t="shared" si="34"/>
        <v>#VALUE!</v>
      </c>
      <c r="N1135" s="52" t="e">
        <f t="shared" si="35"/>
        <v>#VALUE!</v>
      </c>
    </row>
    <row r="1136" spans="1:14" x14ac:dyDescent="0.3">
      <c r="A1136" t="str">
        <f>정규화데이터!A1136</f>
        <v>리씽크</v>
      </c>
      <c r="B1136" t="str">
        <f>정규화데이터!B1136</f>
        <v>2026020510383150000</v>
      </c>
      <c r="C1136" t="str">
        <f>정규화데이터!C1136</f>
        <v>2026-02-05</v>
      </c>
      <c r="D1136">
        <f>정규화데이터!D1136</f>
        <v>143790</v>
      </c>
      <c r="E1136" s="16" t="str">
        <f>정규화데이터!E1136</f>
        <v>SKU001</v>
      </c>
      <c r="F1136" s="3">
        <f>정규화데이터!F1136</f>
        <v>4</v>
      </c>
      <c r="G1136" s="3">
        <f>정규화데이터!G1136</f>
        <v>1</v>
      </c>
      <c r="H1136" s="3">
        <f>정규화데이터!H1136</f>
        <v>63000</v>
      </c>
      <c r="I1136" s="3">
        <f>정규화데이터!I1136</f>
        <v>63000</v>
      </c>
      <c r="J1136" s="3">
        <f>정규화데이터!J1136</f>
        <v>63000</v>
      </c>
      <c r="K1136" s="25" t="str">
        <f>정규화데이터!K1136</f>
        <v>[워커힐] 시그니처 양념갈비 300G</v>
      </c>
      <c r="L1136" s="25" t="e">
        <f>정규화데이터!L1136</f>
        <v>#VALUE!</v>
      </c>
      <c r="M1136" s="21" t="e">
        <f t="shared" si="34"/>
        <v>#VALUE!</v>
      </c>
      <c r="N1136" s="52" t="e">
        <f t="shared" si="35"/>
        <v>#VALUE!</v>
      </c>
    </row>
    <row r="1137" spans="1:14" x14ac:dyDescent="0.3">
      <c r="A1137" t="str">
        <f>정규화데이터!A1137</f>
        <v>리씽크</v>
      </c>
      <c r="B1137" t="str">
        <f>정규화데이터!B1137</f>
        <v>2026020509335120000</v>
      </c>
      <c r="C1137" t="str">
        <f>정규화데이터!C1137</f>
        <v>2026-02-05</v>
      </c>
      <c r="D1137">
        <f>정규화데이터!D1137</f>
        <v>143790</v>
      </c>
      <c r="E1137" s="16" t="str">
        <f>정규화데이터!E1137</f>
        <v>SKU001</v>
      </c>
      <c r="F1137" s="3">
        <f>정규화데이터!F1137</f>
        <v>4</v>
      </c>
      <c r="G1137" s="3">
        <f>정규화데이터!G1137</f>
        <v>1</v>
      </c>
      <c r="H1137" s="3">
        <f>정규화데이터!H1137</f>
        <v>63000</v>
      </c>
      <c r="I1137" s="3">
        <f>정규화데이터!I1137</f>
        <v>63000</v>
      </c>
      <c r="J1137" s="3">
        <f>정규화데이터!J1137</f>
        <v>63000</v>
      </c>
      <c r="K1137" s="25" t="str">
        <f>정규화데이터!K1137</f>
        <v>[워커힐] 시그니처 양념갈비 300G</v>
      </c>
      <c r="L1137" s="25" t="e">
        <f>정규화데이터!L1137</f>
        <v>#VALUE!</v>
      </c>
      <c r="M1137" s="21" t="e">
        <f t="shared" si="34"/>
        <v>#VALUE!</v>
      </c>
      <c r="N1137" s="52" t="e">
        <f t="shared" si="35"/>
        <v>#VALUE!</v>
      </c>
    </row>
    <row r="1138" spans="1:14" x14ac:dyDescent="0.3">
      <c r="A1138" t="str">
        <f>정규화데이터!A1138</f>
        <v>리씽크</v>
      </c>
      <c r="B1138" t="str">
        <f>정규화데이터!B1138</f>
        <v>2026020509093110000</v>
      </c>
      <c r="C1138" t="str">
        <f>정규화데이터!C1138</f>
        <v>2026-02-05</v>
      </c>
      <c r="D1138">
        <f>정규화데이터!D1138</f>
        <v>143790</v>
      </c>
      <c r="E1138" s="16" t="str">
        <f>정규화데이터!E1138</f>
        <v>SKU001</v>
      </c>
      <c r="F1138" s="3">
        <f>정규화데이터!F1138</f>
        <v>4</v>
      </c>
      <c r="G1138" s="3">
        <f>정규화데이터!G1138</f>
        <v>1</v>
      </c>
      <c r="H1138" s="3">
        <f>정규화데이터!H1138</f>
        <v>63000</v>
      </c>
      <c r="I1138" s="3">
        <f>정규화데이터!I1138</f>
        <v>63000</v>
      </c>
      <c r="J1138" s="3">
        <f>정규화데이터!J1138</f>
        <v>63000</v>
      </c>
      <c r="K1138" s="25" t="str">
        <f>정규화데이터!K1138</f>
        <v>[워커힐] 시그니처 양념갈비 300G</v>
      </c>
      <c r="L1138" s="25" t="e">
        <f>정규화데이터!L1138</f>
        <v>#VALUE!</v>
      </c>
      <c r="M1138" s="21" t="e">
        <f t="shared" si="34"/>
        <v>#VALUE!</v>
      </c>
      <c r="N1138" s="52" t="e">
        <f t="shared" si="35"/>
        <v>#VALUE!</v>
      </c>
    </row>
    <row r="1139" spans="1:14" x14ac:dyDescent="0.3">
      <c r="A1139" t="str">
        <f>정규화데이터!A1139</f>
        <v>리씽크</v>
      </c>
      <c r="B1139" t="str">
        <f>정규화데이터!B1139</f>
        <v>2026020508550790000</v>
      </c>
      <c r="C1139" t="str">
        <f>정규화데이터!C1139</f>
        <v>2026-02-05</v>
      </c>
      <c r="D1139">
        <f>정규화데이터!D1139</f>
        <v>143790</v>
      </c>
      <c r="E1139" s="16" t="str">
        <f>정규화데이터!E1139</f>
        <v>SKU001</v>
      </c>
      <c r="F1139" s="3">
        <f>정규화데이터!F1139</f>
        <v>4</v>
      </c>
      <c r="G1139" s="3">
        <f>정규화데이터!G1139</f>
        <v>1</v>
      </c>
      <c r="H1139" s="3">
        <f>정규화데이터!H1139</f>
        <v>63000</v>
      </c>
      <c r="I1139" s="3">
        <f>정규화데이터!I1139</f>
        <v>63000</v>
      </c>
      <c r="J1139" s="3">
        <f>정규화데이터!J1139</f>
        <v>63000</v>
      </c>
      <c r="K1139" s="25" t="str">
        <f>정규화데이터!K1139</f>
        <v>[워커힐] 시그니처 양념갈비 300G</v>
      </c>
      <c r="L1139" s="25" t="e">
        <f>정규화데이터!L1139</f>
        <v>#VALUE!</v>
      </c>
      <c r="M1139" s="21" t="e">
        <f t="shared" si="34"/>
        <v>#VALUE!</v>
      </c>
      <c r="N1139" s="52" t="e">
        <f t="shared" si="35"/>
        <v>#VALUE!</v>
      </c>
    </row>
    <row r="1140" spans="1:14" x14ac:dyDescent="0.3">
      <c r="A1140" t="str">
        <f>정규화데이터!A1140</f>
        <v>리씽크</v>
      </c>
      <c r="B1140" t="str">
        <f>정규화데이터!B1140</f>
        <v>2026020508352200000</v>
      </c>
      <c r="C1140" t="str">
        <f>정규화데이터!C1140</f>
        <v>2026-02-05</v>
      </c>
      <c r="D1140">
        <f>정규화데이터!D1140</f>
        <v>143790</v>
      </c>
      <c r="E1140" s="16" t="str">
        <f>정규화데이터!E1140</f>
        <v>SKU001</v>
      </c>
      <c r="F1140" s="3">
        <f>정규화데이터!F1140</f>
        <v>4</v>
      </c>
      <c r="G1140" s="3">
        <f>정규화데이터!G1140</f>
        <v>1</v>
      </c>
      <c r="H1140" s="3">
        <f>정규화데이터!H1140</f>
        <v>63000</v>
      </c>
      <c r="I1140" s="3">
        <f>정규화데이터!I1140</f>
        <v>63000</v>
      </c>
      <c r="J1140" s="3">
        <f>정규화데이터!J1140</f>
        <v>63000</v>
      </c>
      <c r="K1140" s="25" t="str">
        <f>정규화데이터!K1140</f>
        <v>[워커힐] 시그니처 양념갈비 300G</v>
      </c>
      <c r="L1140" s="25" t="e">
        <f>정규화데이터!L1140</f>
        <v>#VALUE!</v>
      </c>
      <c r="M1140" s="21" t="e">
        <f t="shared" si="34"/>
        <v>#VALUE!</v>
      </c>
      <c r="N1140" s="52" t="e">
        <f t="shared" si="35"/>
        <v>#VALUE!</v>
      </c>
    </row>
    <row r="1141" spans="1:14" x14ac:dyDescent="0.3">
      <c r="A1141" t="str">
        <f>정규화데이터!A1141</f>
        <v>리씽크</v>
      </c>
      <c r="B1141" t="str">
        <f>정규화데이터!B1141</f>
        <v>2026020508240120000</v>
      </c>
      <c r="C1141" t="str">
        <f>정규화데이터!C1141</f>
        <v>2026-02-05</v>
      </c>
      <c r="D1141">
        <f>정규화데이터!D1141</f>
        <v>143790</v>
      </c>
      <c r="E1141" s="16" t="str">
        <f>정규화데이터!E1141</f>
        <v>SKU001</v>
      </c>
      <c r="F1141" s="3">
        <f>정규화데이터!F1141</f>
        <v>4</v>
      </c>
      <c r="G1141" s="3">
        <f>정규화데이터!G1141</f>
        <v>1</v>
      </c>
      <c r="H1141" s="3">
        <f>정규화데이터!H1141</f>
        <v>63000</v>
      </c>
      <c r="I1141" s="3">
        <f>정규화데이터!I1141</f>
        <v>63000</v>
      </c>
      <c r="J1141" s="3">
        <f>정규화데이터!J1141</f>
        <v>63000</v>
      </c>
      <c r="K1141" s="25" t="str">
        <f>정규화데이터!K1141</f>
        <v>[워커힐] 시그니처 양념갈비 300G</v>
      </c>
      <c r="L1141" s="25" t="e">
        <f>정규화데이터!L1141</f>
        <v>#VALUE!</v>
      </c>
      <c r="M1141" s="21" t="e">
        <f t="shared" si="34"/>
        <v>#VALUE!</v>
      </c>
      <c r="N1141" s="52" t="e">
        <f t="shared" si="35"/>
        <v>#VALUE!</v>
      </c>
    </row>
    <row r="1142" spans="1:14" x14ac:dyDescent="0.3">
      <c r="A1142" t="str">
        <f>정규화데이터!A1142</f>
        <v>리씽크</v>
      </c>
      <c r="B1142" t="str">
        <f>정규화데이터!B1142</f>
        <v>2026020508225670000</v>
      </c>
      <c r="C1142" t="str">
        <f>정규화데이터!C1142</f>
        <v>2026-02-05</v>
      </c>
      <c r="D1142">
        <f>정규화데이터!D1142</f>
        <v>143790</v>
      </c>
      <c r="E1142" s="16" t="str">
        <f>정규화데이터!E1142</f>
        <v>SKU001</v>
      </c>
      <c r="F1142" s="3">
        <f>정규화데이터!F1142</f>
        <v>4</v>
      </c>
      <c r="G1142" s="3">
        <f>정규화데이터!G1142</f>
        <v>1</v>
      </c>
      <c r="H1142" s="3">
        <f>정규화데이터!H1142</f>
        <v>63000</v>
      </c>
      <c r="I1142" s="3">
        <f>정규화데이터!I1142</f>
        <v>63000</v>
      </c>
      <c r="J1142" s="3">
        <f>정규화데이터!J1142</f>
        <v>63000</v>
      </c>
      <c r="K1142" s="25" t="str">
        <f>정규화데이터!K1142</f>
        <v>[워커힐] 시그니처 양념갈비 300G</v>
      </c>
      <c r="L1142" s="25" t="e">
        <f>정규화데이터!L1142</f>
        <v>#VALUE!</v>
      </c>
      <c r="M1142" s="21" t="e">
        <f t="shared" si="34"/>
        <v>#VALUE!</v>
      </c>
      <c r="N1142" s="52" t="e">
        <f t="shared" si="35"/>
        <v>#VALUE!</v>
      </c>
    </row>
    <row r="1143" spans="1:14" x14ac:dyDescent="0.3">
      <c r="A1143" t="str">
        <f>정규화데이터!A1143</f>
        <v>리씽크</v>
      </c>
      <c r="B1143" t="str">
        <f>정규화데이터!B1143</f>
        <v>2026020508173590000</v>
      </c>
      <c r="C1143" t="str">
        <f>정규화데이터!C1143</f>
        <v>2026-02-05</v>
      </c>
      <c r="D1143">
        <f>정규화데이터!D1143</f>
        <v>143790</v>
      </c>
      <c r="E1143" s="16" t="str">
        <f>정규화데이터!E1143</f>
        <v>SKU001</v>
      </c>
      <c r="F1143" s="3">
        <f>정규화데이터!F1143</f>
        <v>4</v>
      </c>
      <c r="G1143" s="3">
        <f>정규화데이터!G1143</f>
        <v>1</v>
      </c>
      <c r="H1143" s="3">
        <f>정규화데이터!H1143</f>
        <v>63000</v>
      </c>
      <c r="I1143" s="3">
        <f>정규화데이터!I1143</f>
        <v>63000</v>
      </c>
      <c r="J1143" s="3">
        <f>정규화데이터!J1143</f>
        <v>63000</v>
      </c>
      <c r="K1143" s="25" t="str">
        <f>정규화데이터!K1143</f>
        <v>[워커힐] 시그니처 양념갈비 300G</v>
      </c>
      <c r="L1143" s="25" t="e">
        <f>정규화데이터!L1143</f>
        <v>#VALUE!</v>
      </c>
      <c r="M1143" s="21" t="e">
        <f t="shared" si="34"/>
        <v>#VALUE!</v>
      </c>
      <c r="N1143" s="52" t="e">
        <f t="shared" si="35"/>
        <v>#VALUE!</v>
      </c>
    </row>
    <row r="1144" spans="1:14" x14ac:dyDescent="0.3">
      <c r="A1144" t="str">
        <f>정규화데이터!A1144</f>
        <v>리씽크</v>
      </c>
      <c r="B1144" t="str">
        <f>정규화데이터!B1144</f>
        <v>2026020508113900000</v>
      </c>
      <c r="C1144" t="str">
        <f>정규화데이터!C1144</f>
        <v>2026-02-05</v>
      </c>
      <c r="D1144">
        <f>정규화데이터!D1144</f>
        <v>143790</v>
      </c>
      <c r="E1144" s="16" t="str">
        <f>정규화데이터!E1144</f>
        <v>SKU001</v>
      </c>
      <c r="F1144" s="3">
        <f>정규화데이터!F1144</f>
        <v>4</v>
      </c>
      <c r="G1144" s="3">
        <f>정규화데이터!G1144</f>
        <v>1</v>
      </c>
      <c r="H1144" s="3">
        <f>정규화데이터!H1144</f>
        <v>63000</v>
      </c>
      <c r="I1144" s="3">
        <f>정규화데이터!I1144</f>
        <v>63000</v>
      </c>
      <c r="J1144" s="3">
        <f>정규화데이터!J1144</f>
        <v>63000</v>
      </c>
      <c r="K1144" s="25" t="str">
        <f>정규화데이터!K1144</f>
        <v>[워커힐] 시그니처 양념갈비 300G</v>
      </c>
      <c r="L1144" s="25" t="e">
        <f>정규화데이터!L1144</f>
        <v>#VALUE!</v>
      </c>
      <c r="M1144" s="21" t="e">
        <f t="shared" si="34"/>
        <v>#VALUE!</v>
      </c>
      <c r="N1144" s="52" t="e">
        <f t="shared" si="35"/>
        <v>#VALUE!</v>
      </c>
    </row>
    <row r="1145" spans="1:14" x14ac:dyDescent="0.3">
      <c r="A1145" t="str">
        <f>정규화데이터!A1145</f>
        <v>리씽크</v>
      </c>
      <c r="B1145" t="str">
        <f>정규화데이터!B1145</f>
        <v>2026020508073880000</v>
      </c>
      <c r="C1145" t="str">
        <f>정규화데이터!C1145</f>
        <v>2026-02-05</v>
      </c>
      <c r="D1145">
        <f>정규화데이터!D1145</f>
        <v>143790</v>
      </c>
      <c r="E1145" s="16" t="str">
        <f>정규화데이터!E1145</f>
        <v>SKU001</v>
      </c>
      <c r="F1145" s="3">
        <f>정규화데이터!F1145</f>
        <v>4</v>
      </c>
      <c r="G1145" s="3">
        <f>정규화데이터!G1145</f>
        <v>1</v>
      </c>
      <c r="H1145" s="3">
        <f>정규화데이터!H1145</f>
        <v>63000</v>
      </c>
      <c r="I1145" s="3">
        <f>정규화데이터!I1145</f>
        <v>63000</v>
      </c>
      <c r="J1145" s="3">
        <f>정규화데이터!J1145</f>
        <v>63000</v>
      </c>
      <c r="K1145" s="25" t="str">
        <f>정규화데이터!K1145</f>
        <v>[워커힐] 시그니처 양념갈비 300G</v>
      </c>
      <c r="L1145" s="25" t="e">
        <f>정규화데이터!L1145</f>
        <v>#VALUE!</v>
      </c>
      <c r="M1145" s="21" t="e">
        <f t="shared" si="34"/>
        <v>#VALUE!</v>
      </c>
      <c r="N1145" s="52" t="e">
        <f t="shared" si="35"/>
        <v>#VALUE!</v>
      </c>
    </row>
    <row r="1146" spans="1:14" x14ac:dyDescent="0.3">
      <c r="A1146" t="str">
        <f>정규화데이터!A1146</f>
        <v>리씽크</v>
      </c>
      <c r="B1146" t="str">
        <f>정규화데이터!B1146</f>
        <v>2026020508034110000</v>
      </c>
      <c r="C1146" t="str">
        <f>정규화데이터!C1146</f>
        <v>2026-02-05</v>
      </c>
      <c r="D1146">
        <f>정규화데이터!D1146</f>
        <v>143790</v>
      </c>
      <c r="E1146" s="16" t="str">
        <f>정규화데이터!E1146</f>
        <v>SKU001</v>
      </c>
      <c r="F1146" s="3">
        <f>정규화데이터!F1146</f>
        <v>4</v>
      </c>
      <c r="G1146" s="3">
        <f>정규화데이터!G1146</f>
        <v>1</v>
      </c>
      <c r="H1146" s="3">
        <f>정규화데이터!H1146</f>
        <v>63000</v>
      </c>
      <c r="I1146" s="3">
        <f>정규화데이터!I1146</f>
        <v>63000</v>
      </c>
      <c r="J1146" s="3">
        <f>정규화데이터!J1146</f>
        <v>63000</v>
      </c>
      <c r="K1146" s="25" t="str">
        <f>정규화데이터!K1146</f>
        <v>[워커힐] 시그니처 양념갈비 300G</v>
      </c>
      <c r="L1146" s="25" t="e">
        <f>정규화데이터!L1146</f>
        <v>#VALUE!</v>
      </c>
      <c r="M1146" s="21" t="e">
        <f t="shared" si="34"/>
        <v>#VALUE!</v>
      </c>
      <c r="N1146" s="52" t="e">
        <f t="shared" si="35"/>
        <v>#VALUE!</v>
      </c>
    </row>
    <row r="1147" spans="1:14" x14ac:dyDescent="0.3">
      <c r="A1147" t="str">
        <f>정규화데이터!A1147</f>
        <v>리씽크</v>
      </c>
      <c r="B1147" t="str">
        <f>정규화데이터!B1147</f>
        <v>2026020508033540000</v>
      </c>
      <c r="C1147" t="str">
        <f>정규화데이터!C1147</f>
        <v>2026-02-05</v>
      </c>
      <c r="D1147">
        <f>정규화데이터!D1147</f>
        <v>143790</v>
      </c>
      <c r="E1147" s="16" t="str">
        <f>정규화데이터!E1147</f>
        <v>SKU001</v>
      </c>
      <c r="F1147" s="3">
        <f>정규화데이터!F1147</f>
        <v>4</v>
      </c>
      <c r="G1147" s="3">
        <f>정규화데이터!G1147</f>
        <v>1</v>
      </c>
      <c r="H1147" s="3">
        <f>정규화데이터!H1147</f>
        <v>63000</v>
      </c>
      <c r="I1147" s="3">
        <f>정규화데이터!I1147</f>
        <v>63000</v>
      </c>
      <c r="J1147" s="3">
        <f>정규화데이터!J1147</f>
        <v>63000</v>
      </c>
      <c r="K1147" s="25" t="str">
        <f>정규화데이터!K1147</f>
        <v>[워커힐] 시그니처 양념갈비 300G</v>
      </c>
      <c r="L1147" s="25" t="e">
        <f>정규화데이터!L1147</f>
        <v>#VALUE!</v>
      </c>
      <c r="M1147" s="21" t="e">
        <f t="shared" si="34"/>
        <v>#VALUE!</v>
      </c>
      <c r="N1147" s="52" t="e">
        <f t="shared" si="35"/>
        <v>#VALUE!</v>
      </c>
    </row>
    <row r="1148" spans="1:14" x14ac:dyDescent="0.3">
      <c r="A1148" t="str">
        <f>정규화데이터!A1148</f>
        <v>리씽크</v>
      </c>
      <c r="B1148" t="str">
        <f>정규화데이터!B1148</f>
        <v>2026020508013670000</v>
      </c>
      <c r="C1148" t="str">
        <f>정규화데이터!C1148</f>
        <v>2026-02-05</v>
      </c>
      <c r="D1148">
        <f>정규화데이터!D1148</f>
        <v>143790</v>
      </c>
      <c r="E1148" s="16" t="str">
        <f>정규화데이터!E1148</f>
        <v>SKU001</v>
      </c>
      <c r="F1148" s="3">
        <f>정규화데이터!F1148</f>
        <v>4</v>
      </c>
      <c r="G1148" s="3">
        <f>정규화데이터!G1148</f>
        <v>1</v>
      </c>
      <c r="H1148" s="3">
        <f>정규화데이터!H1148</f>
        <v>63000</v>
      </c>
      <c r="I1148" s="3">
        <f>정규화데이터!I1148</f>
        <v>63000</v>
      </c>
      <c r="J1148" s="3">
        <f>정규화데이터!J1148</f>
        <v>63000</v>
      </c>
      <c r="K1148" s="25" t="str">
        <f>정규화데이터!K1148</f>
        <v>[워커힐] 시그니처 양념갈비 300G</v>
      </c>
      <c r="L1148" s="25" t="e">
        <f>정규화데이터!L1148</f>
        <v>#VALUE!</v>
      </c>
      <c r="M1148" s="21" t="e">
        <f t="shared" si="34"/>
        <v>#VALUE!</v>
      </c>
      <c r="N1148" s="52" t="e">
        <f t="shared" si="35"/>
        <v>#VALUE!</v>
      </c>
    </row>
    <row r="1149" spans="1:14" x14ac:dyDescent="0.3">
      <c r="A1149" t="str">
        <f>정규화데이터!A1149</f>
        <v>리씽크</v>
      </c>
      <c r="B1149" t="str">
        <f>정규화데이터!B1149</f>
        <v>2026020507574980000</v>
      </c>
      <c r="C1149" t="str">
        <f>정규화데이터!C1149</f>
        <v>2026-02-05</v>
      </c>
      <c r="D1149">
        <f>정규화데이터!D1149</f>
        <v>143790</v>
      </c>
      <c r="E1149" s="16" t="str">
        <f>정규화데이터!E1149</f>
        <v>SKU001</v>
      </c>
      <c r="F1149" s="3">
        <f>정규화데이터!F1149</f>
        <v>4</v>
      </c>
      <c r="G1149" s="3">
        <f>정규화데이터!G1149</f>
        <v>1</v>
      </c>
      <c r="H1149" s="3">
        <f>정규화데이터!H1149</f>
        <v>63000</v>
      </c>
      <c r="I1149" s="3">
        <f>정규화데이터!I1149</f>
        <v>63000</v>
      </c>
      <c r="J1149" s="3">
        <f>정규화데이터!J1149</f>
        <v>63000</v>
      </c>
      <c r="K1149" s="25" t="str">
        <f>정규화데이터!K1149</f>
        <v>[워커힐] 시그니처 양념갈비 300G</v>
      </c>
      <c r="L1149" s="25" t="e">
        <f>정규화데이터!L1149</f>
        <v>#VALUE!</v>
      </c>
      <c r="M1149" s="21" t="e">
        <f t="shared" si="34"/>
        <v>#VALUE!</v>
      </c>
      <c r="N1149" s="52" t="e">
        <f t="shared" si="35"/>
        <v>#VALUE!</v>
      </c>
    </row>
    <row r="1150" spans="1:14" x14ac:dyDescent="0.3">
      <c r="A1150" t="str">
        <f>정규화데이터!A1150</f>
        <v>리씽크</v>
      </c>
      <c r="B1150" t="str">
        <f>정규화데이터!B1150</f>
        <v>2026020507594190000</v>
      </c>
      <c r="C1150" t="str">
        <f>정규화데이터!C1150</f>
        <v>2026-02-05</v>
      </c>
      <c r="D1150">
        <f>정규화데이터!D1150</f>
        <v>143790</v>
      </c>
      <c r="E1150" s="16" t="str">
        <f>정규화데이터!E1150</f>
        <v>SKU001</v>
      </c>
      <c r="F1150" s="3">
        <f>정규화데이터!F1150</f>
        <v>4</v>
      </c>
      <c r="G1150" s="3">
        <f>정규화데이터!G1150</f>
        <v>1</v>
      </c>
      <c r="H1150" s="3">
        <f>정규화데이터!H1150</f>
        <v>63000</v>
      </c>
      <c r="I1150" s="3">
        <f>정규화데이터!I1150</f>
        <v>63000</v>
      </c>
      <c r="J1150" s="3">
        <f>정규화데이터!J1150</f>
        <v>63000</v>
      </c>
      <c r="K1150" s="25" t="str">
        <f>정규화데이터!K1150</f>
        <v>[워커힐] 시그니처 양념갈비 300G</v>
      </c>
      <c r="L1150" s="25" t="e">
        <f>정규화데이터!L1150</f>
        <v>#VALUE!</v>
      </c>
      <c r="M1150" s="21" t="e">
        <f t="shared" si="34"/>
        <v>#VALUE!</v>
      </c>
      <c r="N1150" s="52" t="e">
        <f t="shared" si="35"/>
        <v>#VALUE!</v>
      </c>
    </row>
    <row r="1151" spans="1:14" x14ac:dyDescent="0.3">
      <c r="A1151" t="str">
        <f>정규화데이터!A1151</f>
        <v>리씽크</v>
      </c>
      <c r="B1151" t="str">
        <f>정규화데이터!B1151</f>
        <v>2026020507562450000</v>
      </c>
      <c r="C1151" t="str">
        <f>정규화데이터!C1151</f>
        <v>2026-02-05</v>
      </c>
      <c r="D1151">
        <f>정규화데이터!D1151</f>
        <v>143790</v>
      </c>
      <c r="E1151" s="16" t="str">
        <f>정규화데이터!E1151</f>
        <v>SKU001</v>
      </c>
      <c r="F1151" s="3">
        <f>정규화데이터!F1151</f>
        <v>4</v>
      </c>
      <c r="G1151" s="3">
        <f>정규화데이터!G1151</f>
        <v>1</v>
      </c>
      <c r="H1151" s="3">
        <f>정규화데이터!H1151</f>
        <v>63000</v>
      </c>
      <c r="I1151" s="3">
        <f>정규화데이터!I1151</f>
        <v>63000</v>
      </c>
      <c r="J1151" s="3">
        <f>정규화데이터!J1151</f>
        <v>63000</v>
      </c>
      <c r="K1151" s="25" t="str">
        <f>정규화데이터!K1151</f>
        <v>[워커힐] 시그니처 양념갈비 300G</v>
      </c>
      <c r="L1151" s="25" t="e">
        <f>정규화데이터!L1151</f>
        <v>#VALUE!</v>
      </c>
      <c r="M1151" s="21" t="e">
        <f t="shared" si="34"/>
        <v>#VALUE!</v>
      </c>
      <c r="N1151" s="52" t="e">
        <f t="shared" si="35"/>
        <v>#VALUE!</v>
      </c>
    </row>
    <row r="1152" spans="1:14" x14ac:dyDescent="0.3">
      <c r="A1152" t="str">
        <f>정규화데이터!A1152</f>
        <v>리씽크</v>
      </c>
      <c r="B1152" t="str">
        <f>정규화데이터!B1152</f>
        <v>2026020507583120000</v>
      </c>
      <c r="C1152" t="str">
        <f>정규화데이터!C1152</f>
        <v>2026-02-05</v>
      </c>
      <c r="D1152">
        <f>정규화데이터!D1152</f>
        <v>143790</v>
      </c>
      <c r="E1152" s="16" t="str">
        <f>정규화데이터!E1152</f>
        <v>SKU001</v>
      </c>
      <c r="F1152" s="3">
        <f>정규화데이터!F1152</f>
        <v>4</v>
      </c>
      <c r="G1152" s="3">
        <f>정규화데이터!G1152</f>
        <v>1</v>
      </c>
      <c r="H1152" s="3">
        <f>정규화데이터!H1152</f>
        <v>63000</v>
      </c>
      <c r="I1152" s="3">
        <f>정규화데이터!I1152</f>
        <v>63000</v>
      </c>
      <c r="J1152" s="3">
        <f>정규화데이터!J1152</f>
        <v>63000</v>
      </c>
      <c r="K1152" s="25" t="str">
        <f>정규화데이터!K1152</f>
        <v>[워커힐] 시그니처 양념갈비 300G</v>
      </c>
      <c r="L1152" s="25" t="e">
        <f>정규화데이터!L1152</f>
        <v>#VALUE!</v>
      </c>
      <c r="M1152" s="21" t="e">
        <f t="shared" si="34"/>
        <v>#VALUE!</v>
      </c>
      <c r="N1152" s="52" t="e">
        <f t="shared" si="35"/>
        <v>#VALUE!</v>
      </c>
    </row>
    <row r="1153" spans="1:14" x14ac:dyDescent="0.3">
      <c r="A1153" t="str">
        <f>정규화데이터!A1153</f>
        <v>리씽크</v>
      </c>
      <c r="B1153" t="str">
        <f>정규화데이터!B1153</f>
        <v>2026020507562670000</v>
      </c>
      <c r="C1153" t="str">
        <f>정규화데이터!C1153</f>
        <v>2026-02-05</v>
      </c>
      <c r="D1153">
        <f>정규화데이터!D1153</f>
        <v>143790</v>
      </c>
      <c r="E1153" s="16" t="str">
        <f>정규화데이터!E1153</f>
        <v>SKU001</v>
      </c>
      <c r="F1153" s="3">
        <f>정규화데이터!F1153</f>
        <v>4</v>
      </c>
      <c r="G1153" s="3">
        <f>정규화데이터!G1153</f>
        <v>1</v>
      </c>
      <c r="H1153" s="3">
        <f>정규화데이터!H1153</f>
        <v>63000</v>
      </c>
      <c r="I1153" s="3">
        <f>정규화데이터!I1153</f>
        <v>63000</v>
      </c>
      <c r="J1153" s="3">
        <f>정규화데이터!J1153</f>
        <v>63000</v>
      </c>
      <c r="K1153" s="25" t="str">
        <f>정규화데이터!K1153</f>
        <v>[워커힐] 시그니처 양념갈비 300G</v>
      </c>
      <c r="L1153" s="25" t="e">
        <f>정규화데이터!L1153</f>
        <v>#VALUE!</v>
      </c>
      <c r="M1153" s="21" t="e">
        <f t="shared" si="34"/>
        <v>#VALUE!</v>
      </c>
      <c r="N1153" s="52" t="e">
        <f t="shared" si="35"/>
        <v>#VALUE!</v>
      </c>
    </row>
    <row r="1154" spans="1:14" x14ac:dyDescent="0.3">
      <c r="A1154" t="str">
        <f>정규화데이터!A1154</f>
        <v>리씽크</v>
      </c>
      <c r="B1154" t="str">
        <f>정규화데이터!B1154</f>
        <v>2026020507472550000</v>
      </c>
      <c r="C1154" t="str">
        <f>정규화데이터!C1154</f>
        <v>2026-02-05</v>
      </c>
      <c r="D1154">
        <f>정규화데이터!D1154</f>
        <v>143790</v>
      </c>
      <c r="E1154" s="16" t="str">
        <f>정규화데이터!E1154</f>
        <v>SKU001</v>
      </c>
      <c r="F1154" s="3">
        <f>정규화데이터!F1154</f>
        <v>4</v>
      </c>
      <c r="G1154" s="3">
        <f>정규화데이터!G1154</f>
        <v>1</v>
      </c>
      <c r="H1154" s="3">
        <f>정규화데이터!H1154</f>
        <v>63000</v>
      </c>
      <c r="I1154" s="3">
        <f>정규화데이터!I1154</f>
        <v>63000</v>
      </c>
      <c r="J1154" s="3">
        <f>정규화데이터!J1154</f>
        <v>63000</v>
      </c>
      <c r="K1154" s="25" t="str">
        <f>정규화데이터!K1154</f>
        <v>[워커힐] 시그니처 양념갈비 300G</v>
      </c>
      <c r="L1154" s="25" t="e">
        <f>정규화데이터!L1154</f>
        <v>#VALUE!</v>
      </c>
      <c r="M1154" s="21" t="e">
        <f t="shared" ref="M1154:M1217" si="36">J1154-L1154</f>
        <v>#VALUE!</v>
      </c>
      <c r="N1154" s="52" t="e">
        <f t="shared" ref="N1154:N1217" si="37">IF(J1154=0,0,M1154/J1154)</f>
        <v>#VALUE!</v>
      </c>
    </row>
    <row r="1155" spans="1:14" x14ac:dyDescent="0.3">
      <c r="A1155" t="str">
        <f>정규화데이터!A1155</f>
        <v>리씽크</v>
      </c>
      <c r="B1155" t="str">
        <f>정규화데이터!B1155</f>
        <v>2026020507101300000</v>
      </c>
      <c r="C1155" t="str">
        <f>정규화데이터!C1155</f>
        <v>2026-02-05</v>
      </c>
      <c r="D1155">
        <f>정규화데이터!D1155</f>
        <v>143790</v>
      </c>
      <c r="E1155" s="16" t="str">
        <f>정규화데이터!E1155</f>
        <v>SKU001</v>
      </c>
      <c r="F1155" s="3">
        <f>정규화데이터!F1155</f>
        <v>4</v>
      </c>
      <c r="G1155" s="3">
        <f>정규화데이터!G1155</f>
        <v>2</v>
      </c>
      <c r="H1155" s="3">
        <f>정규화데이터!H1155</f>
        <v>63000</v>
      </c>
      <c r="I1155" s="3">
        <f>정규화데이터!I1155</f>
        <v>126000</v>
      </c>
      <c r="J1155" s="3">
        <f>정규화데이터!J1155</f>
        <v>126000</v>
      </c>
      <c r="K1155" s="25" t="str">
        <f>정규화데이터!K1155</f>
        <v>[워커힐] 시그니처 양념갈비 300G</v>
      </c>
      <c r="L1155" s="25" t="e">
        <f>정규화데이터!L1155</f>
        <v>#VALUE!</v>
      </c>
      <c r="M1155" s="21" t="e">
        <f t="shared" si="36"/>
        <v>#VALUE!</v>
      </c>
      <c r="N1155" s="52" t="e">
        <f t="shared" si="37"/>
        <v>#VALUE!</v>
      </c>
    </row>
    <row r="1156" spans="1:14" x14ac:dyDescent="0.3">
      <c r="A1156" t="str">
        <f>정규화데이터!A1156</f>
        <v>리씽크</v>
      </c>
      <c r="B1156" t="str">
        <f>정규화데이터!B1156</f>
        <v>2026020507075480000</v>
      </c>
      <c r="C1156" t="str">
        <f>정규화데이터!C1156</f>
        <v>2026-02-05</v>
      </c>
      <c r="D1156">
        <f>정규화데이터!D1156</f>
        <v>143790</v>
      </c>
      <c r="E1156" s="16" t="str">
        <f>정규화데이터!E1156</f>
        <v>SKU001</v>
      </c>
      <c r="F1156" s="3">
        <f>정규화데이터!F1156</f>
        <v>4</v>
      </c>
      <c r="G1156" s="3">
        <f>정규화데이터!G1156</f>
        <v>2</v>
      </c>
      <c r="H1156" s="3">
        <f>정규화데이터!H1156</f>
        <v>63000</v>
      </c>
      <c r="I1156" s="3">
        <f>정규화데이터!I1156</f>
        <v>126000</v>
      </c>
      <c r="J1156" s="3">
        <f>정규화데이터!J1156</f>
        <v>126000</v>
      </c>
      <c r="K1156" s="25" t="str">
        <f>정규화데이터!K1156</f>
        <v>[워커힐] 시그니처 양념갈비 300G</v>
      </c>
      <c r="L1156" s="25" t="e">
        <f>정규화데이터!L1156</f>
        <v>#VALUE!</v>
      </c>
      <c r="M1156" s="21" t="e">
        <f t="shared" si="36"/>
        <v>#VALUE!</v>
      </c>
      <c r="N1156" s="52" t="e">
        <f t="shared" si="37"/>
        <v>#VALUE!</v>
      </c>
    </row>
    <row r="1157" spans="1:14" x14ac:dyDescent="0.3">
      <c r="A1157" t="str">
        <f>정규화데이터!A1157</f>
        <v>리씽크</v>
      </c>
      <c r="B1157" t="str">
        <f>정규화데이터!B1157</f>
        <v>2026020506533910000</v>
      </c>
      <c r="C1157" t="str">
        <f>정규화데이터!C1157</f>
        <v>2026-02-05</v>
      </c>
      <c r="D1157">
        <f>정규화데이터!D1157</f>
        <v>143790</v>
      </c>
      <c r="E1157" s="16" t="str">
        <f>정규화데이터!E1157</f>
        <v>SKU001</v>
      </c>
      <c r="F1157" s="3">
        <f>정규화데이터!F1157</f>
        <v>4</v>
      </c>
      <c r="G1157" s="3">
        <f>정규화데이터!G1157</f>
        <v>1</v>
      </c>
      <c r="H1157" s="3">
        <f>정규화데이터!H1157</f>
        <v>63000</v>
      </c>
      <c r="I1157" s="3">
        <f>정규화데이터!I1157</f>
        <v>63000</v>
      </c>
      <c r="J1157" s="3">
        <f>정규화데이터!J1157</f>
        <v>63000</v>
      </c>
      <c r="K1157" s="25" t="str">
        <f>정규화데이터!K1157</f>
        <v>[워커힐] 시그니처 양념갈비 300G</v>
      </c>
      <c r="L1157" s="25" t="e">
        <f>정규화데이터!L1157</f>
        <v>#VALUE!</v>
      </c>
      <c r="M1157" s="21" t="e">
        <f t="shared" si="36"/>
        <v>#VALUE!</v>
      </c>
      <c r="N1157" s="52" t="e">
        <f t="shared" si="37"/>
        <v>#VALUE!</v>
      </c>
    </row>
    <row r="1158" spans="1:14" x14ac:dyDescent="0.3">
      <c r="A1158" t="str">
        <f>정규화데이터!A1158</f>
        <v>리씽크</v>
      </c>
      <c r="B1158" t="str">
        <f>정규화데이터!B1158</f>
        <v>2026020506490870000</v>
      </c>
      <c r="C1158" t="str">
        <f>정규화데이터!C1158</f>
        <v>2026-02-05</v>
      </c>
      <c r="D1158">
        <f>정규화데이터!D1158</f>
        <v>143790</v>
      </c>
      <c r="E1158" s="16" t="str">
        <f>정규화데이터!E1158</f>
        <v>SKU001</v>
      </c>
      <c r="F1158" s="3">
        <f>정규화데이터!F1158</f>
        <v>4</v>
      </c>
      <c r="G1158" s="3">
        <f>정규화데이터!G1158</f>
        <v>1</v>
      </c>
      <c r="H1158" s="3">
        <f>정규화데이터!H1158</f>
        <v>63000</v>
      </c>
      <c r="I1158" s="3">
        <f>정규화데이터!I1158</f>
        <v>63000</v>
      </c>
      <c r="J1158" s="3">
        <f>정규화데이터!J1158</f>
        <v>63000</v>
      </c>
      <c r="K1158" s="25" t="str">
        <f>정규화데이터!K1158</f>
        <v>[워커힐] 시그니처 양념갈비 300G</v>
      </c>
      <c r="L1158" s="25" t="e">
        <f>정규화데이터!L1158</f>
        <v>#VALUE!</v>
      </c>
      <c r="M1158" s="21" t="e">
        <f t="shared" si="36"/>
        <v>#VALUE!</v>
      </c>
      <c r="N1158" s="52" t="e">
        <f t="shared" si="37"/>
        <v>#VALUE!</v>
      </c>
    </row>
    <row r="1159" spans="1:14" x14ac:dyDescent="0.3">
      <c r="A1159" t="str">
        <f>정규화데이터!A1159</f>
        <v>리씽크</v>
      </c>
      <c r="B1159" t="str">
        <f>정규화데이터!B1159</f>
        <v>2026020506462050000</v>
      </c>
      <c r="C1159" t="str">
        <f>정규화데이터!C1159</f>
        <v>2026-02-05</v>
      </c>
      <c r="D1159">
        <f>정규화데이터!D1159</f>
        <v>143790</v>
      </c>
      <c r="E1159" s="16" t="str">
        <f>정규화데이터!E1159</f>
        <v>SKU001</v>
      </c>
      <c r="F1159" s="3">
        <f>정규화데이터!F1159</f>
        <v>4</v>
      </c>
      <c r="G1159" s="3">
        <f>정규화데이터!G1159</f>
        <v>1</v>
      </c>
      <c r="H1159" s="3">
        <f>정규화데이터!H1159</f>
        <v>63000</v>
      </c>
      <c r="I1159" s="3">
        <f>정규화데이터!I1159</f>
        <v>63000</v>
      </c>
      <c r="J1159" s="3">
        <f>정규화데이터!J1159</f>
        <v>63000</v>
      </c>
      <c r="K1159" s="25" t="str">
        <f>정규화데이터!K1159</f>
        <v>[워커힐] 시그니처 양념갈비 300G</v>
      </c>
      <c r="L1159" s="25" t="e">
        <f>정규화데이터!L1159</f>
        <v>#VALUE!</v>
      </c>
      <c r="M1159" s="21" t="e">
        <f t="shared" si="36"/>
        <v>#VALUE!</v>
      </c>
      <c r="N1159" s="52" t="e">
        <f t="shared" si="37"/>
        <v>#VALUE!</v>
      </c>
    </row>
    <row r="1160" spans="1:14" x14ac:dyDescent="0.3">
      <c r="A1160" t="str">
        <f>정규화데이터!A1160</f>
        <v>리씽크</v>
      </c>
      <c r="B1160" t="str">
        <f>정규화데이터!B1160</f>
        <v>2026020506453090000</v>
      </c>
      <c r="C1160" t="str">
        <f>정규화데이터!C1160</f>
        <v>2026-02-05</v>
      </c>
      <c r="D1160">
        <f>정규화데이터!D1160</f>
        <v>143790</v>
      </c>
      <c r="E1160" s="16" t="str">
        <f>정규화데이터!E1160</f>
        <v>SKU001</v>
      </c>
      <c r="F1160" s="3">
        <f>정규화데이터!F1160</f>
        <v>4</v>
      </c>
      <c r="G1160" s="3">
        <f>정규화데이터!G1160</f>
        <v>1</v>
      </c>
      <c r="H1160" s="3">
        <f>정규화데이터!H1160</f>
        <v>63000</v>
      </c>
      <c r="I1160" s="3">
        <f>정규화데이터!I1160</f>
        <v>63000</v>
      </c>
      <c r="J1160" s="3">
        <f>정규화데이터!J1160</f>
        <v>63000</v>
      </c>
      <c r="K1160" s="25" t="str">
        <f>정규화데이터!K1160</f>
        <v>[워커힐] 시그니처 양념갈비 300G</v>
      </c>
      <c r="L1160" s="25" t="e">
        <f>정규화데이터!L1160</f>
        <v>#VALUE!</v>
      </c>
      <c r="M1160" s="21" t="e">
        <f t="shared" si="36"/>
        <v>#VALUE!</v>
      </c>
      <c r="N1160" s="52" t="e">
        <f t="shared" si="37"/>
        <v>#VALUE!</v>
      </c>
    </row>
    <row r="1161" spans="1:14" x14ac:dyDescent="0.3">
      <c r="A1161" t="str">
        <f>정규화데이터!A1161</f>
        <v>리씽크</v>
      </c>
      <c r="B1161" t="str">
        <f>정규화데이터!B1161</f>
        <v>2026020501343570000</v>
      </c>
      <c r="C1161" t="str">
        <f>정규화데이터!C1161</f>
        <v>2026-02-05</v>
      </c>
      <c r="D1161">
        <f>정규화데이터!D1161</f>
        <v>143790</v>
      </c>
      <c r="E1161" s="16" t="str">
        <f>정규화데이터!E1161</f>
        <v>SKU001</v>
      </c>
      <c r="F1161" s="3">
        <f>정규화데이터!F1161</f>
        <v>4</v>
      </c>
      <c r="G1161" s="3">
        <f>정규화데이터!G1161</f>
        <v>1</v>
      </c>
      <c r="H1161" s="3">
        <f>정규화데이터!H1161</f>
        <v>63000</v>
      </c>
      <c r="I1161" s="3">
        <f>정규화데이터!I1161</f>
        <v>63000</v>
      </c>
      <c r="J1161" s="3">
        <f>정규화데이터!J1161</f>
        <v>63000</v>
      </c>
      <c r="K1161" s="25" t="str">
        <f>정규화데이터!K1161</f>
        <v>[워커힐] 시그니처 양념갈비 300G</v>
      </c>
      <c r="L1161" s="25" t="e">
        <f>정규화데이터!L1161</f>
        <v>#VALUE!</v>
      </c>
      <c r="M1161" s="21" t="e">
        <f t="shared" si="36"/>
        <v>#VALUE!</v>
      </c>
      <c r="N1161" s="52" t="e">
        <f t="shared" si="37"/>
        <v>#VALUE!</v>
      </c>
    </row>
    <row r="1162" spans="1:14" x14ac:dyDescent="0.3">
      <c r="A1162" t="str">
        <f>정규화데이터!A1162</f>
        <v>리씽크</v>
      </c>
      <c r="B1162" t="str">
        <f>정규화데이터!B1162</f>
        <v>2026020500295710000</v>
      </c>
      <c r="C1162" t="str">
        <f>정규화데이터!C1162</f>
        <v>2026-02-05</v>
      </c>
      <c r="D1162">
        <f>정규화데이터!D1162</f>
        <v>143790</v>
      </c>
      <c r="E1162" s="16" t="str">
        <f>정규화데이터!E1162</f>
        <v>SKU001</v>
      </c>
      <c r="F1162" s="3">
        <f>정규화데이터!F1162</f>
        <v>4</v>
      </c>
      <c r="G1162" s="3">
        <f>정규화데이터!G1162</f>
        <v>1</v>
      </c>
      <c r="H1162" s="3">
        <f>정규화데이터!H1162</f>
        <v>63000</v>
      </c>
      <c r="I1162" s="3">
        <f>정규화데이터!I1162</f>
        <v>63000</v>
      </c>
      <c r="J1162" s="3">
        <f>정규화데이터!J1162</f>
        <v>63000</v>
      </c>
      <c r="K1162" s="25" t="str">
        <f>정규화데이터!K1162</f>
        <v>[워커힐] 시그니처 양념갈비 300G</v>
      </c>
      <c r="L1162" s="25" t="e">
        <f>정규화데이터!L1162</f>
        <v>#VALUE!</v>
      </c>
      <c r="M1162" s="21" t="e">
        <f t="shared" si="36"/>
        <v>#VALUE!</v>
      </c>
      <c r="N1162" s="52" t="e">
        <f t="shared" si="37"/>
        <v>#VALUE!</v>
      </c>
    </row>
    <row r="1163" spans="1:14" x14ac:dyDescent="0.3">
      <c r="A1163" t="str">
        <f>정규화데이터!A1163</f>
        <v>리씽크</v>
      </c>
      <c r="B1163" t="str">
        <f>정규화데이터!B1163</f>
        <v>2026020423003170000</v>
      </c>
      <c r="C1163" t="str">
        <f>정규화데이터!C1163</f>
        <v>2026-02-04</v>
      </c>
      <c r="D1163">
        <f>정규화데이터!D1163</f>
        <v>143790</v>
      </c>
      <c r="E1163" s="16" t="str">
        <f>정규화데이터!E1163</f>
        <v>SKU001</v>
      </c>
      <c r="F1163" s="3">
        <f>정규화데이터!F1163</f>
        <v>4</v>
      </c>
      <c r="G1163" s="3">
        <f>정규화데이터!G1163</f>
        <v>1</v>
      </c>
      <c r="H1163" s="3">
        <f>정규화데이터!H1163</f>
        <v>63000</v>
      </c>
      <c r="I1163" s="3">
        <f>정규화데이터!I1163</f>
        <v>63000</v>
      </c>
      <c r="J1163" s="3">
        <f>정규화데이터!J1163</f>
        <v>63000</v>
      </c>
      <c r="K1163" s="25" t="str">
        <f>정규화데이터!K1163</f>
        <v>[워커힐] 시그니처 양념갈비 300G</v>
      </c>
      <c r="L1163" s="25" t="e">
        <f>정규화데이터!L1163</f>
        <v>#VALUE!</v>
      </c>
      <c r="M1163" s="21" t="e">
        <f t="shared" si="36"/>
        <v>#VALUE!</v>
      </c>
      <c r="N1163" s="52" t="e">
        <f t="shared" si="37"/>
        <v>#VALUE!</v>
      </c>
    </row>
    <row r="1164" spans="1:14" x14ac:dyDescent="0.3">
      <c r="A1164" t="str">
        <f>정규화데이터!A1164</f>
        <v>리씽크</v>
      </c>
      <c r="B1164" t="str">
        <f>정규화데이터!B1164</f>
        <v>2026020422190610000</v>
      </c>
      <c r="C1164" t="str">
        <f>정규화데이터!C1164</f>
        <v>2026-02-04</v>
      </c>
      <c r="D1164">
        <f>정규화데이터!D1164</f>
        <v>143790</v>
      </c>
      <c r="E1164" s="16" t="str">
        <f>정규화데이터!E1164</f>
        <v>SKU001</v>
      </c>
      <c r="F1164" s="3">
        <f>정규화데이터!F1164</f>
        <v>4</v>
      </c>
      <c r="G1164" s="3">
        <f>정규화데이터!G1164</f>
        <v>1</v>
      </c>
      <c r="H1164" s="3">
        <f>정규화데이터!H1164</f>
        <v>63000</v>
      </c>
      <c r="I1164" s="3">
        <f>정규화데이터!I1164</f>
        <v>63000</v>
      </c>
      <c r="J1164" s="3">
        <f>정규화데이터!J1164</f>
        <v>63000</v>
      </c>
      <c r="K1164" s="25" t="str">
        <f>정규화데이터!K1164</f>
        <v>[워커힐] 시그니처 양념갈비 300G</v>
      </c>
      <c r="L1164" s="25" t="e">
        <f>정규화데이터!L1164</f>
        <v>#VALUE!</v>
      </c>
      <c r="M1164" s="21" t="e">
        <f t="shared" si="36"/>
        <v>#VALUE!</v>
      </c>
      <c r="N1164" s="52" t="e">
        <f t="shared" si="37"/>
        <v>#VALUE!</v>
      </c>
    </row>
    <row r="1165" spans="1:14" x14ac:dyDescent="0.3">
      <c r="A1165" t="str">
        <f>정규화데이터!A1165</f>
        <v>리씽크</v>
      </c>
      <c r="B1165" t="str">
        <f>정규화데이터!B1165</f>
        <v>2026020507574970000</v>
      </c>
      <c r="C1165" t="str">
        <f>정규화데이터!C1165</f>
        <v>2026-02-05</v>
      </c>
      <c r="D1165">
        <f>정규화데이터!D1165</f>
        <v>143790</v>
      </c>
      <c r="E1165" s="16" t="str">
        <f>정규화데이터!E1165</f>
        <v>SKU001</v>
      </c>
      <c r="F1165" s="3">
        <f>정규화데이터!F1165</f>
        <v>4</v>
      </c>
      <c r="G1165" s="3">
        <f>정규화데이터!G1165</f>
        <v>1</v>
      </c>
      <c r="H1165" s="3">
        <f>정규화데이터!H1165</f>
        <v>45500</v>
      </c>
      <c r="I1165" s="3">
        <f>정규화데이터!I1165</f>
        <v>45500</v>
      </c>
      <c r="J1165" s="3">
        <f>정규화데이터!J1165</f>
        <v>45500</v>
      </c>
      <c r="K1165" s="25" t="str">
        <f>정규화데이터!K1165</f>
        <v>[워커힐] 시그니처 양념갈비 300G</v>
      </c>
      <c r="L1165" s="25">
        <f>정규화데이터!L1165</f>
        <v>0</v>
      </c>
      <c r="M1165" s="21">
        <f t="shared" si="36"/>
        <v>45500</v>
      </c>
      <c r="N1165" s="52">
        <f t="shared" si="37"/>
        <v>1</v>
      </c>
    </row>
    <row r="1166" spans="1:14" x14ac:dyDescent="0.3">
      <c r="A1166" t="str">
        <f>정규화데이터!A1166</f>
        <v>리씽크</v>
      </c>
      <c r="B1166" t="str">
        <f>정규화데이터!B1166</f>
        <v>2026020508524710000</v>
      </c>
      <c r="C1166" t="str">
        <f>정규화데이터!C1166</f>
        <v>2026-02-05</v>
      </c>
      <c r="D1166">
        <f>정규화데이터!D1166</f>
        <v>143790</v>
      </c>
      <c r="E1166" s="16" t="str">
        <f>정규화데이터!E1166</f>
        <v>SKU001</v>
      </c>
      <c r="F1166" s="3">
        <f>정규화데이터!F1166</f>
        <v>4</v>
      </c>
      <c r="G1166" s="3">
        <f>정규화데이터!G1166</f>
        <v>1</v>
      </c>
      <c r="H1166" s="3">
        <f>정규화데이터!H1166</f>
        <v>45500</v>
      </c>
      <c r="I1166" s="3">
        <f>정규화데이터!I1166</f>
        <v>45500</v>
      </c>
      <c r="J1166" s="3">
        <f>정규화데이터!J1166</f>
        <v>45500</v>
      </c>
      <c r="K1166" s="25" t="str">
        <f>정규화데이터!K1166</f>
        <v>[워커힐] 시그니처 양념갈비 300G</v>
      </c>
      <c r="L1166" s="25">
        <f>정규화데이터!L1166</f>
        <v>0</v>
      </c>
      <c r="M1166" s="21">
        <f t="shared" si="36"/>
        <v>45500</v>
      </c>
      <c r="N1166" s="52">
        <f t="shared" si="37"/>
        <v>1</v>
      </c>
    </row>
    <row r="1167" spans="1:14" x14ac:dyDescent="0.3">
      <c r="A1167" t="str">
        <f>정규화데이터!A1167</f>
        <v>리씽크</v>
      </c>
      <c r="B1167" t="str">
        <f>정규화데이터!B1167</f>
        <v>2026020510424950000</v>
      </c>
      <c r="C1167" t="str">
        <f>정규화데이터!C1167</f>
        <v>2026-02-05</v>
      </c>
      <c r="D1167">
        <f>정규화데이터!D1167</f>
        <v>143790</v>
      </c>
      <c r="E1167" s="16" t="str">
        <f>정규화데이터!E1167</f>
        <v>SKU001</v>
      </c>
      <c r="F1167" s="3">
        <f>정규화데이터!F1167</f>
        <v>4</v>
      </c>
      <c r="G1167" s="3">
        <f>정규화데이터!G1167</f>
        <v>1</v>
      </c>
      <c r="H1167" s="3">
        <f>정규화데이터!H1167</f>
        <v>45500</v>
      </c>
      <c r="I1167" s="3">
        <f>정규화데이터!I1167</f>
        <v>45500</v>
      </c>
      <c r="J1167" s="3">
        <f>정규화데이터!J1167</f>
        <v>45500</v>
      </c>
      <c r="K1167" s="25" t="str">
        <f>정규화데이터!K1167</f>
        <v>[워커힐] 시그니처 양념갈비 300G</v>
      </c>
      <c r="L1167" s="25">
        <f>정규화데이터!L1167</f>
        <v>0</v>
      </c>
      <c r="M1167" s="21">
        <f t="shared" si="36"/>
        <v>45500</v>
      </c>
      <c r="N1167" s="52">
        <f t="shared" si="37"/>
        <v>1</v>
      </c>
    </row>
    <row r="1168" spans="1:14" x14ac:dyDescent="0.3">
      <c r="A1168" t="str">
        <f>정규화데이터!A1168</f>
        <v>리씽크</v>
      </c>
      <c r="B1168" t="str">
        <f>정규화데이터!B1168</f>
        <v>2026020511023150000</v>
      </c>
      <c r="C1168" t="str">
        <f>정규화데이터!C1168</f>
        <v>2026-02-05</v>
      </c>
      <c r="D1168">
        <f>정규화데이터!D1168</f>
        <v>143790</v>
      </c>
      <c r="E1168" s="16" t="str">
        <f>정규화데이터!E1168</f>
        <v>SKU001</v>
      </c>
      <c r="F1168" s="3">
        <f>정규화데이터!F1168</f>
        <v>4</v>
      </c>
      <c r="G1168" s="3">
        <f>정규화데이터!G1168</f>
        <v>2</v>
      </c>
      <c r="H1168" s="3">
        <f>정규화데이터!H1168</f>
        <v>45500</v>
      </c>
      <c r="I1168" s="3">
        <f>정규화데이터!I1168</f>
        <v>91000</v>
      </c>
      <c r="J1168" s="3">
        <f>정규화데이터!J1168</f>
        <v>91000</v>
      </c>
      <c r="K1168" s="25" t="str">
        <f>정규화데이터!K1168</f>
        <v>[워커힐] 시그니처 양념갈비 300G</v>
      </c>
      <c r="L1168" s="25">
        <f>정규화데이터!L1168</f>
        <v>0</v>
      </c>
      <c r="M1168" s="21">
        <f t="shared" si="36"/>
        <v>91000</v>
      </c>
      <c r="N1168" s="52">
        <f t="shared" si="37"/>
        <v>1</v>
      </c>
    </row>
    <row r="1169" spans="1:14" x14ac:dyDescent="0.3">
      <c r="A1169" t="str">
        <f>정규화데이터!A1169</f>
        <v>리씽크</v>
      </c>
      <c r="B1169" t="str">
        <f>정규화데이터!B1169</f>
        <v>2026020511031070000</v>
      </c>
      <c r="C1169" t="str">
        <f>정규화데이터!C1169</f>
        <v>2026-02-05</v>
      </c>
      <c r="D1169">
        <f>정규화데이터!D1169</f>
        <v>143790</v>
      </c>
      <c r="E1169" s="16" t="str">
        <f>정규화데이터!E1169</f>
        <v>SKU001</v>
      </c>
      <c r="F1169" s="3">
        <f>정규화데이터!F1169</f>
        <v>4</v>
      </c>
      <c r="G1169" s="3">
        <f>정규화데이터!G1169</f>
        <v>1</v>
      </c>
      <c r="H1169" s="3">
        <f>정규화데이터!H1169</f>
        <v>45500</v>
      </c>
      <c r="I1169" s="3">
        <f>정규화데이터!I1169</f>
        <v>45500</v>
      </c>
      <c r="J1169" s="3">
        <f>정규화데이터!J1169</f>
        <v>45500</v>
      </c>
      <c r="K1169" s="25" t="str">
        <f>정규화데이터!K1169</f>
        <v>[워커힐] 시그니처 양념갈비 300G</v>
      </c>
      <c r="L1169" s="25">
        <f>정규화데이터!L1169</f>
        <v>0</v>
      </c>
      <c r="M1169" s="21">
        <f t="shared" si="36"/>
        <v>45500</v>
      </c>
      <c r="N1169" s="52">
        <f t="shared" si="37"/>
        <v>1</v>
      </c>
    </row>
    <row r="1170" spans="1:14" x14ac:dyDescent="0.3">
      <c r="A1170" t="str">
        <f>정규화데이터!A1170</f>
        <v>리씽크</v>
      </c>
      <c r="B1170" t="str">
        <f>정규화데이터!B1170</f>
        <v>2026020511122150000</v>
      </c>
      <c r="C1170" t="str">
        <f>정규화데이터!C1170</f>
        <v>2026-02-05</v>
      </c>
      <c r="D1170">
        <f>정규화데이터!D1170</f>
        <v>143790</v>
      </c>
      <c r="E1170" s="16" t="str">
        <f>정규화데이터!E1170</f>
        <v>SKU001</v>
      </c>
      <c r="F1170" s="3">
        <f>정규화데이터!F1170</f>
        <v>4</v>
      </c>
      <c r="G1170" s="3">
        <f>정규화데이터!G1170</f>
        <v>1</v>
      </c>
      <c r="H1170" s="3">
        <f>정규화데이터!H1170</f>
        <v>45500</v>
      </c>
      <c r="I1170" s="3">
        <f>정규화데이터!I1170</f>
        <v>45500</v>
      </c>
      <c r="J1170" s="3">
        <f>정규화데이터!J1170</f>
        <v>45500</v>
      </c>
      <c r="K1170" s="25" t="str">
        <f>정규화데이터!K1170</f>
        <v>[워커힐] 시그니처 양념갈비 300G</v>
      </c>
      <c r="L1170" s="25">
        <f>정규화데이터!L1170</f>
        <v>0</v>
      </c>
      <c r="M1170" s="21">
        <f t="shared" si="36"/>
        <v>45500</v>
      </c>
      <c r="N1170" s="52">
        <f t="shared" si="37"/>
        <v>1</v>
      </c>
    </row>
    <row r="1171" spans="1:14" x14ac:dyDescent="0.3">
      <c r="A1171" t="str">
        <f>정규화데이터!A1171</f>
        <v>리씽크</v>
      </c>
      <c r="B1171" t="str">
        <f>정규화데이터!B1171</f>
        <v>2026020511191170000</v>
      </c>
      <c r="C1171" t="str">
        <f>정규화데이터!C1171</f>
        <v>2026-02-05</v>
      </c>
      <c r="D1171">
        <f>정규화데이터!D1171</f>
        <v>143790</v>
      </c>
      <c r="E1171" s="16" t="str">
        <f>정규화데이터!E1171</f>
        <v>SKU001</v>
      </c>
      <c r="F1171" s="3">
        <f>정규화데이터!F1171</f>
        <v>4</v>
      </c>
      <c r="G1171" s="3">
        <f>정규화데이터!G1171</f>
        <v>1</v>
      </c>
      <c r="H1171" s="3">
        <f>정규화데이터!H1171</f>
        <v>45500</v>
      </c>
      <c r="I1171" s="3">
        <f>정규화데이터!I1171</f>
        <v>45500</v>
      </c>
      <c r="J1171" s="3">
        <f>정규화데이터!J1171</f>
        <v>45500</v>
      </c>
      <c r="K1171" s="25" t="str">
        <f>정규화데이터!K1171</f>
        <v>[워커힐] 시그니처 양념갈비 300G</v>
      </c>
      <c r="L1171" s="25">
        <f>정규화데이터!L1171</f>
        <v>0</v>
      </c>
      <c r="M1171" s="21">
        <f t="shared" si="36"/>
        <v>45500</v>
      </c>
      <c r="N1171" s="52">
        <f t="shared" si="37"/>
        <v>1</v>
      </c>
    </row>
    <row r="1172" spans="1:14" x14ac:dyDescent="0.3">
      <c r="A1172" t="str">
        <f>정규화데이터!A1172</f>
        <v>리씽크</v>
      </c>
      <c r="B1172" t="str">
        <f>정규화데이터!B1172</f>
        <v>2026020511341300000</v>
      </c>
      <c r="C1172" t="str">
        <f>정규화데이터!C1172</f>
        <v>2026-02-05</v>
      </c>
      <c r="D1172">
        <f>정규화데이터!D1172</f>
        <v>143790</v>
      </c>
      <c r="E1172" s="16" t="str">
        <f>정규화데이터!E1172</f>
        <v>SKU001</v>
      </c>
      <c r="F1172" s="3">
        <f>정규화데이터!F1172</f>
        <v>4</v>
      </c>
      <c r="G1172" s="3">
        <f>정규화데이터!G1172</f>
        <v>1</v>
      </c>
      <c r="H1172" s="3">
        <f>정규화데이터!H1172</f>
        <v>45500</v>
      </c>
      <c r="I1172" s="3">
        <f>정규화데이터!I1172</f>
        <v>45500</v>
      </c>
      <c r="J1172" s="3">
        <f>정규화데이터!J1172</f>
        <v>45500</v>
      </c>
      <c r="K1172" s="25" t="str">
        <f>정규화데이터!K1172</f>
        <v>[워커힐] 시그니처 양념갈비 300G</v>
      </c>
      <c r="L1172" s="25">
        <f>정규화데이터!L1172</f>
        <v>0</v>
      </c>
      <c r="M1172" s="21">
        <f t="shared" si="36"/>
        <v>45500</v>
      </c>
      <c r="N1172" s="52">
        <f t="shared" si="37"/>
        <v>1</v>
      </c>
    </row>
    <row r="1173" spans="1:14" x14ac:dyDescent="0.3">
      <c r="A1173" t="str">
        <f>정규화데이터!A1173</f>
        <v>리씽크</v>
      </c>
      <c r="B1173" t="str">
        <f>정규화데이터!B1173</f>
        <v>2026020511342010000</v>
      </c>
      <c r="C1173" t="str">
        <f>정규화데이터!C1173</f>
        <v>2026-02-05</v>
      </c>
      <c r="D1173">
        <f>정규화데이터!D1173</f>
        <v>143790</v>
      </c>
      <c r="E1173" s="16" t="str">
        <f>정규화데이터!E1173</f>
        <v>SKU001</v>
      </c>
      <c r="F1173" s="3">
        <f>정규화데이터!F1173</f>
        <v>4</v>
      </c>
      <c r="G1173" s="3">
        <f>정규화데이터!G1173</f>
        <v>1</v>
      </c>
      <c r="H1173" s="3">
        <f>정규화데이터!H1173</f>
        <v>45500</v>
      </c>
      <c r="I1173" s="3">
        <f>정규화데이터!I1173</f>
        <v>45500</v>
      </c>
      <c r="J1173" s="3">
        <f>정규화데이터!J1173</f>
        <v>45500</v>
      </c>
      <c r="K1173" s="25" t="str">
        <f>정규화데이터!K1173</f>
        <v>[워커힐] 시그니처 양념갈비 300G</v>
      </c>
      <c r="L1173" s="25">
        <f>정규화데이터!L1173</f>
        <v>0</v>
      </c>
      <c r="M1173" s="21">
        <f t="shared" si="36"/>
        <v>45500</v>
      </c>
      <c r="N1173" s="52">
        <f t="shared" si="37"/>
        <v>1</v>
      </c>
    </row>
    <row r="1174" spans="1:14" x14ac:dyDescent="0.3">
      <c r="A1174" t="str">
        <f>정규화데이터!A1174</f>
        <v>리씽크</v>
      </c>
      <c r="B1174" t="str">
        <f>정규화데이터!B1174</f>
        <v>2026020511330830000</v>
      </c>
      <c r="C1174" t="str">
        <f>정규화데이터!C1174</f>
        <v>2026-02-05</v>
      </c>
      <c r="D1174">
        <f>정규화데이터!D1174</f>
        <v>143790</v>
      </c>
      <c r="E1174" s="16" t="str">
        <f>정규화데이터!E1174</f>
        <v>SKU001</v>
      </c>
      <c r="F1174" s="3">
        <f>정규화데이터!F1174</f>
        <v>4</v>
      </c>
      <c r="G1174" s="3">
        <f>정규화데이터!G1174</f>
        <v>1</v>
      </c>
      <c r="H1174" s="3">
        <f>정규화데이터!H1174</f>
        <v>45500</v>
      </c>
      <c r="I1174" s="3">
        <f>정규화데이터!I1174</f>
        <v>45500</v>
      </c>
      <c r="J1174" s="3">
        <f>정규화데이터!J1174</f>
        <v>45500</v>
      </c>
      <c r="K1174" s="25" t="str">
        <f>정규화데이터!K1174</f>
        <v>[워커힐] 시그니처 양념갈비 300G</v>
      </c>
      <c r="L1174" s="25">
        <f>정규화데이터!L1174</f>
        <v>0</v>
      </c>
      <c r="M1174" s="21">
        <f t="shared" si="36"/>
        <v>45500</v>
      </c>
      <c r="N1174" s="52">
        <f t="shared" si="37"/>
        <v>1</v>
      </c>
    </row>
    <row r="1175" spans="1:14" x14ac:dyDescent="0.3">
      <c r="A1175" t="str">
        <f>정규화데이터!A1175</f>
        <v>리씽크</v>
      </c>
      <c r="B1175" t="str">
        <f>정규화데이터!B1175</f>
        <v>2026020511410800000</v>
      </c>
      <c r="C1175" t="str">
        <f>정규화데이터!C1175</f>
        <v>2026-02-05</v>
      </c>
      <c r="D1175">
        <f>정규화데이터!D1175</f>
        <v>143790</v>
      </c>
      <c r="E1175" s="16" t="str">
        <f>정규화데이터!E1175</f>
        <v>SKU001</v>
      </c>
      <c r="F1175" s="3">
        <f>정규화데이터!F1175</f>
        <v>4</v>
      </c>
      <c r="G1175" s="3">
        <f>정규화데이터!G1175</f>
        <v>1</v>
      </c>
      <c r="H1175" s="3">
        <f>정규화데이터!H1175</f>
        <v>45500</v>
      </c>
      <c r="I1175" s="3">
        <f>정규화데이터!I1175</f>
        <v>45500</v>
      </c>
      <c r="J1175" s="3">
        <f>정규화데이터!J1175</f>
        <v>45500</v>
      </c>
      <c r="K1175" s="25" t="str">
        <f>정규화데이터!K1175</f>
        <v>[워커힐] 시그니처 양념갈비 300G</v>
      </c>
      <c r="L1175" s="25">
        <f>정규화데이터!L1175</f>
        <v>0</v>
      </c>
      <c r="M1175" s="21">
        <f t="shared" si="36"/>
        <v>45500</v>
      </c>
      <c r="N1175" s="52">
        <f t="shared" si="37"/>
        <v>1</v>
      </c>
    </row>
    <row r="1176" spans="1:14" x14ac:dyDescent="0.3">
      <c r="A1176" t="str">
        <f>정규화데이터!A1176</f>
        <v>리씽크</v>
      </c>
      <c r="B1176" t="str">
        <f>정규화데이터!B1176</f>
        <v>2026020511454150000</v>
      </c>
      <c r="C1176" t="str">
        <f>정규화데이터!C1176</f>
        <v>2026-02-05</v>
      </c>
      <c r="D1176">
        <f>정규화데이터!D1176</f>
        <v>143790</v>
      </c>
      <c r="E1176" s="16" t="str">
        <f>정규화데이터!E1176</f>
        <v>SKU001</v>
      </c>
      <c r="F1176" s="3">
        <f>정규화데이터!F1176</f>
        <v>4</v>
      </c>
      <c r="G1176" s="3">
        <f>정규화데이터!G1176</f>
        <v>1</v>
      </c>
      <c r="H1176" s="3">
        <f>정규화데이터!H1176</f>
        <v>45500</v>
      </c>
      <c r="I1176" s="3">
        <f>정규화데이터!I1176</f>
        <v>45500</v>
      </c>
      <c r="J1176" s="3">
        <f>정규화데이터!J1176</f>
        <v>45500</v>
      </c>
      <c r="K1176" s="25" t="str">
        <f>정규화데이터!K1176</f>
        <v>[워커힐] 시그니처 양념갈비 300G</v>
      </c>
      <c r="L1176" s="25">
        <f>정규화데이터!L1176</f>
        <v>0</v>
      </c>
      <c r="M1176" s="21">
        <f t="shared" si="36"/>
        <v>45500</v>
      </c>
      <c r="N1176" s="52">
        <f t="shared" si="37"/>
        <v>1</v>
      </c>
    </row>
    <row r="1177" spans="1:14" x14ac:dyDescent="0.3">
      <c r="A1177" t="str">
        <f>정규화데이터!A1177</f>
        <v>리씽크</v>
      </c>
      <c r="B1177" t="str">
        <f>정규화데이터!B1177</f>
        <v>2026020511450130000</v>
      </c>
      <c r="C1177" t="str">
        <f>정규화데이터!C1177</f>
        <v>2026-02-05</v>
      </c>
      <c r="D1177">
        <f>정규화데이터!D1177</f>
        <v>143790</v>
      </c>
      <c r="E1177" s="16" t="str">
        <f>정규화데이터!E1177</f>
        <v>SKU001</v>
      </c>
      <c r="F1177" s="3">
        <f>정규화데이터!F1177</f>
        <v>4</v>
      </c>
      <c r="G1177" s="3">
        <f>정규화데이터!G1177</f>
        <v>1</v>
      </c>
      <c r="H1177" s="3">
        <f>정규화데이터!H1177</f>
        <v>45500</v>
      </c>
      <c r="I1177" s="3">
        <f>정규화데이터!I1177</f>
        <v>45500</v>
      </c>
      <c r="J1177" s="3">
        <f>정규화데이터!J1177</f>
        <v>45500</v>
      </c>
      <c r="K1177" s="25" t="str">
        <f>정규화데이터!K1177</f>
        <v>[워커힐] 시그니처 양념갈비 300G</v>
      </c>
      <c r="L1177" s="25">
        <f>정규화데이터!L1177</f>
        <v>0</v>
      </c>
      <c r="M1177" s="21">
        <f t="shared" si="36"/>
        <v>45500</v>
      </c>
      <c r="N1177" s="52">
        <f t="shared" si="37"/>
        <v>1</v>
      </c>
    </row>
    <row r="1178" spans="1:14" x14ac:dyDescent="0.3">
      <c r="A1178" t="str">
        <f>정규화데이터!A1178</f>
        <v>리씽크</v>
      </c>
      <c r="B1178" t="str">
        <f>정규화데이터!B1178</f>
        <v>2026020511511360000</v>
      </c>
      <c r="C1178" t="str">
        <f>정규화데이터!C1178</f>
        <v>2026-02-05</v>
      </c>
      <c r="D1178">
        <f>정규화데이터!D1178</f>
        <v>143790</v>
      </c>
      <c r="E1178" s="16" t="str">
        <f>정규화데이터!E1178</f>
        <v>SKU001</v>
      </c>
      <c r="F1178" s="3">
        <f>정규화데이터!F1178</f>
        <v>4</v>
      </c>
      <c r="G1178" s="3">
        <f>정규화데이터!G1178</f>
        <v>1</v>
      </c>
      <c r="H1178" s="3">
        <f>정규화데이터!H1178</f>
        <v>45500</v>
      </c>
      <c r="I1178" s="3">
        <f>정규화데이터!I1178</f>
        <v>45500</v>
      </c>
      <c r="J1178" s="3">
        <f>정규화데이터!J1178</f>
        <v>45500</v>
      </c>
      <c r="K1178" s="25" t="str">
        <f>정규화데이터!K1178</f>
        <v>[워커힐] 시그니처 양념갈비 300G</v>
      </c>
      <c r="L1178" s="25">
        <f>정규화데이터!L1178</f>
        <v>0</v>
      </c>
      <c r="M1178" s="21">
        <f t="shared" si="36"/>
        <v>45500</v>
      </c>
      <c r="N1178" s="52">
        <f t="shared" si="37"/>
        <v>1</v>
      </c>
    </row>
    <row r="1179" spans="1:14" x14ac:dyDescent="0.3">
      <c r="A1179" t="str">
        <f>정규화데이터!A1179</f>
        <v>리씽크</v>
      </c>
      <c r="B1179" t="str">
        <f>정규화데이터!B1179</f>
        <v>2026020511531180000</v>
      </c>
      <c r="C1179" t="str">
        <f>정규화데이터!C1179</f>
        <v>2026-02-05</v>
      </c>
      <c r="D1179">
        <f>정규화데이터!D1179</f>
        <v>143790</v>
      </c>
      <c r="E1179" s="16" t="str">
        <f>정규화데이터!E1179</f>
        <v>SKU001</v>
      </c>
      <c r="F1179" s="3">
        <f>정규화데이터!F1179</f>
        <v>4</v>
      </c>
      <c r="G1179" s="3">
        <f>정규화데이터!G1179</f>
        <v>1</v>
      </c>
      <c r="H1179" s="3">
        <f>정규화데이터!H1179</f>
        <v>45500</v>
      </c>
      <c r="I1179" s="3">
        <f>정규화데이터!I1179</f>
        <v>45500</v>
      </c>
      <c r="J1179" s="3">
        <f>정규화데이터!J1179</f>
        <v>45500</v>
      </c>
      <c r="K1179" s="25" t="str">
        <f>정규화데이터!K1179</f>
        <v>[워커힐] 시그니처 양념갈비 300G</v>
      </c>
      <c r="L1179" s="25">
        <f>정규화데이터!L1179</f>
        <v>0</v>
      </c>
      <c r="M1179" s="21">
        <f t="shared" si="36"/>
        <v>45500</v>
      </c>
      <c r="N1179" s="52">
        <f t="shared" si="37"/>
        <v>1</v>
      </c>
    </row>
    <row r="1180" spans="1:14" x14ac:dyDescent="0.3">
      <c r="A1180" t="str">
        <f>정규화데이터!A1180</f>
        <v>리씽크</v>
      </c>
      <c r="B1180" t="str">
        <f>정규화데이터!B1180</f>
        <v>2026020511514470000</v>
      </c>
      <c r="C1180" t="str">
        <f>정규화데이터!C1180</f>
        <v>2026-02-05</v>
      </c>
      <c r="D1180">
        <f>정규화데이터!D1180</f>
        <v>143790</v>
      </c>
      <c r="E1180" s="16" t="str">
        <f>정규화데이터!E1180</f>
        <v>SKU001</v>
      </c>
      <c r="F1180" s="3">
        <f>정규화데이터!F1180</f>
        <v>4</v>
      </c>
      <c r="G1180" s="3">
        <f>정규화데이터!G1180</f>
        <v>1</v>
      </c>
      <c r="H1180" s="3">
        <f>정규화데이터!H1180</f>
        <v>45500</v>
      </c>
      <c r="I1180" s="3">
        <f>정규화데이터!I1180</f>
        <v>45500</v>
      </c>
      <c r="J1180" s="3">
        <f>정규화데이터!J1180</f>
        <v>45500</v>
      </c>
      <c r="K1180" s="25" t="str">
        <f>정규화데이터!K1180</f>
        <v>[워커힐] 시그니처 양념갈비 300G</v>
      </c>
      <c r="L1180" s="25">
        <f>정규화데이터!L1180</f>
        <v>0</v>
      </c>
      <c r="M1180" s="21">
        <f t="shared" si="36"/>
        <v>45500</v>
      </c>
      <c r="N1180" s="52">
        <f t="shared" si="37"/>
        <v>1</v>
      </c>
    </row>
    <row r="1181" spans="1:14" x14ac:dyDescent="0.3">
      <c r="A1181" t="str">
        <f>정규화데이터!A1181</f>
        <v>리씽크</v>
      </c>
      <c r="B1181" t="str">
        <f>정규화데이터!B1181</f>
        <v>2026020512051330000</v>
      </c>
      <c r="C1181" t="str">
        <f>정규화데이터!C1181</f>
        <v>2026-02-05</v>
      </c>
      <c r="D1181">
        <f>정규화데이터!D1181</f>
        <v>143790</v>
      </c>
      <c r="E1181" s="16" t="str">
        <f>정규화데이터!E1181</f>
        <v>SKU001</v>
      </c>
      <c r="F1181" s="3">
        <f>정규화데이터!F1181</f>
        <v>4</v>
      </c>
      <c r="G1181" s="3">
        <f>정규화데이터!G1181</f>
        <v>1</v>
      </c>
      <c r="H1181" s="3">
        <f>정규화데이터!H1181</f>
        <v>45500</v>
      </c>
      <c r="I1181" s="3">
        <f>정규화데이터!I1181</f>
        <v>45500</v>
      </c>
      <c r="J1181" s="3">
        <f>정규화데이터!J1181</f>
        <v>45500</v>
      </c>
      <c r="K1181" s="25" t="str">
        <f>정규화데이터!K1181</f>
        <v>[워커힐] 시그니처 양념갈비 300G</v>
      </c>
      <c r="L1181" s="25">
        <f>정규화데이터!L1181</f>
        <v>0</v>
      </c>
      <c r="M1181" s="21">
        <f t="shared" si="36"/>
        <v>45500</v>
      </c>
      <c r="N1181" s="52">
        <f t="shared" si="37"/>
        <v>1</v>
      </c>
    </row>
    <row r="1182" spans="1:14" x14ac:dyDescent="0.3">
      <c r="A1182" t="str">
        <f>정규화데이터!A1182</f>
        <v>리씽크</v>
      </c>
      <c r="B1182" t="str">
        <f>정규화데이터!B1182</f>
        <v>2026020512125030000</v>
      </c>
      <c r="C1182" t="str">
        <f>정규화데이터!C1182</f>
        <v>2026-02-05</v>
      </c>
      <c r="D1182">
        <f>정규화데이터!D1182</f>
        <v>143790</v>
      </c>
      <c r="E1182" s="16" t="str">
        <f>정규화데이터!E1182</f>
        <v>SKU001</v>
      </c>
      <c r="F1182" s="3">
        <f>정규화데이터!F1182</f>
        <v>4</v>
      </c>
      <c r="G1182" s="3">
        <f>정규화데이터!G1182</f>
        <v>1</v>
      </c>
      <c r="H1182" s="3">
        <f>정규화데이터!H1182</f>
        <v>45500</v>
      </c>
      <c r="I1182" s="3">
        <f>정규화데이터!I1182</f>
        <v>45500</v>
      </c>
      <c r="J1182" s="3">
        <f>정규화데이터!J1182</f>
        <v>45500</v>
      </c>
      <c r="K1182" s="25" t="str">
        <f>정규화데이터!K1182</f>
        <v>[워커힐] 시그니처 양념갈비 300G</v>
      </c>
      <c r="L1182" s="25">
        <f>정규화데이터!L1182</f>
        <v>0</v>
      </c>
      <c r="M1182" s="21">
        <f t="shared" si="36"/>
        <v>45500</v>
      </c>
      <c r="N1182" s="52">
        <f t="shared" si="37"/>
        <v>1</v>
      </c>
    </row>
    <row r="1183" spans="1:14" x14ac:dyDescent="0.3">
      <c r="A1183" t="str">
        <f>정규화데이터!A1183</f>
        <v>리씽크</v>
      </c>
      <c r="B1183" t="str">
        <f>정규화데이터!B1183</f>
        <v>2026020512135330000</v>
      </c>
      <c r="C1183" t="str">
        <f>정규화데이터!C1183</f>
        <v>2026-02-05</v>
      </c>
      <c r="D1183">
        <f>정규화데이터!D1183</f>
        <v>143790</v>
      </c>
      <c r="E1183" s="16" t="str">
        <f>정규화데이터!E1183</f>
        <v>SKU001</v>
      </c>
      <c r="F1183" s="3">
        <f>정규화데이터!F1183</f>
        <v>4</v>
      </c>
      <c r="G1183" s="3">
        <f>정규화데이터!G1183</f>
        <v>1</v>
      </c>
      <c r="H1183" s="3">
        <f>정규화데이터!H1183</f>
        <v>45500</v>
      </c>
      <c r="I1183" s="3">
        <f>정규화데이터!I1183</f>
        <v>45500</v>
      </c>
      <c r="J1183" s="3">
        <f>정규화데이터!J1183</f>
        <v>45500</v>
      </c>
      <c r="K1183" s="25" t="str">
        <f>정규화데이터!K1183</f>
        <v>[워커힐] 시그니처 양념갈비 300G</v>
      </c>
      <c r="L1183" s="25">
        <f>정규화데이터!L1183</f>
        <v>0</v>
      </c>
      <c r="M1183" s="21">
        <f t="shared" si="36"/>
        <v>45500</v>
      </c>
      <c r="N1183" s="52">
        <f t="shared" si="37"/>
        <v>1</v>
      </c>
    </row>
    <row r="1184" spans="1:14" x14ac:dyDescent="0.3">
      <c r="A1184" t="str">
        <f>정규화데이터!A1184</f>
        <v>리씽크</v>
      </c>
      <c r="B1184" t="str">
        <f>정규화데이터!B1184</f>
        <v>2026020512150840000</v>
      </c>
      <c r="C1184" t="str">
        <f>정규화데이터!C1184</f>
        <v>2026-02-05</v>
      </c>
      <c r="D1184">
        <f>정규화데이터!D1184</f>
        <v>143790</v>
      </c>
      <c r="E1184" s="16" t="str">
        <f>정규화데이터!E1184</f>
        <v>SKU001</v>
      </c>
      <c r="F1184" s="3">
        <f>정규화데이터!F1184</f>
        <v>4</v>
      </c>
      <c r="G1184" s="3">
        <f>정규화데이터!G1184</f>
        <v>1</v>
      </c>
      <c r="H1184" s="3">
        <f>정규화데이터!H1184</f>
        <v>45500</v>
      </c>
      <c r="I1184" s="3">
        <f>정규화데이터!I1184</f>
        <v>45500</v>
      </c>
      <c r="J1184" s="3">
        <f>정규화데이터!J1184</f>
        <v>45500</v>
      </c>
      <c r="K1184" s="25" t="str">
        <f>정규화데이터!K1184</f>
        <v>[워커힐] 시그니처 양념갈비 300G</v>
      </c>
      <c r="L1184" s="25">
        <f>정규화데이터!L1184</f>
        <v>0</v>
      </c>
      <c r="M1184" s="21">
        <f t="shared" si="36"/>
        <v>45500</v>
      </c>
      <c r="N1184" s="52">
        <f t="shared" si="37"/>
        <v>1</v>
      </c>
    </row>
    <row r="1185" spans="1:14" x14ac:dyDescent="0.3">
      <c r="A1185" t="str">
        <f>정규화데이터!A1185</f>
        <v>리씽크</v>
      </c>
      <c r="B1185" t="str">
        <f>정규화데이터!B1185</f>
        <v>2026020512170000000</v>
      </c>
      <c r="C1185" t="str">
        <f>정규화데이터!C1185</f>
        <v>2026-02-05</v>
      </c>
      <c r="D1185">
        <f>정규화데이터!D1185</f>
        <v>143790</v>
      </c>
      <c r="E1185" s="16" t="str">
        <f>정규화데이터!E1185</f>
        <v>SKU001</v>
      </c>
      <c r="F1185" s="3">
        <f>정규화데이터!F1185</f>
        <v>4</v>
      </c>
      <c r="G1185" s="3">
        <f>정규화데이터!G1185</f>
        <v>1</v>
      </c>
      <c r="H1185" s="3">
        <f>정규화데이터!H1185</f>
        <v>45500</v>
      </c>
      <c r="I1185" s="3">
        <f>정규화데이터!I1185</f>
        <v>45500</v>
      </c>
      <c r="J1185" s="3">
        <f>정규화데이터!J1185</f>
        <v>45500</v>
      </c>
      <c r="K1185" s="25" t="str">
        <f>정규화데이터!K1185</f>
        <v>[워커힐] 시그니처 양념갈비 300G</v>
      </c>
      <c r="L1185" s="25">
        <f>정규화데이터!L1185</f>
        <v>0</v>
      </c>
      <c r="M1185" s="21">
        <f t="shared" si="36"/>
        <v>45500</v>
      </c>
      <c r="N1185" s="52">
        <f t="shared" si="37"/>
        <v>1</v>
      </c>
    </row>
    <row r="1186" spans="1:14" x14ac:dyDescent="0.3">
      <c r="A1186" t="str">
        <f>정규화데이터!A1186</f>
        <v>리씽크</v>
      </c>
      <c r="B1186" t="str">
        <f>정규화데이터!B1186</f>
        <v>2026020512340560000</v>
      </c>
      <c r="C1186" t="str">
        <f>정규화데이터!C1186</f>
        <v>2026-02-05</v>
      </c>
      <c r="D1186">
        <f>정규화데이터!D1186</f>
        <v>143790</v>
      </c>
      <c r="E1186" s="16" t="str">
        <f>정규화데이터!E1186</f>
        <v>SKU001</v>
      </c>
      <c r="F1186" s="3">
        <f>정규화데이터!F1186</f>
        <v>4</v>
      </c>
      <c r="G1186" s="3">
        <f>정규화데이터!G1186</f>
        <v>1</v>
      </c>
      <c r="H1186" s="3">
        <f>정규화데이터!H1186</f>
        <v>45500</v>
      </c>
      <c r="I1186" s="3">
        <f>정규화데이터!I1186</f>
        <v>45500</v>
      </c>
      <c r="J1186" s="3">
        <f>정규화데이터!J1186</f>
        <v>45500</v>
      </c>
      <c r="K1186" s="25" t="str">
        <f>정규화데이터!K1186</f>
        <v>[워커힐] 시그니처 양념갈비 300G</v>
      </c>
      <c r="L1186" s="25">
        <f>정규화데이터!L1186</f>
        <v>0</v>
      </c>
      <c r="M1186" s="21">
        <f t="shared" si="36"/>
        <v>45500</v>
      </c>
      <c r="N1186" s="52">
        <f t="shared" si="37"/>
        <v>1</v>
      </c>
    </row>
    <row r="1187" spans="1:14" x14ac:dyDescent="0.3">
      <c r="A1187" t="str">
        <f>정규화데이터!A1187</f>
        <v>리씽크</v>
      </c>
      <c r="B1187" t="str">
        <f>정규화데이터!B1187</f>
        <v>2026020512425710000</v>
      </c>
      <c r="C1187" t="str">
        <f>정규화데이터!C1187</f>
        <v>2026-02-05</v>
      </c>
      <c r="D1187">
        <f>정규화데이터!D1187</f>
        <v>143790</v>
      </c>
      <c r="E1187" s="16" t="str">
        <f>정규화데이터!E1187</f>
        <v>SKU001</v>
      </c>
      <c r="F1187" s="3">
        <f>정규화데이터!F1187</f>
        <v>4</v>
      </c>
      <c r="G1187" s="3">
        <f>정규화데이터!G1187</f>
        <v>1</v>
      </c>
      <c r="H1187" s="3">
        <f>정규화데이터!H1187</f>
        <v>45500</v>
      </c>
      <c r="I1187" s="3">
        <f>정규화데이터!I1187</f>
        <v>45500</v>
      </c>
      <c r="J1187" s="3">
        <f>정규화데이터!J1187</f>
        <v>45500</v>
      </c>
      <c r="K1187" s="25" t="str">
        <f>정규화데이터!K1187</f>
        <v>[워커힐] 시그니처 양념갈비 300G</v>
      </c>
      <c r="L1187" s="25">
        <f>정규화데이터!L1187</f>
        <v>0</v>
      </c>
      <c r="M1187" s="21">
        <f t="shared" si="36"/>
        <v>45500</v>
      </c>
      <c r="N1187" s="52">
        <f t="shared" si="37"/>
        <v>1</v>
      </c>
    </row>
    <row r="1188" spans="1:14" x14ac:dyDescent="0.3">
      <c r="A1188" t="str">
        <f>정규화데이터!A1188</f>
        <v>리씽크</v>
      </c>
      <c r="B1188" t="str">
        <f>정규화데이터!B1188</f>
        <v>2026020512520480000</v>
      </c>
      <c r="C1188" t="str">
        <f>정규화데이터!C1188</f>
        <v>2026-02-05</v>
      </c>
      <c r="D1188">
        <f>정규화데이터!D1188</f>
        <v>143790</v>
      </c>
      <c r="E1188" s="16" t="str">
        <f>정규화데이터!E1188</f>
        <v>SKU001</v>
      </c>
      <c r="F1188" s="3">
        <f>정규화데이터!F1188</f>
        <v>4</v>
      </c>
      <c r="G1188" s="3">
        <f>정규화데이터!G1188</f>
        <v>1</v>
      </c>
      <c r="H1188" s="3">
        <f>정규화데이터!H1188</f>
        <v>45500</v>
      </c>
      <c r="I1188" s="3">
        <f>정규화데이터!I1188</f>
        <v>45500</v>
      </c>
      <c r="J1188" s="3">
        <f>정규화데이터!J1188</f>
        <v>45500</v>
      </c>
      <c r="K1188" s="25" t="str">
        <f>정규화데이터!K1188</f>
        <v>[워커힐] 시그니처 양념갈비 300G</v>
      </c>
      <c r="L1188" s="25">
        <f>정규화데이터!L1188</f>
        <v>0</v>
      </c>
      <c r="M1188" s="21">
        <f t="shared" si="36"/>
        <v>45500</v>
      </c>
      <c r="N1188" s="52">
        <f t="shared" si="37"/>
        <v>1</v>
      </c>
    </row>
    <row r="1189" spans="1:14" x14ac:dyDescent="0.3">
      <c r="A1189" t="str">
        <f>정규화데이터!A1189</f>
        <v>리씽크</v>
      </c>
      <c r="B1189" t="str">
        <f>정규화데이터!B1189</f>
        <v>2026020513053890000</v>
      </c>
      <c r="C1189" t="str">
        <f>정규화데이터!C1189</f>
        <v>2026-02-05</v>
      </c>
      <c r="D1189">
        <f>정규화데이터!D1189</f>
        <v>143790</v>
      </c>
      <c r="E1189" s="16" t="str">
        <f>정규화데이터!E1189</f>
        <v>SKU001</v>
      </c>
      <c r="F1189" s="3">
        <f>정규화데이터!F1189</f>
        <v>4</v>
      </c>
      <c r="G1189" s="3">
        <f>정규화데이터!G1189</f>
        <v>3</v>
      </c>
      <c r="H1189" s="3">
        <f>정규화데이터!H1189</f>
        <v>45500</v>
      </c>
      <c r="I1189" s="3">
        <f>정규화데이터!I1189</f>
        <v>136500</v>
      </c>
      <c r="J1189" s="3">
        <f>정규화데이터!J1189</f>
        <v>136500</v>
      </c>
      <c r="K1189" s="25" t="str">
        <f>정규화데이터!K1189</f>
        <v>[워커힐] 시그니처 양념갈비 300G</v>
      </c>
      <c r="L1189" s="25">
        <f>정규화데이터!L1189</f>
        <v>0</v>
      </c>
      <c r="M1189" s="21">
        <f t="shared" si="36"/>
        <v>136500</v>
      </c>
      <c r="N1189" s="52">
        <f t="shared" si="37"/>
        <v>1</v>
      </c>
    </row>
    <row r="1190" spans="1:14" x14ac:dyDescent="0.3">
      <c r="A1190" t="str">
        <f>정규화데이터!A1190</f>
        <v>리씽크</v>
      </c>
      <c r="B1190" t="str">
        <f>정규화데이터!B1190</f>
        <v>2026020513152790000</v>
      </c>
      <c r="C1190" t="str">
        <f>정규화데이터!C1190</f>
        <v>2026-02-05</v>
      </c>
      <c r="D1190">
        <f>정규화데이터!D1190</f>
        <v>143790</v>
      </c>
      <c r="E1190" s="16" t="str">
        <f>정규화데이터!E1190</f>
        <v>SKU001</v>
      </c>
      <c r="F1190" s="3">
        <f>정규화데이터!F1190</f>
        <v>4</v>
      </c>
      <c r="G1190" s="3">
        <f>정규화데이터!G1190</f>
        <v>1</v>
      </c>
      <c r="H1190" s="3">
        <f>정규화데이터!H1190</f>
        <v>45500</v>
      </c>
      <c r="I1190" s="3">
        <f>정규화데이터!I1190</f>
        <v>45500</v>
      </c>
      <c r="J1190" s="3">
        <f>정규화데이터!J1190</f>
        <v>45500</v>
      </c>
      <c r="K1190" s="25" t="str">
        <f>정규화데이터!K1190</f>
        <v>[워커힐] 시그니처 양념갈비 300G</v>
      </c>
      <c r="L1190" s="25">
        <f>정규화데이터!L1190</f>
        <v>0</v>
      </c>
      <c r="M1190" s="21">
        <f t="shared" si="36"/>
        <v>45500</v>
      </c>
      <c r="N1190" s="52">
        <f t="shared" si="37"/>
        <v>1</v>
      </c>
    </row>
    <row r="1191" spans="1:14" x14ac:dyDescent="0.3">
      <c r="A1191" t="str">
        <f>정규화데이터!A1191</f>
        <v>리씽크</v>
      </c>
      <c r="B1191" t="str">
        <f>정규화데이터!B1191</f>
        <v>2026020513245230000</v>
      </c>
      <c r="C1191" t="str">
        <f>정규화데이터!C1191</f>
        <v>2026-02-05</v>
      </c>
      <c r="D1191">
        <f>정규화데이터!D1191</f>
        <v>143790</v>
      </c>
      <c r="E1191" s="16" t="str">
        <f>정규화데이터!E1191</f>
        <v>SKU001</v>
      </c>
      <c r="F1191" s="3">
        <f>정규화데이터!F1191</f>
        <v>4</v>
      </c>
      <c r="G1191" s="3">
        <f>정규화데이터!G1191</f>
        <v>1</v>
      </c>
      <c r="H1191" s="3">
        <f>정규화데이터!H1191</f>
        <v>45500</v>
      </c>
      <c r="I1191" s="3">
        <f>정규화데이터!I1191</f>
        <v>45500</v>
      </c>
      <c r="J1191" s="3">
        <f>정규화데이터!J1191</f>
        <v>45500</v>
      </c>
      <c r="K1191" s="25" t="str">
        <f>정규화데이터!K1191</f>
        <v>[워커힐] 시그니처 양념갈비 300G</v>
      </c>
      <c r="L1191" s="25">
        <f>정규화데이터!L1191</f>
        <v>0</v>
      </c>
      <c r="M1191" s="21">
        <f t="shared" si="36"/>
        <v>45500</v>
      </c>
      <c r="N1191" s="52">
        <f t="shared" si="37"/>
        <v>1</v>
      </c>
    </row>
    <row r="1192" spans="1:14" x14ac:dyDescent="0.3">
      <c r="A1192" t="str">
        <f>정규화데이터!A1192</f>
        <v>리씽크</v>
      </c>
      <c r="B1192" t="str">
        <f>정규화데이터!B1192</f>
        <v>2026020513330140000</v>
      </c>
      <c r="C1192" t="str">
        <f>정규화데이터!C1192</f>
        <v>2026-02-05</v>
      </c>
      <c r="D1192">
        <f>정규화데이터!D1192</f>
        <v>143790</v>
      </c>
      <c r="E1192" s="16" t="str">
        <f>정규화데이터!E1192</f>
        <v>SKU001</v>
      </c>
      <c r="F1192" s="3">
        <f>정규화데이터!F1192</f>
        <v>4</v>
      </c>
      <c r="G1192" s="3">
        <f>정규화데이터!G1192</f>
        <v>1</v>
      </c>
      <c r="H1192" s="3">
        <f>정규화데이터!H1192</f>
        <v>45500</v>
      </c>
      <c r="I1192" s="3">
        <f>정규화데이터!I1192</f>
        <v>45500</v>
      </c>
      <c r="J1192" s="3">
        <f>정규화데이터!J1192</f>
        <v>45500</v>
      </c>
      <c r="K1192" s="25" t="str">
        <f>정규화데이터!K1192</f>
        <v>[워커힐] 시그니처 양념갈비 300G</v>
      </c>
      <c r="L1192" s="25">
        <f>정규화데이터!L1192</f>
        <v>0</v>
      </c>
      <c r="M1192" s="21">
        <f t="shared" si="36"/>
        <v>45500</v>
      </c>
      <c r="N1192" s="52">
        <f t="shared" si="37"/>
        <v>1</v>
      </c>
    </row>
    <row r="1193" spans="1:14" x14ac:dyDescent="0.3">
      <c r="A1193" t="str">
        <f>정규화데이터!A1193</f>
        <v>리씽크</v>
      </c>
      <c r="B1193" t="str">
        <f>정규화데이터!B1193</f>
        <v>2026020513384670000</v>
      </c>
      <c r="C1193" t="str">
        <f>정규화데이터!C1193</f>
        <v>2026-02-05</v>
      </c>
      <c r="D1193">
        <f>정규화데이터!D1193</f>
        <v>143790</v>
      </c>
      <c r="E1193" s="16" t="str">
        <f>정규화데이터!E1193</f>
        <v>SKU001</v>
      </c>
      <c r="F1193" s="3">
        <f>정규화데이터!F1193</f>
        <v>4</v>
      </c>
      <c r="G1193" s="3">
        <f>정규화데이터!G1193</f>
        <v>1</v>
      </c>
      <c r="H1193" s="3">
        <f>정규화데이터!H1193</f>
        <v>45500</v>
      </c>
      <c r="I1193" s="3">
        <f>정규화데이터!I1193</f>
        <v>45500</v>
      </c>
      <c r="J1193" s="3">
        <f>정규화데이터!J1193</f>
        <v>45500</v>
      </c>
      <c r="K1193" s="25" t="str">
        <f>정규화데이터!K1193</f>
        <v>[워커힐] 시그니처 양념갈비 300G</v>
      </c>
      <c r="L1193" s="25">
        <f>정규화데이터!L1193</f>
        <v>0</v>
      </c>
      <c r="M1193" s="21">
        <f t="shared" si="36"/>
        <v>45500</v>
      </c>
      <c r="N1193" s="52">
        <f t="shared" si="37"/>
        <v>1</v>
      </c>
    </row>
    <row r="1194" spans="1:14" x14ac:dyDescent="0.3">
      <c r="A1194" t="str">
        <f>정규화데이터!A1194</f>
        <v>리씽크</v>
      </c>
      <c r="B1194" t="str">
        <f>정규화데이터!B1194</f>
        <v>2026020513403310000</v>
      </c>
      <c r="C1194" t="str">
        <f>정규화데이터!C1194</f>
        <v>2026-02-05</v>
      </c>
      <c r="D1194">
        <f>정규화데이터!D1194</f>
        <v>143790</v>
      </c>
      <c r="E1194" s="16" t="str">
        <f>정규화데이터!E1194</f>
        <v>SKU001</v>
      </c>
      <c r="F1194" s="3">
        <f>정규화데이터!F1194</f>
        <v>4</v>
      </c>
      <c r="G1194" s="3">
        <f>정규화데이터!G1194</f>
        <v>1</v>
      </c>
      <c r="H1194" s="3">
        <f>정규화데이터!H1194</f>
        <v>45500</v>
      </c>
      <c r="I1194" s="3">
        <f>정규화데이터!I1194</f>
        <v>45500</v>
      </c>
      <c r="J1194" s="3">
        <f>정규화데이터!J1194</f>
        <v>45500</v>
      </c>
      <c r="K1194" s="25" t="str">
        <f>정규화데이터!K1194</f>
        <v>[워커힐] 시그니처 양념갈비 300G</v>
      </c>
      <c r="L1194" s="25">
        <f>정규화데이터!L1194</f>
        <v>0</v>
      </c>
      <c r="M1194" s="21">
        <f t="shared" si="36"/>
        <v>45500</v>
      </c>
      <c r="N1194" s="52">
        <f t="shared" si="37"/>
        <v>1</v>
      </c>
    </row>
    <row r="1195" spans="1:14" x14ac:dyDescent="0.3">
      <c r="A1195" t="str">
        <f>정규화데이터!A1195</f>
        <v>리씽크</v>
      </c>
      <c r="B1195" t="str">
        <f>정규화데이터!B1195</f>
        <v>2026020513511680000</v>
      </c>
      <c r="C1195" t="str">
        <f>정규화데이터!C1195</f>
        <v>2026-02-05</v>
      </c>
      <c r="D1195">
        <f>정규화데이터!D1195</f>
        <v>143790</v>
      </c>
      <c r="E1195" s="16" t="str">
        <f>정규화데이터!E1195</f>
        <v>SKU001</v>
      </c>
      <c r="F1195" s="3">
        <f>정규화데이터!F1195</f>
        <v>4</v>
      </c>
      <c r="G1195" s="3">
        <f>정규화데이터!G1195</f>
        <v>1</v>
      </c>
      <c r="H1195" s="3">
        <f>정규화데이터!H1195</f>
        <v>45500</v>
      </c>
      <c r="I1195" s="3">
        <f>정규화데이터!I1195</f>
        <v>45500</v>
      </c>
      <c r="J1195" s="3">
        <f>정규화데이터!J1195</f>
        <v>45500</v>
      </c>
      <c r="K1195" s="25" t="str">
        <f>정규화데이터!K1195</f>
        <v>[워커힐] 시그니처 양념갈비 300G</v>
      </c>
      <c r="L1195" s="25">
        <f>정규화데이터!L1195</f>
        <v>0</v>
      </c>
      <c r="M1195" s="21">
        <f t="shared" si="36"/>
        <v>45500</v>
      </c>
      <c r="N1195" s="52">
        <f t="shared" si="37"/>
        <v>1</v>
      </c>
    </row>
    <row r="1196" spans="1:14" x14ac:dyDescent="0.3">
      <c r="A1196" t="str">
        <f>정규화데이터!A1196</f>
        <v>리씽크</v>
      </c>
      <c r="B1196" t="str">
        <f>정규화데이터!B1196</f>
        <v>2026020513530110000</v>
      </c>
      <c r="C1196" t="str">
        <f>정규화데이터!C1196</f>
        <v>2026-02-05</v>
      </c>
      <c r="D1196">
        <f>정규화데이터!D1196</f>
        <v>143790</v>
      </c>
      <c r="E1196" s="16" t="str">
        <f>정규화데이터!E1196</f>
        <v>SKU001</v>
      </c>
      <c r="F1196" s="3">
        <f>정규화데이터!F1196</f>
        <v>4</v>
      </c>
      <c r="G1196" s="3">
        <f>정규화데이터!G1196</f>
        <v>1</v>
      </c>
      <c r="H1196" s="3">
        <f>정규화데이터!H1196</f>
        <v>45500</v>
      </c>
      <c r="I1196" s="3">
        <f>정규화데이터!I1196</f>
        <v>45500</v>
      </c>
      <c r="J1196" s="3">
        <f>정규화데이터!J1196</f>
        <v>45500</v>
      </c>
      <c r="K1196" s="25" t="str">
        <f>정규화데이터!K1196</f>
        <v>[워커힐] 시그니처 양념갈비 300G</v>
      </c>
      <c r="L1196" s="25">
        <f>정규화데이터!L1196</f>
        <v>0</v>
      </c>
      <c r="M1196" s="21">
        <f t="shared" si="36"/>
        <v>45500</v>
      </c>
      <c r="N1196" s="52">
        <f t="shared" si="37"/>
        <v>1</v>
      </c>
    </row>
    <row r="1197" spans="1:14" x14ac:dyDescent="0.3">
      <c r="A1197" t="str">
        <f>정규화데이터!A1197</f>
        <v>리씽크</v>
      </c>
      <c r="B1197" t="str">
        <f>정규화데이터!B1197</f>
        <v>2026020513592780000</v>
      </c>
      <c r="C1197" t="str">
        <f>정규화데이터!C1197</f>
        <v>2026-02-05</v>
      </c>
      <c r="D1197">
        <f>정규화데이터!D1197</f>
        <v>143790</v>
      </c>
      <c r="E1197" s="16" t="str">
        <f>정규화데이터!E1197</f>
        <v>SKU001</v>
      </c>
      <c r="F1197" s="3">
        <f>정규화데이터!F1197</f>
        <v>4</v>
      </c>
      <c r="G1197" s="3">
        <f>정규화데이터!G1197</f>
        <v>1</v>
      </c>
      <c r="H1197" s="3">
        <f>정규화데이터!H1197</f>
        <v>45500</v>
      </c>
      <c r="I1197" s="3">
        <f>정규화데이터!I1197</f>
        <v>45500</v>
      </c>
      <c r="J1197" s="3">
        <f>정규화데이터!J1197</f>
        <v>45500</v>
      </c>
      <c r="K1197" s="25" t="str">
        <f>정규화데이터!K1197</f>
        <v>[워커힐] 시그니처 양념갈비 300G</v>
      </c>
      <c r="L1197" s="25">
        <f>정규화데이터!L1197</f>
        <v>0</v>
      </c>
      <c r="M1197" s="21">
        <f t="shared" si="36"/>
        <v>45500</v>
      </c>
      <c r="N1197" s="52">
        <f t="shared" si="37"/>
        <v>1</v>
      </c>
    </row>
    <row r="1198" spans="1:14" x14ac:dyDescent="0.3">
      <c r="A1198" t="str">
        <f>정규화데이터!A1198</f>
        <v>리씽크</v>
      </c>
      <c r="B1198" t="str">
        <f>정규화데이터!B1198</f>
        <v>2026020514345510000</v>
      </c>
      <c r="C1198" t="str">
        <f>정규화데이터!C1198</f>
        <v>2026-02-05</v>
      </c>
      <c r="D1198">
        <f>정규화데이터!D1198</f>
        <v>143790</v>
      </c>
      <c r="E1198" s="16" t="str">
        <f>정규화데이터!E1198</f>
        <v>SKU001</v>
      </c>
      <c r="F1198" s="3">
        <f>정규화데이터!F1198</f>
        <v>4</v>
      </c>
      <c r="G1198" s="3">
        <f>정규화데이터!G1198</f>
        <v>1</v>
      </c>
      <c r="H1198" s="3">
        <f>정규화데이터!H1198</f>
        <v>45500</v>
      </c>
      <c r="I1198" s="3">
        <f>정규화데이터!I1198</f>
        <v>45500</v>
      </c>
      <c r="J1198" s="3">
        <f>정규화데이터!J1198</f>
        <v>45500</v>
      </c>
      <c r="K1198" s="25" t="str">
        <f>정규화데이터!K1198</f>
        <v>[워커힐] 시그니처 양념갈비 300G</v>
      </c>
      <c r="L1198" s="25">
        <f>정규화데이터!L1198</f>
        <v>0</v>
      </c>
      <c r="M1198" s="21">
        <f t="shared" si="36"/>
        <v>45500</v>
      </c>
      <c r="N1198" s="52">
        <f t="shared" si="37"/>
        <v>1</v>
      </c>
    </row>
    <row r="1199" spans="1:14" x14ac:dyDescent="0.3">
      <c r="A1199" t="str">
        <f>정규화데이터!A1199</f>
        <v>리씽크</v>
      </c>
      <c r="B1199" t="str">
        <f>정규화데이터!B1199</f>
        <v>2026020514473940000</v>
      </c>
      <c r="C1199" t="str">
        <f>정규화데이터!C1199</f>
        <v>2026-02-05</v>
      </c>
      <c r="D1199">
        <f>정규화데이터!D1199</f>
        <v>143790</v>
      </c>
      <c r="E1199" s="16" t="str">
        <f>정규화데이터!E1199</f>
        <v>SKU001</v>
      </c>
      <c r="F1199" s="3">
        <f>정규화데이터!F1199</f>
        <v>4</v>
      </c>
      <c r="G1199" s="3">
        <f>정규화데이터!G1199</f>
        <v>1</v>
      </c>
      <c r="H1199" s="3">
        <f>정규화데이터!H1199</f>
        <v>45500</v>
      </c>
      <c r="I1199" s="3">
        <f>정규화데이터!I1199</f>
        <v>45500</v>
      </c>
      <c r="J1199" s="3">
        <f>정규화데이터!J1199</f>
        <v>45500</v>
      </c>
      <c r="K1199" s="25" t="str">
        <f>정규화데이터!K1199</f>
        <v>[워커힐] 시그니처 양념갈비 300G</v>
      </c>
      <c r="L1199" s="25">
        <f>정규화데이터!L1199</f>
        <v>0</v>
      </c>
      <c r="M1199" s="21">
        <f t="shared" si="36"/>
        <v>45500</v>
      </c>
      <c r="N1199" s="52">
        <f t="shared" si="37"/>
        <v>1</v>
      </c>
    </row>
    <row r="1200" spans="1:14" x14ac:dyDescent="0.3">
      <c r="A1200" t="str">
        <f>정규화데이터!A1200</f>
        <v>리씽크</v>
      </c>
      <c r="B1200" t="str">
        <f>정규화데이터!B1200</f>
        <v>2026020516052350000</v>
      </c>
      <c r="C1200" t="str">
        <f>정규화데이터!C1200</f>
        <v>2026-02-05</v>
      </c>
      <c r="D1200">
        <f>정규화데이터!D1200</f>
        <v>143790</v>
      </c>
      <c r="E1200" s="16" t="str">
        <f>정규화데이터!E1200</f>
        <v>SKU001</v>
      </c>
      <c r="F1200" s="3">
        <f>정규화데이터!F1200</f>
        <v>4</v>
      </c>
      <c r="G1200" s="3">
        <f>정규화데이터!G1200</f>
        <v>1</v>
      </c>
      <c r="H1200" s="3">
        <f>정규화데이터!H1200</f>
        <v>45500</v>
      </c>
      <c r="I1200" s="3">
        <f>정규화데이터!I1200</f>
        <v>45500</v>
      </c>
      <c r="J1200" s="3">
        <f>정규화데이터!J1200</f>
        <v>45500</v>
      </c>
      <c r="K1200" s="25" t="str">
        <f>정규화데이터!K1200</f>
        <v>[워커힐] 시그니처 양념갈비 300G</v>
      </c>
      <c r="L1200" s="25">
        <f>정규화데이터!L1200</f>
        <v>0</v>
      </c>
      <c r="M1200" s="21">
        <f t="shared" si="36"/>
        <v>45500</v>
      </c>
      <c r="N1200" s="52">
        <f t="shared" si="37"/>
        <v>1</v>
      </c>
    </row>
    <row r="1201" spans="1:14" x14ac:dyDescent="0.3">
      <c r="A1201" t="str">
        <f>정규화데이터!A1201</f>
        <v>리씽크</v>
      </c>
      <c r="B1201" t="str">
        <f>정규화데이터!B1201</f>
        <v>2026020516085670000</v>
      </c>
      <c r="C1201" t="str">
        <f>정규화데이터!C1201</f>
        <v>2026-02-05</v>
      </c>
      <c r="D1201">
        <f>정규화데이터!D1201</f>
        <v>143790</v>
      </c>
      <c r="E1201" s="16" t="str">
        <f>정규화데이터!E1201</f>
        <v>SKU001</v>
      </c>
      <c r="F1201" s="3">
        <f>정규화데이터!F1201</f>
        <v>4</v>
      </c>
      <c r="G1201" s="3">
        <f>정규화데이터!G1201</f>
        <v>1</v>
      </c>
      <c r="H1201" s="3">
        <f>정규화데이터!H1201</f>
        <v>45500</v>
      </c>
      <c r="I1201" s="3">
        <f>정규화데이터!I1201</f>
        <v>45500</v>
      </c>
      <c r="J1201" s="3">
        <f>정규화데이터!J1201</f>
        <v>45500</v>
      </c>
      <c r="K1201" s="25" t="str">
        <f>정규화데이터!K1201</f>
        <v>[워커힐] 시그니처 양념갈비 300G</v>
      </c>
      <c r="L1201" s="25">
        <f>정규화데이터!L1201</f>
        <v>0</v>
      </c>
      <c r="M1201" s="21">
        <f t="shared" si="36"/>
        <v>45500</v>
      </c>
      <c r="N1201" s="52">
        <f t="shared" si="37"/>
        <v>1</v>
      </c>
    </row>
    <row r="1202" spans="1:14" x14ac:dyDescent="0.3">
      <c r="A1202" t="str">
        <f>정규화데이터!A1202</f>
        <v>리씽크</v>
      </c>
      <c r="B1202" t="str">
        <f>정규화데이터!B1202</f>
        <v>2026020516095450000</v>
      </c>
      <c r="C1202" t="str">
        <f>정규화데이터!C1202</f>
        <v>2026-02-05</v>
      </c>
      <c r="D1202">
        <f>정규화데이터!D1202</f>
        <v>143790</v>
      </c>
      <c r="E1202" s="16" t="str">
        <f>정규화데이터!E1202</f>
        <v>SKU001</v>
      </c>
      <c r="F1202" s="3">
        <f>정규화데이터!F1202</f>
        <v>4</v>
      </c>
      <c r="G1202" s="3">
        <f>정규화데이터!G1202</f>
        <v>1</v>
      </c>
      <c r="H1202" s="3">
        <f>정규화데이터!H1202</f>
        <v>45500</v>
      </c>
      <c r="I1202" s="3">
        <f>정규화데이터!I1202</f>
        <v>45500</v>
      </c>
      <c r="J1202" s="3">
        <f>정규화데이터!J1202</f>
        <v>45500</v>
      </c>
      <c r="K1202" s="25" t="str">
        <f>정규화데이터!K1202</f>
        <v>[워커힐] 시그니처 양념갈비 300G</v>
      </c>
      <c r="L1202" s="25">
        <f>정규화데이터!L1202</f>
        <v>0</v>
      </c>
      <c r="M1202" s="21">
        <f t="shared" si="36"/>
        <v>45500</v>
      </c>
      <c r="N1202" s="52">
        <f t="shared" si="37"/>
        <v>1</v>
      </c>
    </row>
    <row r="1203" spans="1:14" x14ac:dyDescent="0.3">
      <c r="A1203" t="str">
        <f>정규화데이터!A1203</f>
        <v>리씽크</v>
      </c>
      <c r="B1203" t="str">
        <f>정규화데이터!B1203</f>
        <v>2026020516100250000</v>
      </c>
      <c r="C1203" t="str">
        <f>정규화데이터!C1203</f>
        <v>2026-02-05</v>
      </c>
      <c r="D1203">
        <f>정규화데이터!D1203</f>
        <v>143790</v>
      </c>
      <c r="E1203" s="16" t="str">
        <f>정규화데이터!E1203</f>
        <v>SKU001</v>
      </c>
      <c r="F1203" s="3">
        <f>정규화데이터!F1203</f>
        <v>4</v>
      </c>
      <c r="G1203" s="3">
        <f>정규화데이터!G1203</f>
        <v>1</v>
      </c>
      <c r="H1203" s="3">
        <f>정규화데이터!H1203</f>
        <v>45500</v>
      </c>
      <c r="I1203" s="3">
        <f>정규화데이터!I1203</f>
        <v>45500</v>
      </c>
      <c r="J1203" s="3">
        <f>정규화데이터!J1203</f>
        <v>45500</v>
      </c>
      <c r="K1203" s="25" t="str">
        <f>정규화데이터!K1203</f>
        <v>[워커힐] 시그니처 양념갈비 300G</v>
      </c>
      <c r="L1203" s="25">
        <f>정규화데이터!L1203</f>
        <v>0</v>
      </c>
      <c r="M1203" s="21">
        <f t="shared" si="36"/>
        <v>45500</v>
      </c>
      <c r="N1203" s="52">
        <f t="shared" si="37"/>
        <v>1</v>
      </c>
    </row>
    <row r="1204" spans="1:14" x14ac:dyDescent="0.3">
      <c r="A1204" t="str">
        <f>정규화데이터!A1204</f>
        <v>리씽크</v>
      </c>
      <c r="B1204" t="str">
        <f>정규화데이터!B1204</f>
        <v>2026020516101110000</v>
      </c>
      <c r="C1204" t="str">
        <f>정규화데이터!C1204</f>
        <v>2026-02-05</v>
      </c>
      <c r="D1204">
        <f>정규화데이터!D1204</f>
        <v>143790</v>
      </c>
      <c r="E1204" s="16" t="str">
        <f>정규화데이터!E1204</f>
        <v>SKU001</v>
      </c>
      <c r="F1204" s="3">
        <f>정규화데이터!F1204</f>
        <v>4</v>
      </c>
      <c r="G1204" s="3">
        <f>정규화데이터!G1204</f>
        <v>1</v>
      </c>
      <c r="H1204" s="3">
        <f>정규화데이터!H1204</f>
        <v>45500</v>
      </c>
      <c r="I1204" s="3">
        <f>정규화데이터!I1204</f>
        <v>45500</v>
      </c>
      <c r="J1204" s="3">
        <f>정규화데이터!J1204</f>
        <v>45500</v>
      </c>
      <c r="K1204" s="25" t="str">
        <f>정규화데이터!K1204</f>
        <v>[워커힐] 시그니처 양념갈비 300G</v>
      </c>
      <c r="L1204" s="25">
        <f>정규화데이터!L1204</f>
        <v>0</v>
      </c>
      <c r="M1204" s="21">
        <f t="shared" si="36"/>
        <v>45500</v>
      </c>
      <c r="N1204" s="52">
        <f t="shared" si="37"/>
        <v>1</v>
      </c>
    </row>
    <row r="1205" spans="1:14" x14ac:dyDescent="0.3">
      <c r="A1205" t="str">
        <f>정규화데이터!A1205</f>
        <v>리씽크</v>
      </c>
      <c r="B1205" t="str">
        <f>정규화데이터!B1205</f>
        <v>2026020516115530000</v>
      </c>
      <c r="C1205" t="str">
        <f>정규화데이터!C1205</f>
        <v>2026-02-05</v>
      </c>
      <c r="D1205">
        <f>정규화데이터!D1205</f>
        <v>143790</v>
      </c>
      <c r="E1205" s="16" t="str">
        <f>정규화데이터!E1205</f>
        <v>SKU001</v>
      </c>
      <c r="F1205" s="3">
        <f>정규화데이터!F1205</f>
        <v>4</v>
      </c>
      <c r="G1205" s="3">
        <f>정규화데이터!G1205</f>
        <v>1</v>
      </c>
      <c r="H1205" s="3">
        <f>정규화데이터!H1205</f>
        <v>45500</v>
      </c>
      <c r="I1205" s="3">
        <f>정규화데이터!I1205</f>
        <v>45500</v>
      </c>
      <c r="J1205" s="3">
        <f>정규화데이터!J1205</f>
        <v>45500</v>
      </c>
      <c r="K1205" s="25" t="str">
        <f>정규화데이터!K1205</f>
        <v>[워커힐] 시그니처 양념갈비 300G</v>
      </c>
      <c r="L1205" s="25">
        <f>정규화데이터!L1205</f>
        <v>0</v>
      </c>
      <c r="M1205" s="21">
        <f t="shared" si="36"/>
        <v>45500</v>
      </c>
      <c r="N1205" s="52">
        <f t="shared" si="37"/>
        <v>1</v>
      </c>
    </row>
    <row r="1206" spans="1:14" x14ac:dyDescent="0.3">
      <c r="A1206" t="str">
        <f>정규화데이터!A1206</f>
        <v>리씽크</v>
      </c>
      <c r="B1206" t="str">
        <f>정규화데이터!B1206</f>
        <v>2026020516103370000</v>
      </c>
      <c r="C1206" t="str">
        <f>정규화데이터!C1206</f>
        <v>2026-02-05</v>
      </c>
      <c r="D1206">
        <f>정규화데이터!D1206</f>
        <v>143790</v>
      </c>
      <c r="E1206" s="16" t="str">
        <f>정규화데이터!E1206</f>
        <v>SKU001</v>
      </c>
      <c r="F1206" s="3">
        <f>정규화데이터!F1206</f>
        <v>4</v>
      </c>
      <c r="G1206" s="3">
        <f>정규화데이터!G1206</f>
        <v>1</v>
      </c>
      <c r="H1206" s="3">
        <f>정규화데이터!H1206</f>
        <v>45500</v>
      </c>
      <c r="I1206" s="3">
        <f>정규화데이터!I1206</f>
        <v>45500</v>
      </c>
      <c r="J1206" s="3">
        <f>정규화데이터!J1206</f>
        <v>45500</v>
      </c>
      <c r="K1206" s="25" t="str">
        <f>정규화데이터!K1206</f>
        <v>[워커힐] 시그니처 양념갈비 300G</v>
      </c>
      <c r="L1206" s="25">
        <f>정규화데이터!L1206</f>
        <v>0</v>
      </c>
      <c r="M1206" s="21">
        <f t="shared" si="36"/>
        <v>45500</v>
      </c>
      <c r="N1206" s="52">
        <f t="shared" si="37"/>
        <v>1</v>
      </c>
    </row>
    <row r="1207" spans="1:14" x14ac:dyDescent="0.3">
      <c r="A1207" t="str">
        <f>정규화데이터!A1207</f>
        <v>리씽크</v>
      </c>
      <c r="B1207" t="str">
        <f>정규화데이터!B1207</f>
        <v>2026020516130360000</v>
      </c>
      <c r="C1207" t="str">
        <f>정규화데이터!C1207</f>
        <v>2026-02-05</v>
      </c>
      <c r="D1207">
        <f>정규화데이터!D1207</f>
        <v>143790</v>
      </c>
      <c r="E1207" s="16" t="str">
        <f>정규화데이터!E1207</f>
        <v>SKU001</v>
      </c>
      <c r="F1207" s="3">
        <f>정규화데이터!F1207</f>
        <v>4</v>
      </c>
      <c r="G1207" s="3">
        <f>정규화데이터!G1207</f>
        <v>1</v>
      </c>
      <c r="H1207" s="3">
        <f>정규화데이터!H1207</f>
        <v>45500</v>
      </c>
      <c r="I1207" s="3">
        <f>정규화데이터!I1207</f>
        <v>45500</v>
      </c>
      <c r="J1207" s="3">
        <f>정규화데이터!J1207</f>
        <v>45500</v>
      </c>
      <c r="K1207" s="25" t="str">
        <f>정규화데이터!K1207</f>
        <v>[워커힐] 시그니처 양념갈비 300G</v>
      </c>
      <c r="L1207" s="25">
        <f>정규화데이터!L1207</f>
        <v>0</v>
      </c>
      <c r="M1207" s="21">
        <f t="shared" si="36"/>
        <v>45500</v>
      </c>
      <c r="N1207" s="52">
        <f t="shared" si="37"/>
        <v>1</v>
      </c>
    </row>
    <row r="1208" spans="1:14" x14ac:dyDescent="0.3">
      <c r="A1208" t="str">
        <f>정규화데이터!A1208</f>
        <v>리씽크</v>
      </c>
      <c r="B1208" t="str">
        <f>정규화데이터!B1208</f>
        <v>2026020516110170000</v>
      </c>
      <c r="C1208" t="str">
        <f>정규화데이터!C1208</f>
        <v>2026-02-05</v>
      </c>
      <c r="D1208">
        <f>정규화데이터!D1208</f>
        <v>143790</v>
      </c>
      <c r="E1208" s="16" t="str">
        <f>정규화데이터!E1208</f>
        <v>SKU001</v>
      </c>
      <c r="F1208" s="3">
        <f>정규화데이터!F1208</f>
        <v>4</v>
      </c>
      <c r="G1208" s="3">
        <f>정규화데이터!G1208</f>
        <v>1</v>
      </c>
      <c r="H1208" s="3">
        <f>정규화데이터!H1208</f>
        <v>45500</v>
      </c>
      <c r="I1208" s="3">
        <f>정규화데이터!I1208</f>
        <v>45500</v>
      </c>
      <c r="J1208" s="3">
        <f>정규화데이터!J1208</f>
        <v>45500</v>
      </c>
      <c r="K1208" s="25" t="str">
        <f>정규화데이터!K1208</f>
        <v>[워커힐] 시그니처 양념갈비 300G</v>
      </c>
      <c r="L1208" s="25">
        <f>정규화데이터!L1208</f>
        <v>0</v>
      </c>
      <c r="M1208" s="21">
        <f t="shared" si="36"/>
        <v>45500</v>
      </c>
      <c r="N1208" s="52">
        <f t="shared" si="37"/>
        <v>1</v>
      </c>
    </row>
    <row r="1209" spans="1:14" x14ac:dyDescent="0.3">
      <c r="A1209" t="str">
        <f>정규화데이터!A1209</f>
        <v>리씽크</v>
      </c>
      <c r="B1209" t="str">
        <f>정규화데이터!B1209</f>
        <v>2026020516124570000</v>
      </c>
      <c r="C1209" t="str">
        <f>정규화데이터!C1209</f>
        <v>2026-02-05</v>
      </c>
      <c r="D1209">
        <f>정규화데이터!D1209</f>
        <v>143790</v>
      </c>
      <c r="E1209" s="16" t="str">
        <f>정규화데이터!E1209</f>
        <v>SKU001</v>
      </c>
      <c r="F1209" s="3">
        <f>정규화데이터!F1209</f>
        <v>4</v>
      </c>
      <c r="G1209" s="3">
        <f>정규화데이터!G1209</f>
        <v>2</v>
      </c>
      <c r="H1209" s="3">
        <f>정규화데이터!H1209</f>
        <v>45500</v>
      </c>
      <c r="I1209" s="3">
        <f>정규화데이터!I1209</f>
        <v>91000</v>
      </c>
      <c r="J1209" s="3">
        <f>정규화데이터!J1209</f>
        <v>91000</v>
      </c>
      <c r="K1209" s="25" t="str">
        <f>정규화데이터!K1209</f>
        <v>[워커힐] 시그니처 양념갈비 300G</v>
      </c>
      <c r="L1209" s="25">
        <f>정규화데이터!L1209</f>
        <v>0</v>
      </c>
      <c r="M1209" s="21">
        <f t="shared" si="36"/>
        <v>91000</v>
      </c>
      <c r="N1209" s="52">
        <f t="shared" si="37"/>
        <v>1</v>
      </c>
    </row>
    <row r="1210" spans="1:14" x14ac:dyDescent="0.3">
      <c r="A1210" t="str">
        <f>정규화데이터!A1210</f>
        <v>리씽크</v>
      </c>
      <c r="B1210" t="str">
        <f>정규화데이터!B1210</f>
        <v>2026020516133710000</v>
      </c>
      <c r="C1210" t="str">
        <f>정규화데이터!C1210</f>
        <v>2026-02-05</v>
      </c>
      <c r="D1210">
        <f>정규화데이터!D1210</f>
        <v>143790</v>
      </c>
      <c r="E1210" s="16" t="str">
        <f>정규화데이터!E1210</f>
        <v>SKU001</v>
      </c>
      <c r="F1210" s="3">
        <f>정규화데이터!F1210</f>
        <v>4</v>
      </c>
      <c r="G1210" s="3">
        <f>정규화데이터!G1210</f>
        <v>1</v>
      </c>
      <c r="H1210" s="3">
        <f>정규화데이터!H1210</f>
        <v>45500</v>
      </c>
      <c r="I1210" s="3">
        <f>정규화데이터!I1210</f>
        <v>45500</v>
      </c>
      <c r="J1210" s="3">
        <f>정규화데이터!J1210</f>
        <v>45500</v>
      </c>
      <c r="K1210" s="25" t="str">
        <f>정규화데이터!K1210</f>
        <v>[워커힐] 시그니처 양념갈비 300G</v>
      </c>
      <c r="L1210" s="25">
        <f>정규화데이터!L1210</f>
        <v>0</v>
      </c>
      <c r="M1210" s="21">
        <f t="shared" si="36"/>
        <v>45500</v>
      </c>
      <c r="N1210" s="52">
        <f t="shared" si="37"/>
        <v>1</v>
      </c>
    </row>
    <row r="1211" spans="1:14" x14ac:dyDescent="0.3">
      <c r="A1211" t="str">
        <f>정규화데이터!A1211</f>
        <v>리씽크</v>
      </c>
      <c r="B1211" t="str">
        <f>정규화데이터!B1211</f>
        <v>2026020516122300000</v>
      </c>
      <c r="C1211" t="str">
        <f>정규화데이터!C1211</f>
        <v>2026-02-05</v>
      </c>
      <c r="D1211">
        <f>정규화데이터!D1211</f>
        <v>143790</v>
      </c>
      <c r="E1211" s="16" t="str">
        <f>정규화데이터!E1211</f>
        <v>SKU001</v>
      </c>
      <c r="F1211" s="3">
        <f>정규화데이터!F1211</f>
        <v>4</v>
      </c>
      <c r="G1211" s="3">
        <f>정규화데이터!G1211</f>
        <v>1</v>
      </c>
      <c r="H1211" s="3">
        <f>정규화데이터!H1211</f>
        <v>45500</v>
      </c>
      <c r="I1211" s="3">
        <f>정규화데이터!I1211</f>
        <v>45500</v>
      </c>
      <c r="J1211" s="3">
        <f>정규화데이터!J1211</f>
        <v>45500</v>
      </c>
      <c r="K1211" s="25" t="str">
        <f>정규화데이터!K1211</f>
        <v>[워커힐] 시그니처 양념갈비 300G</v>
      </c>
      <c r="L1211" s="25">
        <f>정규화데이터!L1211</f>
        <v>0</v>
      </c>
      <c r="M1211" s="21">
        <f t="shared" si="36"/>
        <v>45500</v>
      </c>
      <c r="N1211" s="52">
        <f t="shared" si="37"/>
        <v>1</v>
      </c>
    </row>
    <row r="1212" spans="1:14" x14ac:dyDescent="0.3">
      <c r="A1212" t="str">
        <f>정규화데이터!A1212</f>
        <v>리씽크</v>
      </c>
      <c r="B1212" t="str">
        <f>정규화데이터!B1212</f>
        <v>2026020516172400000</v>
      </c>
      <c r="C1212" t="str">
        <f>정규화데이터!C1212</f>
        <v>2026-02-05</v>
      </c>
      <c r="D1212">
        <f>정규화데이터!D1212</f>
        <v>143790</v>
      </c>
      <c r="E1212" s="16" t="str">
        <f>정규화데이터!E1212</f>
        <v>SKU001</v>
      </c>
      <c r="F1212" s="3">
        <f>정규화데이터!F1212</f>
        <v>4</v>
      </c>
      <c r="G1212" s="3">
        <f>정규화데이터!G1212</f>
        <v>1</v>
      </c>
      <c r="H1212" s="3">
        <f>정규화데이터!H1212</f>
        <v>45500</v>
      </c>
      <c r="I1212" s="3">
        <f>정규화데이터!I1212</f>
        <v>45500</v>
      </c>
      <c r="J1212" s="3">
        <f>정규화데이터!J1212</f>
        <v>45500</v>
      </c>
      <c r="K1212" s="25" t="str">
        <f>정규화데이터!K1212</f>
        <v>[워커힐] 시그니처 양념갈비 300G</v>
      </c>
      <c r="L1212" s="25">
        <f>정규화데이터!L1212</f>
        <v>0</v>
      </c>
      <c r="M1212" s="21">
        <f t="shared" si="36"/>
        <v>45500</v>
      </c>
      <c r="N1212" s="52">
        <f t="shared" si="37"/>
        <v>1</v>
      </c>
    </row>
    <row r="1213" spans="1:14" x14ac:dyDescent="0.3">
      <c r="A1213" t="str">
        <f>정규화데이터!A1213</f>
        <v>리씽크</v>
      </c>
      <c r="B1213" t="str">
        <f>정규화데이터!B1213</f>
        <v>2026020516171060000</v>
      </c>
      <c r="C1213" t="str">
        <f>정규화데이터!C1213</f>
        <v>2026-02-05</v>
      </c>
      <c r="D1213">
        <f>정규화데이터!D1213</f>
        <v>143790</v>
      </c>
      <c r="E1213" s="16" t="str">
        <f>정규화데이터!E1213</f>
        <v>SKU001</v>
      </c>
      <c r="F1213" s="3">
        <f>정규화데이터!F1213</f>
        <v>4</v>
      </c>
      <c r="G1213" s="3">
        <f>정규화데이터!G1213</f>
        <v>1</v>
      </c>
      <c r="H1213" s="3">
        <f>정규화데이터!H1213</f>
        <v>45500</v>
      </c>
      <c r="I1213" s="3">
        <f>정규화데이터!I1213</f>
        <v>45500</v>
      </c>
      <c r="J1213" s="3">
        <f>정규화데이터!J1213</f>
        <v>45500</v>
      </c>
      <c r="K1213" s="25" t="str">
        <f>정규화데이터!K1213</f>
        <v>[워커힐] 시그니처 양념갈비 300G</v>
      </c>
      <c r="L1213" s="25">
        <f>정규화데이터!L1213</f>
        <v>0</v>
      </c>
      <c r="M1213" s="21">
        <f t="shared" si="36"/>
        <v>45500</v>
      </c>
      <c r="N1213" s="52">
        <f t="shared" si="37"/>
        <v>1</v>
      </c>
    </row>
    <row r="1214" spans="1:14" x14ac:dyDescent="0.3">
      <c r="A1214" t="str">
        <f>정규화데이터!A1214</f>
        <v>리씽크</v>
      </c>
      <c r="B1214" t="str">
        <f>정규화데이터!B1214</f>
        <v>2026020516165990000</v>
      </c>
      <c r="C1214" t="str">
        <f>정규화데이터!C1214</f>
        <v>2026-02-05</v>
      </c>
      <c r="D1214">
        <f>정규화데이터!D1214</f>
        <v>143790</v>
      </c>
      <c r="E1214" s="16" t="str">
        <f>정규화데이터!E1214</f>
        <v>SKU001</v>
      </c>
      <c r="F1214" s="3">
        <f>정규화데이터!F1214</f>
        <v>4</v>
      </c>
      <c r="G1214" s="3">
        <f>정규화데이터!G1214</f>
        <v>1</v>
      </c>
      <c r="H1214" s="3">
        <f>정규화데이터!H1214</f>
        <v>45500</v>
      </c>
      <c r="I1214" s="3">
        <f>정규화데이터!I1214</f>
        <v>45500</v>
      </c>
      <c r="J1214" s="3">
        <f>정규화데이터!J1214</f>
        <v>45500</v>
      </c>
      <c r="K1214" s="25" t="str">
        <f>정규화데이터!K1214</f>
        <v>[워커힐] 시그니처 양념갈비 300G</v>
      </c>
      <c r="L1214" s="25">
        <f>정규화데이터!L1214</f>
        <v>0</v>
      </c>
      <c r="M1214" s="21">
        <f t="shared" si="36"/>
        <v>45500</v>
      </c>
      <c r="N1214" s="52">
        <f t="shared" si="37"/>
        <v>1</v>
      </c>
    </row>
    <row r="1215" spans="1:14" x14ac:dyDescent="0.3">
      <c r="A1215" t="str">
        <f>정규화데이터!A1215</f>
        <v>리씽크</v>
      </c>
      <c r="B1215" t="str">
        <f>정규화데이터!B1215</f>
        <v>2026020516190040000</v>
      </c>
      <c r="C1215" t="str">
        <f>정규화데이터!C1215</f>
        <v>2026-02-05</v>
      </c>
      <c r="D1215">
        <f>정규화데이터!D1215</f>
        <v>143790</v>
      </c>
      <c r="E1215" s="16" t="str">
        <f>정규화데이터!E1215</f>
        <v>SKU001</v>
      </c>
      <c r="F1215" s="3">
        <f>정규화데이터!F1215</f>
        <v>4</v>
      </c>
      <c r="G1215" s="3">
        <f>정규화데이터!G1215</f>
        <v>1</v>
      </c>
      <c r="H1215" s="3">
        <f>정규화데이터!H1215</f>
        <v>45500</v>
      </c>
      <c r="I1215" s="3">
        <f>정규화데이터!I1215</f>
        <v>45500</v>
      </c>
      <c r="J1215" s="3">
        <f>정규화데이터!J1215</f>
        <v>45500</v>
      </c>
      <c r="K1215" s="25" t="str">
        <f>정규화데이터!K1215</f>
        <v>[워커힐] 시그니처 양념갈비 300G</v>
      </c>
      <c r="L1215" s="25">
        <f>정규화데이터!L1215</f>
        <v>0</v>
      </c>
      <c r="M1215" s="21">
        <f t="shared" si="36"/>
        <v>45500</v>
      </c>
      <c r="N1215" s="52">
        <f t="shared" si="37"/>
        <v>1</v>
      </c>
    </row>
    <row r="1216" spans="1:14" x14ac:dyDescent="0.3">
      <c r="A1216" t="str">
        <f>정규화데이터!A1216</f>
        <v>리씽크</v>
      </c>
      <c r="B1216" t="str">
        <f>정규화데이터!B1216</f>
        <v>2026020516160410000</v>
      </c>
      <c r="C1216" t="str">
        <f>정규화데이터!C1216</f>
        <v>2026-02-05</v>
      </c>
      <c r="D1216">
        <f>정규화데이터!D1216</f>
        <v>143790</v>
      </c>
      <c r="E1216" s="16" t="str">
        <f>정규화데이터!E1216</f>
        <v>SKU001</v>
      </c>
      <c r="F1216" s="3">
        <f>정규화데이터!F1216</f>
        <v>4</v>
      </c>
      <c r="G1216" s="3">
        <f>정규화데이터!G1216</f>
        <v>1</v>
      </c>
      <c r="H1216" s="3">
        <f>정규화데이터!H1216</f>
        <v>45500</v>
      </c>
      <c r="I1216" s="3">
        <f>정규화데이터!I1216</f>
        <v>45500</v>
      </c>
      <c r="J1216" s="3">
        <f>정규화데이터!J1216</f>
        <v>45500</v>
      </c>
      <c r="K1216" s="25" t="str">
        <f>정규화데이터!K1216</f>
        <v>[워커힐] 시그니처 양념갈비 300G</v>
      </c>
      <c r="L1216" s="25">
        <f>정규화데이터!L1216</f>
        <v>0</v>
      </c>
      <c r="M1216" s="21">
        <f t="shared" si="36"/>
        <v>45500</v>
      </c>
      <c r="N1216" s="52">
        <f t="shared" si="37"/>
        <v>1</v>
      </c>
    </row>
    <row r="1217" spans="1:14" x14ac:dyDescent="0.3">
      <c r="A1217" t="str">
        <f>정규화데이터!A1217</f>
        <v>리씽크</v>
      </c>
      <c r="B1217" t="str">
        <f>정규화데이터!B1217</f>
        <v>2026020516265500000</v>
      </c>
      <c r="C1217" t="str">
        <f>정규화데이터!C1217</f>
        <v>2026-02-05</v>
      </c>
      <c r="D1217">
        <f>정규화데이터!D1217</f>
        <v>143790</v>
      </c>
      <c r="E1217" s="16" t="str">
        <f>정규화데이터!E1217</f>
        <v>SKU001</v>
      </c>
      <c r="F1217" s="3">
        <f>정규화데이터!F1217</f>
        <v>4</v>
      </c>
      <c r="G1217" s="3">
        <f>정규화데이터!G1217</f>
        <v>1</v>
      </c>
      <c r="H1217" s="3">
        <f>정규화데이터!H1217</f>
        <v>45500</v>
      </c>
      <c r="I1217" s="3">
        <f>정규화데이터!I1217</f>
        <v>45500</v>
      </c>
      <c r="J1217" s="3">
        <f>정규화데이터!J1217</f>
        <v>45500</v>
      </c>
      <c r="K1217" s="25" t="str">
        <f>정규화데이터!K1217</f>
        <v>[워커힐] 시그니처 양념갈비 300G</v>
      </c>
      <c r="L1217" s="25">
        <f>정규화데이터!L1217</f>
        <v>0</v>
      </c>
      <c r="M1217" s="21">
        <f t="shared" si="36"/>
        <v>45500</v>
      </c>
      <c r="N1217" s="52">
        <f t="shared" si="37"/>
        <v>1</v>
      </c>
    </row>
    <row r="1218" spans="1:14" x14ac:dyDescent="0.3">
      <c r="A1218" t="str">
        <f>정규화데이터!A1218</f>
        <v>리씽크</v>
      </c>
      <c r="B1218" t="str">
        <f>정규화데이터!B1218</f>
        <v>2026020516310170000</v>
      </c>
      <c r="C1218" t="str">
        <f>정규화데이터!C1218</f>
        <v>2026-02-05</v>
      </c>
      <c r="D1218">
        <f>정규화데이터!D1218</f>
        <v>143790</v>
      </c>
      <c r="E1218" s="16" t="str">
        <f>정규화데이터!E1218</f>
        <v>SKU001</v>
      </c>
      <c r="F1218" s="3">
        <f>정규화데이터!F1218</f>
        <v>4</v>
      </c>
      <c r="G1218" s="3">
        <f>정규화데이터!G1218</f>
        <v>1</v>
      </c>
      <c r="H1218" s="3">
        <f>정규화데이터!H1218</f>
        <v>45500</v>
      </c>
      <c r="I1218" s="3">
        <f>정규화데이터!I1218</f>
        <v>45500</v>
      </c>
      <c r="J1218" s="3">
        <f>정규화데이터!J1218</f>
        <v>45500</v>
      </c>
      <c r="K1218" s="25" t="str">
        <f>정규화데이터!K1218</f>
        <v>[워커힐] 시그니처 양념갈비 300G</v>
      </c>
      <c r="L1218" s="25">
        <f>정규화데이터!L1218</f>
        <v>0</v>
      </c>
      <c r="M1218" s="21">
        <f t="shared" ref="M1218:M1281" si="38">J1218-L1218</f>
        <v>45500</v>
      </c>
      <c r="N1218" s="52">
        <f t="shared" ref="N1218:N1281" si="39">IF(J1218=0,0,M1218/J1218)</f>
        <v>1</v>
      </c>
    </row>
    <row r="1219" spans="1:14" x14ac:dyDescent="0.3">
      <c r="A1219" t="str">
        <f>정규화데이터!A1219</f>
        <v>리씽크</v>
      </c>
      <c r="B1219" t="str">
        <f>정규화데이터!B1219</f>
        <v>2026020516330710000</v>
      </c>
      <c r="C1219" t="str">
        <f>정규화데이터!C1219</f>
        <v>2026-02-05</v>
      </c>
      <c r="D1219">
        <f>정규화데이터!D1219</f>
        <v>143790</v>
      </c>
      <c r="E1219" s="16" t="str">
        <f>정규화데이터!E1219</f>
        <v>SKU001</v>
      </c>
      <c r="F1219" s="3">
        <f>정규화데이터!F1219</f>
        <v>4</v>
      </c>
      <c r="G1219" s="3">
        <f>정규화데이터!G1219</f>
        <v>1</v>
      </c>
      <c r="H1219" s="3">
        <f>정규화데이터!H1219</f>
        <v>45500</v>
      </c>
      <c r="I1219" s="3">
        <f>정규화데이터!I1219</f>
        <v>45500</v>
      </c>
      <c r="J1219" s="3">
        <f>정규화데이터!J1219</f>
        <v>45500</v>
      </c>
      <c r="K1219" s="25" t="str">
        <f>정규화데이터!K1219</f>
        <v>[워커힐] 시그니처 양념갈비 300G</v>
      </c>
      <c r="L1219" s="25">
        <f>정규화데이터!L1219</f>
        <v>0</v>
      </c>
      <c r="M1219" s="21">
        <f t="shared" si="38"/>
        <v>45500</v>
      </c>
      <c r="N1219" s="52">
        <f t="shared" si="39"/>
        <v>1</v>
      </c>
    </row>
    <row r="1220" spans="1:14" x14ac:dyDescent="0.3">
      <c r="A1220" t="str">
        <f>정규화데이터!A1220</f>
        <v>리씽크</v>
      </c>
      <c r="B1220" t="str">
        <f>정규화데이터!B1220</f>
        <v>2026020516321390000</v>
      </c>
      <c r="C1220" t="str">
        <f>정규화데이터!C1220</f>
        <v>2026-02-05</v>
      </c>
      <c r="D1220">
        <f>정규화데이터!D1220</f>
        <v>143790</v>
      </c>
      <c r="E1220" s="16" t="str">
        <f>정규화데이터!E1220</f>
        <v>SKU001</v>
      </c>
      <c r="F1220" s="3">
        <f>정규화데이터!F1220</f>
        <v>4</v>
      </c>
      <c r="G1220" s="3">
        <f>정규화데이터!G1220</f>
        <v>4</v>
      </c>
      <c r="H1220" s="3">
        <f>정규화데이터!H1220</f>
        <v>45500</v>
      </c>
      <c r="I1220" s="3">
        <f>정규화데이터!I1220</f>
        <v>182000</v>
      </c>
      <c r="J1220" s="3">
        <f>정규화데이터!J1220</f>
        <v>182000</v>
      </c>
      <c r="K1220" s="25" t="str">
        <f>정규화데이터!K1220</f>
        <v>[워커힐] 시그니처 양념갈비 300G</v>
      </c>
      <c r="L1220" s="25">
        <f>정규화데이터!L1220</f>
        <v>0</v>
      </c>
      <c r="M1220" s="21">
        <f t="shared" si="38"/>
        <v>182000</v>
      </c>
      <c r="N1220" s="52">
        <f t="shared" si="39"/>
        <v>1</v>
      </c>
    </row>
    <row r="1221" spans="1:14" x14ac:dyDescent="0.3">
      <c r="A1221" t="str">
        <f>정규화데이터!A1221</f>
        <v>리씽크</v>
      </c>
      <c r="B1221" t="str">
        <f>정규화데이터!B1221</f>
        <v>2026020516351290000</v>
      </c>
      <c r="C1221" t="str">
        <f>정규화데이터!C1221</f>
        <v>2026-02-05</v>
      </c>
      <c r="D1221">
        <f>정규화데이터!D1221</f>
        <v>143790</v>
      </c>
      <c r="E1221" s="16" t="str">
        <f>정규화데이터!E1221</f>
        <v>SKU001</v>
      </c>
      <c r="F1221" s="3">
        <f>정규화데이터!F1221</f>
        <v>4</v>
      </c>
      <c r="G1221" s="3">
        <f>정규화데이터!G1221</f>
        <v>1</v>
      </c>
      <c r="H1221" s="3">
        <f>정규화데이터!H1221</f>
        <v>45500</v>
      </c>
      <c r="I1221" s="3">
        <f>정규화데이터!I1221</f>
        <v>45500</v>
      </c>
      <c r="J1221" s="3">
        <f>정규화데이터!J1221</f>
        <v>45500</v>
      </c>
      <c r="K1221" s="25" t="str">
        <f>정규화데이터!K1221</f>
        <v>[워커힐] 시그니처 양념갈비 300G</v>
      </c>
      <c r="L1221" s="25">
        <f>정규화데이터!L1221</f>
        <v>0</v>
      </c>
      <c r="M1221" s="21">
        <f t="shared" si="38"/>
        <v>45500</v>
      </c>
      <c r="N1221" s="52">
        <f t="shared" si="39"/>
        <v>1</v>
      </c>
    </row>
    <row r="1222" spans="1:14" x14ac:dyDescent="0.3">
      <c r="A1222" t="str">
        <f>정규화데이터!A1222</f>
        <v>리씽크</v>
      </c>
      <c r="B1222" t="str">
        <f>정규화데이터!B1222</f>
        <v>2026020516401840000</v>
      </c>
      <c r="C1222" t="str">
        <f>정규화데이터!C1222</f>
        <v>2026-02-05</v>
      </c>
      <c r="D1222">
        <f>정규화데이터!D1222</f>
        <v>143790</v>
      </c>
      <c r="E1222" s="16" t="str">
        <f>정규화데이터!E1222</f>
        <v>SKU001</v>
      </c>
      <c r="F1222" s="3">
        <f>정규화데이터!F1222</f>
        <v>4</v>
      </c>
      <c r="G1222" s="3">
        <f>정규화데이터!G1222</f>
        <v>1</v>
      </c>
      <c r="H1222" s="3">
        <f>정규화데이터!H1222</f>
        <v>45500</v>
      </c>
      <c r="I1222" s="3">
        <f>정규화데이터!I1222</f>
        <v>45500</v>
      </c>
      <c r="J1222" s="3">
        <f>정규화데이터!J1222</f>
        <v>45500</v>
      </c>
      <c r="K1222" s="25" t="str">
        <f>정규화데이터!K1222</f>
        <v>[워커힐] 시그니처 양념갈비 300G</v>
      </c>
      <c r="L1222" s="25">
        <f>정규화데이터!L1222</f>
        <v>0</v>
      </c>
      <c r="M1222" s="21">
        <f t="shared" si="38"/>
        <v>45500</v>
      </c>
      <c r="N1222" s="52">
        <f t="shared" si="39"/>
        <v>1</v>
      </c>
    </row>
    <row r="1223" spans="1:14" x14ac:dyDescent="0.3">
      <c r="A1223" t="str">
        <f>정규화데이터!A1223</f>
        <v>리씽크</v>
      </c>
      <c r="B1223" t="str">
        <f>정규화데이터!B1223</f>
        <v>2026020516450360000</v>
      </c>
      <c r="C1223" t="str">
        <f>정규화데이터!C1223</f>
        <v>2026-02-05</v>
      </c>
      <c r="D1223">
        <f>정규화데이터!D1223</f>
        <v>143790</v>
      </c>
      <c r="E1223" s="16" t="str">
        <f>정규화데이터!E1223</f>
        <v>SKU001</v>
      </c>
      <c r="F1223" s="3">
        <f>정규화데이터!F1223</f>
        <v>4</v>
      </c>
      <c r="G1223" s="3">
        <f>정규화데이터!G1223</f>
        <v>1</v>
      </c>
      <c r="H1223" s="3">
        <f>정규화데이터!H1223</f>
        <v>45500</v>
      </c>
      <c r="I1223" s="3">
        <f>정규화데이터!I1223</f>
        <v>45500</v>
      </c>
      <c r="J1223" s="3">
        <f>정규화데이터!J1223</f>
        <v>45500</v>
      </c>
      <c r="K1223" s="25" t="str">
        <f>정규화데이터!K1223</f>
        <v>[워커힐] 시그니처 양념갈비 300G</v>
      </c>
      <c r="L1223" s="25">
        <f>정규화데이터!L1223</f>
        <v>0</v>
      </c>
      <c r="M1223" s="21">
        <f t="shared" si="38"/>
        <v>45500</v>
      </c>
      <c r="N1223" s="52">
        <f t="shared" si="39"/>
        <v>1</v>
      </c>
    </row>
    <row r="1224" spans="1:14" x14ac:dyDescent="0.3">
      <c r="A1224" t="str">
        <f>정규화데이터!A1224</f>
        <v>리씽크</v>
      </c>
      <c r="B1224" t="str">
        <f>정규화데이터!B1224</f>
        <v>2026020516493700000</v>
      </c>
      <c r="C1224" t="str">
        <f>정규화데이터!C1224</f>
        <v>2026-02-05</v>
      </c>
      <c r="D1224">
        <f>정규화데이터!D1224</f>
        <v>143790</v>
      </c>
      <c r="E1224" s="16" t="str">
        <f>정규화데이터!E1224</f>
        <v>SKU001</v>
      </c>
      <c r="F1224" s="3">
        <f>정규화데이터!F1224</f>
        <v>4</v>
      </c>
      <c r="G1224" s="3">
        <f>정규화데이터!G1224</f>
        <v>1</v>
      </c>
      <c r="H1224" s="3">
        <f>정규화데이터!H1224</f>
        <v>45500</v>
      </c>
      <c r="I1224" s="3">
        <f>정규화데이터!I1224</f>
        <v>45500</v>
      </c>
      <c r="J1224" s="3">
        <f>정규화데이터!J1224</f>
        <v>45500</v>
      </c>
      <c r="K1224" s="25" t="str">
        <f>정규화데이터!K1224</f>
        <v>[워커힐] 시그니처 양념갈비 300G</v>
      </c>
      <c r="L1224" s="25">
        <f>정규화데이터!L1224</f>
        <v>0</v>
      </c>
      <c r="M1224" s="21">
        <f t="shared" si="38"/>
        <v>45500</v>
      </c>
      <c r="N1224" s="52">
        <f t="shared" si="39"/>
        <v>1</v>
      </c>
    </row>
    <row r="1225" spans="1:14" x14ac:dyDescent="0.3">
      <c r="A1225" t="str">
        <f>정규화데이터!A1225</f>
        <v>리씽크</v>
      </c>
      <c r="B1225" t="str">
        <f>정규화데이터!B1225</f>
        <v>2026020516523740000</v>
      </c>
      <c r="C1225" t="str">
        <f>정규화데이터!C1225</f>
        <v>2026-02-05</v>
      </c>
      <c r="D1225">
        <f>정규화데이터!D1225</f>
        <v>143790</v>
      </c>
      <c r="E1225" s="16" t="str">
        <f>정규화데이터!E1225</f>
        <v>SKU001</v>
      </c>
      <c r="F1225" s="3">
        <f>정규화데이터!F1225</f>
        <v>4</v>
      </c>
      <c r="G1225" s="3">
        <f>정규화데이터!G1225</f>
        <v>1</v>
      </c>
      <c r="H1225" s="3">
        <f>정규화데이터!H1225</f>
        <v>45500</v>
      </c>
      <c r="I1225" s="3">
        <f>정규화데이터!I1225</f>
        <v>45500</v>
      </c>
      <c r="J1225" s="3">
        <f>정규화데이터!J1225</f>
        <v>45500</v>
      </c>
      <c r="K1225" s="25" t="str">
        <f>정규화데이터!K1225</f>
        <v>[워커힐] 시그니처 양념갈비 300G</v>
      </c>
      <c r="L1225" s="25">
        <f>정규화데이터!L1225</f>
        <v>0</v>
      </c>
      <c r="M1225" s="21">
        <f t="shared" si="38"/>
        <v>45500</v>
      </c>
      <c r="N1225" s="52">
        <f t="shared" si="39"/>
        <v>1</v>
      </c>
    </row>
    <row r="1226" spans="1:14" x14ac:dyDescent="0.3">
      <c r="A1226" t="str">
        <f>정규화데이터!A1226</f>
        <v>리씽크</v>
      </c>
      <c r="B1226" t="str">
        <f>정규화데이터!B1226</f>
        <v>2026020517031500000</v>
      </c>
      <c r="C1226" t="str">
        <f>정규화데이터!C1226</f>
        <v>2026-02-05</v>
      </c>
      <c r="D1226">
        <f>정규화데이터!D1226</f>
        <v>143790</v>
      </c>
      <c r="E1226" s="16" t="str">
        <f>정규화데이터!E1226</f>
        <v>SKU001</v>
      </c>
      <c r="F1226" s="3">
        <f>정규화데이터!F1226</f>
        <v>4</v>
      </c>
      <c r="G1226" s="3">
        <f>정규화데이터!G1226</f>
        <v>1</v>
      </c>
      <c r="H1226" s="3">
        <f>정규화데이터!H1226</f>
        <v>45500</v>
      </c>
      <c r="I1226" s="3">
        <f>정규화데이터!I1226</f>
        <v>45500</v>
      </c>
      <c r="J1226" s="3">
        <f>정규화데이터!J1226</f>
        <v>45500</v>
      </c>
      <c r="K1226" s="25" t="str">
        <f>정규화데이터!K1226</f>
        <v>[워커힐] 시그니처 양념갈비 300G</v>
      </c>
      <c r="L1226" s="25">
        <f>정규화데이터!L1226</f>
        <v>0</v>
      </c>
      <c r="M1226" s="21">
        <f t="shared" si="38"/>
        <v>45500</v>
      </c>
      <c r="N1226" s="52">
        <f t="shared" si="39"/>
        <v>1</v>
      </c>
    </row>
    <row r="1227" spans="1:14" x14ac:dyDescent="0.3">
      <c r="A1227" t="str">
        <f>정규화데이터!A1227</f>
        <v>리씽크</v>
      </c>
      <c r="B1227" t="str">
        <f>정규화데이터!B1227</f>
        <v>2026020517062130000</v>
      </c>
      <c r="C1227" t="str">
        <f>정규화데이터!C1227</f>
        <v>2026-02-05</v>
      </c>
      <c r="D1227">
        <f>정규화데이터!D1227</f>
        <v>143790</v>
      </c>
      <c r="E1227" s="16" t="str">
        <f>정규화데이터!E1227</f>
        <v>SKU001</v>
      </c>
      <c r="F1227" s="3">
        <f>정규화데이터!F1227</f>
        <v>4</v>
      </c>
      <c r="G1227" s="3">
        <f>정규화데이터!G1227</f>
        <v>1</v>
      </c>
      <c r="H1227" s="3">
        <f>정규화데이터!H1227</f>
        <v>45500</v>
      </c>
      <c r="I1227" s="3">
        <f>정규화데이터!I1227</f>
        <v>45500</v>
      </c>
      <c r="J1227" s="3">
        <f>정규화데이터!J1227</f>
        <v>45500</v>
      </c>
      <c r="K1227" s="25" t="str">
        <f>정규화데이터!K1227</f>
        <v>[워커힐] 시그니처 양념갈비 300G</v>
      </c>
      <c r="L1227" s="25">
        <f>정규화데이터!L1227</f>
        <v>0</v>
      </c>
      <c r="M1227" s="21">
        <f t="shared" si="38"/>
        <v>45500</v>
      </c>
      <c r="N1227" s="52">
        <f t="shared" si="39"/>
        <v>1</v>
      </c>
    </row>
    <row r="1228" spans="1:14" x14ac:dyDescent="0.3">
      <c r="A1228" t="str">
        <f>정규화데이터!A1228</f>
        <v>리씽크</v>
      </c>
      <c r="B1228" t="str">
        <f>정규화데이터!B1228</f>
        <v>2026020517130730000</v>
      </c>
      <c r="C1228" t="str">
        <f>정규화데이터!C1228</f>
        <v>2026-02-05</v>
      </c>
      <c r="D1228">
        <f>정규화데이터!D1228</f>
        <v>143790</v>
      </c>
      <c r="E1228" s="16" t="str">
        <f>정규화데이터!E1228</f>
        <v>SKU001</v>
      </c>
      <c r="F1228" s="3">
        <f>정규화데이터!F1228</f>
        <v>4</v>
      </c>
      <c r="G1228" s="3">
        <f>정규화데이터!G1228</f>
        <v>1</v>
      </c>
      <c r="H1228" s="3">
        <f>정규화데이터!H1228</f>
        <v>45500</v>
      </c>
      <c r="I1228" s="3">
        <f>정규화데이터!I1228</f>
        <v>45500</v>
      </c>
      <c r="J1228" s="3">
        <f>정규화데이터!J1228</f>
        <v>45500</v>
      </c>
      <c r="K1228" s="25" t="str">
        <f>정규화데이터!K1228</f>
        <v>[워커힐] 시그니처 양념갈비 300G</v>
      </c>
      <c r="L1228" s="25">
        <f>정규화데이터!L1228</f>
        <v>0</v>
      </c>
      <c r="M1228" s="21">
        <f t="shared" si="38"/>
        <v>45500</v>
      </c>
      <c r="N1228" s="52">
        <f t="shared" si="39"/>
        <v>1</v>
      </c>
    </row>
    <row r="1229" spans="1:14" x14ac:dyDescent="0.3">
      <c r="A1229" t="str">
        <f>정규화데이터!A1229</f>
        <v>리씽크</v>
      </c>
      <c r="B1229" t="str">
        <f>정규화데이터!B1229</f>
        <v>2026020517124460000</v>
      </c>
      <c r="C1229" t="str">
        <f>정규화데이터!C1229</f>
        <v>2026-02-05</v>
      </c>
      <c r="D1229">
        <f>정규화데이터!D1229</f>
        <v>143790</v>
      </c>
      <c r="E1229" s="16" t="str">
        <f>정규화데이터!E1229</f>
        <v>SKU001</v>
      </c>
      <c r="F1229" s="3">
        <f>정규화데이터!F1229</f>
        <v>4</v>
      </c>
      <c r="G1229" s="3">
        <f>정규화데이터!G1229</f>
        <v>1</v>
      </c>
      <c r="H1229" s="3">
        <f>정규화데이터!H1229</f>
        <v>45500</v>
      </c>
      <c r="I1229" s="3">
        <f>정규화데이터!I1229</f>
        <v>45500</v>
      </c>
      <c r="J1229" s="3">
        <f>정규화데이터!J1229</f>
        <v>45500</v>
      </c>
      <c r="K1229" s="25" t="str">
        <f>정규화데이터!K1229</f>
        <v>[워커힐] 시그니처 양념갈비 300G</v>
      </c>
      <c r="L1229" s="25">
        <f>정규화데이터!L1229</f>
        <v>0</v>
      </c>
      <c r="M1229" s="21">
        <f t="shared" si="38"/>
        <v>45500</v>
      </c>
      <c r="N1229" s="52">
        <f t="shared" si="39"/>
        <v>1</v>
      </c>
    </row>
    <row r="1230" spans="1:14" x14ac:dyDescent="0.3">
      <c r="A1230" t="str">
        <f>정규화데이터!A1230</f>
        <v>리씽크</v>
      </c>
      <c r="B1230" t="str">
        <f>정규화데이터!B1230</f>
        <v>2026020517215140000</v>
      </c>
      <c r="C1230" t="str">
        <f>정규화데이터!C1230</f>
        <v>2026-02-05</v>
      </c>
      <c r="D1230">
        <f>정규화데이터!D1230</f>
        <v>143790</v>
      </c>
      <c r="E1230" s="16" t="str">
        <f>정규화데이터!E1230</f>
        <v>SKU001</v>
      </c>
      <c r="F1230" s="3">
        <f>정규화데이터!F1230</f>
        <v>4</v>
      </c>
      <c r="G1230" s="3">
        <f>정규화데이터!G1230</f>
        <v>1</v>
      </c>
      <c r="H1230" s="3">
        <f>정규화데이터!H1230</f>
        <v>45500</v>
      </c>
      <c r="I1230" s="3">
        <f>정규화데이터!I1230</f>
        <v>45500</v>
      </c>
      <c r="J1230" s="3">
        <f>정규화데이터!J1230</f>
        <v>45500</v>
      </c>
      <c r="K1230" s="25" t="str">
        <f>정규화데이터!K1230</f>
        <v>[워커힐] 시그니처 양념갈비 300G</v>
      </c>
      <c r="L1230" s="25">
        <f>정규화데이터!L1230</f>
        <v>0</v>
      </c>
      <c r="M1230" s="21">
        <f t="shared" si="38"/>
        <v>45500</v>
      </c>
      <c r="N1230" s="52">
        <f t="shared" si="39"/>
        <v>1</v>
      </c>
    </row>
    <row r="1231" spans="1:14" x14ac:dyDescent="0.3">
      <c r="A1231" t="str">
        <f>정규화데이터!A1231</f>
        <v>리씽크</v>
      </c>
      <c r="B1231" t="str">
        <f>정규화데이터!B1231</f>
        <v>2026020517234880000</v>
      </c>
      <c r="C1231" t="str">
        <f>정규화데이터!C1231</f>
        <v>2026-02-05</v>
      </c>
      <c r="D1231">
        <f>정규화데이터!D1231</f>
        <v>143790</v>
      </c>
      <c r="E1231" s="16" t="str">
        <f>정규화데이터!E1231</f>
        <v>SKU001</v>
      </c>
      <c r="F1231" s="3">
        <f>정규화데이터!F1231</f>
        <v>4</v>
      </c>
      <c r="G1231" s="3">
        <f>정규화데이터!G1231</f>
        <v>1</v>
      </c>
      <c r="H1231" s="3">
        <f>정규화데이터!H1231</f>
        <v>45500</v>
      </c>
      <c r="I1231" s="3">
        <f>정규화데이터!I1231</f>
        <v>45500</v>
      </c>
      <c r="J1231" s="3">
        <f>정규화데이터!J1231</f>
        <v>45500</v>
      </c>
      <c r="K1231" s="25" t="str">
        <f>정규화데이터!K1231</f>
        <v>[워커힐] 시그니처 양념갈비 300G</v>
      </c>
      <c r="L1231" s="25">
        <f>정규화데이터!L1231</f>
        <v>0</v>
      </c>
      <c r="M1231" s="21">
        <f t="shared" si="38"/>
        <v>45500</v>
      </c>
      <c r="N1231" s="52">
        <f t="shared" si="39"/>
        <v>1</v>
      </c>
    </row>
    <row r="1232" spans="1:14" x14ac:dyDescent="0.3">
      <c r="A1232" t="str">
        <f>정규화데이터!A1232</f>
        <v>리씽크</v>
      </c>
      <c r="B1232" t="str">
        <f>정규화데이터!B1232</f>
        <v>2026020517290770000</v>
      </c>
      <c r="C1232" t="str">
        <f>정규화데이터!C1232</f>
        <v>2026-02-05</v>
      </c>
      <c r="D1232">
        <f>정규화데이터!D1232</f>
        <v>143790</v>
      </c>
      <c r="E1232" s="16" t="str">
        <f>정규화데이터!E1232</f>
        <v>SKU001</v>
      </c>
      <c r="F1232" s="3">
        <f>정규화데이터!F1232</f>
        <v>4</v>
      </c>
      <c r="G1232" s="3">
        <f>정규화데이터!G1232</f>
        <v>1</v>
      </c>
      <c r="H1232" s="3">
        <f>정규화데이터!H1232</f>
        <v>45500</v>
      </c>
      <c r="I1232" s="3">
        <f>정규화데이터!I1232</f>
        <v>45500</v>
      </c>
      <c r="J1232" s="3">
        <f>정규화데이터!J1232</f>
        <v>45500</v>
      </c>
      <c r="K1232" s="25" t="str">
        <f>정규화데이터!K1232</f>
        <v>[워커힐] 시그니처 양념갈비 300G</v>
      </c>
      <c r="L1232" s="25">
        <f>정규화데이터!L1232</f>
        <v>0</v>
      </c>
      <c r="M1232" s="21">
        <f t="shared" si="38"/>
        <v>45500</v>
      </c>
      <c r="N1232" s="52">
        <f t="shared" si="39"/>
        <v>1</v>
      </c>
    </row>
    <row r="1233" spans="1:14" x14ac:dyDescent="0.3">
      <c r="A1233" t="str">
        <f>정규화데이터!A1233</f>
        <v>리씽크</v>
      </c>
      <c r="B1233" t="str">
        <f>정규화데이터!B1233</f>
        <v>2026020517283730000</v>
      </c>
      <c r="C1233" t="str">
        <f>정규화데이터!C1233</f>
        <v>2026-02-05</v>
      </c>
      <c r="D1233">
        <f>정규화데이터!D1233</f>
        <v>143790</v>
      </c>
      <c r="E1233" s="16" t="str">
        <f>정규화데이터!E1233</f>
        <v>SKU001</v>
      </c>
      <c r="F1233" s="3">
        <f>정규화데이터!F1233</f>
        <v>4</v>
      </c>
      <c r="G1233" s="3">
        <f>정규화데이터!G1233</f>
        <v>1</v>
      </c>
      <c r="H1233" s="3">
        <f>정규화데이터!H1233</f>
        <v>45500</v>
      </c>
      <c r="I1233" s="3">
        <f>정규화데이터!I1233</f>
        <v>45500</v>
      </c>
      <c r="J1233" s="3">
        <f>정규화데이터!J1233</f>
        <v>45500</v>
      </c>
      <c r="K1233" s="25" t="str">
        <f>정규화데이터!K1233</f>
        <v>[워커힐] 시그니처 양념갈비 300G</v>
      </c>
      <c r="L1233" s="25">
        <f>정규화데이터!L1233</f>
        <v>0</v>
      </c>
      <c r="M1233" s="21">
        <f t="shared" si="38"/>
        <v>45500</v>
      </c>
      <c r="N1233" s="52">
        <f t="shared" si="39"/>
        <v>1</v>
      </c>
    </row>
    <row r="1234" spans="1:14" x14ac:dyDescent="0.3">
      <c r="A1234" t="str">
        <f>정규화데이터!A1234</f>
        <v>리씽크</v>
      </c>
      <c r="B1234" t="str">
        <f>정규화데이터!B1234</f>
        <v>2026020517414420000</v>
      </c>
      <c r="C1234" t="str">
        <f>정규화데이터!C1234</f>
        <v>2026-02-05</v>
      </c>
      <c r="D1234">
        <f>정규화데이터!D1234</f>
        <v>143790</v>
      </c>
      <c r="E1234" s="16" t="str">
        <f>정규화데이터!E1234</f>
        <v>SKU001</v>
      </c>
      <c r="F1234" s="3">
        <f>정규화데이터!F1234</f>
        <v>4</v>
      </c>
      <c r="G1234" s="3">
        <f>정규화데이터!G1234</f>
        <v>1</v>
      </c>
      <c r="H1234" s="3">
        <f>정규화데이터!H1234</f>
        <v>45500</v>
      </c>
      <c r="I1234" s="3">
        <f>정규화데이터!I1234</f>
        <v>45500</v>
      </c>
      <c r="J1234" s="3">
        <f>정규화데이터!J1234</f>
        <v>45500</v>
      </c>
      <c r="K1234" s="25" t="str">
        <f>정규화데이터!K1234</f>
        <v>[워커힐] 시그니처 양념갈비 300G</v>
      </c>
      <c r="L1234" s="25">
        <f>정규화데이터!L1234</f>
        <v>0</v>
      </c>
      <c r="M1234" s="21">
        <f t="shared" si="38"/>
        <v>45500</v>
      </c>
      <c r="N1234" s="52">
        <f t="shared" si="39"/>
        <v>1</v>
      </c>
    </row>
    <row r="1235" spans="1:14" x14ac:dyDescent="0.3">
      <c r="A1235" t="str">
        <f>정규화데이터!A1235</f>
        <v>리씽크</v>
      </c>
      <c r="B1235" t="str">
        <f>정규화데이터!B1235</f>
        <v>2026020517413140000</v>
      </c>
      <c r="C1235" t="str">
        <f>정규화데이터!C1235</f>
        <v>2026-02-05</v>
      </c>
      <c r="D1235">
        <f>정규화데이터!D1235</f>
        <v>143790</v>
      </c>
      <c r="E1235" s="16" t="str">
        <f>정규화데이터!E1235</f>
        <v>SKU001</v>
      </c>
      <c r="F1235" s="3">
        <f>정규화데이터!F1235</f>
        <v>4</v>
      </c>
      <c r="G1235" s="3">
        <f>정규화데이터!G1235</f>
        <v>1</v>
      </c>
      <c r="H1235" s="3">
        <f>정규화데이터!H1235</f>
        <v>45500</v>
      </c>
      <c r="I1235" s="3">
        <f>정규화데이터!I1235</f>
        <v>45500</v>
      </c>
      <c r="J1235" s="3">
        <f>정규화데이터!J1235</f>
        <v>45500</v>
      </c>
      <c r="K1235" s="25" t="str">
        <f>정규화데이터!K1235</f>
        <v>[워커힐] 시그니처 양념갈비 300G</v>
      </c>
      <c r="L1235" s="25">
        <f>정규화데이터!L1235</f>
        <v>0</v>
      </c>
      <c r="M1235" s="21">
        <f t="shared" si="38"/>
        <v>45500</v>
      </c>
      <c r="N1235" s="52">
        <f t="shared" si="39"/>
        <v>1</v>
      </c>
    </row>
    <row r="1236" spans="1:14" x14ac:dyDescent="0.3">
      <c r="A1236" t="str">
        <f>정규화데이터!A1236</f>
        <v>리씽크</v>
      </c>
      <c r="B1236" t="str">
        <f>정규화데이터!B1236</f>
        <v>2026020517554540000</v>
      </c>
      <c r="C1236" t="str">
        <f>정규화데이터!C1236</f>
        <v>2026-02-05</v>
      </c>
      <c r="D1236">
        <f>정규화데이터!D1236</f>
        <v>143790</v>
      </c>
      <c r="E1236" s="16" t="str">
        <f>정규화데이터!E1236</f>
        <v>SKU001</v>
      </c>
      <c r="F1236" s="3">
        <f>정규화데이터!F1236</f>
        <v>4</v>
      </c>
      <c r="G1236" s="3">
        <f>정규화데이터!G1236</f>
        <v>1</v>
      </c>
      <c r="H1236" s="3">
        <f>정규화데이터!H1236</f>
        <v>45500</v>
      </c>
      <c r="I1236" s="3">
        <f>정규화데이터!I1236</f>
        <v>45500</v>
      </c>
      <c r="J1236" s="3">
        <f>정규화데이터!J1236</f>
        <v>45500</v>
      </c>
      <c r="K1236" s="25" t="str">
        <f>정규화데이터!K1236</f>
        <v>[워커힐] 시그니처 양념갈비 300G</v>
      </c>
      <c r="L1236" s="25">
        <f>정규화데이터!L1236</f>
        <v>0</v>
      </c>
      <c r="M1236" s="21">
        <f t="shared" si="38"/>
        <v>45500</v>
      </c>
      <c r="N1236" s="52">
        <f t="shared" si="39"/>
        <v>1</v>
      </c>
    </row>
    <row r="1237" spans="1:14" x14ac:dyDescent="0.3">
      <c r="A1237" t="str">
        <f>정규화데이터!A1237</f>
        <v>리씽크</v>
      </c>
      <c r="B1237" t="str">
        <f>정규화데이터!B1237</f>
        <v>2026020518121760000</v>
      </c>
      <c r="C1237" t="str">
        <f>정규화데이터!C1237</f>
        <v>2026-02-05</v>
      </c>
      <c r="D1237">
        <f>정규화데이터!D1237</f>
        <v>143790</v>
      </c>
      <c r="E1237" s="16" t="str">
        <f>정규화데이터!E1237</f>
        <v>SKU001</v>
      </c>
      <c r="F1237" s="3">
        <f>정규화데이터!F1237</f>
        <v>4</v>
      </c>
      <c r="G1237" s="3">
        <f>정규화데이터!G1237</f>
        <v>2</v>
      </c>
      <c r="H1237" s="3">
        <f>정규화데이터!H1237</f>
        <v>45500</v>
      </c>
      <c r="I1237" s="3">
        <f>정규화데이터!I1237</f>
        <v>91000</v>
      </c>
      <c r="J1237" s="3">
        <f>정규화데이터!J1237</f>
        <v>91000</v>
      </c>
      <c r="K1237" s="25" t="str">
        <f>정규화데이터!K1237</f>
        <v>[워커힐] 시그니처 양념갈비 300G</v>
      </c>
      <c r="L1237" s="25">
        <f>정규화데이터!L1237</f>
        <v>0</v>
      </c>
      <c r="M1237" s="21">
        <f t="shared" si="38"/>
        <v>91000</v>
      </c>
      <c r="N1237" s="52">
        <f t="shared" si="39"/>
        <v>1</v>
      </c>
    </row>
    <row r="1238" spans="1:14" x14ac:dyDescent="0.3">
      <c r="A1238" t="str">
        <f>정규화데이터!A1238</f>
        <v>리씽크</v>
      </c>
      <c r="B1238" t="str">
        <f>정규화데이터!B1238</f>
        <v>2026020518225090000</v>
      </c>
      <c r="C1238" t="str">
        <f>정규화데이터!C1238</f>
        <v>2026-02-05</v>
      </c>
      <c r="D1238">
        <f>정규화데이터!D1238</f>
        <v>143790</v>
      </c>
      <c r="E1238" s="16" t="str">
        <f>정규화데이터!E1238</f>
        <v>SKU001</v>
      </c>
      <c r="F1238" s="3">
        <f>정규화데이터!F1238</f>
        <v>4</v>
      </c>
      <c r="G1238" s="3">
        <f>정규화데이터!G1238</f>
        <v>1</v>
      </c>
      <c r="H1238" s="3">
        <f>정규화데이터!H1238</f>
        <v>45500</v>
      </c>
      <c r="I1238" s="3">
        <f>정규화데이터!I1238</f>
        <v>45500</v>
      </c>
      <c r="J1238" s="3">
        <f>정규화데이터!J1238</f>
        <v>45500</v>
      </c>
      <c r="K1238" s="25" t="str">
        <f>정규화데이터!K1238</f>
        <v>[워커힐] 시그니처 양념갈비 300G</v>
      </c>
      <c r="L1238" s="25">
        <f>정규화데이터!L1238</f>
        <v>0</v>
      </c>
      <c r="M1238" s="21">
        <f t="shared" si="38"/>
        <v>45500</v>
      </c>
      <c r="N1238" s="52">
        <f t="shared" si="39"/>
        <v>1</v>
      </c>
    </row>
    <row r="1239" spans="1:14" x14ac:dyDescent="0.3">
      <c r="A1239" t="str">
        <f>정규화데이터!A1239</f>
        <v>리씽크</v>
      </c>
      <c r="B1239" t="str">
        <f>정규화데이터!B1239</f>
        <v>2026020518264120000</v>
      </c>
      <c r="C1239" t="str">
        <f>정규화데이터!C1239</f>
        <v>2026-02-05</v>
      </c>
      <c r="D1239">
        <f>정규화데이터!D1239</f>
        <v>143790</v>
      </c>
      <c r="E1239" s="16" t="str">
        <f>정규화데이터!E1239</f>
        <v>SKU001</v>
      </c>
      <c r="F1239" s="3">
        <f>정규화데이터!F1239</f>
        <v>4</v>
      </c>
      <c r="G1239" s="3">
        <f>정규화데이터!G1239</f>
        <v>1</v>
      </c>
      <c r="H1239" s="3">
        <f>정규화데이터!H1239</f>
        <v>45500</v>
      </c>
      <c r="I1239" s="3">
        <f>정규화데이터!I1239</f>
        <v>45500</v>
      </c>
      <c r="J1239" s="3">
        <f>정규화데이터!J1239</f>
        <v>45500</v>
      </c>
      <c r="K1239" s="25" t="str">
        <f>정규화데이터!K1239</f>
        <v>[워커힐] 시그니처 양념갈비 300G</v>
      </c>
      <c r="L1239" s="25">
        <f>정규화데이터!L1239</f>
        <v>0</v>
      </c>
      <c r="M1239" s="21">
        <f t="shared" si="38"/>
        <v>45500</v>
      </c>
      <c r="N1239" s="52">
        <f t="shared" si="39"/>
        <v>1</v>
      </c>
    </row>
    <row r="1240" spans="1:14" x14ac:dyDescent="0.3">
      <c r="A1240" t="str">
        <f>정규화데이터!A1240</f>
        <v>리씽크</v>
      </c>
      <c r="B1240" t="str">
        <f>정규화데이터!B1240</f>
        <v>2026020518395850000</v>
      </c>
      <c r="C1240" t="str">
        <f>정규화데이터!C1240</f>
        <v>2026-02-05</v>
      </c>
      <c r="D1240">
        <f>정규화데이터!D1240</f>
        <v>143790</v>
      </c>
      <c r="E1240" s="16" t="str">
        <f>정규화데이터!E1240</f>
        <v>SKU001</v>
      </c>
      <c r="F1240" s="3">
        <f>정규화데이터!F1240</f>
        <v>4</v>
      </c>
      <c r="G1240" s="3">
        <f>정규화데이터!G1240</f>
        <v>1</v>
      </c>
      <c r="H1240" s="3">
        <f>정규화데이터!H1240</f>
        <v>45500</v>
      </c>
      <c r="I1240" s="3">
        <f>정규화데이터!I1240</f>
        <v>45500</v>
      </c>
      <c r="J1240" s="3">
        <f>정규화데이터!J1240</f>
        <v>45500</v>
      </c>
      <c r="K1240" s="25" t="str">
        <f>정규화데이터!K1240</f>
        <v>[워커힐] 시그니처 양념갈비 300G</v>
      </c>
      <c r="L1240" s="25">
        <f>정규화데이터!L1240</f>
        <v>0</v>
      </c>
      <c r="M1240" s="21">
        <f t="shared" si="38"/>
        <v>45500</v>
      </c>
      <c r="N1240" s="52">
        <f t="shared" si="39"/>
        <v>1</v>
      </c>
    </row>
    <row r="1241" spans="1:14" x14ac:dyDescent="0.3">
      <c r="A1241" t="str">
        <f>정규화데이터!A1241</f>
        <v>리씽크</v>
      </c>
      <c r="B1241" t="str">
        <f>정규화데이터!B1241</f>
        <v>2026020518480400000</v>
      </c>
      <c r="C1241" t="str">
        <f>정규화데이터!C1241</f>
        <v>2026-02-05</v>
      </c>
      <c r="D1241">
        <f>정규화데이터!D1241</f>
        <v>143790</v>
      </c>
      <c r="E1241" s="16" t="str">
        <f>정규화데이터!E1241</f>
        <v>SKU001</v>
      </c>
      <c r="F1241" s="3">
        <f>정규화데이터!F1241</f>
        <v>4</v>
      </c>
      <c r="G1241" s="3">
        <f>정규화데이터!G1241</f>
        <v>1</v>
      </c>
      <c r="H1241" s="3">
        <f>정규화데이터!H1241</f>
        <v>45500</v>
      </c>
      <c r="I1241" s="3">
        <f>정규화데이터!I1241</f>
        <v>45500</v>
      </c>
      <c r="J1241" s="3">
        <f>정규화데이터!J1241</f>
        <v>45500</v>
      </c>
      <c r="K1241" s="25" t="str">
        <f>정규화데이터!K1241</f>
        <v>[워커힐] 시그니처 양념갈비 300G</v>
      </c>
      <c r="L1241" s="25">
        <f>정규화데이터!L1241</f>
        <v>0</v>
      </c>
      <c r="M1241" s="21">
        <f t="shared" si="38"/>
        <v>45500</v>
      </c>
      <c r="N1241" s="52">
        <f t="shared" si="39"/>
        <v>1</v>
      </c>
    </row>
    <row r="1242" spans="1:14" x14ac:dyDescent="0.3">
      <c r="A1242" t="str">
        <f>정규화데이터!A1242</f>
        <v>리씽크</v>
      </c>
      <c r="B1242" t="str">
        <f>정규화데이터!B1242</f>
        <v>2026020518472560000</v>
      </c>
      <c r="C1242" t="str">
        <f>정규화데이터!C1242</f>
        <v>2026-02-05</v>
      </c>
      <c r="D1242">
        <f>정규화데이터!D1242</f>
        <v>143790</v>
      </c>
      <c r="E1242" s="16" t="str">
        <f>정규화데이터!E1242</f>
        <v>SKU001</v>
      </c>
      <c r="F1242" s="3">
        <f>정규화데이터!F1242</f>
        <v>4</v>
      </c>
      <c r="G1242" s="3">
        <f>정규화데이터!G1242</f>
        <v>1</v>
      </c>
      <c r="H1242" s="3">
        <f>정규화데이터!H1242</f>
        <v>45500</v>
      </c>
      <c r="I1242" s="3">
        <f>정규화데이터!I1242</f>
        <v>45500</v>
      </c>
      <c r="J1242" s="3">
        <f>정규화데이터!J1242</f>
        <v>45500</v>
      </c>
      <c r="K1242" s="25" t="str">
        <f>정규화데이터!K1242</f>
        <v>[워커힐] 시그니처 양념갈비 300G</v>
      </c>
      <c r="L1242" s="25">
        <f>정규화데이터!L1242</f>
        <v>0</v>
      </c>
      <c r="M1242" s="21">
        <f t="shared" si="38"/>
        <v>45500</v>
      </c>
      <c r="N1242" s="52">
        <f t="shared" si="39"/>
        <v>1</v>
      </c>
    </row>
    <row r="1243" spans="1:14" x14ac:dyDescent="0.3">
      <c r="A1243" t="str">
        <f>정규화데이터!A1243</f>
        <v>리씽크</v>
      </c>
      <c r="B1243" t="str">
        <f>정규화데이터!B1243</f>
        <v>2026020519172120000</v>
      </c>
      <c r="C1243" t="str">
        <f>정규화데이터!C1243</f>
        <v>2026-02-05</v>
      </c>
      <c r="D1243">
        <f>정규화데이터!D1243</f>
        <v>143790</v>
      </c>
      <c r="E1243" s="16" t="str">
        <f>정규화데이터!E1243</f>
        <v>SKU001</v>
      </c>
      <c r="F1243" s="3">
        <f>정규화데이터!F1243</f>
        <v>4</v>
      </c>
      <c r="G1243" s="3">
        <f>정규화데이터!G1243</f>
        <v>1</v>
      </c>
      <c r="H1243" s="3">
        <f>정규화데이터!H1243</f>
        <v>45500</v>
      </c>
      <c r="I1243" s="3">
        <f>정규화데이터!I1243</f>
        <v>45500</v>
      </c>
      <c r="J1243" s="3">
        <f>정규화데이터!J1243</f>
        <v>45500</v>
      </c>
      <c r="K1243" s="25" t="str">
        <f>정규화데이터!K1243</f>
        <v>[워커힐] 시그니처 양념갈비 300G</v>
      </c>
      <c r="L1243" s="25">
        <f>정규화데이터!L1243</f>
        <v>0</v>
      </c>
      <c r="M1243" s="21">
        <f t="shared" si="38"/>
        <v>45500</v>
      </c>
      <c r="N1243" s="52">
        <f t="shared" si="39"/>
        <v>1</v>
      </c>
    </row>
    <row r="1244" spans="1:14" x14ac:dyDescent="0.3">
      <c r="A1244" t="str">
        <f>정규화데이터!A1244</f>
        <v>리씽크</v>
      </c>
      <c r="B1244" t="str">
        <f>정규화데이터!B1244</f>
        <v>2026020519251270000</v>
      </c>
      <c r="C1244" t="str">
        <f>정규화데이터!C1244</f>
        <v>2026-02-05</v>
      </c>
      <c r="D1244">
        <f>정규화데이터!D1244</f>
        <v>143790</v>
      </c>
      <c r="E1244" s="16" t="str">
        <f>정규화데이터!E1244</f>
        <v>SKU001</v>
      </c>
      <c r="F1244" s="3">
        <f>정규화데이터!F1244</f>
        <v>4</v>
      </c>
      <c r="G1244" s="3">
        <f>정규화데이터!G1244</f>
        <v>1</v>
      </c>
      <c r="H1244" s="3">
        <f>정규화데이터!H1244</f>
        <v>45500</v>
      </c>
      <c r="I1244" s="3">
        <f>정규화데이터!I1244</f>
        <v>45500</v>
      </c>
      <c r="J1244" s="3">
        <f>정규화데이터!J1244</f>
        <v>45500</v>
      </c>
      <c r="K1244" s="25" t="str">
        <f>정규화데이터!K1244</f>
        <v>[워커힐] 시그니처 양념갈비 300G</v>
      </c>
      <c r="L1244" s="25">
        <f>정규화데이터!L1244</f>
        <v>0</v>
      </c>
      <c r="M1244" s="21">
        <f t="shared" si="38"/>
        <v>45500</v>
      </c>
      <c r="N1244" s="52">
        <f t="shared" si="39"/>
        <v>1</v>
      </c>
    </row>
    <row r="1245" spans="1:14" x14ac:dyDescent="0.3">
      <c r="A1245" t="str">
        <f>정규화데이터!A1245</f>
        <v>리씽크</v>
      </c>
      <c r="B1245" t="str">
        <f>정규화데이터!B1245</f>
        <v>2026020519484940000</v>
      </c>
      <c r="C1245" t="str">
        <f>정규화데이터!C1245</f>
        <v>2026-02-05</v>
      </c>
      <c r="D1245">
        <f>정규화데이터!D1245</f>
        <v>143790</v>
      </c>
      <c r="E1245" s="16" t="str">
        <f>정규화데이터!E1245</f>
        <v>SKU001</v>
      </c>
      <c r="F1245" s="3">
        <f>정규화데이터!F1245</f>
        <v>4</v>
      </c>
      <c r="G1245" s="3">
        <f>정규화데이터!G1245</f>
        <v>1</v>
      </c>
      <c r="H1245" s="3">
        <f>정규화데이터!H1245</f>
        <v>45500</v>
      </c>
      <c r="I1245" s="3">
        <f>정규화데이터!I1245</f>
        <v>45500</v>
      </c>
      <c r="J1245" s="3">
        <f>정규화데이터!J1245</f>
        <v>45500</v>
      </c>
      <c r="K1245" s="25" t="str">
        <f>정규화데이터!K1245</f>
        <v>[워커힐] 시그니처 양념갈비 300G</v>
      </c>
      <c r="L1245" s="25">
        <f>정규화데이터!L1245</f>
        <v>0</v>
      </c>
      <c r="M1245" s="21">
        <f t="shared" si="38"/>
        <v>45500</v>
      </c>
      <c r="N1245" s="52">
        <f t="shared" si="39"/>
        <v>1</v>
      </c>
    </row>
    <row r="1246" spans="1:14" x14ac:dyDescent="0.3">
      <c r="A1246" t="str">
        <f>정규화데이터!A1246</f>
        <v>리씽크</v>
      </c>
      <c r="B1246" t="str">
        <f>정규화데이터!B1246</f>
        <v>2026020519493300000</v>
      </c>
      <c r="C1246" t="str">
        <f>정규화데이터!C1246</f>
        <v>2026-02-05</v>
      </c>
      <c r="D1246">
        <f>정규화데이터!D1246</f>
        <v>143790</v>
      </c>
      <c r="E1246" s="16" t="str">
        <f>정규화데이터!E1246</f>
        <v>SKU001</v>
      </c>
      <c r="F1246" s="3">
        <f>정규화데이터!F1246</f>
        <v>4</v>
      </c>
      <c r="G1246" s="3">
        <f>정규화데이터!G1246</f>
        <v>1</v>
      </c>
      <c r="H1246" s="3">
        <f>정규화데이터!H1246</f>
        <v>45500</v>
      </c>
      <c r="I1246" s="3">
        <f>정규화데이터!I1246</f>
        <v>45500</v>
      </c>
      <c r="J1246" s="3">
        <f>정규화데이터!J1246</f>
        <v>45500</v>
      </c>
      <c r="K1246" s="25" t="str">
        <f>정규화데이터!K1246</f>
        <v>[워커힐] 시그니처 양념갈비 300G</v>
      </c>
      <c r="L1246" s="25">
        <f>정규화데이터!L1246</f>
        <v>0</v>
      </c>
      <c r="M1246" s="21">
        <f t="shared" si="38"/>
        <v>45500</v>
      </c>
      <c r="N1246" s="52">
        <f t="shared" si="39"/>
        <v>1</v>
      </c>
    </row>
    <row r="1247" spans="1:14" x14ac:dyDescent="0.3">
      <c r="A1247" t="str">
        <f>정규화데이터!A1247</f>
        <v>리씽크</v>
      </c>
      <c r="B1247" t="str">
        <f>정규화데이터!B1247</f>
        <v>2026020520050260000</v>
      </c>
      <c r="C1247" t="str">
        <f>정규화데이터!C1247</f>
        <v>2026-02-05</v>
      </c>
      <c r="D1247">
        <f>정규화데이터!D1247</f>
        <v>143790</v>
      </c>
      <c r="E1247" s="16" t="str">
        <f>정규화데이터!E1247</f>
        <v>SKU001</v>
      </c>
      <c r="F1247" s="3">
        <f>정규화데이터!F1247</f>
        <v>4</v>
      </c>
      <c r="G1247" s="3">
        <f>정규화데이터!G1247</f>
        <v>1</v>
      </c>
      <c r="H1247" s="3">
        <f>정규화데이터!H1247</f>
        <v>45500</v>
      </c>
      <c r="I1247" s="3">
        <f>정규화데이터!I1247</f>
        <v>45500</v>
      </c>
      <c r="J1247" s="3">
        <f>정규화데이터!J1247</f>
        <v>45500</v>
      </c>
      <c r="K1247" s="25" t="str">
        <f>정규화데이터!K1247</f>
        <v>[워커힐] 시그니처 양념갈비 300G</v>
      </c>
      <c r="L1247" s="25">
        <f>정규화데이터!L1247</f>
        <v>0</v>
      </c>
      <c r="M1247" s="21">
        <f t="shared" si="38"/>
        <v>45500</v>
      </c>
      <c r="N1247" s="52">
        <f t="shared" si="39"/>
        <v>1</v>
      </c>
    </row>
    <row r="1248" spans="1:14" x14ac:dyDescent="0.3">
      <c r="A1248" t="str">
        <f>정규화데이터!A1248</f>
        <v>리씽크</v>
      </c>
      <c r="B1248" t="str">
        <f>정규화데이터!B1248</f>
        <v>2026020520272230000</v>
      </c>
      <c r="C1248" t="str">
        <f>정규화데이터!C1248</f>
        <v>2026-02-05</v>
      </c>
      <c r="D1248">
        <f>정규화데이터!D1248</f>
        <v>143790</v>
      </c>
      <c r="E1248" s="16" t="str">
        <f>정규화데이터!E1248</f>
        <v>SKU001</v>
      </c>
      <c r="F1248" s="3">
        <f>정규화데이터!F1248</f>
        <v>4</v>
      </c>
      <c r="G1248" s="3">
        <f>정규화데이터!G1248</f>
        <v>1</v>
      </c>
      <c r="H1248" s="3">
        <f>정규화데이터!H1248</f>
        <v>45500</v>
      </c>
      <c r="I1248" s="3">
        <f>정규화데이터!I1248</f>
        <v>45500</v>
      </c>
      <c r="J1248" s="3">
        <f>정규화데이터!J1248</f>
        <v>45500</v>
      </c>
      <c r="K1248" s="25" t="str">
        <f>정규화데이터!K1248</f>
        <v>[워커힐] 시그니처 양념갈비 300G</v>
      </c>
      <c r="L1248" s="25">
        <f>정규화데이터!L1248</f>
        <v>0</v>
      </c>
      <c r="M1248" s="21">
        <f t="shared" si="38"/>
        <v>45500</v>
      </c>
      <c r="N1248" s="52">
        <f t="shared" si="39"/>
        <v>1</v>
      </c>
    </row>
    <row r="1249" spans="1:14" x14ac:dyDescent="0.3">
      <c r="A1249" t="str">
        <f>정규화데이터!A1249</f>
        <v>리씽크</v>
      </c>
      <c r="B1249" t="str">
        <f>정규화데이터!B1249</f>
        <v>2026020520310340000</v>
      </c>
      <c r="C1249" t="str">
        <f>정규화데이터!C1249</f>
        <v>2026-02-05</v>
      </c>
      <c r="D1249">
        <f>정규화데이터!D1249</f>
        <v>143790</v>
      </c>
      <c r="E1249" s="16" t="str">
        <f>정규화데이터!E1249</f>
        <v>SKU001</v>
      </c>
      <c r="F1249" s="3">
        <f>정규화데이터!F1249</f>
        <v>4</v>
      </c>
      <c r="G1249" s="3">
        <f>정규화데이터!G1249</f>
        <v>1</v>
      </c>
      <c r="H1249" s="3">
        <f>정규화데이터!H1249</f>
        <v>45500</v>
      </c>
      <c r="I1249" s="3">
        <f>정규화데이터!I1249</f>
        <v>45500</v>
      </c>
      <c r="J1249" s="3">
        <f>정규화데이터!J1249</f>
        <v>45500</v>
      </c>
      <c r="K1249" s="25" t="str">
        <f>정규화데이터!K1249</f>
        <v>[워커힐] 시그니처 양념갈비 300G</v>
      </c>
      <c r="L1249" s="25">
        <f>정규화데이터!L1249</f>
        <v>0</v>
      </c>
      <c r="M1249" s="21">
        <f t="shared" si="38"/>
        <v>45500</v>
      </c>
      <c r="N1249" s="52">
        <f t="shared" si="39"/>
        <v>1</v>
      </c>
    </row>
    <row r="1250" spans="1:14" x14ac:dyDescent="0.3">
      <c r="A1250" t="str">
        <f>정규화데이터!A1250</f>
        <v>리씽크</v>
      </c>
      <c r="B1250" t="str">
        <f>정규화데이터!B1250</f>
        <v>2026020521040350000</v>
      </c>
      <c r="C1250" t="str">
        <f>정규화데이터!C1250</f>
        <v>2026-02-05</v>
      </c>
      <c r="D1250">
        <f>정규화데이터!D1250</f>
        <v>143790</v>
      </c>
      <c r="E1250" s="16" t="str">
        <f>정규화데이터!E1250</f>
        <v>SKU001</v>
      </c>
      <c r="F1250" s="3">
        <f>정규화데이터!F1250</f>
        <v>4</v>
      </c>
      <c r="G1250" s="3">
        <f>정규화데이터!G1250</f>
        <v>1</v>
      </c>
      <c r="H1250" s="3">
        <f>정규화데이터!H1250</f>
        <v>45500</v>
      </c>
      <c r="I1250" s="3">
        <f>정규화데이터!I1250</f>
        <v>45500</v>
      </c>
      <c r="J1250" s="3">
        <f>정규화데이터!J1250</f>
        <v>45500</v>
      </c>
      <c r="K1250" s="25" t="str">
        <f>정규화데이터!K1250</f>
        <v>[워커힐] 시그니처 양념갈비 300G</v>
      </c>
      <c r="L1250" s="25">
        <f>정규화데이터!L1250</f>
        <v>0</v>
      </c>
      <c r="M1250" s="21">
        <f t="shared" si="38"/>
        <v>45500</v>
      </c>
      <c r="N1250" s="52">
        <f t="shared" si="39"/>
        <v>1</v>
      </c>
    </row>
    <row r="1251" spans="1:14" x14ac:dyDescent="0.3">
      <c r="A1251" t="str">
        <f>정규화데이터!A1251</f>
        <v>리씽크</v>
      </c>
      <c r="B1251" t="str">
        <f>정규화데이터!B1251</f>
        <v>2026020521162750000</v>
      </c>
      <c r="C1251" t="str">
        <f>정규화데이터!C1251</f>
        <v>2026-02-05</v>
      </c>
      <c r="D1251">
        <f>정규화데이터!D1251</f>
        <v>143790</v>
      </c>
      <c r="E1251" s="16" t="str">
        <f>정규화데이터!E1251</f>
        <v>SKU001</v>
      </c>
      <c r="F1251" s="3">
        <f>정규화데이터!F1251</f>
        <v>4</v>
      </c>
      <c r="G1251" s="3">
        <f>정규화데이터!G1251</f>
        <v>1</v>
      </c>
      <c r="H1251" s="3">
        <f>정규화데이터!H1251</f>
        <v>45500</v>
      </c>
      <c r="I1251" s="3">
        <f>정규화데이터!I1251</f>
        <v>45500</v>
      </c>
      <c r="J1251" s="3">
        <f>정규화데이터!J1251</f>
        <v>45500</v>
      </c>
      <c r="K1251" s="25" t="str">
        <f>정규화데이터!K1251</f>
        <v>[워커힐] 시그니처 양념갈비 300G</v>
      </c>
      <c r="L1251" s="25">
        <f>정규화데이터!L1251</f>
        <v>0</v>
      </c>
      <c r="M1251" s="21">
        <f t="shared" si="38"/>
        <v>45500</v>
      </c>
      <c r="N1251" s="52">
        <f t="shared" si="39"/>
        <v>1</v>
      </c>
    </row>
    <row r="1252" spans="1:14" x14ac:dyDescent="0.3">
      <c r="A1252" t="str">
        <f>정규화데이터!A1252</f>
        <v>리씽크</v>
      </c>
      <c r="B1252" t="str">
        <f>정규화데이터!B1252</f>
        <v>2026020521183230000</v>
      </c>
      <c r="C1252" t="str">
        <f>정규화데이터!C1252</f>
        <v>2026-02-05</v>
      </c>
      <c r="D1252">
        <f>정규화데이터!D1252</f>
        <v>143790</v>
      </c>
      <c r="E1252" s="16" t="str">
        <f>정규화데이터!E1252</f>
        <v>SKU001</v>
      </c>
      <c r="F1252" s="3">
        <f>정규화데이터!F1252</f>
        <v>4</v>
      </c>
      <c r="G1252" s="3">
        <f>정규화데이터!G1252</f>
        <v>1</v>
      </c>
      <c r="H1252" s="3">
        <f>정규화데이터!H1252</f>
        <v>45500</v>
      </c>
      <c r="I1252" s="3">
        <f>정규화데이터!I1252</f>
        <v>45500</v>
      </c>
      <c r="J1252" s="3">
        <f>정규화데이터!J1252</f>
        <v>45500</v>
      </c>
      <c r="K1252" s="25" t="str">
        <f>정규화데이터!K1252</f>
        <v>[워커힐] 시그니처 양념갈비 300G</v>
      </c>
      <c r="L1252" s="25">
        <f>정규화데이터!L1252</f>
        <v>0</v>
      </c>
      <c r="M1252" s="21">
        <f t="shared" si="38"/>
        <v>45500</v>
      </c>
      <c r="N1252" s="52">
        <f t="shared" si="39"/>
        <v>1</v>
      </c>
    </row>
    <row r="1253" spans="1:14" x14ac:dyDescent="0.3">
      <c r="A1253" t="str">
        <f>정규화데이터!A1253</f>
        <v>리씽크</v>
      </c>
      <c r="B1253" t="str">
        <f>정규화데이터!B1253</f>
        <v>2026020522205450000</v>
      </c>
      <c r="C1253" t="str">
        <f>정규화데이터!C1253</f>
        <v>2026-02-05</v>
      </c>
      <c r="D1253">
        <f>정규화데이터!D1253</f>
        <v>143790</v>
      </c>
      <c r="E1253" s="16" t="str">
        <f>정규화데이터!E1253</f>
        <v>SKU001</v>
      </c>
      <c r="F1253" s="3">
        <f>정규화데이터!F1253</f>
        <v>4</v>
      </c>
      <c r="G1253" s="3">
        <f>정규화데이터!G1253</f>
        <v>1</v>
      </c>
      <c r="H1253" s="3">
        <f>정규화데이터!H1253</f>
        <v>45500</v>
      </c>
      <c r="I1253" s="3">
        <f>정규화데이터!I1253</f>
        <v>45500</v>
      </c>
      <c r="J1253" s="3">
        <f>정규화데이터!J1253</f>
        <v>45500</v>
      </c>
      <c r="K1253" s="25" t="str">
        <f>정규화데이터!K1253</f>
        <v>[워커힐] 시그니처 양념갈비 300G</v>
      </c>
      <c r="L1253" s="25">
        <f>정규화데이터!L1253</f>
        <v>0</v>
      </c>
      <c r="M1253" s="21">
        <f t="shared" si="38"/>
        <v>45500</v>
      </c>
      <c r="N1253" s="52">
        <f t="shared" si="39"/>
        <v>1</v>
      </c>
    </row>
    <row r="1254" spans="1:14" x14ac:dyDescent="0.3">
      <c r="A1254" t="str">
        <f>정규화데이터!A1254</f>
        <v>리씽크</v>
      </c>
      <c r="B1254" t="str">
        <f>정규화데이터!B1254</f>
        <v>2026020522305020000</v>
      </c>
      <c r="C1254" t="str">
        <f>정규화데이터!C1254</f>
        <v>2026-02-05</v>
      </c>
      <c r="D1254">
        <f>정규화데이터!D1254</f>
        <v>143790</v>
      </c>
      <c r="E1254" s="16" t="str">
        <f>정규화데이터!E1254</f>
        <v>SKU001</v>
      </c>
      <c r="F1254" s="3">
        <f>정규화데이터!F1254</f>
        <v>4</v>
      </c>
      <c r="G1254" s="3">
        <f>정규화데이터!G1254</f>
        <v>1</v>
      </c>
      <c r="H1254" s="3">
        <f>정규화데이터!H1254</f>
        <v>45500</v>
      </c>
      <c r="I1254" s="3">
        <f>정규화데이터!I1254</f>
        <v>45500</v>
      </c>
      <c r="J1254" s="3">
        <f>정규화데이터!J1254</f>
        <v>45500</v>
      </c>
      <c r="K1254" s="25" t="str">
        <f>정규화데이터!K1254</f>
        <v>[워커힐] 시그니처 양념갈비 300G</v>
      </c>
      <c r="L1254" s="25">
        <f>정규화데이터!L1254</f>
        <v>0</v>
      </c>
      <c r="M1254" s="21">
        <f t="shared" si="38"/>
        <v>45500</v>
      </c>
      <c r="N1254" s="52">
        <f t="shared" si="39"/>
        <v>1</v>
      </c>
    </row>
    <row r="1255" spans="1:14" x14ac:dyDescent="0.3">
      <c r="A1255" t="str">
        <f>정규화데이터!A1255</f>
        <v>리씽크</v>
      </c>
      <c r="B1255" t="str">
        <f>정규화데이터!B1255</f>
        <v>2026020522374460000</v>
      </c>
      <c r="C1255" t="str">
        <f>정규화데이터!C1255</f>
        <v>2026-02-05</v>
      </c>
      <c r="D1255">
        <f>정규화데이터!D1255</f>
        <v>143790</v>
      </c>
      <c r="E1255" s="16" t="str">
        <f>정규화데이터!E1255</f>
        <v>SKU001</v>
      </c>
      <c r="F1255" s="3">
        <f>정규화데이터!F1255</f>
        <v>4</v>
      </c>
      <c r="G1255" s="3">
        <f>정규화데이터!G1255</f>
        <v>3</v>
      </c>
      <c r="H1255" s="3">
        <f>정규화데이터!H1255</f>
        <v>45500</v>
      </c>
      <c r="I1255" s="3">
        <f>정규화데이터!I1255</f>
        <v>136500</v>
      </c>
      <c r="J1255" s="3">
        <f>정규화데이터!J1255</f>
        <v>136500</v>
      </c>
      <c r="K1255" s="25" t="str">
        <f>정규화데이터!K1255</f>
        <v>[워커힐] 시그니처 양념갈비 300G</v>
      </c>
      <c r="L1255" s="25">
        <f>정규화데이터!L1255</f>
        <v>0</v>
      </c>
      <c r="M1255" s="21">
        <f t="shared" si="38"/>
        <v>136500</v>
      </c>
      <c r="N1255" s="52">
        <f t="shared" si="39"/>
        <v>1</v>
      </c>
    </row>
    <row r="1256" spans="1:14" x14ac:dyDescent="0.3">
      <c r="A1256" t="str">
        <f>정규화데이터!A1256</f>
        <v>리씽크</v>
      </c>
      <c r="B1256" t="str">
        <f>정규화데이터!B1256</f>
        <v>2026020522415470000</v>
      </c>
      <c r="C1256" t="str">
        <f>정규화데이터!C1256</f>
        <v>2026-02-05</v>
      </c>
      <c r="D1256">
        <f>정규화데이터!D1256</f>
        <v>143790</v>
      </c>
      <c r="E1256" s="16" t="str">
        <f>정규화데이터!E1256</f>
        <v>SKU001</v>
      </c>
      <c r="F1256" s="3">
        <f>정규화데이터!F1256</f>
        <v>4</v>
      </c>
      <c r="G1256" s="3">
        <f>정규화데이터!G1256</f>
        <v>1</v>
      </c>
      <c r="H1256" s="3">
        <f>정규화데이터!H1256</f>
        <v>45500</v>
      </c>
      <c r="I1256" s="3">
        <f>정규화데이터!I1256</f>
        <v>45500</v>
      </c>
      <c r="J1256" s="3">
        <f>정규화데이터!J1256</f>
        <v>45500</v>
      </c>
      <c r="K1256" s="25" t="str">
        <f>정규화데이터!K1256</f>
        <v>[워커힐] 시그니처 양념갈비 300G</v>
      </c>
      <c r="L1256" s="25">
        <f>정규화데이터!L1256</f>
        <v>0</v>
      </c>
      <c r="M1256" s="21">
        <f t="shared" si="38"/>
        <v>45500</v>
      </c>
      <c r="N1256" s="52">
        <f t="shared" si="39"/>
        <v>1</v>
      </c>
    </row>
    <row r="1257" spans="1:14" x14ac:dyDescent="0.3">
      <c r="A1257" t="str">
        <f>정규화데이터!A1257</f>
        <v>리씽크</v>
      </c>
      <c r="B1257" t="str">
        <f>정규화데이터!B1257</f>
        <v>2026020522465410000</v>
      </c>
      <c r="C1257" t="str">
        <f>정규화데이터!C1257</f>
        <v>2026-02-05</v>
      </c>
      <c r="D1257">
        <f>정규화데이터!D1257</f>
        <v>143790</v>
      </c>
      <c r="E1257" s="16" t="str">
        <f>정규화데이터!E1257</f>
        <v>SKU001</v>
      </c>
      <c r="F1257" s="3">
        <f>정규화데이터!F1257</f>
        <v>4</v>
      </c>
      <c r="G1257" s="3">
        <f>정규화데이터!G1257</f>
        <v>1</v>
      </c>
      <c r="H1257" s="3">
        <f>정규화데이터!H1257</f>
        <v>45500</v>
      </c>
      <c r="I1257" s="3">
        <f>정규화데이터!I1257</f>
        <v>45500</v>
      </c>
      <c r="J1257" s="3">
        <f>정규화데이터!J1257</f>
        <v>45500</v>
      </c>
      <c r="K1257" s="25" t="str">
        <f>정규화데이터!K1257</f>
        <v>[워커힐] 시그니처 양념갈비 300G</v>
      </c>
      <c r="L1257" s="25">
        <f>정규화데이터!L1257</f>
        <v>0</v>
      </c>
      <c r="M1257" s="21">
        <f t="shared" si="38"/>
        <v>45500</v>
      </c>
      <c r="N1257" s="52">
        <f t="shared" si="39"/>
        <v>1</v>
      </c>
    </row>
    <row r="1258" spans="1:14" x14ac:dyDescent="0.3">
      <c r="A1258" t="str">
        <f>정규화데이터!A1258</f>
        <v>리씽크</v>
      </c>
      <c r="B1258" t="str">
        <f>정규화데이터!B1258</f>
        <v>2026020523332730000</v>
      </c>
      <c r="C1258" t="str">
        <f>정규화데이터!C1258</f>
        <v>2026-02-05</v>
      </c>
      <c r="D1258">
        <f>정규화데이터!D1258</f>
        <v>143790</v>
      </c>
      <c r="E1258" s="16" t="str">
        <f>정규화데이터!E1258</f>
        <v>SKU001</v>
      </c>
      <c r="F1258" s="3">
        <f>정규화데이터!F1258</f>
        <v>4</v>
      </c>
      <c r="G1258" s="3">
        <f>정규화데이터!G1258</f>
        <v>1</v>
      </c>
      <c r="H1258" s="3">
        <f>정규화데이터!H1258</f>
        <v>45500</v>
      </c>
      <c r="I1258" s="3">
        <f>정규화데이터!I1258</f>
        <v>45500</v>
      </c>
      <c r="J1258" s="3">
        <f>정규화데이터!J1258</f>
        <v>45500</v>
      </c>
      <c r="K1258" s="25" t="str">
        <f>정규화데이터!K1258</f>
        <v>[워커힐] 시그니처 양념갈비 300G</v>
      </c>
      <c r="L1258" s="25">
        <f>정규화데이터!L1258</f>
        <v>0</v>
      </c>
      <c r="M1258" s="21">
        <f t="shared" si="38"/>
        <v>45500</v>
      </c>
      <c r="N1258" s="52">
        <f t="shared" si="39"/>
        <v>1</v>
      </c>
    </row>
    <row r="1259" spans="1:14" x14ac:dyDescent="0.3">
      <c r="A1259" t="str">
        <f>정규화데이터!A1259</f>
        <v>리씽크</v>
      </c>
      <c r="B1259" t="str">
        <f>정규화데이터!B1259</f>
        <v>2026020523382810000</v>
      </c>
      <c r="C1259" t="str">
        <f>정규화데이터!C1259</f>
        <v>2026-02-05</v>
      </c>
      <c r="D1259">
        <f>정규화데이터!D1259</f>
        <v>143790</v>
      </c>
      <c r="E1259" s="16" t="str">
        <f>정규화데이터!E1259</f>
        <v>SKU001</v>
      </c>
      <c r="F1259" s="3">
        <f>정규화데이터!F1259</f>
        <v>4</v>
      </c>
      <c r="G1259" s="3">
        <f>정규화데이터!G1259</f>
        <v>3</v>
      </c>
      <c r="H1259" s="3">
        <f>정규화데이터!H1259</f>
        <v>45500</v>
      </c>
      <c r="I1259" s="3">
        <f>정규화데이터!I1259</f>
        <v>136500</v>
      </c>
      <c r="J1259" s="3">
        <f>정규화데이터!J1259</f>
        <v>136500</v>
      </c>
      <c r="K1259" s="25" t="str">
        <f>정규화데이터!K1259</f>
        <v>[워커힐] 시그니처 양념갈비 300G</v>
      </c>
      <c r="L1259" s="25">
        <f>정규화데이터!L1259</f>
        <v>0</v>
      </c>
      <c r="M1259" s="21">
        <f t="shared" si="38"/>
        <v>136500</v>
      </c>
      <c r="N1259" s="52">
        <f t="shared" si="39"/>
        <v>1</v>
      </c>
    </row>
    <row r="1260" spans="1:14" x14ac:dyDescent="0.3">
      <c r="A1260" t="str">
        <f>정규화데이터!A1260</f>
        <v>리씽크</v>
      </c>
      <c r="B1260" t="str">
        <f>정규화데이터!B1260</f>
        <v>2026020523473730000</v>
      </c>
      <c r="C1260" t="str">
        <f>정규화데이터!C1260</f>
        <v>2026-02-05</v>
      </c>
      <c r="D1260">
        <f>정규화데이터!D1260</f>
        <v>143790</v>
      </c>
      <c r="E1260" s="16" t="str">
        <f>정규화데이터!E1260</f>
        <v>SKU001</v>
      </c>
      <c r="F1260" s="3">
        <f>정규화데이터!F1260</f>
        <v>4</v>
      </c>
      <c r="G1260" s="3">
        <f>정규화데이터!G1260</f>
        <v>1</v>
      </c>
      <c r="H1260" s="3">
        <f>정규화데이터!H1260</f>
        <v>45500</v>
      </c>
      <c r="I1260" s="3">
        <f>정규화데이터!I1260</f>
        <v>45500</v>
      </c>
      <c r="J1260" s="3">
        <f>정규화데이터!J1260</f>
        <v>45500</v>
      </c>
      <c r="K1260" s="25" t="str">
        <f>정규화데이터!K1260</f>
        <v>[워커힐] 시그니처 양념갈비 300G</v>
      </c>
      <c r="L1260" s="25">
        <f>정규화데이터!L1260</f>
        <v>0</v>
      </c>
      <c r="M1260" s="21">
        <f t="shared" si="38"/>
        <v>45500</v>
      </c>
      <c r="N1260" s="52">
        <f t="shared" si="39"/>
        <v>1</v>
      </c>
    </row>
    <row r="1261" spans="1:14" x14ac:dyDescent="0.3">
      <c r="A1261" t="str">
        <f>정규화데이터!A1261</f>
        <v>리씽크</v>
      </c>
      <c r="B1261" t="str">
        <f>정규화데이터!B1261</f>
        <v>2026020523475850000</v>
      </c>
      <c r="C1261" t="str">
        <f>정규화데이터!C1261</f>
        <v>2026-02-05</v>
      </c>
      <c r="D1261">
        <f>정규화데이터!D1261</f>
        <v>143790</v>
      </c>
      <c r="E1261" s="16" t="str">
        <f>정규화데이터!E1261</f>
        <v>SKU001</v>
      </c>
      <c r="F1261" s="3">
        <f>정규화데이터!F1261</f>
        <v>4</v>
      </c>
      <c r="G1261" s="3">
        <f>정규화데이터!G1261</f>
        <v>1</v>
      </c>
      <c r="H1261" s="3">
        <f>정규화데이터!H1261</f>
        <v>45500</v>
      </c>
      <c r="I1261" s="3">
        <f>정규화데이터!I1261</f>
        <v>45500</v>
      </c>
      <c r="J1261" s="3">
        <f>정규화데이터!J1261</f>
        <v>45500</v>
      </c>
      <c r="K1261" s="25" t="str">
        <f>정규화데이터!K1261</f>
        <v>[워커힐] 시그니처 양념갈비 300G</v>
      </c>
      <c r="L1261" s="25">
        <f>정규화데이터!L1261</f>
        <v>0</v>
      </c>
      <c r="M1261" s="21">
        <f t="shared" si="38"/>
        <v>45500</v>
      </c>
      <c r="N1261" s="52">
        <f t="shared" si="39"/>
        <v>1</v>
      </c>
    </row>
    <row r="1262" spans="1:14" x14ac:dyDescent="0.3">
      <c r="A1262" t="str">
        <f>정규화데이터!A1262</f>
        <v>리씽크</v>
      </c>
      <c r="B1262" t="str">
        <f>정규화데이터!B1262</f>
        <v>2026020600080500000</v>
      </c>
      <c r="C1262" t="str">
        <f>정규화데이터!C1262</f>
        <v>2026-02-06</v>
      </c>
      <c r="D1262">
        <f>정규화데이터!D1262</f>
        <v>143790</v>
      </c>
      <c r="E1262" s="16" t="str">
        <f>정규화데이터!E1262</f>
        <v>SKU001</v>
      </c>
      <c r="F1262" s="3">
        <f>정규화데이터!F1262</f>
        <v>4</v>
      </c>
      <c r="G1262" s="3">
        <f>정규화데이터!G1262</f>
        <v>1</v>
      </c>
      <c r="H1262" s="3">
        <f>정규화데이터!H1262</f>
        <v>45500</v>
      </c>
      <c r="I1262" s="3">
        <f>정규화데이터!I1262</f>
        <v>45500</v>
      </c>
      <c r="J1262" s="3">
        <f>정규화데이터!J1262</f>
        <v>45500</v>
      </c>
      <c r="K1262" s="25" t="str">
        <f>정규화데이터!K1262</f>
        <v>[워커힐] 시그니처 양념갈비 300G</v>
      </c>
      <c r="L1262" s="25">
        <f>정규화데이터!L1262</f>
        <v>0</v>
      </c>
      <c r="M1262" s="21">
        <f t="shared" si="38"/>
        <v>45500</v>
      </c>
      <c r="N1262" s="52">
        <f t="shared" si="39"/>
        <v>1</v>
      </c>
    </row>
    <row r="1263" spans="1:14" x14ac:dyDescent="0.3">
      <c r="A1263" t="str">
        <f>정규화데이터!A1263</f>
        <v>리씽크</v>
      </c>
      <c r="B1263" t="str">
        <f>정규화데이터!B1263</f>
        <v>2026020600195270000</v>
      </c>
      <c r="C1263" t="str">
        <f>정규화데이터!C1263</f>
        <v>2026-02-06</v>
      </c>
      <c r="D1263">
        <f>정규화데이터!D1263</f>
        <v>143790</v>
      </c>
      <c r="E1263" s="16" t="str">
        <f>정규화데이터!E1263</f>
        <v>SKU001</v>
      </c>
      <c r="F1263" s="3">
        <f>정규화데이터!F1263</f>
        <v>4</v>
      </c>
      <c r="G1263" s="3">
        <f>정규화데이터!G1263</f>
        <v>1</v>
      </c>
      <c r="H1263" s="3">
        <f>정규화데이터!H1263</f>
        <v>45500</v>
      </c>
      <c r="I1263" s="3">
        <f>정규화데이터!I1263</f>
        <v>45500</v>
      </c>
      <c r="J1263" s="3">
        <f>정규화데이터!J1263</f>
        <v>45500</v>
      </c>
      <c r="K1263" s="25" t="str">
        <f>정규화데이터!K1263</f>
        <v>[워커힐] 시그니처 양념갈비 300G</v>
      </c>
      <c r="L1263" s="25">
        <f>정규화데이터!L1263</f>
        <v>0</v>
      </c>
      <c r="M1263" s="21">
        <f t="shared" si="38"/>
        <v>45500</v>
      </c>
      <c r="N1263" s="52">
        <f t="shared" si="39"/>
        <v>1</v>
      </c>
    </row>
    <row r="1264" spans="1:14" x14ac:dyDescent="0.3">
      <c r="A1264" t="str">
        <f>정규화데이터!A1264</f>
        <v>리씽크</v>
      </c>
      <c r="B1264" t="str">
        <f>정규화데이터!B1264</f>
        <v>2026020600424370000</v>
      </c>
      <c r="C1264" t="str">
        <f>정규화데이터!C1264</f>
        <v>2026-02-06</v>
      </c>
      <c r="D1264">
        <f>정규화데이터!D1264</f>
        <v>143790</v>
      </c>
      <c r="E1264" s="16" t="str">
        <f>정규화데이터!E1264</f>
        <v>SKU001</v>
      </c>
      <c r="F1264" s="3">
        <f>정규화데이터!F1264</f>
        <v>4</v>
      </c>
      <c r="G1264" s="3">
        <f>정규화데이터!G1264</f>
        <v>1</v>
      </c>
      <c r="H1264" s="3">
        <f>정규화데이터!H1264</f>
        <v>45500</v>
      </c>
      <c r="I1264" s="3">
        <f>정규화데이터!I1264</f>
        <v>45500</v>
      </c>
      <c r="J1264" s="3">
        <f>정규화데이터!J1264</f>
        <v>45500</v>
      </c>
      <c r="K1264" s="25" t="str">
        <f>정규화데이터!K1264</f>
        <v>[워커힐] 시그니처 양념갈비 300G</v>
      </c>
      <c r="L1264" s="25">
        <f>정규화데이터!L1264</f>
        <v>0</v>
      </c>
      <c r="M1264" s="21">
        <f t="shared" si="38"/>
        <v>45500</v>
      </c>
      <c r="N1264" s="52">
        <f t="shared" si="39"/>
        <v>1</v>
      </c>
    </row>
    <row r="1265" spans="1:14" x14ac:dyDescent="0.3">
      <c r="A1265" t="str">
        <f>정규화데이터!A1265</f>
        <v>리씽크</v>
      </c>
      <c r="B1265" t="str">
        <f>정규화데이터!B1265</f>
        <v>2026020601232120000</v>
      </c>
      <c r="C1265" t="str">
        <f>정규화데이터!C1265</f>
        <v>2026-02-06</v>
      </c>
      <c r="D1265">
        <f>정규화데이터!D1265</f>
        <v>143790</v>
      </c>
      <c r="E1265" s="16" t="str">
        <f>정규화데이터!E1265</f>
        <v>SKU001</v>
      </c>
      <c r="F1265" s="3">
        <f>정규화데이터!F1265</f>
        <v>4</v>
      </c>
      <c r="G1265" s="3">
        <f>정규화데이터!G1265</f>
        <v>1</v>
      </c>
      <c r="H1265" s="3">
        <f>정규화데이터!H1265</f>
        <v>45500</v>
      </c>
      <c r="I1265" s="3">
        <f>정규화데이터!I1265</f>
        <v>45500</v>
      </c>
      <c r="J1265" s="3">
        <f>정규화데이터!J1265</f>
        <v>45500</v>
      </c>
      <c r="K1265" s="25" t="str">
        <f>정규화데이터!K1265</f>
        <v>[워커힐] 시그니처 양념갈비 300G</v>
      </c>
      <c r="L1265" s="25">
        <f>정규화데이터!L1265</f>
        <v>0</v>
      </c>
      <c r="M1265" s="21">
        <f t="shared" si="38"/>
        <v>45500</v>
      </c>
      <c r="N1265" s="52">
        <f t="shared" si="39"/>
        <v>1</v>
      </c>
    </row>
    <row r="1266" spans="1:14" x14ac:dyDescent="0.3">
      <c r="A1266" t="str">
        <f>정규화데이터!A1266</f>
        <v>리씽크</v>
      </c>
      <c r="B1266" t="str">
        <f>정규화데이터!B1266</f>
        <v>2026020601253700000</v>
      </c>
      <c r="C1266" t="str">
        <f>정규화데이터!C1266</f>
        <v>2026-02-06</v>
      </c>
      <c r="D1266">
        <f>정규화데이터!D1266</f>
        <v>143790</v>
      </c>
      <c r="E1266" s="16" t="str">
        <f>정규화데이터!E1266</f>
        <v>SKU001</v>
      </c>
      <c r="F1266" s="3">
        <f>정규화데이터!F1266</f>
        <v>4</v>
      </c>
      <c r="G1266" s="3">
        <f>정규화데이터!G1266</f>
        <v>1</v>
      </c>
      <c r="H1266" s="3">
        <f>정규화데이터!H1266</f>
        <v>45500</v>
      </c>
      <c r="I1266" s="3">
        <f>정규화데이터!I1266</f>
        <v>45500</v>
      </c>
      <c r="J1266" s="3">
        <f>정규화데이터!J1266</f>
        <v>45500</v>
      </c>
      <c r="K1266" s="25" t="str">
        <f>정규화데이터!K1266</f>
        <v>[워커힐] 시그니처 양념갈비 300G</v>
      </c>
      <c r="L1266" s="25">
        <f>정규화데이터!L1266</f>
        <v>0</v>
      </c>
      <c r="M1266" s="21">
        <f t="shared" si="38"/>
        <v>45500</v>
      </c>
      <c r="N1266" s="52">
        <f t="shared" si="39"/>
        <v>1</v>
      </c>
    </row>
    <row r="1267" spans="1:14" x14ac:dyDescent="0.3">
      <c r="A1267" t="str">
        <f>정규화데이터!A1267</f>
        <v>리씽크</v>
      </c>
      <c r="B1267" t="str">
        <f>정규화데이터!B1267</f>
        <v>2026020606421000000</v>
      </c>
      <c r="C1267" t="str">
        <f>정규화데이터!C1267</f>
        <v>2026-02-06</v>
      </c>
      <c r="D1267">
        <f>정규화데이터!D1267</f>
        <v>143790</v>
      </c>
      <c r="E1267" s="16" t="str">
        <f>정규화데이터!E1267</f>
        <v>SKU001</v>
      </c>
      <c r="F1267" s="3">
        <f>정규화데이터!F1267</f>
        <v>4</v>
      </c>
      <c r="G1267" s="3">
        <f>정규화데이터!G1267</f>
        <v>1</v>
      </c>
      <c r="H1267" s="3">
        <f>정규화데이터!H1267</f>
        <v>45500</v>
      </c>
      <c r="I1267" s="3">
        <f>정규화데이터!I1267</f>
        <v>45500</v>
      </c>
      <c r="J1267" s="3">
        <f>정규화데이터!J1267</f>
        <v>45500</v>
      </c>
      <c r="K1267" s="25" t="str">
        <f>정규화데이터!K1267</f>
        <v>[워커힐] 시그니처 양념갈비 300G</v>
      </c>
      <c r="L1267" s="25">
        <f>정규화데이터!L1267</f>
        <v>0</v>
      </c>
      <c r="M1267" s="21">
        <f t="shared" si="38"/>
        <v>45500</v>
      </c>
      <c r="N1267" s="52">
        <f t="shared" si="39"/>
        <v>1</v>
      </c>
    </row>
    <row r="1268" spans="1:14" x14ac:dyDescent="0.3">
      <c r="A1268" t="str">
        <f>정규화데이터!A1268</f>
        <v>리씽크</v>
      </c>
      <c r="B1268" t="str">
        <f>정규화데이터!B1268</f>
        <v>2026020607251010000</v>
      </c>
      <c r="C1268" t="str">
        <f>정규화데이터!C1268</f>
        <v>2026-02-06</v>
      </c>
      <c r="D1268">
        <f>정규화데이터!D1268</f>
        <v>143790</v>
      </c>
      <c r="E1268" s="16" t="str">
        <f>정규화데이터!E1268</f>
        <v>SKU001</v>
      </c>
      <c r="F1268" s="3">
        <f>정규화데이터!F1268</f>
        <v>4</v>
      </c>
      <c r="G1268" s="3">
        <f>정규화데이터!G1268</f>
        <v>1</v>
      </c>
      <c r="H1268" s="3">
        <f>정규화데이터!H1268</f>
        <v>45500</v>
      </c>
      <c r="I1268" s="3">
        <f>정규화데이터!I1268</f>
        <v>45500</v>
      </c>
      <c r="J1268" s="3">
        <f>정규화데이터!J1268</f>
        <v>45500</v>
      </c>
      <c r="K1268" s="25" t="str">
        <f>정규화데이터!K1268</f>
        <v>[워커힐] 시그니처 양념갈비 300G</v>
      </c>
      <c r="L1268" s="25">
        <f>정규화데이터!L1268</f>
        <v>0</v>
      </c>
      <c r="M1268" s="21">
        <f t="shared" si="38"/>
        <v>45500</v>
      </c>
      <c r="N1268" s="52">
        <f t="shared" si="39"/>
        <v>1</v>
      </c>
    </row>
    <row r="1269" spans="1:14" x14ac:dyDescent="0.3">
      <c r="A1269" t="str">
        <f>정규화데이터!A1269</f>
        <v>리씽크</v>
      </c>
      <c r="B1269" t="str">
        <f>정규화데이터!B1269</f>
        <v>2026020607554910000</v>
      </c>
      <c r="C1269" t="str">
        <f>정규화데이터!C1269</f>
        <v>2026-02-06</v>
      </c>
      <c r="D1269">
        <f>정규화데이터!D1269</f>
        <v>143790</v>
      </c>
      <c r="E1269" s="16" t="str">
        <f>정규화데이터!E1269</f>
        <v>SKU001</v>
      </c>
      <c r="F1269" s="3">
        <f>정규화데이터!F1269</f>
        <v>4</v>
      </c>
      <c r="G1269" s="3">
        <f>정규화데이터!G1269</f>
        <v>1</v>
      </c>
      <c r="H1269" s="3">
        <f>정규화데이터!H1269</f>
        <v>45500</v>
      </c>
      <c r="I1269" s="3">
        <f>정규화데이터!I1269</f>
        <v>45500</v>
      </c>
      <c r="J1269" s="3">
        <f>정규화데이터!J1269</f>
        <v>45500</v>
      </c>
      <c r="K1269" s="25" t="str">
        <f>정규화데이터!K1269</f>
        <v>[워커힐] 시그니처 양념갈비 300G</v>
      </c>
      <c r="L1269" s="25">
        <f>정규화데이터!L1269</f>
        <v>0</v>
      </c>
      <c r="M1269" s="21">
        <f t="shared" si="38"/>
        <v>45500</v>
      </c>
      <c r="N1269" s="52">
        <f t="shared" si="39"/>
        <v>1</v>
      </c>
    </row>
    <row r="1270" spans="1:14" x14ac:dyDescent="0.3">
      <c r="A1270" t="str">
        <f>정규화데이터!A1270</f>
        <v>리씽크</v>
      </c>
      <c r="B1270" t="str">
        <f>정규화데이터!B1270</f>
        <v>2026020607572310000</v>
      </c>
      <c r="C1270" t="str">
        <f>정규화데이터!C1270</f>
        <v>2026-02-06</v>
      </c>
      <c r="D1270">
        <f>정규화데이터!D1270</f>
        <v>143790</v>
      </c>
      <c r="E1270" s="16" t="str">
        <f>정규화데이터!E1270</f>
        <v>SKU001</v>
      </c>
      <c r="F1270" s="3">
        <f>정규화데이터!F1270</f>
        <v>4</v>
      </c>
      <c r="G1270" s="3">
        <f>정규화데이터!G1270</f>
        <v>1</v>
      </c>
      <c r="H1270" s="3">
        <f>정규화데이터!H1270</f>
        <v>45500</v>
      </c>
      <c r="I1270" s="3">
        <f>정규화데이터!I1270</f>
        <v>45500</v>
      </c>
      <c r="J1270" s="3">
        <f>정규화데이터!J1270</f>
        <v>45500</v>
      </c>
      <c r="K1270" s="25" t="str">
        <f>정규화데이터!K1270</f>
        <v>[워커힐] 시그니처 양념갈비 300G</v>
      </c>
      <c r="L1270" s="25">
        <f>정규화데이터!L1270</f>
        <v>0</v>
      </c>
      <c r="M1270" s="21">
        <f t="shared" si="38"/>
        <v>45500</v>
      </c>
      <c r="N1270" s="52">
        <f t="shared" si="39"/>
        <v>1</v>
      </c>
    </row>
    <row r="1271" spans="1:14" x14ac:dyDescent="0.3">
      <c r="A1271" t="str">
        <f>정규화데이터!A1271</f>
        <v>리씽크</v>
      </c>
      <c r="B1271" t="str">
        <f>정규화데이터!B1271</f>
        <v>2026020608003290000</v>
      </c>
      <c r="C1271" t="str">
        <f>정규화데이터!C1271</f>
        <v>2026-02-06</v>
      </c>
      <c r="D1271">
        <f>정규화데이터!D1271</f>
        <v>143790</v>
      </c>
      <c r="E1271" s="16" t="str">
        <f>정규화데이터!E1271</f>
        <v>SKU001</v>
      </c>
      <c r="F1271" s="3">
        <f>정규화데이터!F1271</f>
        <v>4</v>
      </c>
      <c r="G1271" s="3">
        <f>정규화데이터!G1271</f>
        <v>1</v>
      </c>
      <c r="H1271" s="3">
        <f>정규화데이터!H1271</f>
        <v>45500</v>
      </c>
      <c r="I1271" s="3">
        <f>정규화데이터!I1271</f>
        <v>45500</v>
      </c>
      <c r="J1271" s="3">
        <f>정규화데이터!J1271</f>
        <v>45500</v>
      </c>
      <c r="K1271" s="25" t="str">
        <f>정규화데이터!K1271</f>
        <v>[워커힐] 시그니처 양념갈비 300G</v>
      </c>
      <c r="L1271" s="25">
        <f>정규화데이터!L1271</f>
        <v>0</v>
      </c>
      <c r="M1271" s="21">
        <f t="shared" si="38"/>
        <v>45500</v>
      </c>
      <c r="N1271" s="52">
        <f t="shared" si="39"/>
        <v>1</v>
      </c>
    </row>
    <row r="1272" spans="1:14" x14ac:dyDescent="0.3">
      <c r="A1272" t="str">
        <f>정규화데이터!A1272</f>
        <v>리씽크</v>
      </c>
      <c r="B1272" t="str">
        <f>정규화데이터!B1272</f>
        <v>2026020608041850000</v>
      </c>
      <c r="C1272" t="str">
        <f>정규화데이터!C1272</f>
        <v>2026-02-06</v>
      </c>
      <c r="D1272">
        <f>정규화데이터!D1272</f>
        <v>143790</v>
      </c>
      <c r="E1272" s="16" t="str">
        <f>정규화데이터!E1272</f>
        <v>SKU001</v>
      </c>
      <c r="F1272" s="3">
        <f>정규화데이터!F1272</f>
        <v>4</v>
      </c>
      <c r="G1272" s="3">
        <f>정규화데이터!G1272</f>
        <v>1</v>
      </c>
      <c r="H1272" s="3">
        <f>정규화데이터!H1272</f>
        <v>45500</v>
      </c>
      <c r="I1272" s="3">
        <f>정규화데이터!I1272</f>
        <v>45500</v>
      </c>
      <c r="J1272" s="3">
        <f>정규화데이터!J1272</f>
        <v>45500</v>
      </c>
      <c r="K1272" s="25" t="str">
        <f>정규화데이터!K1272</f>
        <v>[워커힐] 시그니처 양념갈비 300G</v>
      </c>
      <c r="L1272" s="25">
        <f>정규화데이터!L1272</f>
        <v>0</v>
      </c>
      <c r="M1272" s="21">
        <f t="shared" si="38"/>
        <v>45500</v>
      </c>
      <c r="N1272" s="52">
        <f t="shared" si="39"/>
        <v>1</v>
      </c>
    </row>
    <row r="1273" spans="1:14" x14ac:dyDescent="0.3">
      <c r="A1273" t="str">
        <f>정규화데이터!A1273</f>
        <v>리씽크</v>
      </c>
      <c r="B1273" t="str">
        <f>정규화데이터!B1273</f>
        <v>2026020608103330000</v>
      </c>
      <c r="C1273" t="str">
        <f>정규화데이터!C1273</f>
        <v>2026-02-06</v>
      </c>
      <c r="D1273">
        <f>정규화데이터!D1273</f>
        <v>143790</v>
      </c>
      <c r="E1273" s="16" t="str">
        <f>정규화데이터!E1273</f>
        <v>SKU001</v>
      </c>
      <c r="F1273" s="3">
        <f>정규화데이터!F1273</f>
        <v>4</v>
      </c>
      <c r="G1273" s="3">
        <f>정규화데이터!G1273</f>
        <v>1</v>
      </c>
      <c r="H1273" s="3">
        <f>정규화데이터!H1273</f>
        <v>45500</v>
      </c>
      <c r="I1273" s="3">
        <f>정규화데이터!I1273</f>
        <v>45500</v>
      </c>
      <c r="J1273" s="3">
        <f>정규화데이터!J1273</f>
        <v>45500</v>
      </c>
      <c r="K1273" s="25" t="str">
        <f>정규화데이터!K1273</f>
        <v>[워커힐] 시그니처 양념갈비 300G</v>
      </c>
      <c r="L1273" s="25">
        <f>정규화데이터!L1273</f>
        <v>0</v>
      </c>
      <c r="M1273" s="21">
        <f t="shared" si="38"/>
        <v>45500</v>
      </c>
      <c r="N1273" s="52">
        <f t="shared" si="39"/>
        <v>1</v>
      </c>
    </row>
    <row r="1274" spans="1:14" x14ac:dyDescent="0.3">
      <c r="A1274" t="str">
        <f>정규화데이터!A1274</f>
        <v>리씽크</v>
      </c>
      <c r="B1274" t="str">
        <f>정규화데이터!B1274</f>
        <v>2026020608260220000</v>
      </c>
      <c r="C1274" t="str">
        <f>정규화데이터!C1274</f>
        <v>2026-02-06</v>
      </c>
      <c r="D1274">
        <f>정규화데이터!D1274</f>
        <v>143790</v>
      </c>
      <c r="E1274" s="16" t="str">
        <f>정규화데이터!E1274</f>
        <v>SKU001</v>
      </c>
      <c r="F1274" s="3">
        <f>정규화데이터!F1274</f>
        <v>4</v>
      </c>
      <c r="G1274" s="3">
        <f>정규화데이터!G1274</f>
        <v>1</v>
      </c>
      <c r="H1274" s="3">
        <f>정규화데이터!H1274</f>
        <v>45500</v>
      </c>
      <c r="I1274" s="3">
        <f>정규화데이터!I1274</f>
        <v>45500</v>
      </c>
      <c r="J1274" s="3">
        <f>정규화데이터!J1274</f>
        <v>45500</v>
      </c>
      <c r="K1274" s="25" t="str">
        <f>정규화데이터!K1274</f>
        <v>[워커힐] 시그니처 양념갈비 300G</v>
      </c>
      <c r="L1274" s="25">
        <f>정규화데이터!L1274</f>
        <v>0</v>
      </c>
      <c r="M1274" s="21">
        <f t="shared" si="38"/>
        <v>45500</v>
      </c>
      <c r="N1274" s="52">
        <f t="shared" si="39"/>
        <v>1</v>
      </c>
    </row>
    <row r="1275" spans="1:14" x14ac:dyDescent="0.3">
      <c r="A1275" t="str">
        <f>정규화데이터!A1275</f>
        <v>리씽크</v>
      </c>
      <c r="B1275" t="str">
        <f>정규화데이터!B1275</f>
        <v>2026020610042130000</v>
      </c>
      <c r="C1275" t="str">
        <f>정규화데이터!C1275</f>
        <v>2026-02-06</v>
      </c>
      <c r="D1275">
        <f>정규화데이터!D1275</f>
        <v>143790</v>
      </c>
      <c r="E1275" s="16" t="str">
        <f>정규화데이터!E1275</f>
        <v>SKU001</v>
      </c>
      <c r="F1275" s="3">
        <f>정규화데이터!F1275</f>
        <v>4</v>
      </c>
      <c r="G1275" s="3">
        <f>정규화데이터!G1275</f>
        <v>1</v>
      </c>
      <c r="H1275" s="3">
        <f>정규화데이터!H1275</f>
        <v>45500</v>
      </c>
      <c r="I1275" s="3">
        <f>정규화데이터!I1275</f>
        <v>45500</v>
      </c>
      <c r="J1275" s="3">
        <f>정규화데이터!J1275</f>
        <v>45500</v>
      </c>
      <c r="K1275" s="25" t="str">
        <f>정규화데이터!K1275</f>
        <v>[워커힐] 시그니처 양념갈비 300G</v>
      </c>
      <c r="L1275" s="25">
        <f>정규화데이터!L1275</f>
        <v>0</v>
      </c>
      <c r="M1275" s="21">
        <f t="shared" si="38"/>
        <v>45500</v>
      </c>
      <c r="N1275" s="52">
        <f t="shared" si="39"/>
        <v>1</v>
      </c>
    </row>
    <row r="1276" spans="1:14" x14ac:dyDescent="0.3">
      <c r="A1276" t="str">
        <f>정규화데이터!A1276</f>
        <v>리씽크</v>
      </c>
      <c r="B1276" t="str">
        <f>정규화데이터!B1276</f>
        <v>2026020610122130000</v>
      </c>
      <c r="C1276" t="str">
        <f>정규화데이터!C1276</f>
        <v>2026-02-06</v>
      </c>
      <c r="D1276">
        <f>정규화데이터!D1276</f>
        <v>143790</v>
      </c>
      <c r="E1276" s="16" t="str">
        <f>정규화데이터!E1276</f>
        <v>SKU001</v>
      </c>
      <c r="F1276" s="3">
        <f>정규화데이터!F1276</f>
        <v>4</v>
      </c>
      <c r="G1276" s="3">
        <f>정규화데이터!G1276</f>
        <v>2</v>
      </c>
      <c r="H1276" s="3">
        <f>정규화데이터!H1276</f>
        <v>45500</v>
      </c>
      <c r="I1276" s="3">
        <f>정규화데이터!I1276</f>
        <v>91000</v>
      </c>
      <c r="J1276" s="3">
        <f>정규화데이터!J1276</f>
        <v>91000</v>
      </c>
      <c r="K1276" s="25" t="str">
        <f>정규화데이터!K1276</f>
        <v>[워커힐] 시그니처 양념갈비 300G</v>
      </c>
      <c r="L1276" s="25">
        <f>정규화데이터!L1276</f>
        <v>0</v>
      </c>
      <c r="M1276" s="21">
        <f t="shared" si="38"/>
        <v>91000</v>
      </c>
      <c r="N1276" s="52">
        <f t="shared" si="39"/>
        <v>1</v>
      </c>
    </row>
    <row r="1277" spans="1:14" x14ac:dyDescent="0.3">
      <c r="A1277" t="str">
        <f>정규화데이터!A1277</f>
        <v>리씽크</v>
      </c>
      <c r="B1277" t="str">
        <f>정규화데이터!B1277</f>
        <v>2026020610572730000</v>
      </c>
      <c r="C1277" t="str">
        <f>정규화데이터!C1277</f>
        <v>2026-02-06</v>
      </c>
      <c r="D1277">
        <f>정규화데이터!D1277</f>
        <v>143790</v>
      </c>
      <c r="E1277" s="16" t="str">
        <f>정규화데이터!E1277</f>
        <v>SKU001</v>
      </c>
      <c r="F1277" s="3">
        <f>정규화데이터!F1277</f>
        <v>4</v>
      </c>
      <c r="G1277" s="3">
        <f>정규화데이터!G1277</f>
        <v>1</v>
      </c>
      <c r="H1277" s="3">
        <f>정규화데이터!H1277</f>
        <v>45500</v>
      </c>
      <c r="I1277" s="3">
        <f>정규화데이터!I1277</f>
        <v>45500</v>
      </c>
      <c r="J1277" s="3">
        <f>정규화데이터!J1277</f>
        <v>45500</v>
      </c>
      <c r="K1277" s="25" t="str">
        <f>정규화데이터!K1277</f>
        <v>[워커힐] 시그니처 양념갈비 300G</v>
      </c>
      <c r="L1277" s="25">
        <f>정규화데이터!L1277</f>
        <v>0</v>
      </c>
      <c r="M1277" s="21">
        <f t="shared" si="38"/>
        <v>45500</v>
      </c>
      <c r="N1277" s="52">
        <f t="shared" si="39"/>
        <v>1</v>
      </c>
    </row>
    <row r="1278" spans="1:14" x14ac:dyDescent="0.3">
      <c r="A1278" t="str">
        <f>정규화데이터!A1278</f>
        <v>리씽크</v>
      </c>
      <c r="B1278" t="str">
        <f>정규화데이터!B1278</f>
        <v>2026020610590040000</v>
      </c>
      <c r="C1278" t="str">
        <f>정규화데이터!C1278</f>
        <v>2026-02-06</v>
      </c>
      <c r="D1278">
        <f>정규화데이터!D1278</f>
        <v>143790</v>
      </c>
      <c r="E1278" s="16" t="str">
        <f>정규화데이터!E1278</f>
        <v>SKU001</v>
      </c>
      <c r="F1278" s="3">
        <f>정규화데이터!F1278</f>
        <v>4</v>
      </c>
      <c r="G1278" s="3">
        <f>정규화데이터!G1278</f>
        <v>1</v>
      </c>
      <c r="H1278" s="3">
        <f>정규화데이터!H1278</f>
        <v>45500</v>
      </c>
      <c r="I1278" s="3">
        <f>정규화데이터!I1278</f>
        <v>45500</v>
      </c>
      <c r="J1278" s="3">
        <f>정규화데이터!J1278</f>
        <v>45500</v>
      </c>
      <c r="K1278" s="25" t="str">
        <f>정규화데이터!K1278</f>
        <v>[워커힐] 시그니처 양념갈비 300G</v>
      </c>
      <c r="L1278" s="25">
        <f>정규화데이터!L1278</f>
        <v>0</v>
      </c>
      <c r="M1278" s="21">
        <f t="shared" si="38"/>
        <v>45500</v>
      </c>
      <c r="N1278" s="52">
        <f t="shared" si="39"/>
        <v>1</v>
      </c>
    </row>
    <row r="1279" spans="1:14" x14ac:dyDescent="0.3">
      <c r="A1279" t="str">
        <f>정규화데이터!A1279</f>
        <v>리씽크</v>
      </c>
      <c r="B1279" t="str">
        <f>정규화데이터!B1279</f>
        <v>2026020513213510000</v>
      </c>
      <c r="C1279" t="str">
        <f>정규화데이터!C1279</f>
        <v>2026-02-05</v>
      </c>
      <c r="D1279">
        <f>정규화데이터!D1279</f>
        <v>143790</v>
      </c>
      <c r="E1279" s="16" t="str">
        <f>정규화데이터!E1279</f>
        <v>SKU001</v>
      </c>
      <c r="F1279" s="3">
        <f>정규화데이터!F1279</f>
        <v>4</v>
      </c>
      <c r="G1279" s="3">
        <f>정규화데이터!G1279</f>
        <v>1</v>
      </c>
      <c r="H1279" s="3">
        <f>정규화데이터!H1279</f>
        <v>63000</v>
      </c>
      <c r="I1279" s="3">
        <f>정규화데이터!I1279</f>
        <v>63000</v>
      </c>
      <c r="J1279" s="3">
        <f>정규화데이터!J1279</f>
        <v>63000</v>
      </c>
      <c r="K1279" s="25" t="str">
        <f>정규화데이터!K1279</f>
        <v>[워커힐] 시그니처 양념갈비 300G</v>
      </c>
      <c r="L1279" s="25" t="e">
        <f>정규화데이터!L1279</f>
        <v>#VALUE!</v>
      </c>
      <c r="M1279" s="21" t="e">
        <f t="shared" si="38"/>
        <v>#VALUE!</v>
      </c>
      <c r="N1279" s="52" t="e">
        <f t="shared" si="39"/>
        <v>#VALUE!</v>
      </c>
    </row>
    <row r="1280" spans="1:14" x14ac:dyDescent="0.3">
      <c r="A1280" t="str">
        <f>정규화데이터!A1280</f>
        <v>리씽크</v>
      </c>
      <c r="B1280" t="str">
        <f>정규화데이터!B1280</f>
        <v>2026020513383280000</v>
      </c>
      <c r="C1280" t="str">
        <f>정규화데이터!C1280</f>
        <v>2026-02-05</v>
      </c>
      <c r="D1280">
        <f>정규화데이터!D1280</f>
        <v>143790</v>
      </c>
      <c r="E1280" s="16" t="str">
        <f>정규화데이터!E1280</f>
        <v>SKU001</v>
      </c>
      <c r="F1280" s="3">
        <f>정규화데이터!F1280</f>
        <v>4</v>
      </c>
      <c r="G1280" s="3">
        <f>정규화데이터!G1280</f>
        <v>1</v>
      </c>
      <c r="H1280" s="3">
        <f>정규화데이터!H1280</f>
        <v>63000</v>
      </c>
      <c r="I1280" s="3">
        <f>정규화데이터!I1280</f>
        <v>63000</v>
      </c>
      <c r="J1280" s="3">
        <f>정규화데이터!J1280</f>
        <v>63000</v>
      </c>
      <c r="K1280" s="25" t="str">
        <f>정규화데이터!K1280</f>
        <v>[워커힐] 시그니처 양념갈비 300G</v>
      </c>
      <c r="L1280" s="25" t="e">
        <f>정규화데이터!L1280</f>
        <v>#VALUE!</v>
      </c>
      <c r="M1280" s="21" t="e">
        <f t="shared" si="38"/>
        <v>#VALUE!</v>
      </c>
      <c r="N1280" s="52" t="e">
        <f t="shared" si="39"/>
        <v>#VALUE!</v>
      </c>
    </row>
    <row r="1281" spans="1:14" x14ac:dyDescent="0.3">
      <c r="A1281" t="str">
        <f>정규화데이터!A1281</f>
        <v>리씽크</v>
      </c>
      <c r="B1281" t="str">
        <f>정규화데이터!B1281</f>
        <v>2026020516473730000</v>
      </c>
      <c r="C1281" t="str">
        <f>정규화데이터!C1281</f>
        <v>2026-02-05</v>
      </c>
      <c r="D1281">
        <f>정규화데이터!D1281</f>
        <v>143790</v>
      </c>
      <c r="E1281" s="16" t="str">
        <f>정규화데이터!E1281</f>
        <v>SKU001</v>
      </c>
      <c r="F1281" s="3">
        <f>정규화데이터!F1281</f>
        <v>4</v>
      </c>
      <c r="G1281" s="3">
        <f>정규화데이터!G1281</f>
        <v>1</v>
      </c>
      <c r="H1281" s="3">
        <f>정규화데이터!H1281</f>
        <v>63000</v>
      </c>
      <c r="I1281" s="3">
        <f>정규화데이터!I1281</f>
        <v>63000</v>
      </c>
      <c r="J1281" s="3">
        <f>정규화데이터!J1281</f>
        <v>63000</v>
      </c>
      <c r="K1281" s="25" t="str">
        <f>정규화데이터!K1281</f>
        <v>[워커힐] 시그니처 양념갈비 300G</v>
      </c>
      <c r="L1281" s="25" t="e">
        <f>정규화데이터!L1281</f>
        <v>#VALUE!</v>
      </c>
      <c r="M1281" s="21" t="e">
        <f t="shared" si="38"/>
        <v>#VALUE!</v>
      </c>
      <c r="N1281" s="52" t="e">
        <f t="shared" si="39"/>
        <v>#VALUE!</v>
      </c>
    </row>
    <row r="1282" spans="1:14" x14ac:dyDescent="0.3">
      <c r="A1282" t="str">
        <f>정규화데이터!A1282</f>
        <v>리씽크</v>
      </c>
      <c r="B1282" t="str">
        <f>정규화데이터!B1282</f>
        <v>2026020517294110000</v>
      </c>
      <c r="C1282" t="str">
        <f>정규화데이터!C1282</f>
        <v>2026-02-05</v>
      </c>
      <c r="D1282">
        <f>정규화데이터!D1282</f>
        <v>143790</v>
      </c>
      <c r="E1282" s="16" t="str">
        <f>정규화데이터!E1282</f>
        <v>SKU001</v>
      </c>
      <c r="F1282" s="3">
        <f>정규화데이터!F1282</f>
        <v>4</v>
      </c>
      <c r="G1282" s="3">
        <f>정규화데이터!G1282</f>
        <v>1</v>
      </c>
      <c r="H1282" s="3">
        <f>정규화데이터!H1282</f>
        <v>63000</v>
      </c>
      <c r="I1282" s="3">
        <f>정규화데이터!I1282</f>
        <v>63000</v>
      </c>
      <c r="J1282" s="3">
        <f>정규화데이터!J1282</f>
        <v>63000</v>
      </c>
      <c r="K1282" s="25" t="str">
        <f>정규화데이터!K1282</f>
        <v>[워커힐] 시그니처 양념갈비 300G</v>
      </c>
      <c r="L1282" s="25" t="e">
        <f>정규화데이터!L1282</f>
        <v>#VALUE!</v>
      </c>
      <c r="M1282" s="21" t="e">
        <f t="shared" ref="M1282:M1345" si="40">J1282-L1282</f>
        <v>#VALUE!</v>
      </c>
      <c r="N1282" s="52" t="e">
        <f t="shared" ref="N1282:N1345" si="41">IF(J1282=0,0,M1282/J1282)</f>
        <v>#VALUE!</v>
      </c>
    </row>
    <row r="1283" spans="1:14" x14ac:dyDescent="0.3">
      <c r="A1283" t="str">
        <f>정규화데이터!A1283</f>
        <v>리씽크</v>
      </c>
      <c r="B1283" t="str">
        <f>정규화데이터!B1283</f>
        <v>2026020517481130000</v>
      </c>
      <c r="C1283" t="str">
        <f>정규화데이터!C1283</f>
        <v>2026-02-05</v>
      </c>
      <c r="D1283">
        <f>정규화데이터!D1283</f>
        <v>143790</v>
      </c>
      <c r="E1283" s="16" t="str">
        <f>정규화데이터!E1283</f>
        <v>SKU001</v>
      </c>
      <c r="F1283" s="3">
        <f>정규화데이터!F1283</f>
        <v>4</v>
      </c>
      <c r="G1283" s="3">
        <f>정규화데이터!G1283</f>
        <v>1</v>
      </c>
      <c r="H1283" s="3">
        <f>정규화데이터!H1283</f>
        <v>63000</v>
      </c>
      <c r="I1283" s="3">
        <f>정규화데이터!I1283</f>
        <v>63000</v>
      </c>
      <c r="J1283" s="3">
        <f>정규화데이터!J1283</f>
        <v>63000</v>
      </c>
      <c r="K1283" s="25" t="str">
        <f>정규화데이터!K1283</f>
        <v>[워커힐] 시그니처 양념갈비 300G</v>
      </c>
      <c r="L1283" s="25" t="e">
        <f>정규화데이터!L1283</f>
        <v>#VALUE!</v>
      </c>
      <c r="M1283" s="21" t="e">
        <f t="shared" si="40"/>
        <v>#VALUE!</v>
      </c>
      <c r="N1283" s="52" t="e">
        <f t="shared" si="41"/>
        <v>#VALUE!</v>
      </c>
    </row>
    <row r="1284" spans="1:14" x14ac:dyDescent="0.3">
      <c r="A1284" t="str">
        <f>정규화데이터!A1284</f>
        <v>리씽크</v>
      </c>
      <c r="B1284" t="str">
        <f>정규화데이터!B1284</f>
        <v>2026020517553660000</v>
      </c>
      <c r="C1284" t="str">
        <f>정규화데이터!C1284</f>
        <v>2026-02-05</v>
      </c>
      <c r="D1284">
        <f>정규화데이터!D1284</f>
        <v>143790</v>
      </c>
      <c r="E1284" s="16" t="str">
        <f>정규화데이터!E1284</f>
        <v>SKU001</v>
      </c>
      <c r="F1284" s="3">
        <f>정규화데이터!F1284</f>
        <v>4</v>
      </c>
      <c r="G1284" s="3">
        <f>정규화데이터!G1284</f>
        <v>1</v>
      </c>
      <c r="H1284" s="3">
        <f>정규화데이터!H1284</f>
        <v>63000</v>
      </c>
      <c r="I1284" s="3">
        <f>정규화데이터!I1284</f>
        <v>63000</v>
      </c>
      <c r="J1284" s="3">
        <f>정규화데이터!J1284</f>
        <v>63000</v>
      </c>
      <c r="K1284" s="25" t="str">
        <f>정규화데이터!K1284</f>
        <v>[워커힐] 시그니처 양념갈비 300G</v>
      </c>
      <c r="L1284" s="25" t="e">
        <f>정규화데이터!L1284</f>
        <v>#VALUE!</v>
      </c>
      <c r="M1284" s="21" t="e">
        <f t="shared" si="40"/>
        <v>#VALUE!</v>
      </c>
      <c r="N1284" s="52" t="e">
        <f t="shared" si="41"/>
        <v>#VALUE!</v>
      </c>
    </row>
    <row r="1285" spans="1:14" x14ac:dyDescent="0.3">
      <c r="A1285" t="str">
        <f>정규화데이터!A1285</f>
        <v>리씽크</v>
      </c>
      <c r="B1285" t="str">
        <f>정규화데이터!B1285</f>
        <v>2026020519421720000</v>
      </c>
      <c r="C1285" t="str">
        <f>정규화데이터!C1285</f>
        <v>2026-02-05</v>
      </c>
      <c r="D1285">
        <f>정규화데이터!D1285</f>
        <v>143790</v>
      </c>
      <c r="E1285" s="16" t="str">
        <f>정규화데이터!E1285</f>
        <v>SKU001</v>
      </c>
      <c r="F1285" s="3">
        <f>정규화데이터!F1285</f>
        <v>4</v>
      </c>
      <c r="G1285" s="3">
        <f>정규화데이터!G1285</f>
        <v>1</v>
      </c>
      <c r="H1285" s="3">
        <f>정규화데이터!H1285</f>
        <v>63000</v>
      </c>
      <c r="I1285" s="3">
        <f>정규화데이터!I1285</f>
        <v>63000</v>
      </c>
      <c r="J1285" s="3">
        <f>정규화데이터!J1285</f>
        <v>63000</v>
      </c>
      <c r="K1285" s="25" t="str">
        <f>정규화데이터!K1285</f>
        <v>[워커힐] 시그니처 양념갈비 300G</v>
      </c>
      <c r="L1285" s="25" t="e">
        <f>정규화데이터!L1285</f>
        <v>#VALUE!</v>
      </c>
      <c r="M1285" s="21" t="e">
        <f t="shared" si="40"/>
        <v>#VALUE!</v>
      </c>
      <c r="N1285" s="52" t="e">
        <f t="shared" si="41"/>
        <v>#VALUE!</v>
      </c>
    </row>
    <row r="1286" spans="1:14" x14ac:dyDescent="0.3">
      <c r="A1286" t="str">
        <f>정규화데이터!A1286</f>
        <v>리씽크</v>
      </c>
      <c r="B1286" t="str">
        <f>정규화데이터!B1286</f>
        <v>2026020522391920000</v>
      </c>
      <c r="C1286" t="str">
        <f>정규화데이터!C1286</f>
        <v>2026-02-05</v>
      </c>
      <c r="D1286">
        <f>정규화데이터!D1286</f>
        <v>143790</v>
      </c>
      <c r="E1286" s="16" t="str">
        <f>정규화데이터!E1286</f>
        <v>SKU001</v>
      </c>
      <c r="F1286" s="3">
        <f>정규화데이터!F1286</f>
        <v>4</v>
      </c>
      <c r="G1286" s="3">
        <f>정규화데이터!G1286</f>
        <v>1</v>
      </c>
      <c r="H1286" s="3">
        <f>정규화데이터!H1286</f>
        <v>63000</v>
      </c>
      <c r="I1286" s="3">
        <f>정규화데이터!I1286</f>
        <v>63000</v>
      </c>
      <c r="J1286" s="3">
        <f>정규화데이터!J1286</f>
        <v>63000</v>
      </c>
      <c r="K1286" s="25" t="str">
        <f>정규화데이터!K1286</f>
        <v>[워커힐] 시그니처 양념갈비 300G</v>
      </c>
      <c r="L1286" s="25" t="e">
        <f>정규화데이터!L1286</f>
        <v>#VALUE!</v>
      </c>
      <c r="M1286" s="21" t="e">
        <f t="shared" si="40"/>
        <v>#VALUE!</v>
      </c>
      <c r="N1286" s="52" t="e">
        <f t="shared" si="41"/>
        <v>#VALUE!</v>
      </c>
    </row>
    <row r="1287" spans="1:14" x14ac:dyDescent="0.3">
      <c r="A1287" t="str">
        <f>정규화데이터!A1287</f>
        <v>리씽크</v>
      </c>
      <c r="B1287" t="str">
        <f>정규화데이터!B1287</f>
        <v>2026020603055910000</v>
      </c>
      <c r="C1287" t="str">
        <f>정규화데이터!C1287</f>
        <v>2026-02-06</v>
      </c>
      <c r="D1287">
        <f>정규화데이터!D1287</f>
        <v>143790</v>
      </c>
      <c r="E1287" s="16" t="str">
        <f>정규화데이터!E1287</f>
        <v>SKU001</v>
      </c>
      <c r="F1287" s="3">
        <f>정규화데이터!F1287</f>
        <v>4</v>
      </c>
      <c r="G1287" s="3">
        <f>정규화데이터!G1287</f>
        <v>1</v>
      </c>
      <c r="H1287" s="3">
        <f>정규화데이터!H1287</f>
        <v>63000</v>
      </c>
      <c r="I1287" s="3">
        <f>정규화데이터!I1287</f>
        <v>63000</v>
      </c>
      <c r="J1287" s="3">
        <f>정규화데이터!J1287</f>
        <v>63000</v>
      </c>
      <c r="K1287" s="25" t="str">
        <f>정규화데이터!K1287</f>
        <v>[워커힐] 시그니처 양념갈비 300G</v>
      </c>
      <c r="L1287" s="25" t="e">
        <f>정규화데이터!L1287</f>
        <v>#VALUE!</v>
      </c>
      <c r="M1287" s="21" t="e">
        <f t="shared" si="40"/>
        <v>#VALUE!</v>
      </c>
      <c r="N1287" s="52" t="e">
        <f t="shared" si="41"/>
        <v>#VALUE!</v>
      </c>
    </row>
    <row r="1288" spans="1:14" x14ac:dyDescent="0.3">
      <c r="A1288" t="str">
        <f>정규화데이터!A1288</f>
        <v>리씽크</v>
      </c>
      <c r="B1288" t="str">
        <f>정규화데이터!B1288</f>
        <v>2026020608281990000</v>
      </c>
      <c r="C1288" t="str">
        <f>정규화데이터!C1288</f>
        <v>2026-02-06</v>
      </c>
      <c r="D1288">
        <f>정규화데이터!D1288</f>
        <v>143790</v>
      </c>
      <c r="E1288" s="16" t="str">
        <f>정규화데이터!E1288</f>
        <v>SKU001</v>
      </c>
      <c r="F1288" s="3">
        <f>정규화데이터!F1288</f>
        <v>4</v>
      </c>
      <c r="G1288" s="3">
        <f>정규화데이터!G1288</f>
        <v>1</v>
      </c>
      <c r="H1288" s="3">
        <f>정규화데이터!H1288</f>
        <v>63000</v>
      </c>
      <c r="I1288" s="3">
        <f>정규화데이터!I1288</f>
        <v>63000</v>
      </c>
      <c r="J1288" s="3">
        <f>정규화데이터!J1288</f>
        <v>63000</v>
      </c>
      <c r="K1288" s="25" t="str">
        <f>정규화데이터!K1288</f>
        <v>[워커힐] 시그니처 양념갈비 300G</v>
      </c>
      <c r="L1288" s="25" t="e">
        <f>정규화데이터!L1288</f>
        <v>#VALUE!</v>
      </c>
      <c r="M1288" s="21" t="e">
        <f t="shared" si="40"/>
        <v>#VALUE!</v>
      </c>
      <c r="N1288" s="52" t="e">
        <f t="shared" si="41"/>
        <v>#VALUE!</v>
      </c>
    </row>
    <row r="1289" spans="1:14" x14ac:dyDescent="0.3">
      <c r="A1289" t="str">
        <f>정규화데이터!A1289</f>
        <v>리씽크</v>
      </c>
      <c r="B1289" t="str">
        <f>정규화데이터!B1289</f>
        <v>2026020610394220000</v>
      </c>
      <c r="C1289" t="str">
        <f>정규화데이터!C1289</f>
        <v>2026-02-06</v>
      </c>
      <c r="D1289">
        <f>정규화데이터!D1289</f>
        <v>143790</v>
      </c>
      <c r="E1289" s="16" t="str">
        <f>정규화데이터!E1289</f>
        <v>SKU001</v>
      </c>
      <c r="F1289" s="3">
        <f>정규화데이터!F1289</f>
        <v>4</v>
      </c>
      <c r="G1289" s="3">
        <f>정규화데이터!G1289</f>
        <v>1</v>
      </c>
      <c r="H1289" s="3">
        <f>정규화데이터!H1289</f>
        <v>63000</v>
      </c>
      <c r="I1289" s="3">
        <f>정규화데이터!I1289</f>
        <v>63000</v>
      </c>
      <c r="J1289" s="3">
        <f>정규화데이터!J1289</f>
        <v>63000</v>
      </c>
      <c r="K1289" s="25" t="str">
        <f>정규화데이터!K1289</f>
        <v>[워커힐] 시그니처 양념갈비 300G</v>
      </c>
      <c r="L1289" s="25" t="e">
        <f>정규화데이터!L1289</f>
        <v>#VALUE!</v>
      </c>
      <c r="M1289" s="21" t="e">
        <f t="shared" si="40"/>
        <v>#VALUE!</v>
      </c>
      <c r="N1289" s="52" t="e">
        <f t="shared" si="41"/>
        <v>#VALUE!</v>
      </c>
    </row>
    <row r="1290" spans="1:14" x14ac:dyDescent="0.3">
      <c r="A1290" t="str">
        <f>정규화데이터!A1290</f>
        <v>리씽크</v>
      </c>
      <c r="B1290" t="str">
        <f>정규화데이터!B1290</f>
        <v>2026020910064820000</v>
      </c>
      <c r="C1290" t="str">
        <f>정규화데이터!C1290</f>
        <v>2026-02-09</v>
      </c>
      <c r="D1290">
        <f>정규화데이터!D1290</f>
        <v>143790</v>
      </c>
      <c r="E1290" s="16" t="str">
        <f>정규화데이터!E1290</f>
        <v>SKU001</v>
      </c>
      <c r="F1290" s="3">
        <f>정규화데이터!F1290</f>
        <v>4</v>
      </c>
      <c r="G1290" s="3">
        <f>정규화데이터!G1290</f>
        <v>1</v>
      </c>
      <c r="H1290" s="3">
        <f>정규화데이터!H1290</f>
        <v>45500</v>
      </c>
      <c r="I1290" s="3">
        <f>정규화데이터!I1290</f>
        <v>45500</v>
      </c>
      <c r="J1290" s="3">
        <f>정규화데이터!J1290</f>
        <v>45500</v>
      </c>
      <c r="K1290" s="25" t="str">
        <f>정규화데이터!K1290</f>
        <v>[워커힐] 시그니처 양념갈비 300G</v>
      </c>
      <c r="L1290" s="25">
        <f>정규화데이터!L1290</f>
        <v>0</v>
      </c>
      <c r="M1290" s="21">
        <f t="shared" si="40"/>
        <v>45500</v>
      </c>
      <c r="N1290" s="52">
        <f t="shared" si="41"/>
        <v>1</v>
      </c>
    </row>
    <row r="1291" spans="1:14" x14ac:dyDescent="0.3">
      <c r="A1291" t="str">
        <f>정규화데이터!A1291</f>
        <v>리씽크</v>
      </c>
      <c r="B1291" t="str">
        <f>정규화데이터!B1291</f>
        <v>2026020908030180000</v>
      </c>
      <c r="C1291" t="str">
        <f>정규화데이터!C1291</f>
        <v>2026-02-09</v>
      </c>
      <c r="D1291">
        <f>정규화데이터!D1291</f>
        <v>143790</v>
      </c>
      <c r="E1291" s="16" t="str">
        <f>정규화데이터!E1291</f>
        <v>SKU001</v>
      </c>
      <c r="F1291" s="3">
        <f>정규화데이터!F1291</f>
        <v>4</v>
      </c>
      <c r="G1291" s="3">
        <f>정규화데이터!G1291</f>
        <v>1</v>
      </c>
      <c r="H1291" s="3">
        <f>정규화데이터!H1291</f>
        <v>45500</v>
      </c>
      <c r="I1291" s="3">
        <f>정규화데이터!I1291</f>
        <v>45500</v>
      </c>
      <c r="J1291" s="3">
        <f>정규화데이터!J1291</f>
        <v>45500</v>
      </c>
      <c r="K1291" s="25" t="str">
        <f>정규화데이터!K1291</f>
        <v>[워커힐] 시그니처 양념갈비 300G</v>
      </c>
      <c r="L1291" s="25">
        <f>정규화데이터!L1291</f>
        <v>0</v>
      </c>
      <c r="M1291" s="21">
        <f t="shared" si="40"/>
        <v>45500</v>
      </c>
      <c r="N1291" s="52">
        <f t="shared" si="41"/>
        <v>1</v>
      </c>
    </row>
    <row r="1292" spans="1:14" x14ac:dyDescent="0.3">
      <c r="A1292" t="str">
        <f>정규화데이터!A1292</f>
        <v>리씽크</v>
      </c>
      <c r="B1292" t="str">
        <f>정규화데이터!B1292</f>
        <v>2026020901211400000</v>
      </c>
      <c r="C1292" t="str">
        <f>정규화데이터!C1292</f>
        <v>2026-02-09</v>
      </c>
      <c r="D1292">
        <f>정규화데이터!D1292</f>
        <v>143790</v>
      </c>
      <c r="E1292" s="16" t="str">
        <f>정규화데이터!E1292</f>
        <v>SKU001</v>
      </c>
      <c r="F1292" s="3">
        <f>정규화데이터!F1292</f>
        <v>4</v>
      </c>
      <c r="G1292" s="3">
        <f>정규화데이터!G1292</f>
        <v>1</v>
      </c>
      <c r="H1292" s="3">
        <f>정규화데이터!H1292</f>
        <v>45500</v>
      </c>
      <c r="I1292" s="3">
        <f>정규화데이터!I1292</f>
        <v>45500</v>
      </c>
      <c r="J1292" s="3">
        <f>정규화데이터!J1292</f>
        <v>45500</v>
      </c>
      <c r="K1292" s="25" t="str">
        <f>정규화데이터!K1292</f>
        <v>[워커힐] 시그니처 양념갈비 300G</v>
      </c>
      <c r="L1292" s="25">
        <f>정규화데이터!L1292</f>
        <v>0</v>
      </c>
      <c r="M1292" s="21">
        <f t="shared" si="40"/>
        <v>45500</v>
      </c>
      <c r="N1292" s="52">
        <f t="shared" si="41"/>
        <v>1</v>
      </c>
    </row>
    <row r="1293" spans="1:14" x14ac:dyDescent="0.3">
      <c r="A1293" t="str">
        <f>정규화데이터!A1293</f>
        <v>리씽크</v>
      </c>
      <c r="B1293" t="str">
        <f>정규화데이터!B1293</f>
        <v>2026020900144320000</v>
      </c>
      <c r="C1293" t="str">
        <f>정규화데이터!C1293</f>
        <v>2026-02-09</v>
      </c>
      <c r="D1293">
        <f>정규화데이터!D1293</f>
        <v>143790</v>
      </c>
      <c r="E1293" s="16" t="str">
        <f>정규화데이터!E1293</f>
        <v>SKU001</v>
      </c>
      <c r="F1293" s="3">
        <f>정규화데이터!F1293</f>
        <v>4</v>
      </c>
      <c r="G1293" s="3">
        <f>정규화데이터!G1293</f>
        <v>1</v>
      </c>
      <c r="H1293" s="3">
        <f>정규화데이터!H1293</f>
        <v>45500</v>
      </c>
      <c r="I1293" s="3">
        <f>정규화데이터!I1293</f>
        <v>45500</v>
      </c>
      <c r="J1293" s="3">
        <f>정규화데이터!J1293</f>
        <v>45500</v>
      </c>
      <c r="K1293" s="25" t="str">
        <f>정규화데이터!K1293</f>
        <v>[워커힐] 시그니처 양념갈비 300G</v>
      </c>
      <c r="L1293" s="25">
        <f>정규화데이터!L1293</f>
        <v>0</v>
      </c>
      <c r="M1293" s="21">
        <f t="shared" si="40"/>
        <v>45500</v>
      </c>
      <c r="N1293" s="52">
        <f t="shared" si="41"/>
        <v>1</v>
      </c>
    </row>
    <row r="1294" spans="1:14" x14ac:dyDescent="0.3">
      <c r="A1294" t="str">
        <f>정규화데이터!A1294</f>
        <v>리씽크</v>
      </c>
      <c r="B1294" t="str">
        <f>정규화데이터!B1294</f>
        <v>2026020823404390000</v>
      </c>
      <c r="C1294" t="str">
        <f>정규화데이터!C1294</f>
        <v>2026-02-08</v>
      </c>
      <c r="D1294">
        <f>정규화데이터!D1294</f>
        <v>143790</v>
      </c>
      <c r="E1294" s="16" t="str">
        <f>정규화데이터!E1294</f>
        <v>SKU001</v>
      </c>
      <c r="F1294" s="3">
        <f>정규화데이터!F1294</f>
        <v>4</v>
      </c>
      <c r="G1294" s="3">
        <f>정규화데이터!G1294</f>
        <v>1</v>
      </c>
      <c r="H1294" s="3">
        <f>정규화데이터!H1294</f>
        <v>45500</v>
      </c>
      <c r="I1294" s="3">
        <f>정규화데이터!I1294</f>
        <v>45500</v>
      </c>
      <c r="J1294" s="3">
        <f>정규화데이터!J1294</f>
        <v>45500</v>
      </c>
      <c r="K1294" s="25" t="str">
        <f>정규화데이터!K1294</f>
        <v>[워커힐] 시그니처 양념갈비 300G</v>
      </c>
      <c r="L1294" s="25">
        <f>정규화데이터!L1294</f>
        <v>0</v>
      </c>
      <c r="M1294" s="21">
        <f t="shared" si="40"/>
        <v>45500</v>
      </c>
      <c r="N1294" s="52">
        <f t="shared" si="41"/>
        <v>1</v>
      </c>
    </row>
    <row r="1295" spans="1:14" x14ac:dyDescent="0.3">
      <c r="A1295" t="str">
        <f>정규화데이터!A1295</f>
        <v>리씽크</v>
      </c>
      <c r="B1295" t="str">
        <f>정규화데이터!B1295</f>
        <v>2026020823231500000</v>
      </c>
      <c r="C1295" t="str">
        <f>정규화데이터!C1295</f>
        <v>2026-02-08</v>
      </c>
      <c r="D1295">
        <f>정규화데이터!D1295</f>
        <v>143790</v>
      </c>
      <c r="E1295" s="16" t="str">
        <f>정규화데이터!E1295</f>
        <v>SKU001</v>
      </c>
      <c r="F1295" s="3">
        <f>정규화데이터!F1295</f>
        <v>4</v>
      </c>
      <c r="G1295" s="3">
        <f>정규화데이터!G1295</f>
        <v>1</v>
      </c>
      <c r="H1295" s="3">
        <f>정규화데이터!H1295</f>
        <v>45500</v>
      </c>
      <c r="I1295" s="3">
        <f>정규화데이터!I1295</f>
        <v>45500</v>
      </c>
      <c r="J1295" s="3">
        <f>정규화데이터!J1295</f>
        <v>45500</v>
      </c>
      <c r="K1295" s="25" t="str">
        <f>정규화데이터!K1295</f>
        <v>[워커힐] 시그니처 양념갈비 300G</v>
      </c>
      <c r="L1295" s="25">
        <f>정규화데이터!L1295</f>
        <v>0</v>
      </c>
      <c r="M1295" s="21">
        <f t="shared" si="40"/>
        <v>45500</v>
      </c>
      <c r="N1295" s="52">
        <f t="shared" si="41"/>
        <v>1</v>
      </c>
    </row>
    <row r="1296" spans="1:14" x14ac:dyDescent="0.3">
      <c r="A1296" t="str">
        <f>정규화데이터!A1296</f>
        <v>리씽크</v>
      </c>
      <c r="B1296" t="str">
        <f>정규화데이터!B1296</f>
        <v>2026020820420150000</v>
      </c>
      <c r="C1296" t="str">
        <f>정규화데이터!C1296</f>
        <v>2026-02-08</v>
      </c>
      <c r="D1296">
        <f>정규화데이터!D1296</f>
        <v>143790</v>
      </c>
      <c r="E1296" s="16" t="str">
        <f>정규화데이터!E1296</f>
        <v>SKU001</v>
      </c>
      <c r="F1296" s="3">
        <f>정규화데이터!F1296</f>
        <v>4</v>
      </c>
      <c r="G1296" s="3">
        <f>정규화데이터!G1296</f>
        <v>1</v>
      </c>
      <c r="H1296" s="3">
        <f>정규화데이터!H1296</f>
        <v>45500</v>
      </c>
      <c r="I1296" s="3">
        <f>정규화데이터!I1296</f>
        <v>45500</v>
      </c>
      <c r="J1296" s="3">
        <f>정규화데이터!J1296</f>
        <v>45500</v>
      </c>
      <c r="K1296" s="25" t="str">
        <f>정규화데이터!K1296</f>
        <v>[워커힐] 시그니처 양념갈비 300G</v>
      </c>
      <c r="L1296" s="25">
        <f>정규화데이터!L1296</f>
        <v>0</v>
      </c>
      <c r="M1296" s="21">
        <f t="shared" si="40"/>
        <v>45500</v>
      </c>
      <c r="N1296" s="52">
        <f t="shared" si="41"/>
        <v>1</v>
      </c>
    </row>
    <row r="1297" spans="1:14" x14ac:dyDescent="0.3">
      <c r="A1297" t="str">
        <f>정규화데이터!A1297</f>
        <v>리씽크</v>
      </c>
      <c r="B1297" t="str">
        <f>정규화데이터!B1297</f>
        <v>2026020820202120000</v>
      </c>
      <c r="C1297" t="str">
        <f>정규화데이터!C1297</f>
        <v>2026-02-08</v>
      </c>
      <c r="D1297">
        <f>정규화데이터!D1297</f>
        <v>143790</v>
      </c>
      <c r="E1297" s="16" t="str">
        <f>정규화데이터!E1297</f>
        <v>SKU001</v>
      </c>
      <c r="F1297" s="3">
        <f>정규화데이터!F1297</f>
        <v>4</v>
      </c>
      <c r="G1297" s="3">
        <f>정규화데이터!G1297</f>
        <v>1</v>
      </c>
      <c r="H1297" s="3">
        <f>정규화데이터!H1297</f>
        <v>45500</v>
      </c>
      <c r="I1297" s="3">
        <f>정규화데이터!I1297</f>
        <v>45500</v>
      </c>
      <c r="J1297" s="3">
        <f>정규화데이터!J1297</f>
        <v>45500</v>
      </c>
      <c r="K1297" s="25" t="str">
        <f>정규화데이터!K1297</f>
        <v>[워커힐] 시그니처 양념갈비 300G</v>
      </c>
      <c r="L1297" s="25">
        <f>정규화데이터!L1297</f>
        <v>0</v>
      </c>
      <c r="M1297" s="21">
        <f t="shared" si="40"/>
        <v>45500</v>
      </c>
      <c r="N1297" s="52">
        <f t="shared" si="41"/>
        <v>1</v>
      </c>
    </row>
    <row r="1298" spans="1:14" x14ac:dyDescent="0.3">
      <c r="A1298" t="str">
        <f>정규화데이터!A1298</f>
        <v>리씽크</v>
      </c>
      <c r="B1298" t="str">
        <f>정규화데이터!B1298</f>
        <v>2026020819263320000</v>
      </c>
      <c r="C1298" t="str">
        <f>정규화데이터!C1298</f>
        <v>2026-02-08</v>
      </c>
      <c r="D1298">
        <f>정규화데이터!D1298</f>
        <v>143790</v>
      </c>
      <c r="E1298" s="16" t="str">
        <f>정규화데이터!E1298</f>
        <v>SKU001</v>
      </c>
      <c r="F1298" s="3">
        <f>정규화데이터!F1298</f>
        <v>4</v>
      </c>
      <c r="G1298" s="3">
        <f>정규화데이터!G1298</f>
        <v>1</v>
      </c>
      <c r="H1298" s="3">
        <f>정규화데이터!H1298</f>
        <v>45500</v>
      </c>
      <c r="I1298" s="3">
        <f>정규화데이터!I1298</f>
        <v>45500</v>
      </c>
      <c r="J1298" s="3">
        <f>정규화데이터!J1298</f>
        <v>45500</v>
      </c>
      <c r="K1298" s="25" t="str">
        <f>정규화데이터!K1298</f>
        <v>[워커힐] 시그니처 양념갈비 300G</v>
      </c>
      <c r="L1298" s="25">
        <f>정규화데이터!L1298</f>
        <v>0</v>
      </c>
      <c r="M1298" s="21">
        <f t="shared" si="40"/>
        <v>45500</v>
      </c>
      <c r="N1298" s="52">
        <f t="shared" si="41"/>
        <v>1</v>
      </c>
    </row>
    <row r="1299" spans="1:14" x14ac:dyDescent="0.3">
      <c r="A1299" t="str">
        <f>정규화데이터!A1299</f>
        <v>리씽크</v>
      </c>
      <c r="B1299" t="str">
        <f>정규화데이터!B1299</f>
        <v>2026020819253750000</v>
      </c>
      <c r="C1299" t="str">
        <f>정규화데이터!C1299</f>
        <v>2026-02-08</v>
      </c>
      <c r="D1299">
        <f>정규화데이터!D1299</f>
        <v>143790</v>
      </c>
      <c r="E1299" s="16" t="str">
        <f>정규화데이터!E1299</f>
        <v>SKU001</v>
      </c>
      <c r="F1299" s="3">
        <f>정규화데이터!F1299</f>
        <v>4</v>
      </c>
      <c r="G1299" s="3">
        <f>정규화데이터!G1299</f>
        <v>1</v>
      </c>
      <c r="H1299" s="3">
        <f>정규화데이터!H1299</f>
        <v>45500</v>
      </c>
      <c r="I1299" s="3">
        <f>정규화데이터!I1299</f>
        <v>45500</v>
      </c>
      <c r="J1299" s="3">
        <f>정규화데이터!J1299</f>
        <v>45500</v>
      </c>
      <c r="K1299" s="25" t="str">
        <f>정규화데이터!K1299</f>
        <v>[워커힐] 시그니처 양념갈비 300G</v>
      </c>
      <c r="L1299" s="25">
        <f>정규화데이터!L1299</f>
        <v>0</v>
      </c>
      <c r="M1299" s="21">
        <f t="shared" si="40"/>
        <v>45500</v>
      </c>
      <c r="N1299" s="52">
        <f t="shared" si="41"/>
        <v>1</v>
      </c>
    </row>
    <row r="1300" spans="1:14" x14ac:dyDescent="0.3">
      <c r="A1300" t="str">
        <f>정규화데이터!A1300</f>
        <v>리씽크</v>
      </c>
      <c r="B1300" t="str">
        <f>정규화데이터!B1300</f>
        <v>2026020819222990000</v>
      </c>
      <c r="C1300" t="str">
        <f>정규화데이터!C1300</f>
        <v>2026-02-08</v>
      </c>
      <c r="D1300">
        <f>정규화데이터!D1300</f>
        <v>143790</v>
      </c>
      <c r="E1300" s="16" t="str">
        <f>정규화데이터!E1300</f>
        <v>SKU001</v>
      </c>
      <c r="F1300" s="3">
        <f>정규화데이터!F1300</f>
        <v>4</v>
      </c>
      <c r="G1300" s="3">
        <f>정규화데이터!G1300</f>
        <v>2</v>
      </c>
      <c r="H1300" s="3">
        <f>정규화데이터!H1300</f>
        <v>45500</v>
      </c>
      <c r="I1300" s="3">
        <f>정규화데이터!I1300</f>
        <v>91000</v>
      </c>
      <c r="J1300" s="3">
        <f>정규화데이터!J1300</f>
        <v>91000</v>
      </c>
      <c r="K1300" s="25" t="str">
        <f>정규화데이터!K1300</f>
        <v>[워커힐] 시그니처 양념갈비 300G</v>
      </c>
      <c r="L1300" s="25">
        <f>정규화데이터!L1300</f>
        <v>0</v>
      </c>
      <c r="M1300" s="21">
        <f t="shared" si="40"/>
        <v>91000</v>
      </c>
      <c r="N1300" s="52">
        <f t="shared" si="41"/>
        <v>1</v>
      </c>
    </row>
    <row r="1301" spans="1:14" x14ac:dyDescent="0.3">
      <c r="A1301" t="str">
        <f>정규화데이터!A1301</f>
        <v>리씽크</v>
      </c>
      <c r="B1301" t="str">
        <f>정규화데이터!B1301</f>
        <v>2026020819211900000</v>
      </c>
      <c r="C1301" t="str">
        <f>정규화데이터!C1301</f>
        <v>2026-02-08</v>
      </c>
      <c r="D1301">
        <f>정규화데이터!D1301</f>
        <v>143790</v>
      </c>
      <c r="E1301" s="16" t="str">
        <f>정규화데이터!E1301</f>
        <v>SKU001</v>
      </c>
      <c r="F1301" s="3">
        <f>정규화데이터!F1301</f>
        <v>4</v>
      </c>
      <c r="G1301" s="3">
        <f>정규화데이터!G1301</f>
        <v>1</v>
      </c>
      <c r="H1301" s="3">
        <f>정규화데이터!H1301</f>
        <v>45500</v>
      </c>
      <c r="I1301" s="3">
        <f>정규화데이터!I1301</f>
        <v>45500</v>
      </c>
      <c r="J1301" s="3">
        <f>정규화데이터!J1301</f>
        <v>45500</v>
      </c>
      <c r="K1301" s="25" t="str">
        <f>정규화데이터!K1301</f>
        <v>[워커힐] 시그니처 양념갈비 300G</v>
      </c>
      <c r="L1301" s="25">
        <f>정규화데이터!L1301</f>
        <v>0</v>
      </c>
      <c r="M1301" s="21">
        <f t="shared" si="40"/>
        <v>45500</v>
      </c>
      <c r="N1301" s="52">
        <f t="shared" si="41"/>
        <v>1</v>
      </c>
    </row>
    <row r="1302" spans="1:14" x14ac:dyDescent="0.3">
      <c r="A1302" t="str">
        <f>정규화데이터!A1302</f>
        <v>리씽크</v>
      </c>
      <c r="B1302" t="str">
        <f>정규화데이터!B1302</f>
        <v>2026020819130640000</v>
      </c>
      <c r="C1302" t="str">
        <f>정규화데이터!C1302</f>
        <v>2026-02-08</v>
      </c>
      <c r="D1302">
        <f>정규화데이터!D1302</f>
        <v>143790</v>
      </c>
      <c r="E1302" s="16" t="str">
        <f>정규화데이터!E1302</f>
        <v>SKU001</v>
      </c>
      <c r="F1302" s="3">
        <f>정규화데이터!F1302</f>
        <v>4</v>
      </c>
      <c r="G1302" s="3">
        <f>정규화데이터!G1302</f>
        <v>2</v>
      </c>
      <c r="H1302" s="3">
        <f>정규화데이터!H1302</f>
        <v>45500</v>
      </c>
      <c r="I1302" s="3">
        <f>정규화데이터!I1302</f>
        <v>91000</v>
      </c>
      <c r="J1302" s="3">
        <f>정규화데이터!J1302</f>
        <v>91000</v>
      </c>
      <c r="K1302" s="25" t="str">
        <f>정규화데이터!K1302</f>
        <v>[워커힐] 시그니처 양념갈비 300G</v>
      </c>
      <c r="L1302" s="25">
        <f>정규화데이터!L1302</f>
        <v>0</v>
      </c>
      <c r="M1302" s="21">
        <f t="shared" si="40"/>
        <v>91000</v>
      </c>
      <c r="N1302" s="52">
        <f t="shared" si="41"/>
        <v>1</v>
      </c>
    </row>
    <row r="1303" spans="1:14" x14ac:dyDescent="0.3">
      <c r="A1303" t="str">
        <f>정규화데이터!A1303</f>
        <v>리씽크</v>
      </c>
      <c r="B1303" t="str">
        <f>정규화데이터!B1303</f>
        <v>2026020818554970000</v>
      </c>
      <c r="C1303" t="str">
        <f>정규화데이터!C1303</f>
        <v>2026-02-08</v>
      </c>
      <c r="D1303">
        <f>정규화데이터!D1303</f>
        <v>143790</v>
      </c>
      <c r="E1303" s="16" t="str">
        <f>정규화데이터!E1303</f>
        <v>SKU001</v>
      </c>
      <c r="F1303" s="3">
        <f>정규화데이터!F1303</f>
        <v>4</v>
      </c>
      <c r="G1303" s="3">
        <f>정규화데이터!G1303</f>
        <v>1</v>
      </c>
      <c r="H1303" s="3">
        <f>정규화데이터!H1303</f>
        <v>45500</v>
      </c>
      <c r="I1303" s="3">
        <f>정규화데이터!I1303</f>
        <v>45500</v>
      </c>
      <c r="J1303" s="3">
        <f>정규화데이터!J1303</f>
        <v>45500</v>
      </c>
      <c r="K1303" s="25" t="str">
        <f>정규화데이터!K1303</f>
        <v>[워커힐] 시그니처 양념갈비 300G</v>
      </c>
      <c r="L1303" s="25">
        <f>정규화데이터!L1303</f>
        <v>0</v>
      </c>
      <c r="M1303" s="21">
        <f t="shared" si="40"/>
        <v>45500</v>
      </c>
      <c r="N1303" s="52">
        <f t="shared" si="41"/>
        <v>1</v>
      </c>
    </row>
    <row r="1304" spans="1:14" x14ac:dyDescent="0.3">
      <c r="A1304" t="str">
        <f>정규화데이터!A1304</f>
        <v>리씽크</v>
      </c>
      <c r="B1304" t="str">
        <f>정규화데이터!B1304</f>
        <v>2026020818511820000</v>
      </c>
      <c r="C1304" t="str">
        <f>정규화데이터!C1304</f>
        <v>2026-02-08</v>
      </c>
      <c r="D1304">
        <f>정규화데이터!D1304</f>
        <v>143790</v>
      </c>
      <c r="E1304" s="16" t="str">
        <f>정규화데이터!E1304</f>
        <v>SKU001</v>
      </c>
      <c r="F1304" s="3">
        <f>정규화데이터!F1304</f>
        <v>4</v>
      </c>
      <c r="G1304" s="3">
        <f>정규화데이터!G1304</f>
        <v>1</v>
      </c>
      <c r="H1304" s="3">
        <f>정규화데이터!H1304</f>
        <v>45500</v>
      </c>
      <c r="I1304" s="3">
        <f>정규화데이터!I1304</f>
        <v>45500</v>
      </c>
      <c r="J1304" s="3">
        <f>정규화데이터!J1304</f>
        <v>45500</v>
      </c>
      <c r="K1304" s="25" t="str">
        <f>정규화데이터!K1304</f>
        <v>[워커힐] 시그니처 양념갈비 300G</v>
      </c>
      <c r="L1304" s="25">
        <f>정규화데이터!L1304</f>
        <v>0</v>
      </c>
      <c r="M1304" s="21">
        <f t="shared" si="40"/>
        <v>45500</v>
      </c>
      <c r="N1304" s="52">
        <f t="shared" si="41"/>
        <v>1</v>
      </c>
    </row>
    <row r="1305" spans="1:14" x14ac:dyDescent="0.3">
      <c r="A1305" t="str">
        <f>정규화데이터!A1305</f>
        <v>리씽크</v>
      </c>
      <c r="B1305" t="str">
        <f>정규화데이터!B1305</f>
        <v>2026020818421790000</v>
      </c>
      <c r="C1305" t="str">
        <f>정규화데이터!C1305</f>
        <v>2026-02-08</v>
      </c>
      <c r="D1305">
        <f>정규화데이터!D1305</f>
        <v>143790</v>
      </c>
      <c r="E1305" s="16" t="str">
        <f>정규화데이터!E1305</f>
        <v>SKU001</v>
      </c>
      <c r="F1305" s="3">
        <f>정규화데이터!F1305</f>
        <v>4</v>
      </c>
      <c r="G1305" s="3">
        <f>정규화데이터!G1305</f>
        <v>1</v>
      </c>
      <c r="H1305" s="3">
        <f>정규화데이터!H1305</f>
        <v>45500</v>
      </c>
      <c r="I1305" s="3">
        <f>정규화데이터!I1305</f>
        <v>45500</v>
      </c>
      <c r="J1305" s="3">
        <f>정규화데이터!J1305</f>
        <v>45500</v>
      </c>
      <c r="K1305" s="25" t="str">
        <f>정규화데이터!K1305</f>
        <v>[워커힐] 시그니처 양념갈비 300G</v>
      </c>
      <c r="L1305" s="25">
        <f>정규화데이터!L1305</f>
        <v>0</v>
      </c>
      <c r="M1305" s="21">
        <f t="shared" si="40"/>
        <v>45500</v>
      </c>
      <c r="N1305" s="52">
        <f t="shared" si="41"/>
        <v>1</v>
      </c>
    </row>
    <row r="1306" spans="1:14" x14ac:dyDescent="0.3">
      <c r="A1306" t="str">
        <f>정규화데이터!A1306</f>
        <v>리씽크</v>
      </c>
      <c r="B1306" t="str">
        <f>정규화데이터!B1306</f>
        <v>2026020818195180000</v>
      </c>
      <c r="C1306" t="str">
        <f>정규화데이터!C1306</f>
        <v>2026-02-08</v>
      </c>
      <c r="D1306">
        <f>정규화데이터!D1306</f>
        <v>143790</v>
      </c>
      <c r="E1306" s="16" t="str">
        <f>정규화데이터!E1306</f>
        <v>SKU001</v>
      </c>
      <c r="F1306" s="3">
        <f>정규화데이터!F1306</f>
        <v>4</v>
      </c>
      <c r="G1306" s="3">
        <f>정규화데이터!G1306</f>
        <v>1</v>
      </c>
      <c r="H1306" s="3">
        <f>정규화데이터!H1306</f>
        <v>45500</v>
      </c>
      <c r="I1306" s="3">
        <f>정규화데이터!I1306</f>
        <v>45500</v>
      </c>
      <c r="J1306" s="3">
        <f>정규화데이터!J1306</f>
        <v>45500</v>
      </c>
      <c r="K1306" s="25" t="str">
        <f>정규화데이터!K1306</f>
        <v>[워커힐] 시그니처 양념갈비 300G</v>
      </c>
      <c r="L1306" s="25">
        <f>정규화데이터!L1306</f>
        <v>0</v>
      </c>
      <c r="M1306" s="21">
        <f t="shared" si="40"/>
        <v>45500</v>
      </c>
      <c r="N1306" s="52">
        <f t="shared" si="41"/>
        <v>1</v>
      </c>
    </row>
    <row r="1307" spans="1:14" x14ac:dyDescent="0.3">
      <c r="A1307" t="str">
        <f>정규화데이터!A1307</f>
        <v>리씽크</v>
      </c>
      <c r="B1307" t="str">
        <f>정규화데이터!B1307</f>
        <v>2026020818120430000</v>
      </c>
      <c r="C1307" t="str">
        <f>정규화데이터!C1307</f>
        <v>2026-02-08</v>
      </c>
      <c r="D1307">
        <f>정규화데이터!D1307</f>
        <v>143790</v>
      </c>
      <c r="E1307" s="16" t="str">
        <f>정규화데이터!E1307</f>
        <v>SKU001</v>
      </c>
      <c r="F1307" s="3">
        <f>정규화데이터!F1307</f>
        <v>4</v>
      </c>
      <c r="G1307" s="3">
        <f>정규화데이터!G1307</f>
        <v>1</v>
      </c>
      <c r="H1307" s="3">
        <f>정규화데이터!H1307</f>
        <v>45500</v>
      </c>
      <c r="I1307" s="3">
        <f>정규화데이터!I1307</f>
        <v>45500</v>
      </c>
      <c r="J1307" s="3">
        <f>정규화데이터!J1307</f>
        <v>45500</v>
      </c>
      <c r="K1307" s="25" t="str">
        <f>정규화데이터!K1307</f>
        <v>[워커힐] 시그니처 양념갈비 300G</v>
      </c>
      <c r="L1307" s="25">
        <f>정규화데이터!L1307</f>
        <v>0</v>
      </c>
      <c r="M1307" s="21">
        <f t="shared" si="40"/>
        <v>45500</v>
      </c>
      <c r="N1307" s="52">
        <f t="shared" si="41"/>
        <v>1</v>
      </c>
    </row>
    <row r="1308" spans="1:14" x14ac:dyDescent="0.3">
      <c r="A1308" t="str">
        <f>정규화데이터!A1308</f>
        <v>리씽크</v>
      </c>
      <c r="B1308" t="str">
        <f>정규화데이터!B1308</f>
        <v>2026020818034940000</v>
      </c>
      <c r="C1308" t="str">
        <f>정규화데이터!C1308</f>
        <v>2026-02-08</v>
      </c>
      <c r="D1308">
        <f>정규화데이터!D1308</f>
        <v>143790</v>
      </c>
      <c r="E1308" s="16" t="str">
        <f>정규화데이터!E1308</f>
        <v>SKU001</v>
      </c>
      <c r="F1308" s="3">
        <f>정규화데이터!F1308</f>
        <v>4</v>
      </c>
      <c r="G1308" s="3">
        <f>정규화데이터!G1308</f>
        <v>1</v>
      </c>
      <c r="H1308" s="3">
        <f>정규화데이터!H1308</f>
        <v>45500</v>
      </c>
      <c r="I1308" s="3">
        <f>정규화데이터!I1308</f>
        <v>45500</v>
      </c>
      <c r="J1308" s="3">
        <f>정규화데이터!J1308</f>
        <v>45500</v>
      </c>
      <c r="K1308" s="25" t="str">
        <f>정규화데이터!K1308</f>
        <v>[워커힐] 시그니처 양념갈비 300G</v>
      </c>
      <c r="L1308" s="25">
        <f>정규화데이터!L1308</f>
        <v>0</v>
      </c>
      <c r="M1308" s="21">
        <f t="shared" si="40"/>
        <v>45500</v>
      </c>
      <c r="N1308" s="52">
        <f t="shared" si="41"/>
        <v>1</v>
      </c>
    </row>
    <row r="1309" spans="1:14" x14ac:dyDescent="0.3">
      <c r="A1309" t="str">
        <f>정규화데이터!A1309</f>
        <v>리씽크</v>
      </c>
      <c r="B1309" t="str">
        <f>정규화데이터!B1309</f>
        <v>2026020818021850000</v>
      </c>
      <c r="C1309" t="str">
        <f>정규화데이터!C1309</f>
        <v>2026-02-08</v>
      </c>
      <c r="D1309">
        <f>정규화데이터!D1309</f>
        <v>143790</v>
      </c>
      <c r="E1309" s="16" t="str">
        <f>정규화데이터!E1309</f>
        <v>SKU001</v>
      </c>
      <c r="F1309" s="3">
        <f>정규화데이터!F1309</f>
        <v>4</v>
      </c>
      <c r="G1309" s="3">
        <f>정규화데이터!G1309</f>
        <v>1</v>
      </c>
      <c r="H1309" s="3">
        <f>정규화데이터!H1309</f>
        <v>45500</v>
      </c>
      <c r="I1309" s="3">
        <f>정규화데이터!I1309</f>
        <v>45500</v>
      </c>
      <c r="J1309" s="3">
        <f>정규화데이터!J1309</f>
        <v>45500</v>
      </c>
      <c r="K1309" s="25" t="str">
        <f>정규화데이터!K1309</f>
        <v>[워커힐] 시그니처 양념갈비 300G</v>
      </c>
      <c r="L1309" s="25">
        <f>정규화데이터!L1309</f>
        <v>0</v>
      </c>
      <c r="M1309" s="21">
        <f t="shared" si="40"/>
        <v>45500</v>
      </c>
      <c r="N1309" s="52">
        <f t="shared" si="41"/>
        <v>1</v>
      </c>
    </row>
    <row r="1310" spans="1:14" x14ac:dyDescent="0.3">
      <c r="A1310" t="str">
        <f>정규화데이터!A1310</f>
        <v>리씽크</v>
      </c>
      <c r="B1310" t="str">
        <f>정규화데이터!B1310</f>
        <v>2026020817453320000</v>
      </c>
      <c r="C1310" t="str">
        <f>정규화데이터!C1310</f>
        <v>2026-02-08</v>
      </c>
      <c r="D1310">
        <f>정규화데이터!D1310</f>
        <v>143790</v>
      </c>
      <c r="E1310" s="16" t="str">
        <f>정규화데이터!E1310</f>
        <v>SKU001</v>
      </c>
      <c r="F1310" s="3">
        <f>정규화데이터!F1310</f>
        <v>4</v>
      </c>
      <c r="G1310" s="3">
        <f>정규화데이터!G1310</f>
        <v>1</v>
      </c>
      <c r="H1310" s="3">
        <f>정규화데이터!H1310</f>
        <v>45500</v>
      </c>
      <c r="I1310" s="3">
        <f>정규화데이터!I1310</f>
        <v>45500</v>
      </c>
      <c r="J1310" s="3">
        <f>정규화데이터!J1310</f>
        <v>45500</v>
      </c>
      <c r="K1310" s="25" t="str">
        <f>정규화데이터!K1310</f>
        <v>[워커힐] 시그니처 양념갈비 300G</v>
      </c>
      <c r="L1310" s="25">
        <f>정규화데이터!L1310</f>
        <v>0</v>
      </c>
      <c r="M1310" s="21">
        <f t="shared" si="40"/>
        <v>45500</v>
      </c>
      <c r="N1310" s="52">
        <f t="shared" si="41"/>
        <v>1</v>
      </c>
    </row>
    <row r="1311" spans="1:14" x14ac:dyDescent="0.3">
      <c r="A1311" t="str">
        <f>정규화데이터!A1311</f>
        <v>리씽크</v>
      </c>
      <c r="B1311" t="str">
        <f>정규화데이터!B1311</f>
        <v>2026020817473880000</v>
      </c>
      <c r="C1311" t="str">
        <f>정규화데이터!C1311</f>
        <v>2026-02-08</v>
      </c>
      <c r="D1311">
        <f>정규화데이터!D1311</f>
        <v>143790</v>
      </c>
      <c r="E1311" s="16" t="str">
        <f>정규화데이터!E1311</f>
        <v>SKU001</v>
      </c>
      <c r="F1311" s="3">
        <f>정규화데이터!F1311</f>
        <v>4</v>
      </c>
      <c r="G1311" s="3">
        <f>정규화데이터!G1311</f>
        <v>1</v>
      </c>
      <c r="H1311" s="3">
        <f>정규화데이터!H1311</f>
        <v>45500</v>
      </c>
      <c r="I1311" s="3">
        <f>정규화데이터!I1311</f>
        <v>45500</v>
      </c>
      <c r="J1311" s="3">
        <f>정규화데이터!J1311</f>
        <v>45500</v>
      </c>
      <c r="K1311" s="25" t="str">
        <f>정규화데이터!K1311</f>
        <v>[워커힐] 시그니처 양념갈비 300G</v>
      </c>
      <c r="L1311" s="25">
        <f>정규화데이터!L1311</f>
        <v>0</v>
      </c>
      <c r="M1311" s="21">
        <f t="shared" si="40"/>
        <v>45500</v>
      </c>
      <c r="N1311" s="52">
        <f t="shared" si="41"/>
        <v>1</v>
      </c>
    </row>
    <row r="1312" spans="1:14" x14ac:dyDescent="0.3">
      <c r="A1312" t="str">
        <f>정규화데이터!A1312</f>
        <v>리씽크</v>
      </c>
      <c r="B1312" t="str">
        <f>정규화데이터!B1312</f>
        <v>2026020817393260000</v>
      </c>
      <c r="C1312" t="str">
        <f>정규화데이터!C1312</f>
        <v>2026-02-08</v>
      </c>
      <c r="D1312">
        <f>정규화데이터!D1312</f>
        <v>143790</v>
      </c>
      <c r="E1312" s="16" t="str">
        <f>정규화데이터!E1312</f>
        <v>SKU001</v>
      </c>
      <c r="F1312" s="3">
        <f>정규화데이터!F1312</f>
        <v>4</v>
      </c>
      <c r="G1312" s="3">
        <f>정규화데이터!G1312</f>
        <v>1</v>
      </c>
      <c r="H1312" s="3">
        <f>정규화데이터!H1312</f>
        <v>45500</v>
      </c>
      <c r="I1312" s="3">
        <f>정규화데이터!I1312</f>
        <v>45500</v>
      </c>
      <c r="J1312" s="3">
        <f>정규화데이터!J1312</f>
        <v>45500</v>
      </c>
      <c r="K1312" s="25" t="str">
        <f>정규화데이터!K1312</f>
        <v>[워커힐] 시그니처 양념갈비 300G</v>
      </c>
      <c r="L1312" s="25">
        <f>정규화데이터!L1312</f>
        <v>0</v>
      </c>
      <c r="M1312" s="21">
        <f t="shared" si="40"/>
        <v>45500</v>
      </c>
      <c r="N1312" s="52">
        <f t="shared" si="41"/>
        <v>1</v>
      </c>
    </row>
    <row r="1313" spans="1:14" x14ac:dyDescent="0.3">
      <c r="A1313" t="str">
        <f>정규화데이터!A1313</f>
        <v>리씽크</v>
      </c>
      <c r="B1313" t="str">
        <f>정규화데이터!B1313</f>
        <v>2026020815124150000</v>
      </c>
      <c r="C1313" t="str">
        <f>정규화데이터!C1313</f>
        <v>2026-02-08</v>
      </c>
      <c r="D1313">
        <f>정규화데이터!D1313</f>
        <v>143790</v>
      </c>
      <c r="E1313" s="16" t="str">
        <f>정규화데이터!E1313</f>
        <v>SKU001</v>
      </c>
      <c r="F1313" s="3">
        <f>정규화데이터!F1313</f>
        <v>4</v>
      </c>
      <c r="G1313" s="3">
        <f>정규화데이터!G1313</f>
        <v>1</v>
      </c>
      <c r="H1313" s="3">
        <f>정규화데이터!H1313</f>
        <v>45500</v>
      </c>
      <c r="I1313" s="3">
        <f>정규화데이터!I1313</f>
        <v>45500</v>
      </c>
      <c r="J1313" s="3">
        <f>정규화데이터!J1313</f>
        <v>45500</v>
      </c>
      <c r="K1313" s="25" t="str">
        <f>정규화데이터!K1313</f>
        <v>[워커힐] 시그니처 양념갈비 300G</v>
      </c>
      <c r="L1313" s="25">
        <f>정규화데이터!L1313</f>
        <v>0</v>
      </c>
      <c r="M1313" s="21">
        <f t="shared" si="40"/>
        <v>45500</v>
      </c>
      <c r="N1313" s="52">
        <f t="shared" si="41"/>
        <v>1</v>
      </c>
    </row>
    <row r="1314" spans="1:14" x14ac:dyDescent="0.3">
      <c r="A1314" t="str">
        <f>정규화데이터!A1314</f>
        <v>리씽크</v>
      </c>
      <c r="B1314" t="str">
        <f>정규화데이터!B1314</f>
        <v>2026020814305260000</v>
      </c>
      <c r="C1314" t="str">
        <f>정규화데이터!C1314</f>
        <v>2026-02-08</v>
      </c>
      <c r="D1314">
        <f>정규화데이터!D1314</f>
        <v>143790</v>
      </c>
      <c r="E1314" s="16" t="str">
        <f>정규화데이터!E1314</f>
        <v>SKU001</v>
      </c>
      <c r="F1314" s="3">
        <f>정규화데이터!F1314</f>
        <v>4</v>
      </c>
      <c r="G1314" s="3">
        <f>정규화데이터!G1314</f>
        <v>1</v>
      </c>
      <c r="H1314" s="3">
        <f>정규화데이터!H1314</f>
        <v>45500</v>
      </c>
      <c r="I1314" s="3">
        <f>정규화데이터!I1314</f>
        <v>45500</v>
      </c>
      <c r="J1314" s="3">
        <f>정규화데이터!J1314</f>
        <v>45500</v>
      </c>
      <c r="K1314" s="25" t="str">
        <f>정규화데이터!K1314</f>
        <v>[워커힐] 시그니처 양념갈비 300G</v>
      </c>
      <c r="L1314" s="25">
        <f>정규화데이터!L1314</f>
        <v>0</v>
      </c>
      <c r="M1314" s="21">
        <f t="shared" si="40"/>
        <v>45500</v>
      </c>
      <c r="N1314" s="52">
        <f t="shared" si="41"/>
        <v>1</v>
      </c>
    </row>
    <row r="1315" spans="1:14" x14ac:dyDescent="0.3">
      <c r="A1315" t="str">
        <f>정규화데이터!A1315</f>
        <v>리씽크</v>
      </c>
      <c r="B1315" t="str">
        <f>정규화데이터!B1315</f>
        <v>2026020814265340000</v>
      </c>
      <c r="C1315" t="str">
        <f>정규화데이터!C1315</f>
        <v>2026-02-08</v>
      </c>
      <c r="D1315">
        <f>정규화데이터!D1315</f>
        <v>143790</v>
      </c>
      <c r="E1315" s="16" t="str">
        <f>정규화데이터!E1315</f>
        <v>SKU001</v>
      </c>
      <c r="F1315" s="3">
        <f>정규화데이터!F1315</f>
        <v>4</v>
      </c>
      <c r="G1315" s="3">
        <f>정규화데이터!G1315</f>
        <v>1</v>
      </c>
      <c r="H1315" s="3">
        <f>정규화데이터!H1315</f>
        <v>45500</v>
      </c>
      <c r="I1315" s="3">
        <f>정규화데이터!I1315</f>
        <v>45500</v>
      </c>
      <c r="J1315" s="3">
        <f>정규화데이터!J1315</f>
        <v>45500</v>
      </c>
      <c r="K1315" s="25" t="str">
        <f>정규화데이터!K1315</f>
        <v>[워커힐] 시그니처 양념갈비 300G</v>
      </c>
      <c r="L1315" s="25">
        <f>정규화데이터!L1315</f>
        <v>0</v>
      </c>
      <c r="M1315" s="21">
        <f t="shared" si="40"/>
        <v>45500</v>
      </c>
      <c r="N1315" s="52">
        <f t="shared" si="41"/>
        <v>1</v>
      </c>
    </row>
    <row r="1316" spans="1:14" x14ac:dyDescent="0.3">
      <c r="A1316" t="str">
        <f>정규화데이터!A1316</f>
        <v>리씽크</v>
      </c>
      <c r="B1316" t="str">
        <f>정규화데이터!B1316</f>
        <v>2026020814175540000</v>
      </c>
      <c r="C1316" t="str">
        <f>정규화데이터!C1316</f>
        <v>2026-02-08</v>
      </c>
      <c r="D1316">
        <f>정규화데이터!D1316</f>
        <v>143790</v>
      </c>
      <c r="E1316" s="16" t="str">
        <f>정규화데이터!E1316</f>
        <v>SKU001</v>
      </c>
      <c r="F1316" s="3">
        <f>정규화데이터!F1316</f>
        <v>4</v>
      </c>
      <c r="G1316" s="3">
        <f>정규화데이터!G1316</f>
        <v>1</v>
      </c>
      <c r="H1316" s="3">
        <f>정규화데이터!H1316</f>
        <v>45500</v>
      </c>
      <c r="I1316" s="3">
        <f>정규화데이터!I1316</f>
        <v>45500</v>
      </c>
      <c r="J1316" s="3">
        <f>정규화데이터!J1316</f>
        <v>45500</v>
      </c>
      <c r="K1316" s="25" t="str">
        <f>정규화데이터!K1316</f>
        <v>[워커힐] 시그니처 양념갈비 300G</v>
      </c>
      <c r="L1316" s="25">
        <f>정규화데이터!L1316</f>
        <v>0</v>
      </c>
      <c r="M1316" s="21">
        <f t="shared" si="40"/>
        <v>45500</v>
      </c>
      <c r="N1316" s="52">
        <f t="shared" si="41"/>
        <v>1</v>
      </c>
    </row>
    <row r="1317" spans="1:14" x14ac:dyDescent="0.3">
      <c r="A1317" t="str">
        <f>정규화데이터!A1317</f>
        <v>리씽크</v>
      </c>
      <c r="B1317" t="str">
        <f>정규화데이터!B1317</f>
        <v>2026020814081190000</v>
      </c>
      <c r="C1317" t="str">
        <f>정규화데이터!C1317</f>
        <v>2026-02-08</v>
      </c>
      <c r="D1317">
        <f>정규화데이터!D1317</f>
        <v>143790</v>
      </c>
      <c r="E1317" s="16" t="str">
        <f>정규화데이터!E1317</f>
        <v>SKU001</v>
      </c>
      <c r="F1317" s="3">
        <f>정규화데이터!F1317</f>
        <v>4</v>
      </c>
      <c r="G1317" s="3">
        <f>정규화데이터!G1317</f>
        <v>1</v>
      </c>
      <c r="H1317" s="3">
        <f>정규화데이터!H1317</f>
        <v>45500</v>
      </c>
      <c r="I1317" s="3">
        <f>정규화데이터!I1317</f>
        <v>45500</v>
      </c>
      <c r="J1317" s="3">
        <f>정규화데이터!J1317</f>
        <v>45500</v>
      </c>
      <c r="K1317" s="25" t="str">
        <f>정규화데이터!K1317</f>
        <v>[워커힐] 시그니처 양념갈비 300G</v>
      </c>
      <c r="L1317" s="25">
        <f>정규화데이터!L1317</f>
        <v>0</v>
      </c>
      <c r="M1317" s="21">
        <f t="shared" si="40"/>
        <v>45500</v>
      </c>
      <c r="N1317" s="52">
        <f t="shared" si="41"/>
        <v>1</v>
      </c>
    </row>
    <row r="1318" spans="1:14" x14ac:dyDescent="0.3">
      <c r="A1318" t="str">
        <f>정규화데이터!A1318</f>
        <v>리씽크</v>
      </c>
      <c r="B1318" t="str">
        <f>정규화데이터!B1318</f>
        <v>2026020813203400000</v>
      </c>
      <c r="C1318" t="str">
        <f>정규화데이터!C1318</f>
        <v>2026-02-08</v>
      </c>
      <c r="D1318">
        <f>정규화데이터!D1318</f>
        <v>143790</v>
      </c>
      <c r="E1318" s="16" t="str">
        <f>정규화데이터!E1318</f>
        <v>SKU001</v>
      </c>
      <c r="F1318" s="3">
        <f>정규화데이터!F1318</f>
        <v>4</v>
      </c>
      <c r="G1318" s="3">
        <f>정규화데이터!G1318</f>
        <v>2</v>
      </c>
      <c r="H1318" s="3">
        <f>정규화데이터!H1318</f>
        <v>45500</v>
      </c>
      <c r="I1318" s="3">
        <f>정규화데이터!I1318</f>
        <v>91000</v>
      </c>
      <c r="J1318" s="3">
        <f>정규화데이터!J1318</f>
        <v>91000</v>
      </c>
      <c r="K1318" s="25" t="str">
        <f>정규화데이터!K1318</f>
        <v>[워커힐] 시그니처 양념갈비 300G</v>
      </c>
      <c r="L1318" s="25">
        <f>정규화데이터!L1318</f>
        <v>0</v>
      </c>
      <c r="M1318" s="21">
        <f t="shared" si="40"/>
        <v>91000</v>
      </c>
      <c r="N1318" s="52">
        <f t="shared" si="41"/>
        <v>1</v>
      </c>
    </row>
    <row r="1319" spans="1:14" x14ac:dyDescent="0.3">
      <c r="A1319" t="str">
        <f>정규화데이터!A1319</f>
        <v>리씽크</v>
      </c>
      <c r="B1319" t="str">
        <f>정규화데이터!B1319</f>
        <v>2026020812544620000</v>
      </c>
      <c r="C1319" t="str">
        <f>정규화데이터!C1319</f>
        <v>2026-02-08</v>
      </c>
      <c r="D1319">
        <f>정규화데이터!D1319</f>
        <v>143790</v>
      </c>
      <c r="E1319" s="16" t="str">
        <f>정규화데이터!E1319</f>
        <v>SKU001</v>
      </c>
      <c r="F1319" s="3">
        <f>정규화데이터!F1319</f>
        <v>4</v>
      </c>
      <c r="G1319" s="3">
        <f>정규화데이터!G1319</f>
        <v>1</v>
      </c>
      <c r="H1319" s="3">
        <f>정규화데이터!H1319</f>
        <v>45500</v>
      </c>
      <c r="I1319" s="3">
        <f>정규화데이터!I1319</f>
        <v>45500</v>
      </c>
      <c r="J1319" s="3">
        <f>정규화데이터!J1319</f>
        <v>45500</v>
      </c>
      <c r="K1319" s="25" t="str">
        <f>정규화데이터!K1319</f>
        <v>[워커힐] 시그니처 양념갈비 300G</v>
      </c>
      <c r="L1319" s="25">
        <f>정규화데이터!L1319</f>
        <v>0</v>
      </c>
      <c r="M1319" s="21">
        <f t="shared" si="40"/>
        <v>45500</v>
      </c>
      <c r="N1319" s="52">
        <f t="shared" si="41"/>
        <v>1</v>
      </c>
    </row>
    <row r="1320" spans="1:14" x14ac:dyDescent="0.3">
      <c r="A1320" t="str">
        <f>정규화데이터!A1320</f>
        <v>리씽크</v>
      </c>
      <c r="B1320" t="str">
        <f>정규화데이터!B1320</f>
        <v>2026020812482140000</v>
      </c>
      <c r="C1320" t="str">
        <f>정규화데이터!C1320</f>
        <v>2026-02-08</v>
      </c>
      <c r="D1320">
        <f>정규화데이터!D1320</f>
        <v>143790</v>
      </c>
      <c r="E1320" s="16" t="str">
        <f>정규화데이터!E1320</f>
        <v>SKU001</v>
      </c>
      <c r="F1320" s="3">
        <f>정규화데이터!F1320</f>
        <v>4</v>
      </c>
      <c r="G1320" s="3">
        <f>정규화데이터!G1320</f>
        <v>1</v>
      </c>
      <c r="H1320" s="3">
        <f>정규화데이터!H1320</f>
        <v>45500</v>
      </c>
      <c r="I1320" s="3">
        <f>정규화데이터!I1320</f>
        <v>45500</v>
      </c>
      <c r="J1320" s="3">
        <f>정규화데이터!J1320</f>
        <v>45500</v>
      </c>
      <c r="K1320" s="25" t="str">
        <f>정규화데이터!K1320</f>
        <v>[워커힐] 시그니처 양념갈비 300G</v>
      </c>
      <c r="L1320" s="25">
        <f>정규화데이터!L1320</f>
        <v>0</v>
      </c>
      <c r="M1320" s="21">
        <f t="shared" si="40"/>
        <v>45500</v>
      </c>
      <c r="N1320" s="52">
        <f t="shared" si="41"/>
        <v>1</v>
      </c>
    </row>
    <row r="1321" spans="1:14" x14ac:dyDescent="0.3">
      <c r="A1321" t="str">
        <f>정규화데이터!A1321</f>
        <v>리씽크</v>
      </c>
      <c r="B1321" t="str">
        <f>정규화데이터!B1321</f>
        <v>2026020812374600000</v>
      </c>
      <c r="C1321" t="str">
        <f>정규화데이터!C1321</f>
        <v>2026-02-08</v>
      </c>
      <c r="D1321">
        <f>정규화데이터!D1321</f>
        <v>143790</v>
      </c>
      <c r="E1321" s="16" t="str">
        <f>정규화데이터!E1321</f>
        <v>SKU001</v>
      </c>
      <c r="F1321" s="3">
        <f>정규화데이터!F1321</f>
        <v>4</v>
      </c>
      <c r="G1321" s="3">
        <f>정규화데이터!G1321</f>
        <v>1</v>
      </c>
      <c r="H1321" s="3">
        <f>정규화데이터!H1321</f>
        <v>45500</v>
      </c>
      <c r="I1321" s="3">
        <f>정규화데이터!I1321</f>
        <v>45500</v>
      </c>
      <c r="J1321" s="3">
        <f>정규화데이터!J1321</f>
        <v>45500</v>
      </c>
      <c r="K1321" s="25" t="str">
        <f>정규화데이터!K1321</f>
        <v>[워커힐] 시그니처 양념갈비 300G</v>
      </c>
      <c r="L1321" s="25">
        <f>정규화데이터!L1321</f>
        <v>0</v>
      </c>
      <c r="M1321" s="21">
        <f t="shared" si="40"/>
        <v>45500</v>
      </c>
      <c r="N1321" s="52">
        <f t="shared" si="41"/>
        <v>1</v>
      </c>
    </row>
    <row r="1322" spans="1:14" x14ac:dyDescent="0.3">
      <c r="A1322" t="str">
        <f>정규화데이터!A1322</f>
        <v>리씽크</v>
      </c>
      <c r="B1322" t="str">
        <f>정규화데이터!B1322</f>
        <v>2026020812323830000</v>
      </c>
      <c r="C1322" t="str">
        <f>정규화데이터!C1322</f>
        <v>2026-02-08</v>
      </c>
      <c r="D1322">
        <f>정규화데이터!D1322</f>
        <v>143790</v>
      </c>
      <c r="E1322" s="16" t="str">
        <f>정규화데이터!E1322</f>
        <v>SKU001</v>
      </c>
      <c r="F1322" s="3">
        <f>정규화데이터!F1322</f>
        <v>4</v>
      </c>
      <c r="G1322" s="3">
        <f>정규화데이터!G1322</f>
        <v>1</v>
      </c>
      <c r="H1322" s="3">
        <f>정규화데이터!H1322</f>
        <v>45500</v>
      </c>
      <c r="I1322" s="3">
        <f>정규화데이터!I1322</f>
        <v>45500</v>
      </c>
      <c r="J1322" s="3">
        <f>정규화데이터!J1322</f>
        <v>45500</v>
      </c>
      <c r="K1322" s="25" t="str">
        <f>정규화데이터!K1322</f>
        <v>[워커힐] 시그니처 양념갈비 300G</v>
      </c>
      <c r="L1322" s="25">
        <f>정규화데이터!L1322</f>
        <v>0</v>
      </c>
      <c r="M1322" s="21">
        <f t="shared" si="40"/>
        <v>45500</v>
      </c>
      <c r="N1322" s="52">
        <f t="shared" si="41"/>
        <v>1</v>
      </c>
    </row>
    <row r="1323" spans="1:14" x14ac:dyDescent="0.3">
      <c r="A1323" t="str">
        <f>정규화데이터!A1323</f>
        <v>리씽크</v>
      </c>
      <c r="B1323" t="str">
        <f>정규화데이터!B1323</f>
        <v>2026020812284770000</v>
      </c>
      <c r="C1323" t="str">
        <f>정규화데이터!C1323</f>
        <v>2026-02-08</v>
      </c>
      <c r="D1323">
        <f>정규화데이터!D1323</f>
        <v>143790</v>
      </c>
      <c r="E1323" s="16" t="str">
        <f>정규화데이터!E1323</f>
        <v>SKU001</v>
      </c>
      <c r="F1323" s="3">
        <f>정규화데이터!F1323</f>
        <v>4</v>
      </c>
      <c r="G1323" s="3">
        <f>정규화데이터!G1323</f>
        <v>1</v>
      </c>
      <c r="H1323" s="3">
        <f>정규화데이터!H1323</f>
        <v>45500</v>
      </c>
      <c r="I1323" s="3">
        <f>정규화데이터!I1323</f>
        <v>45500</v>
      </c>
      <c r="J1323" s="3">
        <f>정규화데이터!J1323</f>
        <v>45500</v>
      </c>
      <c r="K1323" s="25" t="str">
        <f>정규화데이터!K1323</f>
        <v>[워커힐] 시그니처 양념갈비 300G</v>
      </c>
      <c r="L1323" s="25">
        <f>정규화데이터!L1323</f>
        <v>0</v>
      </c>
      <c r="M1323" s="21">
        <f t="shared" si="40"/>
        <v>45500</v>
      </c>
      <c r="N1323" s="52">
        <f t="shared" si="41"/>
        <v>1</v>
      </c>
    </row>
    <row r="1324" spans="1:14" x14ac:dyDescent="0.3">
      <c r="A1324" t="str">
        <f>정규화데이터!A1324</f>
        <v>리씽크</v>
      </c>
      <c r="B1324" t="str">
        <f>정규화데이터!B1324</f>
        <v>2026020812254410000</v>
      </c>
      <c r="C1324" t="str">
        <f>정규화데이터!C1324</f>
        <v>2026-02-08</v>
      </c>
      <c r="D1324">
        <f>정규화데이터!D1324</f>
        <v>143790</v>
      </c>
      <c r="E1324" s="16" t="str">
        <f>정규화데이터!E1324</f>
        <v>SKU001</v>
      </c>
      <c r="F1324" s="3">
        <f>정규화데이터!F1324</f>
        <v>4</v>
      </c>
      <c r="G1324" s="3">
        <f>정규화데이터!G1324</f>
        <v>1</v>
      </c>
      <c r="H1324" s="3">
        <f>정규화데이터!H1324</f>
        <v>45500</v>
      </c>
      <c r="I1324" s="3">
        <f>정규화데이터!I1324</f>
        <v>45500</v>
      </c>
      <c r="J1324" s="3">
        <f>정규화데이터!J1324</f>
        <v>45500</v>
      </c>
      <c r="K1324" s="25" t="str">
        <f>정규화데이터!K1324</f>
        <v>[워커힐] 시그니처 양념갈비 300G</v>
      </c>
      <c r="L1324" s="25">
        <f>정규화데이터!L1324</f>
        <v>0</v>
      </c>
      <c r="M1324" s="21">
        <f t="shared" si="40"/>
        <v>45500</v>
      </c>
      <c r="N1324" s="52">
        <f t="shared" si="41"/>
        <v>1</v>
      </c>
    </row>
    <row r="1325" spans="1:14" x14ac:dyDescent="0.3">
      <c r="A1325" t="str">
        <f>정규화데이터!A1325</f>
        <v>리씽크</v>
      </c>
      <c r="B1325" t="str">
        <f>정규화데이터!B1325</f>
        <v>2026020812220870000</v>
      </c>
      <c r="C1325" t="str">
        <f>정규화데이터!C1325</f>
        <v>2026-02-08</v>
      </c>
      <c r="D1325">
        <f>정규화데이터!D1325</f>
        <v>143790</v>
      </c>
      <c r="E1325" s="16" t="str">
        <f>정규화데이터!E1325</f>
        <v>SKU001</v>
      </c>
      <c r="F1325" s="3">
        <f>정규화데이터!F1325</f>
        <v>4</v>
      </c>
      <c r="G1325" s="3">
        <f>정규화데이터!G1325</f>
        <v>1</v>
      </c>
      <c r="H1325" s="3">
        <f>정규화데이터!H1325</f>
        <v>45500</v>
      </c>
      <c r="I1325" s="3">
        <f>정규화데이터!I1325</f>
        <v>45500</v>
      </c>
      <c r="J1325" s="3">
        <f>정규화데이터!J1325</f>
        <v>45500</v>
      </c>
      <c r="K1325" s="25" t="str">
        <f>정규화데이터!K1325</f>
        <v>[워커힐] 시그니처 양념갈비 300G</v>
      </c>
      <c r="L1325" s="25">
        <f>정규화데이터!L1325</f>
        <v>0</v>
      </c>
      <c r="M1325" s="21">
        <f t="shared" si="40"/>
        <v>45500</v>
      </c>
      <c r="N1325" s="52">
        <f t="shared" si="41"/>
        <v>1</v>
      </c>
    </row>
    <row r="1326" spans="1:14" x14ac:dyDescent="0.3">
      <c r="A1326" t="str">
        <f>정규화데이터!A1326</f>
        <v>리씽크</v>
      </c>
      <c r="B1326" t="str">
        <f>정규화데이터!B1326</f>
        <v>2026020812130930000</v>
      </c>
      <c r="C1326" t="str">
        <f>정규화데이터!C1326</f>
        <v>2026-02-08</v>
      </c>
      <c r="D1326">
        <f>정규화데이터!D1326</f>
        <v>143790</v>
      </c>
      <c r="E1326" s="16" t="str">
        <f>정규화데이터!E1326</f>
        <v>SKU001</v>
      </c>
      <c r="F1326" s="3">
        <f>정규화데이터!F1326</f>
        <v>4</v>
      </c>
      <c r="G1326" s="3">
        <f>정규화데이터!G1326</f>
        <v>1</v>
      </c>
      <c r="H1326" s="3">
        <f>정규화데이터!H1326</f>
        <v>45500</v>
      </c>
      <c r="I1326" s="3">
        <f>정규화데이터!I1326</f>
        <v>45500</v>
      </c>
      <c r="J1326" s="3">
        <f>정규화데이터!J1326</f>
        <v>45500</v>
      </c>
      <c r="K1326" s="25" t="str">
        <f>정규화데이터!K1326</f>
        <v>[워커힐] 시그니처 양념갈비 300G</v>
      </c>
      <c r="L1326" s="25">
        <f>정규화데이터!L1326</f>
        <v>0</v>
      </c>
      <c r="M1326" s="21">
        <f t="shared" si="40"/>
        <v>45500</v>
      </c>
      <c r="N1326" s="52">
        <f t="shared" si="41"/>
        <v>1</v>
      </c>
    </row>
    <row r="1327" spans="1:14" x14ac:dyDescent="0.3">
      <c r="A1327" t="str">
        <f>정규화데이터!A1327</f>
        <v>리씽크</v>
      </c>
      <c r="B1327" t="str">
        <f>정규화데이터!B1327</f>
        <v>2026020810103430000</v>
      </c>
      <c r="C1327" t="str">
        <f>정규화데이터!C1327</f>
        <v>2026-02-08</v>
      </c>
      <c r="D1327">
        <f>정규화데이터!D1327</f>
        <v>143790</v>
      </c>
      <c r="E1327" s="16" t="str">
        <f>정규화데이터!E1327</f>
        <v>SKU001</v>
      </c>
      <c r="F1327" s="3">
        <f>정규화데이터!F1327</f>
        <v>4</v>
      </c>
      <c r="G1327" s="3">
        <f>정규화데이터!G1327</f>
        <v>1</v>
      </c>
      <c r="H1327" s="3">
        <f>정규화데이터!H1327</f>
        <v>45500</v>
      </c>
      <c r="I1327" s="3">
        <f>정규화데이터!I1327</f>
        <v>45500</v>
      </c>
      <c r="J1327" s="3">
        <f>정규화데이터!J1327</f>
        <v>45500</v>
      </c>
      <c r="K1327" s="25" t="str">
        <f>정규화데이터!K1327</f>
        <v>[워커힐] 시그니처 양념갈비 300G</v>
      </c>
      <c r="L1327" s="25">
        <f>정규화데이터!L1327</f>
        <v>0</v>
      </c>
      <c r="M1327" s="21">
        <f t="shared" si="40"/>
        <v>45500</v>
      </c>
      <c r="N1327" s="52">
        <f t="shared" si="41"/>
        <v>1</v>
      </c>
    </row>
    <row r="1328" spans="1:14" x14ac:dyDescent="0.3">
      <c r="A1328" t="str">
        <f>정규화데이터!A1328</f>
        <v>리씽크</v>
      </c>
      <c r="B1328" t="str">
        <f>정규화데이터!B1328</f>
        <v>2026020810035900000</v>
      </c>
      <c r="C1328" t="str">
        <f>정규화데이터!C1328</f>
        <v>2026-02-08</v>
      </c>
      <c r="D1328">
        <f>정규화데이터!D1328</f>
        <v>143790</v>
      </c>
      <c r="E1328" s="16" t="str">
        <f>정규화데이터!E1328</f>
        <v>SKU001</v>
      </c>
      <c r="F1328" s="3">
        <f>정규화데이터!F1328</f>
        <v>4</v>
      </c>
      <c r="G1328" s="3">
        <f>정규화데이터!G1328</f>
        <v>3</v>
      </c>
      <c r="H1328" s="3">
        <f>정규화데이터!H1328</f>
        <v>45500</v>
      </c>
      <c r="I1328" s="3">
        <f>정규화데이터!I1328</f>
        <v>136500</v>
      </c>
      <c r="J1328" s="3">
        <f>정규화데이터!J1328</f>
        <v>136500</v>
      </c>
      <c r="K1328" s="25" t="str">
        <f>정규화데이터!K1328</f>
        <v>[워커힐] 시그니처 양념갈비 300G</v>
      </c>
      <c r="L1328" s="25">
        <f>정규화데이터!L1328</f>
        <v>0</v>
      </c>
      <c r="M1328" s="21">
        <f t="shared" si="40"/>
        <v>136500</v>
      </c>
      <c r="N1328" s="52">
        <f t="shared" si="41"/>
        <v>1</v>
      </c>
    </row>
    <row r="1329" spans="1:14" x14ac:dyDescent="0.3">
      <c r="A1329" t="str">
        <f>정규화데이터!A1329</f>
        <v>리씽크</v>
      </c>
      <c r="B1329" t="str">
        <f>정규화데이터!B1329</f>
        <v>2026020809390910000</v>
      </c>
      <c r="C1329" t="str">
        <f>정규화데이터!C1329</f>
        <v>2026-02-08</v>
      </c>
      <c r="D1329">
        <f>정규화데이터!D1329</f>
        <v>143790</v>
      </c>
      <c r="E1329" s="16" t="str">
        <f>정규화데이터!E1329</f>
        <v>SKU001</v>
      </c>
      <c r="F1329" s="3">
        <f>정규화데이터!F1329</f>
        <v>4</v>
      </c>
      <c r="G1329" s="3">
        <f>정규화데이터!G1329</f>
        <v>1</v>
      </c>
      <c r="H1329" s="3">
        <f>정규화데이터!H1329</f>
        <v>45500</v>
      </c>
      <c r="I1329" s="3">
        <f>정규화데이터!I1329</f>
        <v>45500</v>
      </c>
      <c r="J1329" s="3">
        <f>정규화데이터!J1329</f>
        <v>45500</v>
      </c>
      <c r="K1329" s="25" t="str">
        <f>정규화데이터!K1329</f>
        <v>[워커힐] 시그니처 양념갈비 300G</v>
      </c>
      <c r="L1329" s="25">
        <f>정규화데이터!L1329</f>
        <v>0</v>
      </c>
      <c r="M1329" s="21">
        <f t="shared" si="40"/>
        <v>45500</v>
      </c>
      <c r="N1329" s="52">
        <f t="shared" si="41"/>
        <v>1</v>
      </c>
    </row>
    <row r="1330" spans="1:14" x14ac:dyDescent="0.3">
      <c r="A1330" t="str">
        <f>정규화데이터!A1330</f>
        <v>리씽크</v>
      </c>
      <c r="B1330" t="str">
        <f>정규화데이터!B1330</f>
        <v>2026020723092580000</v>
      </c>
      <c r="C1330" t="str">
        <f>정규화데이터!C1330</f>
        <v>2026-02-07</v>
      </c>
      <c r="D1330">
        <f>정규화데이터!D1330</f>
        <v>143790</v>
      </c>
      <c r="E1330" s="16" t="str">
        <f>정규화데이터!E1330</f>
        <v>SKU001</v>
      </c>
      <c r="F1330" s="3">
        <f>정규화데이터!F1330</f>
        <v>4</v>
      </c>
      <c r="G1330" s="3">
        <f>정규화데이터!G1330</f>
        <v>1</v>
      </c>
      <c r="H1330" s="3">
        <f>정규화데이터!H1330</f>
        <v>45500</v>
      </c>
      <c r="I1330" s="3">
        <f>정규화데이터!I1330</f>
        <v>45500</v>
      </c>
      <c r="J1330" s="3">
        <f>정규화데이터!J1330</f>
        <v>45500</v>
      </c>
      <c r="K1330" s="25" t="str">
        <f>정규화데이터!K1330</f>
        <v>[워커힐] 시그니처 양념갈비 300G</v>
      </c>
      <c r="L1330" s="25">
        <f>정규화데이터!L1330</f>
        <v>0</v>
      </c>
      <c r="M1330" s="21">
        <f t="shared" si="40"/>
        <v>45500</v>
      </c>
      <c r="N1330" s="52">
        <f t="shared" si="41"/>
        <v>1</v>
      </c>
    </row>
    <row r="1331" spans="1:14" x14ac:dyDescent="0.3">
      <c r="A1331" t="str">
        <f>정규화데이터!A1331</f>
        <v>리씽크</v>
      </c>
      <c r="B1331" t="str">
        <f>정규화데이터!B1331</f>
        <v>2026020722540330000</v>
      </c>
      <c r="C1331" t="str">
        <f>정규화데이터!C1331</f>
        <v>2026-02-07</v>
      </c>
      <c r="D1331">
        <f>정규화데이터!D1331</f>
        <v>143790</v>
      </c>
      <c r="E1331" s="16" t="str">
        <f>정규화데이터!E1331</f>
        <v>SKU001</v>
      </c>
      <c r="F1331" s="3">
        <f>정규화데이터!F1331</f>
        <v>4</v>
      </c>
      <c r="G1331" s="3">
        <f>정규화데이터!G1331</f>
        <v>1</v>
      </c>
      <c r="H1331" s="3">
        <f>정규화데이터!H1331</f>
        <v>45500</v>
      </c>
      <c r="I1331" s="3">
        <f>정규화데이터!I1331</f>
        <v>45500</v>
      </c>
      <c r="J1331" s="3">
        <f>정규화데이터!J1331</f>
        <v>45500</v>
      </c>
      <c r="K1331" s="25" t="str">
        <f>정규화데이터!K1331</f>
        <v>[워커힐] 시그니처 양념갈비 300G</v>
      </c>
      <c r="L1331" s="25">
        <f>정규화데이터!L1331</f>
        <v>0</v>
      </c>
      <c r="M1331" s="21">
        <f t="shared" si="40"/>
        <v>45500</v>
      </c>
      <c r="N1331" s="52">
        <f t="shared" si="41"/>
        <v>1</v>
      </c>
    </row>
    <row r="1332" spans="1:14" x14ac:dyDescent="0.3">
      <c r="A1332" t="str">
        <f>정규화데이터!A1332</f>
        <v>리씽크</v>
      </c>
      <c r="B1332" t="str">
        <f>정규화데이터!B1332</f>
        <v>2026020718420090000</v>
      </c>
      <c r="C1332" t="str">
        <f>정규화데이터!C1332</f>
        <v>2026-02-07</v>
      </c>
      <c r="D1332">
        <f>정규화데이터!D1332</f>
        <v>143790</v>
      </c>
      <c r="E1332" s="16" t="str">
        <f>정규화데이터!E1332</f>
        <v>SKU001</v>
      </c>
      <c r="F1332" s="3">
        <f>정규화데이터!F1332</f>
        <v>4</v>
      </c>
      <c r="G1332" s="3">
        <f>정규화데이터!G1332</f>
        <v>1</v>
      </c>
      <c r="H1332" s="3">
        <f>정규화데이터!H1332</f>
        <v>45500</v>
      </c>
      <c r="I1332" s="3">
        <f>정규화데이터!I1332</f>
        <v>45500</v>
      </c>
      <c r="J1332" s="3">
        <f>정규화데이터!J1332</f>
        <v>45500</v>
      </c>
      <c r="K1332" s="25" t="str">
        <f>정규화데이터!K1332</f>
        <v>[워커힐] 시그니처 양념갈비 300G</v>
      </c>
      <c r="L1332" s="25">
        <f>정규화데이터!L1332</f>
        <v>0</v>
      </c>
      <c r="M1332" s="21">
        <f t="shared" si="40"/>
        <v>45500</v>
      </c>
      <c r="N1332" s="52">
        <f t="shared" si="41"/>
        <v>1</v>
      </c>
    </row>
    <row r="1333" spans="1:14" x14ac:dyDescent="0.3">
      <c r="A1333" t="str">
        <f>정규화데이터!A1333</f>
        <v>리씽크</v>
      </c>
      <c r="B1333" t="str">
        <f>정규화데이터!B1333</f>
        <v>2026020718443610000</v>
      </c>
      <c r="C1333" t="str">
        <f>정규화데이터!C1333</f>
        <v>2026-02-07</v>
      </c>
      <c r="D1333">
        <f>정규화데이터!D1333</f>
        <v>143790</v>
      </c>
      <c r="E1333" s="16" t="str">
        <f>정규화데이터!E1333</f>
        <v>SKU001</v>
      </c>
      <c r="F1333" s="3">
        <f>정규화데이터!F1333</f>
        <v>4</v>
      </c>
      <c r="G1333" s="3">
        <f>정규화데이터!G1333</f>
        <v>1</v>
      </c>
      <c r="H1333" s="3">
        <f>정규화데이터!H1333</f>
        <v>45500</v>
      </c>
      <c r="I1333" s="3">
        <f>정규화데이터!I1333</f>
        <v>45500</v>
      </c>
      <c r="J1333" s="3">
        <f>정규화데이터!J1333</f>
        <v>45500</v>
      </c>
      <c r="K1333" s="25" t="str">
        <f>정규화데이터!K1333</f>
        <v>[워커힐] 시그니처 양념갈비 300G</v>
      </c>
      <c r="L1333" s="25">
        <f>정규화데이터!L1333</f>
        <v>0</v>
      </c>
      <c r="M1333" s="21">
        <f t="shared" si="40"/>
        <v>45500</v>
      </c>
      <c r="N1333" s="52">
        <f t="shared" si="41"/>
        <v>1</v>
      </c>
    </row>
    <row r="1334" spans="1:14" x14ac:dyDescent="0.3">
      <c r="A1334" t="str">
        <f>정규화데이터!A1334</f>
        <v>리씽크</v>
      </c>
      <c r="B1334" t="str">
        <f>정규화데이터!B1334</f>
        <v>2026020718332840000</v>
      </c>
      <c r="C1334" t="str">
        <f>정규화데이터!C1334</f>
        <v>2026-02-07</v>
      </c>
      <c r="D1334">
        <f>정규화데이터!D1334</f>
        <v>143790</v>
      </c>
      <c r="E1334" s="16" t="str">
        <f>정규화데이터!E1334</f>
        <v>SKU001</v>
      </c>
      <c r="F1334" s="3">
        <f>정규화데이터!F1334</f>
        <v>4</v>
      </c>
      <c r="G1334" s="3">
        <f>정규화데이터!G1334</f>
        <v>1</v>
      </c>
      <c r="H1334" s="3">
        <f>정규화데이터!H1334</f>
        <v>45500</v>
      </c>
      <c r="I1334" s="3">
        <f>정규화데이터!I1334</f>
        <v>45500</v>
      </c>
      <c r="J1334" s="3">
        <f>정규화데이터!J1334</f>
        <v>45500</v>
      </c>
      <c r="K1334" s="25" t="str">
        <f>정규화데이터!K1334</f>
        <v>[워커힐] 시그니처 양념갈비 300G</v>
      </c>
      <c r="L1334" s="25">
        <f>정규화데이터!L1334</f>
        <v>0</v>
      </c>
      <c r="M1334" s="21">
        <f t="shared" si="40"/>
        <v>45500</v>
      </c>
      <c r="N1334" s="52">
        <f t="shared" si="41"/>
        <v>1</v>
      </c>
    </row>
    <row r="1335" spans="1:14" x14ac:dyDescent="0.3">
      <c r="A1335" t="str">
        <f>정규화데이터!A1335</f>
        <v>리씽크</v>
      </c>
      <c r="B1335" t="str">
        <f>정규화데이터!B1335</f>
        <v>2026020717572070000</v>
      </c>
      <c r="C1335" t="str">
        <f>정규화데이터!C1335</f>
        <v>2026-02-07</v>
      </c>
      <c r="D1335">
        <f>정규화데이터!D1335</f>
        <v>143790</v>
      </c>
      <c r="E1335" s="16" t="str">
        <f>정규화데이터!E1335</f>
        <v>SKU001</v>
      </c>
      <c r="F1335" s="3">
        <f>정규화데이터!F1335</f>
        <v>4</v>
      </c>
      <c r="G1335" s="3">
        <f>정규화데이터!G1335</f>
        <v>2</v>
      </c>
      <c r="H1335" s="3">
        <f>정규화데이터!H1335</f>
        <v>45500</v>
      </c>
      <c r="I1335" s="3">
        <f>정규화데이터!I1335</f>
        <v>91000</v>
      </c>
      <c r="J1335" s="3">
        <f>정규화데이터!J1335</f>
        <v>91000</v>
      </c>
      <c r="K1335" s="25" t="str">
        <f>정규화데이터!K1335</f>
        <v>[워커힐] 시그니처 양념갈비 300G</v>
      </c>
      <c r="L1335" s="25">
        <f>정규화데이터!L1335</f>
        <v>0</v>
      </c>
      <c r="M1335" s="21">
        <f t="shared" si="40"/>
        <v>91000</v>
      </c>
      <c r="N1335" s="52">
        <f t="shared" si="41"/>
        <v>1</v>
      </c>
    </row>
    <row r="1336" spans="1:14" x14ac:dyDescent="0.3">
      <c r="A1336" t="str">
        <f>정규화데이터!A1336</f>
        <v>리씽크</v>
      </c>
      <c r="B1336" t="str">
        <f>정규화데이터!B1336</f>
        <v>2026020717353160000</v>
      </c>
      <c r="C1336" t="str">
        <f>정규화데이터!C1336</f>
        <v>2026-02-07</v>
      </c>
      <c r="D1336">
        <f>정규화데이터!D1336</f>
        <v>143790</v>
      </c>
      <c r="E1336" s="16" t="str">
        <f>정규화데이터!E1336</f>
        <v>SKU001</v>
      </c>
      <c r="F1336" s="3">
        <f>정규화데이터!F1336</f>
        <v>4</v>
      </c>
      <c r="G1336" s="3">
        <f>정규화데이터!G1336</f>
        <v>1</v>
      </c>
      <c r="H1336" s="3">
        <f>정규화데이터!H1336</f>
        <v>45500</v>
      </c>
      <c r="I1336" s="3">
        <f>정규화데이터!I1336</f>
        <v>45500</v>
      </c>
      <c r="J1336" s="3">
        <f>정규화데이터!J1336</f>
        <v>45500</v>
      </c>
      <c r="K1336" s="25" t="str">
        <f>정규화데이터!K1336</f>
        <v>[워커힐] 시그니처 양념갈비 300G</v>
      </c>
      <c r="L1336" s="25">
        <f>정규화데이터!L1336</f>
        <v>0</v>
      </c>
      <c r="M1336" s="21">
        <f t="shared" si="40"/>
        <v>45500</v>
      </c>
      <c r="N1336" s="52">
        <f t="shared" si="41"/>
        <v>1</v>
      </c>
    </row>
    <row r="1337" spans="1:14" x14ac:dyDescent="0.3">
      <c r="A1337" t="str">
        <f>정규화데이터!A1337</f>
        <v>리씽크</v>
      </c>
      <c r="B1337" t="str">
        <f>정규화데이터!B1337</f>
        <v>2026020717262610000</v>
      </c>
      <c r="C1337" t="str">
        <f>정규화데이터!C1337</f>
        <v>2026-02-07</v>
      </c>
      <c r="D1337">
        <f>정규화데이터!D1337</f>
        <v>143790</v>
      </c>
      <c r="E1337" s="16" t="str">
        <f>정규화데이터!E1337</f>
        <v>SKU001</v>
      </c>
      <c r="F1337" s="3">
        <f>정규화데이터!F1337</f>
        <v>4</v>
      </c>
      <c r="G1337" s="3">
        <f>정규화데이터!G1337</f>
        <v>1</v>
      </c>
      <c r="H1337" s="3">
        <f>정규화데이터!H1337</f>
        <v>45500</v>
      </c>
      <c r="I1337" s="3">
        <f>정규화데이터!I1337</f>
        <v>45500</v>
      </c>
      <c r="J1337" s="3">
        <f>정규화데이터!J1337</f>
        <v>45500</v>
      </c>
      <c r="K1337" s="25" t="str">
        <f>정규화데이터!K1337</f>
        <v>[워커힐] 시그니처 양념갈비 300G</v>
      </c>
      <c r="L1337" s="25">
        <f>정규화데이터!L1337</f>
        <v>0</v>
      </c>
      <c r="M1337" s="21">
        <f t="shared" si="40"/>
        <v>45500</v>
      </c>
      <c r="N1337" s="52">
        <f t="shared" si="41"/>
        <v>1</v>
      </c>
    </row>
    <row r="1338" spans="1:14" x14ac:dyDescent="0.3">
      <c r="A1338" t="str">
        <f>정규화데이터!A1338</f>
        <v>리씽크</v>
      </c>
      <c r="B1338" t="str">
        <f>정규화데이터!B1338</f>
        <v>2026020717250760000</v>
      </c>
      <c r="C1338" t="str">
        <f>정규화데이터!C1338</f>
        <v>2026-02-07</v>
      </c>
      <c r="D1338">
        <f>정규화데이터!D1338</f>
        <v>143790</v>
      </c>
      <c r="E1338" s="16" t="str">
        <f>정규화데이터!E1338</f>
        <v>SKU001</v>
      </c>
      <c r="F1338" s="3">
        <f>정규화데이터!F1338</f>
        <v>4</v>
      </c>
      <c r="G1338" s="3">
        <f>정규화데이터!G1338</f>
        <v>1</v>
      </c>
      <c r="H1338" s="3">
        <f>정규화데이터!H1338</f>
        <v>45500</v>
      </c>
      <c r="I1338" s="3">
        <f>정규화데이터!I1338</f>
        <v>45500</v>
      </c>
      <c r="J1338" s="3">
        <f>정규화데이터!J1338</f>
        <v>45500</v>
      </c>
      <c r="K1338" s="25" t="str">
        <f>정규화데이터!K1338</f>
        <v>[워커힐] 시그니처 양념갈비 300G</v>
      </c>
      <c r="L1338" s="25">
        <f>정규화데이터!L1338</f>
        <v>0</v>
      </c>
      <c r="M1338" s="21">
        <f t="shared" si="40"/>
        <v>45500</v>
      </c>
      <c r="N1338" s="52">
        <f t="shared" si="41"/>
        <v>1</v>
      </c>
    </row>
    <row r="1339" spans="1:14" x14ac:dyDescent="0.3">
      <c r="A1339" t="str">
        <f>정규화데이터!A1339</f>
        <v>리씽크</v>
      </c>
      <c r="B1339" t="str">
        <f>정규화데이터!B1339</f>
        <v>2026020717085180000</v>
      </c>
      <c r="C1339" t="str">
        <f>정규화데이터!C1339</f>
        <v>2026-02-07</v>
      </c>
      <c r="D1339">
        <f>정규화데이터!D1339</f>
        <v>143790</v>
      </c>
      <c r="E1339" s="16" t="str">
        <f>정규화데이터!E1339</f>
        <v>SKU001</v>
      </c>
      <c r="F1339" s="3">
        <f>정규화데이터!F1339</f>
        <v>4</v>
      </c>
      <c r="G1339" s="3">
        <f>정규화데이터!G1339</f>
        <v>1</v>
      </c>
      <c r="H1339" s="3">
        <f>정규화데이터!H1339</f>
        <v>45500</v>
      </c>
      <c r="I1339" s="3">
        <f>정규화데이터!I1339</f>
        <v>45500</v>
      </c>
      <c r="J1339" s="3">
        <f>정규화데이터!J1339</f>
        <v>45500</v>
      </c>
      <c r="K1339" s="25" t="str">
        <f>정규화데이터!K1339</f>
        <v>[워커힐] 시그니처 양념갈비 300G</v>
      </c>
      <c r="L1339" s="25">
        <f>정규화데이터!L1339</f>
        <v>0</v>
      </c>
      <c r="M1339" s="21">
        <f t="shared" si="40"/>
        <v>45500</v>
      </c>
      <c r="N1339" s="52">
        <f t="shared" si="41"/>
        <v>1</v>
      </c>
    </row>
    <row r="1340" spans="1:14" x14ac:dyDescent="0.3">
      <c r="A1340" t="str">
        <f>정규화데이터!A1340</f>
        <v>리씽크</v>
      </c>
      <c r="B1340" t="str">
        <f>정규화데이터!B1340</f>
        <v>2026020716191450000</v>
      </c>
      <c r="C1340" t="str">
        <f>정규화데이터!C1340</f>
        <v>2026-02-07</v>
      </c>
      <c r="D1340">
        <f>정규화데이터!D1340</f>
        <v>143790</v>
      </c>
      <c r="E1340" s="16" t="str">
        <f>정규화데이터!E1340</f>
        <v>SKU001</v>
      </c>
      <c r="F1340" s="3">
        <f>정규화데이터!F1340</f>
        <v>4</v>
      </c>
      <c r="G1340" s="3">
        <f>정규화데이터!G1340</f>
        <v>2</v>
      </c>
      <c r="H1340" s="3">
        <f>정규화데이터!H1340</f>
        <v>45500</v>
      </c>
      <c r="I1340" s="3">
        <f>정규화데이터!I1340</f>
        <v>91000</v>
      </c>
      <c r="J1340" s="3">
        <f>정규화데이터!J1340</f>
        <v>91000</v>
      </c>
      <c r="K1340" s="25" t="str">
        <f>정규화데이터!K1340</f>
        <v>[워커힐] 시그니처 양념갈비 300G</v>
      </c>
      <c r="L1340" s="25">
        <f>정규화데이터!L1340</f>
        <v>0</v>
      </c>
      <c r="M1340" s="21">
        <f t="shared" si="40"/>
        <v>91000</v>
      </c>
      <c r="N1340" s="52">
        <f t="shared" si="41"/>
        <v>1</v>
      </c>
    </row>
    <row r="1341" spans="1:14" x14ac:dyDescent="0.3">
      <c r="A1341" t="str">
        <f>정규화데이터!A1341</f>
        <v>리씽크</v>
      </c>
      <c r="B1341" t="str">
        <f>정규화데이터!B1341</f>
        <v>2026020716132930000</v>
      </c>
      <c r="C1341" t="str">
        <f>정규화데이터!C1341</f>
        <v>2026-02-07</v>
      </c>
      <c r="D1341">
        <f>정규화데이터!D1341</f>
        <v>143790</v>
      </c>
      <c r="E1341" s="16" t="str">
        <f>정규화데이터!E1341</f>
        <v>SKU001</v>
      </c>
      <c r="F1341" s="3">
        <f>정규화데이터!F1341</f>
        <v>4</v>
      </c>
      <c r="G1341" s="3">
        <f>정규화데이터!G1341</f>
        <v>1</v>
      </c>
      <c r="H1341" s="3">
        <f>정규화데이터!H1341</f>
        <v>45500</v>
      </c>
      <c r="I1341" s="3">
        <f>정규화데이터!I1341</f>
        <v>45500</v>
      </c>
      <c r="J1341" s="3">
        <f>정규화데이터!J1341</f>
        <v>45500</v>
      </c>
      <c r="K1341" s="25" t="str">
        <f>정규화데이터!K1341</f>
        <v>[워커힐] 시그니처 양념갈비 300G</v>
      </c>
      <c r="L1341" s="25">
        <f>정규화데이터!L1341</f>
        <v>0</v>
      </c>
      <c r="M1341" s="21">
        <f t="shared" si="40"/>
        <v>45500</v>
      </c>
      <c r="N1341" s="52">
        <f t="shared" si="41"/>
        <v>1</v>
      </c>
    </row>
    <row r="1342" spans="1:14" x14ac:dyDescent="0.3">
      <c r="A1342" t="str">
        <f>정규화데이터!A1342</f>
        <v>리씽크</v>
      </c>
      <c r="B1342" t="str">
        <f>정규화데이터!B1342</f>
        <v>2026020715480890000</v>
      </c>
      <c r="C1342" t="str">
        <f>정규화데이터!C1342</f>
        <v>2026-02-07</v>
      </c>
      <c r="D1342">
        <f>정규화데이터!D1342</f>
        <v>143790</v>
      </c>
      <c r="E1342" s="16" t="str">
        <f>정규화데이터!E1342</f>
        <v>SKU001</v>
      </c>
      <c r="F1342" s="3">
        <f>정규화데이터!F1342</f>
        <v>4</v>
      </c>
      <c r="G1342" s="3">
        <f>정규화데이터!G1342</f>
        <v>1</v>
      </c>
      <c r="H1342" s="3">
        <f>정규화데이터!H1342</f>
        <v>45500</v>
      </c>
      <c r="I1342" s="3">
        <f>정규화데이터!I1342</f>
        <v>45500</v>
      </c>
      <c r="J1342" s="3">
        <f>정규화데이터!J1342</f>
        <v>45500</v>
      </c>
      <c r="K1342" s="25" t="str">
        <f>정규화데이터!K1342</f>
        <v>[워커힐] 시그니처 양념갈비 300G</v>
      </c>
      <c r="L1342" s="25">
        <f>정규화데이터!L1342</f>
        <v>0</v>
      </c>
      <c r="M1342" s="21">
        <f t="shared" si="40"/>
        <v>45500</v>
      </c>
      <c r="N1342" s="52">
        <f t="shared" si="41"/>
        <v>1</v>
      </c>
    </row>
    <row r="1343" spans="1:14" x14ac:dyDescent="0.3">
      <c r="A1343" t="str">
        <f>정규화데이터!A1343</f>
        <v>리씽크</v>
      </c>
      <c r="B1343" t="str">
        <f>정규화데이터!B1343</f>
        <v>2026020715465540000</v>
      </c>
      <c r="C1343" t="str">
        <f>정규화데이터!C1343</f>
        <v>2026-02-07</v>
      </c>
      <c r="D1343">
        <f>정규화데이터!D1343</f>
        <v>143790</v>
      </c>
      <c r="E1343" s="16" t="str">
        <f>정규화데이터!E1343</f>
        <v>SKU001</v>
      </c>
      <c r="F1343" s="3">
        <f>정규화데이터!F1343</f>
        <v>4</v>
      </c>
      <c r="G1343" s="3">
        <f>정규화데이터!G1343</f>
        <v>1</v>
      </c>
      <c r="H1343" s="3">
        <f>정규화데이터!H1343</f>
        <v>45500</v>
      </c>
      <c r="I1343" s="3">
        <f>정규화데이터!I1343</f>
        <v>45500</v>
      </c>
      <c r="J1343" s="3">
        <f>정규화데이터!J1343</f>
        <v>45500</v>
      </c>
      <c r="K1343" s="25" t="str">
        <f>정규화데이터!K1343</f>
        <v>[워커힐] 시그니처 양념갈비 300G</v>
      </c>
      <c r="L1343" s="25">
        <f>정규화데이터!L1343</f>
        <v>0</v>
      </c>
      <c r="M1343" s="21">
        <f t="shared" si="40"/>
        <v>45500</v>
      </c>
      <c r="N1343" s="52">
        <f t="shared" si="41"/>
        <v>1</v>
      </c>
    </row>
    <row r="1344" spans="1:14" x14ac:dyDescent="0.3">
      <c r="A1344" t="str">
        <f>정규화데이터!A1344</f>
        <v>리씽크</v>
      </c>
      <c r="B1344" t="str">
        <f>정규화데이터!B1344</f>
        <v>2026020715214580000</v>
      </c>
      <c r="C1344" t="str">
        <f>정규화데이터!C1344</f>
        <v>2026-02-07</v>
      </c>
      <c r="D1344">
        <f>정규화데이터!D1344</f>
        <v>143790</v>
      </c>
      <c r="E1344" s="16" t="str">
        <f>정규화데이터!E1344</f>
        <v>SKU001</v>
      </c>
      <c r="F1344" s="3">
        <f>정규화데이터!F1344</f>
        <v>4</v>
      </c>
      <c r="G1344" s="3">
        <f>정규화데이터!G1344</f>
        <v>1</v>
      </c>
      <c r="H1344" s="3">
        <f>정규화데이터!H1344</f>
        <v>45500</v>
      </c>
      <c r="I1344" s="3">
        <f>정규화데이터!I1344</f>
        <v>45500</v>
      </c>
      <c r="J1344" s="3">
        <f>정규화데이터!J1344</f>
        <v>45500</v>
      </c>
      <c r="K1344" s="25" t="str">
        <f>정규화데이터!K1344</f>
        <v>[워커힐] 시그니처 양념갈비 300G</v>
      </c>
      <c r="L1344" s="25">
        <f>정규화데이터!L1344</f>
        <v>0</v>
      </c>
      <c r="M1344" s="21">
        <f t="shared" si="40"/>
        <v>45500</v>
      </c>
      <c r="N1344" s="52">
        <f t="shared" si="41"/>
        <v>1</v>
      </c>
    </row>
    <row r="1345" spans="1:14" x14ac:dyDescent="0.3">
      <c r="A1345" t="str">
        <f>정규화데이터!A1345</f>
        <v>리씽크</v>
      </c>
      <c r="B1345" t="str">
        <f>정규화데이터!B1345</f>
        <v>2026020713415390000</v>
      </c>
      <c r="C1345" t="str">
        <f>정규화데이터!C1345</f>
        <v>2026-02-07</v>
      </c>
      <c r="D1345">
        <f>정규화데이터!D1345</f>
        <v>143790</v>
      </c>
      <c r="E1345" s="16" t="str">
        <f>정규화데이터!E1345</f>
        <v>SKU001</v>
      </c>
      <c r="F1345" s="3">
        <f>정규화데이터!F1345</f>
        <v>4</v>
      </c>
      <c r="G1345" s="3">
        <f>정규화데이터!G1345</f>
        <v>2</v>
      </c>
      <c r="H1345" s="3">
        <f>정규화데이터!H1345</f>
        <v>45500</v>
      </c>
      <c r="I1345" s="3">
        <f>정규화데이터!I1345</f>
        <v>91000</v>
      </c>
      <c r="J1345" s="3">
        <f>정규화데이터!J1345</f>
        <v>91000</v>
      </c>
      <c r="K1345" s="25" t="str">
        <f>정규화데이터!K1345</f>
        <v>[워커힐] 시그니처 양념갈비 300G</v>
      </c>
      <c r="L1345" s="25">
        <f>정규화데이터!L1345</f>
        <v>0</v>
      </c>
      <c r="M1345" s="21">
        <f t="shared" si="40"/>
        <v>91000</v>
      </c>
      <c r="N1345" s="52">
        <f t="shared" si="41"/>
        <v>1</v>
      </c>
    </row>
    <row r="1346" spans="1:14" x14ac:dyDescent="0.3">
      <c r="A1346" t="str">
        <f>정규화데이터!A1346</f>
        <v>리씽크</v>
      </c>
      <c r="B1346" t="str">
        <f>정규화데이터!B1346</f>
        <v>2026020713393670000</v>
      </c>
      <c r="C1346" t="str">
        <f>정규화데이터!C1346</f>
        <v>2026-02-07</v>
      </c>
      <c r="D1346">
        <f>정규화데이터!D1346</f>
        <v>143790</v>
      </c>
      <c r="E1346" s="16" t="str">
        <f>정규화데이터!E1346</f>
        <v>SKU001</v>
      </c>
      <c r="F1346" s="3">
        <f>정규화데이터!F1346</f>
        <v>4</v>
      </c>
      <c r="G1346" s="3">
        <f>정규화데이터!G1346</f>
        <v>2</v>
      </c>
      <c r="H1346" s="3">
        <f>정규화데이터!H1346</f>
        <v>45500</v>
      </c>
      <c r="I1346" s="3">
        <f>정규화데이터!I1346</f>
        <v>91000</v>
      </c>
      <c r="J1346" s="3">
        <f>정규화데이터!J1346</f>
        <v>91000</v>
      </c>
      <c r="K1346" s="25" t="str">
        <f>정규화데이터!K1346</f>
        <v>[워커힐] 시그니처 양념갈비 300G</v>
      </c>
      <c r="L1346" s="25">
        <f>정규화데이터!L1346</f>
        <v>0</v>
      </c>
      <c r="M1346" s="21">
        <f t="shared" ref="M1346:M1409" si="42">J1346-L1346</f>
        <v>91000</v>
      </c>
      <c r="N1346" s="52">
        <f t="shared" ref="N1346:N1409" si="43">IF(J1346=0,0,M1346/J1346)</f>
        <v>1</v>
      </c>
    </row>
    <row r="1347" spans="1:14" x14ac:dyDescent="0.3">
      <c r="A1347" t="str">
        <f>정규화데이터!A1347</f>
        <v>리씽크</v>
      </c>
      <c r="B1347" t="str">
        <f>정규화데이터!B1347</f>
        <v>2026020713341860000</v>
      </c>
      <c r="C1347" t="str">
        <f>정규화데이터!C1347</f>
        <v>2026-02-07</v>
      </c>
      <c r="D1347">
        <f>정규화데이터!D1347</f>
        <v>143790</v>
      </c>
      <c r="E1347" s="16" t="str">
        <f>정규화데이터!E1347</f>
        <v>SKU001</v>
      </c>
      <c r="F1347" s="3">
        <f>정규화데이터!F1347</f>
        <v>4</v>
      </c>
      <c r="G1347" s="3">
        <f>정규화데이터!G1347</f>
        <v>2</v>
      </c>
      <c r="H1347" s="3">
        <f>정규화데이터!H1347</f>
        <v>45500</v>
      </c>
      <c r="I1347" s="3">
        <f>정규화데이터!I1347</f>
        <v>91000</v>
      </c>
      <c r="J1347" s="3">
        <f>정규화데이터!J1347</f>
        <v>91000</v>
      </c>
      <c r="K1347" s="25" t="str">
        <f>정규화데이터!K1347</f>
        <v>[워커힐] 시그니처 양념갈비 300G</v>
      </c>
      <c r="L1347" s="25">
        <f>정규화데이터!L1347</f>
        <v>0</v>
      </c>
      <c r="M1347" s="21">
        <f t="shared" si="42"/>
        <v>91000</v>
      </c>
      <c r="N1347" s="52">
        <f t="shared" si="43"/>
        <v>1</v>
      </c>
    </row>
    <row r="1348" spans="1:14" x14ac:dyDescent="0.3">
      <c r="A1348" t="str">
        <f>정규화데이터!A1348</f>
        <v>리씽크</v>
      </c>
      <c r="B1348" t="str">
        <f>정규화데이터!B1348</f>
        <v>2026020713260350000</v>
      </c>
      <c r="C1348" t="str">
        <f>정규화데이터!C1348</f>
        <v>2026-02-07</v>
      </c>
      <c r="D1348">
        <f>정규화데이터!D1348</f>
        <v>143790</v>
      </c>
      <c r="E1348" s="16" t="str">
        <f>정규화데이터!E1348</f>
        <v>SKU001</v>
      </c>
      <c r="F1348" s="3">
        <f>정규화데이터!F1348</f>
        <v>4</v>
      </c>
      <c r="G1348" s="3">
        <f>정규화데이터!G1348</f>
        <v>1</v>
      </c>
      <c r="H1348" s="3">
        <f>정규화데이터!H1348</f>
        <v>45500</v>
      </c>
      <c r="I1348" s="3">
        <f>정규화데이터!I1348</f>
        <v>45500</v>
      </c>
      <c r="J1348" s="3">
        <f>정규화데이터!J1348</f>
        <v>45500</v>
      </c>
      <c r="K1348" s="25" t="str">
        <f>정규화데이터!K1348</f>
        <v>[워커힐] 시그니처 양념갈비 300G</v>
      </c>
      <c r="L1348" s="25">
        <f>정규화데이터!L1348</f>
        <v>0</v>
      </c>
      <c r="M1348" s="21">
        <f t="shared" si="42"/>
        <v>45500</v>
      </c>
      <c r="N1348" s="52">
        <f t="shared" si="43"/>
        <v>1</v>
      </c>
    </row>
    <row r="1349" spans="1:14" x14ac:dyDescent="0.3">
      <c r="A1349" t="str">
        <f>정규화데이터!A1349</f>
        <v>리씽크</v>
      </c>
      <c r="B1349" t="str">
        <f>정규화데이터!B1349</f>
        <v>2026020713113250000</v>
      </c>
      <c r="C1349" t="str">
        <f>정규화데이터!C1349</f>
        <v>2026-02-07</v>
      </c>
      <c r="D1349">
        <f>정규화데이터!D1349</f>
        <v>143790</v>
      </c>
      <c r="E1349" s="16" t="str">
        <f>정규화데이터!E1349</f>
        <v>SKU001</v>
      </c>
      <c r="F1349" s="3">
        <f>정규화데이터!F1349</f>
        <v>4</v>
      </c>
      <c r="G1349" s="3">
        <f>정규화데이터!G1349</f>
        <v>1</v>
      </c>
      <c r="H1349" s="3">
        <f>정규화데이터!H1349</f>
        <v>45500</v>
      </c>
      <c r="I1349" s="3">
        <f>정규화데이터!I1349</f>
        <v>45500</v>
      </c>
      <c r="J1349" s="3">
        <f>정규화데이터!J1349</f>
        <v>45500</v>
      </c>
      <c r="K1349" s="25" t="str">
        <f>정규화데이터!K1349</f>
        <v>[워커힐] 시그니처 양념갈비 300G</v>
      </c>
      <c r="L1349" s="25">
        <f>정규화데이터!L1349</f>
        <v>0</v>
      </c>
      <c r="M1349" s="21">
        <f t="shared" si="42"/>
        <v>45500</v>
      </c>
      <c r="N1349" s="52">
        <f t="shared" si="43"/>
        <v>1</v>
      </c>
    </row>
    <row r="1350" spans="1:14" x14ac:dyDescent="0.3">
      <c r="A1350" t="str">
        <f>정규화데이터!A1350</f>
        <v>리씽크</v>
      </c>
      <c r="B1350" t="str">
        <f>정규화데이터!B1350</f>
        <v>2026020713093450000</v>
      </c>
      <c r="C1350" t="str">
        <f>정규화데이터!C1350</f>
        <v>2026-02-07</v>
      </c>
      <c r="D1350">
        <f>정규화데이터!D1350</f>
        <v>143790</v>
      </c>
      <c r="E1350" s="16" t="str">
        <f>정규화데이터!E1350</f>
        <v>SKU001</v>
      </c>
      <c r="F1350" s="3">
        <f>정규화데이터!F1350</f>
        <v>4</v>
      </c>
      <c r="G1350" s="3">
        <f>정규화데이터!G1350</f>
        <v>1</v>
      </c>
      <c r="H1350" s="3">
        <f>정규화데이터!H1350</f>
        <v>45500</v>
      </c>
      <c r="I1350" s="3">
        <f>정규화데이터!I1350</f>
        <v>45500</v>
      </c>
      <c r="J1350" s="3">
        <f>정규화데이터!J1350</f>
        <v>45500</v>
      </c>
      <c r="K1350" s="25" t="str">
        <f>정규화데이터!K1350</f>
        <v>[워커힐] 시그니처 양념갈비 300G</v>
      </c>
      <c r="L1350" s="25">
        <f>정규화데이터!L1350</f>
        <v>0</v>
      </c>
      <c r="M1350" s="21">
        <f t="shared" si="42"/>
        <v>45500</v>
      </c>
      <c r="N1350" s="52">
        <f t="shared" si="43"/>
        <v>1</v>
      </c>
    </row>
    <row r="1351" spans="1:14" x14ac:dyDescent="0.3">
      <c r="A1351" t="str">
        <f>정규화데이터!A1351</f>
        <v>리씽크</v>
      </c>
      <c r="B1351" t="str">
        <f>정규화데이터!B1351</f>
        <v>2026020712444130000</v>
      </c>
      <c r="C1351" t="str">
        <f>정규화데이터!C1351</f>
        <v>2026-02-07</v>
      </c>
      <c r="D1351">
        <f>정규화데이터!D1351</f>
        <v>143790</v>
      </c>
      <c r="E1351" s="16" t="str">
        <f>정규화데이터!E1351</f>
        <v>SKU001</v>
      </c>
      <c r="F1351" s="3">
        <f>정규화데이터!F1351</f>
        <v>4</v>
      </c>
      <c r="G1351" s="3">
        <f>정규화데이터!G1351</f>
        <v>1</v>
      </c>
      <c r="H1351" s="3">
        <f>정규화데이터!H1351</f>
        <v>45500</v>
      </c>
      <c r="I1351" s="3">
        <f>정규화데이터!I1351</f>
        <v>45500</v>
      </c>
      <c r="J1351" s="3">
        <f>정규화데이터!J1351</f>
        <v>45500</v>
      </c>
      <c r="K1351" s="25" t="str">
        <f>정규화데이터!K1351</f>
        <v>[워커힐] 시그니처 양념갈비 300G</v>
      </c>
      <c r="L1351" s="25">
        <f>정규화데이터!L1351</f>
        <v>0</v>
      </c>
      <c r="M1351" s="21">
        <f t="shared" si="42"/>
        <v>45500</v>
      </c>
      <c r="N1351" s="52">
        <f t="shared" si="43"/>
        <v>1</v>
      </c>
    </row>
    <row r="1352" spans="1:14" x14ac:dyDescent="0.3">
      <c r="A1352" t="str">
        <f>정규화데이터!A1352</f>
        <v>리씽크</v>
      </c>
      <c r="B1352" t="str">
        <f>정규화데이터!B1352</f>
        <v>2026020712135010000</v>
      </c>
      <c r="C1352" t="str">
        <f>정규화데이터!C1352</f>
        <v>2026-02-07</v>
      </c>
      <c r="D1352">
        <f>정규화데이터!D1352</f>
        <v>143790</v>
      </c>
      <c r="E1352" s="16" t="str">
        <f>정규화데이터!E1352</f>
        <v>SKU001</v>
      </c>
      <c r="F1352" s="3">
        <f>정규화데이터!F1352</f>
        <v>4</v>
      </c>
      <c r="G1352" s="3">
        <f>정규화데이터!G1352</f>
        <v>1</v>
      </c>
      <c r="H1352" s="3">
        <f>정규화데이터!H1352</f>
        <v>45500</v>
      </c>
      <c r="I1352" s="3">
        <f>정규화데이터!I1352</f>
        <v>45500</v>
      </c>
      <c r="J1352" s="3">
        <f>정규화데이터!J1352</f>
        <v>45500</v>
      </c>
      <c r="K1352" s="25" t="str">
        <f>정규화데이터!K1352</f>
        <v>[워커힐] 시그니처 양념갈비 300G</v>
      </c>
      <c r="L1352" s="25">
        <f>정규화데이터!L1352</f>
        <v>0</v>
      </c>
      <c r="M1352" s="21">
        <f t="shared" si="42"/>
        <v>45500</v>
      </c>
      <c r="N1352" s="52">
        <f t="shared" si="43"/>
        <v>1</v>
      </c>
    </row>
    <row r="1353" spans="1:14" x14ac:dyDescent="0.3">
      <c r="A1353" t="str">
        <f>정규화데이터!A1353</f>
        <v>리씽크</v>
      </c>
      <c r="B1353" t="str">
        <f>정규화데이터!B1353</f>
        <v>2026020711360100000</v>
      </c>
      <c r="C1353" t="str">
        <f>정규화데이터!C1353</f>
        <v>2026-02-07</v>
      </c>
      <c r="D1353">
        <f>정규화데이터!D1353</f>
        <v>143790</v>
      </c>
      <c r="E1353" s="16" t="str">
        <f>정규화데이터!E1353</f>
        <v>SKU001</v>
      </c>
      <c r="F1353" s="3">
        <f>정규화데이터!F1353</f>
        <v>4</v>
      </c>
      <c r="G1353" s="3">
        <f>정규화데이터!G1353</f>
        <v>1</v>
      </c>
      <c r="H1353" s="3">
        <f>정규화데이터!H1353</f>
        <v>45500</v>
      </c>
      <c r="I1353" s="3">
        <f>정규화데이터!I1353</f>
        <v>45500</v>
      </c>
      <c r="J1353" s="3">
        <f>정규화데이터!J1353</f>
        <v>45500</v>
      </c>
      <c r="K1353" s="25" t="str">
        <f>정규화데이터!K1353</f>
        <v>[워커힐] 시그니처 양념갈비 300G</v>
      </c>
      <c r="L1353" s="25">
        <f>정규화데이터!L1353</f>
        <v>0</v>
      </c>
      <c r="M1353" s="21">
        <f t="shared" si="42"/>
        <v>45500</v>
      </c>
      <c r="N1353" s="52">
        <f t="shared" si="43"/>
        <v>1</v>
      </c>
    </row>
    <row r="1354" spans="1:14" x14ac:dyDescent="0.3">
      <c r="A1354" t="str">
        <f>정규화데이터!A1354</f>
        <v>리씽크</v>
      </c>
      <c r="B1354" t="str">
        <f>정규화데이터!B1354</f>
        <v>2026020711321510000</v>
      </c>
      <c r="C1354" t="str">
        <f>정규화데이터!C1354</f>
        <v>2026-02-07</v>
      </c>
      <c r="D1354">
        <f>정규화데이터!D1354</f>
        <v>143790</v>
      </c>
      <c r="E1354" s="16" t="str">
        <f>정규화데이터!E1354</f>
        <v>SKU001</v>
      </c>
      <c r="F1354" s="3">
        <f>정규화데이터!F1354</f>
        <v>4</v>
      </c>
      <c r="G1354" s="3">
        <f>정규화데이터!G1354</f>
        <v>1</v>
      </c>
      <c r="H1354" s="3">
        <f>정규화데이터!H1354</f>
        <v>45500</v>
      </c>
      <c r="I1354" s="3">
        <f>정규화데이터!I1354</f>
        <v>45500</v>
      </c>
      <c r="J1354" s="3">
        <f>정규화데이터!J1354</f>
        <v>45500</v>
      </c>
      <c r="K1354" s="25" t="str">
        <f>정규화데이터!K1354</f>
        <v>[워커힐] 시그니처 양념갈비 300G</v>
      </c>
      <c r="L1354" s="25">
        <f>정규화데이터!L1354</f>
        <v>0</v>
      </c>
      <c r="M1354" s="21">
        <f t="shared" si="42"/>
        <v>45500</v>
      </c>
      <c r="N1354" s="52">
        <f t="shared" si="43"/>
        <v>1</v>
      </c>
    </row>
    <row r="1355" spans="1:14" x14ac:dyDescent="0.3">
      <c r="A1355" t="str">
        <f>정규화데이터!A1355</f>
        <v>리씽크</v>
      </c>
      <c r="B1355" t="str">
        <f>정규화데이터!B1355</f>
        <v>2026020711111290000</v>
      </c>
      <c r="C1355" t="str">
        <f>정규화데이터!C1355</f>
        <v>2026-02-07</v>
      </c>
      <c r="D1355">
        <f>정규화데이터!D1355</f>
        <v>143790</v>
      </c>
      <c r="E1355" s="16" t="str">
        <f>정규화데이터!E1355</f>
        <v>SKU001</v>
      </c>
      <c r="F1355" s="3">
        <f>정규화데이터!F1355</f>
        <v>4</v>
      </c>
      <c r="G1355" s="3">
        <f>정규화데이터!G1355</f>
        <v>1</v>
      </c>
      <c r="H1355" s="3">
        <f>정규화데이터!H1355</f>
        <v>45500</v>
      </c>
      <c r="I1355" s="3">
        <f>정규화데이터!I1355</f>
        <v>45500</v>
      </c>
      <c r="J1355" s="3">
        <f>정규화데이터!J1355</f>
        <v>45500</v>
      </c>
      <c r="K1355" s="25" t="str">
        <f>정규화데이터!K1355</f>
        <v>[워커힐] 시그니처 양념갈비 300G</v>
      </c>
      <c r="L1355" s="25">
        <f>정규화데이터!L1355</f>
        <v>0</v>
      </c>
      <c r="M1355" s="21">
        <f t="shared" si="42"/>
        <v>45500</v>
      </c>
      <c r="N1355" s="52">
        <f t="shared" si="43"/>
        <v>1</v>
      </c>
    </row>
    <row r="1356" spans="1:14" x14ac:dyDescent="0.3">
      <c r="A1356" t="str">
        <f>정규화데이터!A1356</f>
        <v>리씽크</v>
      </c>
      <c r="B1356" t="str">
        <f>정규화데이터!B1356</f>
        <v>2026020710563590000</v>
      </c>
      <c r="C1356" t="str">
        <f>정규화데이터!C1356</f>
        <v>2026-02-07</v>
      </c>
      <c r="D1356">
        <f>정규화데이터!D1356</f>
        <v>143790</v>
      </c>
      <c r="E1356" s="16" t="str">
        <f>정규화데이터!E1356</f>
        <v>SKU001</v>
      </c>
      <c r="F1356" s="3">
        <f>정규화데이터!F1356</f>
        <v>4</v>
      </c>
      <c r="G1356" s="3">
        <f>정규화데이터!G1356</f>
        <v>1</v>
      </c>
      <c r="H1356" s="3">
        <f>정규화데이터!H1356</f>
        <v>45500</v>
      </c>
      <c r="I1356" s="3">
        <f>정규화데이터!I1356</f>
        <v>45500</v>
      </c>
      <c r="J1356" s="3">
        <f>정규화데이터!J1356</f>
        <v>45500</v>
      </c>
      <c r="K1356" s="25" t="str">
        <f>정규화데이터!K1356</f>
        <v>[워커힐] 시그니처 양념갈비 300G</v>
      </c>
      <c r="L1356" s="25">
        <f>정규화데이터!L1356</f>
        <v>0</v>
      </c>
      <c r="M1356" s="21">
        <f t="shared" si="42"/>
        <v>45500</v>
      </c>
      <c r="N1356" s="52">
        <f t="shared" si="43"/>
        <v>1</v>
      </c>
    </row>
    <row r="1357" spans="1:14" x14ac:dyDescent="0.3">
      <c r="A1357" t="str">
        <f>정규화데이터!A1357</f>
        <v>리씽크</v>
      </c>
      <c r="B1357" t="str">
        <f>정규화데이터!B1357</f>
        <v>2026020710581670000</v>
      </c>
      <c r="C1357" t="str">
        <f>정규화데이터!C1357</f>
        <v>2026-02-07</v>
      </c>
      <c r="D1357">
        <f>정규화데이터!D1357</f>
        <v>143790</v>
      </c>
      <c r="E1357" s="16" t="str">
        <f>정규화데이터!E1357</f>
        <v>SKU001</v>
      </c>
      <c r="F1357" s="3">
        <f>정규화데이터!F1357</f>
        <v>4</v>
      </c>
      <c r="G1357" s="3">
        <f>정규화데이터!G1357</f>
        <v>1</v>
      </c>
      <c r="H1357" s="3">
        <f>정규화데이터!H1357</f>
        <v>45500</v>
      </c>
      <c r="I1357" s="3">
        <f>정규화데이터!I1357</f>
        <v>45500</v>
      </c>
      <c r="J1357" s="3">
        <f>정규화데이터!J1357</f>
        <v>45500</v>
      </c>
      <c r="K1357" s="25" t="str">
        <f>정규화데이터!K1357</f>
        <v>[워커힐] 시그니처 양념갈비 300G</v>
      </c>
      <c r="L1357" s="25">
        <f>정규화데이터!L1357</f>
        <v>0</v>
      </c>
      <c r="M1357" s="21">
        <f t="shared" si="42"/>
        <v>45500</v>
      </c>
      <c r="N1357" s="52">
        <f t="shared" si="43"/>
        <v>1</v>
      </c>
    </row>
    <row r="1358" spans="1:14" x14ac:dyDescent="0.3">
      <c r="A1358" t="str">
        <f>정규화데이터!A1358</f>
        <v>리씽크</v>
      </c>
      <c r="B1358" t="str">
        <f>정규화데이터!B1358</f>
        <v>2026020710424360000</v>
      </c>
      <c r="C1358" t="str">
        <f>정규화데이터!C1358</f>
        <v>2026-02-07</v>
      </c>
      <c r="D1358">
        <f>정규화데이터!D1358</f>
        <v>143790</v>
      </c>
      <c r="E1358" s="16" t="str">
        <f>정규화데이터!E1358</f>
        <v>SKU001</v>
      </c>
      <c r="F1358" s="3">
        <f>정규화데이터!F1358</f>
        <v>4</v>
      </c>
      <c r="G1358" s="3">
        <f>정규화데이터!G1358</f>
        <v>2</v>
      </c>
      <c r="H1358" s="3">
        <f>정규화데이터!H1358</f>
        <v>45500</v>
      </c>
      <c r="I1358" s="3">
        <f>정규화데이터!I1358</f>
        <v>91000</v>
      </c>
      <c r="J1358" s="3">
        <f>정규화데이터!J1358</f>
        <v>91000</v>
      </c>
      <c r="K1358" s="25" t="str">
        <f>정규화데이터!K1358</f>
        <v>[워커힐] 시그니처 양념갈비 300G</v>
      </c>
      <c r="L1358" s="25">
        <f>정규화데이터!L1358</f>
        <v>0</v>
      </c>
      <c r="M1358" s="21">
        <f t="shared" si="42"/>
        <v>91000</v>
      </c>
      <c r="N1358" s="52">
        <f t="shared" si="43"/>
        <v>1</v>
      </c>
    </row>
    <row r="1359" spans="1:14" x14ac:dyDescent="0.3">
      <c r="A1359" t="str">
        <f>정규화데이터!A1359</f>
        <v>리씽크</v>
      </c>
      <c r="B1359" t="str">
        <f>정규화데이터!B1359</f>
        <v>2026020710334320000</v>
      </c>
      <c r="C1359" t="str">
        <f>정규화데이터!C1359</f>
        <v>2026-02-07</v>
      </c>
      <c r="D1359">
        <f>정규화데이터!D1359</f>
        <v>143790</v>
      </c>
      <c r="E1359" s="16" t="str">
        <f>정규화데이터!E1359</f>
        <v>SKU001</v>
      </c>
      <c r="F1359" s="3">
        <f>정규화데이터!F1359</f>
        <v>4</v>
      </c>
      <c r="G1359" s="3">
        <f>정규화데이터!G1359</f>
        <v>1</v>
      </c>
      <c r="H1359" s="3">
        <f>정규화데이터!H1359</f>
        <v>45500</v>
      </c>
      <c r="I1359" s="3">
        <f>정규화데이터!I1359</f>
        <v>45500</v>
      </c>
      <c r="J1359" s="3">
        <f>정규화데이터!J1359</f>
        <v>45500</v>
      </c>
      <c r="K1359" s="25" t="str">
        <f>정규화데이터!K1359</f>
        <v>[워커힐] 시그니처 양념갈비 300G</v>
      </c>
      <c r="L1359" s="25">
        <f>정규화데이터!L1359</f>
        <v>0</v>
      </c>
      <c r="M1359" s="21">
        <f t="shared" si="42"/>
        <v>45500</v>
      </c>
      <c r="N1359" s="52">
        <f t="shared" si="43"/>
        <v>1</v>
      </c>
    </row>
    <row r="1360" spans="1:14" x14ac:dyDescent="0.3">
      <c r="A1360" t="str">
        <f>정규화데이터!A1360</f>
        <v>리씽크</v>
      </c>
      <c r="B1360" t="str">
        <f>정규화데이터!B1360</f>
        <v>2026020710311990000</v>
      </c>
      <c r="C1360" t="str">
        <f>정규화데이터!C1360</f>
        <v>2026-02-07</v>
      </c>
      <c r="D1360">
        <f>정규화데이터!D1360</f>
        <v>143790</v>
      </c>
      <c r="E1360" s="16" t="str">
        <f>정규화데이터!E1360</f>
        <v>SKU001</v>
      </c>
      <c r="F1360" s="3">
        <f>정규화데이터!F1360</f>
        <v>4</v>
      </c>
      <c r="G1360" s="3">
        <f>정규화데이터!G1360</f>
        <v>2</v>
      </c>
      <c r="H1360" s="3">
        <f>정규화데이터!H1360</f>
        <v>45500</v>
      </c>
      <c r="I1360" s="3">
        <f>정규화데이터!I1360</f>
        <v>91000</v>
      </c>
      <c r="J1360" s="3">
        <f>정규화데이터!J1360</f>
        <v>91000</v>
      </c>
      <c r="K1360" s="25" t="str">
        <f>정규화데이터!K1360</f>
        <v>[워커힐] 시그니처 양념갈비 300G</v>
      </c>
      <c r="L1360" s="25">
        <f>정규화데이터!L1360</f>
        <v>0</v>
      </c>
      <c r="M1360" s="21">
        <f t="shared" si="42"/>
        <v>91000</v>
      </c>
      <c r="N1360" s="52">
        <f t="shared" si="43"/>
        <v>1</v>
      </c>
    </row>
    <row r="1361" spans="1:14" x14ac:dyDescent="0.3">
      <c r="A1361" t="str">
        <f>정규화데이터!A1361</f>
        <v>리씽크</v>
      </c>
      <c r="B1361" t="str">
        <f>정규화데이터!B1361</f>
        <v>2026020710062660000</v>
      </c>
      <c r="C1361" t="str">
        <f>정규화데이터!C1361</f>
        <v>2026-02-07</v>
      </c>
      <c r="D1361">
        <f>정규화데이터!D1361</f>
        <v>143790</v>
      </c>
      <c r="E1361" s="16" t="str">
        <f>정규화데이터!E1361</f>
        <v>SKU001</v>
      </c>
      <c r="F1361" s="3">
        <f>정규화데이터!F1361</f>
        <v>4</v>
      </c>
      <c r="G1361" s="3">
        <f>정규화데이터!G1361</f>
        <v>2</v>
      </c>
      <c r="H1361" s="3">
        <f>정규화데이터!H1361</f>
        <v>45500</v>
      </c>
      <c r="I1361" s="3">
        <f>정규화데이터!I1361</f>
        <v>91000</v>
      </c>
      <c r="J1361" s="3">
        <f>정규화데이터!J1361</f>
        <v>91000</v>
      </c>
      <c r="K1361" s="25" t="str">
        <f>정규화데이터!K1361</f>
        <v>[워커힐] 시그니처 양념갈비 300G</v>
      </c>
      <c r="L1361" s="25">
        <f>정규화데이터!L1361</f>
        <v>0</v>
      </c>
      <c r="M1361" s="21">
        <f t="shared" si="42"/>
        <v>91000</v>
      </c>
      <c r="N1361" s="52">
        <f t="shared" si="43"/>
        <v>1</v>
      </c>
    </row>
    <row r="1362" spans="1:14" x14ac:dyDescent="0.3">
      <c r="A1362" t="str">
        <f>정규화데이터!A1362</f>
        <v>리씽크</v>
      </c>
      <c r="B1362" t="str">
        <f>정규화데이터!B1362</f>
        <v>2026020709422450000</v>
      </c>
      <c r="C1362" t="str">
        <f>정규화데이터!C1362</f>
        <v>2026-02-07</v>
      </c>
      <c r="D1362">
        <f>정규화데이터!D1362</f>
        <v>143790</v>
      </c>
      <c r="E1362" s="16" t="str">
        <f>정규화데이터!E1362</f>
        <v>SKU001</v>
      </c>
      <c r="F1362" s="3">
        <f>정규화데이터!F1362</f>
        <v>4</v>
      </c>
      <c r="G1362" s="3">
        <f>정규화데이터!G1362</f>
        <v>1</v>
      </c>
      <c r="H1362" s="3">
        <f>정규화데이터!H1362</f>
        <v>45500</v>
      </c>
      <c r="I1362" s="3">
        <f>정규화데이터!I1362</f>
        <v>45500</v>
      </c>
      <c r="J1362" s="3">
        <f>정규화데이터!J1362</f>
        <v>45500</v>
      </c>
      <c r="K1362" s="25" t="str">
        <f>정규화데이터!K1362</f>
        <v>[워커힐] 시그니처 양념갈비 300G</v>
      </c>
      <c r="L1362" s="25">
        <f>정규화데이터!L1362</f>
        <v>0</v>
      </c>
      <c r="M1362" s="21">
        <f t="shared" si="42"/>
        <v>45500</v>
      </c>
      <c r="N1362" s="52">
        <f t="shared" si="43"/>
        <v>1</v>
      </c>
    </row>
    <row r="1363" spans="1:14" x14ac:dyDescent="0.3">
      <c r="A1363" t="str">
        <f>정규화데이터!A1363</f>
        <v>리씽크</v>
      </c>
      <c r="B1363" t="str">
        <f>정규화데이터!B1363</f>
        <v>2026020709264410000</v>
      </c>
      <c r="C1363" t="str">
        <f>정규화데이터!C1363</f>
        <v>2026-02-07</v>
      </c>
      <c r="D1363">
        <f>정규화데이터!D1363</f>
        <v>143790</v>
      </c>
      <c r="E1363" s="16" t="str">
        <f>정규화데이터!E1363</f>
        <v>SKU001</v>
      </c>
      <c r="F1363" s="3">
        <f>정규화데이터!F1363</f>
        <v>4</v>
      </c>
      <c r="G1363" s="3">
        <f>정규화데이터!G1363</f>
        <v>1</v>
      </c>
      <c r="H1363" s="3">
        <f>정규화데이터!H1363</f>
        <v>45500</v>
      </c>
      <c r="I1363" s="3">
        <f>정규화데이터!I1363</f>
        <v>45500</v>
      </c>
      <c r="J1363" s="3">
        <f>정규화데이터!J1363</f>
        <v>45500</v>
      </c>
      <c r="K1363" s="25" t="str">
        <f>정규화데이터!K1363</f>
        <v>[워커힐] 시그니처 양념갈비 300G</v>
      </c>
      <c r="L1363" s="25">
        <f>정규화데이터!L1363</f>
        <v>0</v>
      </c>
      <c r="M1363" s="21">
        <f t="shared" si="42"/>
        <v>45500</v>
      </c>
      <c r="N1363" s="52">
        <f t="shared" si="43"/>
        <v>1</v>
      </c>
    </row>
    <row r="1364" spans="1:14" x14ac:dyDescent="0.3">
      <c r="A1364" t="str">
        <f>정규화데이터!A1364</f>
        <v>리씽크</v>
      </c>
      <c r="B1364" t="str">
        <f>정규화데이터!B1364</f>
        <v>2026020708522360000</v>
      </c>
      <c r="C1364" t="str">
        <f>정규화데이터!C1364</f>
        <v>2026-02-07</v>
      </c>
      <c r="D1364">
        <f>정규화데이터!D1364</f>
        <v>143790</v>
      </c>
      <c r="E1364" s="16" t="str">
        <f>정규화데이터!E1364</f>
        <v>SKU001</v>
      </c>
      <c r="F1364" s="3">
        <f>정규화데이터!F1364</f>
        <v>4</v>
      </c>
      <c r="G1364" s="3">
        <f>정규화데이터!G1364</f>
        <v>1</v>
      </c>
      <c r="H1364" s="3">
        <f>정규화데이터!H1364</f>
        <v>45500</v>
      </c>
      <c r="I1364" s="3">
        <f>정규화데이터!I1364</f>
        <v>45500</v>
      </c>
      <c r="J1364" s="3">
        <f>정규화데이터!J1364</f>
        <v>45500</v>
      </c>
      <c r="K1364" s="25" t="str">
        <f>정규화데이터!K1364</f>
        <v>[워커힐] 시그니처 양념갈비 300G</v>
      </c>
      <c r="L1364" s="25">
        <f>정규화데이터!L1364</f>
        <v>0</v>
      </c>
      <c r="M1364" s="21">
        <f t="shared" si="42"/>
        <v>45500</v>
      </c>
      <c r="N1364" s="52">
        <f t="shared" si="43"/>
        <v>1</v>
      </c>
    </row>
    <row r="1365" spans="1:14" x14ac:dyDescent="0.3">
      <c r="A1365" t="str">
        <f>정규화데이터!A1365</f>
        <v>리씽크</v>
      </c>
      <c r="B1365" t="str">
        <f>정규화데이터!B1365</f>
        <v>2026020708392460000</v>
      </c>
      <c r="C1365" t="str">
        <f>정규화데이터!C1365</f>
        <v>2026-02-07</v>
      </c>
      <c r="D1365">
        <f>정규화데이터!D1365</f>
        <v>143790</v>
      </c>
      <c r="E1365" s="16" t="str">
        <f>정규화데이터!E1365</f>
        <v>SKU001</v>
      </c>
      <c r="F1365" s="3">
        <f>정규화데이터!F1365</f>
        <v>4</v>
      </c>
      <c r="G1365" s="3">
        <f>정규화데이터!G1365</f>
        <v>1</v>
      </c>
      <c r="H1365" s="3">
        <f>정규화데이터!H1365</f>
        <v>45500</v>
      </c>
      <c r="I1365" s="3">
        <f>정규화데이터!I1365</f>
        <v>45500</v>
      </c>
      <c r="J1365" s="3">
        <f>정규화데이터!J1365</f>
        <v>45500</v>
      </c>
      <c r="K1365" s="25" t="str">
        <f>정규화데이터!K1365</f>
        <v>[워커힐] 시그니처 양념갈비 300G</v>
      </c>
      <c r="L1365" s="25">
        <f>정규화데이터!L1365</f>
        <v>0</v>
      </c>
      <c r="M1365" s="21">
        <f t="shared" si="42"/>
        <v>45500</v>
      </c>
      <c r="N1365" s="52">
        <f t="shared" si="43"/>
        <v>1</v>
      </c>
    </row>
    <row r="1366" spans="1:14" x14ac:dyDescent="0.3">
      <c r="A1366" t="str">
        <f>정규화데이터!A1366</f>
        <v>리씽크</v>
      </c>
      <c r="B1366" t="str">
        <f>정규화데이터!B1366</f>
        <v>2026020708264050000</v>
      </c>
      <c r="C1366" t="str">
        <f>정규화데이터!C1366</f>
        <v>2026-02-07</v>
      </c>
      <c r="D1366">
        <f>정규화데이터!D1366</f>
        <v>143790</v>
      </c>
      <c r="E1366" s="16" t="str">
        <f>정규화데이터!E1366</f>
        <v>SKU001</v>
      </c>
      <c r="F1366" s="3">
        <f>정규화데이터!F1366</f>
        <v>4</v>
      </c>
      <c r="G1366" s="3">
        <f>정규화데이터!G1366</f>
        <v>2</v>
      </c>
      <c r="H1366" s="3">
        <f>정규화데이터!H1366</f>
        <v>45500</v>
      </c>
      <c r="I1366" s="3">
        <f>정규화데이터!I1366</f>
        <v>91000</v>
      </c>
      <c r="J1366" s="3">
        <f>정규화데이터!J1366</f>
        <v>91000</v>
      </c>
      <c r="K1366" s="25" t="str">
        <f>정규화데이터!K1366</f>
        <v>[워커힐] 시그니처 양념갈비 300G</v>
      </c>
      <c r="L1366" s="25">
        <f>정규화데이터!L1366</f>
        <v>0</v>
      </c>
      <c r="M1366" s="21">
        <f t="shared" si="42"/>
        <v>91000</v>
      </c>
      <c r="N1366" s="52">
        <f t="shared" si="43"/>
        <v>1</v>
      </c>
    </row>
    <row r="1367" spans="1:14" x14ac:dyDescent="0.3">
      <c r="A1367" t="str">
        <f>정규화데이터!A1367</f>
        <v>리씽크</v>
      </c>
      <c r="B1367" t="str">
        <f>정규화데이터!B1367</f>
        <v>2026020708224990000</v>
      </c>
      <c r="C1367" t="str">
        <f>정규화데이터!C1367</f>
        <v>2026-02-07</v>
      </c>
      <c r="D1367">
        <f>정규화데이터!D1367</f>
        <v>143790</v>
      </c>
      <c r="E1367" s="16" t="str">
        <f>정규화데이터!E1367</f>
        <v>SKU001</v>
      </c>
      <c r="F1367" s="3">
        <f>정규화데이터!F1367</f>
        <v>4</v>
      </c>
      <c r="G1367" s="3">
        <f>정규화데이터!G1367</f>
        <v>1</v>
      </c>
      <c r="H1367" s="3">
        <f>정규화데이터!H1367</f>
        <v>45500</v>
      </c>
      <c r="I1367" s="3">
        <f>정규화데이터!I1367</f>
        <v>45500</v>
      </c>
      <c r="J1367" s="3">
        <f>정규화데이터!J1367</f>
        <v>45500</v>
      </c>
      <c r="K1367" s="25" t="str">
        <f>정규화데이터!K1367</f>
        <v>[워커힐] 시그니처 양념갈비 300G</v>
      </c>
      <c r="L1367" s="25">
        <f>정규화데이터!L1367</f>
        <v>0</v>
      </c>
      <c r="M1367" s="21">
        <f t="shared" si="42"/>
        <v>45500</v>
      </c>
      <c r="N1367" s="52">
        <f t="shared" si="43"/>
        <v>1</v>
      </c>
    </row>
    <row r="1368" spans="1:14" x14ac:dyDescent="0.3">
      <c r="A1368" t="str">
        <f>정규화데이터!A1368</f>
        <v>리씽크</v>
      </c>
      <c r="B1368" t="str">
        <f>정규화데이터!B1368</f>
        <v>2026020708052350000</v>
      </c>
      <c r="C1368" t="str">
        <f>정규화데이터!C1368</f>
        <v>2026-02-07</v>
      </c>
      <c r="D1368">
        <f>정규화데이터!D1368</f>
        <v>143790</v>
      </c>
      <c r="E1368" s="16" t="str">
        <f>정규화데이터!E1368</f>
        <v>SKU001</v>
      </c>
      <c r="F1368" s="3">
        <f>정규화데이터!F1368</f>
        <v>4</v>
      </c>
      <c r="G1368" s="3">
        <f>정규화데이터!G1368</f>
        <v>1</v>
      </c>
      <c r="H1368" s="3">
        <f>정규화데이터!H1368</f>
        <v>45500</v>
      </c>
      <c r="I1368" s="3">
        <f>정규화데이터!I1368</f>
        <v>45500</v>
      </c>
      <c r="J1368" s="3">
        <f>정규화데이터!J1368</f>
        <v>45500</v>
      </c>
      <c r="K1368" s="25" t="str">
        <f>정규화데이터!K1368</f>
        <v>[워커힐] 시그니처 양념갈비 300G</v>
      </c>
      <c r="L1368" s="25">
        <f>정규화데이터!L1368</f>
        <v>0</v>
      </c>
      <c r="M1368" s="21">
        <f t="shared" si="42"/>
        <v>45500</v>
      </c>
      <c r="N1368" s="52">
        <f t="shared" si="43"/>
        <v>1</v>
      </c>
    </row>
    <row r="1369" spans="1:14" x14ac:dyDescent="0.3">
      <c r="A1369" t="str">
        <f>정규화데이터!A1369</f>
        <v>리씽크</v>
      </c>
      <c r="B1369" t="str">
        <f>정규화데이터!B1369</f>
        <v>2026020708023750000</v>
      </c>
      <c r="C1369" t="str">
        <f>정규화데이터!C1369</f>
        <v>2026-02-07</v>
      </c>
      <c r="D1369">
        <f>정규화데이터!D1369</f>
        <v>143790</v>
      </c>
      <c r="E1369" s="16" t="str">
        <f>정규화데이터!E1369</f>
        <v>SKU001</v>
      </c>
      <c r="F1369" s="3">
        <f>정규화데이터!F1369</f>
        <v>4</v>
      </c>
      <c r="G1369" s="3">
        <f>정규화데이터!G1369</f>
        <v>2</v>
      </c>
      <c r="H1369" s="3">
        <f>정규화데이터!H1369</f>
        <v>45500</v>
      </c>
      <c r="I1369" s="3">
        <f>정규화데이터!I1369</f>
        <v>91000</v>
      </c>
      <c r="J1369" s="3">
        <f>정규화데이터!J1369</f>
        <v>91000</v>
      </c>
      <c r="K1369" s="25" t="str">
        <f>정규화데이터!K1369</f>
        <v>[워커힐] 시그니처 양념갈비 300G</v>
      </c>
      <c r="L1369" s="25">
        <f>정규화데이터!L1369</f>
        <v>0</v>
      </c>
      <c r="M1369" s="21">
        <f t="shared" si="42"/>
        <v>91000</v>
      </c>
      <c r="N1369" s="52">
        <f t="shared" si="43"/>
        <v>1</v>
      </c>
    </row>
    <row r="1370" spans="1:14" x14ac:dyDescent="0.3">
      <c r="A1370" t="str">
        <f>정규화데이터!A1370</f>
        <v>리씽크</v>
      </c>
      <c r="B1370" t="str">
        <f>정규화데이터!B1370</f>
        <v>2026020707562230000</v>
      </c>
      <c r="C1370" t="str">
        <f>정규화데이터!C1370</f>
        <v>2026-02-07</v>
      </c>
      <c r="D1370">
        <f>정규화데이터!D1370</f>
        <v>143790</v>
      </c>
      <c r="E1370" s="16" t="str">
        <f>정규화데이터!E1370</f>
        <v>SKU001</v>
      </c>
      <c r="F1370" s="3">
        <f>정규화데이터!F1370</f>
        <v>4</v>
      </c>
      <c r="G1370" s="3">
        <f>정규화데이터!G1370</f>
        <v>2</v>
      </c>
      <c r="H1370" s="3">
        <f>정규화데이터!H1370</f>
        <v>45500</v>
      </c>
      <c r="I1370" s="3">
        <f>정규화데이터!I1370</f>
        <v>91000</v>
      </c>
      <c r="J1370" s="3">
        <f>정규화데이터!J1370</f>
        <v>91000</v>
      </c>
      <c r="K1370" s="25" t="str">
        <f>정규화데이터!K1370</f>
        <v>[워커힐] 시그니처 양념갈비 300G</v>
      </c>
      <c r="L1370" s="25">
        <f>정규화데이터!L1370</f>
        <v>0</v>
      </c>
      <c r="M1370" s="21">
        <f t="shared" si="42"/>
        <v>91000</v>
      </c>
      <c r="N1370" s="52">
        <f t="shared" si="43"/>
        <v>1</v>
      </c>
    </row>
    <row r="1371" spans="1:14" x14ac:dyDescent="0.3">
      <c r="A1371" t="str">
        <f>정규화데이터!A1371</f>
        <v>리씽크</v>
      </c>
      <c r="B1371" t="str">
        <f>정규화데이터!B1371</f>
        <v>2026020707045190000</v>
      </c>
      <c r="C1371" t="str">
        <f>정규화데이터!C1371</f>
        <v>2026-02-07</v>
      </c>
      <c r="D1371">
        <f>정규화데이터!D1371</f>
        <v>143790</v>
      </c>
      <c r="E1371" s="16" t="str">
        <f>정규화데이터!E1371</f>
        <v>SKU001</v>
      </c>
      <c r="F1371" s="3">
        <f>정규화데이터!F1371</f>
        <v>4</v>
      </c>
      <c r="G1371" s="3">
        <f>정규화데이터!G1371</f>
        <v>1</v>
      </c>
      <c r="H1371" s="3">
        <f>정규화데이터!H1371</f>
        <v>45500</v>
      </c>
      <c r="I1371" s="3">
        <f>정규화데이터!I1371</f>
        <v>45500</v>
      </c>
      <c r="J1371" s="3">
        <f>정규화데이터!J1371</f>
        <v>45500</v>
      </c>
      <c r="K1371" s="25" t="str">
        <f>정규화데이터!K1371</f>
        <v>[워커힐] 시그니처 양념갈비 300G</v>
      </c>
      <c r="L1371" s="25">
        <f>정규화데이터!L1371</f>
        <v>0</v>
      </c>
      <c r="M1371" s="21">
        <f t="shared" si="42"/>
        <v>45500</v>
      </c>
      <c r="N1371" s="52">
        <f t="shared" si="43"/>
        <v>1</v>
      </c>
    </row>
    <row r="1372" spans="1:14" x14ac:dyDescent="0.3">
      <c r="A1372" t="str">
        <f>정규화데이터!A1372</f>
        <v>리씽크</v>
      </c>
      <c r="B1372" t="str">
        <f>정규화데이터!B1372</f>
        <v>2026020703130630000</v>
      </c>
      <c r="C1372" t="str">
        <f>정규화데이터!C1372</f>
        <v>2026-02-07</v>
      </c>
      <c r="D1372">
        <f>정규화데이터!D1372</f>
        <v>143790</v>
      </c>
      <c r="E1372" s="16" t="str">
        <f>정규화데이터!E1372</f>
        <v>SKU001</v>
      </c>
      <c r="F1372" s="3">
        <f>정규화데이터!F1372</f>
        <v>4</v>
      </c>
      <c r="G1372" s="3">
        <f>정규화데이터!G1372</f>
        <v>1</v>
      </c>
      <c r="H1372" s="3">
        <f>정규화데이터!H1372</f>
        <v>45500</v>
      </c>
      <c r="I1372" s="3">
        <f>정규화데이터!I1372</f>
        <v>45500</v>
      </c>
      <c r="J1372" s="3">
        <f>정규화데이터!J1372</f>
        <v>45500</v>
      </c>
      <c r="K1372" s="25" t="str">
        <f>정규화데이터!K1372</f>
        <v>[워커힐] 시그니처 양념갈비 300G</v>
      </c>
      <c r="L1372" s="25">
        <f>정규화데이터!L1372</f>
        <v>0</v>
      </c>
      <c r="M1372" s="21">
        <f t="shared" si="42"/>
        <v>45500</v>
      </c>
      <c r="N1372" s="52">
        <f t="shared" si="43"/>
        <v>1</v>
      </c>
    </row>
    <row r="1373" spans="1:14" x14ac:dyDescent="0.3">
      <c r="A1373" t="str">
        <f>정규화데이터!A1373</f>
        <v>리씽크</v>
      </c>
      <c r="B1373" t="str">
        <f>정규화데이터!B1373</f>
        <v>2026020702114320000</v>
      </c>
      <c r="C1373" t="str">
        <f>정규화데이터!C1373</f>
        <v>2026-02-07</v>
      </c>
      <c r="D1373">
        <f>정규화데이터!D1373</f>
        <v>143790</v>
      </c>
      <c r="E1373" s="16" t="str">
        <f>정규화데이터!E1373</f>
        <v>SKU001</v>
      </c>
      <c r="F1373" s="3">
        <f>정규화데이터!F1373</f>
        <v>4</v>
      </c>
      <c r="G1373" s="3">
        <f>정규화데이터!G1373</f>
        <v>1</v>
      </c>
      <c r="H1373" s="3">
        <f>정규화데이터!H1373</f>
        <v>45500</v>
      </c>
      <c r="I1373" s="3">
        <f>정규화데이터!I1373</f>
        <v>45500</v>
      </c>
      <c r="J1373" s="3">
        <f>정규화데이터!J1373</f>
        <v>45500</v>
      </c>
      <c r="K1373" s="25" t="str">
        <f>정규화데이터!K1373</f>
        <v>[워커힐] 시그니처 양념갈비 300G</v>
      </c>
      <c r="L1373" s="25">
        <f>정규화데이터!L1373</f>
        <v>0</v>
      </c>
      <c r="M1373" s="21">
        <f t="shared" si="42"/>
        <v>45500</v>
      </c>
      <c r="N1373" s="52">
        <f t="shared" si="43"/>
        <v>1</v>
      </c>
    </row>
    <row r="1374" spans="1:14" x14ac:dyDescent="0.3">
      <c r="A1374" t="str">
        <f>정규화데이터!A1374</f>
        <v>리씽크</v>
      </c>
      <c r="B1374" t="str">
        <f>정규화데이터!B1374</f>
        <v>2026020701035300000</v>
      </c>
      <c r="C1374" t="str">
        <f>정규화데이터!C1374</f>
        <v>2026-02-07</v>
      </c>
      <c r="D1374">
        <f>정규화데이터!D1374</f>
        <v>143790</v>
      </c>
      <c r="E1374" s="16" t="str">
        <f>정규화데이터!E1374</f>
        <v>SKU001</v>
      </c>
      <c r="F1374" s="3">
        <f>정규화데이터!F1374</f>
        <v>4</v>
      </c>
      <c r="G1374" s="3">
        <f>정규화데이터!G1374</f>
        <v>1</v>
      </c>
      <c r="H1374" s="3">
        <f>정규화데이터!H1374</f>
        <v>45500</v>
      </c>
      <c r="I1374" s="3">
        <f>정규화데이터!I1374</f>
        <v>45500</v>
      </c>
      <c r="J1374" s="3">
        <f>정규화데이터!J1374</f>
        <v>45500</v>
      </c>
      <c r="K1374" s="25" t="str">
        <f>정규화데이터!K1374</f>
        <v>[워커힐] 시그니처 양념갈비 300G</v>
      </c>
      <c r="L1374" s="25">
        <f>정규화데이터!L1374</f>
        <v>0</v>
      </c>
      <c r="M1374" s="21">
        <f t="shared" si="42"/>
        <v>45500</v>
      </c>
      <c r="N1374" s="52">
        <f t="shared" si="43"/>
        <v>1</v>
      </c>
    </row>
    <row r="1375" spans="1:14" x14ac:dyDescent="0.3">
      <c r="A1375" t="str">
        <f>정규화데이터!A1375</f>
        <v>리씽크</v>
      </c>
      <c r="B1375" t="str">
        <f>정규화데이터!B1375</f>
        <v>2026020700015930000</v>
      </c>
      <c r="C1375" t="str">
        <f>정규화데이터!C1375</f>
        <v>2026-02-07</v>
      </c>
      <c r="D1375">
        <f>정규화데이터!D1375</f>
        <v>143790</v>
      </c>
      <c r="E1375" s="16" t="str">
        <f>정규화데이터!E1375</f>
        <v>SKU001</v>
      </c>
      <c r="F1375" s="3">
        <f>정규화데이터!F1375</f>
        <v>4</v>
      </c>
      <c r="G1375" s="3">
        <f>정규화데이터!G1375</f>
        <v>1</v>
      </c>
      <c r="H1375" s="3">
        <f>정규화데이터!H1375</f>
        <v>45500</v>
      </c>
      <c r="I1375" s="3">
        <f>정규화데이터!I1375</f>
        <v>45500</v>
      </c>
      <c r="J1375" s="3">
        <f>정규화데이터!J1375</f>
        <v>45500</v>
      </c>
      <c r="K1375" s="25" t="str">
        <f>정규화데이터!K1375</f>
        <v>[워커힐] 시그니처 양념갈비 300G</v>
      </c>
      <c r="L1375" s="25">
        <f>정규화데이터!L1375</f>
        <v>0</v>
      </c>
      <c r="M1375" s="21">
        <f t="shared" si="42"/>
        <v>45500</v>
      </c>
      <c r="N1375" s="52">
        <f t="shared" si="43"/>
        <v>1</v>
      </c>
    </row>
    <row r="1376" spans="1:14" x14ac:dyDescent="0.3">
      <c r="A1376" t="str">
        <f>정규화데이터!A1376</f>
        <v>리씽크</v>
      </c>
      <c r="B1376" t="str">
        <f>정규화데이터!B1376</f>
        <v>2026020623201440000</v>
      </c>
      <c r="C1376" t="str">
        <f>정규화데이터!C1376</f>
        <v>2026-02-06</v>
      </c>
      <c r="D1376">
        <f>정규화데이터!D1376</f>
        <v>143790</v>
      </c>
      <c r="E1376" s="16" t="str">
        <f>정규화데이터!E1376</f>
        <v>SKU001</v>
      </c>
      <c r="F1376" s="3">
        <f>정규화데이터!F1376</f>
        <v>4</v>
      </c>
      <c r="G1376" s="3">
        <f>정규화데이터!G1376</f>
        <v>2</v>
      </c>
      <c r="H1376" s="3">
        <f>정규화데이터!H1376</f>
        <v>45500</v>
      </c>
      <c r="I1376" s="3">
        <f>정규화데이터!I1376</f>
        <v>91000</v>
      </c>
      <c r="J1376" s="3">
        <f>정규화데이터!J1376</f>
        <v>91000</v>
      </c>
      <c r="K1376" s="25" t="str">
        <f>정규화데이터!K1376</f>
        <v>[워커힐] 시그니처 양념갈비 300G</v>
      </c>
      <c r="L1376" s="25">
        <f>정규화데이터!L1376</f>
        <v>0</v>
      </c>
      <c r="M1376" s="21">
        <f t="shared" si="42"/>
        <v>91000</v>
      </c>
      <c r="N1376" s="52">
        <f t="shared" si="43"/>
        <v>1</v>
      </c>
    </row>
    <row r="1377" spans="1:14" x14ac:dyDescent="0.3">
      <c r="A1377" t="str">
        <f>정규화데이터!A1377</f>
        <v>리씽크</v>
      </c>
      <c r="B1377" t="str">
        <f>정규화데이터!B1377</f>
        <v>2026020621211360000</v>
      </c>
      <c r="C1377" t="str">
        <f>정규화데이터!C1377</f>
        <v>2026-02-06</v>
      </c>
      <c r="D1377">
        <f>정규화데이터!D1377</f>
        <v>143790</v>
      </c>
      <c r="E1377" s="16" t="str">
        <f>정규화데이터!E1377</f>
        <v>SKU001</v>
      </c>
      <c r="F1377" s="3">
        <f>정규화데이터!F1377</f>
        <v>4</v>
      </c>
      <c r="G1377" s="3">
        <f>정규화데이터!G1377</f>
        <v>1</v>
      </c>
      <c r="H1377" s="3">
        <f>정규화데이터!H1377</f>
        <v>45500</v>
      </c>
      <c r="I1377" s="3">
        <f>정규화데이터!I1377</f>
        <v>45500</v>
      </c>
      <c r="J1377" s="3">
        <f>정규화데이터!J1377</f>
        <v>45500</v>
      </c>
      <c r="K1377" s="25" t="str">
        <f>정규화데이터!K1377</f>
        <v>[워커힐] 시그니처 양념갈비 300G</v>
      </c>
      <c r="L1377" s="25">
        <f>정규화데이터!L1377</f>
        <v>0</v>
      </c>
      <c r="M1377" s="21">
        <f t="shared" si="42"/>
        <v>45500</v>
      </c>
      <c r="N1377" s="52">
        <f t="shared" si="43"/>
        <v>1</v>
      </c>
    </row>
    <row r="1378" spans="1:14" x14ac:dyDescent="0.3">
      <c r="A1378" t="str">
        <f>정규화데이터!A1378</f>
        <v>리씽크</v>
      </c>
      <c r="B1378" t="str">
        <f>정규화데이터!B1378</f>
        <v>2026020621183620000</v>
      </c>
      <c r="C1378" t="str">
        <f>정규화데이터!C1378</f>
        <v>2026-02-06</v>
      </c>
      <c r="D1378">
        <f>정규화데이터!D1378</f>
        <v>143790</v>
      </c>
      <c r="E1378" s="16" t="str">
        <f>정규화데이터!E1378</f>
        <v>SKU001</v>
      </c>
      <c r="F1378" s="3">
        <f>정규화데이터!F1378</f>
        <v>4</v>
      </c>
      <c r="G1378" s="3">
        <f>정규화데이터!G1378</f>
        <v>1</v>
      </c>
      <c r="H1378" s="3">
        <f>정규화데이터!H1378</f>
        <v>45500</v>
      </c>
      <c r="I1378" s="3">
        <f>정규화데이터!I1378</f>
        <v>45500</v>
      </c>
      <c r="J1378" s="3">
        <f>정규화데이터!J1378</f>
        <v>45500</v>
      </c>
      <c r="K1378" s="25" t="str">
        <f>정규화데이터!K1378</f>
        <v>[워커힐] 시그니처 양념갈비 300G</v>
      </c>
      <c r="L1378" s="25">
        <f>정규화데이터!L1378</f>
        <v>0</v>
      </c>
      <c r="M1378" s="21">
        <f t="shared" si="42"/>
        <v>45500</v>
      </c>
      <c r="N1378" s="52">
        <f t="shared" si="43"/>
        <v>1</v>
      </c>
    </row>
    <row r="1379" spans="1:14" x14ac:dyDescent="0.3">
      <c r="A1379" t="str">
        <f>정규화데이터!A1379</f>
        <v>리씽크</v>
      </c>
      <c r="B1379" t="str">
        <f>정규화데이터!B1379</f>
        <v>2026020621091360000</v>
      </c>
      <c r="C1379" t="str">
        <f>정규화데이터!C1379</f>
        <v>2026-02-06</v>
      </c>
      <c r="D1379">
        <f>정규화데이터!D1379</f>
        <v>143790</v>
      </c>
      <c r="E1379" s="16" t="str">
        <f>정규화데이터!E1379</f>
        <v>SKU001</v>
      </c>
      <c r="F1379" s="3">
        <f>정규화데이터!F1379</f>
        <v>4</v>
      </c>
      <c r="G1379" s="3">
        <f>정규화데이터!G1379</f>
        <v>1</v>
      </c>
      <c r="H1379" s="3">
        <f>정규화데이터!H1379</f>
        <v>45500</v>
      </c>
      <c r="I1379" s="3">
        <f>정규화데이터!I1379</f>
        <v>45500</v>
      </c>
      <c r="J1379" s="3">
        <f>정규화데이터!J1379</f>
        <v>45500</v>
      </c>
      <c r="K1379" s="25" t="str">
        <f>정규화데이터!K1379</f>
        <v>[워커힐] 시그니처 양념갈비 300G</v>
      </c>
      <c r="L1379" s="25">
        <f>정규화데이터!L1379</f>
        <v>0</v>
      </c>
      <c r="M1379" s="21">
        <f t="shared" si="42"/>
        <v>45500</v>
      </c>
      <c r="N1379" s="52">
        <f t="shared" si="43"/>
        <v>1</v>
      </c>
    </row>
    <row r="1380" spans="1:14" x14ac:dyDescent="0.3">
      <c r="A1380" t="str">
        <f>정규화데이터!A1380</f>
        <v>리씽크</v>
      </c>
      <c r="B1380" t="str">
        <f>정규화데이터!B1380</f>
        <v>2026020621095560000</v>
      </c>
      <c r="C1380" t="str">
        <f>정규화데이터!C1380</f>
        <v>2026-02-06</v>
      </c>
      <c r="D1380">
        <f>정규화데이터!D1380</f>
        <v>143790</v>
      </c>
      <c r="E1380" s="16" t="str">
        <f>정규화데이터!E1380</f>
        <v>SKU001</v>
      </c>
      <c r="F1380" s="3">
        <f>정규화데이터!F1380</f>
        <v>4</v>
      </c>
      <c r="G1380" s="3">
        <f>정규화데이터!G1380</f>
        <v>1</v>
      </c>
      <c r="H1380" s="3">
        <f>정규화데이터!H1380</f>
        <v>45500</v>
      </c>
      <c r="I1380" s="3">
        <f>정규화데이터!I1380</f>
        <v>45500</v>
      </c>
      <c r="J1380" s="3">
        <f>정규화데이터!J1380</f>
        <v>45500</v>
      </c>
      <c r="K1380" s="25" t="str">
        <f>정규화데이터!K1380</f>
        <v>[워커힐] 시그니처 양념갈비 300G</v>
      </c>
      <c r="L1380" s="25">
        <f>정규화데이터!L1380</f>
        <v>0</v>
      </c>
      <c r="M1380" s="21">
        <f t="shared" si="42"/>
        <v>45500</v>
      </c>
      <c r="N1380" s="52">
        <f t="shared" si="43"/>
        <v>1</v>
      </c>
    </row>
    <row r="1381" spans="1:14" x14ac:dyDescent="0.3">
      <c r="A1381" t="str">
        <f>정규화데이터!A1381</f>
        <v>리씽크</v>
      </c>
      <c r="B1381" t="str">
        <f>정규화데이터!B1381</f>
        <v>2026020621070350000</v>
      </c>
      <c r="C1381" t="str">
        <f>정규화데이터!C1381</f>
        <v>2026-02-06</v>
      </c>
      <c r="D1381">
        <f>정규화데이터!D1381</f>
        <v>143790</v>
      </c>
      <c r="E1381" s="16" t="str">
        <f>정규화데이터!E1381</f>
        <v>SKU001</v>
      </c>
      <c r="F1381" s="3">
        <f>정규화데이터!F1381</f>
        <v>4</v>
      </c>
      <c r="G1381" s="3">
        <f>정규화데이터!G1381</f>
        <v>1</v>
      </c>
      <c r="H1381" s="3">
        <f>정규화데이터!H1381</f>
        <v>45500</v>
      </c>
      <c r="I1381" s="3">
        <f>정규화데이터!I1381</f>
        <v>45500</v>
      </c>
      <c r="J1381" s="3">
        <f>정규화데이터!J1381</f>
        <v>45500</v>
      </c>
      <c r="K1381" s="25" t="str">
        <f>정규화데이터!K1381</f>
        <v>[워커힐] 시그니처 양념갈비 300G</v>
      </c>
      <c r="L1381" s="25">
        <f>정규화데이터!L1381</f>
        <v>0</v>
      </c>
      <c r="M1381" s="21">
        <f t="shared" si="42"/>
        <v>45500</v>
      </c>
      <c r="N1381" s="52">
        <f t="shared" si="43"/>
        <v>1</v>
      </c>
    </row>
    <row r="1382" spans="1:14" x14ac:dyDescent="0.3">
      <c r="A1382" t="str">
        <f>정규화데이터!A1382</f>
        <v>리씽크</v>
      </c>
      <c r="B1382" t="str">
        <f>정규화데이터!B1382</f>
        <v>2026020621073230000</v>
      </c>
      <c r="C1382" t="str">
        <f>정규화데이터!C1382</f>
        <v>2026-02-06</v>
      </c>
      <c r="D1382">
        <f>정규화데이터!D1382</f>
        <v>143790</v>
      </c>
      <c r="E1382" s="16" t="str">
        <f>정규화데이터!E1382</f>
        <v>SKU001</v>
      </c>
      <c r="F1382" s="3">
        <f>정규화데이터!F1382</f>
        <v>4</v>
      </c>
      <c r="G1382" s="3">
        <f>정규화데이터!G1382</f>
        <v>1</v>
      </c>
      <c r="H1382" s="3">
        <f>정규화데이터!H1382</f>
        <v>45500</v>
      </c>
      <c r="I1382" s="3">
        <f>정규화데이터!I1382</f>
        <v>45500</v>
      </c>
      <c r="J1382" s="3">
        <f>정규화데이터!J1382</f>
        <v>45500</v>
      </c>
      <c r="K1382" s="25" t="str">
        <f>정규화데이터!K1382</f>
        <v>[워커힐] 시그니처 양념갈비 300G</v>
      </c>
      <c r="L1382" s="25">
        <f>정규화데이터!L1382</f>
        <v>0</v>
      </c>
      <c r="M1382" s="21">
        <f t="shared" si="42"/>
        <v>45500</v>
      </c>
      <c r="N1382" s="52">
        <f t="shared" si="43"/>
        <v>1</v>
      </c>
    </row>
    <row r="1383" spans="1:14" x14ac:dyDescent="0.3">
      <c r="A1383" t="str">
        <f>정규화데이터!A1383</f>
        <v>리씽크</v>
      </c>
      <c r="B1383" t="str">
        <f>정규화데이터!B1383</f>
        <v>2026020620424990000</v>
      </c>
      <c r="C1383" t="str">
        <f>정규화데이터!C1383</f>
        <v>2026-02-06</v>
      </c>
      <c r="D1383">
        <f>정규화데이터!D1383</f>
        <v>143790</v>
      </c>
      <c r="E1383" s="16" t="str">
        <f>정규화데이터!E1383</f>
        <v>SKU001</v>
      </c>
      <c r="F1383" s="3">
        <f>정규화데이터!F1383</f>
        <v>4</v>
      </c>
      <c r="G1383" s="3">
        <f>정규화데이터!G1383</f>
        <v>1</v>
      </c>
      <c r="H1383" s="3">
        <f>정규화데이터!H1383</f>
        <v>45500</v>
      </c>
      <c r="I1383" s="3">
        <f>정규화데이터!I1383</f>
        <v>45500</v>
      </c>
      <c r="J1383" s="3">
        <f>정규화데이터!J1383</f>
        <v>45500</v>
      </c>
      <c r="K1383" s="25" t="str">
        <f>정규화데이터!K1383</f>
        <v>[워커힐] 시그니처 양념갈비 300G</v>
      </c>
      <c r="L1383" s="25">
        <f>정규화데이터!L1383</f>
        <v>0</v>
      </c>
      <c r="M1383" s="21">
        <f t="shared" si="42"/>
        <v>45500</v>
      </c>
      <c r="N1383" s="52">
        <f t="shared" si="43"/>
        <v>1</v>
      </c>
    </row>
    <row r="1384" spans="1:14" x14ac:dyDescent="0.3">
      <c r="A1384" t="str">
        <f>정규화데이터!A1384</f>
        <v>리씽크</v>
      </c>
      <c r="B1384" t="str">
        <f>정규화데이터!B1384</f>
        <v>2026020620294280000</v>
      </c>
      <c r="C1384" t="str">
        <f>정규화데이터!C1384</f>
        <v>2026-02-06</v>
      </c>
      <c r="D1384">
        <f>정규화데이터!D1384</f>
        <v>143790</v>
      </c>
      <c r="E1384" s="16" t="str">
        <f>정규화데이터!E1384</f>
        <v>SKU001</v>
      </c>
      <c r="F1384" s="3">
        <f>정규화데이터!F1384</f>
        <v>4</v>
      </c>
      <c r="G1384" s="3">
        <f>정규화데이터!G1384</f>
        <v>1</v>
      </c>
      <c r="H1384" s="3">
        <f>정규화데이터!H1384</f>
        <v>45500</v>
      </c>
      <c r="I1384" s="3">
        <f>정규화데이터!I1384</f>
        <v>45500</v>
      </c>
      <c r="J1384" s="3">
        <f>정규화데이터!J1384</f>
        <v>45500</v>
      </c>
      <c r="K1384" s="25" t="str">
        <f>정규화데이터!K1384</f>
        <v>[워커힐] 시그니처 양념갈비 300G</v>
      </c>
      <c r="L1384" s="25">
        <f>정규화데이터!L1384</f>
        <v>0</v>
      </c>
      <c r="M1384" s="21">
        <f t="shared" si="42"/>
        <v>45500</v>
      </c>
      <c r="N1384" s="52">
        <f t="shared" si="43"/>
        <v>1</v>
      </c>
    </row>
    <row r="1385" spans="1:14" x14ac:dyDescent="0.3">
      <c r="A1385" t="str">
        <f>정규화데이터!A1385</f>
        <v>리씽크</v>
      </c>
      <c r="B1385" t="str">
        <f>정규화데이터!B1385</f>
        <v>2026020620302680000</v>
      </c>
      <c r="C1385" t="str">
        <f>정규화데이터!C1385</f>
        <v>2026-02-06</v>
      </c>
      <c r="D1385">
        <f>정규화데이터!D1385</f>
        <v>143790</v>
      </c>
      <c r="E1385" s="16" t="str">
        <f>정규화데이터!E1385</f>
        <v>SKU001</v>
      </c>
      <c r="F1385" s="3">
        <f>정규화데이터!F1385</f>
        <v>4</v>
      </c>
      <c r="G1385" s="3">
        <f>정규화데이터!G1385</f>
        <v>1</v>
      </c>
      <c r="H1385" s="3">
        <f>정규화데이터!H1385</f>
        <v>45500</v>
      </c>
      <c r="I1385" s="3">
        <f>정규화데이터!I1385</f>
        <v>45500</v>
      </c>
      <c r="J1385" s="3">
        <f>정규화데이터!J1385</f>
        <v>45500</v>
      </c>
      <c r="K1385" s="25" t="str">
        <f>정규화데이터!K1385</f>
        <v>[워커힐] 시그니처 양념갈비 300G</v>
      </c>
      <c r="L1385" s="25">
        <f>정규화데이터!L1385</f>
        <v>0</v>
      </c>
      <c r="M1385" s="21">
        <f t="shared" si="42"/>
        <v>45500</v>
      </c>
      <c r="N1385" s="52">
        <f t="shared" si="43"/>
        <v>1</v>
      </c>
    </row>
    <row r="1386" spans="1:14" x14ac:dyDescent="0.3">
      <c r="A1386" t="str">
        <f>정규화데이터!A1386</f>
        <v>리씽크</v>
      </c>
      <c r="B1386" t="str">
        <f>정규화데이터!B1386</f>
        <v>2026020620291880000</v>
      </c>
      <c r="C1386" t="str">
        <f>정규화데이터!C1386</f>
        <v>2026-02-06</v>
      </c>
      <c r="D1386">
        <f>정규화데이터!D1386</f>
        <v>143790</v>
      </c>
      <c r="E1386" s="16" t="str">
        <f>정규화데이터!E1386</f>
        <v>SKU001</v>
      </c>
      <c r="F1386" s="3">
        <f>정규화데이터!F1386</f>
        <v>4</v>
      </c>
      <c r="G1386" s="3">
        <f>정규화데이터!G1386</f>
        <v>1</v>
      </c>
      <c r="H1386" s="3">
        <f>정규화데이터!H1386</f>
        <v>45500</v>
      </c>
      <c r="I1386" s="3">
        <f>정규화데이터!I1386</f>
        <v>45500</v>
      </c>
      <c r="J1386" s="3">
        <f>정규화데이터!J1386</f>
        <v>45500</v>
      </c>
      <c r="K1386" s="25" t="str">
        <f>정규화데이터!K1386</f>
        <v>[워커힐] 시그니처 양념갈비 300G</v>
      </c>
      <c r="L1386" s="25">
        <f>정규화데이터!L1386</f>
        <v>0</v>
      </c>
      <c r="M1386" s="21">
        <f t="shared" si="42"/>
        <v>45500</v>
      </c>
      <c r="N1386" s="52">
        <f t="shared" si="43"/>
        <v>1</v>
      </c>
    </row>
    <row r="1387" spans="1:14" x14ac:dyDescent="0.3">
      <c r="A1387" t="str">
        <f>정규화데이터!A1387</f>
        <v>리씽크</v>
      </c>
      <c r="B1387" t="str">
        <f>정규화데이터!B1387</f>
        <v>2026020620291370000</v>
      </c>
      <c r="C1387" t="str">
        <f>정규화데이터!C1387</f>
        <v>2026-02-06</v>
      </c>
      <c r="D1387">
        <f>정규화데이터!D1387</f>
        <v>143790</v>
      </c>
      <c r="E1387" s="16" t="str">
        <f>정규화데이터!E1387</f>
        <v>SKU001</v>
      </c>
      <c r="F1387" s="3">
        <f>정규화데이터!F1387</f>
        <v>4</v>
      </c>
      <c r="G1387" s="3">
        <f>정규화데이터!G1387</f>
        <v>1</v>
      </c>
      <c r="H1387" s="3">
        <f>정규화데이터!H1387</f>
        <v>45500</v>
      </c>
      <c r="I1387" s="3">
        <f>정규화데이터!I1387</f>
        <v>45500</v>
      </c>
      <c r="J1387" s="3">
        <f>정규화데이터!J1387</f>
        <v>45500</v>
      </c>
      <c r="K1387" s="25" t="str">
        <f>정규화데이터!K1387</f>
        <v>[워커힐] 시그니처 양념갈비 300G</v>
      </c>
      <c r="L1387" s="25">
        <f>정규화데이터!L1387</f>
        <v>0</v>
      </c>
      <c r="M1387" s="21">
        <f t="shared" si="42"/>
        <v>45500</v>
      </c>
      <c r="N1387" s="52">
        <f t="shared" si="43"/>
        <v>1</v>
      </c>
    </row>
    <row r="1388" spans="1:14" x14ac:dyDescent="0.3">
      <c r="A1388" t="str">
        <f>정규화데이터!A1388</f>
        <v>리씽크</v>
      </c>
      <c r="B1388" t="str">
        <f>정규화데이터!B1388</f>
        <v>2026020620282200000</v>
      </c>
      <c r="C1388" t="str">
        <f>정규화데이터!C1388</f>
        <v>2026-02-06</v>
      </c>
      <c r="D1388">
        <f>정규화데이터!D1388</f>
        <v>143790</v>
      </c>
      <c r="E1388" s="16" t="str">
        <f>정규화데이터!E1388</f>
        <v>SKU001</v>
      </c>
      <c r="F1388" s="3">
        <f>정규화데이터!F1388</f>
        <v>4</v>
      </c>
      <c r="G1388" s="3">
        <f>정규화데이터!G1388</f>
        <v>1</v>
      </c>
      <c r="H1388" s="3">
        <f>정규화데이터!H1388</f>
        <v>45500</v>
      </c>
      <c r="I1388" s="3">
        <f>정규화데이터!I1388</f>
        <v>45500</v>
      </c>
      <c r="J1388" s="3">
        <f>정규화데이터!J1388</f>
        <v>45500</v>
      </c>
      <c r="K1388" s="25" t="str">
        <f>정규화데이터!K1388</f>
        <v>[워커힐] 시그니처 양념갈비 300G</v>
      </c>
      <c r="L1388" s="25">
        <f>정규화데이터!L1388</f>
        <v>0</v>
      </c>
      <c r="M1388" s="21">
        <f t="shared" si="42"/>
        <v>45500</v>
      </c>
      <c r="N1388" s="52">
        <f t="shared" si="43"/>
        <v>1</v>
      </c>
    </row>
    <row r="1389" spans="1:14" x14ac:dyDescent="0.3">
      <c r="A1389" t="str">
        <f>정규화데이터!A1389</f>
        <v>리씽크</v>
      </c>
      <c r="B1389" t="str">
        <f>정규화데이터!B1389</f>
        <v>2026020620180770000</v>
      </c>
      <c r="C1389" t="str">
        <f>정규화데이터!C1389</f>
        <v>2026-02-06</v>
      </c>
      <c r="D1389">
        <f>정규화데이터!D1389</f>
        <v>143790</v>
      </c>
      <c r="E1389" s="16" t="str">
        <f>정규화데이터!E1389</f>
        <v>SKU001</v>
      </c>
      <c r="F1389" s="3">
        <f>정규화데이터!F1389</f>
        <v>4</v>
      </c>
      <c r="G1389" s="3">
        <f>정규화데이터!G1389</f>
        <v>1</v>
      </c>
      <c r="H1389" s="3">
        <f>정규화데이터!H1389</f>
        <v>45500</v>
      </c>
      <c r="I1389" s="3">
        <f>정규화데이터!I1389</f>
        <v>45500</v>
      </c>
      <c r="J1389" s="3">
        <f>정규화데이터!J1389</f>
        <v>45500</v>
      </c>
      <c r="K1389" s="25" t="str">
        <f>정규화데이터!K1389</f>
        <v>[워커힐] 시그니처 양념갈비 300G</v>
      </c>
      <c r="L1389" s="25">
        <f>정규화데이터!L1389</f>
        <v>0</v>
      </c>
      <c r="M1389" s="21">
        <f t="shared" si="42"/>
        <v>45500</v>
      </c>
      <c r="N1389" s="52">
        <f t="shared" si="43"/>
        <v>1</v>
      </c>
    </row>
    <row r="1390" spans="1:14" x14ac:dyDescent="0.3">
      <c r="A1390" t="str">
        <f>정규화데이터!A1390</f>
        <v>리씽크</v>
      </c>
      <c r="B1390" t="str">
        <f>정규화데이터!B1390</f>
        <v>2026020620242130000</v>
      </c>
      <c r="C1390" t="str">
        <f>정규화데이터!C1390</f>
        <v>2026-02-06</v>
      </c>
      <c r="D1390">
        <f>정규화데이터!D1390</f>
        <v>143790</v>
      </c>
      <c r="E1390" s="16" t="str">
        <f>정규화데이터!E1390</f>
        <v>SKU001</v>
      </c>
      <c r="F1390" s="3">
        <f>정규화데이터!F1390</f>
        <v>4</v>
      </c>
      <c r="G1390" s="3">
        <f>정규화데이터!G1390</f>
        <v>1</v>
      </c>
      <c r="H1390" s="3">
        <f>정규화데이터!H1390</f>
        <v>45500</v>
      </c>
      <c r="I1390" s="3">
        <f>정규화데이터!I1390</f>
        <v>45500</v>
      </c>
      <c r="J1390" s="3">
        <f>정규화데이터!J1390</f>
        <v>45500</v>
      </c>
      <c r="K1390" s="25" t="str">
        <f>정규화데이터!K1390</f>
        <v>[워커힐] 시그니처 양념갈비 300G</v>
      </c>
      <c r="L1390" s="25">
        <f>정규화데이터!L1390</f>
        <v>0</v>
      </c>
      <c r="M1390" s="21">
        <f t="shared" si="42"/>
        <v>45500</v>
      </c>
      <c r="N1390" s="52">
        <f t="shared" si="43"/>
        <v>1</v>
      </c>
    </row>
    <row r="1391" spans="1:14" x14ac:dyDescent="0.3">
      <c r="A1391" t="str">
        <f>정규화데이터!A1391</f>
        <v>리씽크</v>
      </c>
      <c r="B1391" t="str">
        <f>정규화데이터!B1391</f>
        <v>2026020620223570000</v>
      </c>
      <c r="C1391" t="str">
        <f>정규화데이터!C1391</f>
        <v>2026-02-06</v>
      </c>
      <c r="D1391">
        <f>정규화데이터!D1391</f>
        <v>143790</v>
      </c>
      <c r="E1391" s="16" t="str">
        <f>정규화데이터!E1391</f>
        <v>SKU001</v>
      </c>
      <c r="F1391" s="3">
        <f>정규화데이터!F1391</f>
        <v>4</v>
      </c>
      <c r="G1391" s="3">
        <f>정규화데이터!G1391</f>
        <v>1</v>
      </c>
      <c r="H1391" s="3">
        <f>정규화데이터!H1391</f>
        <v>45500</v>
      </c>
      <c r="I1391" s="3">
        <f>정규화데이터!I1391</f>
        <v>45500</v>
      </c>
      <c r="J1391" s="3">
        <f>정규화데이터!J1391</f>
        <v>45500</v>
      </c>
      <c r="K1391" s="25" t="str">
        <f>정규화데이터!K1391</f>
        <v>[워커힐] 시그니처 양념갈비 300G</v>
      </c>
      <c r="L1391" s="25">
        <f>정규화데이터!L1391</f>
        <v>0</v>
      </c>
      <c r="M1391" s="21">
        <f t="shared" si="42"/>
        <v>45500</v>
      </c>
      <c r="N1391" s="52">
        <f t="shared" si="43"/>
        <v>1</v>
      </c>
    </row>
    <row r="1392" spans="1:14" x14ac:dyDescent="0.3">
      <c r="A1392" t="str">
        <f>정규화데이터!A1392</f>
        <v>리씽크</v>
      </c>
      <c r="B1392" t="str">
        <f>정규화데이터!B1392</f>
        <v>2026020620191530000</v>
      </c>
      <c r="C1392" t="str">
        <f>정규화데이터!C1392</f>
        <v>2026-02-06</v>
      </c>
      <c r="D1392">
        <f>정규화데이터!D1392</f>
        <v>143790</v>
      </c>
      <c r="E1392" s="16" t="str">
        <f>정규화데이터!E1392</f>
        <v>SKU001</v>
      </c>
      <c r="F1392" s="3">
        <f>정규화데이터!F1392</f>
        <v>4</v>
      </c>
      <c r="G1392" s="3">
        <f>정규화데이터!G1392</f>
        <v>1</v>
      </c>
      <c r="H1392" s="3">
        <f>정규화데이터!H1392</f>
        <v>45500</v>
      </c>
      <c r="I1392" s="3">
        <f>정규화데이터!I1392</f>
        <v>45500</v>
      </c>
      <c r="J1392" s="3">
        <f>정규화데이터!J1392</f>
        <v>45500</v>
      </c>
      <c r="K1392" s="25" t="str">
        <f>정규화데이터!K1392</f>
        <v>[워커힐] 시그니처 양념갈비 300G</v>
      </c>
      <c r="L1392" s="25">
        <f>정규화데이터!L1392</f>
        <v>0</v>
      </c>
      <c r="M1392" s="21">
        <f t="shared" si="42"/>
        <v>45500</v>
      </c>
      <c r="N1392" s="52">
        <f t="shared" si="43"/>
        <v>1</v>
      </c>
    </row>
    <row r="1393" spans="1:14" x14ac:dyDescent="0.3">
      <c r="A1393" t="str">
        <f>정규화데이터!A1393</f>
        <v>리씽크</v>
      </c>
      <c r="B1393" t="str">
        <f>정규화데이터!B1393</f>
        <v>2026020620154090000</v>
      </c>
      <c r="C1393" t="str">
        <f>정규화데이터!C1393</f>
        <v>2026-02-06</v>
      </c>
      <c r="D1393">
        <f>정규화데이터!D1393</f>
        <v>143790</v>
      </c>
      <c r="E1393" s="16" t="str">
        <f>정규화데이터!E1393</f>
        <v>SKU001</v>
      </c>
      <c r="F1393" s="3">
        <f>정규화데이터!F1393</f>
        <v>4</v>
      </c>
      <c r="G1393" s="3">
        <f>정규화데이터!G1393</f>
        <v>1</v>
      </c>
      <c r="H1393" s="3">
        <f>정규화데이터!H1393</f>
        <v>45500</v>
      </c>
      <c r="I1393" s="3">
        <f>정규화데이터!I1393</f>
        <v>45500</v>
      </c>
      <c r="J1393" s="3">
        <f>정규화데이터!J1393</f>
        <v>45500</v>
      </c>
      <c r="K1393" s="25" t="str">
        <f>정규화데이터!K1393</f>
        <v>[워커힐] 시그니처 양념갈비 300G</v>
      </c>
      <c r="L1393" s="25">
        <f>정규화데이터!L1393</f>
        <v>0</v>
      </c>
      <c r="M1393" s="21">
        <f t="shared" si="42"/>
        <v>45500</v>
      </c>
      <c r="N1393" s="52">
        <f t="shared" si="43"/>
        <v>1</v>
      </c>
    </row>
    <row r="1394" spans="1:14" x14ac:dyDescent="0.3">
      <c r="A1394" t="str">
        <f>정규화데이터!A1394</f>
        <v>리씽크</v>
      </c>
      <c r="B1394" t="str">
        <f>정규화데이터!B1394</f>
        <v>2026020620130730000</v>
      </c>
      <c r="C1394" t="str">
        <f>정규화데이터!C1394</f>
        <v>2026-02-06</v>
      </c>
      <c r="D1394">
        <f>정규화데이터!D1394</f>
        <v>143790</v>
      </c>
      <c r="E1394" s="16" t="str">
        <f>정규화데이터!E1394</f>
        <v>SKU001</v>
      </c>
      <c r="F1394" s="3">
        <f>정규화데이터!F1394</f>
        <v>4</v>
      </c>
      <c r="G1394" s="3">
        <f>정규화데이터!G1394</f>
        <v>1</v>
      </c>
      <c r="H1394" s="3">
        <f>정규화데이터!H1394</f>
        <v>45500</v>
      </c>
      <c r="I1394" s="3">
        <f>정규화데이터!I1394</f>
        <v>45500</v>
      </c>
      <c r="J1394" s="3">
        <f>정규화데이터!J1394</f>
        <v>45500</v>
      </c>
      <c r="K1394" s="25" t="str">
        <f>정규화데이터!K1394</f>
        <v>[워커힐] 시그니처 양념갈비 300G</v>
      </c>
      <c r="L1394" s="25">
        <f>정규화데이터!L1394</f>
        <v>0</v>
      </c>
      <c r="M1394" s="21">
        <f t="shared" si="42"/>
        <v>45500</v>
      </c>
      <c r="N1394" s="52">
        <f t="shared" si="43"/>
        <v>1</v>
      </c>
    </row>
    <row r="1395" spans="1:14" x14ac:dyDescent="0.3">
      <c r="A1395" t="str">
        <f>정규화데이터!A1395</f>
        <v>리씽크</v>
      </c>
      <c r="B1395" t="str">
        <f>정규화데이터!B1395</f>
        <v>2026020620111040000</v>
      </c>
      <c r="C1395" t="str">
        <f>정규화데이터!C1395</f>
        <v>2026-02-06</v>
      </c>
      <c r="D1395">
        <f>정규화데이터!D1395</f>
        <v>143790</v>
      </c>
      <c r="E1395" s="16" t="str">
        <f>정규화데이터!E1395</f>
        <v>SKU001</v>
      </c>
      <c r="F1395" s="3">
        <f>정규화데이터!F1395</f>
        <v>4</v>
      </c>
      <c r="G1395" s="3">
        <f>정규화데이터!G1395</f>
        <v>1</v>
      </c>
      <c r="H1395" s="3">
        <f>정규화데이터!H1395</f>
        <v>45500</v>
      </c>
      <c r="I1395" s="3">
        <f>정규화데이터!I1395</f>
        <v>45500</v>
      </c>
      <c r="J1395" s="3">
        <f>정규화데이터!J1395</f>
        <v>45500</v>
      </c>
      <c r="K1395" s="25" t="str">
        <f>정규화데이터!K1395</f>
        <v>[워커힐] 시그니처 양념갈비 300G</v>
      </c>
      <c r="L1395" s="25">
        <f>정규화데이터!L1395</f>
        <v>0</v>
      </c>
      <c r="M1395" s="21">
        <f t="shared" si="42"/>
        <v>45500</v>
      </c>
      <c r="N1395" s="52">
        <f t="shared" si="43"/>
        <v>1</v>
      </c>
    </row>
    <row r="1396" spans="1:14" x14ac:dyDescent="0.3">
      <c r="A1396" t="str">
        <f>정규화데이터!A1396</f>
        <v>리씽크</v>
      </c>
      <c r="B1396" t="str">
        <f>정규화데이터!B1396</f>
        <v>2026020619565800000</v>
      </c>
      <c r="C1396" t="str">
        <f>정규화데이터!C1396</f>
        <v>2026-02-06</v>
      </c>
      <c r="D1396">
        <f>정규화데이터!D1396</f>
        <v>143790</v>
      </c>
      <c r="E1396" s="16" t="str">
        <f>정규화데이터!E1396</f>
        <v>SKU001</v>
      </c>
      <c r="F1396" s="3">
        <f>정규화데이터!F1396</f>
        <v>4</v>
      </c>
      <c r="G1396" s="3">
        <f>정규화데이터!G1396</f>
        <v>1</v>
      </c>
      <c r="H1396" s="3">
        <f>정규화데이터!H1396</f>
        <v>45500</v>
      </c>
      <c r="I1396" s="3">
        <f>정규화데이터!I1396</f>
        <v>45500</v>
      </c>
      <c r="J1396" s="3">
        <f>정규화데이터!J1396</f>
        <v>45500</v>
      </c>
      <c r="K1396" s="25" t="str">
        <f>정규화데이터!K1396</f>
        <v>[워커힐] 시그니처 양념갈비 300G</v>
      </c>
      <c r="L1396" s="25">
        <f>정규화데이터!L1396</f>
        <v>0</v>
      </c>
      <c r="M1396" s="21">
        <f t="shared" si="42"/>
        <v>45500</v>
      </c>
      <c r="N1396" s="52">
        <f t="shared" si="43"/>
        <v>1</v>
      </c>
    </row>
    <row r="1397" spans="1:14" x14ac:dyDescent="0.3">
      <c r="A1397" t="str">
        <f>정규화데이터!A1397</f>
        <v>리씽크</v>
      </c>
      <c r="B1397" t="str">
        <f>정규화데이터!B1397</f>
        <v>2026020619503150000</v>
      </c>
      <c r="C1397" t="str">
        <f>정규화데이터!C1397</f>
        <v>2026-02-06</v>
      </c>
      <c r="D1397">
        <f>정규화데이터!D1397</f>
        <v>143790</v>
      </c>
      <c r="E1397" s="16" t="str">
        <f>정규화데이터!E1397</f>
        <v>SKU001</v>
      </c>
      <c r="F1397" s="3">
        <f>정규화데이터!F1397</f>
        <v>4</v>
      </c>
      <c r="G1397" s="3">
        <f>정규화데이터!G1397</f>
        <v>3</v>
      </c>
      <c r="H1397" s="3">
        <f>정규화데이터!H1397</f>
        <v>45500</v>
      </c>
      <c r="I1397" s="3">
        <f>정규화데이터!I1397</f>
        <v>136500</v>
      </c>
      <c r="J1397" s="3">
        <f>정규화데이터!J1397</f>
        <v>136500</v>
      </c>
      <c r="K1397" s="25" t="str">
        <f>정규화데이터!K1397</f>
        <v>[워커힐] 시그니처 양념갈비 300G</v>
      </c>
      <c r="L1397" s="25">
        <f>정규화데이터!L1397</f>
        <v>0</v>
      </c>
      <c r="M1397" s="21">
        <f t="shared" si="42"/>
        <v>136500</v>
      </c>
      <c r="N1397" s="52">
        <f t="shared" si="43"/>
        <v>1</v>
      </c>
    </row>
    <row r="1398" spans="1:14" x14ac:dyDescent="0.3">
      <c r="A1398" t="str">
        <f>정규화데이터!A1398</f>
        <v>리씽크</v>
      </c>
      <c r="B1398" t="str">
        <f>정규화데이터!B1398</f>
        <v>2026020619491560000</v>
      </c>
      <c r="C1398" t="str">
        <f>정규화데이터!C1398</f>
        <v>2026-02-06</v>
      </c>
      <c r="D1398">
        <f>정규화데이터!D1398</f>
        <v>143790</v>
      </c>
      <c r="E1398" s="16" t="str">
        <f>정규화데이터!E1398</f>
        <v>SKU001</v>
      </c>
      <c r="F1398" s="3">
        <f>정규화데이터!F1398</f>
        <v>4</v>
      </c>
      <c r="G1398" s="3">
        <f>정규화데이터!G1398</f>
        <v>1</v>
      </c>
      <c r="H1398" s="3">
        <f>정규화데이터!H1398</f>
        <v>45500</v>
      </c>
      <c r="I1398" s="3">
        <f>정규화데이터!I1398</f>
        <v>45500</v>
      </c>
      <c r="J1398" s="3">
        <f>정규화데이터!J1398</f>
        <v>45500</v>
      </c>
      <c r="K1398" s="25" t="str">
        <f>정규화데이터!K1398</f>
        <v>[워커힐] 시그니처 양념갈비 300G</v>
      </c>
      <c r="L1398" s="25">
        <f>정규화데이터!L1398</f>
        <v>0</v>
      </c>
      <c r="M1398" s="21">
        <f t="shared" si="42"/>
        <v>45500</v>
      </c>
      <c r="N1398" s="52">
        <f t="shared" si="43"/>
        <v>1</v>
      </c>
    </row>
    <row r="1399" spans="1:14" x14ac:dyDescent="0.3">
      <c r="A1399" t="str">
        <f>정규화데이터!A1399</f>
        <v>리씽크</v>
      </c>
      <c r="B1399" t="str">
        <f>정규화데이터!B1399</f>
        <v>2026020619354280000</v>
      </c>
      <c r="C1399" t="str">
        <f>정규화데이터!C1399</f>
        <v>2026-02-06</v>
      </c>
      <c r="D1399">
        <f>정규화데이터!D1399</f>
        <v>143790</v>
      </c>
      <c r="E1399" s="16" t="str">
        <f>정규화데이터!E1399</f>
        <v>SKU001</v>
      </c>
      <c r="F1399" s="3">
        <f>정규화데이터!F1399</f>
        <v>4</v>
      </c>
      <c r="G1399" s="3">
        <f>정규화데이터!G1399</f>
        <v>1</v>
      </c>
      <c r="H1399" s="3">
        <f>정규화데이터!H1399</f>
        <v>45500</v>
      </c>
      <c r="I1399" s="3">
        <f>정규화데이터!I1399</f>
        <v>45500</v>
      </c>
      <c r="J1399" s="3">
        <f>정규화데이터!J1399</f>
        <v>45500</v>
      </c>
      <c r="K1399" s="25" t="str">
        <f>정규화데이터!K1399</f>
        <v>[워커힐] 시그니처 양념갈비 300G</v>
      </c>
      <c r="L1399" s="25">
        <f>정규화데이터!L1399</f>
        <v>0</v>
      </c>
      <c r="M1399" s="21">
        <f t="shared" si="42"/>
        <v>45500</v>
      </c>
      <c r="N1399" s="52">
        <f t="shared" si="43"/>
        <v>1</v>
      </c>
    </row>
    <row r="1400" spans="1:14" x14ac:dyDescent="0.3">
      <c r="A1400" t="str">
        <f>정규화데이터!A1400</f>
        <v>리씽크</v>
      </c>
      <c r="B1400" t="str">
        <f>정규화데이터!B1400</f>
        <v>2026020619331420000</v>
      </c>
      <c r="C1400" t="str">
        <f>정규화데이터!C1400</f>
        <v>2026-02-06</v>
      </c>
      <c r="D1400">
        <f>정규화데이터!D1400</f>
        <v>143790</v>
      </c>
      <c r="E1400" s="16" t="str">
        <f>정규화데이터!E1400</f>
        <v>SKU001</v>
      </c>
      <c r="F1400" s="3">
        <f>정규화데이터!F1400</f>
        <v>4</v>
      </c>
      <c r="G1400" s="3">
        <f>정규화데이터!G1400</f>
        <v>1</v>
      </c>
      <c r="H1400" s="3">
        <f>정규화데이터!H1400</f>
        <v>45500</v>
      </c>
      <c r="I1400" s="3">
        <f>정규화데이터!I1400</f>
        <v>45500</v>
      </c>
      <c r="J1400" s="3">
        <f>정규화데이터!J1400</f>
        <v>45500</v>
      </c>
      <c r="K1400" s="25" t="str">
        <f>정규화데이터!K1400</f>
        <v>[워커힐] 시그니처 양념갈비 300G</v>
      </c>
      <c r="L1400" s="25">
        <f>정규화데이터!L1400</f>
        <v>0</v>
      </c>
      <c r="M1400" s="21">
        <f t="shared" si="42"/>
        <v>45500</v>
      </c>
      <c r="N1400" s="52">
        <f t="shared" si="43"/>
        <v>1</v>
      </c>
    </row>
    <row r="1401" spans="1:14" x14ac:dyDescent="0.3">
      <c r="A1401" t="str">
        <f>정규화데이터!A1401</f>
        <v>리씽크</v>
      </c>
      <c r="B1401" t="str">
        <f>정규화데이터!B1401</f>
        <v>2026020619222430000</v>
      </c>
      <c r="C1401" t="str">
        <f>정규화데이터!C1401</f>
        <v>2026-02-06</v>
      </c>
      <c r="D1401">
        <f>정규화데이터!D1401</f>
        <v>143790</v>
      </c>
      <c r="E1401" s="16" t="str">
        <f>정규화데이터!E1401</f>
        <v>SKU001</v>
      </c>
      <c r="F1401" s="3">
        <f>정규화데이터!F1401</f>
        <v>4</v>
      </c>
      <c r="G1401" s="3">
        <f>정규화데이터!G1401</f>
        <v>1</v>
      </c>
      <c r="H1401" s="3">
        <f>정규화데이터!H1401</f>
        <v>45500</v>
      </c>
      <c r="I1401" s="3">
        <f>정규화데이터!I1401</f>
        <v>45500</v>
      </c>
      <c r="J1401" s="3">
        <f>정규화데이터!J1401</f>
        <v>45500</v>
      </c>
      <c r="K1401" s="25" t="str">
        <f>정규화데이터!K1401</f>
        <v>[워커힐] 시그니처 양념갈비 300G</v>
      </c>
      <c r="L1401" s="25">
        <f>정규화데이터!L1401</f>
        <v>0</v>
      </c>
      <c r="M1401" s="21">
        <f t="shared" si="42"/>
        <v>45500</v>
      </c>
      <c r="N1401" s="52">
        <f t="shared" si="43"/>
        <v>1</v>
      </c>
    </row>
    <row r="1402" spans="1:14" x14ac:dyDescent="0.3">
      <c r="A1402" t="str">
        <f>정규화데이터!A1402</f>
        <v>리씽크</v>
      </c>
      <c r="B1402" t="str">
        <f>정규화데이터!B1402</f>
        <v>2026020619193990000</v>
      </c>
      <c r="C1402" t="str">
        <f>정규화데이터!C1402</f>
        <v>2026-02-06</v>
      </c>
      <c r="D1402">
        <f>정규화데이터!D1402</f>
        <v>143790</v>
      </c>
      <c r="E1402" s="16" t="str">
        <f>정규화데이터!E1402</f>
        <v>SKU001</v>
      </c>
      <c r="F1402" s="3">
        <f>정규화데이터!F1402</f>
        <v>4</v>
      </c>
      <c r="G1402" s="3">
        <f>정규화데이터!G1402</f>
        <v>1</v>
      </c>
      <c r="H1402" s="3">
        <f>정규화데이터!H1402</f>
        <v>45500</v>
      </c>
      <c r="I1402" s="3">
        <f>정규화데이터!I1402</f>
        <v>45500</v>
      </c>
      <c r="J1402" s="3">
        <f>정규화데이터!J1402</f>
        <v>45500</v>
      </c>
      <c r="K1402" s="25" t="str">
        <f>정규화데이터!K1402</f>
        <v>[워커힐] 시그니처 양념갈비 300G</v>
      </c>
      <c r="L1402" s="25">
        <f>정규화데이터!L1402</f>
        <v>0</v>
      </c>
      <c r="M1402" s="21">
        <f t="shared" si="42"/>
        <v>45500</v>
      </c>
      <c r="N1402" s="52">
        <f t="shared" si="43"/>
        <v>1</v>
      </c>
    </row>
    <row r="1403" spans="1:14" x14ac:dyDescent="0.3">
      <c r="A1403" t="str">
        <f>정규화데이터!A1403</f>
        <v>리씽크</v>
      </c>
      <c r="B1403" t="str">
        <f>정규화데이터!B1403</f>
        <v>2026020619190060000</v>
      </c>
      <c r="C1403" t="str">
        <f>정규화데이터!C1403</f>
        <v>2026-02-06</v>
      </c>
      <c r="D1403">
        <f>정규화데이터!D1403</f>
        <v>143790</v>
      </c>
      <c r="E1403" s="16" t="str">
        <f>정규화데이터!E1403</f>
        <v>SKU001</v>
      </c>
      <c r="F1403" s="3">
        <f>정규화데이터!F1403</f>
        <v>4</v>
      </c>
      <c r="G1403" s="3">
        <f>정규화데이터!G1403</f>
        <v>1</v>
      </c>
      <c r="H1403" s="3">
        <f>정규화데이터!H1403</f>
        <v>45500</v>
      </c>
      <c r="I1403" s="3">
        <f>정규화데이터!I1403</f>
        <v>45500</v>
      </c>
      <c r="J1403" s="3">
        <f>정규화데이터!J1403</f>
        <v>45500</v>
      </c>
      <c r="K1403" s="25" t="str">
        <f>정규화데이터!K1403</f>
        <v>[워커힐] 시그니처 양념갈비 300G</v>
      </c>
      <c r="L1403" s="25">
        <f>정규화데이터!L1403</f>
        <v>0</v>
      </c>
      <c r="M1403" s="21">
        <f t="shared" si="42"/>
        <v>45500</v>
      </c>
      <c r="N1403" s="52">
        <f t="shared" si="43"/>
        <v>1</v>
      </c>
    </row>
    <row r="1404" spans="1:14" x14ac:dyDescent="0.3">
      <c r="A1404" t="str">
        <f>정규화데이터!A1404</f>
        <v>리씽크</v>
      </c>
      <c r="B1404" t="str">
        <f>정규화데이터!B1404</f>
        <v>2026020619184740000</v>
      </c>
      <c r="C1404" t="str">
        <f>정규화데이터!C1404</f>
        <v>2026-02-06</v>
      </c>
      <c r="D1404">
        <f>정규화데이터!D1404</f>
        <v>143790</v>
      </c>
      <c r="E1404" s="16" t="str">
        <f>정규화데이터!E1404</f>
        <v>SKU001</v>
      </c>
      <c r="F1404" s="3">
        <f>정규화데이터!F1404</f>
        <v>4</v>
      </c>
      <c r="G1404" s="3">
        <f>정규화데이터!G1404</f>
        <v>1</v>
      </c>
      <c r="H1404" s="3">
        <f>정규화데이터!H1404</f>
        <v>45500</v>
      </c>
      <c r="I1404" s="3">
        <f>정규화데이터!I1404</f>
        <v>45500</v>
      </c>
      <c r="J1404" s="3">
        <f>정규화데이터!J1404</f>
        <v>45500</v>
      </c>
      <c r="K1404" s="25" t="str">
        <f>정규화데이터!K1404</f>
        <v>[워커힐] 시그니처 양념갈비 300G</v>
      </c>
      <c r="L1404" s="25">
        <f>정규화데이터!L1404</f>
        <v>0</v>
      </c>
      <c r="M1404" s="21">
        <f t="shared" si="42"/>
        <v>45500</v>
      </c>
      <c r="N1404" s="52">
        <f t="shared" si="43"/>
        <v>1</v>
      </c>
    </row>
    <row r="1405" spans="1:14" x14ac:dyDescent="0.3">
      <c r="A1405" t="str">
        <f>정규화데이터!A1405</f>
        <v>리씽크</v>
      </c>
      <c r="B1405" t="str">
        <f>정규화데이터!B1405</f>
        <v>2026020619170620000</v>
      </c>
      <c r="C1405" t="str">
        <f>정규화데이터!C1405</f>
        <v>2026-02-06</v>
      </c>
      <c r="D1405">
        <f>정규화데이터!D1405</f>
        <v>143790</v>
      </c>
      <c r="E1405" s="16" t="str">
        <f>정규화데이터!E1405</f>
        <v>SKU001</v>
      </c>
      <c r="F1405" s="3">
        <f>정규화데이터!F1405</f>
        <v>4</v>
      </c>
      <c r="G1405" s="3">
        <f>정규화데이터!G1405</f>
        <v>1</v>
      </c>
      <c r="H1405" s="3">
        <f>정규화데이터!H1405</f>
        <v>45500</v>
      </c>
      <c r="I1405" s="3">
        <f>정규화데이터!I1405</f>
        <v>45500</v>
      </c>
      <c r="J1405" s="3">
        <f>정규화데이터!J1405</f>
        <v>45500</v>
      </c>
      <c r="K1405" s="25" t="str">
        <f>정규화데이터!K1405</f>
        <v>[워커힐] 시그니처 양념갈비 300G</v>
      </c>
      <c r="L1405" s="25">
        <f>정규화데이터!L1405</f>
        <v>0</v>
      </c>
      <c r="M1405" s="21">
        <f t="shared" si="42"/>
        <v>45500</v>
      </c>
      <c r="N1405" s="52">
        <f t="shared" si="43"/>
        <v>1</v>
      </c>
    </row>
    <row r="1406" spans="1:14" x14ac:dyDescent="0.3">
      <c r="A1406" t="str">
        <f>정규화데이터!A1406</f>
        <v>리씽크</v>
      </c>
      <c r="B1406" t="str">
        <f>정규화데이터!B1406</f>
        <v>2026020619170680000</v>
      </c>
      <c r="C1406" t="str">
        <f>정규화데이터!C1406</f>
        <v>2026-02-06</v>
      </c>
      <c r="D1406">
        <f>정규화데이터!D1406</f>
        <v>143790</v>
      </c>
      <c r="E1406" s="16" t="str">
        <f>정규화데이터!E1406</f>
        <v>SKU001</v>
      </c>
      <c r="F1406" s="3">
        <f>정규화데이터!F1406</f>
        <v>4</v>
      </c>
      <c r="G1406" s="3">
        <f>정규화데이터!G1406</f>
        <v>1</v>
      </c>
      <c r="H1406" s="3">
        <f>정규화데이터!H1406</f>
        <v>45500</v>
      </c>
      <c r="I1406" s="3">
        <f>정규화데이터!I1406</f>
        <v>45500</v>
      </c>
      <c r="J1406" s="3">
        <f>정규화데이터!J1406</f>
        <v>45500</v>
      </c>
      <c r="K1406" s="25" t="str">
        <f>정규화데이터!K1406</f>
        <v>[워커힐] 시그니처 양념갈비 300G</v>
      </c>
      <c r="L1406" s="25">
        <f>정규화데이터!L1406</f>
        <v>0</v>
      </c>
      <c r="M1406" s="21">
        <f t="shared" si="42"/>
        <v>45500</v>
      </c>
      <c r="N1406" s="52">
        <f t="shared" si="43"/>
        <v>1</v>
      </c>
    </row>
    <row r="1407" spans="1:14" x14ac:dyDescent="0.3">
      <c r="A1407" t="str">
        <f>정규화데이터!A1407</f>
        <v>리씽크</v>
      </c>
      <c r="B1407" t="str">
        <f>정규화데이터!B1407</f>
        <v>2026020619142650000</v>
      </c>
      <c r="C1407" t="str">
        <f>정규화데이터!C1407</f>
        <v>2026-02-06</v>
      </c>
      <c r="D1407">
        <f>정규화데이터!D1407</f>
        <v>143790</v>
      </c>
      <c r="E1407" s="16" t="str">
        <f>정규화데이터!E1407</f>
        <v>SKU001</v>
      </c>
      <c r="F1407" s="3">
        <f>정규화데이터!F1407</f>
        <v>4</v>
      </c>
      <c r="G1407" s="3">
        <f>정규화데이터!G1407</f>
        <v>1</v>
      </c>
      <c r="H1407" s="3">
        <f>정규화데이터!H1407</f>
        <v>45500</v>
      </c>
      <c r="I1407" s="3">
        <f>정규화데이터!I1407</f>
        <v>45500</v>
      </c>
      <c r="J1407" s="3">
        <f>정규화데이터!J1407</f>
        <v>45500</v>
      </c>
      <c r="K1407" s="25" t="str">
        <f>정규화데이터!K1407</f>
        <v>[워커힐] 시그니처 양념갈비 300G</v>
      </c>
      <c r="L1407" s="25">
        <f>정규화데이터!L1407</f>
        <v>0</v>
      </c>
      <c r="M1407" s="21">
        <f t="shared" si="42"/>
        <v>45500</v>
      </c>
      <c r="N1407" s="52">
        <f t="shared" si="43"/>
        <v>1</v>
      </c>
    </row>
    <row r="1408" spans="1:14" x14ac:dyDescent="0.3">
      <c r="A1408" t="str">
        <f>정규화데이터!A1408</f>
        <v>리씽크</v>
      </c>
      <c r="B1408" t="str">
        <f>정규화데이터!B1408</f>
        <v>2026020619144020000</v>
      </c>
      <c r="C1408" t="str">
        <f>정규화데이터!C1408</f>
        <v>2026-02-06</v>
      </c>
      <c r="D1408">
        <f>정규화데이터!D1408</f>
        <v>143790</v>
      </c>
      <c r="E1408" s="16" t="str">
        <f>정규화데이터!E1408</f>
        <v>SKU001</v>
      </c>
      <c r="F1408" s="3">
        <f>정규화데이터!F1408</f>
        <v>4</v>
      </c>
      <c r="G1408" s="3">
        <f>정규화데이터!G1408</f>
        <v>1</v>
      </c>
      <c r="H1408" s="3">
        <f>정규화데이터!H1408</f>
        <v>45500</v>
      </c>
      <c r="I1408" s="3">
        <f>정규화데이터!I1408</f>
        <v>45500</v>
      </c>
      <c r="J1408" s="3">
        <f>정규화데이터!J1408</f>
        <v>45500</v>
      </c>
      <c r="K1408" s="25" t="str">
        <f>정규화데이터!K1408</f>
        <v>[워커힐] 시그니처 양념갈비 300G</v>
      </c>
      <c r="L1408" s="25">
        <f>정규화데이터!L1408</f>
        <v>0</v>
      </c>
      <c r="M1408" s="21">
        <f t="shared" si="42"/>
        <v>45500</v>
      </c>
      <c r="N1408" s="52">
        <f t="shared" si="43"/>
        <v>1</v>
      </c>
    </row>
    <row r="1409" spans="1:14" x14ac:dyDescent="0.3">
      <c r="A1409" t="str">
        <f>정규화데이터!A1409</f>
        <v>리씽크</v>
      </c>
      <c r="B1409" t="str">
        <f>정규화데이터!B1409</f>
        <v>2026020619122480000</v>
      </c>
      <c r="C1409" t="str">
        <f>정규화데이터!C1409</f>
        <v>2026-02-06</v>
      </c>
      <c r="D1409">
        <f>정규화데이터!D1409</f>
        <v>143790</v>
      </c>
      <c r="E1409" s="16" t="str">
        <f>정규화데이터!E1409</f>
        <v>SKU001</v>
      </c>
      <c r="F1409" s="3">
        <f>정규화데이터!F1409</f>
        <v>4</v>
      </c>
      <c r="G1409" s="3">
        <f>정규화데이터!G1409</f>
        <v>1</v>
      </c>
      <c r="H1409" s="3">
        <f>정규화데이터!H1409</f>
        <v>45500</v>
      </c>
      <c r="I1409" s="3">
        <f>정규화데이터!I1409</f>
        <v>45500</v>
      </c>
      <c r="J1409" s="3">
        <f>정규화데이터!J1409</f>
        <v>45500</v>
      </c>
      <c r="K1409" s="25" t="str">
        <f>정규화데이터!K1409</f>
        <v>[워커힐] 시그니처 양념갈비 300G</v>
      </c>
      <c r="L1409" s="25">
        <f>정규화데이터!L1409</f>
        <v>0</v>
      </c>
      <c r="M1409" s="21">
        <f t="shared" si="42"/>
        <v>45500</v>
      </c>
      <c r="N1409" s="52">
        <f t="shared" si="43"/>
        <v>1</v>
      </c>
    </row>
    <row r="1410" spans="1:14" x14ac:dyDescent="0.3">
      <c r="A1410" t="str">
        <f>정규화데이터!A1410</f>
        <v>리씽크</v>
      </c>
      <c r="B1410" t="str">
        <f>정규화데이터!B1410</f>
        <v>2026020619131460000</v>
      </c>
      <c r="C1410" t="str">
        <f>정규화데이터!C1410</f>
        <v>2026-02-06</v>
      </c>
      <c r="D1410">
        <f>정규화데이터!D1410</f>
        <v>143790</v>
      </c>
      <c r="E1410" s="16" t="str">
        <f>정규화데이터!E1410</f>
        <v>SKU001</v>
      </c>
      <c r="F1410" s="3">
        <f>정규화데이터!F1410</f>
        <v>4</v>
      </c>
      <c r="G1410" s="3">
        <f>정규화데이터!G1410</f>
        <v>2</v>
      </c>
      <c r="H1410" s="3">
        <f>정규화데이터!H1410</f>
        <v>45500</v>
      </c>
      <c r="I1410" s="3">
        <f>정규화데이터!I1410</f>
        <v>91000</v>
      </c>
      <c r="J1410" s="3">
        <f>정규화데이터!J1410</f>
        <v>91000</v>
      </c>
      <c r="K1410" s="25" t="str">
        <f>정규화데이터!K1410</f>
        <v>[워커힐] 시그니처 양념갈비 300G</v>
      </c>
      <c r="L1410" s="25">
        <f>정규화데이터!L1410</f>
        <v>0</v>
      </c>
      <c r="M1410" s="21">
        <f t="shared" ref="M1410:M1473" si="44">J1410-L1410</f>
        <v>91000</v>
      </c>
      <c r="N1410" s="52">
        <f t="shared" ref="N1410:N1473" si="45">IF(J1410=0,0,M1410/J1410)</f>
        <v>1</v>
      </c>
    </row>
    <row r="1411" spans="1:14" x14ac:dyDescent="0.3">
      <c r="A1411" t="str">
        <f>정규화데이터!A1411</f>
        <v>리씽크</v>
      </c>
      <c r="B1411" t="str">
        <f>정규화데이터!B1411</f>
        <v>2026020619124630000</v>
      </c>
      <c r="C1411" t="str">
        <f>정규화데이터!C1411</f>
        <v>2026-02-06</v>
      </c>
      <c r="D1411">
        <f>정규화데이터!D1411</f>
        <v>143790</v>
      </c>
      <c r="E1411" s="16" t="str">
        <f>정규화데이터!E1411</f>
        <v>SKU001</v>
      </c>
      <c r="F1411" s="3">
        <f>정규화데이터!F1411</f>
        <v>4</v>
      </c>
      <c r="G1411" s="3">
        <f>정규화데이터!G1411</f>
        <v>1</v>
      </c>
      <c r="H1411" s="3">
        <f>정규화데이터!H1411</f>
        <v>45500</v>
      </c>
      <c r="I1411" s="3">
        <f>정규화데이터!I1411</f>
        <v>45500</v>
      </c>
      <c r="J1411" s="3">
        <f>정규화데이터!J1411</f>
        <v>45500</v>
      </c>
      <c r="K1411" s="25" t="str">
        <f>정규화데이터!K1411</f>
        <v>[워커힐] 시그니처 양념갈비 300G</v>
      </c>
      <c r="L1411" s="25">
        <f>정규화데이터!L1411</f>
        <v>0</v>
      </c>
      <c r="M1411" s="21">
        <f t="shared" si="44"/>
        <v>45500</v>
      </c>
      <c r="N1411" s="52">
        <f t="shared" si="45"/>
        <v>1</v>
      </c>
    </row>
    <row r="1412" spans="1:14" x14ac:dyDescent="0.3">
      <c r="A1412" t="str">
        <f>정규화데이터!A1412</f>
        <v>리씽크</v>
      </c>
      <c r="B1412" t="str">
        <f>정규화데이터!B1412</f>
        <v>2026020619132190000</v>
      </c>
      <c r="C1412" t="str">
        <f>정규화데이터!C1412</f>
        <v>2026-02-06</v>
      </c>
      <c r="D1412">
        <f>정규화데이터!D1412</f>
        <v>143790</v>
      </c>
      <c r="E1412" s="16" t="str">
        <f>정규화데이터!E1412</f>
        <v>SKU001</v>
      </c>
      <c r="F1412" s="3">
        <f>정규화데이터!F1412</f>
        <v>4</v>
      </c>
      <c r="G1412" s="3">
        <f>정규화데이터!G1412</f>
        <v>1</v>
      </c>
      <c r="H1412" s="3">
        <f>정규화데이터!H1412</f>
        <v>45500</v>
      </c>
      <c r="I1412" s="3">
        <f>정규화데이터!I1412</f>
        <v>45500</v>
      </c>
      <c r="J1412" s="3">
        <f>정규화데이터!J1412</f>
        <v>45500</v>
      </c>
      <c r="K1412" s="25" t="str">
        <f>정규화데이터!K1412</f>
        <v>[워커힐] 시그니처 양념갈비 300G</v>
      </c>
      <c r="L1412" s="25">
        <f>정규화데이터!L1412</f>
        <v>0</v>
      </c>
      <c r="M1412" s="21">
        <f t="shared" si="44"/>
        <v>45500</v>
      </c>
      <c r="N1412" s="52">
        <f t="shared" si="45"/>
        <v>1</v>
      </c>
    </row>
    <row r="1413" spans="1:14" x14ac:dyDescent="0.3">
      <c r="A1413" t="str">
        <f>정규화데이터!A1413</f>
        <v>리씽크</v>
      </c>
      <c r="B1413" t="str">
        <f>정규화데이터!B1413</f>
        <v>2026020619123230000</v>
      </c>
      <c r="C1413" t="str">
        <f>정규화데이터!C1413</f>
        <v>2026-02-06</v>
      </c>
      <c r="D1413">
        <f>정규화데이터!D1413</f>
        <v>143790</v>
      </c>
      <c r="E1413" s="16" t="str">
        <f>정규화데이터!E1413</f>
        <v>SKU001</v>
      </c>
      <c r="F1413" s="3">
        <f>정규화데이터!F1413</f>
        <v>4</v>
      </c>
      <c r="G1413" s="3">
        <f>정규화데이터!G1413</f>
        <v>1</v>
      </c>
      <c r="H1413" s="3">
        <f>정규화데이터!H1413</f>
        <v>45500</v>
      </c>
      <c r="I1413" s="3">
        <f>정규화데이터!I1413</f>
        <v>45500</v>
      </c>
      <c r="J1413" s="3">
        <f>정규화데이터!J1413</f>
        <v>45500</v>
      </c>
      <c r="K1413" s="25" t="str">
        <f>정규화데이터!K1413</f>
        <v>[워커힐] 시그니처 양념갈비 300G</v>
      </c>
      <c r="L1413" s="25">
        <f>정규화데이터!L1413</f>
        <v>0</v>
      </c>
      <c r="M1413" s="21">
        <f t="shared" si="44"/>
        <v>45500</v>
      </c>
      <c r="N1413" s="52">
        <f t="shared" si="45"/>
        <v>1</v>
      </c>
    </row>
    <row r="1414" spans="1:14" x14ac:dyDescent="0.3">
      <c r="A1414" t="str">
        <f>정규화데이터!A1414</f>
        <v>리씽크</v>
      </c>
      <c r="B1414" t="str">
        <f>정규화데이터!B1414</f>
        <v>2026020616360700000</v>
      </c>
      <c r="C1414" t="str">
        <f>정규화데이터!C1414</f>
        <v>2026-02-06</v>
      </c>
      <c r="D1414">
        <f>정규화데이터!D1414</f>
        <v>143790</v>
      </c>
      <c r="E1414" s="16" t="str">
        <f>정규화데이터!E1414</f>
        <v>SKU001</v>
      </c>
      <c r="F1414" s="3">
        <f>정규화데이터!F1414</f>
        <v>4</v>
      </c>
      <c r="G1414" s="3">
        <f>정규화데이터!G1414</f>
        <v>1</v>
      </c>
      <c r="H1414" s="3">
        <f>정규화데이터!H1414</f>
        <v>45500</v>
      </c>
      <c r="I1414" s="3">
        <f>정규화데이터!I1414</f>
        <v>45500</v>
      </c>
      <c r="J1414" s="3">
        <f>정규화데이터!J1414</f>
        <v>45500</v>
      </c>
      <c r="K1414" s="25" t="str">
        <f>정규화데이터!K1414</f>
        <v>[워커힐] 시그니처 양념갈비 300G</v>
      </c>
      <c r="L1414" s="25">
        <f>정규화데이터!L1414</f>
        <v>0</v>
      </c>
      <c r="M1414" s="21">
        <f t="shared" si="44"/>
        <v>45500</v>
      </c>
      <c r="N1414" s="52">
        <f t="shared" si="45"/>
        <v>1</v>
      </c>
    </row>
    <row r="1415" spans="1:14" x14ac:dyDescent="0.3">
      <c r="A1415" t="str">
        <f>정규화데이터!A1415</f>
        <v>리씽크</v>
      </c>
      <c r="B1415" t="str">
        <f>정규화데이터!B1415</f>
        <v>2026020616311100000</v>
      </c>
      <c r="C1415" t="str">
        <f>정규화데이터!C1415</f>
        <v>2026-02-06</v>
      </c>
      <c r="D1415">
        <f>정규화데이터!D1415</f>
        <v>143790</v>
      </c>
      <c r="E1415" s="16" t="str">
        <f>정규화데이터!E1415</f>
        <v>SKU001</v>
      </c>
      <c r="F1415" s="3">
        <f>정규화데이터!F1415</f>
        <v>4</v>
      </c>
      <c r="G1415" s="3">
        <f>정규화데이터!G1415</f>
        <v>1</v>
      </c>
      <c r="H1415" s="3">
        <f>정규화데이터!H1415</f>
        <v>45500</v>
      </c>
      <c r="I1415" s="3">
        <f>정규화데이터!I1415</f>
        <v>45500</v>
      </c>
      <c r="J1415" s="3">
        <f>정규화데이터!J1415</f>
        <v>45500</v>
      </c>
      <c r="K1415" s="25" t="str">
        <f>정규화데이터!K1415</f>
        <v>[워커힐] 시그니처 양념갈비 300G</v>
      </c>
      <c r="L1415" s="25">
        <f>정규화데이터!L1415</f>
        <v>0</v>
      </c>
      <c r="M1415" s="21">
        <f t="shared" si="44"/>
        <v>45500</v>
      </c>
      <c r="N1415" s="52">
        <f t="shared" si="45"/>
        <v>1</v>
      </c>
    </row>
    <row r="1416" spans="1:14" x14ac:dyDescent="0.3">
      <c r="A1416" t="str">
        <f>정규화데이터!A1416</f>
        <v>리씽크</v>
      </c>
      <c r="B1416" t="str">
        <f>정규화데이터!B1416</f>
        <v>2026020616221860000</v>
      </c>
      <c r="C1416" t="str">
        <f>정규화데이터!C1416</f>
        <v>2026-02-06</v>
      </c>
      <c r="D1416">
        <f>정규화데이터!D1416</f>
        <v>143790</v>
      </c>
      <c r="E1416" s="16" t="str">
        <f>정규화데이터!E1416</f>
        <v>SKU001</v>
      </c>
      <c r="F1416" s="3">
        <f>정규화데이터!F1416</f>
        <v>4</v>
      </c>
      <c r="G1416" s="3">
        <f>정규화데이터!G1416</f>
        <v>1</v>
      </c>
      <c r="H1416" s="3">
        <f>정규화데이터!H1416</f>
        <v>45500</v>
      </c>
      <c r="I1416" s="3">
        <f>정규화데이터!I1416</f>
        <v>45500</v>
      </c>
      <c r="J1416" s="3">
        <f>정규화데이터!J1416</f>
        <v>45500</v>
      </c>
      <c r="K1416" s="25" t="str">
        <f>정규화데이터!K1416</f>
        <v>[워커힐] 시그니처 양념갈비 300G</v>
      </c>
      <c r="L1416" s="25">
        <f>정규화데이터!L1416</f>
        <v>0</v>
      </c>
      <c r="M1416" s="21">
        <f t="shared" si="44"/>
        <v>45500</v>
      </c>
      <c r="N1416" s="52">
        <f t="shared" si="45"/>
        <v>1</v>
      </c>
    </row>
    <row r="1417" spans="1:14" x14ac:dyDescent="0.3">
      <c r="A1417" t="str">
        <f>정규화데이터!A1417</f>
        <v>리씽크</v>
      </c>
      <c r="B1417" t="str">
        <f>정규화데이터!B1417</f>
        <v>2026020616165720000</v>
      </c>
      <c r="C1417" t="str">
        <f>정규화데이터!C1417</f>
        <v>2026-02-06</v>
      </c>
      <c r="D1417">
        <f>정규화데이터!D1417</f>
        <v>143790</v>
      </c>
      <c r="E1417" s="16" t="str">
        <f>정규화데이터!E1417</f>
        <v>SKU001</v>
      </c>
      <c r="F1417" s="3">
        <f>정규화데이터!F1417</f>
        <v>4</v>
      </c>
      <c r="G1417" s="3">
        <f>정규화데이터!G1417</f>
        <v>1</v>
      </c>
      <c r="H1417" s="3">
        <f>정규화데이터!H1417</f>
        <v>45500</v>
      </c>
      <c r="I1417" s="3">
        <f>정규화데이터!I1417</f>
        <v>45500</v>
      </c>
      <c r="J1417" s="3">
        <f>정규화데이터!J1417</f>
        <v>45500</v>
      </c>
      <c r="K1417" s="25" t="str">
        <f>정규화데이터!K1417</f>
        <v>[워커힐] 시그니처 양념갈비 300G</v>
      </c>
      <c r="L1417" s="25">
        <f>정규화데이터!L1417</f>
        <v>0</v>
      </c>
      <c r="M1417" s="21">
        <f t="shared" si="44"/>
        <v>45500</v>
      </c>
      <c r="N1417" s="52">
        <f t="shared" si="45"/>
        <v>1</v>
      </c>
    </row>
    <row r="1418" spans="1:14" x14ac:dyDescent="0.3">
      <c r="A1418" t="str">
        <f>정규화데이터!A1418</f>
        <v>리씽크</v>
      </c>
      <c r="B1418" t="str">
        <f>정규화데이터!B1418</f>
        <v>2026020615365690000</v>
      </c>
      <c r="C1418" t="str">
        <f>정규화데이터!C1418</f>
        <v>2026-02-06</v>
      </c>
      <c r="D1418">
        <f>정규화데이터!D1418</f>
        <v>143790</v>
      </c>
      <c r="E1418" s="16" t="str">
        <f>정규화데이터!E1418</f>
        <v>SKU001</v>
      </c>
      <c r="F1418" s="3">
        <f>정규화데이터!F1418</f>
        <v>4</v>
      </c>
      <c r="G1418" s="3">
        <f>정규화데이터!G1418</f>
        <v>1</v>
      </c>
      <c r="H1418" s="3">
        <f>정규화데이터!H1418</f>
        <v>45500</v>
      </c>
      <c r="I1418" s="3">
        <f>정규화데이터!I1418</f>
        <v>45500</v>
      </c>
      <c r="J1418" s="3">
        <f>정규화데이터!J1418</f>
        <v>45500</v>
      </c>
      <c r="K1418" s="25" t="str">
        <f>정규화데이터!K1418</f>
        <v>[워커힐] 시그니처 양념갈비 300G</v>
      </c>
      <c r="L1418" s="25">
        <f>정규화데이터!L1418</f>
        <v>0</v>
      </c>
      <c r="M1418" s="21">
        <f t="shared" si="44"/>
        <v>45500</v>
      </c>
      <c r="N1418" s="52">
        <f t="shared" si="45"/>
        <v>1</v>
      </c>
    </row>
    <row r="1419" spans="1:14" x14ac:dyDescent="0.3">
      <c r="A1419" t="str">
        <f>정규화데이터!A1419</f>
        <v>리씽크</v>
      </c>
      <c r="B1419" t="str">
        <f>정규화데이터!B1419</f>
        <v>2026020615282750000</v>
      </c>
      <c r="C1419" t="str">
        <f>정규화데이터!C1419</f>
        <v>2026-02-06</v>
      </c>
      <c r="D1419">
        <f>정규화데이터!D1419</f>
        <v>143790</v>
      </c>
      <c r="E1419" s="16" t="str">
        <f>정규화데이터!E1419</f>
        <v>SKU001</v>
      </c>
      <c r="F1419" s="3">
        <f>정규화데이터!F1419</f>
        <v>4</v>
      </c>
      <c r="G1419" s="3">
        <f>정규화데이터!G1419</f>
        <v>1</v>
      </c>
      <c r="H1419" s="3">
        <f>정규화데이터!H1419</f>
        <v>45500</v>
      </c>
      <c r="I1419" s="3">
        <f>정규화데이터!I1419</f>
        <v>45500</v>
      </c>
      <c r="J1419" s="3">
        <f>정규화데이터!J1419</f>
        <v>45500</v>
      </c>
      <c r="K1419" s="25" t="str">
        <f>정규화데이터!K1419</f>
        <v>[워커힐] 시그니처 양념갈비 300G</v>
      </c>
      <c r="L1419" s="25">
        <f>정규화데이터!L1419</f>
        <v>0</v>
      </c>
      <c r="M1419" s="21">
        <f t="shared" si="44"/>
        <v>45500</v>
      </c>
      <c r="N1419" s="52">
        <f t="shared" si="45"/>
        <v>1</v>
      </c>
    </row>
    <row r="1420" spans="1:14" x14ac:dyDescent="0.3">
      <c r="A1420" t="str">
        <f>정규화데이터!A1420</f>
        <v>리씽크</v>
      </c>
      <c r="B1420" t="str">
        <f>정규화데이터!B1420</f>
        <v>2026020615274250000</v>
      </c>
      <c r="C1420" t="str">
        <f>정규화데이터!C1420</f>
        <v>2026-02-06</v>
      </c>
      <c r="D1420">
        <f>정규화데이터!D1420</f>
        <v>143790</v>
      </c>
      <c r="E1420" s="16" t="str">
        <f>정규화데이터!E1420</f>
        <v>SKU001</v>
      </c>
      <c r="F1420" s="3">
        <f>정규화데이터!F1420</f>
        <v>4</v>
      </c>
      <c r="G1420" s="3">
        <f>정규화데이터!G1420</f>
        <v>1</v>
      </c>
      <c r="H1420" s="3">
        <f>정규화데이터!H1420</f>
        <v>45500</v>
      </c>
      <c r="I1420" s="3">
        <f>정규화데이터!I1420</f>
        <v>45500</v>
      </c>
      <c r="J1420" s="3">
        <f>정규화데이터!J1420</f>
        <v>45500</v>
      </c>
      <c r="K1420" s="25" t="str">
        <f>정규화데이터!K1420</f>
        <v>[워커힐] 시그니처 양념갈비 300G</v>
      </c>
      <c r="L1420" s="25">
        <f>정규화데이터!L1420</f>
        <v>0</v>
      </c>
      <c r="M1420" s="21">
        <f t="shared" si="44"/>
        <v>45500</v>
      </c>
      <c r="N1420" s="52">
        <f t="shared" si="45"/>
        <v>1</v>
      </c>
    </row>
    <row r="1421" spans="1:14" x14ac:dyDescent="0.3">
      <c r="A1421" t="str">
        <f>정규화데이터!A1421</f>
        <v>리씽크</v>
      </c>
      <c r="B1421" t="str">
        <f>정규화데이터!B1421</f>
        <v>2026020615204160000</v>
      </c>
      <c r="C1421" t="str">
        <f>정규화데이터!C1421</f>
        <v>2026-02-06</v>
      </c>
      <c r="D1421">
        <f>정규화데이터!D1421</f>
        <v>143790</v>
      </c>
      <c r="E1421" s="16" t="str">
        <f>정규화데이터!E1421</f>
        <v>SKU001</v>
      </c>
      <c r="F1421" s="3">
        <f>정규화데이터!F1421</f>
        <v>4</v>
      </c>
      <c r="G1421" s="3">
        <f>정규화데이터!G1421</f>
        <v>1</v>
      </c>
      <c r="H1421" s="3">
        <f>정규화데이터!H1421</f>
        <v>45500</v>
      </c>
      <c r="I1421" s="3">
        <f>정규화데이터!I1421</f>
        <v>45500</v>
      </c>
      <c r="J1421" s="3">
        <f>정규화데이터!J1421</f>
        <v>45500</v>
      </c>
      <c r="K1421" s="25" t="str">
        <f>정규화데이터!K1421</f>
        <v>[워커힐] 시그니처 양념갈비 300G</v>
      </c>
      <c r="L1421" s="25">
        <f>정규화데이터!L1421</f>
        <v>0</v>
      </c>
      <c r="M1421" s="21">
        <f t="shared" si="44"/>
        <v>45500</v>
      </c>
      <c r="N1421" s="52">
        <f t="shared" si="45"/>
        <v>1</v>
      </c>
    </row>
    <row r="1422" spans="1:14" x14ac:dyDescent="0.3">
      <c r="A1422" t="str">
        <f>정규화데이터!A1422</f>
        <v>리씽크</v>
      </c>
      <c r="B1422" t="str">
        <f>정규화데이터!B1422</f>
        <v>2026020615202340000</v>
      </c>
      <c r="C1422" t="str">
        <f>정규화데이터!C1422</f>
        <v>2026-02-06</v>
      </c>
      <c r="D1422">
        <f>정규화데이터!D1422</f>
        <v>143790</v>
      </c>
      <c r="E1422" s="16" t="str">
        <f>정규화데이터!E1422</f>
        <v>SKU001</v>
      </c>
      <c r="F1422" s="3">
        <f>정규화데이터!F1422</f>
        <v>4</v>
      </c>
      <c r="G1422" s="3">
        <f>정규화데이터!G1422</f>
        <v>1</v>
      </c>
      <c r="H1422" s="3">
        <f>정규화데이터!H1422</f>
        <v>45500</v>
      </c>
      <c r="I1422" s="3">
        <f>정규화데이터!I1422</f>
        <v>45500</v>
      </c>
      <c r="J1422" s="3">
        <f>정규화데이터!J1422</f>
        <v>45500</v>
      </c>
      <c r="K1422" s="25" t="str">
        <f>정규화데이터!K1422</f>
        <v>[워커힐] 시그니처 양념갈비 300G</v>
      </c>
      <c r="L1422" s="25">
        <f>정규화데이터!L1422</f>
        <v>0</v>
      </c>
      <c r="M1422" s="21">
        <f t="shared" si="44"/>
        <v>45500</v>
      </c>
      <c r="N1422" s="52">
        <f t="shared" si="45"/>
        <v>1</v>
      </c>
    </row>
    <row r="1423" spans="1:14" x14ac:dyDescent="0.3">
      <c r="A1423" t="str">
        <f>정규화데이터!A1423</f>
        <v>리씽크</v>
      </c>
      <c r="B1423" t="str">
        <f>정규화데이터!B1423</f>
        <v>2026020615170880000</v>
      </c>
      <c r="C1423" t="str">
        <f>정규화데이터!C1423</f>
        <v>2026-02-06</v>
      </c>
      <c r="D1423">
        <f>정규화데이터!D1423</f>
        <v>143790</v>
      </c>
      <c r="E1423" s="16" t="str">
        <f>정규화데이터!E1423</f>
        <v>SKU001</v>
      </c>
      <c r="F1423" s="3">
        <f>정규화데이터!F1423</f>
        <v>4</v>
      </c>
      <c r="G1423" s="3">
        <f>정규화데이터!G1423</f>
        <v>1</v>
      </c>
      <c r="H1423" s="3">
        <f>정규화데이터!H1423</f>
        <v>45500</v>
      </c>
      <c r="I1423" s="3">
        <f>정규화데이터!I1423</f>
        <v>45500</v>
      </c>
      <c r="J1423" s="3">
        <f>정규화데이터!J1423</f>
        <v>45500</v>
      </c>
      <c r="K1423" s="25" t="str">
        <f>정규화데이터!K1423</f>
        <v>[워커힐] 시그니처 양념갈비 300G</v>
      </c>
      <c r="L1423" s="25">
        <f>정규화데이터!L1423</f>
        <v>0</v>
      </c>
      <c r="M1423" s="21">
        <f t="shared" si="44"/>
        <v>45500</v>
      </c>
      <c r="N1423" s="52">
        <f t="shared" si="45"/>
        <v>1</v>
      </c>
    </row>
    <row r="1424" spans="1:14" x14ac:dyDescent="0.3">
      <c r="A1424" t="str">
        <f>정규화데이터!A1424</f>
        <v>리씽크</v>
      </c>
      <c r="B1424" t="str">
        <f>정규화데이터!B1424</f>
        <v>2026020615144620000</v>
      </c>
      <c r="C1424" t="str">
        <f>정규화데이터!C1424</f>
        <v>2026-02-06</v>
      </c>
      <c r="D1424">
        <f>정규화데이터!D1424</f>
        <v>143790</v>
      </c>
      <c r="E1424" s="16" t="str">
        <f>정규화데이터!E1424</f>
        <v>SKU001</v>
      </c>
      <c r="F1424" s="3">
        <f>정규화데이터!F1424</f>
        <v>4</v>
      </c>
      <c r="G1424" s="3">
        <f>정규화데이터!G1424</f>
        <v>1</v>
      </c>
      <c r="H1424" s="3">
        <f>정규화데이터!H1424</f>
        <v>45500</v>
      </c>
      <c r="I1424" s="3">
        <f>정규화데이터!I1424</f>
        <v>45500</v>
      </c>
      <c r="J1424" s="3">
        <f>정규화데이터!J1424</f>
        <v>45500</v>
      </c>
      <c r="K1424" s="25" t="str">
        <f>정규화데이터!K1424</f>
        <v>[워커힐] 시그니처 양념갈비 300G</v>
      </c>
      <c r="L1424" s="25">
        <f>정규화데이터!L1424</f>
        <v>0</v>
      </c>
      <c r="M1424" s="21">
        <f t="shared" si="44"/>
        <v>45500</v>
      </c>
      <c r="N1424" s="52">
        <f t="shared" si="45"/>
        <v>1</v>
      </c>
    </row>
    <row r="1425" spans="1:14" x14ac:dyDescent="0.3">
      <c r="A1425" t="str">
        <f>정규화데이터!A1425</f>
        <v>리씽크</v>
      </c>
      <c r="B1425" t="str">
        <f>정규화데이터!B1425</f>
        <v>2026020615104970000</v>
      </c>
      <c r="C1425" t="str">
        <f>정규화데이터!C1425</f>
        <v>2026-02-06</v>
      </c>
      <c r="D1425">
        <f>정규화데이터!D1425</f>
        <v>143790</v>
      </c>
      <c r="E1425" s="16" t="str">
        <f>정규화데이터!E1425</f>
        <v>SKU001</v>
      </c>
      <c r="F1425" s="3">
        <f>정규화데이터!F1425</f>
        <v>4</v>
      </c>
      <c r="G1425" s="3">
        <f>정규화데이터!G1425</f>
        <v>1</v>
      </c>
      <c r="H1425" s="3">
        <f>정규화데이터!H1425</f>
        <v>45500</v>
      </c>
      <c r="I1425" s="3">
        <f>정규화데이터!I1425</f>
        <v>45500</v>
      </c>
      <c r="J1425" s="3">
        <f>정규화데이터!J1425</f>
        <v>45500</v>
      </c>
      <c r="K1425" s="25" t="str">
        <f>정규화데이터!K1425</f>
        <v>[워커힐] 시그니처 양념갈비 300G</v>
      </c>
      <c r="L1425" s="25">
        <f>정규화데이터!L1425</f>
        <v>0</v>
      </c>
      <c r="M1425" s="21">
        <f t="shared" si="44"/>
        <v>45500</v>
      </c>
      <c r="N1425" s="52">
        <f t="shared" si="45"/>
        <v>1</v>
      </c>
    </row>
    <row r="1426" spans="1:14" x14ac:dyDescent="0.3">
      <c r="A1426" t="str">
        <f>정규화데이터!A1426</f>
        <v>리씽크</v>
      </c>
      <c r="B1426" t="str">
        <f>정규화데이터!B1426</f>
        <v>2026020614473520000</v>
      </c>
      <c r="C1426" t="str">
        <f>정규화데이터!C1426</f>
        <v>2026-02-06</v>
      </c>
      <c r="D1426">
        <f>정규화데이터!D1426</f>
        <v>143790</v>
      </c>
      <c r="E1426" s="16" t="str">
        <f>정규화데이터!E1426</f>
        <v>SKU001</v>
      </c>
      <c r="F1426" s="3">
        <f>정규화데이터!F1426</f>
        <v>4</v>
      </c>
      <c r="G1426" s="3">
        <f>정규화데이터!G1426</f>
        <v>1</v>
      </c>
      <c r="H1426" s="3">
        <f>정규화데이터!H1426</f>
        <v>45500</v>
      </c>
      <c r="I1426" s="3">
        <f>정규화데이터!I1426</f>
        <v>45500</v>
      </c>
      <c r="J1426" s="3">
        <f>정규화데이터!J1426</f>
        <v>45500</v>
      </c>
      <c r="K1426" s="25" t="str">
        <f>정규화데이터!K1426</f>
        <v>[워커힐] 시그니처 양념갈비 300G</v>
      </c>
      <c r="L1426" s="25">
        <f>정규화데이터!L1426</f>
        <v>0</v>
      </c>
      <c r="M1426" s="21">
        <f t="shared" si="44"/>
        <v>45500</v>
      </c>
      <c r="N1426" s="52">
        <f t="shared" si="45"/>
        <v>1</v>
      </c>
    </row>
    <row r="1427" spans="1:14" x14ac:dyDescent="0.3">
      <c r="A1427" t="str">
        <f>정규화데이터!A1427</f>
        <v>리씽크</v>
      </c>
      <c r="B1427" t="str">
        <f>정규화데이터!B1427</f>
        <v>2026020614382690000</v>
      </c>
      <c r="C1427" t="str">
        <f>정규화데이터!C1427</f>
        <v>2026-02-06</v>
      </c>
      <c r="D1427">
        <f>정규화데이터!D1427</f>
        <v>143790</v>
      </c>
      <c r="E1427" s="16" t="str">
        <f>정규화데이터!E1427</f>
        <v>SKU001</v>
      </c>
      <c r="F1427" s="3">
        <f>정규화데이터!F1427</f>
        <v>4</v>
      </c>
      <c r="G1427" s="3">
        <f>정규화데이터!G1427</f>
        <v>1</v>
      </c>
      <c r="H1427" s="3">
        <f>정규화데이터!H1427</f>
        <v>45500</v>
      </c>
      <c r="I1427" s="3">
        <f>정규화데이터!I1427</f>
        <v>45500</v>
      </c>
      <c r="J1427" s="3">
        <f>정규화데이터!J1427</f>
        <v>45500</v>
      </c>
      <c r="K1427" s="25" t="str">
        <f>정규화데이터!K1427</f>
        <v>[워커힐] 시그니처 양념갈비 300G</v>
      </c>
      <c r="L1427" s="25">
        <f>정규화데이터!L1427</f>
        <v>0</v>
      </c>
      <c r="M1427" s="21">
        <f t="shared" si="44"/>
        <v>45500</v>
      </c>
      <c r="N1427" s="52">
        <f t="shared" si="45"/>
        <v>1</v>
      </c>
    </row>
    <row r="1428" spans="1:14" x14ac:dyDescent="0.3">
      <c r="A1428" t="str">
        <f>정규화데이터!A1428</f>
        <v>리씽크</v>
      </c>
      <c r="B1428" t="str">
        <f>정규화데이터!B1428</f>
        <v>2026020614265710000</v>
      </c>
      <c r="C1428" t="str">
        <f>정규화데이터!C1428</f>
        <v>2026-02-06</v>
      </c>
      <c r="D1428">
        <f>정규화데이터!D1428</f>
        <v>143790</v>
      </c>
      <c r="E1428" s="16" t="str">
        <f>정규화데이터!E1428</f>
        <v>SKU001</v>
      </c>
      <c r="F1428" s="3">
        <f>정규화데이터!F1428</f>
        <v>4</v>
      </c>
      <c r="G1428" s="3">
        <f>정규화데이터!G1428</f>
        <v>1</v>
      </c>
      <c r="H1428" s="3">
        <f>정규화데이터!H1428</f>
        <v>45500</v>
      </c>
      <c r="I1428" s="3">
        <f>정규화데이터!I1428</f>
        <v>45500</v>
      </c>
      <c r="J1428" s="3">
        <f>정규화데이터!J1428</f>
        <v>45500</v>
      </c>
      <c r="K1428" s="25" t="str">
        <f>정규화데이터!K1428</f>
        <v>[워커힐] 시그니처 양념갈비 300G</v>
      </c>
      <c r="L1428" s="25">
        <f>정규화데이터!L1428</f>
        <v>0</v>
      </c>
      <c r="M1428" s="21">
        <f t="shared" si="44"/>
        <v>45500</v>
      </c>
      <c r="N1428" s="52">
        <f t="shared" si="45"/>
        <v>1</v>
      </c>
    </row>
    <row r="1429" spans="1:14" x14ac:dyDescent="0.3">
      <c r="A1429" t="str">
        <f>정규화데이터!A1429</f>
        <v>리씽크</v>
      </c>
      <c r="B1429" t="str">
        <f>정규화데이터!B1429</f>
        <v>2026020613294560000</v>
      </c>
      <c r="C1429" t="str">
        <f>정규화데이터!C1429</f>
        <v>2026-02-06</v>
      </c>
      <c r="D1429">
        <f>정규화데이터!D1429</f>
        <v>143790</v>
      </c>
      <c r="E1429" s="16" t="str">
        <f>정규화데이터!E1429</f>
        <v>SKU001</v>
      </c>
      <c r="F1429" s="3">
        <f>정규화데이터!F1429</f>
        <v>4</v>
      </c>
      <c r="G1429" s="3">
        <f>정규화데이터!G1429</f>
        <v>1</v>
      </c>
      <c r="H1429" s="3">
        <f>정규화데이터!H1429</f>
        <v>45500</v>
      </c>
      <c r="I1429" s="3">
        <f>정규화데이터!I1429</f>
        <v>45500</v>
      </c>
      <c r="J1429" s="3">
        <f>정규화데이터!J1429</f>
        <v>45500</v>
      </c>
      <c r="K1429" s="25" t="str">
        <f>정규화데이터!K1429</f>
        <v>[워커힐] 시그니처 양념갈비 300G</v>
      </c>
      <c r="L1429" s="25">
        <f>정규화데이터!L1429</f>
        <v>0</v>
      </c>
      <c r="M1429" s="21">
        <f t="shared" si="44"/>
        <v>45500</v>
      </c>
      <c r="N1429" s="52">
        <f t="shared" si="45"/>
        <v>1</v>
      </c>
    </row>
    <row r="1430" spans="1:14" x14ac:dyDescent="0.3">
      <c r="A1430" t="str">
        <f>정규화데이터!A1430</f>
        <v>리씽크</v>
      </c>
      <c r="B1430" t="str">
        <f>정규화데이터!B1430</f>
        <v>2026020612424290000</v>
      </c>
      <c r="C1430" t="str">
        <f>정규화데이터!C1430</f>
        <v>2026-02-06</v>
      </c>
      <c r="D1430">
        <f>정규화데이터!D1430</f>
        <v>143790</v>
      </c>
      <c r="E1430" s="16" t="str">
        <f>정규화데이터!E1430</f>
        <v>SKU001</v>
      </c>
      <c r="F1430" s="3">
        <f>정규화데이터!F1430</f>
        <v>4</v>
      </c>
      <c r="G1430" s="3">
        <f>정규화데이터!G1430</f>
        <v>2</v>
      </c>
      <c r="H1430" s="3">
        <f>정규화데이터!H1430</f>
        <v>45500</v>
      </c>
      <c r="I1430" s="3">
        <f>정규화데이터!I1430</f>
        <v>91000</v>
      </c>
      <c r="J1430" s="3">
        <f>정규화데이터!J1430</f>
        <v>91000</v>
      </c>
      <c r="K1430" s="25" t="str">
        <f>정규화데이터!K1430</f>
        <v>[워커힐] 시그니처 양념갈비 300G</v>
      </c>
      <c r="L1430" s="25">
        <f>정규화데이터!L1430</f>
        <v>0</v>
      </c>
      <c r="M1430" s="21">
        <f t="shared" si="44"/>
        <v>91000</v>
      </c>
      <c r="N1430" s="52">
        <f t="shared" si="45"/>
        <v>1</v>
      </c>
    </row>
    <row r="1431" spans="1:14" x14ac:dyDescent="0.3">
      <c r="A1431" t="str">
        <f>정규화데이터!A1431</f>
        <v>리씽크</v>
      </c>
      <c r="B1431" t="str">
        <f>정규화데이터!B1431</f>
        <v>2026020612324100000</v>
      </c>
      <c r="C1431" t="str">
        <f>정규화데이터!C1431</f>
        <v>2026-02-06</v>
      </c>
      <c r="D1431">
        <f>정규화데이터!D1431</f>
        <v>143790</v>
      </c>
      <c r="E1431" s="16" t="str">
        <f>정규화데이터!E1431</f>
        <v>SKU001</v>
      </c>
      <c r="F1431" s="3">
        <f>정규화데이터!F1431</f>
        <v>4</v>
      </c>
      <c r="G1431" s="3">
        <f>정규화데이터!G1431</f>
        <v>1</v>
      </c>
      <c r="H1431" s="3">
        <f>정규화데이터!H1431</f>
        <v>45500</v>
      </c>
      <c r="I1431" s="3">
        <f>정규화데이터!I1431</f>
        <v>45500</v>
      </c>
      <c r="J1431" s="3">
        <f>정규화데이터!J1431</f>
        <v>45500</v>
      </c>
      <c r="K1431" s="25" t="str">
        <f>정규화데이터!K1431</f>
        <v>[워커힐] 시그니처 양념갈비 300G</v>
      </c>
      <c r="L1431" s="25">
        <f>정규화데이터!L1431</f>
        <v>0</v>
      </c>
      <c r="M1431" s="21">
        <f t="shared" si="44"/>
        <v>45500</v>
      </c>
      <c r="N1431" s="52">
        <f t="shared" si="45"/>
        <v>1</v>
      </c>
    </row>
    <row r="1432" spans="1:14" x14ac:dyDescent="0.3">
      <c r="A1432" t="str">
        <f>정규화데이터!A1432</f>
        <v>리씽크</v>
      </c>
      <c r="B1432" t="str">
        <f>정규화데이터!B1432</f>
        <v>2026020611213530000</v>
      </c>
      <c r="C1432" t="str">
        <f>정규화데이터!C1432</f>
        <v>2026-02-06</v>
      </c>
      <c r="D1432">
        <f>정규화데이터!D1432</f>
        <v>143790</v>
      </c>
      <c r="E1432" s="16" t="str">
        <f>정규화데이터!E1432</f>
        <v>SKU001</v>
      </c>
      <c r="F1432" s="3">
        <f>정규화데이터!F1432</f>
        <v>4</v>
      </c>
      <c r="G1432" s="3">
        <f>정규화데이터!G1432</f>
        <v>2</v>
      </c>
      <c r="H1432" s="3">
        <f>정규화데이터!H1432</f>
        <v>45500</v>
      </c>
      <c r="I1432" s="3">
        <f>정규화데이터!I1432</f>
        <v>91000</v>
      </c>
      <c r="J1432" s="3">
        <f>정규화데이터!J1432</f>
        <v>91000</v>
      </c>
      <c r="K1432" s="25" t="str">
        <f>정규화데이터!K1432</f>
        <v>[워커힐] 시그니처 양념갈비 300G</v>
      </c>
      <c r="L1432" s="25">
        <f>정규화데이터!L1432</f>
        <v>0</v>
      </c>
      <c r="M1432" s="21">
        <f t="shared" si="44"/>
        <v>91000</v>
      </c>
      <c r="N1432" s="52">
        <f t="shared" si="45"/>
        <v>1</v>
      </c>
    </row>
    <row r="1433" spans="1:14" x14ac:dyDescent="0.3">
      <c r="A1433" t="str">
        <f>정규화데이터!A1433</f>
        <v>리씽크</v>
      </c>
      <c r="B1433" t="str">
        <f>정규화데이터!B1433</f>
        <v>2026020611265910000</v>
      </c>
      <c r="C1433" t="str">
        <f>정규화데이터!C1433</f>
        <v>2026-02-06</v>
      </c>
      <c r="D1433">
        <f>정규화데이터!D1433</f>
        <v>143790</v>
      </c>
      <c r="E1433" s="16" t="str">
        <f>정규화데이터!E1433</f>
        <v>SKU001</v>
      </c>
      <c r="F1433" s="3">
        <f>정규화데이터!F1433</f>
        <v>4</v>
      </c>
      <c r="G1433" s="3">
        <f>정규화데이터!G1433</f>
        <v>2</v>
      </c>
      <c r="H1433" s="3">
        <f>정규화데이터!H1433</f>
        <v>45500</v>
      </c>
      <c r="I1433" s="3">
        <f>정규화데이터!I1433</f>
        <v>91000</v>
      </c>
      <c r="J1433" s="3">
        <f>정규화데이터!J1433</f>
        <v>91000</v>
      </c>
      <c r="K1433" s="25" t="str">
        <f>정규화데이터!K1433</f>
        <v>[워커힐] 시그니처 양념갈비 300G</v>
      </c>
      <c r="L1433" s="25">
        <f>정규화데이터!L1433</f>
        <v>0</v>
      </c>
      <c r="M1433" s="21">
        <f t="shared" si="44"/>
        <v>91000</v>
      </c>
      <c r="N1433" s="52">
        <f t="shared" si="45"/>
        <v>1</v>
      </c>
    </row>
    <row r="1434" spans="1:14" x14ac:dyDescent="0.3">
      <c r="A1434" t="str">
        <f>정규화데이터!A1434</f>
        <v>리씽크</v>
      </c>
      <c r="B1434" t="str">
        <f>정규화데이터!B1434</f>
        <v>2026020611153200000</v>
      </c>
      <c r="C1434" t="str">
        <f>정규화데이터!C1434</f>
        <v>2026-02-06</v>
      </c>
      <c r="D1434">
        <f>정규화데이터!D1434</f>
        <v>143790</v>
      </c>
      <c r="E1434" s="16" t="str">
        <f>정규화데이터!E1434</f>
        <v>SKU001</v>
      </c>
      <c r="F1434" s="3">
        <f>정규화데이터!F1434</f>
        <v>4</v>
      </c>
      <c r="G1434" s="3">
        <f>정규화데이터!G1434</f>
        <v>1</v>
      </c>
      <c r="H1434" s="3">
        <f>정규화데이터!H1434</f>
        <v>45500</v>
      </c>
      <c r="I1434" s="3">
        <f>정규화데이터!I1434</f>
        <v>45500</v>
      </c>
      <c r="J1434" s="3">
        <f>정규화데이터!J1434</f>
        <v>45500</v>
      </c>
      <c r="K1434" s="25" t="str">
        <f>정규화데이터!K1434</f>
        <v>[워커힐] 시그니처 양념갈비 300G</v>
      </c>
      <c r="L1434" s="25">
        <f>정규화데이터!L1434</f>
        <v>0</v>
      </c>
      <c r="M1434" s="21">
        <f t="shared" si="44"/>
        <v>45500</v>
      </c>
      <c r="N1434" s="52">
        <f t="shared" si="45"/>
        <v>1</v>
      </c>
    </row>
    <row r="1435" spans="1:14" x14ac:dyDescent="0.3">
      <c r="A1435" t="str">
        <f>정규화데이터!A1435</f>
        <v>리씽크</v>
      </c>
      <c r="B1435" t="str">
        <f>정규화데이터!B1435</f>
        <v>2026020604005710000</v>
      </c>
      <c r="C1435" t="str">
        <f>정규화데이터!C1435</f>
        <v>2026-02-06</v>
      </c>
      <c r="D1435">
        <f>정규화데이터!D1435</f>
        <v>143790</v>
      </c>
      <c r="E1435" s="16" t="str">
        <f>정규화데이터!E1435</f>
        <v>SKU001</v>
      </c>
      <c r="F1435" s="3">
        <f>정규화데이터!F1435</f>
        <v>4</v>
      </c>
      <c r="G1435" s="3">
        <f>정규화데이터!G1435</f>
        <v>1</v>
      </c>
      <c r="H1435" s="3">
        <f>정규화데이터!H1435</f>
        <v>45500</v>
      </c>
      <c r="I1435" s="3">
        <f>정규화데이터!I1435</f>
        <v>45500</v>
      </c>
      <c r="J1435" s="3">
        <f>정규화데이터!J1435</f>
        <v>45500</v>
      </c>
      <c r="K1435" s="25" t="str">
        <f>정규화데이터!K1435</f>
        <v>[워커힐] 시그니처 양념갈비 300G</v>
      </c>
      <c r="L1435" s="25">
        <f>정규화데이터!L1435</f>
        <v>0</v>
      </c>
      <c r="M1435" s="21">
        <f t="shared" si="44"/>
        <v>45500</v>
      </c>
      <c r="N1435" s="52">
        <f t="shared" si="45"/>
        <v>1</v>
      </c>
    </row>
    <row r="1436" spans="1:14" x14ac:dyDescent="0.3">
      <c r="A1436" t="str">
        <f>정규화데이터!A1436</f>
        <v>리씽크</v>
      </c>
      <c r="B1436" t="str">
        <f>정규화데이터!B1436</f>
        <v>2026020603591780000</v>
      </c>
      <c r="C1436" t="str">
        <f>정규화데이터!C1436</f>
        <v>2026-02-06</v>
      </c>
      <c r="D1436">
        <f>정규화데이터!D1436</f>
        <v>143790</v>
      </c>
      <c r="E1436" s="16" t="str">
        <f>정규화데이터!E1436</f>
        <v>SKU001</v>
      </c>
      <c r="F1436" s="3">
        <f>정규화데이터!F1436</f>
        <v>4</v>
      </c>
      <c r="G1436" s="3">
        <f>정규화데이터!G1436</f>
        <v>1</v>
      </c>
      <c r="H1436" s="3">
        <f>정규화데이터!H1436</f>
        <v>45500</v>
      </c>
      <c r="I1436" s="3">
        <f>정규화데이터!I1436</f>
        <v>45500</v>
      </c>
      <c r="J1436" s="3">
        <f>정규화데이터!J1436</f>
        <v>45500</v>
      </c>
      <c r="K1436" s="25" t="str">
        <f>정규화데이터!K1436</f>
        <v>[워커힐] 시그니처 양념갈비 300G</v>
      </c>
      <c r="L1436" s="25">
        <f>정규화데이터!L1436</f>
        <v>0</v>
      </c>
      <c r="M1436" s="21">
        <f t="shared" si="44"/>
        <v>45500</v>
      </c>
      <c r="N1436" s="52">
        <f t="shared" si="45"/>
        <v>1</v>
      </c>
    </row>
    <row r="1437" spans="1:14" x14ac:dyDescent="0.3">
      <c r="A1437" t="str">
        <f>정규화데이터!A1437</f>
        <v>리씽크</v>
      </c>
      <c r="B1437" t="str">
        <f>정규화데이터!B1437</f>
        <v>2026020600085630000</v>
      </c>
      <c r="C1437" t="str">
        <f>정규화데이터!C1437</f>
        <v>2026-02-06</v>
      </c>
      <c r="D1437">
        <f>정규화데이터!D1437</f>
        <v>143790</v>
      </c>
      <c r="E1437" s="16" t="str">
        <f>정규화데이터!E1437</f>
        <v>SKU001</v>
      </c>
      <c r="F1437" s="3">
        <f>정규화데이터!F1437</f>
        <v>4</v>
      </c>
      <c r="G1437" s="3">
        <f>정규화데이터!G1437</f>
        <v>1</v>
      </c>
      <c r="H1437" s="3">
        <f>정규화데이터!H1437</f>
        <v>45500</v>
      </c>
      <c r="I1437" s="3">
        <f>정규화데이터!I1437</f>
        <v>45500</v>
      </c>
      <c r="J1437" s="3">
        <f>정규화데이터!J1437</f>
        <v>45500</v>
      </c>
      <c r="K1437" s="25" t="str">
        <f>정규화데이터!K1437</f>
        <v>[워커힐] 시그니처 양념갈비 300G</v>
      </c>
      <c r="L1437" s="25">
        <f>정규화데이터!L1437</f>
        <v>0</v>
      </c>
      <c r="M1437" s="21">
        <f t="shared" si="44"/>
        <v>45500</v>
      </c>
      <c r="N1437" s="52">
        <f t="shared" si="45"/>
        <v>1</v>
      </c>
    </row>
    <row r="1438" spans="1:14" x14ac:dyDescent="0.3">
      <c r="A1438" t="str">
        <f>정규화데이터!A1438</f>
        <v>리씽크</v>
      </c>
      <c r="B1438" t="str">
        <f>정규화데이터!B1438</f>
        <v>2026020909032390000</v>
      </c>
      <c r="C1438" t="str">
        <f>정규화데이터!C1438</f>
        <v>2026-02-09</v>
      </c>
      <c r="D1438">
        <f>정규화데이터!D1438</f>
        <v>143812</v>
      </c>
      <c r="E1438" s="16" t="str">
        <f>정규화데이터!E1438</f>
        <v>SKU001</v>
      </c>
      <c r="F1438" s="3">
        <f>정규화데이터!F1438</f>
        <v>2</v>
      </c>
      <c r="G1438" s="3">
        <f>정규화데이터!G1438</f>
        <v>1</v>
      </c>
      <c r="H1438" s="3">
        <f>정규화데이터!H1438</f>
        <v>45500</v>
      </c>
      <c r="I1438" s="3">
        <f>정규화데이터!I1438</f>
        <v>45500</v>
      </c>
      <c r="J1438" s="3">
        <f>정규화데이터!J1438</f>
        <v>45500</v>
      </c>
      <c r="K1438" s="25" t="str">
        <f>정규화데이터!K1438</f>
        <v>[워커힐] 시그니처 양념갈비 300G</v>
      </c>
      <c r="L1438" s="25">
        <f>정규화데이터!L1438</f>
        <v>0</v>
      </c>
      <c r="M1438" s="21">
        <f t="shared" si="44"/>
        <v>45500</v>
      </c>
      <c r="N1438" s="52">
        <f t="shared" si="45"/>
        <v>1</v>
      </c>
    </row>
    <row r="1439" spans="1:14" x14ac:dyDescent="0.3">
      <c r="A1439" t="str">
        <f>정규화데이터!A1439</f>
        <v>리씽크</v>
      </c>
      <c r="B1439" t="str">
        <f>정규화데이터!B1439</f>
        <v>2026020908075970000</v>
      </c>
      <c r="C1439" t="str">
        <f>정규화데이터!C1439</f>
        <v>2026-02-09</v>
      </c>
      <c r="D1439">
        <f>정규화데이터!D1439</f>
        <v>143812</v>
      </c>
      <c r="E1439" s="16" t="str">
        <f>정규화데이터!E1439</f>
        <v>SKU001</v>
      </c>
      <c r="F1439" s="3">
        <f>정규화데이터!F1439</f>
        <v>2</v>
      </c>
      <c r="G1439" s="3">
        <f>정규화데이터!G1439</f>
        <v>1</v>
      </c>
      <c r="H1439" s="3">
        <f>정규화데이터!H1439</f>
        <v>45500</v>
      </c>
      <c r="I1439" s="3">
        <f>정규화데이터!I1439</f>
        <v>45500</v>
      </c>
      <c r="J1439" s="3">
        <f>정규화데이터!J1439</f>
        <v>45500</v>
      </c>
      <c r="K1439" s="25" t="str">
        <f>정규화데이터!K1439</f>
        <v>[워커힐] 시그니처 양념갈비 300G</v>
      </c>
      <c r="L1439" s="25">
        <f>정규화데이터!L1439</f>
        <v>0</v>
      </c>
      <c r="M1439" s="21">
        <f t="shared" si="44"/>
        <v>45500</v>
      </c>
      <c r="N1439" s="52">
        <f t="shared" si="45"/>
        <v>1</v>
      </c>
    </row>
    <row r="1440" spans="1:14" x14ac:dyDescent="0.3">
      <c r="A1440" t="str">
        <f>정규화데이터!A1440</f>
        <v>리씽크</v>
      </c>
      <c r="B1440" t="str">
        <f>정규화데이터!B1440</f>
        <v>2026020907055370000</v>
      </c>
      <c r="C1440" t="str">
        <f>정규화데이터!C1440</f>
        <v>2026-02-09</v>
      </c>
      <c r="D1440">
        <f>정규화데이터!D1440</f>
        <v>143812</v>
      </c>
      <c r="E1440" s="16" t="str">
        <f>정규화데이터!E1440</f>
        <v>SKU001</v>
      </c>
      <c r="F1440" s="3">
        <f>정규화데이터!F1440</f>
        <v>2</v>
      </c>
      <c r="G1440" s="3">
        <f>정규화데이터!G1440</f>
        <v>1</v>
      </c>
      <c r="H1440" s="3">
        <f>정규화데이터!H1440</f>
        <v>45500</v>
      </c>
      <c r="I1440" s="3">
        <f>정규화데이터!I1440</f>
        <v>45500</v>
      </c>
      <c r="J1440" s="3">
        <f>정규화데이터!J1440</f>
        <v>45500</v>
      </c>
      <c r="K1440" s="25" t="str">
        <f>정규화데이터!K1440</f>
        <v>[워커힐] 시그니처 양념갈비 300G</v>
      </c>
      <c r="L1440" s="25">
        <f>정규화데이터!L1440</f>
        <v>0</v>
      </c>
      <c r="M1440" s="21">
        <f t="shared" si="44"/>
        <v>45500</v>
      </c>
      <c r="N1440" s="52">
        <f t="shared" si="45"/>
        <v>1</v>
      </c>
    </row>
    <row r="1441" spans="1:14" x14ac:dyDescent="0.3">
      <c r="A1441" t="str">
        <f>정규화데이터!A1441</f>
        <v>리씽크</v>
      </c>
      <c r="B1441" t="str">
        <f>정규화데이터!B1441</f>
        <v>2026020818492380000</v>
      </c>
      <c r="C1441" t="str">
        <f>정규화데이터!C1441</f>
        <v>2026-02-08</v>
      </c>
      <c r="D1441">
        <f>정규화데이터!D1441</f>
        <v>143790</v>
      </c>
      <c r="E1441" s="16" t="str">
        <f>정규화데이터!E1441</f>
        <v>SKU001</v>
      </c>
      <c r="F1441" s="3">
        <f>정규화데이터!F1441</f>
        <v>4</v>
      </c>
      <c r="G1441" s="3">
        <f>정규화데이터!G1441</f>
        <v>1</v>
      </c>
      <c r="H1441" s="3">
        <f>정규화데이터!H1441</f>
        <v>63000</v>
      </c>
      <c r="I1441" s="3">
        <f>정규화데이터!I1441</f>
        <v>63000</v>
      </c>
      <c r="J1441" s="3">
        <f>정규화데이터!J1441</f>
        <v>63000</v>
      </c>
      <c r="K1441" s="25" t="str">
        <f>정규화데이터!K1441</f>
        <v>[워커힐] 시그니처 양념갈비 300G</v>
      </c>
      <c r="L1441" s="25" t="e">
        <f>정규화데이터!L1441</f>
        <v>#VALUE!</v>
      </c>
      <c r="M1441" s="21" t="e">
        <f t="shared" si="44"/>
        <v>#VALUE!</v>
      </c>
      <c r="N1441" s="52" t="e">
        <f t="shared" si="45"/>
        <v>#VALUE!</v>
      </c>
    </row>
    <row r="1442" spans="1:14" x14ac:dyDescent="0.3">
      <c r="A1442" t="str">
        <f>정규화데이터!A1442</f>
        <v>리씽크</v>
      </c>
      <c r="B1442" t="str">
        <f>정규화데이터!B1442</f>
        <v>2026020818123390000</v>
      </c>
      <c r="C1442" t="str">
        <f>정규화데이터!C1442</f>
        <v>2026-02-08</v>
      </c>
      <c r="D1442">
        <f>정규화데이터!D1442</f>
        <v>143790</v>
      </c>
      <c r="E1442" s="16" t="str">
        <f>정규화데이터!E1442</f>
        <v>SKU001</v>
      </c>
      <c r="F1442" s="3">
        <f>정규화데이터!F1442</f>
        <v>4</v>
      </c>
      <c r="G1442" s="3">
        <f>정규화데이터!G1442</f>
        <v>2</v>
      </c>
      <c r="H1442" s="3">
        <f>정규화데이터!H1442</f>
        <v>63000</v>
      </c>
      <c r="I1442" s="3">
        <f>정규화데이터!I1442</f>
        <v>126000</v>
      </c>
      <c r="J1442" s="3">
        <f>정규화데이터!J1442</f>
        <v>126000</v>
      </c>
      <c r="K1442" s="25" t="str">
        <f>정규화데이터!K1442</f>
        <v>[워커힐] 시그니처 양념갈비 300G</v>
      </c>
      <c r="L1442" s="25" t="e">
        <f>정규화데이터!L1442</f>
        <v>#VALUE!</v>
      </c>
      <c r="M1442" s="21" t="e">
        <f t="shared" si="44"/>
        <v>#VALUE!</v>
      </c>
      <c r="N1442" s="52" t="e">
        <f t="shared" si="45"/>
        <v>#VALUE!</v>
      </c>
    </row>
    <row r="1443" spans="1:14" x14ac:dyDescent="0.3">
      <c r="A1443" t="str">
        <f>정규화데이터!A1443</f>
        <v>리씽크</v>
      </c>
      <c r="B1443" t="str">
        <f>정규화데이터!B1443</f>
        <v>2026020817550160000</v>
      </c>
      <c r="C1443" t="str">
        <f>정규화데이터!C1443</f>
        <v>2026-02-08</v>
      </c>
      <c r="D1443">
        <f>정규화데이터!D1443</f>
        <v>143790</v>
      </c>
      <c r="E1443" s="16" t="str">
        <f>정규화데이터!E1443</f>
        <v>SKU001</v>
      </c>
      <c r="F1443" s="3">
        <f>정규화데이터!F1443</f>
        <v>4</v>
      </c>
      <c r="G1443" s="3">
        <f>정규화데이터!G1443</f>
        <v>1</v>
      </c>
      <c r="H1443" s="3">
        <f>정규화데이터!H1443</f>
        <v>63000</v>
      </c>
      <c r="I1443" s="3">
        <f>정규화데이터!I1443</f>
        <v>63000</v>
      </c>
      <c r="J1443" s="3">
        <f>정규화데이터!J1443</f>
        <v>63000</v>
      </c>
      <c r="K1443" s="25" t="str">
        <f>정규화데이터!K1443</f>
        <v>[워커힐] 시그니처 양념갈비 300G</v>
      </c>
      <c r="L1443" s="25" t="e">
        <f>정규화데이터!L1443</f>
        <v>#VALUE!</v>
      </c>
      <c r="M1443" s="21" t="e">
        <f t="shared" si="44"/>
        <v>#VALUE!</v>
      </c>
      <c r="N1443" s="52" t="e">
        <f t="shared" si="45"/>
        <v>#VALUE!</v>
      </c>
    </row>
    <row r="1444" spans="1:14" x14ac:dyDescent="0.3">
      <c r="A1444" t="str">
        <f>정규화데이터!A1444</f>
        <v>리씽크</v>
      </c>
      <c r="B1444" t="str">
        <f>정규화데이터!B1444</f>
        <v>2026020817520760000</v>
      </c>
      <c r="C1444" t="str">
        <f>정규화데이터!C1444</f>
        <v>2026-02-08</v>
      </c>
      <c r="D1444">
        <f>정규화데이터!D1444</f>
        <v>143790</v>
      </c>
      <c r="E1444" s="16" t="str">
        <f>정규화데이터!E1444</f>
        <v>SKU001</v>
      </c>
      <c r="F1444" s="3">
        <f>정규화데이터!F1444</f>
        <v>4</v>
      </c>
      <c r="G1444" s="3">
        <f>정규화데이터!G1444</f>
        <v>1</v>
      </c>
      <c r="H1444" s="3">
        <f>정규화데이터!H1444</f>
        <v>63000</v>
      </c>
      <c r="I1444" s="3">
        <f>정규화데이터!I1444</f>
        <v>63000</v>
      </c>
      <c r="J1444" s="3">
        <f>정규화데이터!J1444</f>
        <v>63000</v>
      </c>
      <c r="K1444" s="25" t="str">
        <f>정규화데이터!K1444</f>
        <v>[워커힐] 시그니처 양념갈비 300G</v>
      </c>
      <c r="L1444" s="25" t="e">
        <f>정규화데이터!L1444</f>
        <v>#VALUE!</v>
      </c>
      <c r="M1444" s="21" t="e">
        <f t="shared" si="44"/>
        <v>#VALUE!</v>
      </c>
      <c r="N1444" s="52" t="e">
        <f t="shared" si="45"/>
        <v>#VALUE!</v>
      </c>
    </row>
    <row r="1445" spans="1:14" x14ac:dyDescent="0.3">
      <c r="A1445" t="str">
        <f>정규화데이터!A1445</f>
        <v>리씽크</v>
      </c>
      <c r="B1445" t="str">
        <f>정규화데이터!B1445</f>
        <v>2026020817440710000</v>
      </c>
      <c r="C1445" t="str">
        <f>정규화데이터!C1445</f>
        <v>2026-02-08</v>
      </c>
      <c r="D1445">
        <f>정규화데이터!D1445</f>
        <v>143790</v>
      </c>
      <c r="E1445" s="16" t="str">
        <f>정규화데이터!E1445</f>
        <v>SKU001</v>
      </c>
      <c r="F1445" s="3">
        <f>정규화데이터!F1445</f>
        <v>4</v>
      </c>
      <c r="G1445" s="3">
        <f>정규화데이터!G1445</f>
        <v>1</v>
      </c>
      <c r="H1445" s="3">
        <f>정규화데이터!H1445</f>
        <v>63000</v>
      </c>
      <c r="I1445" s="3">
        <f>정규화데이터!I1445</f>
        <v>63000</v>
      </c>
      <c r="J1445" s="3">
        <f>정규화데이터!J1445</f>
        <v>63000</v>
      </c>
      <c r="K1445" s="25" t="str">
        <f>정규화데이터!K1445</f>
        <v>[워커힐] 시그니처 양념갈비 300G</v>
      </c>
      <c r="L1445" s="25" t="e">
        <f>정규화데이터!L1445</f>
        <v>#VALUE!</v>
      </c>
      <c r="M1445" s="21" t="e">
        <f t="shared" si="44"/>
        <v>#VALUE!</v>
      </c>
      <c r="N1445" s="52" t="e">
        <f t="shared" si="45"/>
        <v>#VALUE!</v>
      </c>
    </row>
    <row r="1446" spans="1:14" x14ac:dyDescent="0.3">
      <c r="A1446" t="str">
        <f>정규화데이터!A1446</f>
        <v>리씽크</v>
      </c>
      <c r="B1446" t="str">
        <f>정규화데이터!B1446</f>
        <v>2026020814173700000</v>
      </c>
      <c r="C1446" t="str">
        <f>정규화데이터!C1446</f>
        <v>2026-02-08</v>
      </c>
      <c r="D1446">
        <f>정규화데이터!D1446</f>
        <v>143790</v>
      </c>
      <c r="E1446" s="16" t="str">
        <f>정규화데이터!E1446</f>
        <v>SKU001</v>
      </c>
      <c r="F1446" s="3">
        <f>정규화데이터!F1446</f>
        <v>4</v>
      </c>
      <c r="G1446" s="3">
        <f>정규화데이터!G1446</f>
        <v>1</v>
      </c>
      <c r="H1446" s="3">
        <f>정규화데이터!H1446</f>
        <v>63000</v>
      </c>
      <c r="I1446" s="3">
        <f>정규화데이터!I1446</f>
        <v>63000</v>
      </c>
      <c r="J1446" s="3">
        <f>정규화데이터!J1446</f>
        <v>63000</v>
      </c>
      <c r="K1446" s="25" t="str">
        <f>정규화데이터!K1446</f>
        <v>[워커힐] 시그니처 양념갈비 300G</v>
      </c>
      <c r="L1446" s="25" t="e">
        <f>정규화데이터!L1446</f>
        <v>#VALUE!</v>
      </c>
      <c r="M1446" s="21" t="e">
        <f t="shared" si="44"/>
        <v>#VALUE!</v>
      </c>
      <c r="N1446" s="52" t="e">
        <f t="shared" si="45"/>
        <v>#VALUE!</v>
      </c>
    </row>
    <row r="1447" spans="1:14" x14ac:dyDescent="0.3">
      <c r="A1447" t="str">
        <f>정규화데이터!A1447</f>
        <v>리씽크</v>
      </c>
      <c r="B1447" t="str">
        <f>정규화데이터!B1447</f>
        <v>2026020813270740000</v>
      </c>
      <c r="C1447" t="str">
        <f>정규화데이터!C1447</f>
        <v>2026-02-08</v>
      </c>
      <c r="D1447">
        <f>정규화데이터!D1447</f>
        <v>143790</v>
      </c>
      <c r="E1447" s="16" t="str">
        <f>정규화데이터!E1447</f>
        <v>SKU001</v>
      </c>
      <c r="F1447" s="3">
        <f>정규화데이터!F1447</f>
        <v>4</v>
      </c>
      <c r="G1447" s="3">
        <f>정규화데이터!G1447</f>
        <v>1</v>
      </c>
      <c r="H1447" s="3">
        <f>정규화데이터!H1447</f>
        <v>63000</v>
      </c>
      <c r="I1447" s="3">
        <f>정규화데이터!I1447</f>
        <v>63000</v>
      </c>
      <c r="J1447" s="3">
        <f>정규화데이터!J1447</f>
        <v>63000</v>
      </c>
      <c r="K1447" s="25" t="str">
        <f>정규화데이터!K1447</f>
        <v>[워커힐] 시그니처 양념갈비 300G</v>
      </c>
      <c r="L1447" s="25" t="e">
        <f>정규화데이터!L1447</f>
        <v>#VALUE!</v>
      </c>
      <c r="M1447" s="21" t="e">
        <f t="shared" si="44"/>
        <v>#VALUE!</v>
      </c>
      <c r="N1447" s="52" t="e">
        <f t="shared" si="45"/>
        <v>#VALUE!</v>
      </c>
    </row>
    <row r="1448" spans="1:14" x14ac:dyDescent="0.3">
      <c r="A1448" t="str">
        <f>정규화데이터!A1448</f>
        <v>리씽크</v>
      </c>
      <c r="B1448" t="str">
        <f>정규화데이터!B1448</f>
        <v>2026020813262460000</v>
      </c>
      <c r="C1448" t="str">
        <f>정규화데이터!C1448</f>
        <v>2026-02-08</v>
      </c>
      <c r="D1448">
        <f>정규화데이터!D1448</f>
        <v>143790</v>
      </c>
      <c r="E1448" s="16" t="str">
        <f>정규화데이터!E1448</f>
        <v>SKU001</v>
      </c>
      <c r="F1448" s="3">
        <f>정규화데이터!F1448</f>
        <v>4</v>
      </c>
      <c r="G1448" s="3">
        <f>정규화데이터!G1448</f>
        <v>1</v>
      </c>
      <c r="H1448" s="3">
        <f>정규화데이터!H1448</f>
        <v>63000</v>
      </c>
      <c r="I1448" s="3">
        <f>정규화데이터!I1448</f>
        <v>63000</v>
      </c>
      <c r="J1448" s="3">
        <f>정규화데이터!J1448</f>
        <v>63000</v>
      </c>
      <c r="K1448" s="25" t="str">
        <f>정규화데이터!K1448</f>
        <v>[워커힐] 시그니처 양념갈비 300G</v>
      </c>
      <c r="L1448" s="25" t="e">
        <f>정규화데이터!L1448</f>
        <v>#VALUE!</v>
      </c>
      <c r="M1448" s="21" t="e">
        <f t="shared" si="44"/>
        <v>#VALUE!</v>
      </c>
      <c r="N1448" s="52" t="e">
        <f t="shared" si="45"/>
        <v>#VALUE!</v>
      </c>
    </row>
    <row r="1449" spans="1:14" x14ac:dyDescent="0.3">
      <c r="A1449" t="str">
        <f>정규화데이터!A1449</f>
        <v>리씽크</v>
      </c>
      <c r="B1449" t="str">
        <f>정규화데이터!B1449</f>
        <v>2026020721075220000</v>
      </c>
      <c r="C1449" t="str">
        <f>정규화데이터!C1449</f>
        <v>2026-02-07</v>
      </c>
      <c r="D1449">
        <f>정규화데이터!D1449</f>
        <v>143790</v>
      </c>
      <c r="E1449" s="16" t="str">
        <f>정규화데이터!E1449</f>
        <v>SKU001</v>
      </c>
      <c r="F1449" s="3">
        <f>정규화데이터!F1449</f>
        <v>4</v>
      </c>
      <c r="G1449" s="3">
        <f>정규화데이터!G1449</f>
        <v>1</v>
      </c>
      <c r="H1449" s="3">
        <f>정규화데이터!H1449</f>
        <v>63000</v>
      </c>
      <c r="I1449" s="3">
        <f>정규화데이터!I1449</f>
        <v>63000</v>
      </c>
      <c r="J1449" s="3">
        <f>정규화데이터!J1449</f>
        <v>63000</v>
      </c>
      <c r="K1449" s="25" t="str">
        <f>정규화데이터!K1449</f>
        <v>[워커힐] 시그니처 양념갈비 300G</v>
      </c>
      <c r="L1449" s="25" t="e">
        <f>정규화데이터!L1449</f>
        <v>#VALUE!</v>
      </c>
      <c r="M1449" s="21" t="e">
        <f t="shared" si="44"/>
        <v>#VALUE!</v>
      </c>
      <c r="N1449" s="52" t="e">
        <f t="shared" si="45"/>
        <v>#VALUE!</v>
      </c>
    </row>
    <row r="1450" spans="1:14" x14ac:dyDescent="0.3">
      <c r="A1450" t="str">
        <f>정규화데이터!A1450</f>
        <v>리씽크</v>
      </c>
      <c r="B1450" t="str">
        <f>정규화데이터!B1450</f>
        <v>2026020721033650000</v>
      </c>
      <c r="C1450" t="str">
        <f>정규화데이터!C1450</f>
        <v>2026-02-07</v>
      </c>
      <c r="D1450">
        <f>정규화데이터!D1450</f>
        <v>143790</v>
      </c>
      <c r="E1450" s="16" t="str">
        <f>정규화데이터!E1450</f>
        <v>SKU001</v>
      </c>
      <c r="F1450" s="3">
        <f>정규화데이터!F1450</f>
        <v>4</v>
      </c>
      <c r="G1450" s="3">
        <f>정규화데이터!G1450</f>
        <v>1</v>
      </c>
      <c r="H1450" s="3">
        <f>정규화데이터!H1450</f>
        <v>63000</v>
      </c>
      <c r="I1450" s="3">
        <f>정규화데이터!I1450</f>
        <v>63000</v>
      </c>
      <c r="J1450" s="3">
        <f>정규화데이터!J1450</f>
        <v>63000</v>
      </c>
      <c r="K1450" s="25" t="str">
        <f>정규화데이터!K1450</f>
        <v>[워커힐] 시그니처 양념갈비 300G</v>
      </c>
      <c r="L1450" s="25" t="e">
        <f>정규화데이터!L1450</f>
        <v>#VALUE!</v>
      </c>
      <c r="M1450" s="21" t="e">
        <f t="shared" si="44"/>
        <v>#VALUE!</v>
      </c>
      <c r="N1450" s="52" t="e">
        <f t="shared" si="45"/>
        <v>#VALUE!</v>
      </c>
    </row>
    <row r="1451" spans="1:14" x14ac:dyDescent="0.3">
      <c r="A1451" t="str">
        <f>정규화데이터!A1451</f>
        <v>리씽크</v>
      </c>
      <c r="B1451" t="str">
        <f>정규화데이터!B1451</f>
        <v>2026020717552980000</v>
      </c>
      <c r="C1451" t="str">
        <f>정규화데이터!C1451</f>
        <v>2026-02-07</v>
      </c>
      <c r="D1451">
        <f>정규화데이터!D1451</f>
        <v>143790</v>
      </c>
      <c r="E1451" s="16" t="str">
        <f>정규화데이터!E1451</f>
        <v>SKU001</v>
      </c>
      <c r="F1451" s="3">
        <f>정규화데이터!F1451</f>
        <v>4</v>
      </c>
      <c r="G1451" s="3">
        <f>정규화데이터!G1451</f>
        <v>1</v>
      </c>
      <c r="H1451" s="3">
        <f>정규화데이터!H1451</f>
        <v>63000</v>
      </c>
      <c r="I1451" s="3">
        <f>정규화데이터!I1451</f>
        <v>63000</v>
      </c>
      <c r="J1451" s="3">
        <f>정규화데이터!J1451</f>
        <v>63000</v>
      </c>
      <c r="K1451" s="25" t="str">
        <f>정규화데이터!K1451</f>
        <v>[워커힐] 시그니처 양념갈비 300G</v>
      </c>
      <c r="L1451" s="25" t="e">
        <f>정규화데이터!L1451</f>
        <v>#VALUE!</v>
      </c>
      <c r="M1451" s="21" t="e">
        <f t="shared" si="44"/>
        <v>#VALUE!</v>
      </c>
      <c r="N1451" s="52" t="e">
        <f t="shared" si="45"/>
        <v>#VALUE!</v>
      </c>
    </row>
    <row r="1452" spans="1:14" x14ac:dyDescent="0.3">
      <c r="A1452" t="str">
        <f>정규화데이터!A1452</f>
        <v>리씽크</v>
      </c>
      <c r="B1452" t="str">
        <f>정규화데이터!B1452</f>
        <v>2026020717440710000</v>
      </c>
      <c r="C1452" t="str">
        <f>정규화데이터!C1452</f>
        <v>2026-02-07</v>
      </c>
      <c r="D1452">
        <f>정규화데이터!D1452</f>
        <v>143790</v>
      </c>
      <c r="E1452" s="16" t="str">
        <f>정규화데이터!E1452</f>
        <v>SKU001</v>
      </c>
      <c r="F1452" s="3">
        <f>정규화데이터!F1452</f>
        <v>4</v>
      </c>
      <c r="G1452" s="3">
        <f>정규화데이터!G1452</f>
        <v>1</v>
      </c>
      <c r="H1452" s="3">
        <f>정규화데이터!H1452</f>
        <v>63000</v>
      </c>
      <c r="I1452" s="3">
        <f>정규화데이터!I1452</f>
        <v>63000</v>
      </c>
      <c r="J1452" s="3">
        <f>정규화데이터!J1452</f>
        <v>63000</v>
      </c>
      <c r="K1452" s="25" t="str">
        <f>정규화데이터!K1452</f>
        <v>[워커힐] 시그니처 양념갈비 300G</v>
      </c>
      <c r="L1452" s="25" t="e">
        <f>정규화데이터!L1452</f>
        <v>#VALUE!</v>
      </c>
      <c r="M1452" s="21" t="e">
        <f t="shared" si="44"/>
        <v>#VALUE!</v>
      </c>
      <c r="N1452" s="52" t="e">
        <f t="shared" si="45"/>
        <v>#VALUE!</v>
      </c>
    </row>
    <row r="1453" spans="1:14" x14ac:dyDescent="0.3">
      <c r="A1453" t="str">
        <f>정규화데이터!A1453</f>
        <v>리씽크</v>
      </c>
      <c r="B1453" t="str">
        <f>정규화데이터!B1453</f>
        <v>2026020716415410000</v>
      </c>
      <c r="C1453" t="str">
        <f>정규화데이터!C1453</f>
        <v>2026-02-07</v>
      </c>
      <c r="D1453">
        <f>정규화데이터!D1453</f>
        <v>143790</v>
      </c>
      <c r="E1453" s="16" t="str">
        <f>정규화데이터!E1453</f>
        <v>SKU001</v>
      </c>
      <c r="F1453" s="3">
        <f>정규화데이터!F1453</f>
        <v>4</v>
      </c>
      <c r="G1453" s="3">
        <f>정규화데이터!G1453</f>
        <v>1</v>
      </c>
      <c r="H1453" s="3">
        <f>정규화데이터!H1453</f>
        <v>63000</v>
      </c>
      <c r="I1453" s="3">
        <f>정규화데이터!I1453</f>
        <v>63000</v>
      </c>
      <c r="J1453" s="3">
        <f>정규화데이터!J1453</f>
        <v>63000</v>
      </c>
      <c r="K1453" s="25" t="str">
        <f>정규화데이터!K1453</f>
        <v>[워커힐] 시그니처 양념갈비 300G</v>
      </c>
      <c r="L1453" s="25" t="e">
        <f>정규화데이터!L1453</f>
        <v>#VALUE!</v>
      </c>
      <c r="M1453" s="21" t="e">
        <f t="shared" si="44"/>
        <v>#VALUE!</v>
      </c>
      <c r="N1453" s="52" t="e">
        <f t="shared" si="45"/>
        <v>#VALUE!</v>
      </c>
    </row>
    <row r="1454" spans="1:14" x14ac:dyDescent="0.3">
      <c r="A1454" t="str">
        <f>정규화데이터!A1454</f>
        <v>리씽크</v>
      </c>
      <c r="B1454" t="str">
        <f>정규화데이터!B1454</f>
        <v>2026020714411330000</v>
      </c>
      <c r="C1454" t="str">
        <f>정규화데이터!C1454</f>
        <v>2026-02-07</v>
      </c>
      <c r="D1454">
        <f>정규화데이터!D1454</f>
        <v>143790</v>
      </c>
      <c r="E1454" s="16" t="str">
        <f>정규화데이터!E1454</f>
        <v>SKU001</v>
      </c>
      <c r="F1454" s="3">
        <f>정규화데이터!F1454</f>
        <v>4</v>
      </c>
      <c r="G1454" s="3">
        <f>정규화데이터!G1454</f>
        <v>1</v>
      </c>
      <c r="H1454" s="3">
        <f>정규화데이터!H1454</f>
        <v>63000</v>
      </c>
      <c r="I1454" s="3">
        <f>정규화데이터!I1454</f>
        <v>63000</v>
      </c>
      <c r="J1454" s="3">
        <f>정규화데이터!J1454</f>
        <v>63000</v>
      </c>
      <c r="K1454" s="25" t="str">
        <f>정규화데이터!K1454</f>
        <v>[워커힐] 시그니처 양념갈비 300G</v>
      </c>
      <c r="L1454" s="25" t="e">
        <f>정규화데이터!L1454</f>
        <v>#VALUE!</v>
      </c>
      <c r="M1454" s="21" t="e">
        <f t="shared" si="44"/>
        <v>#VALUE!</v>
      </c>
      <c r="N1454" s="52" t="e">
        <f t="shared" si="45"/>
        <v>#VALUE!</v>
      </c>
    </row>
    <row r="1455" spans="1:14" x14ac:dyDescent="0.3">
      <c r="A1455" t="str">
        <f>정규화데이터!A1455</f>
        <v>리씽크</v>
      </c>
      <c r="B1455" t="str">
        <f>정규화데이터!B1455</f>
        <v>2026020713010330000</v>
      </c>
      <c r="C1455" t="str">
        <f>정규화데이터!C1455</f>
        <v>2026-02-07</v>
      </c>
      <c r="D1455">
        <f>정규화데이터!D1455</f>
        <v>143790</v>
      </c>
      <c r="E1455" s="16" t="str">
        <f>정규화데이터!E1455</f>
        <v>SKU001</v>
      </c>
      <c r="F1455" s="3">
        <f>정규화데이터!F1455</f>
        <v>4</v>
      </c>
      <c r="G1455" s="3">
        <f>정규화데이터!G1455</f>
        <v>1</v>
      </c>
      <c r="H1455" s="3">
        <f>정규화데이터!H1455</f>
        <v>63000</v>
      </c>
      <c r="I1455" s="3">
        <f>정규화데이터!I1455</f>
        <v>63000</v>
      </c>
      <c r="J1455" s="3">
        <f>정규화데이터!J1455</f>
        <v>63000</v>
      </c>
      <c r="K1455" s="25" t="str">
        <f>정규화데이터!K1455</f>
        <v>[워커힐] 시그니처 양념갈비 300G</v>
      </c>
      <c r="L1455" s="25" t="e">
        <f>정규화데이터!L1455</f>
        <v>#VALUE!</v>
      </c>
      <c r="M1455" s="21" t="e">
        <f t="shared" si="44"/>
        <v>#VALUE!</v>
      </c>
      <c r="N1455" s="52" t="e">
        <f t="shared" si="45"/>
        <v>#VALUE!</v>
      </c>
    </row>
    <row r="1456" spans="1:14" x14ac:dyDescent="0.3">
      <c r="A1456" t="str">
        <f>정규화데이터!A1456</f>
        <v>리씽크</v>
      </c>
      <c r="B1456" t="str">
        <f>정규화데이터!B1456</f>
        <v>2026020707445610000</v>
      </c>
      <c r="C1456" t="str">
        <f>정규화데이터!C1456</f>
        <v>2026-02-07</v>
      </c>
      <c r="D1456">
        <f>정규화데이터!D1456</f>
        <v>143790</v>
      </c>
      <c r="E1456" s="16" t="str">
        <f>정규화데이터!E1456</f>
        <v>SKU001</v>
      </c>
      <c r="F1456" s="3">
        <f>정규화데이터!F1456</f>
        <v>4</v>
      </c>
      <c r="G1456" s="3">
        <f>정규화데이터!G1456</f>
        <v>1</v>
      </c>
      <c r="H1456" s="3">
        <f>정규화데이터!H1456</f>
        <v>63000</v>
      </c>
      <c r="I1456" s="3">
        <f>정규화데이터!I1456</f>
        <v>63000</v>
      </c>
      <c r="J1456" s="3">
        <f>정규화데이터!J1456</f>
        <v>63000</v>
      </c>
      <c r="K1456" s="25" t="str">
        <f>정규화데이터!K1456</f>
        <v>[워커힐] 시그니처 양념갈비 300G</v>
      </c>
      <c r="L1456" s="25" t="e">
        <f>정규화데이터!L1456</f>
        <v>#VALUE!</v>
      </c>
      <c r="M1456" s="21" t="e">
        <f t="shared" si="44"/>
        <v>#VALUE!</v>
      </c>
      <c r="N1456" s="52" t="e">
        <f t="shared" si="45"/>
        <v>#VALUE!</v>
      </c>
    </row>
    <row r="1457" spans="1:14" x14ac:dyDescent="0.3">
      <c r="A1457" t="str">
        <f>정규화데이터!A1457</f>
        <v>리씽크</v>
      </c>
      <c r="B1457" t="str">
        <f>정규화데이터!B1457</f>
        <v>2026020622244310000</v>
      </c>
      <c r="C1457" t="str">
        <f>정규화데이터!C1457</f>
        <v>2026-02-06</v>
      </c>
      <c r="D1457">
        <f>정규화데이터!D1457</f>
        <v>143790</v>
      </c>
      <c r="E1457" s="16" t="str">
        <f>정규화데이터!E1457</f>
        <v>SKU001</v>
      </c>
      <c r="F1457" s="3">
        <f>정규화데이터!F1457</f>
        <v>4</v>
      </c>
      <c r="G1457" s="3">
        <f>정규화데이터!G1457</f>
        <v>1</v>
      </c>
      <c r="H1457" s="3">
        <f>정규화데이터!H1457</f>
        <v>63000</v>
      </c>
      <c r="I1457" s="3">
        <f>정규화데이터!I1457</f>
        <v>63000</v>
      </c>
      <c r="J1457" s="3">
        <f>정규화데이터!J1457</f>
        <v>63000</v>
      </c>
      <c r="K1457" s="25" t="str">
        <f>정규화데이터!K1457</f>
        <v>[워커힐] 시그니처 양념갈비 300G</v>
      </c>
      <c r="L1457" s="25" t="e">
        <f>정규화데이터!L1457</f>
        <v>#VALUE!</v>
      </c>
      <c r="M1457" s="21" t="e">
        <f t="shared" si="44"/>
        <v>#VALUE!</v>
      </c>
      <c r="N1457" s="52" t="e">
        <f t="shared" si="45"/>
        <v>#VALUE!</v>
      </c>
    </row>
    <row r="1458" spans="1:14" x14ac:dyDescent="0.3">
      <c r="A1458" t="str">
        <f>정규화데이터!A1458</f>
        <v>리씽크</v>
      </c>
      <c r="B1458" t="str">
        <f>정규화데이터!B1458</f>
        <v>2026020621342590000</v>
      </c>
      <c r="C1458" t="str">
        <f>정규화데이터!C1458</f>
        <v>2026-02-06</v>
      </c>
      <c r="D1458">
        <f>정규화데이터!D1458</f>
        <v>143790</v>
      </c>
      <c r="E1458" s="16" t="str">
        <f>정규화데이터!E1458</f>
        <v>SKU001</v>
      </c>
      <c r="F1458" s="3">
        <f>정규화데이터!F1458</f>
        <v>4</v>
      </c>
      <c r="G1458" s="3">
        <f>정규화데이터!G1458</f>
        <v>1</v>
      </c>
      <c r="H1458" s="3">
        <f>정규화데이터!H1458</f>
        <v>63000</v>
      </c>
      <c r="I1458" s="3">
        <f>정규화데이터!I1458</f>
        <v>63000</v>
      </c>
      <c r="J1458" s="3">
        <f>정규화데이터!J1458</f>
        <v>63000</v>
      </c>
      <c r="K1458" s="25" t="str">
        <f>정규화데이터!K1458</f>
        <v>[워커힐] 시그니처 양념갈비 300G</v>
      </c>
      <c r="L1458" s="25" t="e">
        <f>정규화데이터!L1458</f>
        <v>#VALUE!</v>
      </c>
      <c r="M1458" s="21" t="e">
        <f t="shared" si="44"/>
        <v>#VALUE!</v>
      </c>
      <c r="N1458" s="52" t="e">
        <f t="shared" si="45"/>
        <v>#VALUE!</v>
      </c>
    </row>
    <row r="1459" spans="1:14" x14ac:dyDescent="0.3">
      <c r="A1459" t="str">
        <f>정규화데이터!A1459</f>
        <v>리씽크</v>
      </c>
      <c r="B1459" t="str">
        <f>정규화데이터!B1459</f>
        <v>2026020620594780000</v>
      </c>
      <c r="C1459" t="str">
        <f>정규화데이터!C1459</f>
        <v>2026-02-06</v>
      </c>
      <c r="D1459">
        <f>정규화데이터!D1459</f>
        <v>143790</v>
      </c>
      <c r="E1459" s="16" t="str">
        <f>정규화데이터!E1459</f>
        <v>SKU001</v>
      </c>
      <c r="F1459" s="3">
        <f>정규화데이터!F1459</f>
        <v>4</v>
      </c>
      <c r="G1459" s="3">
        <f>정규화데이터!G1459</f>
        <v>1</v>
      </c>
      <c r="H1459" s="3">
        <f>정규화데이터!H1459</f>
        <v>63000</v>
      </c>
      <c r="I1459" s="3">
        <f>정규화데이터!I1459</f>
        <v>63000</v>
      </c>
      <c r="J1459" s="3">
        <f>정규화데이터!J1459</f>
        <v>63000</v>
      </c>
      <c r="K1459" s="25" t="str">
        <f>정규화데이터!K1459</f>
        <v>[워커힐] 시그니처 양념갈비 300G</v>
      </c>
      <c r="L1459" s="25" t="e">
        <f>정규화데이터!L1459</f>
        <v>#VALUE!</v>
      </c>
      <c r="M1459" s="21" t="e">
        <f t="shared" si="44"/>
        <v>#VALUE!</v>
      </c>
      <c r="N1459" s="52" t="e">
        <f t="shared" si="45"/>
        <v>#VALUE!</v>
      </c>
    </row>
    <row r="1460" spans="1:14" x14ac:dyDescent="0.3">
      <c r="A1460" t="str">
        <f>정규화데이터!A1460</f>
        <v>리씽크</v>
      </c>
      <c r="B1460" t="str">
        <f>정규화데이터!B1460</f>
        <v>2026020620341760000</v>
      </c>
      <c r="C1460" t="str">
        <f>정규화데이터!C1460</f>
        <v>2026-02-06</v>
      </c>
      <c r="D1460">
        <f>정규화데이터!D1460</f>
        <v>143790</v>
      </c>
      <c r="E1460" s="16" t="str">
        <f>정규화데이터!E1460</f>
        <v>SKU001</v>
      </c>
      <c r="F1460" s="3">
        <f>정규화데이터!F1460</f>
        <v>4</v>
      </c>
      <c r="G1460" s="3">
        <f>정규화데이터!G1460</f>
        <v>1</v>
      </c>
      <c r="H1460" s="3">
        <f>정규화데이터!H1460</f>
        <v>63000</v>
      </c>
      <c r="I1460" s="3">
        <f>정규화데이터!I1460</f>
        <v>63000</v>
      </c>
      <c r="J1460" s="3">
        <f>정규화데이터!J1460</f>
        <v>63000</v>
      </c>
      <c r="K1460" s="25" t="str">
        <f>정규화데이터!K1460</f>
        <v>[워커힐] 시그니처 양념갈비 300G</v>
      </c>
      <c r="L1460" s="25" t="e">
        <f>정규화데이터!L1460</f>
        <v>#VALUE!</v>
      </c>
      <c r="M1460" s="21" t="e">
        <f t="shared" si="44"/>
        <v>#VALUE!</v>
      </c>
      <c r="N1460" s="52" t="e">
        <f t="shared" si="45"/>
        <v>#VALUE!</v>
      </c>
    </row>
    <row r="1461" spans="1:14" x14ac:dyDescent="0.3">
      <c r="A1461" t="str">
        <f>정규화데이터!A1461</f>
        <v>리씽크</v>
      </c>
      <c r="B1461" t="str">
        <f>정규화데이터!B1461</f>
        <v>2026020620293540000</v>
      </c>
      <c r="C1461" t="str">
        <f>정규화데이터!C1461</f>
        <v>2026-02-06</v>
      </c>
      <c r="D1461">
        <f>정규화데이터!D1461</f>
        <v>143790</v>
      </c>
      <c r="E1461" s="16" t="str">
        <f>정규화데이터!E1461</f>
        <v>SKU001</v>
      </c>
      <c r="F1461" s="3">
        <f>정규화데이터!F1461</f>
        <v>4</v>
      </c>
      <c r="G1461" s="3">
        <f>정규화데이터!G1461</f>
        <v>1</v>
      </c>
      <c r="H1461" s="3">
        <f>정규화데이터!H1461</f>
        <v>63000</v>
      </c>
      <c r="I1461" s="3">
        <f>정규화데이터!I1461</f>
        <v>63000</v>
      </c>
      <c r="J1461" s="3">
        <f>정규화데이터!J1461</f>
        <v>63000</v>
      </c>
      <c r="K1461" s="25" t="str">
        <f>정규화데이터!K1461</f>
        <v>[워커힐] 시그니처 양념갈비 300G</v>
      </c>
      <c r="L1461" s="25" t="e">
        <f>정규화데이터!L1461</f>
        <v>#VALUE!</v>
      </c>
      <c r="M1461" s="21" t="e">
        <f t="shared" si="44"/>
        <v>#VALUE!</v>
      </c>
      <c r="N1461" s="52" t="e">
        <f t="shared" si="45"/>
        <v>#VALUE!</v>
      </c>
    </row>
    <row r="1462" spans="1:14" x14ac:dyDescent="0.3">
      <c r="A1462" t="str">
        <f>정규화데이터!A1462</f>
        <v>리씽크</v>
      </c>
      <c r="B1462" t="str">
        <f>정규화데이터!B1462</f>
        <v>2026020620075500000</v>
      </c>
      <c r="C1462" t="str">
        <f>정규화데이터!C1462</f>
        <v>2026-02-06</v>
      </c>
      <c r="D1462">
        <f>정규화데이터!D1462</f>
        <v>143790</v>
      </c>
      <c r="E1462" s="16" t="str">
        <f>정규화데이터!E1462</f>
        <v>SKU001</v>
      </c>
      <c r="F1462" s="3">
        <f>정규화데이터!F1462</f>
        <v>4</v>
      </c>
      <c r="G1462" s="3">
        <f>정규화데이터!G1462</f>
        <v>1</v>
      </c>
      <c r="H1462" s="3">
        <f>정규화데이터!H1462</f>
        <v>63000</v>
      </c>
      <c r="I1462" s="3">
        <f>정규화데이터!I1462</f>
        <v>63000</v>
      </c>
      <c r="J1462" s="3">
        <f>정규화데이터!J1462</f>
        <v>63000</v>
      </c>
      <c r="K1462" s="25" t="str">
        <f>정규화데이터!K1462</f>
        <v>[워커힐] 시그니처 양념갈비 300G</v>
      </c>
      <c r="L1462" s="25" t="e">
        <f>정규화데이터!L1462</f>
        <v>#VALUE!</v>
      </c>
      <c r="M1462" s="21" t="e">
        <f t="shared" si="44"/>
        <v>#VALUE!</v>
      </c>
      <c r="N1462" s="52" t="e">
        <f t="shared" si="45"/>
        <v>#VALUE!</v>
      </c>
    </row>
    <row r="1463" spans="1:14" x14ac:dyDescent="0.3">
      <c r="A1463" t="str">
        <f>정규화데이터!A1463</f>
        <v>리씽크</v>
      </c>
      <c r="B1463" t="str">
        <f>정규화데이터!B1463</f>
        <v>2026020619591920000</v>
      </c>
      <c r="C1463" t="str">
        <f>정규화데이터!C1463</f>
        <v>2026-02-06</v>
      </c>
      <c r="D1463">
        <f>정규화데이터!D1463</f>
        <v>143790</v>
      </c>
      <c r="E1463" s="16" t="str">
        <f>정규화데이터!E1463</f>
        <v>SKU001</v>
      </c>
      <c r="F1463" s="3">
        <f>정규화데이터!F1463</f>
        <v>4</v>
      </c>
      <c r="G1463" s="3">
        <f>정규화데이터!G1463</f>
        <v>1</v>
      </c>
      <c r="H1463" s="3">
        <f>정규화데이터!H1463</f>
        <v>63000</v>
      </c>
      <c r="I1463" s="3">
        <f>정규화데이터!I1463</f>
        <v>63000</v>
      </c>
      <c r="J1463" s="3">
        <f>정규화데이터!J1463</f>
        <v>63000</v>
      </c>
      <c r="K1463" s="25" t="str">
        <f>정규화데이터!K1463</f>
        <v>[워커힐] 시그니처 양념갈비 300G</v>
      </c>
      <c r="L1463" s="25" t="e">
        <f>정규화데이터!L1463</f>
        <v>#VALUE!</v>
      </c>
      <c r="M1463" s="21" t="e">
        <f t="shared" si="44"/>
        <v>#VALUE!</v>
      </c>
      <c r="N1463" s="52" t="e">
        <f t="shared" si="45"/>
        <v>#VALUE!</v>
      </c>
    </row>
    <row r="1464" spans="1:14" x14ac:dyDescent="0.3">
      <c r="A1464" t="str">
        <f>정규화데이터!A1464</f>
        <v>리씽크</v>
      </c>
      <c r="B1464" t="str">
        <f>정규화데이터!B1464</f>
        <v>2026020619064000000</v>
      </c>
      <c r="C1464" t="str">
        <f>정규화데이터!C1464</f>
        <v>2026-02-06</v>
      </c>
      <c r="D1464">
        <f>정규화데이터!D1464</f>
        <v>143790</v>
      </c>
      <c r="E1464" s="16" t="str">
        <f>정규화데이터!E1464</f>
        <v>SKU001</v>
      </c>
      <c r="F1464" s="3">
        <f>정규화데이터!F1464</f>
        <v>4</v>
      </c>
      <c r="G1464" s="3">
        <f>정규화데이터!G1464</f>
        <v>1</v>
      </c>
      <c r="H1464" s="3">
        <f>정규화데이터!H1464</f>
        <v>63000</v>
      </c>
      <c r="I1464" s="3">
        <f>정규화데이터!I1464</f>
        <v>63000</v>
      </c>
      <c r="J1464" s="3">
        <f>정규화데이터!J1464</f>
        <v>63000</v>
      </c>
      <c r="K1464" s="25" t="str">
        <f>정규화데이터!K1464</f>
        <v>[워커힐] 시그니처 양념갈비 300G</v>
      </c>
      <c r="L1464" s="25" t="e">
        <f>정규화데이터!L1464</f>
        <v>#VALUE!</v>
      </c>
      <c r="M1464" s="21" t="e">
        <f t="shared" si="44"/>
        <v>#VALUE!</v>
      </c>
      <c r="N1464" s="52" t="e">
        <f t="shared" si="45"/>
        <v>#VALUE!</v>
      </c>
    </row>
    <row r="1465" spans="1:14" x14ac:dyDescent="0.3">
      <c r="A1465" t="str">
        <f>정규화데이터!A1465</f>
        <v>리씽크</v>
      </c>
      <c r="B1465" t="str">
        <f>정규화데이터!B1465</f>
        <v>2026020616562110000</v>
      </c>
      <c r="C1465" t="str">
        <f>정규화데이터!C1465</f>
        <v>2026-02-06</v>
      </c>
      <c r="D1465">
        <f>정규화데이터!D1465</f>
        <v>143790</v>
      </c>
      <c r="E1465" s="16" t="str">
        <f>정규화데이터!E1465</f>
        <v>SKU001</v>
      </c>
      <c r="F1465" s="3">
        <f>정규화데이터!F1465</f>
        <v>4</v>
      </c>
      <c r="G1465" s="3">
        <f>정규화데이터!G1465</f>
        <v>1</v>
      </c>
      <c r="H1465" s="3">
        <f>정규화데이터!H1465</f>
        <v>63000</v>
      </c>
      <c r="I1465" s="3">
        <f>정규화데이터!I1465</f>
        <v>63000</v>
      </c>
      <c r="J1465" s="3">
        <f>정규화데이터!J1465</f>
        <v>63000</v>
      </c>
      <c r="K1465" s="25" t="str">
        <f>정규화데이터!K1465</f>
        <v>[워커힐] 시그니처 양념갈비 300G</v>
      </c>
      <c r="L1465" s="25" t="e">
        <f>정규화데이터!L1465</f>
        <v>#VALUE!</v>
      </c>
      <c r="M1465" s="21" t="e">
        <f t="shared" si="44"/>
        <v>#VALUE!</v>
      </c>
      <c r="N1465" s="52" t="e">
        <f t="shared" si="45"/>
        <v>#VALUE!</v>
      </c>
    </row>
    <row r="1466" spans="1:14" x14ac:dyDescent="0.3">
      <c r="A1466" t="str">
        <f>정규화데이터!A1466</f>
        <v>리씽크</v>
      </c>
      <c r="B1466" t="str">
        <f>정규화데이터!B1466</f>
        <v>2026020614402570000</v>
      </c>
      <c r="C1466" t="str">
        <f>정규화데이터!C1466</f>
        <v>2026-02-06</v>
      </c>
      <c r="D1466">
        <f>정규화데이터!D1466</f>
        <v>143790</v>
      </c>
      <c r="E1466" s="16" t="str">
        <f>정규화데이터!E1466</f>
        <v>SKU001</v>
      </c>
      <c r="F1466" s="3">
        <f>정규화데이터!F1466</f>
        <v>4</v>
      </c>
      <c r="G1466" s="3">
        <f>정규화데이터!G1466</f>
        <v>2</v>
      </c>
      <c r="H1466" s="3">
        <f>정규화데이터!H1466</f>
        <v>63000</v>
      </c>
      <c r="I1466" s="3">
        <f>정규화데이터!I1466</f>
        <v>126000</v>
      </c>
      <c r="J1466" s="3">
        <f>정규화데이터!J1466</f>
        <v>126000</v>
      </c>
      <c r="K1466" s="25" t="str">
        <f>정규화데이터!K1466</f>
        <v>[워커힐] 시그니처 양념갈비 300G</v>
      </c>
      <c r="L1466" s="25" t="e">
        <f>정규화데이터!L1466</f>
        <v>#VALUE!</v>
      </c>
      <c r="M1466" s="21" t="e">
        <f t="shared" si="44"/>
        <v>#VALUE!</v>
      </c>
      <c r="N1466" s="52" t="e">
        <f t="shared" si="45"/>
        <v>#VALUE!</v>
      </c>
    </row>
    <row r="1467" spans="1:14" x14ac:dyDescent="0.3">
      <c r="A1467" t="str">
        <f>정규화데이터!A1467</f>
        <v>리씽크</v>
      </c>
      <c r="B1467" t="str">
        <f>정규화데이터!B1467</f>
        <v>2026020614370040000</v>
      </c>
      <c r="C1467" t="str">
        <f>정규화데이터!C1467</f>
        <v>2026-02-06</v>
      </c>
      <c r="D1467">
        <f>정규화데이터!D1467</f>
        <v>143790</v>
      </c>
      <c r="E1467" s="16" t="str">
        <f>정규화데이터!E1467</f>
        <v>SKU001</v>
      </c>
      <c r="F1467" s="3">
        <f>정규화데이터!F1467</f>
        <v>4</v>
      </c>
      <c r="G1467" s="3">
        <f>정규화데이터!G1467</f>
        <v>2</v>
      </c>
      <c r="H1467" s="3">
        <f>정규화데이터!H1467</f>
        <v>63000</v>
      </c>
      <c r="I1467" s="3">
        <f>정규화데이터!I1467</f>
        <v>126000</v>
      </c>
      <c r="J1467" s="3">
        <f>정규화데이터!J1467</f>
        <v>126000</v>
      </c>
      <c r="K1467" s="25" t="str">
        <f>정규화데이터!K1467</f>
        <v>[워커힐] 시그니처 양념갈비 300G</v>
      </c>
      <c r="L1467" s="25" t="e">
        <f>정규화데이터!L1467</f>
        <v>#VALUE!</v>
      </c>
      <c r="M1467" s="21" t="e">
        <f t="shared" si="44"/>
        <v>#VALUE!</v>
      </c>
      <c r="N1467" s="52" t="e">
        <f t="shared" si="45"/>
        <v>#VALUE!</v>
      </c>
    </row>
    <row r="1468" spans="1:14" x14ac:dyDescent="0.3">
      <c r="A1468" t="str">
        <f>정규화데이터!A1468</f>
        <v>리씽크</v>
      </c>
      <c r="B1468" t="str">
        <f>정규화데이터!B1468</f>
        <v>2026020613542710000</v>
      </c>
      <c r="C1468" t="str">
        <f>정규화데이터!C1468</f>
        <v>2026-02-06</v>
      </c>
      <c r="D1468">
        <f>정규화데이터!D1468</f>
        <v>143790</v>
      </c>
      <c r="E1468" s="16" t="str">
        <f>정규화데이터!E1468</f>
        <v>SKU001</v>
      </c>
      <c r="F1468" s="3">
        <f>정규화데이터!F1468</f>
        <v>4</v>
      </c>
      <c r="G1468" s="3">
        <f>정규화데이터!G1468</f>
        <v>1</v>
      </c>
      <c r="H1468" s="3">
        <f>정규화데이터!H1468</f>
        <v>63000</v>
      </c>
      <c r="I1468" s="3">
        <f>정규화데이터!I1468</f>
        <v>63000</v>
      </c>
      <c r="J1468" s="3">
        <f>정규화데이터!J1468</f>
        <v>63000</v>
      </c>
      <c r="K1468" s="25" t="str">
        <f>정규화데이터!K1468</f>
        <v>[워커힐] 시그니처 양념갈비 300G</v>
      </c>
      <c r="L1468" s="25" t="e">
        <f>정규화데이터!L1468</f>
        <v>#VALUE!</v>
      </c>
      <c r="M1468" s="21" t="e">
        <f t="shared" si="44"/>
        <v>#VALUE!</v>
      </c>
      <c r="N1468" s="52" t="e">
        <f t="shared" si="45"/>
        <v>#VALUE!</v>
      </c>
    </row>
    <row r="1469" spans="1:14" x14ac:dyDescent="0.3">
      <c r="A1469" t="str">
        <f>정규화데이터!A1469</f>
        <v>리씽크</v>
      </c>
      <c r="B1469" t="str">
        <f>정규화데이터!B1469</f>
        <v>2026021008005590000</v>
      </c>
      <c r="C1469" t="str">
        <f>정규화데이터!C1469</f>
        <v>2026-02-10</v>
      </c>
      <c r="D1469">
        <f>정규화데이터!D1469</f>
        <v>143790</v>
      </c>
      <c r="E1469" s="16" t="str">
        <f>정규화데이터!E1469</f>
        <v>SKU001</v>
      </c>
      <c r="F1469" s="3">
        <f>정규화데이터!F1469</f>
        <v>4</v>
      </c>
      <c r="G1469" s="3">
        <f>정규화데이터!G1469</f>
        <v>1</v>
      </c>
      <c r="H1469" s="3">
        <f>정규화데이터!H1469</f>
        <v>45500</v>
      </c>
      <c r="I1469" s="3">
        <f>정규화데이터!I1469</f>
        <v>45500</v>
      </c>
      <c r="J1469" s="3">
        <f>정규화데이터!J1469</f>
        <v>45500</v>
      </c>
      <c r="K1469" s="25" t="str">
        <f>정규화데이터!K1469</f>
        <v>[워커힐] 시그니처 양념갈비 300G</v>
      </c>
      <c r="L1469" s="25">
        <f>정규화데이터!L1469</f>
        <v>0</v>
      </c>
      <c r="M1469" s="21">
        <f t="shared" si="44"/>
        <v>45500</v>
      </c>
      <c r="N1469" s="52">
        <f t="shared" si="45"/>
        <v>1</v>
      </c>
    </row>
    <row r="1470" spans="1:14" x14ac:dyDescent="0.3">
      <c r="A1470" t="str">
        <f>정규화데이터!A1470</f>
        <v>리씽크</v>
      </c>
      <c r="B1470" t="str">
        <f>정규화데이터!B1470</f>
        <v>2026021007171170000</v>
      </c>
      <c r="C1470" t="str">
        <f>정규화데이터!C1470</f>
        <v>2026-02-10</v>
      </c>
      <c r="D1470">
        <f>정규화데이터!D1470</f>
        <v>143790</v>
      </c>
      <c r="E1470" s="16" t="str">
        <f>정규화데이터!E1470</f>
        <v>SKU001</v>
      </c>
      <c r="F1470" s="3">
        <f>정규화데이터!F1470</f>
        <v>4</v>
      </c>
      <c r="G1470" s="3">
        <f>정규화데이터!G1470</f>
        <v>1</v>
      </c>
      <c r="H1470" s="3">
        <f>정규화데이터!H1470</f>
        <v>45500</v>
      </c>
      <c r="I1470" s="3">
        <f>정규화데이터!I1470</f>
        <v>45500</v>
      </c>
      <c r="J1470" s="3">
        <f>정규화데이터!J1470</f>
        <v>45500</v>
      </c>
      <c r="K1470" s="25" t="str">
        <f>정규화데이터!K1470</f>
        <v>[워커힐] 시그니처 양념갈비 300G</v>
      </c>
      <c r="L1470" s="25">
        <f>정규화데이터!L1470</f>
        <v>0</v>
      </c>
      <c r="M1470" s="21">
        <f t="shared" si="44"/>
        <v>45500</v>
      </c>
      <c r="N1470" s="52">
        <f t="shared" si="45"/>
        <v>1</v>
      </c>
    </row>
    <row r="1471" spans="1:14" x14ac:dyDescent="0.3">
      <c r="A1471" t="str">
        <f>정규화데이터!A1471</f>
        <v>리씽크</v>
      </c>
      <c r="B1471" t="str">
        <f>정규화데이터!B1471</f>
        <v>2026021007055700000</v>
      </c>
      <c r="C1471" t="str">
        <f>정규화데이터!C1471</f>
        <v>2026-02-10</v>
      </c>
      <c r="D1471">
        <f>정규화데이터!D1471</f>
        <v>143790</v>
      </c>
      <c r="E1471" s="16" t="str">
        <f>정규화데이터!E1471</f>
        <v>SKU001</v>
      </c>
      <c r="F1471" s="3">
        <f>정규화데이터!F1471</f>
        <v>4</v>
      </c>
      <c r="G1471" s="3">
        <f>정규화데이터!G1471</f>
        <v>1</v>
      </c>
      <c r="H1471" s="3">
        <f>정규화데이터!H1471</f>
        <v>45500</v>
      </c>
      <c r="I1471" s="3">
        <f>정규화데이터!I1471</f>
        <v>45500</v>
      </c>
      <c r="J1471" s="3">
        <f>정규화데이터!J1471</f>
        <v>45500</v>
      </c>
      <c r="K1471" s="25" t="str">
        <f>정규화데이터!K1471</f>
        <v>[워커힐] 시그니처 양념갈비 300G</v>
      </c>
      <c r="L1471" s="25">
        <f>정규화데이터!L1471</f>
        <v>0</v>
      </c>
      <c r="M1471" s="21">
        <f t="shared" si="44"/>
        <v>45500</v>
      </c>
      <c r="N1471" s="52">
        <f t="shared" si="45"/>
        <v>1</v>
      </c>
    </row>
    <row r="1472" spans="1:14" x14ac:dyDescent="0.3">
      <c r="A1472" t="str">
        <f>정규화데이터!A1472</f>
        <v>리씽크</v>
      </c>
      <c r="B1472" t="str">
        <f>정규화데이터!B1472</f>
        <v>2026021000203020000</v>
      </c>
      <c r="C1472" t="str">
        <f>정규화데이터!C1472</f>
        <v>2026-02-10</v>
      </c>
      <c r="D1472">
        <f>정규화데이터!D1472</f>
        <v>143790</v>
      </c>
      <c r="E1472" s="16" t="str">
        <f>정규화데이터!E1472</f>
        <v>SKU001</v>
      </c>
      <c r="F1472" s="3">
        <f>정규화데이터!F1472</f>
        <v>4</v>
      </c>
      <c r="G1472" s="3">
        <f>정규화데이터!G1472</f>
        <v>1</v>
      </c>
      <c r="H1472" s="3">
        <f>정규화데이터!H1472</f>
        <v>45500</v>
      </c>
      <c r="I1472" s="3">
        <f>정규화데이터!I1472</f>
        <v>45500</v>
      </c>
      <c r="J1472" s="3">
        <f>정규화데이터!J1472</f>
        <v>45500</v>
      </c>
      <c r="K1472" s="25" t="str">
        <f>정규화데이터!K1472</f>
        <v>[워커힐] 시그니처 양념갈비 300G</v>
      </c>
      <c r="L1472" s="25">
        <f>정규화데이터!L1472</f>
        <v>0</v>
      </c>
      <c r="M1472" s="21">
        <f t="shared" si="44"/>
        <v>45500</v>
      </c>
      <c r="N1472" s="52">
        <f t="shared" si="45"/>
        <v>1</v>
      </c>
    </row>
    <row r="1473" spans="1:14" x14ac:dyDescent="0.3">
      <c r="A1473" t="str">
        <f>정규화데이터!A1473</f>
        <v>리씽크</v>
      </c>
      <c r="B1473" t="str">
        <f>정규화데이터!B1473</f>
        <v>2026020920475760000</v>
      </c>
      <c r="C1473" t="str">
        <f>정규화데이터!C1473</f>
        <v>2026-02-09</v>
      </c>
      <c r="D1473">
        <f>정규화데이터!D1473</f>
        <v>143790</v>
      </c>
      <c r="E1473" s="16" t="str">
        <f>정규화데이터!E1473</f>
        <v>SKU001</v>
      </c>
      <c r="F1473" s="3">
        <f>정규화데이터!F1473</f>
        <v>4</v>
      </c>
      <c r="G1473" s="3">
        <f>정규화데이터!G1473</f>
        <v>2</v>
      </c>
      <c r="H1473" s="3">
        <f>정규화데이터!H1473</f>
        <v>45500</v>
      </c>
      <c r="I1473" s="3">
        <f>정규화데이터!I1473</f>
        <v>91000</v>
      </c>
      <c r="J1473" s="3">
        <f>정규화데이터!J1473</f>
        <v>91000</v>
      </c>
      <c r="K1473" s="25" t="str">
        <f>정규화데이터!K1473</f>
        <v>[워커힐] 시그니처 양념갈비 300G</v>
      </c>
      <c r="L1473" s="25">
        <f>정규화데이터!L1473</f>
        <v>0</v>
      </c>
      <c r="M1473" s="21">
        <f t="shared" si="44"/>
        <v>91000</v>
      </c>
      <c r="N1473" s="52">
        <f t="shared" si="45"/>
        <v>1</v>
      </c>
    </row>
    <row r="1474" spans="1:14" x14ac:dyDescent="0.3">
      <c r="A1474" t="str">
        <f>정규화데이터!A1474</f>
        <v>리씽크</v>
      </c>
      <c r="B1474" t="str">
        <f>정규화데이터!B1474</f>
        <v>2026020919184090000</v>
      </c>
      <c r="C1474" t="str">
        <f>정규화데이터!C1474</f>
        <v>2026-02-09</v>
      </c>
      <c r="D1474">
        <f>정규화데이터!D1474</f>
        <v>143790</v>
      </c>
      <c r="E1474" s="16" t="str">
        <f>정규화데이터!E1474</f>
        <v>SKU001</v>
      </c>
      <c r="F1474" s="3">
        <f>정규화데이터!F1474</f>
        <v>4</v>
      </c>
      <c r="G1474" s="3">
        <f>정규화데이터!G1474</f>
        <v>2</v>
      </c>
      <c r="H1474" s="3">
        <f>정규화데이터!H1474</f>
        <v>45500</v>
      </c>
      <c r="I1474" s="3">
        <f>정규화데이터!I1474</f>
        <v>91000</v>
      </c>
      <c r="J1474" s="3">
        <f>정규화데이터!J1474</f>
        <v>91000</v>
      </c>
      <c r="K1474" s="25" t="str">
        <f>정규화데이터!K1474</f>
        <v>[워커힐] 시그니처 양념갈비 300G</v>
      </c>
      <c r="L1474" s="25">
        <f>정규화데이터!L1474</f>
        <v>0</v>
      </c>
      <c r="M1474" s="21">
        <f t="shared" ref="M1474:M1537" si="46">J1474-L1474</f>
        <v>91000</v>
      </c>
      <c r="N1474" s="52">
        <f t="shared" ref="N1474:N1537" si="47">IF(J1474=0,0,M1474/J1474)</f>
        <v>1</v>
      </c>
    </row>
    <row r="1475" spans="1:14" x14ac:dyDescent="0.3">
      <c r="A1475" t="str">
        <f>정규화데이터!A1475</f>
        <v>리씽크</v>
      </c>
      <c r="B1475" t="str">
        <f>정규화데이터!B1475</f>
        <v>2026020919161020000</v>
      </c>
      <c r="C1475" t="str">
        <f>정규화데이터!C1475</f>
        <v>2026-02-09</v>
      </c>
      <c r="D1475">
        <f>정규화데이터!D1475</f>
        <v>143790</v>
      </c>
      <c r="E1475" s="16" t="str">
        <f>정규화데이터!E1475</f>
        <v>SKU001</v>
      </c>
      <c r="F1475" s="3">
        <f>정규화데이터!F1475</f>
        <v>4</v>
      </c>
      <c r="G1475" s="3">
        <f>정규화데이터!G1475</f>
        <v>1</v>
      </c>
      <c r="H1475" s="3">
        <f>정규화데이터!H1475</f>
        <v>45500</v>
      </c>
      <c r="I1475" s="3">
        <f>정규화데이터!I1475</f>
        <v>45500</v>
      </c>
      <c r="J1475" s="3">
        <f>정규화데이터!J1475</f>
        <v>45500</v>
      </c>
      <c r="K1475" s="25" t="str">
        <f>정규화데이터!K1475</f>
        <v>[워커힐] 시그니처 양념갈비 300G</v>
      </c>
      <c r="L1475" s="25">
        <f>정규화데이터!L1475</f>
        <v>0</v>
      </c>
      <c r="M1475" s="21">
        <f t="shared" si="46"/>
        <v>45500</v>
      </c>
      <c r="N1475" s="52">
        <f t="shared" si="47"/>
        <v>1</v>
      </c>
    </row>
    <row r="1476" spans="1:14" x14ac:dyDescent="0.3">
      <c r="A1476" t="str">
        <f>정규화데이터!A1476</f>
        <v>리씽크</v>
      </c>
      <c r="B1476" t="str">
        <f>정규화데이터!B1476</f>
        <v>2026020919133670000</v>
      </c>
      <c r="C1476" t="str">
        <f>정규화데이터!C1476</f>
        <v>2026-02-09</v>
      </c>
      <c r="D1476">
        <f>정규화데이터!D1476</f>
        <v>143790</v>
      </c>
      <c r="E1476" s="16" t="str">
        <f>정규화데이터!E1476</f>
        <v>SKU001</v>
      </c>
      <c r="F1476" s="3">
        <f>정규화데이터!F1476</f>
        <v>4</v>
      </c>
      <c r="G1476" s="3">
        <f>정규화데이터!G1476</f>
        <v>1</v>
      </c>
      <c r="H1476" s="3">
        <f>정규화데이터!H1476</f>
        <v>45500</v>
      </c>
      <c r="I1476" s="3">
        <f>정규화데이터!I1476</f>
        <v>45500</v>
      </c>
      <c r="J1476" s="3">
        <f>정규화데이터!J1476</f>
        <v>45500</v>
      </c>
      <c r="K1476" s="25" t="str">
        <f>정규화데이터!K1476</f>
        <v>[워커힐] 시그니처 양념갈비 300G</v>
      </c>
      <c r="L1476" s="25">
        <f>정규화데이터!L1476</f>
        <v>0</v>
      </c>
      <c r="M1476" s="21">
        <f t="shared" si="46"/>
        <v>45500</v>
      </c>
      <c r="N1476" s="52">
        <f t="shared" si="47"/>
        <v>1</v>
      </c>
    </row>
    <row r="1477" spans="1:14" x14ac:dyDescent="0.3">
      <c r="A1477" t="str">
        <f>정규화데이터!A1477</f>
        <v>리씽크</v>
      </c>
      <c r="B1477" t="str">
        <f>정규화데이터!B1477</f>
        <v>2026020919005540000</v>
      </c>
      <c r="C1477" t="str">
        <f>정규화데이터!C1477</f>
        <v>2026-02-09</v>
      </c>
      <c r="D1477">
        <f>정규화데이터!D1477</f>
        <v>143790</v>
      </c>
      <c r="E1477" s="16" t="str">
        <f>정규화데이터!E1477</f>
        <v>SKU001</v>
      </c>
      <c r="F1477" s="3">
        <f>정규화데이터!F1477</f>
        <v>4</v>
      </c>
      <c r="G1477" s="3">
        <f>정규화데이터!G1477</f>
        <v>1</v>
      </c>
      <c r="H1477" s="3">
        <f>정규화데이터!H1477</f>
        <v>45500</v>
      </c>
      <c r="I1477" s="3">
        <f>정규화데이터!I1477</f>
        <v>45500</v>
      </c>
      <c r="J1477" s="3">
        <f>정규화데이터!J1477</f>
        <v>45500</v>
      </c>
      <c r="K1477" s="25" t="str">
        <f>정규화데이터!K1477</f>
        <v>[워커힐] 시그니처 양념갈비 300G</v>
      </c>
      <c r="L1477" s="25">
        <f>정규화데이터!L1477</f>
        <v>0</v>
      </c>
      <c r="M1477" s="21">
        <f t="shared" si="46"/>
        <v>45500</v>
      </c>
      <c r="N1477" s="52">
        <f t="shared" si="47"/>
        <v>1</v>
      </c>
    </row>
    <row r="1478" spans="1:14" x14ac:dyDescent="0.3">
      <c r="A1478" t="str">
        <f>정규화데이터!A1478</f>
        <v>리씽크</v>
      </c>
      <c r="B1478" t="str">
        <f>정규화데이터!B1478</f>
        <v>2026020918520970000</v>
      </c>
      <c r="C1478" t="str">
        <f>정규화데이터!C1478</f>
        <v>2026-02-09</v>
      </c>
      <c r="D1478">
        <f>정규화데이터!D1478</f>
        <v>143790</v>
      </c>
      <c r="E1478" s="16" t="str">
        <f>정규화데이터!E1478</f>
        <v>SKU001</v>
      </c>
      <c r="F1478" s="3">
        <f>정규화데이터!F1478</f>
        <v>4</v>
      </c>
      <c r="G1478" s="3">
        <f>정규화데이터!G1478</f>
        <v>2</v>
      </c>
      <c r="H1478" s="3">
        <f>정규화데이터!H1478</f>
        <v>45500</v>
      </c>
      <c r="I1478" s="3">
        <f>정규화데이터!I1478</f>
        <v>91000</v>
      </c>
      <c r="J1478" s="3">
        <f>정규화데이터!J1478</f>
        <v>91000</v>
      </c>
      <c r="K1478" s="25" t="str">
        <f>정규화데이터!K1478</f>
        <v>[워커힐] 시그니처 양념갈비 300G</v>
      </c>
      <c r="L1478" s="25">
        <f>정규화데이터!L1478</f>
        <v>0</v>
      </c>
      <c r="M1478" s="21">
        <f t="shared" si="46"/>
        <v>91000</v>
      </c>
      <c r="N1478" s="52">
        <f t="shared" si="47"/>
        <v>1</v>
      </c>
    </row>
    <row r="1479" spans="1:14" x14ac:dyDescent="0.3">
      <c r="A1479" t="str">
        <f>정규화데이터!A1479</f>
        <v>리씽크</v>
      </c>
      <c r="B1479" t="str">
        <f>정규화데이터!B1479</f>
        <v>2026020918490390000</v>
      </c>
      <c r="C1479" t="str">
        <f>정규화데이터!C1479</f>
        <v>2026-02-09</v>
      </c>
      <c r="D1479">
        <f>정규화데이터!D1479</f>
        <v>143790</v>
      </c>
      <c r="E1479" s="16" t="str">
        <f>정규화데이터!E1479</f>
        <v>SKU001</v>
      </c>
      <c r="F1479" s="3">
        <f>정규화데이터!F1479</f>
        <v>4</v>
      </c>
      <c r="G1479" s="3">
        <f>정규화데이터!G1479</f>
        <v>1</v>
      </c>
      <c r="H1479" s="3">
        <f>정규화데이터!H1479</f>
        <v>45500</v>
      </c>
      <c r="I1479" s="3">
        <f>정규화데이터!I1479</f>
        <v>45500</v>
      </c>
      <c r="J1479" s="3">
        <f>정규화데이터!J1479</f>
        <v>45500</v>
      </c>
      <c r="K1479" s="25" t="str">
        <f>정규화데이터!K1479</f>
        <v>[워커힐] 시그니처 양념갈비 300G</v>
      </c>
      <c r="L1479" s="25">
        <f>정규화데이터!L1479</f>
        <v>0</v>
      </c>
      <c r="M1479" s="21">
        <f t="shared" si="46"/>
        <v>45500</v>
      </c>
      <c r="N1479" s="52">
        <f t="shared" si="47"/>
        <v>1</v>
      </c>
    </row>
    <row r="1480" spans="1:14" x14ac:dyDescent="0.3">
      <c r="A1480" t="str">
        <f>정규화데이터!A1480</f>
        <v>리씽크</v>
      </c>
      <c r="B1480" t="str">
        <f>정규화데이터!B1480</f>
        <v>2026020918394100000</v>
      </c>
      <c r="C1480" t="str">
        <f>정규화데이터!C1480</f>
        <v>2026-02-09</v>
      </c>
      <c r="D1480">
        <f>정규화데이터!D1480</f>
        <v>143790</v>
      </c>
      <c r="E1480" s="16" t="str">
        <f>정규화데이터!E1480</f>
        <v>SKU001</v>
      </c>
      <c r="F1480" s="3">
        <f>정규화데이터!F1480</f>
        <v>4</v>
      </c>
      <c r="G1480" s="3">
        <f>정규화데이터!G1480</f>
        <v>1</v>
      </c>
      <c r="H1480" s="3">
        <f>정규화데이터!H1480</f>
        <v>45500</v>
      </c>
      <c r="I1480" s="3">
        <f>정규화데이터!I1480</f>
        <v>45500</v>
      </c>
      <c r="J1480" s="3">
        <f>정규화데이터!J1480</f>
        <v>45500</v>
      </c>
      <c r="K1480" s="25" t="str">
        <f>정규화데이터!K1480</f>
        <v>[워커힐] 시그니처 양념갈비 300G</v>
      </c>
      <c r="L1480" s="25">
        <f>정규화데이터!L1480</f>
        <v>0</v>
      </c>
      <c r="M1480" s="21">
        <f t="shared" si="46"/>
        <v>45500</v>
      </c>
      <c r="N1480" s="52">
        <f t="shared" si="47"/>
        <v>1</v>
      </c>
    </row>
    <row r="1481" spans="1:14" x14ac:dyDescent="0.3">
      <c r="A1481" t="str">
        <f>정규화데이터!A1481</f>
        <v>리씽크</v>
      </c>
      <c r="B1481" t="str">
        <f>정규화데이터!B1481</f>
        <v>2026020918131660000</v>
      </c>
      <c r="C1481" t="str">
        <f>정규화데이터!C1481</f>
        <v>2026-02-09</v>
      </c>
      <c r="D1481">
        <f>정규화데이터!D1481</f>
        <v>143790</v>
      </c>
      <c r="E1481" s="16" t="str">
        <f>정규화데이터!E1481</f>
        <v>SKU001</v>
      </c>
      <c r="F1481" s="3">
        <f>정규화데이터!F1481</f>
        <v>4</v>
      </c>
      <c r="G1481" s="3">
        <f>정규화데이터!G1481</f>
        <v>1</v>
      </c>
      <c r="H1481" s="3">
        <f>정규화데이터!H1481</f>
        <v>45500</v>
      </c>
      <c r="I1481" s="3">
        <f>정규화데이터!I1481</f>
        <v>45500</v>
      </c>
      <c r="J1481" s="3">
        <f>정규화데이터!J1481</f>
        <v>45500</v>
      </c>
      <c r="K1481" s="25" t="str">
        <f>정규화데이터!K1481</f>
        <v>[워커힐] 시그니처 양념갈비 300G</v>
      </c>
      <c r="L1481" s="25">
        <f>정규화데이터!L1481</f>
        <v>0</v>
      </c>
      <c r="M1481" s="21">
        <f t="shared" si="46"/>
        <v>45500</v>
      </c>
      <c r="N1481" s="52">
        <f t="shared" si="47"/>
        <v>1</v>
      </c>
    </row>
    <row r="1482" spans="1:14" x14ac:dyDescent="0.3">
      <c r="A1482" t="str">
        <f>정규화데이터!A1482</f>
        <v>리씽크</v>
      </c>
      <c r="B1482" t="str">
        <f>정규화데이터!B1482</f>
        <v>2026020918085220000</v>
      </c>
      <c r="C1482" t="str">
        <f>정규화데이터!C1482</f>
        <v>2026-02-09</v>
      </c>
      <c r="D1482">
        <f>정규화데이터!D1482</f>
        <v>143790</v>
      </c>
      <c r="E1482" s="16" t="str">
        <f>정규화데이터!E1482</f>
        <v>SKU001</v>
      </c>
      <c r="F1482" s="3">
        <f>정규화데이터!F1482</f>
        <v>4</v>
      </c>
      <c r="G1482" s="3">
        <f>정규화데이터!G1482</f>
        <v>1</v>
      </c>
      <c r="H1482" s="3">
        <f>정규화데이터!H1482</f>
        <v>45500</v>
      </c>
      <c r="I1482" s="3">
        <f>정규화데이터!I1482</f>
        <v>45500</v>
      </c>
      <c r="J1482" s="3">
        <f>정규화데이터!J1482</f>
        <v>45500</v>
      </c>
      <c r="K1482" s="25" t="str">
        <f>정규화데이터!K1482</f>
        <v>[워커힐] 시그니처 양념갈비 300G</v>
      </c>
      <c r="L1482" s="25">
        <f>정규화데이터!L1482</f>
        <v>0</v>
      </c>
      <c r="M1482" s="21">
        <f t="shared" si="46"/>
        <v>45500</v>
      </c>
      <c r="N1482" s="52">
        <f t="shared" si="47"/>
        <v>1</v>
      </c>
    </row>
    <row r="1483" spans="1:14" x14ac:dyDescent="0.3">
      <c r="A1483" t="str">
        <f>정규화데이터!A1483</f>
        <v>리씽크</v>
      </c>
      <c r="B1483" t="str">
        <f>정규화데이터!B1483</f>
        <v>2026020918013380000</v>
      </c>
      <c r="C1483" t="str">
        <f>정규화데이터!C1483</f>
        <v>2026-02-09</v>
      </c>
      <c r="D1483">
        <f>정규화데이터!D1483</f>
        <v>143790</v>
      </c>
      <c r="E1483" s="16" t="str">
        <f>정규화데이터!E1483</f>
        <v>SKU001</v>
      </c>
      <c r="F1483" s="3">
        <f>정규화데이터!F1483</f>
        <v>4</v>
      </c>
      <c r="G1483" s="3">
        <f>정규화데이터!G1483</f>
        <v>1</v>
      </c>
      <c r="H1483" s="3">
        <f>정규화데이터!H1483</f>
        <v>45500</v>
      </c>
      <c r="I1483" s="3">
        <f>정규화데이터!I1483</f>
        <v>45500</v>
      </c>
      <c r="J1483" s="3">
        <f>정규화데이터!J1483</f>
        <v>45500</v>
      </c>
      <c r="K1483" s="25" t="str">
        <f>정규화데이터!K1483</f>
        <v>[워커힐] 시그니처 양념갈비 300G</v>
      </c>
      <c r="L1483" s="25">
        <f>정규화데이터!L1483</f>
        <v>0</v>
      </c>
      <c r="M1483" s="21">
        <f t="shared" si="46"/>
        <v>45500</v>
      </c>
      <c r="N1483" s="52">
        <f t="shared" si="47"/>
        <v>1</v>
      </c>
    </row>
    <row r="1484" spans="1:14" x14ac:dyDescent="0.3">
      <c r="A1484" t="str">
        <f>정규화데이터!A1484</f>
        <v>리씽크</v>
      </c>
      <c r="B1484" t="str">
        <f>정규화데이터!B1484</f>
        <v>2026020912142860000</v>
      </c>
      <c r="C1484" t="str">
        <f>정규화데이터!C1484</f>
        <v>2026-02-09</v>
      </c>
      <c r="D1484">
        <f>정규화데이터!D1484</f>
        <v>143790</v>
      </c>
      <c r="E1484" s="16" t="str">
        <f>정규화데이터!E1484</f>
        <v>SKU001</v>
      </c>
      <c r="F1484" s="3">
        <f>정규화데이터!F1484</f>
        <v>4</v>
      </c>
      <c r="G1484" s="3">
        <f>정규화데이터!G1484</f>
        <v>1</v>
      </c>
      <c r="H1484" s="3">
        <f>정규화데이터!H1484</f>
        <v>45500</v>
      </c>
      <c r="I1484" s="3">
        <f>정규화데이터!I1484</f>
        <v>45500</v>
      </c>
      <c r="J1484" s="3">
        <f>정규화데이터!J1484</f>
        <v>45500</v>
      </c>
      <c r="K1484" s="25" t="str">
        <f>정규화데이터!K1484</f>
        <v>[워커힐] 시그니처 양념갈비 300G</v>
      </c>
      <c r="L1484" s="25">
        <f>정규화데이터!L1484</f>
        <v>0</v>
      </c>
      <c r="M1484" s="21">
        <f t="shared" si="46"/>
        <v>45500</v>
      </c>
      <c r="N1484" s="52">
        <f t="shared" si="47"/>
        <v>1</v>
      </c>
    </row>
    <row r="1485" spans="1:14" x14ac:dyDescent="0.3">
      <c r="A1485" t="str">
        <f>정규화데이터!A1485</f>
        <v>리씽크</v>
      </c>
      <c r="B1485" t="str">
        <f>정규화데이터!B1485</f>
        <v>2026020912043190000</v>
      </c>
      <c r="C1485" t="str">
        <f>정규화데이터!C1485</f>
        <v>2026-02-09</v>
      </c>
      <c r="D1485">
        <f>정규화데이터!D1485</f>
        <v>143790</v>
      </c>
      <c r="E1485" s="16" t="str">
        <f>정규화데이터!E1485</f>
        <v>SKU001</v>
      </c>
      <c r="F1485" s="3">
        <f>정규화데이터!F1485</f>
        <v>4</v>
      </c>
      <c r="G1485" s="3">
        <f>정규화데이터!G1485</f>
        <v>1</v>
      </c>
      <c r="H1485" s="3">
        <f>정규화데이터!H1485</f>
        <v>45500</v>
      </c>
      <c r="I1485" s="3">
        <f>정규화데이터!I1485</f>
        <v>45500</v>
      </c>
      <c r="J1485" s="3">
        <f>정규화데이터!J1485</f>
        <v>45500</v>
      </c>
      <c r="K1485" s="25" t="str">
        <f>정규화데이터!K1485</f>
        <v>[워커힐] 시그니처 양념갈비 300G</v>
      </c>
      <c r="L1485" s="25">
        <f>정규화데이터!L1485</f>
        <v>0</v>
      </c>
      <c r="M1485" s="21">
        <f t="shared" si="46"/>
        <v>45500</v>
      </c>
      <c r="N1485" s="52">
        <f t="shared" si="47"/>
        <v>1</v>
      </c>
    </row>
    <row r="1486" spans="1:14" x14ac:dyDescent="0.3">
      <c r="A1486" t="str">
        <f>정규화데이터!A1486</f>
        <v>리씽크</v>
      </c>
      <c r="B1486" t="str">
        <f>정규화데이터!B1486</f>
        <v>2026020911323750000</v>
      </c>
      <c r="C1486" t="str">
        <f>정규화데이터!C1486</f>
        <v>2026-02-09</v>
      </c>
      <c r="D1486">
        <f>정규화데이터!D1486</f>
        <v>143790</v>
      </c>
      <c r="E1486" s="16" t="str">
        <f>정규화데이터!E1486</f>
        <v>SKU001</v>
      </c>
      <c r="F1486" s="3">
        <f>정규화데이터!F1486</f>
        <v>4</v>
      </c>
      <c r="G1486" s="3">
        <f>정규화데이터!G1486</f>
        <v>2</v>
      </c>
      <c r="H1486" s="3">
        <f>정규화데이터!H1486</f>
        <v>45500</v>
      </c>
      <c r="I1486" s="3">
        <f>정규화데이터!I1486</f>
        <v>91000</v>
      </c>
      <c r="J1486" s="3">
        <f>정규화데이터!J1486</f>
        <v>91000</v>
      </c>
      <c r="K1486" s="25" t="str">
        <f>정규화데이터!K1486</f>
        <v>[워커힐] 시그니처 양념갈비 300G</v>
      </c>
      <c r="L1486" s="25">
        <f>정규화데이터!L1486</f>
        <v>0</v>
      </c>
      <c r="M1486" s="21">
        <f t="shared" si="46"/>
        <v>91000</v>
      </c>
      <c r="N1486" s="52">
        <f t="shared" si="47"/>
        <v>1</v>
      </c>
    </row>
    <row r="1487" spans="1:14" x14ac:dyDescent="0.3">
      <c r="A1487" t="str">
        <f>정규화데이터!A1487</f>
        <v>리씽크</v>
      </c>
      <c r="B1487" t="str">
        <f>정규화데이터!B1487</f>
        <v>2026020911201560000</v>
      </c>
      <c r="C1487" t="str">
        <f>정규화데이터!C1487</f>
        <v>2026-02-09</v>
      </c>
      <c r="D1487">
        <f>정규화데이터!D1487</f>
        <v>143790</v>
      </c>
      <c r="E1487" s="16" t="str">
        <f>정규화데이터!E1487</f>
        <v>SKU001</v>
      </c>
      <c r="F1487" s="3">
        <f>정규화데이터!F1487</f>
        <v>4</v>
      </c>
      <c r="G1487" s="3">
        <f>정규화데이터!G1487</f>
        <v>1</v>
      </c>
      <c r="H1487" s="3">
        <f>정규화데이터!H1487</f>
        <v>45500</v>
      </c>
      <c r="I1487" s="3">
        <f>정규화데이터!I1487</f>
        <v>45500</v>
      </c>
      <c r="J1487" s="3">
        <f>정규화데이터!J1487</f>
        <v>45500</v>
      </c>
      <c r="K1487" s="25" t="str">
        <f>정규화데이터!K1487</f>
        <v>[워커힐] 시그니처 양념갈비 300G</v>
      </c>
      <c r="L1487" s="25">
        <f>정규화데이터!L1487</f>
        <v>0</v>
      </c>
      <c r="M1487" s="21">
        <f t="shared" si="46"/>
        <v>45500</v>
      </c>
      <c r="N1487" s="52">
        <f t="shared" si="47"/>
        <v>1</v>
      </c>
    </row>
    <row r="1488" spans="1:14" x14ac:dyDescent="0.3">
      <c r="A1488" t="str">
        <f>정규화데이터!A1488</f>
        <v>리씽크</v>
      </c>
      <c r="B1488" t="str">
        <f>정규화데이터!B1488</f>
        <v>2026020911091120000</v>
      </c>
      <c r="C1488" t="str">
        <f>정규화데이터!C1488</f>
        <v>2026-02-09</v>
      </c>
      <c r="D1488">
        <f>정규화데이터!D1488</f>
        <v>143790</v>
      </c>
      <c r="E1488" s="16" t="str">
        <f>정규화데이터!E1488</f>
        <v>SKU001</v>
      </c>
      <c r="F1488" s="3">
        <f>정규화데이터!F1488</f>
        <v>4</v>
      </c>
      <c r="G1488" s="3">
        <f>정규화데이터!G1488</f>
        <v>1</v>
      </c>
      <c r="H1488" s="3">
        <f>정규화데이터!H1488</f>
        <v>45500</v>
      </c>
      <c r="I1488" s="3">
        <f>정규화데이터!I1488</f>
        <v>45500</v>
      </c>
      <c r="J1488" s="3">
        <f>정규화데이터!J1488</f>
        <v>45500</v>
      </c>
      <c r="K1488" s="25" t="str">
        <f>정규화데이터!K1488</f>
        <v>[워커힐] 시그니처 양념갈비 300G</v>
      </c>
      <c r="L1488" s="25">
        <f>정규화데이터!L1488</f>
        <v>0</v>
      </c>
      <c r="M1488" s="21">
        <f t="shared" si="46"/>
        <v>45500</v>
      </c>
      <c r="N1488" s="52">
        <f t="shared" si="47"/>
        <v>1</v>
      </c>
    </row>
    <row r="1489" spans="1:14" x14ac:dyDescent="0.3">
      <c r="A1489" t="str">
        <f>정규화데이터!A1489</f>
        <v>리씽크</v>
      </c>
      <c r="B1489" t="str">
        <f>정규화데이터!B1489</f>
        <v>2026020910542050000</v>
      </c>
      <c r="C1489" t="str">
        <f>정규화데이터!C1489</f>
        <v>2026-02-09</v>
      </c>
      <c r="D1489">
        <f>정규화데이터!D1489</f>
        <v>143790</v>
      </c>
      <c r="E1489" s="16" t="str">
        <f>정규화데이터!E1489</f>
        <v>SKU001</v>
      </c>
      <c r="F1489" s="3">
        <f>정규화데이터!F1489</f>
        <v>4</v>
      </c>
      <c r="G1489" s="3">
        <f>정규화데이터!G1489</f>
        <v>1</v>
      </c>
      <c r="H1489" s="3">
        <f>정규화데이터!H1489</f>
        <v>45500</v>
      </c>
      <c r="I1489" s="3">
        <f>정규화데이터!I1489</f>
        <v>45500</v>
      </c>
      <c r="J1489" s="3">
        <f>정규화데이터!J1489</f>
        <v>45500</v>
      </c>
      <c r="K1489" s="25" t="str">
        <f>정규화데이터!K1489</f>
        <v>[워커힐] 시그니처 양념갈비 300G</v>
      </c>
      <c r="L1489" s="25">
        <f>정규화데이터!L1489</f>
        <v>0</v>
      </c>
      <c r="M1489" s="21">
        <f t="shared" si="46"/>
        <v>45500</v>
      </c>
      <c r="N1489" s="52">
        <f t="shared" si="47"/>
        <v>1</v>
      </c>
    </row>
    <row r="1490" spans="1:14" x14ac:dyDescent="0.3">
      <c r="A1490" t="str">
        <f>정규화데이터!A1490</f>
        <v>리씽크</v>
      </c>
      <c r="B1490" t="str">
        <f>정규화데이터!B1490</f>
        <v>2026020910273620000</v>
      </c>
      <c r="C1490" t="str">
        <f>정규화데이터!C1490</f>
        <v>2026-02-09</v>
      </c>
      <c r="D1490">
        <f>정규화데이터!D1490</f>
        <v>143790</v>
      </c>
      <c r="E1490" s="16" t="str">
        <f>정규화데이터!E1490</f>
        <v>SKU001</v>
      </c>
      <c r="F1490" s="3">
        <f>정규화데이터!F1490</f>
        <v>4</v>
      </c>
      <c r="G1490" s="3">
        <f>정규화데이터!G1490</f>
        <v>1</v>
      </c>
      <c r="H1490" s="3">
        <f>정규화데이터!H1490</f>
        <v>45500</v>
      </c>
      <c r="I1490" s="3">
        <f>정규화데이터!I1490</f>
        <v>45500</v>
      </c>
      <c r="J1490" s="3">
        <f>정규화데이터!J1490</f>
        <v>45500</v>
      </c>
      <c r="K1490" s="25" t="str">
        <f>정규화데이터!K1490</f>
        <v>[워커힐] 시그니처 양념갈비 300G</v>
      </c>
      <c r="L1490" s="25">
        <f>정규화데이터!L1490</f>
        <v>0</v>
      </c>
      <c r="M1490" s="21">
        <f t="shared" si="46"/>
        <v>45500</v>
      </c>
      <c r="N1490" s="52">
        <f t="shared" si="47"/>
        <v>1</v>
      </c>
    </row>
    <row r="1491" spans="1:14" x14ac:dyDescent="0.3">
      <c r="A1491" t="str">
        <f>정규화데이터!A1491</f>
        <v>리씽크</v>
      </c>
      <c r="B1491" t="str">
        <f>정규화데이터!B1491</f>
        <v>2026020814284460000</v>
      </c>
      <c r="C1491" t="str">
        <f>정규화데이터!C1491</f>
        <v>2026-02-08</v>
      </c>
      <c r="D1491">
        <f>정규화데이터!D1491</f>
        <v>143790</v>
      </c>
      <c r="E1491" s="16" t="str">
        <f>정규화데이터!E1491</f>
        <v>SKU001</v>
      </c>
      <c r="F1491" s="3">
        <f>정규화데이터!F1491</f>
        <v>4</v>
      </c>
      <c r="G1491" s="3">
        <f>정규화데이터!G1491</f>
        <v>1</v>
      </c>
      <c r="H1491" s="3">
        <f>정규화데이터!H1491</f>
        <v>45500</v>
      </c>
      <c r="I1491" s="3">
        <f>정규화데이터!I1491</f>
        <v>45500</v>
      </c>
      <c r="J1491" s="3">
        <f>정규화데이터!J1491</f>
        <v>45500</v>
      </c>
      <c r="K1491" s="25" t="str">
        <f>정규화데이터!K1491</f>
        <v>[워커힐] 시그니처 양념갈비 300G</v>
      </c>
      <c r="L1491" s="25">
        <f>정규화데이터!L1491</f>
        <v>0</v>
      </c>
      <c r="M1491" s="21">
        <f t="shared" si="46"/>
        <v>45500</v>
      </c>
      <c r="N1491" s="52">
        <f t="shared" si="47"/>
        <v>1</v>
      </c>
    </row>
    <row r="1492" spans="1:14" x14ac:dyDescent="0.3">
      <c r="A1492" t="str">
        <f>정규화데이터!A1492</f>
        <v>리씽크</v>
      </c>
      <c r="B1492" t="str">
        <f>정규화데이터!B1492</f>
        <v>2026020813362900000</v>
      </c>
      <c r="C1492" t="str">
        <f>정규화데이터!C1492</f>
        <v>2026-02-08</v>
      </c>
      <c r="D1492">
        <f>정규화데이터!D1492</f>
        <v>143790</v>
      </c>
      <c r="E1492" s="16" t="str">
        <f>정규화데이터!E1492</f>
        <v>SKU001</v>
      </c>
      <c r="F1492" s="3">
        <f>정규화데이터!F1492</f>
        <v>4</v>
      </c>
      <c r="G1492" s="3">
        <f>정규화데이터!G1492</f>
        <v>1</v>
      </c>
      <c r="H1492" s="3">
        <f>정규화데이터!H1492</f>
        <v>45500</v>
      </c>
      <c r="I1492" s="3">
        <f>정규화데이터!I1492</f>
        <v>45500</v>
      </c>
      <c r="J1492" s="3">
        <f>정규화데이터!J1492</f>
        <v>45500</v>
      </c>
      <c r="K1492" s="25" t="str">
        <f>정규화데이터!K1492</f>
        <v>[워커힐] 시그니처 양념갈비 300G</v>
      </c>
      <c r="L1492" s="25">
        <f>정규화데이터!L1492</f>
        <v>0</v>
      </c>
      <c r="M1492" s="21">
        <f t="shared" si="46"/>
        <v>45500</v>
      </c>
      <c r="N1492" s="52">
        <f t="shared" si="47"/>
        <v>1</v>
      </c>
    </row>
    <row r="1493" spans="1:14" x14ac:dyDescent="0.3">
      <c r="A1493" t="str">
        <f>정규화데이터!A1493</f>
        <v>리씽크</v>
      </c>
      <c r="B1493" t="str">
        <f>정규화데이터!B1493</f>
        <v>2026020714522710000</v>
      </c>
      <c r="C1493" t="str">
        <f>정규화데이터!C1493</f>
        <v>2026-02-07</v>
      </c>
      <c r="D1493">
        <f>정규화데이터!D1493</f>
        <v>143790</v>
      </c>
      <c r="E1493" s="16" t="str">
        <f>정규화데이터!E1493</f>
        <v>SKU001</v>
      </c>
      <c r="F1493" s="3">
        <f>정규화데이터!F1493</f>
        <v>4</v>
      </c>
      <c r="G1493" s="3">
        <f>정규화데이터!G1493</f>
        <v>1</v>
      </c>
      <c r="H1493" s="3">
        <f>정규화데이터!H1493</f>
        <v>45500</v>
      </c>
      <c r="I1493" s="3">
        <f>정규화데이터!I1493</f>
        <v>45500</v>
      </c>
      <c r="J1493" s="3">
        <f>정규화데이터!J1493</f>
        <v>45500</v>
      </c>
      <c r="K1493" s="25" t="str">
        <f>정규화데이터!K1493</f>
        <v>[워커힐] 시그니처 양념갈비 300G</v>
      </c>
      <c r="L1493" s="25">
        <f>정규화데이터!L1493</f>
        <v>0</v>
      </c>
      <c r="M1493" s="21">
        <f t="shared" si="46"/>
        <v>45500</v>
      </c>
      <c r="N1493" s="52">
        <f t="shared" si="47"/>
        <v>1</v>
      </c>
    </row>
    <row r="1494" spans="1:14" x14ac:dyDescent="0.3">
      <c r="A1494" t="str">
        <f>정규화데이터!A1494</f>
        <v>리씽크</v>
      </c>
      <c r="B1494" t="str">
        <f>정규화데이터!B1494</f>
        <v>2026020713373060000</v>
      </c>
      <c r="C1494" t="str">
        <f>정규화데이터!C1494</f>
        <v>2026-02-07</v>
      </c>
      <c r="D1494">
        <f>정규화데이터!D1494</f>
        <v>143790</v>
      </c>
      <c r="E1494" s="16" t="str">
        <f>정규화데이터!E1494</f>
        <v>SKU001</v>
      </c>
      <c r="F1494" s="3">
        <f>정규화데이터!F1494</f>
        <v>4</v>
      </c>
      <c r="G1494" s="3">
        <f>정규화데이터!G1494</f>
        <v>2</v>
      </c>
      <c r="H1494" s="3">
        <f>정규화데이터!H1494</f>
        <v>45500</v>
      </c>
      <c r="I1494" s="3">
        <f>정규화데이터!I1494</f>
        <v>91000</v>
      </c>
      <c r="J1494" s="3">
        <f>정규화데이터!J1494</f>
        <v>91000</v>
      </c>
      <c r="K1494" s="25" t="str">
        <f>정규화데이터!K1494</f>
        <v>[워커힐] 시그니처 양념갈비 300G</v>
      </c>
      <c r="L1494" s="25">
        <f>정규화데이터!L1494</f>
        <v>0</v>
      </c>
      <c r="M1494" s="21">
        <f t="shared" si="46"/>
        <v>91000</v>
      </c>
      <c r="N1494" s="52">
        <f t="shared" si="47"/>
        <v>1</v>
      </c>
    </row>
    <row r="1495" spans="1:14" x14ac:dyDescent="0.3">
      <c r="A1495" t="str">
        <f>정규화데이터!A1495</f>
        <v>리씽크</v>
      </c>
      <c r="B1495" t="str">
        <f>정규화데이터!B1495</f>
        <v>2026020709221760000</v>
      </c>
      <c r="C1495" t="str">
        <f>정규화데이터!C1495</f>
        <v>2026-02-07</v>
      </c>
      <c r="D1495">
        <f>정규화데이터!D1495</f>
        <v>143790</v>
      </c>
      <c r="E1495" s="16" t="str">
        <f>정규화데이터!E1495</f>
        <v>SKU001</v>
      </c>
      <c r="F1495" s="3">
        <f>정규화데이터!F1495</f>
        <v>4</v>
      </c>
      <c r="G1495" s="3">
        <f>정규화데이터!G1495</f>
        <v>1</v>
      </c>
      <c r="H1495" s="3">
        <f>정규화데이터!H1495</f>
        <v>45500</v>
      </c>
      <c r="I1495" s="3">
        <f>정규화데이터!I1495</f>
        <v>45500</v>
      </c>
      <c r="J1495" s="3">
        <f>정규화데이터!J1495</f>
        <v>45500</v>
      </c>
      <c r="K1495" s="25" t="str">
        <f>정규화데이터!K1495</f>
        <v>[워커힐] 시그니처 양념갈비 300G</v>
      </c>
      <c r="L1495" s="25">
        <f>정규화데이터!L1495</f>
        <v>0</v>
      </c>
      <c r="M1495" s="21">
        <f t="shared" si="46"/>
        <v>45500</v>
      </c>
      <c r="N1495" s="52">
        <f t="shared" si="47"/>
        <v>1</v>
      </c>
    </row>
    <row r="1496" spans="1:14" x14ac:dyDescent="0.3">
      <c r="A1496" t="str">
        <f>정규화데이터!A1496</f>
        <v>리씽크</v>
      </c>
      <c r="B1496" t="str">
        <f>정규화데이터!B1496</f>
        <v>2026020604020020000</v>
      </c>
      <c r="C1496" t="str">
        <f>정규화데이터!C1496</f>
        <v>2026-02-06</v>
      </c>
      <c r="D1496">
        <f>정규화데이터!D1496</f>
        <v>143790</v>
      </c>
      <c r="E1496" s="16" t="str">
        <f>정규화데이터!E1496</f>
        <v>SKU001</v>
      </c>
      <c r="F1496" s="3">
        <f>정규화데이터!F1496</f>
        <v>4</v>
      </c>
      <c r="G1496" s="3">
        <f>정규화데이터!G1496</f>
        <v>1</v>
      </c>
      <c r="H1496" s="3">
        <f>정규화데이터!H1496</f>
        <v>45500</v>
      </c>
      <c r="I1496" s="3">
        <f>정규화데이터!I1496</f>
        <v>45500</v>
      </c>
      <c r="J1496" s="3">
        <f>정규화데이터!J1496</f>
        <v>45500</v>
      </c>
      <c r="K1496" s="25" t="str">
        <f>정규화데이터!K1496</f>
        <v>[워커힐] 시그니처 양념갈비 300G</v>
      </c>
      <c r="L1496" s="25">
        <f>정규화데이터!L1496</f>
        <v>0</v>
      </c>
      <c r="M1496" s="21">
        <f t="shared" si="46"/>
        <v>45500</v>
      </c>
      <c r="N1496" s="52">
        <f t="shared" si="47"/>
        <v>1</v>
      </c>
    </row>
    <row r="1497" spans="1:14" x14ac:dyDescent="0.3">
      <c r="A1497" t="str">
        <f>정규화데이터!A1497</f>
        <v>리씽크</v>
      </c>
      <c r="B1497" t="str">
        <f>정규화데이터!B1497</f>
        <v>2026020603283530000</v>
      </c>
      <c r="C1497" t="str">
        <f>정규화데이터!C1497</f>
        <v>2026-02-06</v>
      </c>
      <c r="D1497">
        <f>정규화데이터!D1497</f>
        <v>143790</v>
      </c>
      <c r="E1497" s="16" t="str">
        <f>정규화데이터!E1497</f>
        <v>SKU001</v>
      </c>
      <c r="F1497" s="3">
        <f>정규화데이터!F1497</f>
        <v>4</v>
      </c>
      <c r="G1497" s="3">
        <f>정규화데이터!G1497</f>
        <v>1</v>
      </c>
      <c r="H1497" s="3">
        <f>정규화데이터!H1497</f>
        <v>45500</v>
      </c>
      <c r="I1497" s="3">
        <f>정규화데이터!I1497</f>
        <v>45500</v>
      </c>
      <c r="J1497" s="3">
        <f>정규화데이터!J1497</f>
        <v>45500</v>
      </c>
      <c r="K1497" s="25" t="str">
        <f>정규화데이터!K1497</f>
        <v>[워커힐] 시그니처 양념갈비 300G</v>
      </c>
      <c r="L1497" s="25">
        <f>정규화데이터!L1497</f>
        <v>0</v>
      </c>
      <c r="M1497" s="21">
        <f t="shared" si="46"/>
        <v>45500</v>
      </c>
      <c r="N1497" s="52">
        <f t="shared" si="47"/>
        <v>1</v>
      </c>
    </row>
    <row r="1498" spans="1:14" x14ac:dyDescent="0.3">
      <c r="A1498" t="str">
        <f>정규화데이터!A1498</f>
        <v>리씽크</v>
      </c>
      <c r="B1498" t="str">
        <f>정규화데이터!B1498</f>
        <v>2026020509415660000</v>
      </c>
      <c r="C1498" t="str">
        <f>정규화데이터!C1498</f>
        <v>2026-02-05</v>
      </c>
      <c r="D1498">
        <f>정규화데이터!D1498</f>
        <v>143790</v>
      </c>
      <c r="E1498" s="16" t="str">
        <f>정규화데이터!E1498</f>
        <v>SKU001</v>
      </c>
      <c r="F1498" s="3">
        <f>정규화데이터!F1498</f>
        <v>4</v>
      </c>
      <c r="G1498" s="3">
        <f>정규화데이터!G1498</f>
        <v>1</v>
      </c>
      <c r="H1498" s="3">
        <f>정규화데이터!H1498</f>
        <v>45500</v>
      </c>
      <c r="I1498" s="3">
        <f>정규화데이터!I1498</f>
        <v>45500</v>
      </c>
      <c r="J1498" s="3">
        <f>정규화데이터!J1498</f>
        <v>45500</v>
      </c>
      <c r="K1498" s="25" t="str">
        <f>정규화데이터!K1498</f>
        <v>[워커힐] 시그니처 양념갈비 300G</v>
      </c>
      <c r="L1498" s="25">
        <f>정규화데이터!L1498</f>
        <v>0</v>
      </c>
      <c r="M1498" s="21">
        <f t="shared" si="46"/>
        <v>45500</v>
      </c>
      <c r="N1498" s="52">
        <f t="shared" si="47"/>
        <v>1</v>
      </c>
    </row>
    <row r="1499" spans="1:14" x14ac:dyDescent="0.3">
      <c r="A1499" t="str">
        <f>정규화데이터!A1499</f>
        <v>리씽크</v>
      </c>
      <c r="B1499" t="str">
        <f>정규화데이터!B1499</f>
        <v>2026021011000810000</v>
      </c>
      <c r="C1499" t="str">
        <f>정규화데이터!C1499</f>
        <v>2026-02-10</v>
      </c>
      <c r="D1499">
        <f>정규화데이터!D1499</f>
        <v>143812</v>
      </c>
      <c r="E1499" s="16" t="str">
        <f>정규화데이터!E1499</f>
        <v>SKU001</v>
      </c>
      <c r="F1499" s="3">
        <f>정규화데이터!F1499</f>
        <v>2</v>
      </c>
      <c r="G1499" s="3">
        <f>정규화데이터!G1499</f>
        <v>1</v>
      </c>
      <c r="H1499" s="3">
        <f>정규화데이터!H1499</f>
        <v>45500</v>
      </c>
      <c r="I1499" s="3">
        <f>정규화데이터!I1499</f>
        <v>45500</v>
      </c>
      <c r="J1499" s="3">
        <f>정규화데이터!J1499</f>
        <v>45500</v>
      </c>
      <c r="K1499" s="25" t="str">
        <f>정규화데이터!K1499</f>
        <v>[워커힐] 시그니처 양념갈비 300G</v>
      </c>
      <c r="L1499" s="25">
        <f>정규화데이터!L1499</f>
        <v>0</v>
      </c>
      <c r="M1499" s="21">
        <f t="shared" si="46"/>
        <v>45500</v>
      </c>
      <c r="N1499" s="52">
        <f t="shared" si="47"/>
        <v>1</v>
      </c>
    </row>
    <row r="1500" spans="1:14" x14ac:dyDescent="0.3">
      <c r="A1500" t="str">
        <f>정규화데이터!A1500</f>
        <v>리씽크</v>
      </c>
      <c r="B1500" t="str">
        <f>정규화데이터!B1500</f>
        <v>2026021010503510000</v>
      </c>
      <c r="C1500" t="str">
        <f>정규화데이터!C1500</f>
        <v>2026-02-10</v>
      </c>
      <c r="D1500">
        <f>정규화데이터!D1500</f>
        <v>143812</v>
      </c>
      <c r="E1500" s="16" t="str">
        <f>정규화데이터!E1500</f>
        <v>SKU001</v>
      </c>
      <c r="F1500" s="3">
        <f>정규화데이터!F1500</f>
        <v>2</v>
      </c>
      <c r="G1500" s="3">
        <f>정규화데이터!G1500</f>
        <v>1</v>
      </c>
      <c r="H1500" s="3">
        <f>정규화데이터!H1500</f>
        <v>45500</v>
      </c>
      <c r="I1500" s="3">
        <f>정규화데이터!I1500</f>
        <v>45500</v>
      </c>
      <c r="J1500" s="3">
        <f>정규화데이터!J1500</f>
        <v>45500</v>
      </c>
      <c r="K1500" s="25" t="str">
        <f>정규화데이터!K1500</f>
        <v>[워커힐] 시그니처 양념갈비 300G</v>
      </c>
      <c r="L1500" s="25">
        <f>정규화데이터!L1500</f>
        <v>0</v>
      </c>
      <c r="M1500" s="21">
        <f t="shared" si="46"/>
        <v>45500</v>
      </c>
      <c r="N1500" s="52">
        <f t="shared" si="47"/>
        <v>1</v>
      </c>
    </row>
    <row r="1501" spans="1:14" x14ac:dyDescent="0.3">
      <c r="A1501" t="str">
        <f>정규화데이터!A1501</f>
        <v>리씽크</v>
      </c>
      <c r="B1501" t="str">
        <f>정규화데이터!B1501</f>
        <v>2026021010410350000</v>
      </c>
      <c r="C1501" t="str">
        <f>정규화데이터!C1501</f>
        <v>2026-02-10</v>
      </c>
      <c r="D1501">
        <f>정규화데이터!D1501</f>
        <v>143812</v>
      </c>
      <c r="E1501" s="16" t="str">
        <f>정규화데이터!E1501</f>
        <v>SKU001</v>
      </c>
      <c r="F1501" s="3">
        <f>정규화데이터!F1501</f>
        <v>2</v>
      </c>
      <c r="G1501" s="3">
        <f>정규화데이터!G1501</f>
        <v>2</v>
      </c>
      <c r="H1501" s="3">
        <f>정규화데이터!H1501</f>
        <v>45500</v>
      </c>
      <c r="I1501" s="3">
        <f>정규화데이터!I1501</f>
        <v>91000</v>
      </c>
      <c r="J1501" s="3">
        <f>정규화데이터!J1501</f>
        <v>91000</v>
      </c>
      <c r="K1501" s="25" t="str">
        <f>정규화데이터!K1501</f>
        <v>[워커힐] 시그니처 양념갈비 300G</v>
      </c>
      <c r="L1501" s="25">
        <f>정규화데이터!L1501</f>
        <v>0</v>
      </c>
      <c r="M1501" s="21">
        <f t="shared" si="46"/>
        <v>91000</v>
      </c>
      <c r="N1501" s="52">
        <f t="shared" si="47"/>
        <v>1</v>
      </c>
    </row>
    <row r="1502" spans="1:14" x14ac:dyDescent="0.3">
      <c r="A1502" t="str">
        <f>정규화데이터!A1502</f>
        <v>리씽크</v>
      </c>
      <c r="B1502" t="str">
        <f>정규화데이터!B1502</f>
        <v>2026021010245150000</v>
      </c>
      <c r="C1502" t="str">
        <f>정규화데이터!C1502</f>
        <v>2026-02-10</v>
      </c>
      <c r="D1502">
        <f>정규화데이터!D1502</f>
        <v>143812</v>
      </c>
      <c r="E1502" s="16" t="str">
        <f>정규화데이터!E1502</f>
        <v>SKU001</v>
      </c>
      <c r="F1502" s="3">
        <f>정규화데이터!F1502</f>
        <v>2</v>
      </c>
      <c r="G1502" s="3">
        <f>정규화데이터!G1502</f>
        <v>2</v>
      </c>
      <c r="H1502" s="3">
        <f>정규화데이터!H1502</f>
        <v>45500</v>
      </c>
      <c r="I1502" s="3">
        <f>정규화데이터!I1502</f>
        <v>91000</v>
      </c>
      <c r="J1502" s="3">
        <f>정규화데이터!J1502</f>
        <v>91000</v>
      </c>
      <c r="K1502" s="25" t="str">
        <f>정규화데이터!K1502</f>
        <v>[워커힐] 시그니처 양념갈비 300G</v>
      </c>
      <c r="L1502" s="25">
        <f>정규화데이터!L1502</f>
        <v>0</v>
      </c>
      <c r="M1502" s="21">
        <f t="shared" si="46"/>
        <v>91000</v>
      </c>
      <c r="N1502" s="52">
        <f t="shared" si="47"/>
        <v>1</v>
      </c>
    </row>
    <row r="1503" spans="1:14" x14ac:dyDescent="0.3">
      <c r="A1503" t="str">
        <f>정규화데이터!A1503</f>
        <v>리씽크</v>
      </c>
      <c r="B1503" t="str">
        <f>정규화데이터!B1503</f>
        <v>2026021008120310000</v>
      </c>
      <c r="C1503" t="str">
        <f>정규화데이터!C1503</f>
        <v>2026-02-10</v>
      </c>
      <c r="D1503">
        <f>정규화데이터!D1503</f>
        <v>143812</v>
      </c>
      <c r="E1503" s="16" t="str">
        <f>정규화데이터!E1503</f>
        <v>SKU001</v>
      </c>
      <c r="F1503" s="3">
        <f>정규화데이터!F1503</f>
        <v>2</v>
      </c>
      <c r="G1503" s="3">
        <f>정규화데이터!G1503</f>
        <v>1</v>
      </c>
      <c r="H1503" s="3">
        <f>정규화데이터!H1503</f>
        <v>45500</v>
      </c>
      <c r="I1503" s="3">
        <f>정규화데이터!I1503</f>
        <v>45500</v>
      </c>
      <c r="J1503" s="3">
        <f>정규화데이터!J1503</f>
        <v>45500</v>
      </c>
      <c r="K1503" s="25" t="str">
        <f>정규화데이터!K1503</f>
        <v>[워커힐] 시그니처 양념갈비 300G</v>
      </c>
      <c r="L1503" s="25">
        <f>정규화데이터!L1503</f>
        <v>0</v>
      </c>
      <c r="M1503" s="21">
        <f t="shared" si="46"/>
        <v>45500</v>
      </c>
      <c r="N1503" s="52">
        <f t="shared" si="47"/>
        <v>1</v>
      </c>
    </row>
    <row r="1504" spans="1:14" x14ac:dyDescent="0.3">
      <c r="A1504" t="str">
        <f>정규화데이터!A1504</f>
        <v>리씽크</v>
      </c>
      <c r="B1504" t="str">
        <f>정규화데이터!B1504</f>
        <v>2026020919050570000</v>
      </c>
      <c r="C1504" t="str">
        <f>정규화데이터!C1504</f>
        <v>2026-02-09</v>
      </c>
      <c r="D1504">
        <f>정규화데이터!D1504</f>
        <v>143812</v>
      </c>
      <c r="E1504" s="16" t="str">
        <f>정규화데이터!E1504</f>
        <v>SKU001</v>
      </c>
      <c r="F1504" s="3">
        <f>정규화데이터!F1504</f>
        <v>2</v>
      </c>
      <c r="G1504" s="3">
        <f>정규화데이터!G1504</f>
        <v>1</v>
      </c>
      <c r="H1504" s="3">
        <f>정규화데이터!H1504</f>
        <v>45500</v>
      </c>
      <c r="I1504" s="3">
        <f>정규화데이터!I1504</f>
        <v>45500</v>
      </c>
      <c r="J1504" s="3">
        <f>정규화데이터!J1504</f>
        <v>45500</v>
      </c>
      <c r="K1504" s="25" t="str">
        <f>정규화데이터!K1504</f>
        <v>[워커힐] 시그니처 양념갈비 300G</v>
      </c>
      <c r="L1504" s="25">
        <f>정규화데이터!L1504</f>
        <v>0</v>
      </c>
      <c r="M1504" s="21">
        <f t="shared" si="46"/>
        <v>45500</v>
      </c>
      <c r="N1504" s="52">
        <f t="shared" si="47"/>
        <v>1</v>
      </c>
    </row>
    <row r="1505" spans="1:14" x14ac:dyDescent="0.3">
      <c r="A1505" t="str">
        <f>정규화데이터!A1505</f>
        <v>리씽크</v>
      </c>
      <c r="B1505" t="str">
        <f>정규화데이터!B1505</f>
        <v>2026020918062360000</v>
      </c>
      <c r="C1505" t="str">
        <f>정규화데이터!C1505</f>
        <v>2026-02-09</v>
      </c>
      <c r="D1505">
        <f>정규화데이터!D1505</f>
        <v>143812</v>
      </c>
      <c r="E1505" s="16" t="str">
        <f>정규화데이터!E1505</f>
        <v>SKU001</v>
      </c>
      <c r="F1505" s="3">
        <f>정규화데이터!F1505</f>
        <v>2</v>
      </c>
      <c r="G1505" s="3">
        <f>정규화데이터!G1505</f>
        <v>1</v>
      </c>
      <c r="H1505" s="3">
        <f>정규화데이터!H1505</f>
        <v>45500</v>
      </c>
      <c r="I1505" s="3">
        <f>정규화데이터!I1505</f>
        <v>45500</v>
      </c>
      <c r="J1505" s="3">
        <f>정규화데이터!J1505</f>
        <v>45500</v>
      </c>
      <c r="K1505" s="25" t="str">
        <f>정규화데이터!K1505</f>
        <v>[워커힐] 시그니처 양념갈비 300G</v>
      </c>
      <c r="L1505" s="25">
        <f>정규화데이터!L1505</f>
        <v>0</v>
      </c>
      <c r="M1505" s="21">
        <f t="shared" si="46"/>
        <v>45500</v>
      </c>
      <c r="N1505" s="52">
        <f t="shared" si="47"/>
        <v>1</v>
      </c>
    </row>
    <row r="1506" spans="1:14" x14ac:dyDescent="0.3">
      <c r="A1506" t="str">
        <f>정규화데이터!A1506</f>
        <v>리씽크</v>
      </c>
      <c r="B1506" t="str">
        <f>정규화데이터!B1506</f>
        <v>2026020917534670000</v>
      </c>
      <c r="C1506" t="str">
        <f>정규화데이터!C1506</f>
        <v>2026-02-09</v>
      </c>
      <c r="D1506">
        <f>정규화데이터!D1506</f>
        <v>143812</v>
      </c>
      <c r="E1506" s="16" t="str">
        <f>정규화데이터!E1506</f>
        <v>SKU001</v>
      </c>
      <c r="F1506" s="3">
        <f>정규화데이터!F1506</f>
        <v>2</v>
      </c>
      <c r="G1506" s="3">
        <f>정규화데이터!G1506</f>
        <v>1</v>
      </c>
      <c r="H1506" s="3">
        <f>정규화데이터!H1506</f>
        <v>45500</v>
      </c>
      <c r="I1506" s="3">
        <f>정규화데이터!I1506</f>
        <v>45500</v>
      </c>
      <c r="J1506" s="3">
        <f>정규화데이터!J1506</f>
        <v>45500</v>
      </c>
      <c r="K1506" s="25" t="str">
        <f>정규화데이터!K1506</f>
        <v>[워커힐] 시그니처 양념갈비 300G</v>
      </c>
      <c r="L1506" s="25">
        <f>정규화데이터!L1506</f>
        <v>0</v>
      </c>
      <c r="M1506" s="21">
        <f t="shared" si="46"/>
        <v>45500</v>
      </c>
      <c r="N1506" s="52">
        <f t="shared" si="47"/>
        <v>1</v>
      </c>
    </row>
    <row r="1507" spans="1:14" x14ac:dyDescent="0.3">
      <c r="A1507" t="str">
        <f>정규화데이터!A1507</f>
        <v>리씽크</v>
      </c>
      <c r="B1507" t="str">
        <f>정규화데이터!B1507</f>
        <v>2026020916550220000</v>
      </c>
      <c r="C1507" t="str">
        <f>정규화데이터!C1507</f>
        <v>2026-02-09</v>
      </c>
      <c r="D1507">
        <f>정규화데이터!D1507</f>
        <v>143812</v>
      </c>
      <c r="E1507" s="16" t="str">
        <f>정규화데이터!E1507</f>
        <v>SKU001</v>
      </c>
      <c r="F1507" s="3">
        <f>정규화데이터!F1507</f>
        <v>2</v>
      </c>
      <c r="G1507" s="3">
        <f>정규화데이터!G1507</f>
        <v>1</v>
      </c>
      <c r="H1507" s="3">
        <f>정규화데이터!H1507</f>
        <v>45500</v>
      </c>
      <c r="I1507" s="3">
        <f>정규화데이터!I1507</f>
        <v>45500</v>
      </c>
      <c r="J1507" s="3">
        <f>정규화데이터!J1507</f>
        <v>45500</v>
      </c>
      <c r="K1507" s="25" t="str">
        <f>정규화데이터!K1507</f>
        <v>[워커힐] 시그니처 양념갈비 300G</v>
      </c>
      <c r="L1507" s="25">
        <f>정규화데이터!L1507</f>
        <v>0</v>
      </c>
      <c r="M1507" s="21">
        <f t="shared" si="46"/>
        <v>45500</v>
      </c>
      <c r="N1507" s="52">
        <f t="shared" si="47"/>
        <v>1</v>
      </c>
    </row>
    <row r="1508" spans="1:14" x14ac:dyDescent="0.3">
      <c r="A1508" t="str">
        <f>정규화데이터!A1508</f>
        <v>리씽크</v>
      </c>
      <c r="B1508" t="str">
        <f>정규화데이터!B1508</f>
        <v>2026020912214720000</v>
      </c>
      <c r="C1508" t="str">
        <f>정규화데이터!C1508</f>
        <v>2026-02-09</v>
      </c>
      <c r="D1508">
        <f>정규화데이터!D1508</f>
        <v>143812</v>
      </c>
      <c r="E1508" s="16" t="str">
        <f>정규화데이터!E1508</f>
        <v>SKU001</v>
      </c>
      <c r="F1508" s="3">
        <f>정규화데이터!F1508</f>
        <v>2</v>
      </c>
      <c r="G1508" s="3">
        <f>정규화데이터!G1508</f>
        <v>1</v>
      </c>
      <c r="H1508" s="3">
        <f>정규화데이터!H1508</f>
        <v>45500</v>
      </c>
      <c r="I1508" s="3">
        <f>정규화데이터!I1508</f>
        <v>45500</v>
      </c>
      <c r="J1508" s="3">
        <f>정규화데이터!J1508</f>
        <v>45500</v>
      </c>
      <c r="K1508" s="25" t="str">
        <f>정규화데이터!K1508</f>
        <v>[워커힐] 시그니처 양념갈비 300G</v>
      </c>
      <c r="L1508" s="25">
        <f>정규화데이터!L1508</f>
        <v>0</v>
      </c>
      <c r="M1508" s="21">
        <f t="shared" si="46"/>
        <v>45500</v>
      </c>
      <c r="N1508" s="52">
        <f t="shared" si="47"/>
        <v>1</v>
      </c>
    </row>
    <row r="1509" spans="1:14" x14ac:dyDescent="0.3">
      <c r="A1509" t="str">
        <f>정규화데이터!A1509</f>
        <v>리씽크</v>
      </c>
      <c r="B1509" t="str">
        <f>정규화데이터!B1509</f>
        <v>2026020922501460000</v>
      </c>
      <c r="C1509" t="str">
        <f>정규화데이터!C1509</f>
        <v>2026-02-09</v>
      </c>
      <c r="D1509">
        <f>정규화데이터!D1509</f>
        <v>143790</v>
      </c>
      <c r="E1509" s="16" t="str">
        <f>정규화데이터!E1509</f>
        <v>SKU001</v>
      </c>
      <c r="F1509" s="3">
        <f>정규화데이터!F1509</f>
        <v>4</v>
      </c>
      <c r="G1509" s="3">
        <f>정규화데이터!G1509</f>
        <v>1</v>
      </c>
      <c r="H1509" s="3">
        <f>정규화데이터!H1509</f>
        <v>63000</v>
      </c>
      <c r="I1509" s="3">
        <f>정규화데이터!I1509</f>
        <v>63000</v>
      </c>
      <c r="J1509" s="3">
        <f>정규화데이터!J1509</f>
        <v>63000</v>
      </c>
      <c r="K1509" s="25" t="str">
        <f>정규화데이터!K1509</f>
        <v>[워커힐] 시그니처 양념갈비 300G</v>
      </c>
      <c r="L1509" s="25" t="e">
        <f>정규화데이터!L1509</f>
        <v>#VALUE!</v>
      </c>
      <c r="M1509" s="21" t="e">
        <f t="shared" si="46"/>
        <v>#VALUE!</v>
      </c>
      <c r="N1509" s="52" t="e">
        <f t="shared" si="47"/>
        <v>#VALUE!</v>
      </c>
    </row>
    <row r="1510" spans="1:14" x14ac:dyDescent="0.3">
      <c r="A1510" t="str">
        <f>정규화데이터!A1510</f>
        <v>리씽크</v>
      </c>
      <c r="B1510" t="str">
        <f>정규화데이터!B1510</f>
        <v>2026020919155720000</v>
      </c>
      <c r="C1510" t="str">
        <f>정규화데이터!C1510</f>
        <v>2026-02-09</v>
      </c>
      <c r="D1510">
        <f>정규화데이터!D1510</f>
        <v>143790</v>
      </c>
      <c r="E1510" s="16" t="str">
        <f>정규화데이터!E1510</f>
        <v>SKU001</v>
      </c>
      <c r="F1510" s="3">
        <f>정규화데이터!F1510</f>
        <v>4</v>
      </c>
      <c r="G1510" s="3">
        <f>정규화데이터!G1510</f>
        <v>1</v>
      </c>
      <c r="H1510" s="3">
        <f>정규화데이터!H1510</f>
        <v>63000</v>
      </c>
      <c r="I1510" s="3">
        <f>정규화데이터!I1510</f>
        <v>63000</v>
      </c>
      <c r="J1510" s="3">
        <f>정규화데이터!J1510</f>
        <v>63000</v>
      </c>
      <c r="K1510" s="25" t="str">
        <f>정규화데이터!K1510</f>
        <v>[워커힐] 시그니처 양념갈비 300G</v>
      </c>
      <c r="L1510" s="25" t="e">
        <f>정규화데이터!L1510</f>
        <v>#VALUE!</v>
      </c>
      <c r="M1510" s="21" t="e">
        <f t="shared" si="46"/>
        <v>#VALUE!</v>
      </c>
      <c r="N1510" s="52" t="e">
        <f t="shared" si="47"/>
        <v>#VALUE!</v>
      </c>
    </row>
    <row r="1511" spans="1:14" x14ac:dyDescent="0.3">
      <c r="A1511" t="str">
        <f>정규화데이터!A1511</f>
        <v>리씽크</v>
      </c>
      <c r="B1511" t="str">
        <f>정규화데이터!B1511</f>
        <v>2026020917352060000</v>
      </c>
      <c r="C1511" t="str">
        <f>정규화데이터!C1511</f>
        <v>2026-02-09</v>
      </c>
      <c r="D1511">
        <f>정규화데이터!D1511</f>
        <v>143790</v>
      </c>
      <c r="E1511" s="16" t="str">
        <f>정규화데이터!E1511</f>
        <v>SKU001</v>
      </c>
      <c r="F1511" s="3">
        <f>정규화데이터!F1511</f>
        <v>4</v>
      </c>
      <c r="G1511" s="3">
        <f>정규화데이터!G1511</f>
        <v>1</v>
      </c>
      <c r="H1511" s="3">
        <f>정규화데이터!H1511</f>
        <v>63000</v>
      </c>
      <c r="I1511" s="3">
        <f>정규화데이터!I1511</f>
        <v>63000</v>
      </c>
      <c r="J1511" s="3">
        <f>정규화데이터!J1511</f>
        <v>63000</v>
      </c>
      <c r="K1511" s="25" t="str">
        <f>정규화데이터!K1511</f>
        <v>[워커힐] 시그니처 양념갈비 300G</v>
      </c>
      <c r="L1511" s="25" t="e">
        <f>정규화데이터!L1511</f>
        <v>#VALUE!</v>
      </c>
      <c r="M1511" s="21" t="e">
        <f t="shared" si="46"/>
        <v>#VALUE!</v>
      </c>
      <c r="N1511" s="52" t="e">
        <f t="shared" si="47"/>
        <v>#VALUE!</v>
      </c>
    </row>
    <row r="1512" spans="1:14" x14ac:dyDescent="0.3">
      <c r="A1512" t="str">
        <f>정규화데이터!A1512</f>
        <v>리씽크</v>
      </c>
      <c r="B1512" t="str">
        <f>정규화데이터!B1512</f>
        <v>2026020912572770000</v>
      </c>
      <c r="C1512" t="str">
        <f>정규화데이터!C1512</f>
        <v>2026-02-09</v>
      </c>
      <c r="D1512">
        <f>정규화데이터!D1512</f>
        <v>143790</v>
      </c>
      <c r="E1512" s="16" t="str">
        <f>정규화데이터!E1512</f>
        <v>SKU001</v>
      </c>
      <c r="F1512" s="3">
        <f>정규화데이터!F1512</f>
        <v>4</v>
      </c>
      <c r="G1512" s="3">
        <f>정규화데이터!G1512</f>
        <v>1</v>
      </c>
      <c r="H1512" s="3">
        <f>정규화데이터!H1512</f>
        <v>63000</v>
      </c>
      <c r="I1512" s="3">
        <f>정규화데이터!I1512</f>
        <v>63000</v>
      </c>
      <c r="J1512" s="3">
        <f>정규화데이터!J1512</f>
        <v>63000</v>
      </c>
      <c r="K1512" s="25" t="str">
        <f>정규화데이터!K1512</f>
        <v>[워커힐] 시그니처 양념갈비 300G</v>
      </c>
      <c r="L1512" s="25" t="e">
        <f>정규화데이터!L1512</f>
        <v>#VALUE!</v>
      </c>
      <c r="M1512" s="21" t="e">
        <f t="shared" si="46"/>
        <v>#VALUE!</v>
      </c>
      <c r="N1512" s="52" t="e">
        <f t="shared" si="47"/>
        <v>#VALUE!</v>
      </c>
    </row>
    <row r="1513" spans="1:14" x14ac:dyDescent="0.3">
      <c r="A1513" t="str">
        <f>정규화데이터!A1513</f>
        <v>리씽크</v>
      </c>
      <c r="B1513" t="str">
        <f>정규화데이터!B1513</f>
        <v>2026020614341720000</v>
      </c>
      <c r="C1513" t="str">
        <f>정규화데이터!C1513</f>
        <v>2026-02-06</v>
      </c>
      <c r="D1513">
        <f>정규화데이터!D1513</f>
        <v>143790</v>
      </c>
      <c r="E1513" s="16" t="str">
        <f>정규화데이터!E1513</f>
        <v>SKU001</v>
      </c>
      <c r="F1513" s="3">
        <f>정규화데이터!F1513</f>
        <v>4</v>
      </c>
      <c r="G1513" s="3">
        <f>정규화데이터!G1513</f>
        <v>2</v>
      </c>
      <c r="H1513" s="3">
        <f>정규화데이터!H1513</f>
        <v>63000</v>
      </c>
      <c r="I1513" s="3">
        <f>정규화데이터!I1513</f>
        <v>126000</v>
      </c>
      <c r="J1513" s="3">
        <f>정규화데이터!J1513</f>
        <v>126000</v>
      </c>
      <c r="K1513" s="25" t="str">
        <f>정규화데이터!K1513</f>
        <v>[워커힐] 시그니처 양념갈비 300G</v>
      </c>
      <c r="L1513" s="25" t="e">
        <f>정규화데이터!L1513</f>
        <v>#VALUE!</v>
      </c>
      <c r="M1513" s="21" t="e">
        <f t="shared" si="46"/>
        <v>#VALUE!</v>
      </c>
      <c r="N1513" s="52" t="e">
        <f t="shared" si="47"/>
        <v>#VALUE!</v>
      </c>
    </row>
    <row r="1514" spans="1:14" x14ac:dyDescent="0.3">
      <c r="A1514" t="str">
        <f>정규화데이터!A1514</f>
        <v>리씽크</v>
      </c>
      <c r="B1514" t="str">
        <f>정규화데이터!B1514</f>
        <v>2026021109455140000</v>
      </c>
      <c r="C1514" t="str">
        <f>정규화데이터!C1514</f>
        <v>2026-02-11</v>
      </c>
      <c r="D1514">
        <f>정규화데이터!D1514</f>
        <v>143790</v>
      </c>
      <c r="E1514" s="16" t="str">
        <f>정규화데이터!E1514</f>
        <v>SKU001</v>
      </c>
      <c r="F1514" s="3">
        <f>정규화데이터!F1514</f>
        <v>4</v>
      </c>
      <c r="G1514" s="3">
        <f>정규화데이터!G1514</f>
        <v>1</v>
      </c>
      <c r="H1514" s="3">
        <f>정규화데이터!H1514</f>
        <v>45500</v>
      </c>
      <c r="I1514" s="3">
        <f>정규화데이터!I1514</f>
        <v>45500</v>
      </c>
      <c r="J1514" s="3">
        <f>정규화데이터!J1514</f>
        <v>45500</v>
      </c>
      <c r="K1514" s="25" t="str">
        <f>정규화데이터!K1514</f>
        <v>[워커힐] 시그니처 양념갈비 300G</v>
      </c>
      <c r="L1514" s="25">
        <f>정규화데이터!L1514</f>
        <v>0</v>
      </c>
      <c r="M1514" s="21">
        <f t="shared" si="46"/>
        <v>45500</v>
      </c>
      <c r="N1514" s="52">
        <f t="shared" si="47"/>
        <v>1</v>
      </c>
    </row>
    <row r="1515" spans="1:14" x14ac:dyDescent="0.3">
      <c r="A1515" t="str">
        <f>정규화데이터!A1515</f>
        <v>리씽크</v>
      </c>
      <c r="B1515" t="str">
        <f>정규화데이터!B1515</f>
        <v>2026021109455870000</v>
      </c>
      <c r="C1515" t="str">
        <f>정규화데이터!C1515</f>
        <v>2026-02-11</v>
      </c>
      <c r="D1515">
        <f>정규화데이터!D1515</f>
        <v>143790</v>
      </c>
      <c r="E1515" s="16" t="str">
        <f>정규화데이터!E1515</f>
        <v>SKU001</v>
      </c>
      <c r="F1515" s="3">
        <f>정규화데이터!F1515</f>
        <v>4</v>
      </c>
      <c r="G1515" s="3">
        <f>정규화데이터!G1515</f>
        <v>1</v>
      </c>
      <c r="H1515" s="3">
        <f>정규화데이터!H1515</f>
        <v>45500</v>
      </c>
      <c r="I1515" s="3">
        <f>정규화데이터!I1515</f>
        <v>45500</v>
      </c>
      <c r="J1515" s="3">
        <f>정규화데이터!J1515</f>
        <v>45500</v>
      </c>
      <c r="K1515" s="25" t="str">
        <f>정규화데이터!K1515</f>
        <v>[워커힐] 시그니처 양념갈비 300G</v>
      </c>
      <c r="L1515" s="25">
        <f>정규화데이터!L1515</f>
        <v>0</v>
      </c>
      <c r="M1515" s="21">
        <f t="shared" si="46"/>
        <v>45500</v>
      </c>
      <c r="N1515" s="52">
        <f t="shared" si="47"/>
        <v>1</v>
      </c>
    </row>
    <row r="1516" spans="1:14" x14ac:dyDescent="0.3">
      <c r="A1516" t="str">
        <f>정규화데이터!A1516</f>
        <v>리씽크</v>
      </c>
      <c r="B1516" t="str">
        <f>정규화데이터!B1516</f>
        <v>2026021108110040000</v>
      </c>
      <c r="C1516" t="str">
        <f>정규화데이터!C1516</f>
        <v>2026-02-11</v>
      </c>
      <c r="D1516">
        <f>정규화데이터!D1516</f>
        <v>143790</v>
      </c>
      <c r="E1516" s="16" t="str">
        <f>정규화데이터!E1516</f>
        <v>SKU001</v>
      </c>
      <c r="F1516" s="3">
        <f>정규화데이터!F1516</f>
        <v>4</v>
      </c>
      <c r="G1516" s="3">
        <f>정규화데이터!G1516</f>
        <v>1</v>
      </c>
      <c r="H1516" s="3">
        <f>정규화데이터!H1516</f>
        <v>45500</v>
      </c>
      <c r="I1516" s="3">
        <f>정규화데이터!I1516</f>
        <v>45500</v>
      </c>
      <c r="J1516" s="3">
        <f>정규화데이터!J1516</f>
        <v>45500</v>
      </c>
      <c r="K1516" s="25" t="str">
        <f>정규화데이터!K1516</f>
        <v>[워커힐] 시그니처 양념갈비 300G</v>
      </c>
      <c r="L1516" s="25">
        <f>정규화데이터!L1516</f>
        <v>0</v>
      </c>
      <c r="M1516" s="21">
        <f t="shared" si="46"/>
        <v>45500</v>
      </c>
      <c r="N1516" s="52">
        <f t="shared" si="47"/>
        <v>1</v>
      </c>
    </row>
    <row r="1517" spans="1:14" x14ac:dyDescent="0.3">
      <c r="A1517" t="str">
        <f>정규화데이터!A1517</f>
        <v>리씽크</v>
      </c>
      <c r="B1517" t="str">
        <f>정규화데이터!B1517</f>
        <v>2026021102411080000</v>
      </c>
      <c r="C1517" t="str">
        <f>정규화데이터!C1517</f>
        <v>2026-02-11</v>
      </c>
      <c r="D1517">
        <f>정규화데이터!D1517</f>
        <v>143790</v>
      </c>
      <c r="E1517" s="16" t="str">
        <f>정규화데이터!E1517</f>
        <v>SKU001</v>
      </c>
      <c r="F1517" s="3">
        <f>정규화데이터!F1517</f>
        <v>4</v>
      </c>
      <c r="G1517" s="3">
        <f>정규화데이터!G1517</f>
        <v>1</v>
      </c>
      <c r="H1517" s="3">
        <f>정규화데이터!H1517</f>
        <v>45500</v>
      </c>
      <c r="I1517" s="3">
        <f>정규화데이터!I1517</f>
        <v>45500</v>
      </c>
      <c r="J1517" s="3">
        <f>정규화데이터!J1517</f>
        <v>45500</v>
      </c>
      <c r="K1517" s="25" t="str">
        <f>정규화데이터!K1517</f>
        <v>[워커힐] 시그니처 양념갈비 300G</v>
      </c>
      <c r="L1517" s="25">
        <f>정규화데이터!L1517</f>
        <v>0</v>
      </c>
      <c r="M1517" s="21">
        <f t="shared" si="46"/>
        <v>45500</v>
      </c>
      <c r="N1517" s="52">
        <f t="shared" si="47"/>
        <v>1</v>
      </c>
    </row>
    <row r="1518" spans="1:14" x14ac:dyDescent="0.3">
      <c r="A1518" t="str">
        <f>정규화데이터!A1518</f>
        <v>리씽크</v>
      </c>
      <c r="B1518" t="str">
        <f>정규화데이터!B1518</f>
        <v>2026021102383210000</v>
      </c>
      <c r="C1518" t="str">
        <f>정규화데이터!C1518</f>
        <v>2026-02-11</v>
      </c>
      <c r="D1518">
        <f>정규화데이터!D1518</f>
        <v>143790</v>
      </c>
      <c r="E1518" s="16" t="str">
        <f>정규화데이터!E1518</f>
        <v>SKU001</v>
      </c>
      <c r="F1518" s="3">
        <f>정규화데이터!F1518</f>
        <v>4</v>
      </c>
      <c r="G1518" s="3">
        <f>정규화데이터!G1518</f>
        <v>1</v>
      </c>
      <c r="H1518" s="3">
        <f>정규화데이터!H1518</f>
        <v>45500</v>
      </c>
      <c r="I1518" s="3">
        <f>정규화데이터!I1518</f>
        <v>45500</v>
      </c>
      <c r="J1518" s="3">
        <f>정규화데이터!J1518</f>
        <v>45500</v>
      </c>
      <c r="K1518" s="25" t="str">
        <f>정규화데이터!K1518</f>
        <v>[워커힐] 시그니처 양념갈비 300G</v>
      </c>
      <c r="L1518" s="25">
        <f>정규화데이터!L1518</f>
        <v>0</v>
      </c>
      <c r="M1518" s="21">
        <f t="shared" si="46"/>
        <v>45500</v>
      </c>
      <c r="N1518" s="52">
        <f t="shared" si="47"/>
        <v>1</v>
      </c>
    </row>
    <row r="1519" spans="1:14" x14ac:dyDescent="0.3">
      <c r="A1519" t="str">
        <f>정규화데이터!A1519</f>
        <v>리씽크</v>
      </c>
      <c r="B1519" t="str">
        <f>정규화데이터!B1519</f>
        <v>2026021102351320000</v>
      </c>
      <c r="C1519" t="str">
        <f>정규화데이터!C1519</f>
        <v>2026-02-11</v>
      </c>
      <c r="D1519">
        <f>정규화데이터!D1519</f>
        <v>143790</v>
      </c>
      <c r="E1519" s="16" t="str">
        <f>정규화데이터!E1519</f>
        <v>SKU001</v>
      </c>
      <c r="F1519" s="3">
        <f>정규화데이터!F1519</f>
        <v>4</v>
      </c>
      <c r="G1519" s="3">
        <f>정규화데이터!G1519</f>
        <v>1</v>
      </c>
      <c r="H1519" s="3">
        <f>정규화데이터!H1519</f>
        <v>45500</v>
      </c>
      <c r="I1519" s="3">
        <f>정규화데이터!I1519</f>
        <v>45500</v>
      </c>
      <c r="J1519" s="3">
        <f>정규화데이터!J1519</f>
        <v>45500</v>
      </c>
      <c r="K1519" s="25" t="str">
        <f>정규화데이터!K1519</f>
        <v>[워커힐] 시그니처 양념갈비 300G</v>
      </c>
      <c r="L1519" s="25">
        <f>정규화데이터!L1519</f>
        <v>0</v>
      </c>
      <c r="M1519" s="21">
        <f t="shared" si="46"/>
        <v>45500</v>
      </c>
      <c r="N1519" s="52">
        <f t="shared" si="47"/>
        <v>1</v>
      </c>
    </row>
    <row r="1520" spans="1:14" x14ac:dyDescent="0.3">
      <c r="A1520" t="str">
        <f>정규화데이터!A1520</f>
        <v>리씽크</v>
      </c>
      <c r="B1520" t="str">
        <f>정규화데이터!B1520</f>
        <v>2026021102245680000</v>
      </c>
      <c r="C1520" t="str">
        <f>정규화데이터!C1520</f>
        <v>2026-02-11</v>
      </c>
      <c r="D1520">
        <f>정규화데이터!D1520</f>
        <v>143790</v>
      </c>
      <c r="E1520" s="16" t="str">
        <f>정규화데이터!E1520</f>
        <v>SKU001</v>
      </c>
      <c r="F1520" s="3">
        <f>정규화데이터!F1520</f>
        <v>4</v>
      </c>
      <c r="G1520" s="3">
        <f>정규화데이터!G1520</f>
        <v>1</v>
      </c>
      <c r="H1520" s="3">
        <f>정규화데이터!H1520</f>
        <v>45500</v>
      </c>
      <c r="I1520" s="3">
        <f>정규화데이터!I1520</f>
        <v>45500</v>
      </c>
      <c r="J1520" s="3">
        <f>정규화데이터!J1520</f>
        <v>45500</v>
      </c>
      <c r="K1520" s="25" t="str">
        <f>정규화데이터!K1520</f>
        <v>[워커힐] 시그니처 양념갈비 300G</v>
      </c>
      <c r="L1520" s="25">
        <f>정규화데이터!L1520</f>
        <v>0</v>
      </c>
      <c r="M1520" s="21">
        <f t="shared" si="46"/>
        <v>45500</v>
      </c>
      <c r="N1520" s="52">
        <f t="shared" si="47"/>
        <v>1</v>
      </c>
    </row>
    <row r="1521" spans="1:14" x14ac:dyDescent="0.3">
      <c r="A1521" t="str">
        <f>정규화데이터!A1521</f>
        <v>리씽크</v>
      </c>
      <c r="B1521" t="str">
        <f>정규화데이터!B1521</f>
        <v>2026021020212790000</v>
      </c>
      <c r="C1521" t="str">
        <f>정규화데이터!C1521</f>
        <v>2026-02-10</v>
      </c>
      <c r="D1521">
        <f>정규화데이터!D1521</f>
        <v>143790</v>
      </c>
      <c r="E1521" s="16" t="str">
        <f>정규화데이터!E1521</f>
        <v>SKU001</v>
      </c>
      <c r="F1521" s="3">
        <f>정규화데이터!F1521</f>
        <v>4</v>
      </c>
      <c r="G1521" s="3">
        <f>정규화데이터!G1521</f>
        <v>1</v>
      </c>
      <c r="H1521" s="3">
        <f>정규화데이터!H1521</f>
        <v>45500</v>
      </c>
      <c r="I1521" s="3">
        <f>정규화데이터!I1521</f>
        <v>45500</v>
      </c>
      <c r="J1521" s="3">
        <f>정규화데이터!J1521</f>
        <v>45500</v>
      </c>
      <c r="K1521" s="25" t="str">
        <f>정규화데이터!K1521</f>
        <v>[워커힐] 시그니처 양념갈비 300G</v>
      </c>
      <c r="L1521" s="25">
        <f>정규화데이터!L1521</f>
        <v>0</v>
      </c>
      <c r="M1521" s="21">
        <f t="shared" si="46"/>
        <v>45500</v>
      </c>
      <c r="N1521" s="52">
        <f t="shared" si="47"/>
        <v>1</v>
      </c>
    </row>
    <row r="1522" spans="1:14" x14ac:dyDescent="0.3">
      <c r="A1522" t="str">
        <f>정규화데이터!A1522</f>
        <v>리씽크</v>
      </c>
      <c r="B1522" t="str">
        <f>정규화데이터!B1522</f>
        <v>2026021017554000000</v>
      </c>
      <c r="C1522" t="str">
        <f>정규화데이터!C1522</f>
        <v>2026-02-10</v>
      </c>
      <c r="D1522">
        <f>정규화데이터!D1522</f>
        <v>143790</v>
      </c>
      <c r="E1522" s="16" t="str">
        <f>정규화데이터!E1522</f>
        <v>SKU001</v>
      </c>
      <c r="F1522" s="3">
        <f>정규화데이터!F1522</f>
        <v>4</v>
      </c>
      <c r="G1522" s="3">
        <f>정규화데이터!G1522</f>
        <v>1</v>
      </c>
      <c r="H1522" s="3">
        <f>정규화데이터!H1522</f>
        <v>45500</v>
      </c>
      <c r="I1522" s="3">
        <f>정규화데이터!I1522</f>
        <v>45500</v>
      </c>
      <c r="J1522" s="3">
        <f>정규화데이터!J1522</f>
        <v>45500</v>
      </c>
      <c r="K1522" s="25" t="str">
        <f>정규화데이터!K1522</f>
        <v>[워커힐] 시그니처 양념갈비 300G</v>
      </c>
      <c r="L1522" s="25">
        <f>정규화데이터!L1522</f>
        <v>0</v>
      </c>
      <c r="M1522" s="21">
        <f t="shared" si="46"/>
        <v>45500</v>
      </c>
      <c r="N1522" s="52">
        <f t="shared" si="47"/>
        <v>1</v>
      </c>
    </row>
    <row r="1523" spans="1:14" x14ac:dyDescent="0.3">
      <c r="A1523" t="str">
        <f>정규화데이터!A1523</f>
        <v>리씽크</v>
      </c>
      <c r="B1523" t="str">
        <f>정규화데이터!B1523</f>
        <v>2026021014175900000</v>
      </c>
      <c r="C1523" t="str">
        <f>정규화데이터!C1523</f>
        <v>2026-02-10</v>
      </c>
      <c r="D1523">
        <f>정규화데이터!D1523</f>
        <v>143790</v>
      </c>
      <c r="E1523" s="16" t="str">
        <f>정규화데이터!E1523</f>
        <v>SKU001</v>
      </c>
      <c r="F1523" s="3">
        <f>정규화데이터!F1523</f>
        <v>4</v>
      </c>
      <c r="G1523" s="3">
        <f>정규화데이터!G1523</f>
        <v>1</v>
      </c>
      <c r="H1523" s="3">
        <f>정규화데이터!H1523</f>
        <v>45500</v>
      </c>
      <c r="I1523" s="3">
        <f>정규화데이터!I1523</f>
        <v>45500</v>
      </c>
      <c r="J1523" s="3">
        <f>정규화데이터!J1523</f>
        <v>45500</v>
      </c>
      <c r="K1523" s="25" t="str">
        <f>정규화데이터!K1523</f>
        <v>[워커힐] 시그니처 양념갈비 300G</v>
      </c>
      <c r="L1523" s="25">
        <f>정규화데이터!L1523</f>
        <v>0</v>
      </c>
      <c r="M1523" s="21">
        <f t="shared" si="46"/>
        <v>45500</v>
      </c>
      <c r="N1523" s="52">
        <f t="shared" si="47"/>
        <v>1</v>
      </c>
    </row>
    <row r="1524" spans="1:14" x14ac:dyDescent="0.3">
      <c r="A1524" t="str">
        <f>정규화데이터!A1524</f>
        <v>리씽크</v>
      </c>
      <c r="B1524" t="str">
        <f>정규화데이터!B1524</f>
        <v>2026021012240740000</v>
      </c>
      <c r="C1524" t="str">
        <f>정규화데이터!C1524</f>
        <v>2026-02-10</v>
      </c>
      <c r="D1524">
        <f>정규화데이터!D1524</f>
        <v>143790</v>
      </c>
      <c r="E1524" s="16" t="str">
        <f>정규화데이터!E1524</f>
        <v>SKU001</v>
      </c>
      <c r="F1524" s="3">
        <f>정규화데이터!F1524</f>
        <v>4</v>
      </c>
      <c r="G1524" s="3">
        <f>정규화데이터!G1524</f>
        <v>1</v>
      </c>
      <c r="H1524" s="3">
        <f>정규화데이터!H1524</f>
        <v>45500</v>
      </c>
      <c r="I1524" s="3">
        <f>정규화데이터!I1524</f>
        <v>45500</v>
      </c>
      <c r="J1524" s="3">
        <f>정규화데이터!J1524</f>
        <v>45500</v>
      </c>
      <c r="K1524" s="25" t="str">
        <f>정규화데이터!K1524</f>
        <v>[워커힐] 시그니처 양념갈비 300G</v>
      </c>
      <c r="L1524" s="25">
        <f>정규화데이터!L1524</f>
        <v>0</v>
      </c>
      <c r="M1524" s="21">
        <f t="shared" si="46"/>
        <v>45500</v>
      </c>
      <c r="N1524" s="52">
        <f t="shared" si="47"/>
        <v>1</v>
      </c>
    </row>
    <row r="1525" spans="1:14" x14ac:dyDescent="0.3">
      <c r="A1525" t="str">
        <f>정규화데이터!A1525</f>
        <v>리씽크</v>
      </c>
      <c r="B1525" t="str">
        <f>정규화데이터!B1525</f>
        <v>2026021011183570000</v>
      </c>
      <c r="C1525" t="str">
        <f>정규화데이터!C1525</f>
        <v>2026-02-10</v>
      </c>
      <c r="D1525">
        <f>정규화데이터!D1525</f>
        <v>143790</v>
      </c>
      <c r="E1525" s="16" t="str">
        <f>정규화데이터!E1525</f>
        <v>SKU001</v>
      </c>
      <c r="F1525" s="3">
        <f>정규화데이터!F1525</f>
        <v>4</v>
      </c>
      <c r="G1525" s="3">
        <f>정규화데이터!G1525</f>
        <v>2</v>
      </c>
      <c r="H1525" s="3">
        <f>정규화데이터!H1525</f>
        <v>45500</v>
      </c>
      <c r="I1525" s="3">
        <f>정규화데이터!I1525</f>
        <v>91000</v>
      </c>
      <c r="J1525" s="3">
        <f>정규화데이터!J1525</f>
        <v>91000</v>
      </c>
      <c r="K1525" s="25" t="str">
        <f>정규화데이터!K1525</f>
        <v>[워커힐] 시그니처 양념갈비 300G</v>
      </c>
      <c r="L1525" s="25">
        <f>정규화데이터!L1525</f>
        <v>0</v>
      </c>
      <c r="M1525" s="21">
        <f t="shared" si="46"/>
        <v>91000</v>
      </c>
      <c r="N1525" s="52">
        <f t="shared" si="47"/>
        <v>1</v>
      </c>
    </row>
    <row r="1526" spans="1:14" x14ac:dyDescent="0.3">
      <c r="A1526" t="str">
        <f>정규화데이터!A1526</f>
        <v>리씽크</v>
      </c>
      <c r="B1526" t="str">
        <f>정규화데이터!B1526</f>
        <v>2026021011152880000</v>
      </c>
      <c r="C1526" t="str">
        <f>정규화데이터!C1526</f>
        <v>2026-02-10</v>
      </c>
      <c r="D1526">
        <f>정규화데이터!D1526</f>
        <v>143790</v>
      </c>
      <c r="E1526" s="16" t="str">
        <f>정규화데이터!E1526</f>
        <v>SKU001</v>
      </c>
      <c r="F1526" s="3">
        <f>정규화데이터!F1526</f>
        <v>4</v>
      </c>
      <c r="G1526" s="3">
        <f>정규화데이터!G1526</f>
        <v>1</v>
      </c>
      <c r="H1526" s="3">
        <f>정규화데이터!H1526</f>
        <v>45500</v>
      </c>
      <c r="I1526" s="3">
        <f>정규화데이터!I1526</f>
        <v>45500</v>
      </c>
      <c r="J1526" s="3">
        <f>정규화데이터!J1526</f>
        <v>45500</v>
      </c>
      <c r="K1526" s="25" t="str">
        <f>정규화데이터!K1526</f>
        <v>[워커힐] 시그니처 양념갈비 300G</v>
      </c>
      <c r="L1526" s="25">
        <f>정규화데이터!L1526</f>
        <v>0</v>
      </c>
      <c r="M1526" s="21">
        <f t="shared" si="46"/>
        <v>45500</v>
      </c>
      <c r="N1526" s="52">
        <f t="shared" si="47"/>
        <v>1</v>
      </c>
    </row>
    <row r="1527" spans="1:14" x14ac:dyDescent="0.3">
      <c r="A1527" t="str">
        <f>정규화데이터!A1527</f>
        <v>리씽크</v>
      </c>
      <c r="B1527" t="str">
        <f>정규화데이터!B1527</f>
        <v>2026021109364730000</v>
      </c>
      <c r="C1527" t="str">
        <f>정규화데이터!C1527</f>
        <v>2026-02-11</v>
      </c>
      <c r="D1527">
        <f>정규화데이터!D1527</f>
        <v>143812</v>
      </c>
      <c r="E1527" s="16" t="str">
        <f>정규화데이터!E1527</f>
        <v>SKU001</v>
      </c>
      <c r="F1527" s="3">
        <f>정규화데이터!F1527</f>
        <v>2</v>
      </c>
      <c r="G1527" s="3">
        <f>정규화데이터!G1527</f>
        <v>1</v>
      </c>
      <c r="H1527" s="3">
        <f>정규화데이터!H1527</f>
        <v>45500</v>
      </c>
      <c r="I1527" s="3">
        <f>정규화데이터!I1527</f>
        <v>45500</v>
      </c>
      <c r="J1527" s="3">
        <f>정규화데이터!J1527</f>
        <v>45500</v>
      </c>
      <c r="K1527" s="25" t="str">
        <f>정규화데이터!K1527</f>
        <v>[워커힐] 시그니처 양념갈비 300G</v>
      </c>
      <c r="L1527" s="25">
        <f>정규화데이터!L1527</f>
        <v>0</v>
      </c>
      <c r="M1527" s="21">
        <f t="shared" si="46"/>
        <v>45500</v>
      </c>
      <c r="N1527" s="52">
        <f t="shared" si="47"/>
        <v>1</v>
      </c>
    </row>
    <row r="1528" spans="1:14" x14ac:dyDescent="0.3">
      <c r="A1528" t="str">
        <f>정규화데이터!A1528</f>
        <v>리씽크</v>
      </c>
      <c r="B1528" t="str">
        <f>정규화데이터!B1528</f>
        <v>2026021108195170000</v>
      </c>
      <c r="C1528" t="str">
        <f>정규화데이터!C1528</f>
        <v>2026-02-11</v>
      </c>
      <c r="D1528">
        <f>정규화데이터!D1528</f>
        <v>143812</v>
      </c>
      <c r="E1528" s="16" t="str">
        <f>정규화데이터!E1528</f>
        <v>SKU001</v>
      </c>
      <c r="F1528" s="3">
        <f>정규화데이터!F1528</f>
        <v>2</v>
      </c>
      <c r="G1528" s="3">
        <f>정규화데이터!G1528</f>
        <v>2</v>
      </c>
      <c r="H1528" s="3">
        <f>정규화데이터!H1528</f>
        <v>45500</v>
      </c>
      <c r="I1528" s="3">
        <f>정규화데이터!I1528</f>
        <v>91000</v>
      </c>
      <c r="J1528" s="3">
        <f>정규화데이터!J1528</f>
        <v>91000</v>
      </c>
      <c r="K1528" s="25" t="str">
        <f>정규화데이터!K1528</f>
        <v>[워커힐] 시그니처 양념갈비 300G</v>
      </c>
      <c r="L1528" s="25">
        <f>정규화데이터!L1528</f>
        <v>0</v>
      </c>
      <c r="M1528" s="21">
        <f t="shared" si="46"/>
        <v>91000</v>
      </c>
      <c r="N1528" s="52">
        <f t="shared" si="47"/>
        <v>1</v>
      </c>
    </row>
    <row r="1529" spans="1:14" x14ac:dyDescent="0.3">
      <c r="A1529" t="str">
        <f>정규화데이터!A1529</f>
        <v>리씽크</v>
      </c>
      <c r="B1529" t="str">
        <f>정규화데이터!B1529</f>
        <v>2026021108155020000</v>
      </c>
      <c r="C1529" t="str">
        <f>정규화데이터!C1529</f>
        <v>2026-02-11</v>
      </c>
      <c r="D1529">
        <f>정규화데이터!D1529</f>
        <v>143812</v>
      </c>
      <c r="E1529" s="16" t="str">
        <f>정규화데이터!E1529</f>
        <v>SKU001</v>
      </c>
      <c r="F1529" s="3">
        <f>정규화데이터!F1529</f>
        <v>2</v>
      </c>
      <c r="G1529" s="3">
        <f>정규화데이터!G1529</f>
        <v>1</v>
      </c>
      <c r="H1529" s="3">
        <f>정규화데이터!H1529</f>
        <v>45500</v>
      </c>
      <c r="I1529" s="3">
        <f>정규화데이터!I1529</f>
        <v>45500</v>
      </c>
      <c r="J1529" s="3">
        <f>정규화데이터!J1529</f>
        <v>45500</v>
      </c>
      <c r="K1529" s="25" t="str">
        <f>정규화데이터!K1529</f>
        <v>[워커힐] 시그니처 양념갈비 300G</v>
      </c>
      <c r="L1529" s="25">
        <f>정규화데이터!L1529</f>
        <v>0</v>
      </c>
      <c r="M1529" s="21">
        <f t="shared" si="46"/>
        <v>45500</v>
      </c>
      <c r="N1529" s="52">
        <f t="shared" si="47"/>
        <v>1</v>
      </c>
    </row>
    <row r="1530" spans="1:14" x14ac:dyDescent="0.3">
      <c r="A1530" t="str">
        <f>정규화데이터!A1530</f>
        <v>리씽크</v>
      </c>
      <c r="B1530" t="str">
        <f>정규화데이터!B1530</f>
        <v>2026021107460180000</v>
      </c>
      <c r="C1530" t="str">
        <f>정규화데이터!C1530</f>
        <v>2026-02-11</v>
      </c>
      <c r="D1530">
        <f>정규화데이터!D1530</f>
        <v>143812</v>
      </c>
      <c r="E1530" s="16" t="str">
        <f>정규화데이터!E1530</f>
        <v>SKU001</v>
      </c>
      <c r="F1530" s="3">
        <f>정규화데이터!F1530</f>
        <v>2</v>
      </c>
      <c r="G1530" s="3">
        <f>정규화데이터!G1530</f>
        <v>1</v>
      </c>
      <c r="H1530" s="3">
        <f>정규화데이터!H1530</f>
        <v>45500</v>
      </c>
      <c r="I1530" s="3">
        <f>정규화데이터!I1530</f>
        <v>45500</v>
      </c>
      <c r="J1530" s="3">
        <f>정규화데이터!J1530</f>
        <v>45500</v>
      </c>
      <c r="K1530" s="25" t="str">
        <f>정규화데이터!K1530</f>
        <v>[워커힐] 시그니처 양념갈비 300G</v>
      </c>
      <c r="L1530" s="25">
        <f>정규화데이터!L1530</f>
        <v>0</v>
      </c>
      <c r="M1530" s="21">
        <f t="shared" si="46"/>
        <v>45500</v>
      </c>
      <c r="N1530" s="52">
        <f t="shared" si="47"/>
        <v>1</v>
      </c>
    </row>
    <row r="1531" spans="1:14" x14ac:dyDescent="0.3">
      <c r="A1531" t="str">
        <f>정규화데이터!A1531</f>
        <v>리씽크</v>
      </c>
      <c r="B1531" t="str">
        <f>정규화데이터!B1531</f>
        <v>2026021023073460000</v>
      </c>
      <c r="C1531" t="str">
        <f>정규화데이터!C1531</f>
        <v>2026-02-10</v>
      </c>
      <c r="D1531">
        <f>정규화데이터!D1531</f>
        <v>143812</v>
      </c>
      <c r="E1531" s="16" t="str">
        <f>정규화데이터!E1531</f>
        <v>SKU001</v>
      </c>
      <c r="F1531" s="3">
        <f>정규화데이터!F1531</f>
        <v>2</v>
      </c>
      <c r="G1531" s="3">
        <f>정규화데이터!G1531</f>
        <v>1</v>
      </c>
      <c r="H1531" s="3">
        <f>정규화데이터!H1531</f>
        <v>45500</v>
      </c>
      <c r="I1531" s="3">
        <f>정규화데이터!I1531</f>
        <v>45500</v>
      </c>
      <c r="J1531" s="3">
        <f>정규화데이터!J1531</f>
        <v>45500</v>
      </c>
      <c r="K1531" s="25" t="str">
        <f>정규화데이터!K1531</f>
        <v>[워커힐] 시그니처 양념갈비 300G</v>
      </c>
      <c r="L1531" s="25">
        <f>정규화데이터!L1531</f>
        <v>0</v>
      </c>
      <c r="M1531" s="21">
        <f t="shared" si="46"/>
        <v>45500</v>
      </c>
      <c r="N1531" s="52">
        <f t="shared" si="47"/>
        <v>1</v>
      </c>
    </row>
    <row r="1532" spans="1:14" x14ac:dyDescent="0.3">
      <c r="A1532" t="str">
        <f>정규화데이터!A1532</f>
        <v>리씽크</v>
      </c>
      <c r="B1532" t="str">
        <f>정규화데이터!B1532</f>
        <v>2026021022075040000</v>
      </c>
      <c r="C1532" t="str">
        <f>정규화데이터!C1532</f>
        <v>2026-02-10</v>
      </c>
      <c r="D1532">
        <f>정규화데이터!D1532</f>
        <v>143812</v>
      </c>
      <c r="E1532" s="16" t="str">
        <f>정규화데이터!E1532</f>
        <v>SKU001</v>
      </c>
      <c r="F1532" s="3">
        <f>정규화데이터!F1532</f>
        <v>2</v>
      </c>
      <c r="G1532" s="3">
        <f>정규화데이터!G1532</f>
        <v>3</v>
      </c>
      <c r="H1532" s="3">
        <f>정규화데이터!H1532</f>
        <v>45500</v>
      </c>
      <c r="I1532" s="3">
        <f>정규화데이터!I1532</f>
        <v>136500</v>
      </c>
      <c r="J1532" s="3">
        <f>정규화데이터!J1532</f>
        <v>136500</v>
      </c>
      <c r="K1532" s="25" t="str">
        <f>정규화데이터!K1532</f>
        <v>[워커힐] 시그니처 양념갈비 300G</v>
      </c>
      <c r="L1532" s="25">
        <f>정규화데이터!L1532</f>
        <v>0</v>
      </c>
      <c r="M1532" s="21">
        <f t="shared" si="46"/>
        <v>136500</v>
      </c>
      <c r="N1532" s="52">
        <f t="shared" si="47"/>
        <v>1</v>
      </c>
    </row>
    <row r="1533" spans="1:14" x14ac:dyDescent="0.3">
      <c r="A1533" t="str">
        <f>정규화데이터!A1533</f>
        <v>리씽크</v>
      </c>
      <c r="B1533" t="str">
        <f>정규화데이터!B1533</f>
        <v>2026021021295580000</v>
      </c>
      <c r="C1533" t="str">
        <f>정규화데이터!C1533</f>
        <v>2026-02-10</v>
      </c>
      <c r="D1533">
        <f>정규화데이터!D1533</f>
        <v>143812</v>
      </c>
      <c r="E1533" s="16" t="str">
        <f>정규화데이터!E1533</f>
        <v>SKU001</v>
      </c>
      <c r="F1533" s="3">
        <f>정규화데이터!F1533</f>
        <v>2</v>
      </c>
      <c r="G1533" s="3">
        <f>정규화데이터!G1533</f>
        <v>1</v>
      </c>
      <c r="H1533" s="3">
        <f>정규화데이터!H1533</f>
        <v>45500</v>
      </c>
      <c r="I1533" s="3">
        <f>정규화데이터!I1533</f>
        <v>45500</v>
      </c>
      <c r="J1533" s="3">
        <f>정규화데이터!J1533</f>
        <v>45500</v>
      </c>
      <c r="K1533" s="25" t="str">
        <f>정규화데이터!K1533</f>
        <v>[워커힐] 시그니처 양념갈비 300G</v>
      </c>
      <c r="L1533" s="25">
        <f>정규화데이터!L1533</f>
        <v>0</v>
      </c>
      <c r="M1533" s="21">
        <f t="shared" si="46"/>
        <v>45500</v>
      </c>
      <c r="N1533" s="52">
        <f t="shared" si="47"/>
        <v>1</v>
      </c>
    </row>
    <row r="1534" spans="1:14" x14ac:dyDescent="0.3">
      <c r="A1534" t="str">
        <f>정규화데이터!A1534</f>
        <v>리씽크</v>
      </c>
      <c r="B1534" t="str">
        <f>정규화데이터!B1534</f>
        <v>2026021021143540000</v>
      </c>
      <c r="C1534" t="str">
        <f>정규화데이터!C1534</f>
        <v>2026-02-10</v>
      </c>
      <c r="D1534">
        <f>정규화데이터!D1534</f>
        <v>143812</v>
      </c>
      <c r="E1534" s="16" t="str">
        <f>정규화데이터!E1534</f>
        <v>SKU001</v>
      </c>
      <c r="F1534" s="3">
        <f>정규화데이터!F1534</f>
        <v>2</v>
      </c>
      <c r="G1534" s="3">
        <f>정규화데이터!G1534</f>
        <v>1</v>
      </c>
      <c r="H1534" s="3">
        <f>정규화데이터!H1534</f>
        <v>45500</v>
      </c>
      <c r="I1534" s="3">
        <f>정규화데이터!I1534</f>
        <v>45500</v>
      </c>
      <c r="J1534" s="3">
        <f>정규화데이터!J1534</f>
        <v>45500</v>
      </c>
      <c r="K1534" s="25" t="str">
        <f>정규화데이터!K1534</f>
        <v>[워커힐] 시그니처 양념갈비 300G</v>
      </c>
      <c r="L1534" s="25">
        <f>정규화데이터!L1534</f>
        <v>0</v>
      </c>
      <c r="M1534" s="21">
        <f t="shared" si="46"/>
        <v>45500</v>
      </c>
      <c r="N1534" s="52">
        <f t="shared" si="47"/>
        <v>1</v>
      </c>
    </row>
    <row r="1535" spans="1:14" x14ac:dyDescent="0.3">
      <c r="A1535" t="str">
        <f>정규화데이터!A1535</f>
        <v>리씽크</v>
      </c>
      <c r="B1535" t="str">
        <f>정규화데이터!B1535</f>
        <v>2026021019193700000</v>
      </c>
      <c r="C1535" t="str">
        <f>정규화데이터!C1535</f>
        <v>2026-02-10</v>
      </c>
      <c r="D1535">
        <f>정규화데이터!D1535</f>
        <v>143812</v>
      </c>
      <c r="E1535" s="16" t="str">
        <f>정규화데이터!E1535</f>
        <v>SKU001</v>
      </c>
      <c r="F1535" s="3">
        <f>정규화데이터!F1535</f>
        <v>2</v>
      </c>
      <c r="G1535" s="3">
        <f>정규화데이터!G1535</f>
        <v>1</v>
      </c>
      <c r="H1535" s="3">
        <f>정규화데이터!H1535</f>
        <v>45500</v>
      </c>
      <c r="I1535" s="3">
        <f>정규화데이터!I1535</f>
        <v>45500</v>
      </c>
      <c r="J1535" s="3">
        <f>정규화데이터!J1535</f>
        <v>45500</v>
      </c>
      <c r="K1535" s="25" t="str">
        <f>정규화데이터!K1535</f>
        <v>[워커힐] 시그니처 양념갈비 300G</v>
      </c>
      <c r="L1535" s="25">
        <f>정규화데이터!L1535</f>
        <v>0</v>
      </c>
      <c r="M1535" s="21">
        <f t="shared" si="46"/>
        <v>45500</v>
      </c>
      <c r="N1535" s="52">
        <f t="shared" si="47"/>
        <v>1</v>
      </c>
    </row>
    <row r="1536" spans="1:14" x14ac:dyDescent="0.3">
      <c r="A1536" t="str">
        <f>정규화데이터!A1536</f>
        <v>리씽크</v>
      </c>
      <c r="B1536" t="str">
        <f>정규화데이터!B1536</f>
        <v>2026021019162700000</v>
      </c>
      <c r="C1536" t="str">
        <f>정규화데이터!C1536</f>
        <v>2026-02-10</v>
      </c>
      <c r="D1536">
        <f>정규화데이터!D1536</f>
        <v>143812</v>
      </c>
      <c r="E1536" s="16" t="str">
        <f>정규화데이터!E1536</f>
        <v>SKU001</v>
      </c>
      <c r="F1536" s="3">
        <f>정규화데이터!F1536</f>
        <v>2</v>
      </c>
      <c r="G1536" s="3">
        <f>정규화데이터!G1536</f>
        <v>1</v>
      </c>
      <c r="H1536" s="3">
        <f>정규화데이터!H1536</f>
        <v>45500</v>
      </c>
      <c r="I1536" s="3">
        <f>정규화데이터!I1536</f>
        <v>45500</v>
      </c>
      <c r="J1536" s="3">
        <f>정규화데이터!J1536</f>
        <v>45500</v>
      </c>
      <c r="K1536" s="25" t="str">
        <f>정규화데이터!K1536</f>
        <v>[워커힐] 시그니처 양념갈비 300G</v>
      </c>
      <c r="L1536" s="25">
        <f>정규화데이터!L1536</f>
        <v>0</v>
      </c>
      <c r="M1536" s="21">
        <f t="shared" si="46"/>
        <v>45500</v>
      </c>
      <c r="N1536" s="52">
        <f t="shared" si="47"/>
        <v>1</v>
      </c>
    </row>
    <row r="1537" spans="1:14" x14ac:dyDescent="0.3">
      <c r="A1537" t="str">
        <f>정규화데이터!A1537</f>
        <v>리씽크</v>
      </c>
      <c r="B1537" t="str">
        <f>정규화데이터!B1537</f>
        <v>2026021016584550000</v>
      </c>
      <c r="C1537" t="str">
        <f>정규화데이터!C1537</f>
        <v>2026-02-10</v>
      </c>
      <c r="D1537">
        <f>정규화데이터!D1537</f>
        <v>143812</v>
      </c>
      <c r="E1537" s="16" t="str">
        <f>정규화데이터!E1537</f>
        <v>SKU001</v>
      </c>
      <c r="F1537" s="3">
        <f>정규화데이터!F1537</f>
        <v>2</v>
      </c>
      <c r="G1537" s="3">
        <f>정규화데이터!G1537</f>
        <v>2</v>
      </c>
      <c r="H1537" s="3">
        <f>정규화데이터!H1537</f>
        <v>45500</v>
      </c>
      <c r="I1537" s="3">
        <f>정규화데이터!I1537</f>
        <v>91000</v>
      </c>
      <c r="J1537" s="3">
        <f>정규화데이터!J1537</f>
        <v>91000</v>
      </c>
      <c r="K1537" s="25" t="str">
        <f>정규화데이터!K1537</f>
        <v>[워커힐] 시그니처 양념갈비 300G</v>
      </c>
      <c r="L1537" s="25">
        <f>정규화데이터!L1537</f>
        <v>0</v>
      </c>
      <c r="M1537" s="21">
        <f t="shared" si="46"/>
        <v>91000</v>
      </c>
      <c r="N1537" s="52">
        <f t="shared" si="47"/>
        <v>1</v>
      </c>
    </row>
    <row r="1538" spans="1:14" x14ac:dyDescent="0.3">
      <c r="A1538" t="str">
        <f>정규화데이터!A1538</f>
        <v>리씽크</v>
      </c>
      <c r="B1538" t="str">
        <f>정규화데이터!B1538</f>
        <v>2026021011392820000</v>
      </c>
      <c r="C1538" t="str">
        <f>정규화데이터!C1538</f>
        <v>2026-02-10</v>
      </c>
      <c r="D1538">
        <f>정규화데이터!D1538</f>
        <v>143812</v>
      </c>
      <c r="E1538" s="16" t="str">
        <f>정규화데이터!E1538</f>
        <v>SKU001</v>
      </c>
      <c r="F1538" s="3">
        <f>정규화데이터!F1538</f>
        <v>2</v>
      </c>
      <c r="G1538" s="3">
        <f>정규화데이터!G1538</f>
        <v>1</v>
      </c>
      <c r="H1538" s="3">
        <f>정규화데이터!H1538</f>
        <v>45500</v>
      </c>
      <c r="I1538" s="3">
        <f>정규화데이터!I1538</f>
        <v>45500</v>
      </c>
      <c r="J1538" s="3">
        <f>정규화데이터!J1538</f>
        <v>45500</v>
      </c>
      <c r="K1538" s="25" t="str">
        <f>정규화데이터!K1538</f>
        <v>[워커힐] 시그니처 양념갈비 300G</v>
      </c>
      <c r="L1538" s="25">
        <f>정규화데이터!L1538</f>
        <v>0</v>
      </c>
      <c r="M1538" s="21">
        <f t="shared" ref="M1538:M1601" si="48">J1538-L1538</f>
        <v>45500</v>
      </c>
      <c r="N1538" s="52">
        <f t="shared" ref="N1538:N1601" si="49">IF(J1538=0,0,M1538/J1538)</f>
        <v>1</v>
      </c>
    </row>
    <row r="1539" spans="1:14" x14ac:dyDescent="0.3">
      <c r="A1539" t="str">
        <f>정규화데이터!A1539</f>
        <v>리씽크</v>
      </c>
      <c r="B1539" t="str">
        <f>정규화데이터!B1539</f>
        <v>2026021108002640000</v>
      </c>
      <c r="C1539" t="str">
        <f>정규화데이터!C1539</f>
        <v>2026-02-11</v>
      </c>
      <c r="D1539">
        <f>정규화데이터!D1539</f>
        <v>143790</v>
      </c>
      <c r="E1539" s="16" t="str">
        <f>정규화데이터!E1539</f>
        <v>SKU001</v>
      </c>
      <c r="F1539" s="3">
        <f>정규화데이터!F1539</f>
        <v>4</v>
      </c>
      <c r="G1539" s="3">
        <f>정규화데이터!G1539</f>
        <v>1</v>
      </c>
      <c r="H1539" s="3">
        <f>정규화데이터!H1539</f>
        <v>63000</v>
      </c>
      <c r="I1539" s="3">
        <f>정규화데이터!I1539</f>
        <v>63000</v>
      </c>
      <c r="J1539" s="3">
        <f>정규화데이터!J1539</f>
        <v>63000</v>
      </c>
      <c r="K1539" s="25" t="str">
        <f>정규화데이터!K1539</f>
        <v>[워커힐] 시그니처 양념갈비 300G</v>
      </c>
      <c r="L1539" s="25" t="e">
        <f>정규화데이터!L1539</f>
        <v>#VALUE!</v>
      </c>
      <c r="M1539" s="21" t="e">
        <f t="shared" si="48"/>
        <v>#VALUE!</v>
      </c>
      <c r="N1539" s="52" t="e">
        <f t="shared" si="49"/>
        <v>#VALUE!</v>
      </c>
    </row>
    <row r="1540" spans="1:14" x14ac:dyDescent="0.3">
      <c r="A1540" t="str">
        <f>정규화데이터!A1540</f>
        <v>리씽크</v>
      </c>
      <c r="B1540" t="str">
        <f>정규화데이터!B1540</f>
        <v>2026021100274140000</v>
      </c>
      <c r="C1540" t="str">
        <f>정규화데이터!C1540</f>
        <v>2026-02-11</v>
      </c>
      <c r="D1540">
        <f>정규화데이터!D1540</f>
        <v>143790</v>
      </c>
      <c r="E1540" s="16" t="str">
        <f>정규화데이터!E1540</f>
        <v>SKU001</v>
      </c>
      <c r="F1540" s="3">
        <f>정규화데이터!F1540</f>
        <v>4</v>
      </c>
      <c r="G1540" s="3">
        <f>정규화데이터!G1540</f>
        <v>1</v>
      </c>
      <c r="H1540" s="3">
        <f>정규화데이터!H1540</f>
        <v>63000</v>
      </c>
      <c r="I1540" s="3">
        <f>정규화데이터!I1540</f>
        <v>63000</v>
      </c>
      <c r="J1540" s="3">
        <f>정규화데이터!J1540</f>
        <v>63000</v>
      </c>
      <c r="K1540" s="25" t="str">
        <f>정규화데이터!K1540</f>
        <v>[워커힐] 시그니처 양념갈비 300G</v>
      </c>
      <c r="L1540" s="25" t="e">
        <f>정규화데이터!L1540</f>
        <v>#VALUE!</v>
      </c>
      <c r="M1540" s="21" t="e">
        <f t="shared" si="48"/>
        <v>#VALUE!</v>
      </c>
      <c r="N1540" s="52" t="e">
        <f t="shared" si="49"/>
        <v>#VALUE!</v>
      </c>
    </row>
    <row r="1541" spans="1:14" x14ac:dyDescent="0.3">
      <c r="A1541" t="str">
        <f>정규화데이터!A1541</f>
        <v>리씽크</v>
      </c>
      <c r="B1541" t="str">
        <f>정규화데이터!B1541</f>
        <v>2026021023335290000</v>
      </c>
      <c r="C1541" t="str">
        <f>정규화데이터!C1541</f>
        <v>2026-02-10</v>
      </c>
      <c r="D1541">
        <f>정규화데이터!D1541</f>
        <v>143790</v>
      </c>
      <c r="E1541" s="16" t="str">
        <f>정규화데이터!E1541</f>
        <v>SKU001</v>
      </c>
      <c r="F1541" s="3">
        <f>정규화데이터!F1541</f>
        <v>4</v>
      </c>
      <c r="G1541" s="3">
        <f>정규화데이터!G1541</f>
        <v>1</v>
      </c>
      <c r="H1541" s="3">
        <f>정규화데이터!H1541</f>
        <v>63000</v>
      </c>
      <c r="I1541" s="3">
        <f>정규화데이터!I1541</f>
        <v>63000</v>
      </c>
      <c r="J1541" s="3">
        <f>정규화데이터!J1541</f>
        <v>63000</v>
      </c>
      <c r="K1541" s="25" t="str">
        <f>정규화데이터!K1541</f>
        <v>[워커힐] 시그니처 양념갈비 300G</v>
      </c>
      <c r="L1541" s="25" t="e">
        <f>정규화데이터!L1541</f>
        <v>#VALUE!</v>
      </c>
      <c r="M1541" s="21" t="e">
        <f t="shared" si="48"/>
        <v>#VALUE!</v>
      </c>
      <c r="N1541" s="52" t="e">
        <f t="shared" si="49"/>
        <v>#VALUE!</v>
      </c>
    </row>
    <row r="1542" spans="1:14" x14ac:dyDescent="0.3">
      <c r="A1542" t="str">
        <f>정규화데이터!A1542</f>
        <v>리씽크</v>
      </c>
      <c r="B1542" t="str">
        <f>정규화데이터!B1542</f>
        <v>2026021021530710000</v>
      </c>
      <c r="C1542" t="str">
        <f>정규화데이터!C1542</f>
        <v>2026-02-10</v>
      </c>
      <c r="D1542">
        <f>정규화데이터!D1542</f>
        <v>143790</v>
      </c>
      <c r="E1542" s="16" t="str">
        <f>정규화데이터!E1542</f>
        <v>SKU001</v>
      </c>
      <c r="F1542" s="3">
        <f>정규화데이터!F1542</f>
        <v>4</v>
      </c>
      <c r="G1542" s="3">
        <f>정규화데이터!G1542</f>
        <v>1</v>
      </c>
      <c r="H1542" s="3">
        <f>정규화데이터!H1542</f>
        <v>63000</v>
      </c>
      <c r="I1542" s="3">
        <f>정규화데이터!I1542</f>
        <v>63000</v>
      </c>
      <c r="J1542" s="3">
        <f>정규화데이터!J1542</f>
        <v>63000</v>
      </c>
      <c r="K1542" s="25" t="str">
        <f>정규화데이터!K1542</f>
        <v>[워커힐] 시그니처 양념갈비 300G</v>
      </c>
      <c r="L1542" s="25" t="e">
        <f>정규화데이터!L1542</f>
        <v>#VALUE!</v>
      </c>
      <c r="M1542" s="21" t="e">
        <f t="shared" si="48"/>
        <v>#VALUE!</v>
      </c>
      <c r="N1542" s="52" t="e">
        <f t="shared" si="49"/>
        <v>#VALUE!</v>
      </c>
    </row>
    <row r="1543" spans="1:14" x14ac:dyDescent="0.3">
      <c r="A1543" t="str">
        <f>정규화데이터!A1543</f>
        <v>리씽크</v>
      </c>
      <c r="B1543" t="str">
        <f>정규화데이터!B1543</f>
        <v>2026021020101620000</v>
      </c>
      <c r="C1543" t="str">
        <f>정규화데이터!C1543</f>
        <v>2026-02-10</v>
      </c>
      <c r="D1543">
        <f>정규화데이터!D1543</f>
        <v>143790</v>
      </c>
      <c r="E1543" s="16" t="str">
        <f>정규화데이터!E1543</f>
        <v>SKU001</v>
      </c>
      <c r="F1543" s="3">
        <f>정규화데이터!F1543</f>
        <v>4</v>
      </c>
      <c r="G1543" s="3">
        <f>정규화데이터!G1543</f>
        <v>2</v>
      </c>
      <c r="H1543" s="3">
        <f>정규화데이터!H1543</f>
        <v>63000</v>
      </c>
      <c r="I1543" s="3">
        <f>정규화데이터!I1543</f>
        <v>126000</v>
      </c>
      <c r="J1543" s="3">
        <f>정규화데이터!J1543</f>
        <v>126000</v>
      </c>
      <c r="K1543" s="25" t="str">
        <f>정규화데이터!K1543</f>
        <v>[워커힐] 시그니처 양념갈비 300G</v>
      </c>
      <c r="L1543" s="25" t="e">
        <f>정규화데이터!L1543</f>
        <v>#VALUE!</v>
      </c>
      <c r="M1543" s="21" t="e">
        <f t="shared" si="48"/>
        <v>#VALUE!</v>
      </c>
      <c r="N1543" s="52" t="e">
        <f t="shared" si="49"/>
        <v>#VALUE!</v>
      </c>
    </row>
    <row r="1544" spans="1:14" x14ac:dyDescent="0.3">
      <c r="A1544" t="str">
        <f>정규화데이터!A1544</f>
        <v>리씽크</v>
      </c>
      <c r="B1544" t="str">
        <f>정규화데이터!B1544</f>
        <v>2026021013521610000</v>
      </c>
      <c r="C1544" t="str">
        <f>정규화데이터!C1544</f>
        <v>2026-02-10</v>
      </c>
      <c r="D1544">
        <f>정규화데이터!D1544</f>
        <v>143790</v>
      </c>
      <c r="E1544" s="16" t="str">
        <f>정규화데이터!E1544</f>
        <v>SKU001</v>
      </c>
      <c r="F1544" s="3">
        <f>정규화데이터!F1544</f>
        <v>4</v>
      </c>
      <c r="G1544" s="3">
        <f>정규화데이터!G1544</f>
        <v>1</v>
      </c>
      <c r="H1544" s="3">
        <f>정규화데이터!H1544</f>
        <v>63000</v>
      </c>
      <c r="I1544" s="3">
        <f>정규화데이터!I1544</f>
        <v>63000</v>
      </c>
      <c r="J1544" s="3">
        <f>정규화데이터!J1544</f>
        <v>63000</v>
      </c>
      <c r="K1544" s="25" t="str">
        <f>정규화데이터!K1544</f>
        <v>[워커힐] 시그니처 양념갈비 300G</v>
      </c>
      <c r="L1544" s="25" t="e">
        <f>정규화데이터!L1544</f>
        <v>#VALUE!</v>
      </c>
      <c r="M1544" s="21" t="e">
        <f t="shared" si="48"/>
        <v>#VALUE!</v>
      </c>
      <c r="N1544" s="52" t="e">
        <f t="shared" si="49"/>
        <v>#VALUE!</v>
      </c>
    </row>
    <row r="1545" spans="1:14" x14ac:dyDescent="0.3">
      <c r="A1545" t="str">
        <f>정규화데이터!A1545</f>
        <v>리씽크</v>
      </c>
      <c r="B1545" t="str">
        <f>정규화데이터!B1545</f>
        <v>2026021011221990000</v>
      </c>
      <c r="C1545" t="str">
        <f>정규화데이터!C1545</f>
        <v>2026-02-10</v>
      </c>
      <c r="D1545">
        <f>정규화데이터!D1545</f>
        <v>143790</v>
      </c>
      <c r="E1545" s="16" t="str">
        <f>정규화데이터!E1545</f>
        <v>SKU001</v>
      </c>
      <c r="F1545" s="3">
        <f>정규화데이터!F1545</f>
        <v>4</v>
      </c>
      <c r="G1545" s="3">
        <f>정규화데이터!G1545</f>
        <v>1</v>
      </c>
      <c r="H1545" s="3">
        <f>정규화데이터!H1545</f>
        <v>63000</v>
      </c>
      <c r="I1545" s="3">
        <f>정규화데이터!I1545</f>
        <v>63000</v>
      </c>
      <c r="J1545" s="3">
        <f>정규화데이터!J1545</f>
        <v>63000</v>
      </c>
      <c r="K1545" s="25" t="str">
        <f>정규화데이터!K1545</f>
        <v>[워커힐] 시그니처 양념갈비 300G</v>
      </c>
      <c r="L1545" s="25" t="e">
        <f>정규화데이터!L1545</f>
        <v>#VALUE!</v>
      </c>
      <c r="M1545" s="21" t="e">
        <f t="shared" si="48"/>
        <v>#VALUE!</v>
      </c>
      <c r="N1545" s="52" t="e">
        <f t="shared" si="49"/>
        <v>#VALUE!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"/>
  <sheetViews>
    <sheetView showGridLines="0" workbookViewId="0">
      <selection activeCell="B2" sqref="B2"/>
    </sheetView>
  </sheetViews>
  <sheetFormatPr defaultRowHeight="16.5" x14ac:dyDescent="0.3"/>
  <cols>
    <col min="1" max="1" width="9.25" style="64" bestFit="1" customWidth="1"/>
    <col min="2" max="4" width="12.625" style="64" bestFit="1" customWidth="1"/>
    <col min="5" max="5" width="11.25" style="64" bestFit="1" customWidth="1"/>
    <col min="6" max="6" width="14.625" style="64" bestFit="1" customWidth="1"/>
    <col min="10" max="10" width="11.25" style="64" bestFit="1" customWidth="1"/>
  </cols>
  <sheetData>
    <row r="1" spans="1:11" x14ac:dyDescent="0.3">
      <c r="A1" s="29" t="s">
        <v>2533</v>
      </c>
      <c r="B1" s="1" t="s">
        <v>2534</v>
      </c>
      <c r="C1" s="1" t="s">
        <v>2535</v>
      </c>
      <c r="D1" s="1" t="s">
        <v>2536</v>
      </c>
      <c r="E1" s="6" t="s">
        <v>2537</v>
      </c>
      <c r="F1" s="6" t="s">
        <v>2538</v>
      </c>
      <c r="G1" s="6" t="s">
        <v>2539</v>
      </c>
      <c r="H1" s="6" t="s">
        <v>2540</v>
      </c>
      <c r="I1" s="6" t="s">
        <v>2541</v>
      </c>
      <c r="J1" s="32" t="s">
        <v>2542</v>
      </c>
      <c r="K1" s="32" t="s">
        <v>82</v>
      </c>
    </row>
    <row r="2" spans="1:11" x14ac:dyDescent="0.3">
      <c r="A2" s="2" t="s">
        <v>2543</v>
      </c>
      <c r="B2" s="25">
        <v>2400</v>
      </c>
      <c r="C2" s="33">
        <v>0</v>
      </c>
      <c r="D2" s="25">
        <v>1000</v>
      </c>
      <c r="E2" s="25">
        <v>850</v>
      </c>
      <c r="F2" s="25">
        <v>100</v>
      </c>
      <c r="G2" s="25">
        <v>100</v>
      </c>
      <c r="H2" s="25">
        <v>600</v>
      </c>
      <c r="I2" s="25">
        <v>0</v>
      </c>
      <c r="J2" s="26">
        <v>46065</v>
      </c>
      <c r="K2" t="s">
        <v>2544</v>
      </c>
    </row>
    <row r="4" spans="1:11" ht="17.25" customHeight="1" x14ac:dyDescent="0.3">
      <c r="A4" s="34" t="s">
        <v>2545</v>
      </c>
    </row>
    <row r="6" spans="1:11" x14ac:dyDescent="0.3">
      <c r="A6" s="35" t="s">
        <v>2546</v>
      </c>
      <c r="B6" t="s">
        <v>2547</v>
      </c>
    </row>
    <row r="8" spans="1:11" ht="17.25" customHeight="1" x14ac:dyDescent="0.3">
      <c r="A8" s="36" t="s">
        <v>2548</v>
      </c>
    </row>
    <row r="10" spans="1:11" x14ac:dyDescent="0.3">
      <c r="A10" s="7" t="s">
        <v>2549</v>
      </c>
      <c r="B10" t="s">
        <v>2550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16"/>
  <sheetViews>
    <sheetView topLeftCell="U1" workbookViewId="0">
      <selection activeCell="AK22" sqref="AK22"/>
    </sheetView>
  </sheetViews>
  <sheetFormatPr defaultRowHeight="16.5" x14ac:dyDescent="0.3"/>
  <sheetData>
    <row r="1" spans="1:40" x14ac:dyDescent="0.3">
      <c r="A1" t="s">
        <v>2551</v>
      </c>
      <c r="B1" t="s">
        <v>2552</v>
      </c>
      <c r="C1" t="s">
        <v>205</v>
      </c>
      <c r="D1" t="s">
        <v>2553</v>
      </c>
      <c r="E1" t="s">
        <v>2554</v>
      </c>
      <c r="F1" t="s">
        <v>2555</v>
      </c>
      <c r="G1" t="s">
        <v>2556</v>
      </c>
      <c r="H1" t="s">
        <v>2557</v>
      </c>
      <c r="I1" t="s">
        <v>2558</v>
      </c>
      <c r="J1" t="s">
        <v>2502</v>
      </c>
      <c r="K1" t="s">
        <v>2559</v>
      </c>
      <c r="L1" t="s">
        <v>2560</v>
      </c>
      <c r="M1" t="s">
        <v>2561</v>
      </c>
      <c r="N1" t="s">
        <v>2562</v>
      </c>
      <c r="O1" t="s">
        <v>2563</v>
      </c>
      <c r="P1" t="s">
        <v>2564</v>
      </c>
      <c r="Q1" t="s">
        <v>2565</v>
      </c>
      <c r="R1" t="s">
        <v>2566</v>
      </c>
      <c r="S1" t="s">
        <v>2567</v>
      </c>
      <c r="T1" t="s">
        <v>2568</v>
      </c>
      <c r="U1" t="s">
        <v>2569</v>
      </c>
      <c r="V1" t="s">
        <v>2570</v>
      </c>
      <c r="W1" t="s">
        <v>2571</v>
      </c>
      <c r="X1" t="s">
        <v>2572</v>
      </c>
      <c r="Y1" t="s">
        <v>2573</v>
      </c>
      <c r="Z1" t="s">
        <v>2574</v>
      </c>
      <c r="AA1" t="s">
        <v>2575</v>
      </c>
      <c r="AB1" t="s">
        <v>2576</v>
      </c>
      <c r="AC1" t="s">
        <v>2577</v>
      </c>
      <c r="AD1" t="s">
        <v>2578</v>
      </c>
      <c r="AE1" t="s">
        <v>2579</v>
      </c>
      <c r="AF1" t="s">
        <v>2580</v>
      </c>
      <c r="AG1" t="s">
        <v>2581</v>
      </c>
      <c r="AH1" t="s">
        <v>2582</v>
      </c>
      <c r="AI1" t="s">
        <v>2583</v>
      </c>
      <c r="AJ1" t="s">
        <v>2584</v>
      </c>
      <c r="AK1" t="s">
        <v>2585</v>
      </c>
      <c r="AL1" t="s">
        <v>2586</v>
      </c>
      <c r="AM1" t="s">
        <v>2587</v>
      </c>
      <c r="AN1" t="s">
        <v>2588</v>
      </c>
    </row>
    <row r="2" spans="1:40" x14ac:dyDescent="0.3">
      <c r="A2">
        <v>1</v>
      </c>
      <c r="B2">
        <v>651343802793997</v>
      </c>
      <c r="C2">
        <v>12100169248866</v>
      </c>
      <c r="D2" t="s">
        <v>2589</v>
      </c>
      <c r="F2" t="s">
        <v>2590</v>
      </c>
      <c r="H2" s="26">
        <v>46058</v>
      </c>
      <c r="J2" s="50">
        <v>46057.870208333326</v>
      </c>
      <c r="K2" t="s">
        <v>184</v>
      </c>
      <c r="L2" t="s">
        <v>2591</v>
      </c>
      <c r="M2" t="s">
        <v>2592</v>
      </c>
      <c r="N2">
        <v>9354612220</v>
      </c>
      <c r="O2">
        <v>94659124876</v>
      </c>
      <c r="P2" t="s">
        <v>2593</v>
      </c>
      <c r="S2">
        <v>20900</v>
      </c>
      <c r="T2" t="s">
        <v>2594</v>
      </c>
      <c r="U2">
        <v>0</v>
      </c>
      <c r="V2">
        <v>0</v>
      </c>
      <c r="W2">
        <v>1</v>
      </c>
      <c r="X2">
        <v>20900</v>
      </c>
      <c r="Y2" t="s">
        <v>2595</v>
      </c>
      <c r="Z2" t="s">
        <v>2596</v>
      </c>
      <c r="AA2" t="s">
        <v>2595</v>
      </c>
      <c r="AB2" t="s">
        <v>2596</v>
      </c>
      <c r="AC2">
        <v>10021</v>
      </c>
      <c r="AD2" t="s">
        <v>2597</v>
      </c>
      <c r="AE2" t="s">
        <v>2598</v>
      </c>
      <c r="AM2" t="s">
        <v>2599</v>
      </c>
      <c r="AN2" t="s">
        <v>2600</v>
      </c>
    </row>
    <row r="3" spans="1:40" x14ac:dyDescent="0.3">
      <c r="A3">
        <v>2</v>
      </c>
      <c r="B3">
        <v>651376581296215</v>
      </c>
      <c r="C3">
        <v>28100169339326</v>
      </c>
      <c r="D3" t="s">
        <v>2589</v>
      </c>
      <c r="F3" t="s">
        <v>2590</v>
      </c>
      <c r="H3" s="26">
        <v>46058</v>
      </c>
      <c r="J3" s="50">
        <v>46057.9606712963</v>
      </c>
      <c r="K3" t="s">
        <v>184</v>
      </c>
      <c r="L3" t="s">
        <v>2591</v>
      </c>
      <c r="M3" t="s">
        <v>2592</v>
      </c>
      <c r="N3">
        <v>9354612220</v>
      </c>
      <c r="O3">
        <v>94659124876</v>
      </c>
      <c r="P3" t="s">
        <v>2593</v>
      </c>
      <c r="S3">
        <v>20900</v>
      </c>
      <c r="T3" t="s">
        <v>2594</v>
      </c>
      <c r="U3">
        <v>0</v>
      </c>
      <c r="V3">
        <v>0</v>
      </c>
      <c r="W3">
        <v>1</v>
      </c>
      <c r="X3">
        <v>20900</v>
      </c>
      <c r="Y3" t="s">
        <v>2601</v>
      </c>
      <c r="Z3" t="s">
        <v>2602</v>
      </c>
      <c r="AA3" t="s">
        <v>2601</v>
      </c>
      <c r="AB3" t="s">
        <v>2602</v>
      </c>
      <c r="AC3">
        <v>2535</v>
      </c>
      <c r="AD3" t="s">
        <v>2603</v>
      </c>
      <c r="AE3" t="s">
        <v>2598</v>
      </c>
      <c r="AM3" t="s">
        <v>2604</v>
      </c>
      <c r="AN3" t="s">
        <v>2600</v>
      </c>
    </row>
    <row r="4" spans="1:40" x14ac:dyDescent="0.3">
      <c r="A4">
        <v>3</v>
      </c>
      <c r="B4">
        <v>651516109013044</v>
      </c>
      <c r="C4">
        <v>30100169868577</v>
      </c>
      <c r="D4" t="s">
        <v>2589</v>
      </c>
      <c r="F4" t="s">
        <v>2590</v>
      </c>
      <c r="H4" s="26">
        <v>46059</v>
      </c>
      <c r="J4" s="50">
        <v>46058.345706018517</v>
      </c>
      <c r="K4" t="s">
        <v>184</v>
      </c>
      <c r="L4" t="s">
        <v>2591</v>
      </c>
      <c r="M4" t="s">
        <v>2592</v>
      </c>
      <c r="N4">
        <v>9354612220</v>
      </c>
      <c r="O4">
        <v>94659124876</v>
      </c>
      <c r="P4" t="s">
        <v>2593</v>
      </c>
      <c r="S4">
        <v>62700</v>
      </c>
      <c r="T4" t="s">
        <v>2594</v>
      </c>
      <c r="U4">
        <v>0</v>
      </c>
      <c r="V4">
        <v>0</v>
      </c>
      <c r="W4">
        <v>3</v>
      </c>
      <c r="X4">
        <v>20900</v>
      </c>
      <c r="Y4" t="s">
        <v>2605</v>
      </c>
      <c r="Z4" t="s">
        <v>2606</v>
      </c>
      <c r="AA4" t="s">
        <v>2605</v>
      </c>
      <c r="AB4" t="s">
        <v>2606</v>
      </c>
      <c r="AC4">
        <v>31168</v>
      </c>
      <c r="AD4" t="s">
        <v>2607</v>
      </c>
      <c r="AE4" t="s">
        <v>2598</v>
      </c>
      <c r="AM4" t="s">
        <v>2599</v>
      </c>
      <c r="AN4" t="s">
        <v>2600</v>
      </c>
    </row>
    <row r="5" spans="1:40" x14ac:dyDescent="0.3">
      <c r="A5">
        <v>1</v>
      </c>
      <c r="B5">
        <v>651643817082938</v>
      </c>
      <c r="C5">
        <v>19100169693948</v>
      </c>
      <c r="D5" t="s">
        <v>2589</v>
      </c>
      <c r="F5" t="s">
        <v>2590</v>
      </c>
      <c r="H5" s="26">
        <v>46062</v>
      </c>
      <c r="J5" s="50">
        <v>46058.698101851849</v>
      </c>
      <c r="K5" t="s">
        <v>184</v>
      </c>
      <c r="L5" t="s">
        <v>2591</v>
      </c>
      <c r="M5" t="s">
        <v>2592</v>
      </c>
      <c r="N5">
        <v>9354612220</v>
      </c>
      <c r="O5">
        <v>94659124876</v>
      </c>
      <c r="P5" t="s">
        <v>2593</v>
      </c>
      <c r="S5">
        <v>20900</v>
      </c>
      <c r="T5" t="s">
        <v>2594</v>
      </c>
      <c r="U5">
        <v>0</v>
      </c>
      <c r="V5">
        <v>0</v>
      </c>
      <c r="W5">
        <v>1</v>
      </c>
      <c r="X5">
        <v>20900</v>
      </c>
      <c r="Y5" t="s">
        <v>2608</v>
      </c>
      <c r="Z5" t="s">
        <v>2609</v>
      </c>
      <c r="AA5" t="s">
        <v>2608</v>
      </c>
      <c r="AB5" t="s">
        <v>2609</v>
      </c>
      <c r="AC5">
        <v>25919</v>
      </c>
      <c r="AD5" t="s">
        <v>2610</v>
      </c>
      <c r="AE5" t="s">
        <v>2598</v>
      </c>
      <c r="AM5" t="s">
        <v>2599</v>
      </c>
      <c r="AN5" t="s">
        <v>2600</v>
      </c>
    </row>
    <row r="6" spans="1:40" x14ac:dyDescent="0.3">
      <c r="A6">
        <v>2</v>
      </c>
      <c r="B6">
        <v>651742110662698</v>
      </c>
      <c r="C6">
        <v>26100169614931</v>
      </c>
      <c r="D6" t="s">
        <v>2589</v>
      </c>
      <c r="F6" t="s">
        <v>2590</v>
      </c>
      <c r="H6" s="26">
        <v>46062</v>
      </c>
      <c r="J6" s="50">
        <v>46058.969236111108</v>
      </c>
      <c r="K6" t="s">
        <v>184</v>
      </c>
      <c r="L6" t="s">
        <v>2611</v>
      </c>
      <c r="M6" t="s">
        <v>2612</v>
      </c>
      <c r="N6">
        <v>9354612220</v>
      </c>
      <c r="O6">
        <v>94659124877</v>
      </c>
      <c r="P6" t="s">
        <v>2613</v>
      </c>
      <c r="S6">
        <v>40000</v>
      </c>
      <c r="T6" t="s">
        <v>2594</v>
      </c>
      <c r="U6">
        <v>0</v>
      </c>
      <c r="V6">
        <v>0</v>
      </c>
      <c r="W6">
        <v>1</v>
      </c>
      <c r="X6">
        <v>40000</v>
      </c>
      <c r="Y6" t="s">
        <v>2614</v>
      </c>
      <c r="Z6" t="s">
        <v>2615</v>
      </c>
      <c r="AA6" t="s">
        <v>2614</v>
      </c>
      <c r="AB6" t="s">
        <v>2615</v>
      </c>
      <c r="AC6">
        <v>1402</v>
      </c>
      <c r="AD6" t="s">
        <v>2616</v>
      </c>
      <c r="AE6" t="s">
        <v>2598</v>
      </c>
      <c r="AM6" t="s">
        <v>2599</v>
      </c>
      <c r="AN6" t="s">
        <v>2600</v>
      </c>
    </row>
    <row r="7" spans="1:40" x14ac:dyDescent="0.3">
      <c r="A7">
        <v>1</v>
      </c>
      <c r="B7">
        <v>652449983266836</v>
      </c>
      <c r="C7">
        <v>7100170513612</v>
      </c>
      <c r="D7" t="s">
        <v>2589</v>
      </c>
      <c r="F7" t="s">
        <v>2590</v>
      </c>
      <c r="H7" s="26">
        <v>46064</v>
      </c>
      <c r="J7" s="50">
        <v>46060.922696759262</v>
      </c>
      <c r="K7" t="s">
        <v>184</v>
      </c>
      <c r="L7" t="s">
        <v>2617</v>
      </c>
      <c r="M7" t="s">
        <v>2618</v>
      </c>
      <c r="N7">
        <v>9361402632</v>
      </c>
      <c r="O7">
        <v>94659124878</v>
      </c>
      <c r="P7" t="s">
        <v>2619</v>
      </c>
      <c r="S7">
        <v>78000</v>
      </c>
      <c r="T7" t="s">
        <v>2594</v>
      </c>
      <c r="U7">
        <v>0</v>
      </c>
      <c r="V7">
        <v>0</v>
      </c>
      <c r="W7">
        <v>1</v>
      </c>
      <c r="X7">
        <v>78000</v>
      </c>
      <c r="Y7" t="s">
        <v>2620</v>
      </c>
      <c r="Z7" t="s">
        <v>2621</v>
      </c>
      <c r="AA7" t="s">
        <v>2620</v>
      </c>
      <c r="AB7" t="s">
        <v>2621</v>
      </c>
      <c r="AC7">
        <v>8291</v>
      </c>
      <c r="AD7" t="s">
        <v>2622</v>
      </c>
      <c r="AE7" t="s">
        <v>2598</v>
      </c>
      <c r="AM7" t="s">
        <v>2604</v>
      </c>
      <c r="AN7" t="s">
        <v>2600</v>
      </c>
    </row>
    <row r="8" spans="1:40" x14ac:dyDescent="0.3">
      <c r="A8">
        <v>2</v>
      </c>
      <c r="B8">
        <v>652750438154320</v>
      </c>
      <c r="C8">
        <v>32100170207333</v>
      </c>
      <c r="D8" t="s">
        <v>2589</v>
      </c>
      <c r="F8" t="s">
        <v>2590</v>
      </c>
      <c r="H8" s="26">
        <v>46064</v>
      </c>
      <c r="J8" s="50">
        <v>46061.751793981479</v>
      </c>
      <c r="K8" t="s">
        <v>184</v>
      </c>
      <c r="L8" t="s">
        <v>2617</v>
      </c>
      <c r="M8" t="s">
        <v>2618</v>
      </c>
      <c r="N8">
        <v>9361402632</v>
      </c>
      <c r="O8">
        <v>94659124878</v>
      </c>
      <c r="P8" t="s">
        <v>2619</v>
      </c>
      <c r="S8">
        <v>78000</v>
      </c>
      <c r="T8" t="s">
        <v>2594</v>
      </c>
      <c r="U8">
        <v>0</v>
      </c>
      <c r="V8">
        <v>0</v>
      </c>
      <c r="W8">
        <v>1</v>
      </c>
      <c r="X8">
        <v>78000</v>
      </c>
      <c r="Y8" t="s">
        <v>2623</v>
      </c>
      <c r="Z8" t="s">
        <v>2624</v>
      </c>
      <c r="AA8" t="s">
        <v>2623</v>
      </c>
      <c r="AB8" t="s">
        <v>2624</v>
      </c>
      <c r="AC8">
        <v>5209</v>
      </c>
      <c r="AD8" t="s">
        <v>2625</v>
      </c>
      <c r="AE8" t="s">
        <v>2598</v>
      </c>
      <c r="AM8" t="s">
        <v>2599</v>
      </c>
      <c r="AN8" t="s">
        <v>2600</v>
      </c>
    </row>
    <row r="9" spans="1:40" x14ac:dyDescent="0.3">
      <c r="A9">
        <v>1</v>
      </c>
      <c r="B9">
        <v>653046421766198</v>
      </c>
      <c r="C9">
        <v>18100170248996</v>
      </c>
      <c r="D9" t="s">
        <v>2589</v>
      </c>
      <c r="F9" t="s">
        <v>2590</v>
      </c>
      <c r="H9" s="26">
        <v>46064</v>
      </c>
      <c r="J9" s="50">
        <v>46062.549432870372</v>
      </c>
      <c r="K9" t="s">
        <v>184</v>
      </c>
      <c r="L9" t="s">
        <v>2611</v>
      </c>
      <c r="M9" t="s">
        <v>2612</v>
      </c>
      <c r="N9">
        <v>9354612220</v>
      </c>
      <c r="O9">
        <v>94659124877</v>
      </c>
      <c r="P9" t="s">
        <v>2613</v>
      </c>
      <c r="S9">
        <v>40000</v>
      </c>
      <c r="T9" t="s">
        <v>2594</v>
      </c>
      <c r="U9">
        <v>0</v>
      </c>
      <c r="V9">
        <v>0</v>
      </c>
      <c r="W9">
        <v>1</v>
      </c>
      <c r="X9">
        <v>40000</v>
      </c>
      <c r="Y9" t="s">
        <v>2626</v>
      </c>
      <c r="Z9" t="s">
        <v>2627</v>
      </c>
      <c r="AA9" t="s">
        <v>2626</v>
      </c>
      <c r="AB9" t="s">
        <v>2627</v>
      </c>
      <c r="AC9">
        <v>4420</v>
      </c>
      <c r="AD9" t="s">
        <v>2628</v>
      </c>
      <c r="AE9" t="s">
        <v>2598</v>
      </c>
      <c r="AM9" t="s">
        <v>2629</v>
      </c>
      <c r="AN9" t="s">
        <v>2600</v>
      </c>
    </row>
    <row r="10" spans="1:40" x14ac:dyDescent="0.3">
      <c r="A10">
        <v>1</v>
      </c>
      <c r="B10">
        <v>653459095158797</v>
      </c>
      <c r="C10">
        <v>9100170443201</v>
      </c>
      <c r="D10" t="s">
        <v>2589</v>
      </c>
      <c r="F10" t="s">
        <v>2590</v>
      </c>
      <c r="H10" s="26">
        <v>46065</v>
      </c>
      <c r="J10" s="50">
        <v>46063.707314814812</v>
      </c>
      <c r="K10" t="s">
        <v>184</v>
      </c>
      <c r="L10" t="s">
        <v>2617</v>
      </c>
      <c r="M10" t="s">
        <v>2618</v>
      </c>
      <c r="N10">
        <v>9361402632</v>
      </c>
      <c r="O10">
        <v>94659124878</v>
      </c>
      <c r="P10" t="s">
        <v>2619</v>
      </c>
      <c r="S10">
        <v>78000</v>
      </c>
      <c r="T10" t="s">
        <v>2594</v>
      </c>
      <c r="U10">
        <v>0</v>
      </c>
      <c r="V10">
        <v>0</v>
      </c>
      <c r="W10">
        <v>1</v>
      </c>
      <c r="X10">
        <v>78000</v>
      </c>
      <c r="Y10" t="s">
        <v>2630</v>
      </c>
      <c r="Z10" t="s">
        <v>2631</v>
      </c>
      <c r="AA10" t="s">
        <v>2630</v>
      </c>
      <c r="AB10" t="s">
        <v>2631</v>
      </c>
      <c r="AC10">
        <v>3978</v>
      </c>
      <c r="AD10" t="s">
        <v>2632</v>
      </c>
      <c r="AE10" t="s">
        <v>2598</v>
      </c>
      <c r="AM10" t="s">
        <v>2599</v>
      </c>
      <c r="AN10" t="s">
        <v>2600</v>
      </c>
    </row>
    <row r="11" spans="1:40" x14ac:dyDescent="0.3">
      <c r="A11">
        <v>2</v>
      </c>
      <c r="B11">
        <v>653472424656948</v>
      </c>
      <c r="C11">
        <v>9100170453124</v>
      </c>
      <c r="D11" t="s">
        <v>2589</v>
      </c>
      <c r="F11" t="s">
        <v>2590</v>
      </c>
      <c r="H11" s="26">
        <v>46065</v>
      </c>
      <c r="J11" s="50">
        <v>46063.744108796287</v>
      </c>
      <c r="K11" t="s">
        <v>184</v>
      </c>
      <c r="L11" t="s">
        <v>2617</v>
      </c>
      <c r="M11" t="s">
        <v>2618</v>
      </c>
      <c r="N11">
        <v>9361402632</v>
      </c>
      <c r="O11">
        <v>94659124878</v>
      </c>
      <c r="P11" t="s">
        <v>2619</v>
      </c>
      <c r="S11">
        <v>78000</v>
      </c>
      <c r="T11" t="s">
        <v>2594</v>
      </c>
      <c r="U11">
        <v>0</v>
      </c>
      <c r="V11">
        <v>0</v>
      </c>
      <c r="W11">
        <v>1</v>
      </c>
      <c r="X11">
        <v>78000</v>
      </c>
      <c r="Y11" t="s">
        <v>2633</v>
      </c>
      <c r="Z11" t="s">
        <v>2634</v>
      </c>
      <c r="AA11" t="s">
        <v>2633</v>
      </c>
      <c r="AB11" t="s">
        <v>2634</v>
      </c>
      <c r="AC11">
        <v>10423</v>
      </c>
      <c r="AD11" t="s">
        <v>2635</v>
      </c>
      <c r="AE11" t="s">
        <v>2598</v>
      </c>
      <c r="AM11" t="s">
        <v>2599</v>
      </c>
      <c r="AN11" t="s">
        <v>2600</v>
      </c>
    </row>
    <row r="12" spans="1:40" x14ac:dyDescent="0.3">
      <c r="A12">
        <v>3</v>
      </c>
      <c r="B12">
        <v>653527206477885</v>
      </c>
      <c r="C12">
        <v>16100171241527</v>
      </c>
      <c r="D12" t="s">
        <v>2589</v>
      </c>
      <c r="F12" t="s">
        <v>2590</v>
      </c>
      <c r="H12" s="26">
        <v>46065</v>
      </c>
      <c r="J12" s="50">
        <v>46063.895243055558</v>
      </c>
      <c r="K12" t="s">
        <v>184</v>
      </c>
      <c r="L12" t="s">
        <v>2611</v>
      </c>
      <c r="M12" t="s">
        <v>2612</v>
      </c>
      <c r="N12">
        <v>9354612220</v>
      </c>
      <c r="O12">
        <v>94659124877</v>
      </c>
      <c r="P12" t="s">
        <v>2613</v>
      </c>
      <c r="S12">
        <v>40000</v>
      </c>
      <c r="T12" t="s">
        <v>2594</v>
      </c>
      <c r="U12">
        <v>0</v>
      </c>
      <c r="V12">
        <v>0</v>
      </c>
      <c r="W12">
        <v>1</v>
      </c>
      <c r="X12">
        <v>40000</v>
      </c>
      <c r="Y12" t="s">
        <v>2636</v>
      </c>
      <c r="Z12" t="s">
        <v>2637</v>
      </c>
      <c r="AA12" t="s">
        <v>2636</v>
      </c>
      <c r="AB12" t="s">
        <v>2637</v>
      </c>
      <c r="AC12">
        <v>13928</v>
      </c>
      <c r="AD12" t="s">
        <v>2638</v>
      </c>
      <c r="AE12" t="s">
        <v>2639</v>
      </c>
      <c r="AM12" t="s">
        <v>2599</v>
      </c>
      <c r="AN12" t="s">
        <v>2600</v>
      </c>
    </row>
    <row r="13" spans="1:40" x14ac:dyDescent="0.3">
      <c r="A13">
        <v>1</v>
      </c>
      <c r="B13">
        <v>653724598698045</v>
      </c>
      <c r="C13">
        <v>32100170791524</v>
      </c>
      <c r="D13" t="s">
        <v>2589</v>
      </c>
      <c r="F13" t="s">
        <v>2590</v>
      </c>
      <c r="H13" s="26">
        <v>46066</v>
      </c>
      <c r="J13" s="50">
        <v>46064.439965277779</v>
      </c>
      <c r="K13" t="s">
        <v>184</v>
      </c>
      <c r="L13" t="s">
        <v>2617</v>
      </c>
      <c r="M13" t="s">
        <v>2618</v>
      </c>
      <c r="N13">
        <v>9361402632</v>
      </c>
      <c r="O13">
        <v>94659124878</v>
      </c>
      <c r="P13" t="s">
        <v>2619</v>
      </c>
      <c r="S13">
        <v>78000</v>
      </c>
      <c r="T13" t="s">
        <v>2594</v>
      </c>
      <c r="U13">
        <v>0</v>
      </c>
      <c r="V13">
        <v>0</v>
      </c>
      <c r="W13">
        <v>1</v>
      </c>
      <c r="X13">
        <v>78000</v>
      </c>
      <c r="Y13" t="s">
        <v>2640</v>
      </c>
      <c r="Z13" t="s">
        <v>2641</v>
      </c>
      <c r="AA13" t="s">
        <v>2640</v>
      </c>
      <c r="AB13" t="s">
        <v>2641</v>
      </c>
      <c r="AC13">
        <v>5507</v>
      </c>
      <c r="AD13" t="s">
        <v>2642</v>
      </c>
      <c r="AE13" t="s">
        <v>2598</v>
      </c>
      <c r="AM13" t="s">
        <v>2599</v>
      </c>
      <c r="AN13" t="s">
        <v>2600</v>
      </c>
    </row>
    <row r="14" spans="1:40" x14ac:dyDescent="0.3">
      <c r="A14">
        <v>1</v>
      </c>
      <c r="B14">
        <v>653802805805124</v>
      </c>
      <c r="C14">
        <v>6100170728171</v>
      </c>
      <c r="D14" t="s">
        <v>2589</v>
      </c>
      <c r="F14" t="s">
        <v>2590</v>
      </c>
      <c r="H14" s="26">
        <v>46066</v>
      </c>
      <c r="J14" s="50">
        <v>46064.655659722222</v>
      </c>
      <c r="K14" t="s">
        <v>184</v>
      </c>
      <c r="L14" t="s">
        <v>2611</v>
      </c>
      <c r="M14" t="s">
        <v>2612</v>
      </c>
      <c r="N14">
        <v>9354612220</v>
      </c>
      <c r="O14">
        <v>94659124877</v>
      </c>
      <c r="P14" t="s">
        <v>2613</v>
      </c>
      <c r="S14">
        <v>40000</v>
      </c>
      <c r="T14" t="s">
        <v>2594</v>
      </c>
      <c r="U14">
        <v>0</v>
      </c>
      <c r="V14">
        <v>0</v>
      </c>
      <c r="W14">
        <v>1</v>
      </c>
      <c r="X14">
        <v>40000</v>
      </c>
      <c r="Y14" t="s">
        <v>2643</v>
      </c>
      <c r="Z14" t="s">
        <v>2644</v>
      </c>
      <c r="AA14" t="s">
        <v>2643</v>
      </c>
      <c r="AB14" t="s">
        <v>2644</v>
      </c>
      <c r="AC14">
        <v>10422</v>
      </c>
      <c r="AD14" t="s">
        <v>2645</v>
      </c>
      <c r="AE14" t="s">
        <v>2646</v>
      </c>
      <c r="AM14" t="s">
        <v>2629</v>
      </c>
      <c r="AN14" t="s">
        <v>2600</v>
      </c>
    </row>
    <row r="15" spans="1:40" x14ac:dyDescent="0.3">
      <c r="A15">
        <v>2</v>
      </c>
      <c r="B15">
        <v>653809915150372</v>
      </c>
      <c r="C15">
        <v>17100170827220</v>
      </c>
      <c r="D15" t="s">
        <v>2589</v>
      </c>
      <c r="F15" t="s">
        <v>2590</v>
      </c>
      <c r="H15" s="26">
        <v>46066</v>
      </c>
      <c r="J15" s="50">
        <v>46064.675393518519</v>
      </c>
      <c r="K15" t="s">
        <v>184</v>
      </c>
      <c r="L15" t="s">
        <v>2611</v>
      </c>
      <c r="M15" t="s">
        <v>2612</v>
      </c>
      <c r="N15">
        <v>9354612220</v>
      </c>
      <c r="O15">
        <v>94659124877</v>
      </c>
      <c r="P15" t="s">
        <v>2613</v>
      </c>
      <c r="S15">
        <v>80000</v>
      </c>
      <c r="T15" t="s">
        <v>2594</v>
      </c>
      <c r="U15">
        <v>0</v>
      </c>
      <c r="V15">
        <v>0</v>
      </c>
      <c r="W15">
        <v>2</v>
      </c>
      <c r="X15">
        <v>40000</v>
      </c>
      <c r="Y15" t="s">
        <v>2647</v>
      </c>
      <c r="Z15" t="s">
        <v>2648</v>
      </c>
      <c r="AA15" t="s">
        <v>2647</v>
      </c>
      <c r="AB15" t="s">
        <v>2648</v>
      </c>
      <c r="AC15">
        <v>3020</v>
      </c>
      <c r="AD15" t="s">
        <v>2649</v>
      </c>
      <c r="AE15" t="s">
        <v>2650</v>
      </c>
      <c r="AM15" t="s">
        <v>2599</v>
      </c>
      <c r="AN15" t="s">
        <v>2600</v>
      </c>
    </row>
    <row r="16" spans="1:40" x14ac:dyDescent="0.3">
      <c r="A16">
        <v>3</v>
      </c>
      <c r="B16">
        <v>653823005442088</v>
      </c>
      <c r="C16">
        <v>20100171016693</v>
      </c>
      <c r="D16" t="s">
        <v>2589</v>
      </c>
      <c r="F16" t="s">
        <v>2590</v>
      </c>
      <c r="H16" s="26">
        <v>46066</v>
      </c>
      <c r="J16" s="50">
        <v>46064.711504629631</v>
      </c>
      <c r="K16" t="s">
        <v>184</v>
      </c>
      <c r="L16" t="s">
        <v>2591</v>
      </c>
      <c r="M16" t="s">
        <v>2592</v>
      </c>
      <c r="N16">
        <v>9361402619</v>
      </c>
      <c r="O16">
        <v>94659124876</v>
      </c>
      <c r="P16" t="s">
        <v>2593</v>
      </c>
      <c r="S16">
        <v>20900</v>
      </c>
      <c r="T16" t="s">
        <v>2594</v>
      </c>
      <c r="U16">
        <v>0</v>
      </c>
      <c r="V16">
        <v>0</v>
      </c>
      <c r="W16">
        <v>1</v>
      </c>
      <c r="X16">
        <v>20900</v>
      </c>
      <c r="Y16" t="s">
        <v>2651</v>
      </c>
      <c r="Z16" t="s">
        <v>2652</v>
      </c>
      <c r="AA16" t="s">
        <v>2651</v>
      </c>
      <c r="AB16" t="s">
        <v>2652</v>
      </c>
      <c r="AC16">
        <v>7291</v>
      </c>
      <c r="AD16" t="s">
        <v>2653</v>
      </c>
      <c r="AE16" t="s">
        <v>2598</v>
      </c>
      <c r="AM16" t="s">
        <v>2599</v>
      </c>
      <c r="AN16" t="s">
        <v>2600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T5"/>
  <sheetViews>
    <sheetView topLeftCell="AA1" workbookViewId="0">
      <selection activeCell="AJ3" sqref="AJ3"/>
    </sheetView>
  </sheetViews>
  <sheetFormatPr defaultRowHeight="16.5" x14ac:dyDescent="0.3"/>
  <sheetData>
    <row r="1" spans="1:72" x14ac:dyDescent="0.3">
      <c r="A1" t="s">
        <v>2654</v>
      </c>
      <c r="B1" t="s">
        <v>205</v>
      </c>
      <c r="C1" t="s">
        <v>2655</v>
      </c>
      <c r="D1" t="s">
        <v>2656</v>
      </c>
      <c r="E1" t="s">
        <v>2657</v>
      </c>
      <c r="F1" t="s">
        <v>2658</v>
      </c>
      <c r="G1" t="s">
        <v>2659</v>
      </c>
      <c r="H1" t="s">
        <v>2553</v>
      </c>
      <c r="I1" t="s">
        <v>2660</v>
      </c>
      <c r="J1" t="s">
        <v>2661</v>
      </c>
      <c r="K1" t="s">
        <v>2501</v>
      </c>
      <c r="L1" t="s">
        <v>2662</v>
      </c>
      <c r="M1" t="s">
        <v>2663</v>
      </c>
      <c r="N1" t="s">
        <v>2664</v>
      </c>
      <c r="O1" t="s">
        <v>2665</v>
      </c>
      <c r="P1" t="s">
        <v>2666</v>
      </c>
      <c r="Q1" t="s">
        <v>2667</v>
      </c>
      <c r="R1" t="s">
        <v>2587</v>
      </c>
      <c r="S1" t="s">
        <v>2668</v>
      </c>
      <c r="T1" t="s">
        <v>2669</v>
      </c>
      <c r="U1" t="s">
        <v>209</v>
      </c>
      <c r="V1" t="s">
        <v>2670</v>
      </c>
      <c r="W1" t="s">
        <v>2671</v>
      </c>
      <c r="X1" t="s">
        <v>2672</v>
      </c>
      <c r="Y1" t="s">
        <v>2673</v>
      </c>
      <c r="Z1" t="s">
        <v>2674</v>
      </c>
      <c r="AA1" t="s">
        <v>2675</v>
      </c>
      <c r="AB1" t="s">
        <v>2676</v>
      </c>
      <c r="AC1" t="s">
        <v>2677</v>
      </c>
      <c r="AD1" t="s">
        <v>2678</v>
      </c>
      <c r="AE1" t="s">
        <v>2679</v>
      </c>
      <c r="AF1" t="s">
        <v>2680</v>
      </c>
      <c r="AG1" t="s">
        <v>2681</v>
      </c>
      <c r="AH1" t="s">
        <v>2682</v>
      </c>
      <c r="AI1" t="s">
        <v>2683</v>
      </c>
      <c r="AJ1" t="s">
        <v>2684</v>
      </c>
      <c r="AK1" t="s">
        <v>2685</v>
      </c>
      <c r="AL1" t="s">
        <v>2686</v>
      </c>
      <c r="AM1" t="s">
        <v>2687</v>
      </c>
      <c r="AN1" t="s">
        <v>2688</v>
      </c>
      <c r="AO1" t="s">
        <v>2689</v>
      </c>
      <c r="AP1" t="s">
        <v>2690</v>
      </c>
      <c r="AQ1" t="s">
        <v>2691</v>
      </c>
      <c r="AR1" t="s">
        <v>2692</v>
      </c>
      <c r="AS1" t="s">
        <v>2693</v>
      </c>
      <c r="AT1" t="s">
        <v>2694</v>
      </c>
      <c r="AU1" t="s">
        <v>2695</v>
      </c>
      <c r="AV1" t="s">
        <v>2696</v>
      </c>
      <c r="AW1" t="s">
        <v>2697</v>
      </c>
      <c r="AX1" t="s">
        <v>2698</v>
      </c>
      <c r="AY1" t="s">
        <v>2699</v>
      </c>
      <c r="AZ1" t="s">
        <v>2700</v>
      </c>
      <c r="BA1" t="s">
        <v>2701</v>
      </c>
      <c r="BB1" t="s">
        <v>2702</v>
      </c>
      <c r="BC1" t="s">
        <v>2577</v>
      </c>
      <c r="BD1" t="s">
        <v>2579</v>
      </c>
      <c r="BE1" t="s">
        <v>2703</v>
      </c>
      <c r="BF1" t="s">
        <v>2704</v>
      </c>
      <c r="BG1" t="s">
        <v>2705</v>
      </c>
      <c r="BH1" t="s">
        <v>2706</v>
      </c>
      <c r="BI1" t="s">
        <v>2707</v>
      </c>
      <c r="BJ1" t="s">
        <v>2708</v>
      </c>
      <c r="BK1" t="s">
        <v>2709</v>
      </c>
      <c r="BL1" t="s">
        <v>2710</v>
      </c>
      <c r="BM1" t="s">
        <v>2711</v>
      </c>
      <c r="BN1" t="s">
        <v>2712</v>
      </c>
      <c r="BO1" t="s">
        <v>2713</v>
      </c>
      <c r="BP1" t="s">
        <v>2714</v>
      </c>
      <c r="BQ1" t="s">
        <v>2715</v>
      </c>
      <c r="BR1" t="s">
        <v>2716</v>
      </c>
      <c r="BS1" t="s">
        <v>2717</v>
      </c>
      <c r="BT1" t="s">
        <v>2718</v>
      </c>
    </row>
    <row r="2" spans="1:72" x14ac:dyDescent="0.3">
      <c r="A2">
        <v>2026020586412210</v>
      </c>
      <c r="B2">
        <v>2026020586548500</v>
      </c>
      <c r="C2" t="s">
        <v>2719</v>
      </c>
      <c r="E2" t="s">
        <v>2589</v>
      </c>
      <c r="F2" t="s">
        <v>2720</v>
      </c>
      <c r="G2" t="s">
        <v>2720</v>
      </c>
      <c r="J2" s="50">
        <v>46058.380254629628</v>
      </c>
      <c r="K2" t="s">
        <v>2721</v>
      </c>
      <c r="L2" t="s">
        <v>2722</v>
      </c>
      <c r="M2" t="s">
        <v>2723</v>
      </c>
      <c r="N2" t="s">
        <v>2722</v>
      </c>
      <c r="O2" t="s">
        <v>2724</v>
      </c>
      <c r="P2" t="s">
        <v>2725</v>
      </c>
      <c r="Q2" t="s">
        <v>2726</v>
      </c>
      <c r="R2" t="s">
        <v>2727</v>
      </c>
      <c r="S2" s="50">
        <v>46058.378981481481</v>
      </c>
      <c r="T2">
        <v>13026511254</v>
      </c>
      <c r="U2" t="s">
        <v>190</v>
      </c>
      <c r="V2" t="s">
        <v>2728</v>
      </c>
      <c r="W2" t="s">
        <v>2729</v>
      </c>
      <c r="X2" t="s">
        <v>2729</v>
      </c>
      <c r="AA2">
        <v>1</v>
      </c>
      <c r="AB2">
        <v>0</v>
      </c>
      <c r="AC2">
        <v>45800</v>
      </c>
      <c r="AD2">
        <v>11900</v>
      </c>
      <c r="AE2">
        <v>11900</v>
      </c>
      <c r="AF2">
        <v>11900</v>
      </c>
      <c r="AG2">
        <v>33900</v>
      </c>
      <c r="AH2">
        <v>33900</v>
      </c>
      <c r="AJ2" s="50">
        <v>46058.379687499997</v>
      </c>
      <c r="AK2" s="50">
        <v>46063.999988425923</v>
      </c>
      <c r="AN2" t="s">
        <v>2594</v>
      </c>
      <c r="AO2">
        <v>2026020512542320</v>
      </c>
      <c r="AP2" t="s">
        <v>2730</v>
      </c>
      <c r="AQ2">
        <v>0</v>
      </c>
      <c r="AR2">
        <v>0</v>
      </c>
      <c r="AS2">
        <v>0</v>
      </c>
      <c r="AT2" t="s">
        <v>189</v>
      </c>
      <c r="AW2" t="s">
        <v>2731</v>
      </c>
      <c r="AY2" t="s">
        <v>2732</v>
      </c>
      <c r="AZ2" t="s">
        <v>2733</v>
      </c>
      <c r="BA2" t="s">
        <v>2734</v>
      </c>
      <c r="BB2" t="s">
        <v>2731</v>
      </c>
      <c r="BC2">
        <v>8279</v>
      </c>
      <c r="BE2" t="s">
        <v>2735</v>
      </c>
      <c r="BF2" t="s">
        <v>2736</v>
      </c>
      <c r="BG2">
        <v>-1230</v>
      </c>
      <c r="BH2">
        <v>-1017</v>
      </c>
      <c r="BI2">
        <v>31653</v>
      </c>
      <c r="BK2" s="50">
        <v>46058.378900462973</v>
      </c>
    </row>
    <row r="3" spans="1:72" x14ac:dyDescent="0.3">
      <c r="A3">
        <v>2026020586046790</v>
      </c>
      <c r="B3">
        <v>2026020586295070</v>
      </c>
      <c r="C3" t="s">
        <v>2719</v>
      </c>
      <c r="E3" t="s">
        <v>2589</v>
      </c>
      <c r="F3" t="s">
        <v>2720</v>
      </c>
      <c r="G3" t="s">
        <v>2720</v>
      </c>
      <c r="J3" s="50">
        <v>46058.380254629628</v>
      </c>
      <c r="K3" t="s">
        <v>2721</v>
      </c>
      <c r="L3" t="s">
        <v>2737</v>
      </c>
      <c r="M3" t="s">
        <v>2738</v>
      </c>
      <c r="N3" t="s">
        <v>2737</v>
      </c>
      <c r="O3" t="s">
        <v>2724</v>
      </c>
      <c r="P3" t="s">
        <v>2725</v>
      </c>
      <c r="Q3" t="s">
        <v>2726</v>
      </c>
      <c r="R3" t="s">
        <v>2727</v>
      </c>
      <c r="S3" s="50">
        <v>46058.370868055557</v>
      </c>
      <c r="T3">
        <v>13026511253</v>
      </c>
      <c r="U3" t="s">
        <v>186</v>
      </c>
      <c r="V3" t="s">
        <v>2728</v>
      </c>
      <c r="W3" t="s">
        <v>2729</v>
      </c>
      <c r="X3" t="s">
        <v>2729</v>
      </c>
      <c r="AA3">
        <v>1</v>
      </c>
      <c r="AB3">
        <v>0</v>
      </c>
      <c r="AC3">
        <v>22900</v>
      </c>
      <c r="AD3">
        <v>5100</v>
      </c>
      <c r="AE3">
        <v>5100</v>
      </c>
      <c r="AF3">
        <v>5100</v>
      </c>
      <c r="AG3">
        <v>17800</v>
      </c>
      <c r="AH3">
        <v>17800</v>
      </c>
      <c r="AJ3" s="50">
        <v>46058.375648148147</v>
      </c>
      <c r="AK3" s="50">
        <v>46063.999988425923</v>
      </c>
      <c r="AN3" t="s">
        <v>2594</v>
      </c>
      <c r="AO3">
        <v>2026020512493880</v>
      </c>
      <c r="AP3" t="s">
        <v>2730</v>
      </c>
      <c r="AQ3">
        <v>0</v>
      </c>
      <c r="AR3">
        <v>0</v>
      </c>
      <c r="AS3">
        <v>0</v>
      </c>
      <c r="AT3" t="s">
        <v>185</v>
      </c>
      <c r="AW3" t="s">
        <v>2739</v>
      </c>
      <c r="AY3" t="s">
        <v>2740</v>
      </c>
      <c r="AZ3" t="s">
        <v>2741</v>
      </c>
      <c r="BA3" t="s">
        <v>2742</v>
      </c>
      <c r="BB3" t="s">
        <v>2739</v>
      </c>
      <c r="BC3">
        <v>2533</v>
      </c>
      <c r="BE3" t="s">
        <v>2735</v>
      </c>
      <c r="BF3" t="s">
        <v>2736</v>
      </c>
      <c r="BG3">
        <v>-646</v>
      </c>
      <c r="BH3">
        <v>-534</v>
      </c>
      <c r="BI3">
        <v>16620</v>
      </c>
      <c r="BK3" s="50">
        <v>46058.370787037027</v>
      </c>
    </row>
    <row r="4" spans="1:72" x14ac:dyDescent="0.3">
      <c r="A4">
        <v>2026020477087660</v>
      </c>
      <c r="B4">
        <v>2026020480361830</v>
      </c>
      <c r="C4" t="s">
        <v>2719</v>
      </c>
      <c r="E4" t="s">
        <v>2589</v>
      </c>
      <c r="F4" t="s">
        <v>2720</v>
      </c>
      <c r="G4" t="s">
        <v>2720</v>
      </c>
      <c r="J4" s="50">
        <v>46058.380254629628</v>
      </c>
      <c r="K4" t="s">
        <v>2721</v>
      </c>
      <c r="L4" t="s">
        <v>2601</v>
      </c>
      <c r="M4" t="s">
        <v>2743</v>
      </c>
      <c r="N4" t="s">
        <v>2601</v>
      </c>
      <c r="O4" t="s">
        <v>2724</v>
      </c>
      <c r="P4" t="s">
        <v>2725</v>
      </c>
      <c r="Q4" t="s">
        <v>2726</v>
      </c>
      <c r="R4" t="s">
        <v>2744</v>
      </c>
      <c r="S4" s="50">
        <v>46057.952418981477</v>
      </c>
      <c r="T4">
        <v>13026511253</v>
      </c>
      <c r="U4" t="s">
        <v>186</v>
      </c>
      <c r="V4" t="s">
        <v>2728</v>
      </c>
      <c r="W4" t="s">
        <v>2729</v>
      </c>
      <c r="X4" t="s">
        <v>2729</v>
      </c>
      <c r="AA4">
        <v>1</v>
      </c>
      <c r="AB4">
        <v>0</v>
      </c>
      <c r="AC4">
        <v>22900</v>
      </c>
      <c r="AD4">
        <v>5100</v>
      </c>
      <c r="AE4">
        <v>5100</v>
      </c>
      <c r="AF4">
        <v>5100</v>
      </c>
      <c r="AG4">
        <v>17800</v>
      </c>
      <c r="AH4">
        <v>17800</v>
      </c>
      <c r="AJ4" s="50">
        <v>46058.375648148147</v>
      </c>
      <c r="AK4" s="50">
        <v>46062.999988425923</v>
      </c>
      <c r="AN4" t="s">
        <v>2594</v>
      </c>
      <c r="AO4">
        <v>2026020411359520</v>
      </c>
      <c r="AP4" t="s">
        <v>2730</v>
      </c>
      <c r="AQ4">
        <v>0</v>
      </c>
      <c r="AR4">
        <v>0</v>
      </c>
      <c r="AS4">
        <v>0</v>
      </c>
      <c r="AT4" t="s">
        <v>185</v>
      </c>
      <c r="AW4" t="s">
        <v>2745</v>
      </c>
      <c r="AY4" t="s">
        <v>2746</v>
      </c>
      <c r="AZ4" t="s">
        <v>2747</v>
      </c>
      <c r="BA4" t="s">
        <v>2748</v>
      </c>
      <c r="BB4" t="s">
        <v>2745</v>
      </c>
      <c r="BC4">
        <v>2535</v>
      </c>
      <c r="BE4" t="s">
        <v>2735</v>
      </c>
      <c r="BF4" t="s">
        <v>2736</v>
      </c>
      <c r="BG4">
        <v>-646</v>
      </c>
      <c r="BH4">
        <v>-534</v>
      </c>
      <c r="BI4">
        <v>16620</v>
      </c>
      <c r="BK4" s="50">
        <v>46057.952268518522</v>
      </c>
    </row>
    <row r="5" spans="1:72" x14ac:dyDescent="0.3">
      <c r="A5">
        <v>2026020662700250</v>
      </c>
      <c r="B5">
        <v>2026020641602910</v>
      </c>
      <c r="C5" t="s">
        <v>2719</v>
      </c>
      <c r="E5" t="s">
        <v>2589</v>
      </c>
      <c r="F5" t="s">
        <v>2720</v>
      </c>
      <c r="G5" t="s">
        <v>2720</v>
      </c>
      <c r="H5" t="s">
        <v>2589</v>
      </c>
      <c r="J5" s="50">
        <v>46062.376793981479</v>
      </c>
      <c r="K5" t="s">
        <v>2721</v>
      </c>
      <c r="L5" t="s">
        <v>2749</v>
      </c>
      <c r="M5" t="s">
        <v>2750</v>
      </c>
      <c r="N5" t="s">
        <v>2749</v>
      </c>
      <c r="O5" t="s">
        <v>2724</v>
      </c>
      <c r="P5" t="s">
        <v>2725</v>
      </c>
      <c r="Q5" t="s">
        <v>2726</v>
      </c>
      <c r="R5" t="s">
        <v>2744</v>
      </c>
      <c r="S5" s="50">
        <v>46059.746493055558</v>
      </c>
      <c r="T5">
        <v>13026511254</v>
      </c>
      <c r="U5" t="s">
        <v>190</v>
      </c>
      <c r="V5" t="s">
        <v>2728</v>
      </c>
      <c r="W5" t="s">
        <v>2729</v>
      </c>
      <c r="X5" t="s">
        <v>2729</v>
      </c>
      <c r="AA5">
        <v>1</v>
      </c>
      <c r="AB5">
        <v>0</v>
      </c>
      <c r="AC5">
        <v>45800</v>
      </c>
      <c r="AD5">
        <v>11900</v>
      </c>
      <c r="AE5">
        <v>11900</v>
      </c>
      <c r="AF5">
        <v>11900</v>
      </c>
      <c r="AG5">
        <v>33900</v>
      </c>
      <c r="AH5">
        <v>33900</v>
      </c>
      <c r="AJ5" s="50">
        <v>46062.376574074071</v>
      </c>
      <c r="AK5" s="50">
        <v>46064.999988425923</v>
      </c>
      <c r="AN5" t="s">
        <v>2594</v>
      </c>
      <c r="AO5">
        <v>2026020621050720</v>
      </c>
      <c r="AP5" t="s">
        <v>2730</v>
      </c>
      <c r="AQ5">
        <v>0</v>
      </c>
      <c r="AR5">
        <v>0</v>
      </c>
      <c r="AS5">
        <v>0</v>
      </c>
      <c r="AT5" t="s">
        <v>189</v>
      </c>
      <c r="AW5" t="s">
        <v>2751</v>
      </c>
      <c r="AY5" t="s">
        <v>2752</v>
      </c>
      <c r="AZ5" t="s">
        <v>2753</v>
      </c>
      <c r="BA5" t="s">
        <v>2754</v>
      </c>
      <c r="BB5" t="s">
        <v>2751</v>
      </c>
      <c r="BC5">
        <v>10543</v>
      </c>
      <c r="BE5" t="s">
        <v>2735</v>
      </c>
      <c r="BF5" t="s">
        <v>2736</v>
      </c>
      <c r="BG5">
        <v>-1230</v>
      </c>
      <c r="BH5">
        <v>-1017</v>
      </c>
      <c r="BI5">
        <v>31653</v>
      </c>
      <c r="BK5" s="50">
        <v>46059.746423611112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U6"/>
  <sheetViews>
    <sheetView workbookViewId="0">
      <selection activeCell="N22" sqref="N22"/>
    </sheetView>
  </sheetViews>
  <sheetFormatPr defaultRowHeight="16.5" x14ac:dyDescent="0.3"/>
  <sheetData>
    <row r="1" spans="1:47" x14ac:dyDescent="0.3">
      <c r="A1" t="s">
        <v>2755</v>
      </c>
      <c r="B1" t="s">
        <v>2756</v>
      </c>
      <c r="C1" t="s">
        <v>2665</v>
      </c>
      <c r="D1" t="s">
        <v>205</v>
      </c>
      <c r="E1" t="s">
        <v>2708</v>
      </c>
      <c r="F1" t="s">
        <v>2757</v>
      </c>
      <c r="G1" t="s">
        <v>209</v>
      </c>
      <c r="H1" t="s">
        <v>2758</v>
      </c>
      <c r="I1" t="s">
        <v>2675</v>
      </c>
      <c r="J1" t="s">
        <v>2659</v>
      </c>
      <c r="K1" t="s">
        <v>2759</v>
      </c>
      <c r="L1" t="s">
        <v>2660</v>
      </c>
      <c r="M1" t="s">
        <v>2760</v>
      </c>
      <c r="N1" t="s">
        <v>2761</v>
      </c>
      <c r="O1" t="s">
        <v>2762</v>
      </c>
      <c r="P1" t="s">
        <v>2763</v>
      </c>
      <c r="Q1" t="s">
        <v>2764</v>
      </c>
      <c r="R1" t="s">
        <v>2765</v>
      </c>
      <c r="S1" t="s">
        <v>2577</v>
      </c>
      <c r="T1" t="s">
        <v>2579</v>
      </c>
      <c r="U1" t="s">
        <v>2766</v>
      </c>
      <c r="V1" t="s">
        <v>2767</v>
      </c>
      <c r="W1" t="s">
        <v>2768</v>
      </c>
      <c r="X1" t="s">
        <v>2502</v>
      </c>
      <c r="Y1" t="s">
        <v>2769</v>
      </c>
      <c r="Z1" t="s">
        <v>2770</v>
      </c>
      <c r="AA1" t="s">
        <v>2771</v>
      </c>
      <c r="AB1" t="s">
        <v>2772</v>
      </c>
      <c r="AC1" t="s">
        <v>2773</v>
      </c>
      <c r="AD1" t="s">
        <v>2774</v>
      </c>
      <c r="AE1" t="s">
        <v>2775</v>
      </c>
      <c r="AF1" t="s">
        <v>2776</v>
      </c>
      <c r="AG1" t="s">
        <v>2777</v>
      </c>
      <c r="AH1" t="s">
        <v>7</v>
      </c>
      <c r="AI1" t="s">
        <v>133</v>
      </c>
      <c r="AJ1" t="s">
        <v>2778</v>
      </c>
      <c r="AK1" t="s">
        <v>2779</v>
      </c>
      <c r="AL1" t="s">
        <v>2780</v>
      </c>
      <c r="AM1" t="s">
        <v>2781</v>
      </c>
      <c r="AN1" t="s">
        <v>2782</v>
      </c>
      <c r="AO1" t="s">
        <v>2783</v>
      </c>
      <c r="AP1" t="s">
        <v>2784</v>
      </c>
      <c r="AQ1" t="s">
        <v>2785</v>
      </c>
      <c r="AR1" t="s">
        <v>2786</v>
      </c>
      <c r="AS1" t="s">
        <v>2787</v>
      </c>
      <c r="AT1" t="s">
        <v>2788</v>
      </c>
      <c r="AU1" t="s">
        <v>2789</v>
      </c>
    </row>
    <row r="2" spans="1:47" x14ac:dyDescent="0.3">
      <c r="A2">
        <v>2698095127</v>
      </c>
      <c r="B2" s="50">
        <v>46064.413460648153</v>
      </c>
      <c r="C2" t="s">
        <v>2790</v>
      </c>
      <c r="D2">
        <v>3242789909</v>
      </c>
      <c r="F2">
        <v>691542495</v>
      </c>
      <c r="G2" t="s">
        <v>186</v>
      </c>
      <c r="I2">
        <v>1</v>
      </c>
      <c r="J2" t="s">
        <v>2791</v>
      </c>
      <c r="M2" t="s">
        <v>2792</v>
      </c>
      <c r="N2">
        <v>1074706174</v>
      </c>
      <c r="O2" t="s">
        <v>2745</v>
      </c>
      <c r="R2" t="s">
        <v>2793</v>
      </c>
      <c r="S2">
        <v>2535</v>
      </c>
      <c r="X2" s="50">
        <v>46064.413449074083</v>
      </c>
      <c r="Y2">
        <v>22900</v>
      </c>
      <c r="Z2">
        <v>0</v>
      </c>
      <c r="AA2">
        <v>2500</v>
      </c>
      <c r="AB2">
        <v>2000</v>
      </c>
      <c r="AC2">
        <v>18400</v>
      </c>
      <c r="AD2">
        <v>607</v>
      </c>
      <c r="AE2">
        <v>0</v>
      </c>
      <c r="AF2">
        <v>0</v>
      </c>
      <c r="AG2">
        <v>0</v>
      </c>
      <c r="AH2" t="s">
        <v>2794</v>
      </c>
      <c r="AI2" t="s">
        <v>158</v>
      </c>
      <c r="AK2" t="s">
        <v>185</v>
      </c>
      <c r="AM2">
        <v>982886524</v>
      </c>
      <c r="AN2" t="s">
        <v>2795</v>
      </c>
      <c r="AO2" t="s">
        <v>2796</v>
      </c>
      <c r="AP2">
        <v>0</v>
      </c>
      <c r="AQ2">
        <v>0</v>
      </c>
      <c r="AR2" t="s">
        <v>2797</v>
      </c>
      <c r="AT2" t="s">
        <v>2798</v>
      </c>
      <c r="AU2" t="s">
        <v>20</v>
      </c>
    </row>
    <row r="3" spans="1:47" x14ac:dyDescent="0.3">
      <c r="A3">
        <v>2698153034</v>
      </c>
      <c r="B3" s="50">
        <v>46064.447025462963</v>
      </c>
      <c r="C3" t="s">
        <v>2790</v>
      </c>
      <c r="D3">
        <v>3242866950</v>
      </c>
      <c r="F3">
        <v>691542495</v>
      </c>
      <c r="G3" t="s">
        <v>186</v>
      </c>
      <c r="I3">
        <v>2</v>
      </c>
      <c r="J3" t="s">
        <v>2791</v>
      </c>
      <c r="M3" t="s">
        <v>2799</v>
      </c>
      <c r="N3">
        <v>1075581194</v>
      </c>
      <c r="O3" t="s">
        <v>2800</v>
      </c>
      <c r="R3" t="s">
        <v>2801</v>
      </c>
      <c r="S3">
        <v>27404</v>
      </c>
      <c r="X3" s="50">
        <v>46064.447025462963</v>
      </c>
      <c r="Y3">
        <v>45800</v>
      </c>
      <c r="Z3">
        <v>0</v>
      </c>
      <c r="AA3">
        <v>6000</v>
      </c>
      <c r="AB3">
        <v>2000</v>
      </c>
      <c r="AC3">
        <v>37800</v>
      </c>
      <c r="AD3">
        <v>1247</v>
      </c>
      <c r="AE3">
        <v>0</v>
      </c>
      <c r="AF3">
        <v>0</v>
      </c>
      <c r="AG3">
        <v>0</v>
      </c>
      <c r="AH3" t="s">
        <v>2794</v>
      </c>
      <c r="AI3" t="s">
        <v>158</v>
      </c>
      <c r="AK3" t="s">
        <v>185</v>
      </c>
      <c r="AM3">
        <v>982914821</v>
      </c>
      <c r="AN3" t="s">
        <v>2795</v>
      </c>
      <c r="AO3" t="s">
        <v>2796</v>
      </c>
      <c r="AP3">
        <v>0</v>
      </c>
      <c r="AQ3">
        <v>0</v>
      </c>
      <c r="AT3" t="s">
        <v>2798</v>
      </c>
      <c r="AU3" t="s">
        <v>20</v>
      </c>
    </row>
    <row r="4" spans="1:47" x14ac:dyDescent="0.3">
      <c r="A4">
        <v>2698218645</v>
      </c>
      <c r="B4" s="50">
        <v>46064.486087962963</v>
      </c>
      <c r="C4" t="s">
        <v>2790</v>
      </c>
      <c r="D4">
        <v>3242952358</v>
      </c>
      <c r="F4">
        <v>691542495</v>
      </c>
      <c r="G4" t="s">
        <v>186</v>
      </c>
      <c r="I4">
        <v>1</v>
      </c>
      <c r="J4" t="s">
        <v>2791</v>
      </c>
      <c r="M4" t="s">
        <v>2792</v>
      </c>
      <c r="N4">
        <v>1041786174</v>
      </c>
      <c r="O4" t="s">
        <v>2802</v>
      </c>
      <c r="R4" t="s">
        <v>2803</v>
      </c>
      <c r="S4">
        <v>2535</v>
      </c>
      <c r="X4" s="50">
        <v>46064.486076388886</v>
      </c>
      <c r="Y4">
        <v>22900</v>
      </c>
      <c r="Z4">
        <v>0</v>
      </c>
      <c r="AA4">
        <v>2000</v>
      </c>
      <c r="AB4">
        <v>2000</v>
      </c>
      <c r="AC4">
        <v>18900</v>
      </c>
      <c r="AD4">
        <v>623</v>
      </c>
      <c r="AE4">
        <v>0</v>
      </c>
      <c r="AF4">
        <v>0</v>
      </c>
      <c r="AG4">
        <v>0</v>
      </c>
      <c r="AH4" t="s">
        <v>2794</v>
      </c>
      <c r="AI4" t="s">
        <v>158</v>
      </c>
      <c r="AK4" t="s">
        <v>185</v>
      </c>
      <c r="AM4">
        <v>982946696</v>
      </c>
      <c r="AN4" t="s">
        <v>2795</v>
      </c>
      <c r="AO4" t="s">
        <v>2796</v>
      </c>
      <c r="AP4">
        <v>0</v>
      </c>
      <c r="AQ4">
        <v>0</v>
      </c>
      <c r="AT4" t="s">
        <v>2798</v>
      </c>
      <c r="AU4" t="s">
        <v>20</v>
      </c>
    </row>
    <row r="5" spans="1:47" x14ac:dyDescent="0.3">
      <c r="A5">
        <v>2698226324</v>
      </c>
      <c r="B5" s="50">
        <v>46064.491076388891</v>
      </c>
      <c r="C5" t="s">
        <v>2790</v>
      </c>
      <c r="D5">
        <v>3242962470</v>
      </c>
      <c r="F5">
        <v>691542495</v>
      </c>
      <c r="G5" t="s">
        <v>186</v>
      </c>
      <c r="I5">
        <v>2</v>
      </c>
      <c r="J5" t="s">
        <v>2791</v>
      </c>
      <c r="M5" t="s">
        <v>2804</v>
      </c>
      <c r="N5">
        <v>1047130595</v>
      </c>
      <c r="O5" t="s">
        <v>2805</v>
      </c>
      <c r="P5">
        <v>1047130595</v>
      </c>
      <c r="Q5" t="s">
        <v>2805</v>
      </c>
      <c r="R5" t="s">
        <v>2806</v>
      </c>
      <c r="S5">
        <v>27416</v>
      </c>
      <c r="X5" s="50">
        <v>46064.491064814807</v>
      </c>
      <c r="Y5">
        <v>45800</v>
      </c>
      <c r="Z5">
        <v>0</v>
      </c>
      <c r="AA5">
        <v>6000</v>
      </c>
      <c r="AB5">
        <v>2000</v>
      </c>
      <c r="AC5">
        <v>37800</v>
      </c>
      <c r="AD5">
        <v>1247</v>
      </c>
      <c r="AE5">
        <v>0</v>
      </c>
      <c r="AF5">
        <v>0</v>
      </c>
      <c r="AG5">
        <v>0</v>
      </c>
      <c r="AH5" t="s">
        <v>2794</v>
      </c>
      <c r="AI5" t="s">
        <v>158</v>
      </c>
      <c r="AK5" t="s">
        <v>185</v>
      </c>
      <c r="AM5">
        <v>982950567</v>
      </c>
      <c r="AN5" t="s">
        <v>2795</v>
      </c>
      <c r="AO5" t="s">
        <v>2796</v>
      </c>
      <c r="AP5">
        <v>0</v>
      </c>
      <c r="AQ5">
        <v>0</v>
      </c>
      <c r="AT5" t="s">
        <v>2798</v>
      </c>
      <c r="AU5" t="s">
        <v>20</v>
      </c>
    </row>
    <row r="6" spans="1:47" x14ac:dyDescent="0.3">
      <c r="A6">
        <v>2698235082</v>
      </c>
      <c r="B6" s="50">
        <v>46064.496944444443</v>
      </c>
      <c r="C6" t="s">
        <v>2790</v>
      </c>
      <c r="D6">
        <v>3242973875</v>
      </c>
      <c r="F6">
        <v>691542495</v>
      </c>
      <c r="G6" t="s">
        <v>186</v>
      </c>
      <c r="I6">
        <v>2</v>
      </c>
      <c r="J6" t="s">
        <v>2791</v>
      </c>
      <c r="M6" t="s">
        <v>2807</v>
      </c>
      <c r="N6">
        <v>1033292563</v>
      </c>
      <c r="O6" t="s">
        <v>2808</v>
      </c>
      <c r="R6" t="s">
        <v>2809</v>
      </c>
      <c r="S6">
        <v>7751</v>
      </c>
      <c r="X6" s="50">
        <v>46064.496944444443</v>
      </c>
      <c r="Y6">
        <v>45800</v>
      </c>
      <c r="Z6">
        <v>0</v>
      </c>
      <c r="AA6">
        <v>4000</v>
      </c>
      <c r="AB6">
        <v>2000</v>
      </c>
      <c r="AC6">
        <v>39800</v>
      </c>
      <c r="AD6">
        <v>1313</v>
      </c>
      <c r="AE6">
        <v>0</v>
      </c>
      <c r="AF6">
        <v>0</v>
      </c>
      <c r="AG6">
        <v>0</v>
      </c>
      <c r="AH6" t="s">
        <v>2794</v>
      </c>
      <c r="AI6" t="s">
        <v>158</v>
      </c>
      <c r="AK6" t="s">
        <v>185</v>
      </c>
      <c r="AM6">
        <v>982954794</v>
      </c>
      <c r="AN6" t="s">
        <v>2795</v>
      </c>
      <c r="AO6" t="s">
        <v>2796</v>
      </c>
      <c r="AP6">
        <v>0</v>
      </c>
      <c r="AQ6">
        <v>0</v>
      </c>
      <c r="AT6" t="s">
        <v>2798</v>
      </c>
      <c r="AU6" t="s">
        <v>20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641"/>
  <sheetViews>
    <sheetView topLeftCell="H1" workbookViewId="0">
      <selection activeCell="U9" sqref="U9"/>
    </sheetView>
  </sheetViews>
  <sheetFormatPr defaultRowHeight="16.5" x14ac:dyDescent="0.3"/>
  <sheetData>
    <row r="1" spans="1:26" x14ac:dyDescent="0.3">
      <c r="A1" t="s">
        <v>2502</v>
      </c>
      <c r="B1" t="s">
        <v>205</v>
      </c>
      <c r="C1" t="s">
        <v>2810</v>
      </c>
      <c r="D1" t="s">
        <v>2811</v>
      </c>
      <c r="E1" t="s">
        <v>2812</v>
      </c>
      <c r="F1" t="s">
        <v>2813</v>
      </c>
      <c r="G1" t="s">
        <v>2814</v>
      </c>
      <c r="H1" t="s">
        <v>2815</v>
      </c>
      <c r="I1" t="s">
        <v>2577</v>
      </c>
      <c r="J1" t="s">
        <v>2816</v>
      </c>
      <c r="K1" t="s">
        <v>2817</v>
      </c>
      <c r="L1" t="s">
        <v>209</v>
      </c>
      <c r="M1" t="s">
        <v>2818</v>
      </c>
      <c r="N1" t="s">
        <v>2819</v>
      </c>
      <c r="O1" t="s">
        <v>2820</v>
      </c>
      <c r="P1" t="s">
        <v>2821</v>
      </c>
      <c r="Q1" t="s">
        <v>217</v>
      </c>
      <c r="R1" t="s">
        <v>2822</v>
      </c>
      <c r="S1" t="s">
        <v>2823</v>
      </c>
      <c r="T1" t="s">
        <v>2824</v>
      </c>
      <c r="U1" t="s">
        <v>2553</v>
      </c>
      <c r="V1" t="s">
        <v>2554</v>
      </c>
      <c r="W1" t="s">
        <v>2825</v>
      </c>
      <c r="X1" t="s">
        <v>2826</v>
      </c>
      <c r="Y1" t="s">
        <v>2827</v>
      </c>
      <c r="Z1" t="s">
        <v>2828</v>
      </c>
    </row>
    <row r="2" spans="1:26" x14ac:dyDescent="0.3">
      <c r="A2" s="50">
        <v>46058.458078703698</v>
      </c>
      <c r="B2">
        <v>2.0260205105831501E+18</v>
      </c>
      <c r="C2" t="s">
        <v>2829</v>
      </c>
      <c r="D2" t="s">
        <v>2830</v>
      </c>
      <c r="E2" t="s">
        <v>2830</v>
      </c>
      <c r="F2" t="s">
        <v>2829</v>
      </c>
      <c r="G2" t="s">
        <v>2830</v>
      </c>
      <c r="H2" t="s">
        <v>2830</v>
      </c>
      <c r="I2">
        <v>13993</v>
      </c>
      <c r="J2" t="s">
        <v>2831</v>
      </c>
      <c r="K2" t="s">
        <v>2831</v>
      </c>
      <c r="L2" t="s">
        <v>2832</v>
      </c>
      <c r="M2" t="s">
        <v>2833</v>
      </c>
      <c r="N2">
        <v>54363</v>
      </c>
      <c r="O2">
        <v>45500</v>
      </c>
      <c r="P2">
        <v>1</v>
      </c>
      <c r="Q2">
        <v>0</v>
      </c>
      <c r="S2">
        <v>143790</v>
      </c>
      <c r="T2" t="s">
        <v>2834</v>
      </c>
      <c r="U2" t="s">
        <v>2835</v>
      </c>
      <c r="W2">
        <v>0</v>
      </c>
      <c r="X2">
        <v>45500</v>
      </c>
      <c r="Y2">
        <v>41363.636363636302</v>
      </c>
      <c r="Z2" s="26">
        <v>46058</v>
      </c>
    </row>
    <row r="3" spans="1:26" x14ac:dyDescent="0.3">
      <c r="A3" s="50">
        <v>46058.446886574071</v>
      </c>
      <c r="B3">
        <v>2.02602051039395E+18</v>
      </c>
      <c r="C3" t="s">
        <v>2836</v>
      </c>
      <c r="D3" t="s">
        <v>2837</v>
      </c>
      <c r="E3" t="s">
        <v>2837</v>
      </c>
      <c r="F3" t="s">
        <v>2836</v>
      </c>
      <c r="G3" t="s">
        <v>2837</v>
      </c>
      <c r="H3" t="s">
        <v>2837</v>
      </c>
      <c r="I3">
        <v>48414</v>
      </c>
      <c r="J3" t="s">
        <v>2838</v>
      </c>
      <c r="K3" t="s">
        <v>2838</v>
      </c>
      <c r="L3" t="s">
        <v>2832</v>
      </c>
      <c r="M3" t="s">
        <v>2833</v>
      </c>
      <c r="N3">
        <v>54363</v>
      </c>
      <c r="O3">
        <v>45500</v>
      </c>
      <c r="P3">
        <v>1</v>
      </c>
      <c r="Q3">
        <v>0</v>
      </c>
      <c r="R3" t="s">
        <v>2839</v>
      </c>
      <c r="S3">
        <v>143790</v>
      </c>
      <c r="T3" t="s">
        <v>2840</v>
      </c>
      <c r="U3" t="s">
        <v>2835</v>
      </c>
      <c r="W3">
        <v>0</v>
      </c>
      <c r="X3">
        <v>45500</v>
      </c>
      <c r="Y3">
        <v>41363.636363636302</v>
      </c>
      <c r="Z3" s="26">
        <v>46058</v>
      </c>
    </row>
    <row r="4" spans="1:26" x14ac:dyDescent="0.3">
      <c r="A4" s="50">
        <v>46058.444618055553</v>
      </c>
      <c r="B4">
        <v>2.0260205103855301E+18</v>
      </c>
      <c r="C4" t="s">
        <v>2841</v>
      </c>
      <c r="D4" t="s">
        <v>2842</v>
      </c>
      <c r="E4" t="s">
        <v>2842</v>
      </c>
      <c r="F4" t="s">
        <v>2841</v>
      </c>
      <c r="G4" t="s">
        <v>2842</v>
      </c>
      <c r="H4" t="s">
        <v>2842</v>
      </c>
      <c r="I4">
        <v>22779</v>
      </c>
      <c r="J4" t="s">
        <v>2843</v>
      </c>
      <c r="K4" t="s">
        <v>2843</v>
      </c>
      <c r="L4" t="s">
        <v>2832</v>
      </c>
      <c r="M4" t="s">
        <v>2833</v>
      </c>
      <c r="N4">
        <v>54363</v>
      </c>
      <c r="O4">
        <v>45500</v>
      </c>
      <c r="P4">
        <v>1</v>
      </c>
      <c r="Q4">
        <v>0</v>
      </c>
      <c r="S4">
        <v>143790</v>
      </c>
      <c r="T4" t="s">
        <v>2844</v>
      </c>
      <c r="U4" t="s">
        <v>2835</v>
      </c>
      <c r="W4">
        <v>0</v>
      </c>
      <c r="X4">
        <v>45500</v>
      </c>
      <c r="Y4">
        <v>41363.636363636302</v>
      </c>
      <c r="Z4" s="26">
        <v>46058</v>
      </c>
    </row>
    <row r="5" spans="1:26" x14ac:dyDescent="0.3">
      <c r="A5" s="50">
        <v>46058.435613425929</v>
      </c>
      <c r="B5">
        <v>2.0260205102430001E+18</v>
      </c>
      <c r="C5" t="s">
        <v>2845</v>
      </c>
      <c r="D5" t="s">
        <v>2846</v>
      </c>
      <c r="E5" t="s">
        <v>2846</v>
      </c>
      <c r="F5" t="s">
        <v>2845</v>
      </c>
      <c r="G5" t="s">
        <v>2846</v>
      </c>
      <c r="H5" t="s">
        <v>2846</v>
      </c>
      <c r="I5">
        <v>3438</v>
      </c>
      <c r="J5" t="s">
        <v>2847</v>
      </c>
      <c r="K5" t="s">
        <v>2847</v>
      </c>
      <c r="L5" t="s">
        <v>2832</v>
      </c>
      <c r="M5" t="s">
        <v>2833</v>
      </c>
      <c r="N5">
        <v>54363</v>
      </c>
      <c r="O5">
        <v>45500</v>
      </c>
      <c r="P5">
        <v>1</v>
      </c>
      <c r="Q5">
        <v>0</v>
      </c>
      <c r="S5">
        <v>143790</v>
      </c>
      <c r="T5" t="s">
        <v>2848</v>
      </c>
      <c r="U5" t="s">
        <v>2835</v>
      </c>
      <c r="W5">
        <v>0</v>
      </c>
      <c r="X5">
        <v>45500</v>
      </c>
      <c r="Y5">
        <v>41363.636363636302</v>
      </c>
      <c r="Z5" s="26">
        <v>46058</v>
      </c>
    </row>
    <row r="6" spans="1:26" x14ac:dyDescent="0.3">
      <c r="A6" s="50">
        <v>46058.435393518521</v>
      </c>
      <c r="B6">
        <v>2.0260205102414999E+18</v>
      </c>
      <c r="C6" t="s">
        <v>2849</v>
      </c>
      <c r="D6" t="s">
        <v>2850</v>
      </c>
      <c r="E6" t="s">
        <v>2850</v>
      </c>
      <c r="F6" t="s">
        <v>2849</v>
      </c>
      <c r="G6" t="s">
        <v>2850</v>
      </c>
      <c r="H6" t="s">
        <v>2850</v>
      </c>
      <c r="I6">
        <v>31971</v>
      </c>
      <c r="J6" t="s">
        <v>2851</v>
      </c>
      <c r="K6" t="s">
        <v>2851</v>
      </c>
      <c r="L6" t="s">
        <v>2832</v>
      </c>
      <c r="M6" t="s">
        <v>2833</v>
      </c>
      <c r="N6">
        <v>54363</v>
      </c>
      <c r="O6">
        <v>45500</v>
      </c>
      <c r="P6">
        <v>1</v>
      </c>
      <c r="Q6">
        <v>0</v>
      </c>
      <c r="S6">
        <v>143790</v>
      </c>
      <c r="T6" t="s">
        <v>2852</v>
      </c>
      <c r="U6" t="s">
        <v>2835</v>
      </c>
      <c r="W6">
        <v>0</v>
      </c>
      <c r="X6">
        <v>45500</v>
      </c>
      <c r="Y6">
        <v>41363.636363636302</v>
      </c>
      <c r="Z6" s="26">
        <v>46058</v>
      </c>
    </row>
    <row r="7" spans="1:26" x14ac:dyDescent="0.3">
      <c r="A7" s="50">
        <v>46058.433437500003</v>
      </c>
      <c r="B7">
        <v>2.02602051023325E+18</v>
      </c>
      <c r="C7" t="s">
        <v>2853</v>
      </c>
      <c r="D7" t="s">
        <v>2854</v>
      </c>
      <c r="E7" t="s">
        <v>2854</v>
      </c>
      <c r="F7" t="s">
        <v>2853</v>
      </c>
      <c r="G7" t="s">
        <v>2854</v>
      </c>
      <c r="H7" t="s">
        <v>2854</v>
      </c>
      <c r="I7">
        <v>6276</v>
      </c>
      <c r="J7" t="s">
        <v>2855</v>
      </c>
      <c r="K7" t="s">
        <v>2855</v>
      </c>
      <c r="L7" t="s">
        <v>2832</v>
      </c>
      <c r="M7" t="s">
        <v>2833</v>
      </c>
      <c r="N7">
        <v>54363</v>
      </c>
      <c r="O7">
        <v>45500</v>
      </c>
      <c r="P7">
        <v>1</v>
      </c>
      <c r="Q7">
        <v>0</v>
      </c>
      <c r="S7">
        <v>143790</v>
      </c>
      <c r="T7" t="s">
        <v>2856</v>
      </c>
      <c r="U7" t="s">
        <v>2835</v>
      </c>
      <c r="W7">
        <v>0</v>
      </c>
      <c r="X7">
        <v>45500</v>
      </c>
      <c r="Y7">
        <v>41363.636363636302</v>
      </c>
      <c r="Z7" s="26">
        <v>46058</v>
      </c>
    </row>
    <row r="8" spans="1:26" x14ac:dyDescent="0.3">
      <c r="A8" s="50">
        <v>46058.431203703702</v>
      </c>
      <c r="B8">
        <v>2.0260205101943401E+18</v>
      </c>
      <c r="C8" t="s">
        <v>2857</v>
      </c>
      <c r="D8" t="s">
        <v>2858</v>
      </c>
      <c r="E8" t="s">
        <v>2858</v>
      </c>
      <c r="F8" t="s">
        <v>2857</v>
      </c>
      <c r="G8" t="s">
        <v>2858</v>
      </c>
      <c r="H8" t="s">
        <v>2858</v>
      </c>
      <c r="I8">
        <v>13595</v>
      </c>
      <c r="J8" t="s">
        <v>2859</v>
      </c>
      <c r="K8" t="s">
        <v>2859</v>
      </c>
      <c r="L8" t="s">
        <v>2832</v>
      </c>
      <c r="M8" t="s">
        <v>2833</v>
      </c>
      <c r="N8">
        <v>108726</v>
      </c>
      <c r="O8">
        <v>45500</v>
      </c>
      <c r="P8">
        <v>2</v>
      </c>
      <c r="Q8">
        <v>0</v>
      </c>
      <c r="S8">
        <v>143790</v>
      </c>
      <c r="T8" t="s">
        <v>2860</v>
      </c>
      <c r="U8" t="s">
        <v>2835</v>
      </c>
      <c r="W8">
        <v>0</v>
      </c>
      <c r="X8">
        <v>91000</v>
      </c>
      <c r="Y8">
        <v>82727.272727272706</v>
      </c>
      <c r="Z8" s="26">
        <v>46058</v>
      </c>
    </row>
    <row r="9" spans="1:26" x14ac:dyDescent="0.3">
      <c r="A9" s="50">
        <v>46058.426168981481</v>
      </c>
      <c r="B9">
        <v>2.02602051008162E+18</v>
      </c>
      <c r="C9" t="s">
        <v>2861</v>
      </c>
      <c r="D9" t="s">
        <v>2862</v>
      </c>
      <c r="E9" t="s">
        <v>2862</v>
      </c>
      <c r="F9" t="s">
        <v>2861</v>
      </c>
      <c r="G9" t="s">
        <v>2863</v>
      </c>
      <c r="H9" t="s">
        <v>2863</v>
      </c>
      <c r="I9">
        <v>4969</v>
      </c>
      <c r="J9" t="s">
        <v>2864</v>
      </c>
      <c r="K9" t="s">
        <v>2864</v>
      </c>
      <c r="L9" t="s">
        <v>2832</v>
      </c>
      <c r="M9" t="s">
        <v>2833</v>
      </c>
      <c r="N9">
        <v>54363</v>
      </c>
      <c r="O9">
        <v>45500</v>
      </c>
      <c r="P9">
        <v>1</v>
      </c>
      <c r="Q9">
        <v>0</v>
      </c>
      <c r="R9" t="s">
        <v>2865</v>
      </c>
      <c r="S9">
        <v>143790</v>
      </c>
      <c r="T9" t="s">
        <v>2866</v>
      </c>
      <c r="U9" t="s">
        <v>2835</v>
      </c>
      <c r="W9">
        <v>0</v>
      </c>
      <c r="X9">
        <v>45500</v>
      </c>
      <c r="Y9">
        <v>41363.636363636302</v>
      </c>
      <c r="Z9" s="26">
        <v>46058</v>
      </c>
    </row>
    <row r="10" spans="1:26" x14ac:dyDescent="0.3">
      <c r="A10" s="50">
        <v>46058.419004629628</v>
      </c>
      <c r="B10">
        <v>2.0260205100247401E+18</v>
      </c>
      <c r="C10" t="s">
        <v>2867</v>
      </c>
      <c r="D10" t="s">
        <v>2868</v>
      </c>
      <c r="E10" t="s">
        <v>2868</v>
      </c>
      <c r="F10" t="s">
        <v>2867</v>
      </c>
      <c r="G10" t="s">
        <v>2868</v>
      </c>
      <c r="H10" t="s">
        <v>2868</v>
      </c>
      <c r="I10">
        <v>2095</v>
      </c>
      <c r="J10" t="s">
        <v>2869</v>
      </c>
      <c r="K10" t="s">
        <v>2869</v>
      </c>
      <c r="L10" t="s">
        <v>2832</v>
      </c>
      <c r="M10" t="s">
        <v>2833</v>
      </c>
      <c r="N10">
        <v>54363</v>
      </c>
      <c r="O10">
        <v>45500</v>
      </c>
      <c r="P10">
        <v>1</v>
      </c>
      <c r="Q10">
        <v>0</v>
      </c>
      <c r="S10">
        <v>143790</v>
      </c>
      <c r="T10" t="s">
        <v>2870</v>
      </c>
      <c r="U10" t="s">
        <v>2835</v>
      </c>
      <c r="W10">
        <v>0</v>
      </c>
      <c r="X10">
        <v>45500</v>
      </c>
      <c r="Y10">
        <v>41363.636363636302</v>
      </c>
      <c r="Z10" s="26">
        <v>46058</v>
      </c>
    </row>
    <row r="11" spans="1:26" x14ac:dyDescent="0.3">
      <c r="A11" s="50">
        <v>46058.411851851852</v>
      </c>
      <c r="B11">
        <v>2.0260205095056499E+18</v>
      </c>
      <c r="C11" t="s">
        <v>2871</v>
      </c>
      <c r="D11" t="s">
        <v>2872</v>
      </c>
      <c r="E11" t="s">
        <v>2872</v>
      </c>
      <c r="F11" t="s">
        <v>2871</v>
      </c>
      <c r="G11" t="s">
        <v>2872</v>
      </c>
      <c r="H11" t="s">
        <v>2872</v>
      </c>
      <c r="I11">
        <v>54406</v>
      </c>
      <c r="J11" t="s">
        <v>2873</v>
      </c>
      <c r="K11" t="s">
        <v>2873</v>
      </c>
      <c r="L11" t="s">
        <v>2832</v>
      </c>
      <c r="M11" t="s">
        <v>2833</v>
      </c>
      <c r="N11">
        <v>54363</v>
      </c>
      <c r="O11">
        <v>45500</v>
      </c>
      <c r="P11">
        <v>1</v>
      </c>
      <c r="Q11">
        <v>0</v>
      </c>
      <c r="R11" t="s">
        <v>2874</v>
      </c>
      <c r="S11">
        <v>143790</v>
      </c>
      <c r="T11" t="s">
        <v>2875</v>
      </c>
      <c r="U11" t="s">
        <v>2835</v>
      </c>
      <c r="W11">
        <v>0</v>
      </c>
      <c r="X11">
        <v>45500</v>
      </c>
      <c r="Y11">
        <v>41363.636363636302</v>
      </c>
      <c r="Z11" s="26">
        <v>46058</v>
      </c>
    </row>
    <row r="12" spans="1:26" x14ac:dyDescent="0.3">
      <c r="A12" s="50">
        <v>46058.408692129633</v>
      </c>
      <c r="B12">
        <v>2.0260205094735601E+18</v>
      </c>
      <c r="C12" t="s">
        <v>2876</v>
      </c>
      <c r="D12" t="s">
        <v>2877</v>
      </c>
      <c r="E12" t="s">
        <v>2877</v>
      </c>
      <c r="F12" t="s">
        <v>2876</v>
      </c>
      <c r="G12" t="s">
        <v>2877</v>
      </c>
      <c r="H12" t="s">
        <v>2877</v>
      </c>
      <c r="I12">
        <v>55357</v>
      </c>
      <c r="J12" t="s">
        <v>2878</v>
      </c>
      <c r="K12" t="s">
        <v>2878</v>
      </c>
      <c r="L12" t="s">
        <v>2832</v>
      </c>
      <c r="M12" t="s">
        <v>2833</v>
      </c>
      <c r="N12">
        <v>54363</v>
      </c>
      <c r="O12">
        <v>45500</v>
      </c>
      <c r="P12">
        <v>1</v>
      </c>
      <c r="Q12">
        <v>0</v>
      </c>
      <c r="S12">
        <v>143790</v>
      </c>
      <c r="T12" t="s">
        <v>2879</v>
      </c>
      <c r="U12" t="s">
        <v>2835</v>
      </c>
      <c r="W12">
        <v>0</v>
      </c>
      <c r="X12">
        <v>45500</v>
      </c>
      <c r="Y12">
        <v>41363.636363636302</v>
      </c>
      <c r="Z12" s="26">
        <v>46058</v>
      </c>
    </row>
    <row r="13" spans="1:26" x14ac:dyDescent="0.3">
      <c r="A13" s="50">
        <v>46058.406134259261</v>
      </c>
      <c r="B13">
        <v>2.0260205094305999E+18</v>
      </c>
      <c r="C13" t="s">
        <v>2880</v>
      </c>
      <c r="D13" t="s">
        <v>2881</v>
      </c>
      <c r="E13" t="s">
        <v>2881</v>
      </c>
      <c r="F13" t="s">
        <v>2880</v>
      </c>
      <c r="G13" t="s">
        <v>2881</v>
      </c>
      <c r="H13" t="s">
        <v>2881</v>
      </c>
      <c r="I13">
        <v>16582</v>
      </c>
      <c r="J13" t="s">
        <v>2882</v>
      </c>
      <c r="K13" t="s">
        <v>2882</v>
      </c>
      <c r="L13" t="s">
        <v>2832</v>
      </c>
      <c r="M13" t="s">
        <v>2833</v>
      </c>
      <c r="N13">
        <v>54363</v>
      </c>
      <c r="O13">
        <v>45500</v>
      </c>
      <c r="P13">
        <v>1</v>
      </c>
      <c r="Q13">
        <v>0</v>
      </c>
      <c r="S13">
        <v>143790</v>
      </c>
      <c r="T13" t="s">
        <v>2883</v>
      </c>
      <c r="U13" t="s">
        <v>2835</v>
      </c>
      <c r="W13">
        <v>0</v>
      </c>
      <c r="X13">
        <v>45500</v>
      </c>
      <c r="Y13">
        <v>41363.636363636302</v>
      </c>
      <c r="Z13" s="26">
        <v>46058</v>
      </c>
    </row>
    <row r="14" spans="1:26" x14ac:dyDescent="0.3">
      <c r="A14" s="50">
        <v>46058.405601851853</v>
      </c>
      <c r="B14">
        <v>2.0260205094337001E+18</v>
      </c>
      <c r="C14" t="s">
        <v>2884</v>
      </c>
      <c r="D14" t="s">
        <v>2885</v>
      </c>
      <c r="E14" t="s">
        <v>2885</v>
      </c>
      <c r="F14" t="s">
        <v>2884</v>
      </c>
      <c r="G14" t="s">
        <v>2885</v>
      </c>
      <c r="H14" t="s">
        <v>2885</v>
      </c>
      <c r="I14">
        <v>17336</v>
      </c>
      <c r="J14" t="s">
        <v>2886</v>
      </c>
      <c r="K14" t="s">
        <v>2886</v>
      </c>
      <c r="L14" t="s">
        <v>2832</v>
      </c>
      <c r="M14" t="s">
        <v>2833</v>
      </c>
      <c r="N14">
        <v>54363</v>
      </c>
      <c r="O14">
        <v>45500</v>
      </c>
      <c r="P14">
        <v>1</v>
      </c>
      <c r="Q14">
        <v>0</v>
      </c>
      <c r="S14">
        <v>143790</v>
      </c>
      <c r="T14" t="s">
        <v>2887</v>
      </c>
      <c r="U14" t="s">
        <v>2835</v>
      </c>
      <c r="W14">
        <v>0</v>
      </c>
      <c r="X14">
        <v>45500</v>
      </c>
      <c r="Y14">
        <v>41363.636363636302</v>
      </c>
      <c r="Z14" s="26">
        <v>46058</v>
      </c>
    </row>
    <row r="15" spans="1:26" x14ac:dyDescent="0.3">
      <c r="A15" s="50">
        <v>46058.40519675926</v>
      </c>
      <c r="B15">
        <v>2.0260205094230899E+18</v>
      </c>
      <c r="C15" t="s">
        <v>2888</v>
      </c>
      <c r="D15" t="s">
        <v>2889</v>
      </c>
      <c r="E15" t="s">
        <v>2889</v>
      </c>
      <c r="F15" t="s">
        <v>2888</v>
      </c>
      <c r="G15" t="s">
        <v>2889</v>
      </c>
      <c r="H15" t="s">
        <v>2889</v>
      </c>
      <c r="I15">
        <v>8257</v>
      </c>
      <c r="J15" t="s">
        <v>2890</v>
      </c>
      <c r="K15" t="s">
        <v>2890</v>
      </c>
      <c r="L15" t="s">
        <v>2832</v>
      </c>
      <c r="M15" t="s">
        <v>2833</v>
      </c>
      <c r="N15">
        <v>54363</v>
      </c>
      <c r="O15">
        <v>45500</v>
      </c>
      <c r="P15">
        <v>1</v>
      </c>
      <c r="Q15">
        <v>0</v>
      </c>
      <c r="S15">
        <v>143790</v>
      </c>
      <c r="T15" t="s">
        <v>2891</v>
      </c>
      <c r="U15" t="s">
        <v>2835</v>
      </c>
      <c r="W15">
        <v>0</v>
      </c>
      <c r="X15">
        <v>45500</v>
      </c>
      <c r="Y15">
        <v>41363.636363636302</v>
      </c>
      <c r="Z15" s="26">
        <v>46058</v>
      </c>
    </row>
    <row r="16" spans="1:26" x14ac:dyDescent="0.3">
      <c r="A16" s="50">
        <v>46058.40483796296</v>
      </c>
      <c r="B16">
        <v>2.0260205093831501E+18</v>
      </c>
      <c r="C16" t="s">
        <v>2892</v>
      </c>
      <c r="D16" t="s">
        <v>2893</v>
      </c>
      <c r="E16" t="s">
        <v>2893</v>
      </c>
      <c r="F16" t="s">
        <v>2892</v>
      </c>
      <c r="G16" t="s">
        <v>2893</v>
      </c>
      <c r="H16" t="s">
        <v>2893</v>
      </c>
      <c r="I16">
        <v>42833</v>
      </c>
      <c r="J16" t="s">
        <v>2894</v>
      </c>
      <c r="K16" t="s">
        <v>2894</v>
      </c>
      <c r="L16" t="s">
        <v>2832</v>
      </c>
      <c r="M16" t="s">
        <v>2833</v>
      </c>
      <c r="N16">
        <v>108726</v>
      </c>
      <c r="O16">
        <v>45500</v>
      </c>
      <c r="P16">
        <v>2</v>
      </c>
      <c r="Q16">
        <v>0</v>
      </c>
      <c r="S16">
        <v>143790</v>
      </c>
      <c r="T16" t="s">
        <v>2895</v>
      </c>
      <c r="U16" t="s">
        <v>2835</v>
      </c>
      <c r="W16">
        <v>0</v>
      </c>
      <c r="X16">
        <v>91000</v>
      </c>
      <c r="Y16">
        <v>82727.272727272706</v>
      </c>
      <c r="Z16" s="26">
        <v>46058</v>
      </c>
    </row>
    <row r="17" spans="1:26" x14ac:dyDescent="0.3">
      <c r="A17" s="50">
        <v>46058.399409722217</v>
      </c>
      <c r="B17">
        <v>2.0260205093328599E+18</v>
      </c>
      <c r="C17" t="s">
        <v>2896</v>
      </c>
      <c r="D17" t="s">
        <v>2897</v>
      </c>
      <c r="E17" t="s">
        <v>2897</v>
      </c>
      <c r="F17" t="s">
        <v>2896</v>
      </c>
      <c r="G17" t="s">
        <v>2897</v>
      </c>
      <c r="H17" t="s">
        <v>2897</v>
      </c>
      <c r="I17">
        <v>10909</v>
      </c>
      <c r="J17" t="s">
        <v>2898</v>
      </c>
      <c r="K17" t="s">
        <v>2898</v>
      </c>
      <c r="L17" t="s">
        <v>2832</v>
      </c>
      <c r="M17" t="s">
        <v>2833</v>
      </c>
      <c r="N17">
        <v>54363</v>
      </c>
      <c r="O17">
        <v>45500</v>
      </c>
      <c r="P17">
        <v>1</v>
      </c>
      <c r="Q17">
        <v>0</v>
      </c>
      <c r="S17">
        <v>143790</v>
      </c>
      <c r="T17" t="s">
        <v>2899</v>
      </c>
      <c r="U17" t="s">
        <v>2835</v>
      </c>
      <c r="W17">
        <v>0</v>
      </c>
      <c r="X17">
        <v>45500</v>
      </c>
      <c r="Y17">
        <v>41363.636363636302</v>
      </c>
      <c r="Z17" s="26">
        <v>46058</v>
      </c>
    </row>
    <row r="18" spans="1:26" x14ac:dyDescent="0.3">
      <c r="A18" s="50">
        <v>46058.396469907413</v>
      </c>
      <c r="B18">
        <v>2.0260205093010601E+18</v>
      </c>
      <c r="C18" t="s">
        <v>2900</v>
      </c>
      <c r="D18" t="s">
        <v>2901</v>
      </c>
      <c r="E18" t="s">
        <v>2901</v>
      </c>
      <c r="F18" t="s">
        <v>2900</v>
      </c>
      <c r="G18" t="s">
        <v>2901</v>
      </c>
      <c r="H18" t="s">
        <v>2901</v>
      </c>
      <c r="I18">
        <v>41091</v>
      </c>
      <c r="J18" t="s">
        <v>2902</v>
      </c>
      <c r="K18" t="s">
        <v>2902</v>
      </c>
      <c r="L18" t="s">
        <v>2832</v>
      </c>
      <c r="M18" t="s">
        <v>2833</v>
      </c>
      <c r="N18">
        <v>54363</v>
      </c>
      <c r="O18">
        <v>45500</v>
      </c>
      <c r="P18">
        <v>1</v>
      </c>
      <c r="Q18">
        <v>0</v>
      </c>
      <c r="S18">
        <v>143790</v>
      </c>
      <c r="T18" t="s">
        <v>2903</v>
      </c>
      <c r="U18" t="s">
        <v>2835</v>
      </c>
      <c r="W18">
        <v>0</v>
      </c>
      <c r="X18">
        <v>45500</v>
      </c>
      <c r="Y18">
        <v>41363.636363636302</v>
      </c>
      <c r="Z18" s="26">
        <v>46058</v>
      </c>
    </row>
    <row r="19" spans="1:26" x14ac:dyDescent="0.3">
      <c r="A19" s="50">
        <v>46058.39335648148</v>
      </c>
      <c r="B19">
        <v>2.02602050925264E+18</v>
      </c>
      <c r="C19" t="s">
        <v>2904</v>
      </c>
      <c r="D19" t="s">
        <v>2905</v>
      </c>
      <c r="E19" t="s">
        <v>2905</v>
      </c>
      <c r="F19" t="s">
        <v>2904</v>
      </c>
      <c r="G19" t="s">
        <v>2905</v>
      </c>
      <c r="H19" t="s">
        <v>2905</v>
      </c>
      <c r="I19">
        <v>31090</v>
      </c>
      <c r="J19" t="s">
        <v>2906</v>
      </c>
      <c r="K19" t="s">
        <v>2906</v>
      </c>
      <c r="L19" t="s">
        <v>2832</v>
      </c>
      <c r="M19" t="s">
        <v>2833</v>
      </c>
      <c r="N19">
        <v>54363</v>
      </c>
      <c r="O19">
        <v>45500</v>
      </c>
      <c r="P19">
        <v>1</v>
      </c>
      <c r="Q19">
        <v>0</v>
      </c>
      <c r="S19">
        <v>143790</v>
      </c>
      <c r="T19" t="s">
        <v>2907</v>
      </c>
      <c r="U19" t="s">
        <v>2835</v>
      </c>
      <c r="W19">
        <v>0</v>
      </c>
      <c r="X19">
        <v>45500</v>
      </c>
      <c r="Y19">
        <v>41363.636363636302</v>
      </c>
      <c r="Z19" s="26">
        <v>46058</v>
      </c>
    </row>
    <row r="20" spans="1:26" x14ac:dyDescent="0.3">
      <c r="A20" s="50">
        <v>46058.388842592591</v>
      </c>
      <c r="B20">
        <v>2.02602050919327E+18</v>
      </c>
      <c r="C20" t="s">
        <v>2908</v>
      </c>
      <c r="D20" t="s">
        <v>2909</v>
      </c>
      <c r="E20" t="s">
        <v>2909</v>
      </c>
      <c r="F20" t="s">
        <v>2908</v>
      </c>
      <c r="G20" t="s">
        <v>2909</v>
      </c>
      <c r="H20" t="s">
        <v>2909</v>
      </c>
      <c r="I20">
        <v>3357</v>
      </c>
      <c r="J20" t="s">
        <v>2910</v>
      </c>
      <c r="K20" t="s">
        <v>2910</v>
      </c>
      <c r="L20" t="s">
        <v>2832</v>
      </c>
      <c r="M20" t="s">
        <v>2833</v>
      </c>
      <c r="N20">
        <v>54363</v>
      </c>
      <c r="O20">
        <v>45500</v>
      </c>
      <c r="P20">
        <v>1</v>
      </c>
      <c r="Q20">
        <v>0</v>
      </c>
      <c r="S20">
        <v>143790</v>
      </c>
      <c r="T20" t="s">
        <v>2911</v>
      </c>
      <c r="U20" t="s">
        <v>2835</v>
      </c>
      <c r="W20">
        <v>0</v>
      </c>
      <c r="X20">
        <v>45500</v>
      </c>
      <c r="Y20">
        <v>41363.636363636302</v>
      </c>
      <c r="Z20" s="26">
        <v>46058</v>
      </c>
    </row>
    <row r="21" spans="1:26" x14ac:dyDescent="0.3">
      <c r="A21" s="50">
        <v>46058.387696759259</v>
      </c>
      <c r="B21">
        <v>2.0260205091626299E+18</v>
      </c>
      <c r="C21" t="s">
        <v>2912</v>
      </c>
      <c r="D21" t="s">
        <v>2913</v>
      </c>
      <c r="E21" t="s">
        <v>2913</v>
      </c>
      <c r="F21" t="s">
        <v>2912</v>
      </c>
      <c r="G21" t="s">
        <v>2913</v>
      </c>
      <c r="H21" t="s">
        <v>2913</v>
      </c>
      <c r="I21">
        <v>33475</v>
      </c>
      <c r="J21" t="s">
        <v>2914</v>
      </c>
      <c r="K21" t="s">
        <v>2914</v>
      </c>
      <c r="L21" t="s">
        <v>2832</v>
      </c>
      <c r="M21" t="s">
        <v>2833</v>
      </c>
      <c r="N21">
        <v>54363</v>
      </c>
      <c r="O21">
        <v>45500</v>
      </c>
      <c r="P21">
        <v>1</v>
      </c>
      <c r="Q21">
        <v>0</v>
      </c>
      <c r="S21">
        <v>143790</v>
      </c>
      <c r="T21" t="s">
        <v>2915</v>
      </c>
      <c r="U21" t="s">
        <v>2835</v>
      </c>
      <c r="W21">
        <v>0</v>
      </c>
      <c r="X21">
        <v>45500</v>
      </c>
      <c r="Y21">
        <v>41363.636363636302</v>
      </c>
      <c r="Z21" s="26">
        <v>46058</v>
      </c>
    </row>
    <row r="22" spans="1:26" x14ac:dyDescent="0.3">
      <c r="A22" s="50">
        <v>46058.38548611111</v>
      </c>
      <c r="B22">
        <v>2.0260205091303199E+18</v>
      </c>
      <c r="C22" t="s">
        <v>2916</v>
      </c>
      <c r="D22" t="s">
        <v>2917</v>
      </c>
      <c r="E22" t="s">
        <v>2917</v>
      </c>
      <c r="F22" t="s">
        <v>2918</v>
      </c>
      <c r="G22" t="s">
        <v>2919</v>
      </c>
      <c r="H22" t="s">
        <v>2919</v>
      </c>
      <c r="I22">
        <v>26346</v>
      </c>
      <c r="J22" t="s">
        <v>2920</v>
      </c>
      <c r="K22" t="s">
        <v>2920</v>
      </c>
      <c r="L22" t="s">
        <v>2832</v>
      </c>
      <c r="M22" t="s">
        <v>2833</v>
      </c>
      <c r="N22">
        <v>54363</v>
      </c>
      <c r="O22">
        <v>45500</v>
      </c>
      <c r="P22">
        <v>1</v>
      </c>
      <c r="Q22">
        <v>0</v>
      </c>
      <c r="S22">
        <v>143790</v>
      </c>
      <c r="T22" t="s">
        <v>2921</v>
      </c>
      <c r="U22" t="s">
        <v>2835</v>
      </c>
      <c r="W22">
        <v>0</v>
      </c>
      <c r="X22">
        <v>45500</v>
      </c>
      <c r="Y22">
        <v>41363.636363636302</v>
      </c>
      <c r="Z22" s="26">
        <v>46058</v>
      </c>
    </row>
    <row r="23" spans="1:26" x14ac:dyDescent="0.3">
      <c r="A23" s="50">
        <v>46058.385254629633</v>
      </c>
      <c r="B23">
        <v>2.0260205091251999E+18</v>
      </c>
      <c r="C23" t="s">
        <v>2922</v>
      </c>
      <c r="D23" t="s">
        <v>2923</v>
      </c>
      <c r="E23" t="s">
        <v>2923</v>
      </c>
      <c r="F23" t="s">
        <v>2924</v>
      </c>
      <c r="G23" t="s">
        <v>2923</v>
      </c>
      <c r="H23" t="s">
        <v>2923</v>
      </c>
      <c r="I23">
        <v>13544</v>
      </c>
      <c r="J23" t="s">
        <v>2925</v>
      </c>
      <c r="K23" t="s">
        <v>2925</v>
      </c>
      <c r="L23" t="s">
        <v>2832</v>
      </c>
      <c r="M23" t="s">
        <v>2833</v>
      </c>
      <c r="N23">
        <v>54363</v>
      </c>
      <c r="O23">
        <v>45500</v>
      </c>
      <c r="P23">
        <v>1</v>
      </c>
      <c r="Q23">
        <v>0</v>
      </c>
      <c r="S23">
        <v>143790</v>
      </c>
      <c r="T23" t="s">
        <v>2926</v>
      </c>
      <c r="U23" t="s">
        <v>2835</v>
      </c>
      <c r="W23">
        <v>0</v>
      </c>
      <c r="X23">
        <v>45500</v>
      </c>
      <c r="Y23">
        <v>41363.636363636302</v>
      </c>
      <c r="Z23" s="26">
        <v>46058</v>
      </c>
    </row>
    <row r="24" spans="1:26" x14ac:dyDescent="0.3">
      <c r="A24" s="50">
        <v>46058.381967592592</v>
      </c>
      <c r="B24">
        <v>2.0260205090842701E+18</v>
      </c>
      <c r="C24" t="s">
        <v>2927</v>
      </c>
      <c r="D24" t="s">
        <v>2928</v>
      </c>
      <c r="E24" t="s">
        <v>2928</v>
      </c>
      <c r="F24" t="s">
        <v>2927</v>
      </c>
      <c r="G24" t="s">
        <v>2928</v>
      </c>
      <c r="H24" t="s">
        <v>2928</v>
      </c>
      <c r="I24">
        <v>3903</v>
      </c>
      <c r="J24" t="s">
        <v>2929</v>
      </c>
      <c r="K24" t="s">
        <v>2929</v>
      </c>
      <c r="L24" t="s">
        <v>2832</v>
      </c>
      <c r="M24" t="s">
        <v>2833</v>
      </c>
      <c r="N24">
        <v>54363</v>
      </c>
      <c r="O24">
        <v>45500</v>
      </c>
      <c r="P24">
        <v>1</v>
      </c>
      <c r="Q24">
        <v>0</v>
      </c>
      <c r="S24">
        <v>143790</v>
      </c>
      <c r="T24" t="s">
        <v>2930</v>
      </c>
      <c r="U24" t="s">
        <v>2835</v>
      </c>
      <c r="W24">
        <v>0</v>
      </c>
      <c r="X24">
        <v>45500</v>
      </c>
      <c r="Y24">
        <v>41363.636363636302</v>
      </c>
      <c r="Z24" s="26">
        <v>46058</v>
      </c>
    </row>
    <row r="25" spans="1:26" x14ac:dyDescent="0.3">
      <c r="A25" s="50">
        <v>46058.38140046296</v>
      </c>
      <c r="B25">
        <v>2.0260205090740301E+18</v>
      </c>
      <c r="C25" t="s">
        <v>2931</v>
      </c>
      <c r="D25" t="s">
        <v>2932</v>
      </c>
      <c r="E25" t="s">
        <v>2932</v>
      </c>
      <c r="F25" t="s">
        <v>2931</v>
      </c>
      <c r="G25" t="s">
        <v>2932</v>
      </c>
      <c r="H25" t="s">
        <v>2932</v>
      </c>
      <c r="I25">
        <v>16828</v>
      </c>
      <c r="J25" t="s">
        <v>2933</v>
      </c>
      <c r="K25" t="s">
        <v>2933</v>
      </c>
      <c r="L25" t="s">
        <v>2832</v>
      </c>
      <c r="M25" t="s">
        <v>2833</v>
      </c>
      <c r="N25">
        <v>54363</v>
      </c>
      <c r="O25">
        <v>45500</v>
      </c>
      <c r="P25">
        <v>1</v>
      </c>
      <c r="Q25">
        <v>0</v>
      </c>
      <c r="S25">
        <v>143790</v>
      </c>
      <c r="T25" t="s">
        <v>2934</v>
      </c>
      <c r="U25" t="s">
        <v>2835</v>
      </c>
      <c r="W25">
        <v>0</v>
      </c>
      <c r="X25">
        <v>45500</v>
      </c>
      <c r="Y25">
        <v>41363.636363636302</v>
      </c>
      <c r="Z25" s="26">
        <v>46058</v>
      </c>
    </row>
    <row r="26" spans="1:26" x14ac:dyDescent="0.3">
      <c r="A26" s="50">
        <v>46058.379108796304</v>
      </c>
      <c r="B26">
        <v>2.0260205090347699E+18</v>
      </c>
      <c r="C26" t="s">
        <v>2935</v>
      </c>
      <c r="D26" t="s">
        <v>2936</v>
      </c>
      <c r="E26" t="s">
        <v>2936</v>
      </c>
      <c r="F26" t="s">
        <v>2935</v>
      </c>
      <c r="G26" t="s">
        <v>2936</v>
      </c>
      <c r="H26" t="s">
        <v>2936</v>
      </c>
      <c r="I26">
        <v>16822</v>
      </c>
      <c r="J26" t="s">
        <v>2937</v>
      </c>
      <c r="K26" t="s">
        <v>2937</v>
      </c>
      <c r="L26" t="s">
        <v>2832</v>
      </c>
      <c r="M26" t="s">
        <v>2833</v>
      </c>
      <c r="N26">
        <v>54363</v>
      </c>
      <c r="O26">
        <v>45500</v>
      </c>
      <c r="P26">
        <v>1</v>
      </c>
      <c r="Q26">
        <v>0</v>
      </c>
      <c r="S26">
        <v>143790</v>
      </c>
      <c r="T26" t="s">
        <v>2938</v>
      </c>
      <c r="U26" t="s">
        <v>2835</v>
      </c>
      <c r="W26">
        <v>0</v>
      </c>
      <c r="X26">
        <v>45500</v>
      </c>
      <c r="Y26">
        <v>41363.636363636302</v>
      </c>
      <c r="Z26" s="26">
        <v>46058</v>
      </c>
    </row>
    <row r="27" spans="1:26" x14ac:dyDescent="0.3">
      <c r="A27" s="50">
        <v>46058.377303240741</v>
      </c>
      <c r="B27">
        <v>2.02602050900546E+18</v>
      </c>
      <c r="C27" t="s">
        <v>2939</v>
      </c>
      <c r="D27" t="s">
        <v>2940</v>
      </c>
      <c r="E27" t="s">
        <v>2940</v>
      </c>
      <c r="F27" t="s">
        <v>2939</v>
      </c>
      <c r="G27" t="s">
        <v>2940</v>
      </c>
      <c r="H27" t="s">
        <v>2940</v>
      </c>
      <c r="I27">
        <v>5224</v>
      </c>
      <c r="J27" t="s">
        <v>2941</v>
      </c>
      <c r="K27" t="s">
        <v>2941</v>
      </c>
      <c r="L27" t="s">
        <v>2832</v>
      </c>
      <c r="M27" t="s">
        <v>2833</v>
      </c>
      <c r="N27">
        <v>108726</v>
      </c>
      <c r="O27">
        <v>45500</v>
      </c>
      <c r="P27">
        <v>2</v>
      </c>
      <c r="Q27">
        <v>0</v>
      </c>
      <c r="R27" t="s">
        <v>2942</v>
      </c>
      <c r="S27">
        <v>143790</v>
      </c>
      <c r="T27" t="s">
        <v>2943</v>
      </c>
      <c r="U27" t="s">
        <v>2835</v>
      </c>
      <c r="W27">
        <v>0</v>
      </c>
      <c r="X27">
        <v>91000</v>
      </c>
      <c r="Y27">
        <v>82727.272727272706</v>
      </c>
      <c r="Z27" s="26">
        <v>46058</v>
      </c>
    </row>
    <row r="28" spans="1:26" x14ac:dyDescent="0.3">
      <c r="A28" s="50">
        <v>46058.376250000001</v>
      </c>
      <c r="B28">
        <v>2.0260205090016499E+18</v>
      </c>
      <c r="C28" t="s">
        <v>2944</v>
      </c>
      <c r="D28" t="s">
        <v>2945</v>
      </c>
      <c r="E28" t="s">
        <v>2945</v>
      </c>
      <c r="F28" t="s">
        <v>2944</v>
      </c>
      <c r="G28" t="s">
        <v>2945</v>
      </c>
      <c r="H28" t="s">
        <v>2945</v>
      </c>
      <c r="I28">
        <v>16868</v>
      </c>
      <c r="J28" t="s">
        <v>2946</v>
      </c>
      <c r="K28" t="s">
        <v>2946</v>
      </c>
      <c r="L28" t="s">
        <v>2832</v>
      </c>
      <c r="M28" t="s">
        <v>2833</v>
      </c>
      <c r="N28">
        <v>54363</v>
      </c>
      <c r="O28">
        <v>45500</v>
      </c>
      <c r="P28">
        <v>1</v>
      </c>
      <c r="Q28">
        <v>0</v>
      </c>
      <c r="S28">
        <v>143790</v>
      </c>
      <c r="T28" t="s">
        <v>2947</v>
      </c>
      <c r="U28" t="s">
        <v>2835</v>
      </c>
      <c r="W28">
        <v>0</v>
      </c>
      <c r="X28">
        <v>45500</v>
      </c>
      <c r="Y28">
        <v>41363.636363636302</v>
      </c>
      <c r="Z28" s="26">
        <v>46058</v>
      </c>
    </row>
    <row r="29" spans="1:26" x14ac:dyDescent="0.3">
      <c r="A29" s="50">
        <v>46058.373402777783</v>
      </c>
      <c r="B29">
        <v>2.02602050837278E+18</v>
      </c>
      <c r="C29" t="s">
        <v>2948</v>
      </c>
      <c r="D29" t="s">
        <v>2949</v>
      </c>
      <c r="E29" t="s">
        <v>2949</v>
      </c>
      <c r="F29" t="s">
        <v>2950</v>
      </c>
      <c r="G29" t="s">
        <v>2949</v>
      </c>
      <c r="H29" t="s">
        <v>2949</v>
      </c>
      <c r="I29">
        <v>57161</v>
      </c>
      <c r="J29" t="s">
        <v>2951</v>
      </c>
      <c r="K29" t="s">
        <v>2951</v>
      </c>
      <c r="L29" t="s">
        <v>2832</v>
      </c>
      <c r="M29" t="s">
        <v>2833</v>
      </c>
      <c r="N29">
        <v>163089</v>
      </c>
      <c r="O29">
        <v>45500</v>
      </c>
      <c r="P29">
        <v>3</v>
      </c>
      <c r="Q29">
        <v>0</v>
      </c>
      <c r="R29" t="s">
        <v>2952</v>
      </c>
      <c r="S29">
        <v>143790</v>
      </c>
      <c r="T29" t="s">
        <v>2953</v>
      </c>
      <c r="U29" t="s">
        <v>2835</v>
      </c>
      <c r="W29">
        <v>0</v>
      </c>
      <c r="X29">
        <v>136500</v>
      </c>
      <c r="Y29">
        <v>124090.909090909</v>
      </c>
      <c r="Z29" s="26">
        <v>46058</v>
      </c>
    </row>
    <row r="30" spans="1:26" x14ac:dyDescent="0.3">
      <c r="A30" s="50">
        <v>46058.372210648151</v>
      </c>
      <c r="B30">
        <v>2.02602050854272E+18</v>
      </c>
      <c r="C30" t="s">
        <v>2954</v>
      </c>
      <c r="D30" t="s">
        <v>2955</v>
      </c>
      <c r="E30" t="s">
        <v>2955</v>
      </c>
      <c r="F30" t="s">
        <v>2954</v>
      </c>
      <c r="G30" t="s">
        <v>2955</v>
      </c>
      <c r="H30" t="s">
        <v>2955</v>
      </c>
      <c r="I30">
        <v>48288</v>
      </c>
      <c r="J30" t="s">
        <v>2956</v>
      </c>
      <c r="K30" t="s">
        <v>2956</v>
      </c>
      <c r="L30" t="s">
        <v>2832</v>
      </c>
      <c r="M30" t="s">
        <v>2833</v>
      </c>
      <c r="N30">
        <v>54363</v>
      </c>
      <c r="O30">
        <v>45500</v>
      </c>
      <c r="P30">
        <v>1</v>
      </c>
      <c r="Q30">
        <v>0</v>
      </c>
      <c r="R30" t="s">
        <v>2957</v>
      </c>
      <c r="S30">
        <v>143790</v>
      </c>
      <c r="T30" t="s">
        <v>2958</v>
      </c>
      <c r="U30" t="s">
        <v>2835</v>
      </c>
      <c r="W30">
        <v>0</v>
      </c>
      <c r="X30">
        <v>45500</v>
      </c>
      <c r="Y30">
        <v>41363.636363636302</v>
      </c>
      <c r="Z30" s="26">
        <v>46058</v>
      </c>
    </row>
    <row r="31" spans="1:26" x14ac:dyDescent="0.3">
      <c r="A31" s="50">
        <v>46058.372141203698</v>
      </c>
      <c r="B31">
        <v>2.0260205085447501E+18</v>
      </c>
      <c r="C31" t="s">
        <v>2959</v>
      </c>
      <c r="D31" t="s">
        <v>2960</v>
      </c>
      <c r="E31" t="s">
        <v>2960</v>
      </c>
      <c r="F31" t="s">
        <v>2959</v>
      </c>
      <c r="G31" t="s">
        <v>2960</v>
      </c>
      <c r="H31" t="s">
        <v>2960</v>
      </c>
      <c r="I31">
        <v>5846</v>
      </c>
      <c r="J31" t="s">
        <v>2961</v>
      </c>
      <c r="K31" t="s">
        <v>2961</v>
      </c>
      <c r="L31" t="s">
        <v>2832</v>
      </c>
      <c r="M31" t="s">
        <v>2833</v>
      </c>
      <c r="N31">
        <v>54363</v>
      </c>
      <c r="O31">
        <v>45500</v>
      </c>
      <c r="P31">
        <v>1</v>
      </c>
      <c r="Q31">
        <v>0</v>
      </c>
      <c r="R31" t="s">
        <v>2962</v>
      </c>
      <c r="S31">
        <v>143790</v>
      </c>
      <c r="T31" t="s">
        <v>2963</v>
      </c>
      <c r="U31" t="s">
        <v>2835</v>
      </c>
      <c r="W31">
        <v>0</v>
      </c>
      <c r="X31">
        <v>45500</v>
      </c>
      <c r="Y31">
        <v>41363.636363636302</v>
      </c>
      <c r="Z31" s="26">
        <v>46058</v>
      </c>
    </row>
    <row r="32" spans="1:26" x14ac:dyDescent="0.3">
      <c r="A32" s="50">
        <v>46058.368680555563</v>
      </c>
      <c r="B32">
        <v>2.02602050847137E+18</v>
      </c>
      <c r="C32" t="s">
        <v>2954</v>
      </c>
      <c r="D32" t="s">
        <v>2955</v>
      </c>
      <c r="E32" t="s">
        <v>2955</v>
      </c>
      <c r="F32" t="s">
        <v>2964</v>
      </c>
      <c r="G32" t="s">
        <v>2965</v>
      </c>
      <c r="H32" t="s">
        <v>2965</v>
      </c>
      <c r="I32">
        <v>50650</v>
      </c>
      <c r="J32" t="s">
        <v>2966</v>
      </c>
      <c r="K32" t="s">
        <v>2966</v>
      </c>
      <c r="L32" t="s">
        <v>2832</v>
      </c>
      <c r="M32" t="s">
        <v>2833</v>
      </c>
      <c r="N32">
        <v>54363</v>
      </c>
      <c r="O32">
        <v>45500</v>
      </c>
      <c r="P32">
        <v>1</v>
      </c>
      <c r="Q32">
        <v>0</v>
      </c>
      <c r="S32">
        <v>143790</v>
      </c>
      <c r="T32" t="s">
        <v>2967</v>
      </c>
      <c r="U32" t="s">
        <v>2835</v>
      </c>
      <c r="W32">
        <v>0</v>
      </c>
      <c r="X32">
        <v>45500</v>
      </c>
      <c r="Y32">
        <v>41363.636363636302</v>
      </c>
      <c r="Z32" s="26">
        <v>46058</v>
      </c>
    </row>
    <row r="33" spans="1:26" x14ac:dyDescent="0.3">
      <c r="A33" s="50">
        <v>46058.368275462963</v>
      </c>
      <c r="B33">
        <v>2.02602050849389E+18</v>
      </c>
      <c r="C33" t="s">
        <v>2968</v>
      </c>
      <c r="D33" t="s">
        <v>2969</v>
      </c>
      <c r="E33" t="s">
        <v>2969</v>
      </c>
      <c r="F33" t="s">
        <v>2968</v>
      </c>
      <c r="G33" t="s">
        <v>2969</v>
      </c>
      <c r="H33" t="s">
        <v>2969</v>
      </c>
      <c r="I33">
        <v>2719</v>
      </c>
      <c r="J33" t="s">
        <v>2970</v>
      </c>
      <c r="K33" t="s">
        <v>2970</v>
      </c>
      <c r="L33" t="s">
        <v>2832</v>
      </c>
      <c r="M33" t="s">
        <v>2833</v>
      </c>
      <c r="N33">
        <v>54363</v>
      </c>
      <c r="O33">
        <v>45500</v>
      </c>
      <c r="P33">
        <v>1</v>
      </c>
      <c r="Q33">
        <v>0</v>
      </c>
      <c r="S33">
        <v>143790</v>
      </c>
      <c r="T33" t="s">
        <v>2971</v>
      </c>
      <c r="U33" t="s">
        <v>2835</v>
      </c>
      <c r="W33">
        <v>0</v>
      </c>
      <c r="X33">
        <v>45500</v>
      </c>
      <c r="Y33">
        <v>41363.636363636302</v>
      </c>
      <c r="Z33" s="26">
        <v>46058</v>
      </c>
    </row>
    <row r="34" spans="1:26" x14ac:dyDescent="0.3">
      <c r="A34" s="50">
        <v>46058.367766203701</v>
      </c>
      <c r="B34">
        <v>2.02602050848349E+18</v>
      </c>
      <c r="C34" t="s">
        <v>2972</v>
      </c>
      <c r="D34" t="s">
        <v>2973</v>
      </c>
      <c r="E34" t="s">
        <v>2973</v>
      </c>
      <c r="F34" t="s">
        <v>2972</v>
      </c>
      <c r="G34" t="s">
        <v>2973</v>
      </c>
      <c r="H34" t="s">
        <v>2973</v>
      </c>
      <c r="I34">
        <v>13539</v>
      </c>
      <c r="J34" t="s">
        <v>2974</v>
      </c>
      <c r="K34" t="s">
        <v>2974</v>
      </c>
      <c r="L34" t="s">
        <v>2832</v>
      </c>
      <c r="M34" t="s">
        <v>2833</v>
      </c>
      <c r="N34">
        <v>54363</v>
      </c>
      <c r="O34">
        <v>45500</v>
      </c>
      <c r="P34">
        <v>1</v>
      </c>
      <c r="Q34">
        <v>0</v>
      </c>
      <c r="S34">
        <v>143790</v>
      </c>
      <c r="T34" t="s">
        <v>2975</v>
      </c>
      <c r="U34" t="s">
        <v>2835</v>
      </c>
      <c r="W34">
        <v>0</v>
      </c>
      <c r="X34">
        <v>45500</v>
      </c>
      <c r="Y34">
        <v>41363.636363636302</v>
      </c>
      <c r="Z34" s="26">
        <v>46058</v>
      </c>
    </row>
    <row r="35" spans="1:26" x14ac:dyDescent="0.3">
      <c r="A35" s="50">
        <v>46058.366157407407</v>
      </c>
      <c r="B35">
        <v>2.0260205084509901E+18</v>
      </c>
      <c r="C35" t="s">
        <v>2976</v>
      </c>
      <c r="D35" t="s">
        <v>2977</v>
      </c>
      <c r="E35" t="s">
        <v>2977</v>
      </c>
      <c r="F35" t="s">
        <v>2976</v>
      </c>
      <c r="G35" t="s">
        <v>2977</v>
      </c>
      <c r="H35" t="s">
        <v>2977</v>
      </c>
      <c r="I35">
        <v>16517</v>
      </c>
      <c r="J35" t="s">
        <v>2978</v>
      </c>
      <c r="K35" t="s">
        <v>2978</v>
      </c>
      <c r="L35" t="s">
        <v>2832</v>
      </c>
      <c r="M35" t="s">
        <v>2833</v>
      </c>
      <c r="N35">
        <v>54363</v>
      </c>
      <c r="O35">
        <v>45500</v>
      </c>
      <c r="P35">
        <v>1</v>
      </c>
      <c r="Q35">
        <v>0</v>
      </c>
      <c r="S35">
        <v>143790</v>
      </c>
      <c r="T35" t="s">
        <v>2979</v>
      </c>
      <c r="U35" t="s">
        <v>2835</v>
      </c>
      <c r="W35">
        <v>0</v>
      </c>
      <c r="X35">
        <v>45500</v>
      </c>
      <c r="Y35">
        <v>41363.636363636302</v>
      </c>
      <c r="Z35" s="26">
        <v>46058</v>
      </c>
    </row>
    <row r="36" spans="1:26" x14ac:dyDescent="0.3">
      <c r="A36" s="50">
        <v>46058.365891203714</v>
      </c>
      <c r="B36">
        <v>2.02602050842125E+18</v>
      </c>
      <c r="C36" t="s">
        <v>2980</v>
      </c>
      <c r="D36" t="s">
        <v>2981</v>
      </c>
      <c r="E36" t="s">
        <v>2981</v>
      </c>
      <c r="F36" t="s">
        <v>2980</v>
      </c>
      <c r="G36" t="s">
        <v>2981</v>
      </c>
      <c r="H36" t="s">
        <v>2981</v>
      </c>
      <c r="I36">
        <v>5274</v>
      </c>
      <c r="J36" t="s">
        <v>2982</v>
      </c>
      <c r="K36" t="s">
        <v>2982</v>
      </c>
      <c r="L36" t="s">
        <v>2832</v>
      </c>
      <c r="M36" t="s">
        <v>2833</v>
      </c>
      <c r="N36">
        <v>54363</v>
      </c>
      <c r="O36">
        <v>45500</v>
      </c>
      <c r="P36">
        <v>1</v>
      </c>
      <c r="Q36">
        <v>0</v>
      </c>
      <c r="R36" t="s">
        <v>2983</v>
      </c>
      <c r="S36">
        <v>143790</v>
      </c>
      <c r="T36" t="s">
        <v>2984</v>
      </c>
      <c r="U36" t="s">
        <v>2835</v>
      </c>
      <c r="W36">
        <v>0</v>
      </c>
      <c r="X36">
        <v>45500</v>
      </c>
      <c r="Y36">
        <v>41363.636363636302</v>
      </c>
      <c r="Z36" s="26">
        <v>46058</v>
      </c>
    </row>
    <row r="37" spans="1:26" x14ac:dyDescent="0.3">
      <c r="A37" s="50">
        <v>46058.364247685182</v>
      </c>
      <c r="B37">
        <v>2.02602050843263E+18</v>
      </c>
      <c r="C37" t="s">
        <v>2985</v>
      </c>
      <c r="D37" t="s">
        <v>2986</v>
      </c>
      <c r="E37" t="s">
        <v>2986</v>
      </c>
      <c r="F37" t="s">
        <v>2987</v>
      </c>
      <c r="G37" t="s">
        <v>2986</v>
      </c>
      <c r="H37" t="s">
        <v>2986</v>
      </c>
      <c r="I37">
        <v>16822</v>
      </c>
      <c r="J37" t="s">
        <v>2988</v>
      </c>
      <c r="K37" t="s">
        <v>2988</v>
      </c>
      <c r="L37" t="s">
        <v>2832</v>
      </c>
      <c r="M37" t="s">
        <v>2833</v>
      </c>
      <c r="N37">
        <v>54363</v>
      </c>
      <c r="O37">
        <v>45500</v>
      </c>
      <c r="P37">
        <v>1</v>
      </c>
      <c r="Q37">
        <v>0</v>
      </c>
      <c r="S37">
        <v>143790</v>
      </c>
      <c r="T37" t="s">
        <v>2989</v>
      </c>
      <c r="U37" t="s">
        <v>2835</v>
      </c>
      <c r="W37">
        <v>0</v>
      </c>
      <c r="X37">
        <v>45500</v>
      </c>
      <c r="Y37">
        <v>41363.636363636302</v>
      </c>
      <c r="Z37" s="26">
        <v>46058</v>
      </c>
    </row>
    <row r="38" spans="1:26" x14ac:dyDescent="0.3">
      <c r="A38" s="50">
        <v>46058.362870370373</v>
      </c>
      <c r="B38">
        <v>2.0260205083347999E+18</v>
      </c>
      <c r="C38" t="s">
        <v>2990</v>
      </c>
      <c r="D38" t="s">
        <v>2991</v>
      </c>
      <c r="E38" t="s">
        <v>2991</v>
      </c>
      <c r="F38" t="s">
        <v>2992</v>
      </c>
      <c r="G38" t="s">
        <v>2993</v>
      </c>
      <c r="H38" t="s">
        <v>2993</v>
      </c>
      <c r="I38">
        <v>63090</v>
      </c>
      <c r="J38" t="s">
        <v>2994</v>
      </c>
      <c r="K38" t="s">
        <v>2994</v>
      </c>
      <c r="L38" t="s">
        <v>2832</v>
      </c>
      <c r="M38" t="s">
        <v>2833</v>
      </c>
      <c r="N38">
        <v>54363</v>
      </c>
      <c r="O38">
        <v>45500</v>
      </c>
      <c r="P38">
        <v>1</v>
      </c>
      <c r="Q38">
        <v>0</v>
      </c>
      <c r="S38">
        <v>143790</v>
      </c>
      <c r="T38" t="s">
        <v>2995</v>
      </c>
      <c r="U38" t="s">
        <v>2835</v>
      </c>
      <c r="W38">
        <v>0</v>
      </c>
      <c r="X38">
        <v>45500</v>
      </c>
      <c r="Y38">
        <v>41363.636363636302</v>
      </c>
      <c r="Z38" s="26">
        <v>46058</v>
      </c>
    </row>
    <row r="39" spans="1:26" x14ac:dyDescent="0.3">
      <c r="A39" s="50">
        <v>46058.362372685187</v>
      </c>
      <c r="B39">
        <v>2.0260205083925499E+18</v>
      </c>
      <c r="C39" t="s">
        <v>2996</v>
      </c>
      <c r="D39" t="s">
        <v>2997</v>
      </c>
      <c r="E39" t="s">
        <v>2997</v>
      </c>
      <c r="F39" t="s">
        <v>2996</v>
      </c>
      <c r="G39" t="s">
        <v>2997</v>
      </c>
      <c r="H39" t="s">
        <v>2997</v>
      </c>
      <c r="I39">
        <v>6714</v>
      </c>
      <c r="J39" t="s">
        <v>2998</v>
      </c>
      <c r="K39" t="s">
        <v>2998</v>
      </c>
      <c r="L39" t="s">
        <v>2832</v>
      </c>
      <c r="M39" t="s">
        <v>2833</v>
      </c>
      <c r="N39">
        <v>54363</v>
      </c>
      <c r="O39">
        <v>45500</v>
      </c>
      <c r="P39">
        <v>1</v>
      </c>
      <c r="Q39">
        <v>0</v>
      </c>
      <c r="S39">
        <v>143790</v>
      </c>
      <c r="T39" t="s">
        <v>2999</v>
      </c>
      <c r="U39" t="s">
        <v>2835</v>
      </c>
      <c r="W39">
        <v>0</v>
      </c>
      <c r="X39">
        <v>45500</v>
      </c>
      <c r="Y39">
        <v>41363.636363636302</v>
      </c>
      <c r="Z39" s="26">
        <v>46058</v>
      </c>
    </row>
    <row r="40" spans="1:26" x14ac:dyDescent="0.3">
      <c r="A40" s="50">
        <v>46058.360451388893</v>
      </c>
      <c r="B40">
        <v>2.02602050835165E+18</v>
      </c>
      <c r="C40" t="s">
        <v>3000</v>
      </c>
      <c r="D40" t="s">
        <v>3001</v>
      </c>
      <c r="E40" t="s">
        <v>3001</v>
      </c>
      <c r="F40" t="s">
        <v>3002</v>
      </c>
      <c r="G40" t="s">
        <v>3001</v>
      </c>
      <c r="H40" t="s">
        <v>3001</v>
      </c>
      <c r="I40">
        <v>14596</v>
      </c>
      <c r="J40" t="s">
        <v>3003</v>
      </c>
      <c r="K40" t="s">
        <v>3003</v>
      </c>
      <c r="L40" t="s">
        <v>2832</v>
      </c>
      <c r="M40" t="s">
        <v>2833</v>
      </c>
      <c r="N40">
        <v>108726</v>
      </c>
      <c r="O40">
        <v>45500</v>
      </c>
      <c r="P40">
        <v>2</v>
      </c>
      <c r="Q40">
        <v>0</v>
      </c>
      <c r="S40">
        <v>143790</v>
      </c>
      <c r="T40" t="s">
        <v>3004</v>
      </c>
      <c r="U40" t="s">
        <v>2835</v>
      </c>
      <c r="W40">
        <v>0</v>
      </c>
      <c r="X40">
        <v>91000</v>
      </c>
      <c r="Y40">
        <v>82727.272727272706</v>
      </c>
      <c r="Z40" s="26">
        <v>46058</v>
      </c>
    </row>
    <row r="41" spans="1:26" x14ac:dyDescent="0.3">
      <c r="A41" s="50">
        <v>46058.359768518523</v>
      </c>
      <c r="B41">
        <v>2.02602050836337E+18</v>
      </c>
      <c r="C41" t="s">
        <v>3005</v>
      </c>
      <c r="D41" t="s">
        <v>3006</v>
      </c>
      <c r="E41" t="s">
        <v>3006</v>
      </c>
      <c r="F41" t="s">
        <v>3005</v>
      </c>
      <c r="G41" t="s">
        <v>3006</v>
      </c>
      <c r="H41" t="s">
        <v>3006</v>
      </c>
      <c r="I41">
        <v>16021</v>
      </c>
      <c r="J41" t="s">
        <v>3007</v>
      </c>
      <c r="K41" t="s">
        <v>3007</v>
      </c>
      <c r="L41" t="s">
        <v>2832</v>
      </c>
      <c r="M41" t="s">
        <v>2833</v>
      </c>
      <c r="N41">
        <v>54363</v>
      </c>
      <c r="O41">
        <v>45500</v>
      </c>
      <c r="P41">
        <v>1</v>
      </c>
      <c r="Q41">
        <v>0</v>
      </c>
      <c r="S41">
        <v>143790</v>
      </c>
      <c r="T41" t="s">
        <v>3008</v>
      </c>
      <c r="U41" t="s">
        <v>2835</v>
      </c>
      <c r="W41">
        <v>0</v>
      </c>
      <c r="X41">
        <v>45500</v>
      </c>
      <c r="Y41">
        <v>41363.636363636302</v>
      </c>
      <c r="Z41" s="26">
        <v>46058</v>
      </c>
    </row>
    <row r="42" spans="1:26" x14ac:dyDescent="0.3">
      <c r="A42" s="50">
        <v>46058.359317129631</v>
      </c>
      <c r="B42">
        <v>2.02602050833106E+18</v>
      </c>
      <c r="C42" t="s">
        <v>3009</v>
      </c>
      <c r="D42" t="s">
        <v>3010</v>
      </c>
      <c r="E42" t="s">
        <v>3010</v>
      </c>
      <c r="F42" t="s">
        <v>3009</v>
      </c>
      <c r="G42" t="s">
        <v>3010</v>
      </c>
      <c r="H42" t="s">
        <v>3010</v>
      </c>
      <c r="I42">
        <v>31091</v>
      </c>
      <c r="J42" t="s">
        <v>3011</v>
      </c>
      <c r="K42" t="s">
        <v>3011</v>
      </c>
      <c r="L42" t="s">
        <v>2832</v>
      </c>
      <c r="M42" t="s">
        <v>2833</v>
      </c>
      <c r="N42">
        <v>54363</v>
      </c>
      <c r="O42">
        <v>45500</v>
      </c>
      <c r="P42">
        <v>1</v>
      </c>
      <c r="Q42">
        <v>0</v>
      </c>
      <c r="S42">
        <v>143790</v>
      </c>
      <c r="T42" t="s">
        <v>3012</v>
      </c>
      <c r="U42" t="s">
        <v>2835</v>
      </c>
      <c r="W42">
        <v>0</v>
      </c>
      <c r="X42">
        <v>45500</v>
      </c>
      <c r="Y42">
        <v>41363.636363636302</v>
      </c>
      <c r="Z42" s="26">
        <v>46058</v>
      </c>
    </row>
    <row r="43" spans="1:26" x14ac:dyDescent="0.3">
      <c r="A43" s="50">
        <v>46058.356527777767</v>
      </c>
      <c r="B43">
        <v>2.0260205083219E+18</v>
      </c>
      <c r="C43" t="s">
        <v>3013</v>
      </c>
      <c r="D43" t="s">
        <v>3014</v>
      </c>
      <c r="E43" t="s">
        <v>3014</v>
      </c>
      <c r="F43" t="s">
        <v>3013</v>
      </c>
      <c r="G43" t="s">
        <v>3014</v>
      </c>
      <c r="H43" t="s">
        <v>3014</v>
      </c>
      <c r="I43">
        <v>3911</v>
      </c>
      <c r="J43" t="s">
        <v>3015</v>
      </c>
      <c r="K43" t="s">
        <v>3015</v>
      </c>
      <c r="L43" t="s">
        <v>2832</v>
      </c>
      <c r="M43" t="s">
        <v>2833</v>
      </c>
      <c r="N43">
        <v>54363</v>
      </c>
      <c r="O43">
        <v>45500</v>
      </c>
      <c r="P43">
        <v>1</v>
      </c>
      <c r="Q43">
        <v>0</v>
      </c>
      <c r="S43">
        <v>143790</v>
      </c>
      <c r="T43" t="s">
        <v>3016</v>
      </c>
      <c r="U43" t="s">
        <v>2835</v>
      </c>
      <c r="W43">
        <v>0</v>
      </c>
      <c r="X43">
        <v>45500</v>
      </c>
      <c r="Y43">
        <v>41363.636363636302</v>
      </c>
      <c r="Z43" s="26">
        <v>46058</v>
      </c>
    </row>
    <row r="44" spans="1:26" x14ac:dyDescent="0.3">
      <c r="A44" s="50">
        <v>46058.356527777767</v>
      </c>
      <c r="B44">
        <v>2.02602050833026E+18</v>
      </c>
      <c r="C44" t="s">
        <v>3017</v>
      </c>
      <c r="D44" t="s">
        <v>3018</v>
      </c>
      <c r="E44" t="s">
        <v>3018</v>
      </c>
      <c r="F44" t="s">
        <v>3017</v>
      </c>
      <c r="G44" t="s">
        <v>3018</v>
      </c>
      <c r="H44" t="s">
        <v>3018</v>
      </c>
      <c r="I44">
        <v>13544</v>
      </c>
      <c r="J44" t="s">
        <v>3019</v>
      </c>
      <c r="K44" t="s">
        <v>3019</v>
      </c>
      <c r="L44" t="s">
        <v>2832</v>
      </c>
      <c r="M44" t="s">
        <v>2833</v>
      </c>
      <c r="N44">
        <v>54363</v>
      </c>
      <c r="O44">
        <v>45500</v>
      </c>
      <c r="P44">
        <v>1</v>
      </c>
      <c r="Q44">
        <v>0</v>
      </c>
      <c r="S44">
        <v>143790</v>
      </c>
      <c r="T44" t="s">
        <v>3020</v>
      </c>
      <c r="U44" t="s">
        <v>2835</v>
      </c>
      <c r="W44">
        <v>0</v>
      </c>
      <c r="X44">
        <v>45500</v>
      </c>
      <c r="Y44">
        <v>41363.636363636302</v>
      </c>
      <c r="Z44" s="26">
        <v>46058</v>
      </c>
    </row>
    <row r="45" spans="1:26" x14ac:dyDescent="0.3">
      <c r="A45" s="50">
        <v>46058.355173611111</v>
      </c>
      <c r="B45">
        <v>2.02602050830125E+18</v>
      </c>
      <c r="C45" t="s">
        <v>3021</v>
      </c>
      <c r="D45" t="s">
        <v>3022</v>
      </c>
      <c r="E45" t="s">
        <v>3022</v>
      </c>
      <c r="F45" t="s">
        <v>3021</v>
      </c>
      <c r="G45" t="s">
        <v>3022</v>
      </c>
      <c r="H45" t="s">
        <v>3022</v>
      </c>
      <c r="I45">
        <v>13379</v>
      </c>
      <c r="J45" t="s">
        <v>3023</v>
      </c>
      <c r="K45" t="s">
        <v>3023</v>
      </c>
      <c r="L45" t="s">
        <v>2832</v>
      </c>
      <c r="M45" t="s">
        <v>2833</v>
      </c>
      <c r="N45">
        <v>54363</v>
      </c>
      <c r="O45">
        <v>45500</v>
      </c>
      <c r="P45">
        <v>1</v>
      </c>
      <c r="Q45">
        <v>0</v>
      </c>
      <c r="S45">
        <v>143790</v>
      </c>
      <c r="T45" t="s">
        <v>3024</v>
      </c>
      <c r="U45" t="s">
        <v>2835</v>
      </c>
      <c r="W45">
        <v>0</v>
      </c>
      <c r="X45">
        <v>45500</v>
      </c>
      <c r="Y45">
        <v>41363.636363636302</v>
      </c>
      <c r="Z45" s="26">
        <v>46058</v>
      </c>
    </row>
    <row r="46" spans="1:26" x14ac:dyDescent="0.3">
      <c r="A46" s="50">
        <v>46058.354270833333</v>
      </c>
      <c r="B46">
        <v>2.0260205082946701E+18</v>
      </c>
      <c r="C46" t="s">
        <v>3025</v>
      </c>
      <c r="D46" t="s">
        <v>3026</v>
      </c>
      <c r="E46" t="s">
        <v>3026</v>
      </c>
      <c r="F46" t="s">
        <v>3025</v>
      </c>
      <c r="G46" t="s">
        <v>3026</v>
      </c>
      <c r="H46" t="s">
        <v>3026</v>
      </c>
      <c r="I46">
        <v>46017</v>
      </c>
      <c r="J46" t="s">
        <v>3027</v>
      </c>
      <c r="K46" t="s">
        <v>3027</v>
      </c>
      <c r="L46" t="s">
        <v>2832</v>
      </c>
      <c r="M46" t="s">
        <v>2833</v>
      </c>
      <c r="N46">
        <v>54363</v>
      </c>
      <c r="O46">
        <v>45500</v>
      </c>
      <c r="P46">
        <v>1</v>
      </c>
      <c r="Q46">
        <v>0</v>
      </c>
      <c r="S46">
        <v>143790</v>
      </c>
      <c r="T46" t="s">
        <v>3028</v>
      </c>
      <c r="U46" t="s">
        <v>2835</v>
      </c>
      <c r="W46">
        <v>0</v>
      </c>
      <c r="X46">
        <v>45500</v>
      </c>
      <c r="Y46">
        <v>41363.636363636302</v>
      </c>
      <c r="Z46" s="26">
        <v>46058</v>
      </c>
    </row>
    <row r="47" spans="1:26" x14ac:dyDescent="0.3">
      <c r="A47" s="50">
        <v>46058.354143518518</v>
      </c>
      <c r="B47">
        <v>2.0260205082545001E+18</v>
      </c>
      <c r="C47" t="s">
        <v>3029</v>
      </c>
      <c r="D47" t="s">
        <v>3030</v>
      </c>
      <c r="E47" t="s">
        <v>3030</v>
      </c>
      <c r="F47" t="s">
        <v>3029</v>
      </c>
      <c r="G47" t="s">
        <v>3030</v>
      </c>
      <c r="H47" t="s">
        <v>3030</v>
      </c>
      <c r="I47">
        <v>47748</v>
      </c>
      <c r="J47" t="s">
        <v>3031</v>
      </c>
      <c r="K47" t="s">
        <v>3031</v>
      </c>
      <c r="L47" t="s">
        <v>2832</v>
      </c>
      <c r="M47" t="s">
        <v>2833</v>
      </c>
      <c r="N47">
        <v>54363</v>
      </c>
      <c r="O47">
        <v>45500</v>
      </c>
      <c r="P47">
        <v>1</v>
      </c>
      <c r="Q47">
        <v>0</v>
      </c>
      <c r="S47">
        <v>143790</v>
      </c>
      <c r="T47" t="s">
        <v>3032</v>
      </c>
      <c r="U47" t="s">
        <v>2835</v>
      </c>
      <c r="W47">
        <v>0</v>
      </c>
      <c r="X47">
        <v>45500</v>
      </c>
      <c r="Y47">
        <v>41363.636363636302</v>
      </c>
      <c r="Z47" s="26">
        <v>46058</v>
      </c>
    </row>
    <row r="48" spans="1:26" x14ac:dyDescent="0.3">
      <c r="A48" s="50">
        <v>46058.354039351849</v>
      </c>
      <c r="B48">
        <v>2.02602050828414E+18</v>
      </c>
      <c r="C48" t="s">
        <v>3033</v>
      </c>
      <c r="D48" t="s">
        <v>3034</v>
      </c>
      <c r="E48" t="s">
        <v>3034</v>
      </c>
      <c r="F48" t="s">
        <v>3033</v>
      </c>
      <c r="G48" t="s">
        <v>3034</v>
      </c>
      <c r="H48" t="s">
        <v>3034</v>
      </c>
      <c r="I48">
        <v>21434</v>
      </c>
      <c r="J48" t="s">
        <v>3035</v>
      </c>
      <c r="K48" t="s">
        <v>3035</v>
      </c>
      <c r="L48" t="s">
        <v>2832</v>
      </c>
      <c r="M48" t="s">
        <v>2833</v>
      </c>
      <c r="N48">
        <v>54363</v>
      </c>
      <c r="O48">
        <v>45500</v>
      </c>
      <c r="P48">
        <v>1</v>
      </c>
      <c r="Q48">
        <v>0</v>
      </c>
      <c r="S48">
        <v>143790</v>
      </c>
      <c r="T48" t="s">
        <v>3036</v>
      </c>
      <c r="U48" t="s">
        <v>2835</v>
      </c>
      <c r="W48">
        <v>0</v>
      </c>
      <c r="X48">
        <v>45500</v>
      </c>
      <c r="Y48">
        <v>41363.636363636302</v>
      </c>
      <c r="Z48" s="26">
        <v>46058</v>
      </c>
    </row>
    <row r="49" spans="1:26" x14ac:dyDescent="0.3">
      <c r="A49" s="50">
        <v>46058.353668981479</v>
      </c>
      <c r="B49">
        <v>2.02602050823519E+18</v>
      </c>
      <c r="C49" t="s">
        <v>3037</v>
      </c>
      <c r="D49" t="s">
        <v>3038</v>
      </c>
      <c r="E49" t="s">
        <v>3038</v>
      </c>
      <c r="F49" t="s">
        <v>3037</v>
      </c>
      <c r="G49" t="s">
        <v>3038</v>
      </c>
      <c r="H49" t="s">
        <v>3038</v>
      </c>
      <c r="I49">
        <v>7046</v>
      </c>
      <c r="J49" t="s">
        <v>3039</v>
      </c>
      <c r="K49" t="s">
        <v>3039</v>
      </c>
      <c r="L49" t="s">
        <v>2832</v>
      </c>
      <c r="M49" t="s">
        <v>2833</v>
      </c>
      <c r="N49">
        <v>54363</v>
      </c>
      <c r="O49">
        <v>45500</v>
      </c>
      <c r="P49">
        <v>1</v>
      </c>
      <c r="Q49">
        <v>0</v>
      </c>
      <c r="R49" t="s">
        <v>2865</v>
      </c>
      <c r="S49">
        <v>143790</v>
      </c>
      <c r="T49" t="s">
        <v>3040</v>
      </c>
      <c r="U49" t="s">
        <v>2835</v>
      </c>
      <c r="W49">
        <v>0</v>
      </c>
      <c r="X49">
        <v>45500</v>
      </c>
      <c r="Y49">
        <v>41363.636363636302</v>
      </c>
      <c r="Z49" s="26">
        <v>46058</v>
      </c>
    </row>
    <row r="50" spans="1:26" x14ac:dyDescent="0.3">
      <c r="A50" s="50">
        <v>46058.34952546296</v>
      </c>
      <c r="B50">
        <v>2.0260205081959099E+18</v>
      </c>
      <c r="C50" t="s">
        <v>3041</v>
      </c>
      <c r="D50" t="s">
        <v>3042</v>
      </c>
      <c r="E50" t="s">
        <v>3042</v>
      </c>
      <c r="F50" t="s">
        <v>3041</v>
      </c>
      <c r="G50" t="s">
        <v>3042</v>
      </c>
      <c r="H50" t="s">
        <v>3042</v>
      </c>
      <c r="I50">
        <v>10391</v>
      </c>
      <c r="J50" t="s">
        <v>3043</v>
      </c>
      <c r="K50" t="s">
        <v>3043</v>
      </c>
      <c r="L50" t="s">
        <v>2832</v>
      </c>
      <c r="M50" t="s">
        <v>2833</v>
      </c>
      <c r="N50">
        <v>54363</v>
      </c>
      <c r="O50">
        <v>45500</v>
      </c>
      <c r="P50">
        <v>1</v>
      </c>
      <c r="Q50">
        <v>0</v>
      </c>
      <c r="S50">
        <v>143790</v>
      </c>
      <c r="T50" t="s">
        <v>3044</v>
      </c>
      <c r="U50" t="s">
        <v>2835</v>
      </c>
      <c r="W50">
        <v>0</v>
      </c>
      <c r="X50">
        <v>45500</v>
      </c>
      <c r="Y50">
        <v>41363.636363636302</v>
      </c>
      <c r="Z50" s="26">
        <v>46058</v>
      </c>
    </row>
    <row r="51" spans="1:26" x14ac:dyDescent="0.3">
      <c r="A51" s="50">
        <v>46058.349074074067</v>
      </c>
      <c r="B51">
        <v>2.0260205081955999E+18</v>
      </c>
      <c r="C51" t="s">
        <v>3045</v>
      </c>
      <c r="D51" t="s">
        <v>3046</v>
      </c>
      <c r="E51" t="s">
        <v>3046</v>
      </c>
      <c r="F51" t="s">
        <v>3045</v>
      </c>
      <c r="G51" t="s">
        <v>3046</v>
      </c>
      <c r="H51" t="s">
        <v>3046</v>
      </c>
      <c r="I51">
        <v>23026</v>
      </c>
      <c r="J51" t="s">
        <v>3047</v>
      </c>
      <c r="K51" t="s">
        <v>3047</v>
      </c>
      <c r="L51" t="s">
        <v>2832</v>
      </c>
      <c r="M51" t="s">
        <v>2833</v>
      </c>
      <c r="N51">
        <v>54363</v>
      </c>
      <c r="O51">
        <v>45500</v>
      </c>
      <c r="P51">
        <v>1</v>
      </c>
      <c r="Q51">
        <v>0</v>
      </c>
      <c r="R51" t="s">
        <v>3048</v>
      </c>
      <c r="S51">
        <v>143790</v>
      </c>
      <c r="T51" t="s">
        <v>3049</v>
      </c>
      <c r="U51" t="s">
        <v>2835</v>
      </c>
      <c r="W51">
        <v>0</v>
      </c>
      <c r="X51">
        <v>45500</v>
      </c>
      <c r="Y51">
        <v>41363.636363636302</v>
      </c>
      <c r="Z51" s="26">
        <v>46058</v>
      </c>
    </row>
    <row r="52" spans="1:26" x14ac:dyDescent="0.3">
      <c r="A52" s="50">
        <v>46058.348263888889</v>
      </c>
      <c r="B52">
        <v>2.0260205082016E+18</v>
      </c>
      <c r="C52" t="s">
        <v>3050</v>
      </c>
      <c r="D52" t="s">
        <v>3051</v>
      </c>
      <c r="E52" t="s">
        <v>3051</v>
      </c>
      <c r="F52" t="s">
        <v>3050</v>
      </c>
      <c r="G52" t="s">
        <v>3051</v>
      </c>
      <c r="H52" t="s">
        <v>3051</v>
      </c>
      <c r="I52">
        <v>16035</v>
      </c>
      <c r="J52" t="s">
        <v>3052</v>
      </c>
      <c r="K52" t="s">
        <v>3052</v>
      </c>
      <c r="L52" t="s">
        <v>2832</v>
      </c>
      <c r="M52" t="s">
        <v>2833</v>
      </c>
      <c r="N52">
        <v>108726</v>
      </c>
      <c r="O52">
        <v>45500</v>
      </c>
      <c r="P52">
        <v>2</v>
      </c>
      <c r="Q52">
        <v>0</v>
      </c>
      <c r="S52">
        <v>143790</v>
      </c>
      <c r="T52" t="s">
        <v>3053</v>
      </c>
      <c r="U52" t="s">
        <v>2835</v>
      </c>
      <c r="W52">
        <v>0</v>
      </c>
      <c r="X52">
        <v>91000</v>
      </c>
      <c r="Y52">
        <v>82727.272727272706</v>
      </c>
      <c r="Z52" s="26">
        <v>46058</v>
      </c>
    </row>
    <row r="53" spans="1:26" x14ac:dyDescent="0.3">
      <c r="A53" s="50">
        <v>46058.346770833326</v>
      </c>
      <c r="B53">
        <v>2.0260205081637901E+18</v>
      </c>
      <c r="C53" t="s">
        <v>3054</v>
      </c>
      <c r="D53" t="s">
        <v>3055</v>
      </c>
      <c r="E53" t="s">
        <v>3055</v>
      </c>
      <c r="F53" t="s">
        <v>3054</v>
      </c>
      <c r="G53" t="s">
        <v>3055</v>
      </c>
      <c r="H53" t="s">
        <v>3055</v>
      </c>
      <c r="I53">
        <v>51001</v>
      </c>
      <c r="J53" t="s">
        <v>3056</v>
      </c>
      <c r="K53" t="s">
        <v>3056</v>
      </c>
      <c r="L53" t="s">
        <v>2832</v>
      </c>
      <c r="M53" t="s">
        <v>2833</v>
      </c>
      <c r="N53">
        <v>54363</v>
      </c>
      <c r="O53">
        <v>45500</v>
      </c>
      <c r="P53">
        <v>1</v>
      </c>
      <c r="Q53">
        <v>0</v>
      </c>
      <c r="S53">
        <v>143790</v>
      </c>
      <c r="T53" t="s">
        <v>3057</v>
      </c>
      <c r="U53" t="s">
        <v>2835</v>
      </c>
      <c r="W53">
        <v>0</v>
      </c>
      <c r="X53">
        <v>45500</v>
      </c>
      <c r="Y53">
        <v>41363.636363636302</v>
      </c>
      <c r="Z53" s="26">
        <v>46058</v>
      </c>
    </row>
    <row r="54" spans="1:26" x14ac:dyDescent="0.3">
      <c r="A54" s="50">
        <v>46058.346018518518</v>
      </c>
      <c r="B54">
        <v>2.02602050817439E+18</v>
      </c>
      <c r="C54" t="s">
        <v>3058</v>
      </c>
      <c r="D54" t="s">
        <v>3059</v>
      </c>
      <c r="E54" t="s">
        <v>3059</v>
      </c>
      <c r="F54" t="s">
        <v>3058</v>
      </c>
      <c r="G54" t="s">
        <v>3059</v>
      </c>
      <c r="H54" t="s">
        <v>3059</v>
      </c>
      <c r="I54">
        <v>7584</v>
      </c>
      <c r="J54" t="s">
        <v>3060</v>
      </c>
      <c r="K54" t="s">
        <v>3060</v>
      </c>
      <c r="L54" t="s">
        <v>2832</v>
      </c>
      <c r="M54" t="s">
        <v>2833</v>
      </c>
      <c r="N54">
        <v>54363</v>
      </c>
      <c r="O54">
        <v>45500</v>
      </c>
      <c r="P54">
        <v>1</v>
      </c>
      <c r="Q54">
        <v>0</v>
      </c>
      <c r="S54">
        <v>143790</v>
      </c>
      <c r="T54" t="s">
        <v>3061</v>
      </c>
      <c r="U54" t="s">
        <v>2835</v>
      </c>
      <c r="W54">
        <v>0</v>
      </c>
      <c r="X54">
        <v>45500</v>
      </c>
      <c r="Y54">
        <v>41363.636363636302</v>
      </c>
      <c r="Z54" s="26">
        <v>46058</v>
      </c>
    </row>
    <row r="55" spans="1:26" x14ac:dyDescent="0.3">
      <c r="A55" s="50">
        <v>46058.345277777778</v>
      </c>
      <c r="B55">
        <v>2.0260205081316201E+18</v>
      </c>
      <c r="C55" t="s">
        <v>3062</v>
      </c>
      <c r="D55" t="s">
        <v>3063</v>
      </c>
      <c r="E55" t="s">
        <v>3063</v>
      </c>
      <c r="F55" t="s">
        <v>3062</v>
      </c>
      <c r="G55" t="s">
        <v>3063</v>
      </c>
      <c r="H55" t="s">
        <v>3063</v>
      </c>
      <c r="I55">
        <v>34074</v>
      </c>
      <c r="J55" t="s">
        <v>3064</v>
      </c>
      <c r="K55" t="s">
        <v>3064</v>
      </c>
      <c r="L55" t="s">
        <v>2832</v>
      </c>
      <c r="M55" t="s">
        <v>2833</v>
      </c>
      <c r="N55">
        <v>54363</v>
      </c>
      <c r="O55">
        <v>45500</v>
      </c>
      <c r="P55">
        <v>1</v>
      </c>
      <c r="Q55">
        <v>0</v>
      </c>
      <c r="S55">
        <v>143790</v>
      </c>
      <c r="T55" t="s">
        <v>3065</v>
      </c>
      <c r="U55" t="s">
        <v>2835</v>
      </c>
      <c r="W55">
        <v>0</v>
      </c>
      <c r="X55">
        <v>45500</v>
      </c>
      <c r="Y55">
        <v>41363.636363636302</v>
      </c>
      <c r="Z55" s="26">
        <v>46058</v>
      </c>
    </row>
    <row r="56" spans="1:26" x14ac:dyDescent="0.3">
      <c r="A56" s="50">
        <v>46058.344976851848</v>
      </c>
      <c r="B56">
        <v>2.0260205081550899E+18</v>
      </c>
      <c r="C56" t="s">
        <v>3066</v>
      </c>
      <c r="D56" t="s">
        <v>3067</v>
      </c>
      <c r="E56" t="s">
        <v>3067</v>
      </c>
      <c r="F56" t="s">
        <v>3066</v>
      </c>
      <c r="G56" t="s">
        <v>3067</v>
      </c>
      <c r="H56" t="s">
        <v>3067</v>
      </c>
      <c r="I56">
        <v>16693</v>
      </c>
      <c r="J56" t="s">
        <v>3068</v>
      </c>
      <c r="K56" t="s">
        <v>3068</v>
      </c>
      <c r="L56" t="s">
        <v>2832</v>
      </c>
      <c r="M56" t="s">
        <v>2833</v>
      </c>
      <c r="N56">
        <v>54363</v>
      </c>
      <c r="O56">
        <v>45500</v>
      </c>
      <c r="P56">
        <v>1</v>
      </c>
      <c r="Q56">
        <v>0</v>
      </c>
      <c r="S56">
        <v>143790</v>
      </c>
      <c r="T56" t="s">
        <v>3069</v>
      </c>
      <c r="U56" t="s">
        <v>2835</v>
      </c>
      <c r="W56">
        <v>0</v>
      </c>
      <c r="X56">
        <v>45500</v>
      </c>
      <c r="Y56">
        <v>41363.636363636302</v>
      </c>
      <c r="Z56" s="26">
        <v>46058</v>
      </c>
    </row>
    <row r="57" spans="1:26" x14ac:dyDescent="0.3">
      <c r="A57" s="50">
        <v>46058.344386574077</v>
      </c>
      <c r="B57">
        <v>2.02602050814254E+18</v>
      </c>
      <c r="C57" t="s">
        <v>3070</v>
      </c>
      <c r="D57" t="s">
        <v>3071</v>
      </c>
      <c r="E57" t="s">
        <v>3071</v>
      </c>
      <c r="F57" t="s">
        <v>3072</v>
      </c>
      <c r="G57" t="s">
        <v>3073</v>
      </c>
      <c r="H57" t="s">
        <v>3073</v>
      </c>
      <c r="I57">
        <v>49520</v>
      </c>
      <c r="J57" t="s">
        <v>3074</v>
      </c>
      <c r="K57" t="s">
        <v>3074</v>
      </c>
      <c r="L57" t="s">
        <v>2832</v>
      </c>
      <c r="M57" t="s">
        <v>2833</v>
      </c>
      <c r="N57">
        <v>54363</v>
      </c>
      <c r="O57">
        <v>45500</v>
      </c>
      <c r="P57">
        <v>1</v>
      </c>
      <c r="Q57">
        <v>0</v>
      </c>
      <c r="R57" t="s">
        <v>3075</v>
      </c>
      <c r="S57">
        <v>143790</v>
      </c>
      <c r="T57" t="s">
        <v>3076</v>
      </c>
      <c r="U57" t="s">
        <v>2835</v>
      </c>
      <c r="W57">
        <v>0</v>
      </c>
      <c r="X57">
        <v>45500</v>
      </c>
      <c r="Y57">
        <v>41363.636363636302</v>
      </c>
      <c r="Z57" s="26">
        <v>46058</v>
      </c>
    </row>
    <row r="58" spans="1:26" x14ac:dyDescent="0.3">
      <c r="A58" s="50">
        <v>46058.343807870369</v>
      </c>
      <c r="B58">
        <v>2.02602050814271E+18</v>
      </c>
      <c r="C58" t="s">
        <v>3077</v>
      </c>
      <c r="D58" t="s">
        <v>3078</v>
      </c>
      <c r="E58" t="s">
        <v>3078</v>
      </c>
      <c r="F58" t="s">
        <v>3077</v>
      </c>
      <c r="G58" t="s">
        <v>3078</v>
      </c>
      <c r="H58" t="s">
        <v>3078</v>
      </c>
      <c r="I58">
        <v>21553</v>
      </c>
      <c r="J58" t="s">
        <v>3079</v>
      </c>
      <c r="K58" t="s">
        <v>3079</v>
      </c>
      <c r="L58" t="s">
        <v>2832</v>
      </c>
      <c r="M58" t="s">
        <v>2833</v>
      </c>
      <c r="N58">
        <v>54363</v>
      </c>
      <c r="O58">
        <v>45500</v>
      </c>
      <c r="P58">
        <v>1</v>
      </c>
      <c r="Q58">
        <v>0</v>
      </c>
      <c r="S58">
        <v>143790</v>
      </c>
      <c r="T58" t="s">
        <v>3080</v>
      </c>
      <c r="U58" t="s">
        <v>2835</v>
      </c>
      <c r="W58">
        <v>0</v>
      </c>
      <c r="X58">
        <v>45500</v>
      </c>
      <c r="Y58">
        <v>41363.636363636302</v>
      </c>
      <c r="Z58" s="26">
        <v>46058</v>
      </c>
    </row>
    <row r="59" spans="1:26" x14ac:dyDescent="0.3">
      <c r="A59" s="50">
        <v>46058.343032407407</v>
      </c>
      <c r="B59">
        <v>2.0260205081336499E+18</v>
      </c>
      <c r="C59" t="s">
        <v>3070</v>
      </c>
      <c r="D59" t="s">
        <v>3071</v>
      </c>
      <c r="E59" t="s">
        <v>3071</v>
      </c>
      <c r="F59" t="s">
        <v>3070</v>
      </c>
      <c r="G59" t="s">
        <v>3071</v>
      </c>
      <c r="H59" t="s">
        <v>3071</v>
      </c>
      <c r="I59">
        <v>13599</v>
      </c>
      <c r="J59" t="s">
        <v>3081</v>
      </c>
      <c r="K59" t="s">
        <v>3081</v>
      </c>
      <c r="L59" t="s">
        <v>2832</v>
      </c>
      <c r="M59" t="s">
        <v>2833</v>
      </c>
      <c r="N59">
        <v>54363</v>
      </c>
      <c r="O59">
        <v>45500</v>
      </c>
      <c r="P59">
        <v>1</v>
      </c>
      <c r="Q59">
        <v>0</v>
      </c>
      <c r="S59">
        <v>143790</v>
      </c>
      <c r="T59" t="s">
        <v>3082</v>
      </c>
      <c r="U59" t="s">
        <v>2835</v>
      </c>
      <c r="W59">
        <v>0</v>
      </c>
      <c r="X59">
        <v>45500</v>
      </c>
      <c r="Y59">
        <v>41363.636363636302</v>
      </c>
      <c r="Z59" s="26">
        <v>46058</v>
      </c>
    </row>
    <row r="60" spans="1:26" x14ac:dyDescent="0.3">
      <c r="A60" s="50">
        <v>46058.343009259261</v>
      </c>
      <c r="B60">
        <v>2.02602050813342E+18</v>
      </c>
      <c r="C60" t="s">
        <v>3083</v>
      </c>
      <c r="D60" t="s">
        <v>3084</v>
      </c>
      <c r="E60" t="s">
        <v>3084</v>
      </c>
      <c r="F60" t="s">
        <v>3085</v>
      </c>
      <c r="G60" t="s">
        <v>3084</v>
      </c>
      <c r="H60" t="s">
        <v>3084</v>
      </c>
      <c r="I60">
        <v>28123</v>
      </c>
      <c r="J60" t="s">
        <v>3086</v>
      </c>
      <c r="K60" t="s">
        <v>3086</v>
      </c>
      <c r="L60" t="s">
        <v>2832</v>
      </c>
      <c r="M60" t="s">
        <v>2833</v>
      </c>
      <c r="N60">
        <v>54363</v>
      </c>
      <c r="O60">
        <v>45500</v>
      </c>
      <c r="P60">
        <v>1</v>
      </c>
      <c r="Q60">
        <v>0</v>
      </c>
      <c r="S60">
        <v>143790</v>
      </c>
      <c r="T60" t="s">
        <v>3087</v>
      </c>
      <c r="U60" t="s">
        <v>2835</v>
      </c>
      <c r="W60">
        <v>0</v>
      </c>
      <c r="X60">
        <v>45500</v>
      </c>
      <c r="Y60">
        <v>41363.636363636302</v>
      </c>
      <c r="Z60" s="26">
        <v>46058</v>
      </c>
    </row>
    <row r="61" spans="1:26" x14ac:dyDescent="0.3">
      <c r="A61" s="50">
        <v>46058.342453703714</v>
      </c>
      <c r="B61">
        <v>2.02602050809534E+18</v>
      </c>
      <c r="C61" t="s">
        <v>3088</v>
      </c>
      <c r="D61" t="s">
        <v>3089</v>
      </c>
      <c r="E61" t="s">
        <v>3089</v>
      </c>
      <c r="F61" t="s">
        <v>3088</v>
      </c>
      <c r="G61" t="s">
        <v>3090</v>
      </c>
      <c r="H61" t="s">
        <v>3090</v>
      </c>
      <c r="I61">
        <v>14706</v>
      </c>
      <c r="J61" t="s">
        <v>3091</v>
      </c>
      <c r="K61" t="s">
        <v>3091</v>
      </c>
      <c r="L61" t="s">
        <v>2832</v>
      </c>
      <c r="M61" t="s">
        <v>2833</v>
      </c>
      <c r="N61">
        <v>54363</v>
      </c>
      <c r="O61">
        <v>45500</v>
      </c>
      <c r="P61">
        <v>1</v>
      </c>
      <c r="Q61">
        <v>0</v>
      </c>
      <c r="R61" t="s">
        <v>3092</v>
      </c>
      <c r="S61">
        <v>143790</v>
      </c>
      <c r="T61" t="s">
        <v>3093</v>
      </c>
      <c r="U61" t="s">
        <v>2835</v>
      </c>
      <c r="W61">
        <v>0</v>
      </c>
      <c r="X61">
        <v>45500</v>
      </c>
      <c r="Y61">
        <v>41363.636363636302</v>
      </c>
      <c r="Z61" s="26">
        <v>46058</v>
      </c>
    </row>
    <row r="62" spans="1:26" x14ac:dyDescent="0.3">
      <c r="A62" s="50">
        <v>46058.342395833337</v>
      </c>
      <c r="B62">
        <v>2.02602050811037E+18</v>
      </c>
      <c r="C62" t="s">
        <v>3094</v>
      </c>
      <c r="D62" t="s">
        <v>3095</v>
      </c>
      <c r="E62" t="s">
        <v>3095</v>
      </c>
      <c r="F62" t="s">
        <v>3096</v>
      </c>
      <c r="G62" t="s">
        <v>3097</v>
      </c>
      <c r="H62" t="s">
        <v>3097</v>
      </c>
      <c r="I62">
        <v>46765</v>
      </c>
      <c r="J62" t="s">
        <v>3098</v>
      </c>
      <c r="K62" t="s">
        <v>3098</v>
      </c>
      <c r="L62" t="s">
        <v>2832</v>
      </c>
      <c r="M62" t="s">
        <v>2833</v>
      </c>
      <c r="N62">
        <v>54363</v>
      </c>
      <c r="O62">
        <v>45500</v>
      </c>
      <c r="P62">
        <v>1</v>
      </c>
      <c r="Q62">
        <v>0</v>
      </c>
      <c r="S62">
        <v>143790</v>
      </c>
      <c r="T62" t="s">
        <v>3099</v>
      </c>
      <c r="U62" t="s">
        <v>2835</v>
      </c>
      <c r="W62">
        <v>0</v>
      </c>
      <c r="X62">
        <v>45500</v>
      </c>
      <c r="Y62">
        <v>41363.636363636302</v>
      </c>
      <c r="Z62" s="26">
        <v>46058</v>
      </c>
    </row>
    <row r="63" spans="1:26" x14ac:dyDescent="0.3">
      <c r="A63" s="50">
        <v>46058.341608796298</v>
      </c>
      <c r="B63">
        <v>2.02602050811315E+18</v>
      </c>
      <c r="C63" t="s">
        <v>3100</v>
      </c>
      <c r="D63" t="s">
        <v>3101</v>
      </c>
      <c r="E63" t="s">
        <v>3101</v>
      </c>
      <c r="F63" t="s">
        <v>3100</v>
      </c>
      <c r="G63" t="s">
        <v>3101</v>
      </c>
      <c r="H63" t="s">
        <v>3101</v>
      </c>
      <c r="I63">
        <v>1707</v>
      </c>
      <c r="J63" t="s">
        <v>3102</v>
      </c>
      <c r="K63" t="s">
        <v>3102</v>
      </c>
      <c r="L63" t="s">
        <v>2832</v>
      </c>
      <c r="M63" t="s">
        <v>2833</v>
      </c>
      <c r="N63">
        <v>54363</v>
      </c>
      <c r="O63">
        <v>45500</v>
      </c>
      <c r="P63">
        <v>1</v>
      </c>
      <c r="Q63">
        <v>0</v>
      </c>
      <c r="S63">
        <v>143790</v>
      </c>
      <c r="T63" t="s">
        <v>3103</v>
      </c>
      <c r="U63" t="s">
        <v>2835</v>
      </c>
      <c r="W63">
        <v>0</v>
      </c>
      <c r="X63">
        <v>45500</v>
      </c>
      <c r="Y63">
        <v>41363.636363636302</v>
      </c>
      <c r="Z63" s="26">
        <v>46058</v>
      </c>
    </row>
    <row r="64" spans="1:26" x14ac:dyDescent="0.3">
      <c r="A64" s="50">
        <v>46058.340578703697</v>
      </c>
      <c r="B64">
        <v>2.0260205080940301E+18</v>
      </c>
      <c r="C64" t="s">
        <v>3104</v>
      </c>
      <c r="D64" t="s">
        <v>3105</v>
      </c>
      <c r="E64" t="s">
        <v>3105</v>
      </c>
      <c r="F64" t="s">
        <v>3104</v>
      </c>
      <c r="G64" t="s">
        <v>3105</v>
      </c>
      <c r="H64" t="s">
        <v>3105</v>
      </c>
      <c r="I64">
        <v>11479</v>
      </c>
      <c r="J64" t="s">
        <v>3106</v>
      </c>
      <c r="K64" t="s">
        <v>3106</v>
      </c>
      <c r="L64" t="s">
        <v>2832</v>
      </c>
      <c r="M64" t="s">
        <v>2833</v>
      </c>
      <c r="N64">
        <v>54363</v>
      </c>
      <c r="O64">
        <v>45500</v>
      </c>
      <c r="P64">
        <v>1</v>
      </c>
      <c r="Q64">
        <v>0</v>
      </c>
      <c r="S64">
        <v>143790</v>
      </c>
      <c r="T64" t="s">
        <v>3107</v>
      </c>
      <c r="U64" t="s">
        <v>2835</v>
      </c>
      <c r="W64">
        <v>0</v>
      </c>
      <c r="X64">
        <v>45500</v>
      </c>
      <c r="Y64">
        <v>41363.636363636302</v>
      </c>
      <c r="Z64" s="26">
        <v>46058</v>
      </c>
    </row>
    <row r="65" spans="1:26" x14ac:dyDescent="0.3">
      <c r="A65" s="50">
        <v>46058.340567129628</v>
      </c>
      <c r="B65">
        <v>2.0260205075842801E+18</v>
      </c>
      <c r="C65" t="s">
        <v>3108</v>
      </c>
      <c r="D65" t="s">
        <v>3109</v>
      </c>
      <c r="E65" t="s">
        <v>3109</v>
      </c>
      <c r="F65" t="s">
        <v>3108</v>
      </c>
      <c r="G65" t="s">
        <v>3109</v>
      </c>
      <c r="H65" t="s">
        <v>3109</v>
      </c>
      <c r="I65">
        <v>6270</v>
      </c>
      <c r="J65" t="s">
        <v>3110</v>
      </c>
      <c r="K65" t="s">
        <v>3110</v>
      </c>
      <c r="L65" t="s">
        <v>2832</v>
      </c>
      <c r="M65" t="s">
        <v>2833</v>
      </c>
      <c r="N65">
        <v>54363</v>
      </c>
      <c r="O65">
        <v>45500</v>
      </c>
      <c r="P65">
        <v>1</v>
      </c>
      <c r="Q65">
        <v>0</v>
      </c>
      <c r="S65">
        <v>143790</v>
      </c>
      <c r="T65" t="s">
        <v>3111</v>
      </c>
      <c r="U65" t="s">
        <v>2835</v>
      </c>
      <c r="W65">
        <v>0</v>
      </c>
      <c r="X65">
        <v>45500</v>
      </c>
      <c r="Y65">
        <v>41363.636363636302</v>
      </c>
      <c r="Z65" s="26">
        <v>46058</v>
      </c>
    </row>
    <row r="66" spans="1:26" x14ac:dyDescent="0.3">
      <c r="A66" s="50">
        <v>46058.340543981481</v>
      </c>
      <c r="B66">
        <v>2.02602050806224E+18</v>
      </c>
      <c r="C66" t="s">
        <v>3094</v>
      </c>
      <c r="D66" t="s">
        <v>3095</v>
      </c>
      <c r="E66" t="s">
        <v>3095</v>
      </c>
      <c r="F66" t="s">
        <v>3112</v>
      </c>
      <c r="G66" t="s">
        <v>3113</v>
      </c>
      <c r="H66" t="s">
        <v>3113</v>
      </c>
      <c r="I66">
        <v>49514</v>
      </c>
      <c r="J66" t="s">
        <v>3114</v>
      </c>
      <c r="K66" t="s">
        <v>3114</v>
      </c>
      <c r="L66" t="s">
        <v>2832</v>
      </c>
      <c r="M66" t="s">
        <v>2833</v>
      </c>
      <c r="N66">
        <v>54363</v>
      </c>
      <c r="O66">
        <v>45500</v>
      </c>
      <c r="P66">
        <v>1</v>
      </c>
      <c r="Q66">
        <v>0</v>
      </c>
      <c r="R66" t="s">
        <v>3115</v>
      </c>
      <c r="S66">
        <v>143790</v>
      </c>
      <c r="T66" t="s">
        <v>3116</v>
      </c>
      <c r="U66" t="s">
        <v>2835</v>
      </c>
      <c r="W66">
        <v>0</v>
      </c>
      <c r="X66">
        <v>45500</v>
      </c>
      <c r="Y66">
        <v>41363.636363636302</v>
      </c>
      <c r="Z66" s="26">
        <v>46058</v>
      </c>
    </row>
    <row r="67" spans="1:26" x14ac:dyDescent="0.3">
      <c r="A67" s="50">
        <v>46058.340243055558</v>
      </c>
      <c r="B67">
        <v>2.0260205080821601E+18</v>
      </c>
      <c r="C67" t="s">
        <v>3117</v>
      </c>
      <c r="D67" t="s">
        <v>3118</v>
      </c>
      <c r="E67" t="s">
        <v>3118</v>
      </c>
      <c r="F67" t="s">
        <v>3117</v>
      </c>
      <c r="G67" t="s">
        <v>3118</v>
      </c>
      <c r="H67" t="s">
        <v>3118</v>
      </c>
      <c r="I67">
        <v>2598</v>
      </c>
      <c r="J67" t="s">
        <v>3119</v>
      </c>
      <c r="K67" t="s">
        <v>3119</v>
      </c>
      <c r="L67" t="s">
        <v>2832</v>
      </c>
      <c r="M67" t="s">
        <v>2833</v>
      </c>
      <c r="N67">
        <v>54363</v>
      </c>
      <c r="O67">
        <v>45500</v>
      </c>
      <c r="P67">
        <v>1</v>
      </c>
      <c r="Q67">
        <v>0</v>
      </c>
      <c r="S67">
        <v>143790</v>
      </c>
      <c r="T67" t="s">
        <v>3120</v>
      </c>
      <c r="U67" t="s">
        <v>2835</v>
      </c>
      <c r="W67">
        <v>0</v>
      </c>
      <c r="X67">
        <v>45500</v>
      </c>
      <c r="Y67">
        <v>41363.636363636302</v>
      </c>
      <c r="Z67" s="26">
        <v>46058</v>
      </c>
    </row>
    <row r="68" spans="1:26" x14ac:dyDescent="0.3">
      <c r="A68" s="50">
        <v>46058.340173611112</v>
      </c>
      <c r="B68">
        <v>2.0260205080858801E+18</v>
      </c>
      <c r="C68" t="s">
        <v>3121</v>
      </c>
      <c r="D68" t="s">
        <v>3122</v>
      </c>
      <c r="E68" t="s">
        <v>3122</v>
      </c>
      <c r="F68" t="s">
        <v>3121</v>
      </c>
      <c r="G68" t="s">
        <v>3122</v>
      </c>
      <c r="H68" t="s">
        <v>3122</v>
      </c>
      <c r="I68">
        <v>6784</v>
      </c>
      <c r="J68" t="s">
        <v>3123</v>
      </c>
      <c r="K68" t="s">
        <v>3123</v>
      </c>
      <c r="L68" t="s">
        <v>2832</v>
      </c>
      <c r="M68" t="s">
        <v>2833</v>
      </c>
      <c r="N68">
        <v>54363</v>
      </c>
      <c r="O68">
        <v>45500</v>
      </c>
      <c r="P68">
        <v>1</v>
      </c>
      <c r="Q68">
        <v>0</v>
      </c>
      <c r="S68">
        <v>143790</v>
      </c>
      <c r="T68" t="s">
        <v>3124</v>
      </c>
      <c r="U68" t="s">
        <v>2835</v>
      </c>
      <c r="W68">
        <v>0</v>
      </c>
      <c r="X68">
        <v>45500</v>
      </c>
      <c r="Y68">
        <v>41363.636363636302</v>
      </c>
      <c r="Z68" s="26">
        <v>46058</v>
      </c>
    </row>
    <row r="69" spans="1:26" x14ac:dyDescent="0.3">
      <c r="A69" s="50">
        <v>46058.340127314812</v>
      </c>
      <c r="B69">
        <v>2.0260205080038899E+18</v>
      </c>
      <c r="C69" t="s">
        <v>3125</v>
      </c>
      <c r="D69" t="s">
        <v>3126</v>
      </c>
      <c r="E69" t="s">
        <v>3126</v>
      </c>
      <c r="F69" t="s">
        <v>3127</v>
      </c>
      <c r="G69" t="s">
        <v>3128</v>
      </c>
      <c r="H69" t="s">
        <v>3128</v>
      </c>
      <c r="I69">
        <v>17943</v>
      </c>
      <c r="J69" t="s">
        <v>3129</v>
      </c>
      <c r="K69" t="s">
        <v>3129</v>
      </c>
      <c r="L69" t="s">
        <v>2832</v>
      </c>
      <c r="M69" t="s">
        <v>2833</v>
      </c>
      <c r="N69">
        <v>54363</v>
      </c>
      <c r="O69">
        <v>45500</v>
      </c>
      <c r="P69">
        <v>1</v>
      </c>
      <c r="Q69">
        <v>0</v>
      </c>
      <c r="S69">
        <v>143790</v>
      </c>
      <c r="T69" t="s">
        <v>3130</v>
      </c>
      <c r="U69" t="s">
        <v>2835</v>
      </c>
      <c r="W69">
        <v>0</v>
      </c>
      <c r="X69">
        <v>45500</v>
      </c>
      <c r="Y69">
        <v>41363.636363636302</v>
      </c>
      <c r="Z69" s="26">
        <v>46058</v>
      </c>
    </row>
    <row r="70" spans="1:26" x14ac:dyDescent="0.3">
      <c r="A70" s="50">
        <v>46058.339768518519</v>
      </c>
      <c r="B70">
        <v>2.02602050808482E+18</v>
      </c>
      <c r="C70" t="s">
        <v>3131</v>
      </c>
      <c r="D70" t="s">
        <v>3132</v>
      </c>
      <c r="E70" t="s">
        <v>3132</v>
      </c>
      <c r="F70" t="s">
        <v>3131</v>
      </c>
      <c r="G70" t="s">
        <v>3132</v>
      </c>
      <c r="H70" t="s">
        <v>3132</v>
      </c>
      <c r="I70">
        <v>22376</v>
      </c>
      <c r="J70" t="s">
        <v>3133</v>
      </c>
      <c r="K70" t="s">
        <v>3133</v>
      </c>
      <c r="L70" t="s">
        <v>2832</v>
      </c>
      <c r="M70" t="s">
        <v>2833</v>
      </c>
      <c r="N70">
        <v>54363</v>
      </c>
      <c r="O70">
        <v>45500</v>
      </c>
      <c r="P70">
        <v>1</v>
      </c>
      <c r="Q70">
        <v>0</v>
      </c>
      <c r="S70">
        <v>143790</v>
      </c>
      <c r="T70" t="s">
        <v>3134</v>
      </c>
      <c r="U70" t="s">
        <v>2835</v>
      </c>
      <c r="W70">
        <v>0</v>
      </c>
      <c r="X70">
        <v>45500</v>
      </c>
      <c r="Y70">
        <v>41363.636363636302</v>
      </c>
      <c r="Z70" s="26">
        <v>46058</v>
      </c>
    </row>
    <row r="71" spans="1:26" x14ac:dyDescent="0.3">
      <c r="A71" s="50">
        <v>46058.33935185185</v>
      </c>
      <c r="B71">
        <v>2.0260205075952E+18</v>
      </c>
      <c r="C71" t="s">
        <v>3135</v>
      </c>
      <c r="D71" t="s">
        <v>3136</v>
      </c>
      <c r="E71" t="s">
        <v>3136</v>
      </c>
      <c r="F71" t="s">
        <v>3135</v>
      </c>
      <c r="G71" t="s">
        <v>3136</v>
      </c>
      <c r="H71" t="s">
        <v>3136</v>
      </c>
      <c r="I71">
        <v>17058</v>
      </c>
      <c r="J71" t="s">
        <v>3137</v>
      </c>
      <c r="K71" t="s">
        <v>3137</v>
      </c>
      <c r="L71" t="s">
        <v>2832</v>
      </c>
      <c r="M71" t="s">
        <v>2833</v>
      </c>
      <c r="N71">
        <v>54363</v>
      </c>
      <c r="O71">
        <v>45500</v>
      </c>
      <c r="P71">
        <v>1</v>
      </c>
      <c r="Q71">
        <v>0</v>
      </c>
      <c r="R71" t="s">
        <v>3138</v>
      </c>
      <c r="S71">
        <v>143790</v>
      </c>
      <c r="T71" t="s">
        <v>3139</v>
      </c>
      <c r="U71" t="s">
        <v>2835</v>
      </c>
      <c r="W71">
        <v>0</v>
      </c>
      <c r="X71">
        <v>45500</v>
      </c>
      <c r="Y71">
        <v>41363.636363636302</v>
      </c>
      <c r="Z71" s="26">
        <v>46058</v>
      </c>
    </row>
    <row r="72" spans="1:26" x14ac:dyDescent="0.3">
      <c r="A72" s="50">
        <v>46058.339317129627</v>
      </c>
      <c r="B72">
        <v>2.0260205080814899E+18</v>
      </c>
      <c r="C72" t="s">
        <v>3121</v>
      </c>
      <c r="D72" t="s">
        <v>3122</v>
      </c>
      <c r="E72" t="s">
        <v>3122</v>
      </c>
      <c r="F72" t="s">
        <v>3121</v>
      </c>
      <c r="G72" t="s">
        <v>3122</v>
      </c>
      <c r="H72" t="s">
        <v>3122</v>
      </c>
      <c r="I72">
        <v>2712</v>
      </c>
      <c r="J72" t="s">
        <v>3140</v>
      </c>
      <c r="K72" t="s">
        <v>3140</v>
      </c>
      <c r="L72" t="s">
        <v>2832</v>
      </c>
      <c r="M72" t="s">
        <v>2833</v>
      </c>
      <c r="N72">
        <v>54363</v>
      </c>
      <c r="O72">
        <v>45500</v>
      </c>
      <c r="P72">
        <v>1</v>
      </c>
      <c r="Q72">
        <v>0</v>
      </c>
      <c r="S72">
        <v>143790</v>
      </c>
      <c r="T72" t="s">
        <v>3141</v>
      </c>
      <c r="U72" t="s">
        <v>2835</v>
      </c>
      <c r="W72">
        <v>0</v>
      </c>
      <c r="X72">
        <v>45500</v>
      </c>
      <c r="Y72">
        <v>41363.636363636302</v>
      </c>
      <c r="Z72" s="26">
        <v>46058</v>
      </c>
    </row>
    <row r="73" spans="1:26" x14ac:dyDescent="0.3">
      <c r="A73" s="50">
        <v>46058.339178240742</v>
      </c>
      <c r="B73">
        <v>2.02602050807247E+18</v>
      </c>
      <c r="C73" t="s">
        <v>3142</v>
      </c>
      <c r="D73" t="s">
        <v>3143</v>
      </c>
      <c r="E73" t="s">
        <v>3143</v>
      </c>
      <c r="F73" t="s">
        <v>3142</v>
      </c>
      <c r="G73" t="s">
        <v>3143</v>
      </c>
      <c r="H73" t="s">
        <v>3143</v>
      </c>
      <c r="I73">
        <v>18439</v>
      </c>
      <c r="J73" t="s">
        <v>3144</v>
      </c>
      <c r="K73" t="s">
        <v>3144</v>
      </c>
      <c r="L73" t="s">
        <v>2832</v>
      </c>
      <c r="M73" t="s">
        <v>2833</v>
      </c>
      <c r="N73">
        <v>54363</v>
      </c>
      <c r="O73">
        <v>45500</v>
      </c>
      <c r="P73">
        <v>1</v>
      </c>
      <c r="Q73">
        <v>0</v>
      </c>
      <c r="S73">
        <v>143790</v>
      </c>
      <c r="T73" t="s">
        <v>3145</v>
      </c>
      <c r="U73" t="s">
        <v>2835</v>
      </c>
      <c r="W73">
        <v>0</v>
      </c>
      <c r="X73">
        <v>45500</v>
      </c>
      <c r="Y73">
        <v>41363.636363636302</v>
      </c>
      <c r="Z73" s="26">
        <v>46058</v>
      </c>
    </row>
    <row r="74" spans="1:26" x14ac:dyDescent="0.3">
      <c r="A74" s="50">
        <v>46058.338796296302</v>
      </c>
      <c r="B74">
        <v>2.02602050805293E+18</v>
      </c>
      <c r="C74" t="s">
        <v>3146</v>
      </c>
      <c r="D74" t="s">
        <v>3147</v>
      </c>
      <c r="E74" t="s">
        <v>3147</v>
      </c>
      <c r="F74" t="s">
        <v>3146</v>
      </c>
      <c r="G74" t="s">
        <v>3147</v>
      </c>
      <c r="H74" t="s">
        <v>3147</v>
      </c>
      <c r="I74">
        <v>16704</v>
      </c>
      <c r="J74" t="s">
        <v>3148</v>
      </c>
      <c r="K74" t="s">
        <v>3148</v>
      </c>
      <c r="L74" t="s">
        <v>2832</v>
      </c>
      <c r="M74" t="s">
        <v>2833</v>
      </c>
      <c r="N74">
        <v>54363</v>
      </c>
      <c r="O74">
        <v>45500</v>
      </c>
      <c r="P74">
        <v>1</v>
      </c>
      <c r="Q74">
        <v>0</v>
      </c>
      <c r="R74" t="s">
        <v>3149</v>
      </c>
      <c r="S74">
        <v>143790</v>
      </c>
      <c r="T74" t="s">
        <v>3150</v>
      </c>
      <c r="U74" t="s">
        <v>2835</v>
      </c>
      <c r="W74">
        <v>0</v>
      </c>
      <c r="X74">
        <v>45500</v>
      </c>
      <c r="Y74">
        <v>41363.636363636302</v>
      </c>
      <c r="Z74" s="26">
        <v>46058</v>
      </c>
    </row>
    <row r="75" spans="1:26" x14ac:dyDescent="0.3">
      <c r="A75" s="50">
        <v>46058.337754629632</v>
      </c>
      <c r="B75">
        <v>2.0260205080437801E+18</v>
      </c>
      <c r="C75" t="s">
        <v>3151</v>
      </c>
      <c r="D75" t="s">
        <v>3152</v>
      </c>
      <c r="E75" t="s">
        <v>3152</v>
      </c>
      <c r="F75" t="s">
        <v>3153</v>
      </c>
      <c r="G75" t="s">
        <v>3154</v>
      </c>
      <c r="H75" t="s">
        <v>3154</v>
      </c>
      <c r="I75">
        <v>6578</v>
      </c>
      <c r="J75" t="s">
        <v>3155</v>
      </c>
      <c r="K75" t="s">
        <v>3155</v>
      </c>
      <c r="L75" t="s">
        <v>2832</v>
      </c>
      <c r="M75" t="s">
        <v>2833</v>
      </c>
      <c r="N75">
        <v>54363</v>
      </c>
      <c r="O75">
        <v>45500</v>
      </c>
      <c r="P75">
        <v>1</v>
      </c>
      <c r="Q75">
        <v>0</v>
      </c>
      <c r="S75">
        <v>143790</v>
      </c>
      <c r="T75" t="s">
        <v>3156</v>
      </c>
      <c r="U75" t="s">
        <v>2835</v>
      </c>
      <c r="W75">
        <v>0</v>
      </c>
      <c r="X75">
        <v>45500</v>
      </c>
      <c r="Y75">
        <v>41363.636363636302</v>
      </c>
      <c r="Z75" s="26">
        <v>46058</v>
      </c>
    </row>
    <row r="76" spans="1:26" x14ac:dyDescent="0.3">
      <c r="A76" s="50">
        <v>46058.337569444448</v>
      </c>
      <c r="B76">
        <v>2.02602050803357E+18</v>
      </c>
      <c r="C76" t="s">
        <v>3157</v>
      </c>
      <c r="D76" t="s">
        <v>3158</v>
      </c>
      <c r="E76" t="s">
        <v>3158</v>
      </c>
      <c r="F76" t="s">
        <v>3157</v>
      </c>
      <c r="G76" t="s">
        <v>3158</v>
      </c>
      <c r="H76" t="s">
        <v>3158</v>
      </c>
      <c r="I76">
        <v>22879</v>
      </c>
      <c r="J76" t="s">
        <v>3159</v>
      </c>
      <c r="K76" t="s">
        <v>3159</v>
      </c>
      <c r="L76" t="s">
        <v>2832</v>
      </c>
      <c r="M76" t="s">
        <v>2833</v>
      </c>
      <c r="N76">
        <v>54363</v>
      </c>
      <c r="O76">
        <v>45500</v>
      </c>
      <c r="P76">
        <v>1</v>
      </c>
      <c r="Q76">
        <v>0</v>
      </c>
      <c r="S76">
        <v>143790</v>
      </c>
      <c r="T76" t="s">
        <v>3160</v>
      </c>
      <c r="U76" t="s">
        <v>2835</v>
      </c>
      <c r="W76">
        <v>0</v>
      </c>
      <c r="X76">
        <v>45500</v>
      </c>
      <c r="Y76">
        <v>41363.636363636302</v>
      </c>
      <c r="Z76" s="26">
        <v>46058</v>
      </c>
    </row>
    <row r="77" spans="1:26" x14ac:dyDescent="0.3">
      <c r="A77" s="50">
        <v>46058.337546296287</v>
      </c>
      <c r="B77">
        <v>2.0260205080325601E+18</v>
      </c>
      <c r="C77" t="s">
        <v>3161</v>
      </c>
      <c r="D77" t="s">
        <v>3162</v>
      </c>
      <c r="E77" t="s">
        <v>3162</v>
      </c>
      <c r="F77" t="s">
        <v>3161</v>
      </c>
      <c r="G77" t="s">
        <v>3162</v>
      </c>
      <c r="H77" t="s">
        <v>3162</v>
      </c>
      <c r="I77">
        <v>31733</v>
      </c>
      <c r="J77" t="s">
        <v>3163</v>
      </c>
      <c r="K77" t="s">
        <v>3163</v>
      </c>
      <c r="L77" t="s">
        <v>2832</v>
      </c>
      <c r="M77" t="s">
        <v>2833</v>
      </c>
      <c r="N77">
        <v>54363</v>
      </c>
      <c r="O77">
        <v>45500</v>
      </c>
      <c r="P77">
        <v>1</v>
      </c>
      <c r="Q77">
        <v>0</v>
      </c>
      <c r="S77">
        <v>143790</v>
      </c>
      <c r="T77" t="s">
        <v>3164</v>
      </c>
      <c r="U77" t="s">
        <v>2835</v>
      </c>
      <c r="W77">
        <v>0</v>
      </c>
      <c r="X77">
        <v>45500</v>
      </c>
      <c r="Y77">
        <v>41363.636363636302</v>
      </c>
      <c r="Z77" s="26">
        <v>46058</v>
      </c>
    </row>
    <row r="78" spans="1:26" x14ac:dyDescent="0.3">
      <c r="A78" s="50">
        <v>46058.337418981479</v>
      </c>
      <c r="B78">
        <v>2.0260205080509599E+18</v>
      </c>
      <c r="C78" t="s">
        <v>3165</v>
      </c>
      <c r="D78" t="s">
        <v>3166</v>
      </c>
      <c r="E78" t="s">
        <v>3166</v>
      </c>
      <c r="F78" t="s">
        <v>3165</v>
      </c>
      <c r="G78" t="s">
        <v>3166</v>
      </c>
      <c r="H78" t="s">
        <v>3166</v>
      </c>
      <c r="I78">
        <v>18032</v>
      </c>
      <c r="J78" t="s">
        <v>3167</v>
      </c>
      <c r="K78" t="s">
        <v>3167</v>
      </c>
      <c r="L78" t="s">
        <v>2832</v>
      </c>
      <c r="M78" t="s">
        <v>2833</v>
      </c>
      <c r="N78">
        <v>54363</v>
      </c>
      <c r="O78">
        <v>45500</v>
      </c>
      <c r="P78">
        <v>1</v>
      </c>
      <c r="Q78">
        <v>0</v>
      </c>
      <c r="S78">
        <v>143790</v>
      </c>
      <c r="T78" t="s">
        <v>3168</v>
      </c>
      <c r="U78" t="s">
        <v>2835</v>
      </c>
      <c r="W78">
        <v>0</v>
      </c>
      <c r="X78">
        <v>45500</v>
      </c>
      <c r="Y78">
        <v>41363.636363636302</v>
      </c>
      <c r="Z78" s="26">
        <v>46058</v>
      </c>
    </row>
    <row r="79" spans="1:26" x14ac:dyDescent="0.3">
      <c r="A79" s="50">
        <v>46058.337337962963</v>
      </c>
      <c r="B79">
        <v>2.02602050759391E+18</v>
      </c>
      <c r="C79" t="s">
        <v>3169</v>
      </c>
      <c r="D79" t="s">
        <v>3170</v>
      </c>
      <c r="E79" t="s">
        <v>3170</v>
      </c>
      <c r="F79" t="s">
        <v>3169</v>
      </c>
      <c r="G79" t="s">
        <v>3170</v>
      </c>
      <c r="H79" t="s">
        <v>3170</v>
      </c>
      <c r="I79">
        <v>6216</v>
      </c>
      <c r="J79" t="s">
        <v>3171</v>
      </c>
      <c r="K79" t="s">
        <v>3171</v>
      </c>
      <c r="L79" t="s">
        <v>2832</v>
      </c>
      <c r="M79" t="s">
        <v>2833</v>
      </c>
      <c r="N79">
        <v>54363</v>
      </c>
      <c r="O79">
        <v>45500</v>
      </c>
      <c r="P79">
        <v>1</v>
      </c>
      <c r="Q79">
        <v>0</v>
      </c>
      <c r="S79">
        <v>143790</v>
      </c>
      <c r="T79" t="s">
        <v>3172</v>
      </c>
      <c r="U79" t="s">
        <v>2835</v>
      </c>
      <c r="W79">
        <v>0</v>
      </c>
      <c r="X79">
        <v>45500</v>
      </c>
      <c r="Y79">
        <v>41363.636363636302</v>
      </c>
      <c r="Z79" s="26">
        <v>46058</v>
      </c>
    </row>
    <row r="80" spans="1:26" x14ac:dyDescent="0.3">
      <c r="A80" s="50">
        <v>46058.337337962963</v>
      </c>
      <c r="B80">
        <v>2.02602050805121E+18</v>
      </c>
      <c r="C80" t="s">
        <v>3173</v>
      </c>
      <c r="D80" t="s">
        <v>3174</v>
      </c>
      <c r="E80" t="s">
        <v>3174</v>
      </c>
      <c r="F80" t="s">
        <v>3173</v>
      </c>
      <c r="G80" t="s">
        <v>3174</v>
      </c>
      <c r="H80" t="s">
        <v>3174</v>
      </c>
      <c r="I80">
        <v>13339</v>
      </c>
      <c r="J80" t="s">
        <v>3175</v>
      </c>
      <c r="K80" t="s">
        <v>3175</v>
      </c>
      <c r="L80" t="s">
        <v>2832</v>
      </c>
      <c r="M80" t="s">
        <v>2833</v>
      </c>
      <c r="N80">
        <v>108726</v>
      </c>
      <c r="O80">
        <v>45500</v>
      </c>
      <c r="P80">
        <v>2</v>
      </c>
      <c r="Q80">
        <v>0</v>
      </c>
      <c r="S80">
        <v>143790</v>
      </c>
      <c r="T80" t="s">
        <v>3176</v>
      </c>
      <c r="U80" t="s">
        <v>2835</v>
      </c>
      <c r="W80">
        <v>0</v>
      </c>
      <c r="X80">
        <v>91000</v>
      </c>
      <c r="Y80">
        <v>82727.272727272706</v>
      </c>
      <c r="Z80" s="26">
        <v>46058</v>
      </c>
    </row>
    <row r="81" spans="1:26" x14ac:dyDescent="0.3">
      <c r="A81" s="50">
        <v>46058.336782407408</v>
      </c>
      <c r="B81">
        <v>2.02602050804273E+18</v>
      </c>
      <c r="C81" t="s">
        <v>3177</v>
      </c>
      <c r="D81" t="s">
        <v>3178</v>
      </c>
      <c r="E81" t="s">
        <v>3178</v>
      </c>
      <c r="F81" t="s">
        <v>3177</v>
      </c>
      <c r="G81" t="s">
        <v>3178</v>
      </c>
      <c r="H81" t="s">
        <v>3178</v>
      </c>
      <c r="I81">
        <v>3180</v>
      </c>
      <c r="J81" t="s">
        <v>3179</v>
      </c>
      <c r="K81" t="s">
        <v>3179</v>
      </c>
      <c r="L81" t="s">
        <v>2832</v>
      </c>
      <c r="M81" t="s">
        <v>2833</v>
      </c>
      <c r="N81">
        <v>54363</v>
      </c>
      <c r="O81">
        <v>45500</v>
      </c>
      <c r="P81">
        <v>1</v>
      </c>
      <c r="Q81">
        <v>0</v>
      </c>
      <c r="S81">
        <v>143790</v>
      </c>
      <c r="T81" t="s">
        <v>3180</v>
      </c>
      <c r="U81" t="s">
        <v>2835</v>
      </c>
      <c r="W81">
        <v>0</v>
      </c>
      <c r="X81">
        <v>45500</v>
      </c>
      <c r="Y81">
        <v>41363.636363636302</v>
      </c>
      <c r="Z81" s="26">
        <v>46058</v>
      </c>
    </row>
    <row r="82" spans="1:26" x14ac:dyDescent="0.3">
      <c r="A82" s="50">
        <v>46058.335949074077</v>
      </c>
      <c r="B82">
        <v>2.0260205080136599E+18</v>
      </c>
      <c r="C82" t="s">
        <v>3181</v>
      </c>
      <c r="D82" t="s">
        <v>3182</v>
      </c>
      <c r="E82" t="s">
        <v>3182</v>
      </c>
      <c r="F82" t="s">
        <v>3183</v>
      </c>
      <c r="G82" t="s">
        <v>3182</v>
      </c>
      <c r="H82" t="s">
        <v>3182</v>
      </c>
      <c r="I82">
        <v>14346</v>
      </c>
      <c r="J82" t="s">
        <v>3184</v>
      </c>
      <c r="K82" t="s">
        <v>3184</v>
      </c>
      <c r="L82" t="s">
        <v>2832</v>
      </c>
      <c r="M82" t="s">
        <v>2833</v>
      </c>
      <c r="N82">
        <v>54363</v>
      </c>
      <c r="O82">
        <v>45500</v>
      </c>
      <c r="P82">
        <v>1</v>
      </c>
      <c r="Q82">
        <v>0</v>
      </c>
      <c r="S82">
        <v>143790</v>
      </c>
      <c r="T82" t="s">
        <v>3185</v>
      </c>
      <c r="U82" t="s">
        <v>2835</v>
      </c>
      <c r="W82">
        <v>0</v>
      </c>
      <c r="X82">
        <v>45500</v>
      </c>
      <c r="Y82">
        <v>41363.636363636302</v>
      </c>
      <c r="Z82" s="26">
        <v>46058</v>
      </c>
    </row>
    <row r="83" spans="1:26" x14ac:dyDescent="0.3">
      <c r="A83" s="50">
        <v>46058.335914351846</v>
      </c>
      <c r="B83">
        <v>2.0260205075619599E+18</v>
      </c>
      <c r="C83" t="s">
        <v>3186</v>
      </c>
      <c r="D83" t="s">
        <v>3187</v>
      </c>
      <c r="E83" t="s">
        <v>3187</v>
      </c>
      <c r="F83" t="s">
        <v>3186</v>
      </c>
      <c r="G83" t="s">
        <v>3187</v>
      </c>
      <c r="H83" t="s">
        <v>3187</v>
      </c>
      <c r="I83">
        <v>15596</v>
      </c>
      <c r="J83" t="s">
        <v>3188</v>
      </c>
      <c r="K83" t="s">
        <v>3188</v>
      </c>
      <c r="L83" t="s">
        <v>2832</v>
      </c>
      <c r="M83" t="s">
        <v>2833</v>
      </c>
      <c r="N83">
        <v>54363</v>
      </c>
      <c r="O83">
        <v>45500</v>
      </c>
      <c r="P83">
        <v>1</v>
      </c>
      <c r="Q83">
        <v>0</v>
      </c>
      <c r="S83">
        <v>143790</v>
      </c>
      <c r="T83" t="s">
        <v>3189</v>
      </c>
      <c r="U83" t="s">
        <v>2835</v>
      </c>
      <c r="W83">
        <v>0</v>
      </c>
      <c r="X83">
        <v>45500</v>
      </c>
      <c r="Y83">
        <v>41363.636363636302</v>
      </c>
      <c r="Z83" s="26">
        <v>46058</v>
      </c>
    </row>
    <row r="84" spans="1:26" x14ac:dyDescent="0.3">
      <c r="A84" s="50">
        <v>46058.335833333331</v>
      </c>
      <c r="B84">
        <v>2.02602050802594E+18</v>
      </c>
      <c r="C84" t="s">
        <v>3190</v>
      </c>
      <c r="D84" t="s">
        <v>3191</v>
      </c>
      <c r="E84" t="s">
        <v>3191</v>
      </c>
      <c r="F84" t="s">
        <v>3190</v>
      </c>
      <c r="G84" t="s">
        <v>3191</v>
      </c>
      <c r="H84" t="s">
        <v>3191</v>
      </c>
      <c r="I84">
        <v>6289</v>
      </c>
      <c r="J84" t="s">
        <v>3192</v>
      </c>
      <c r="K84" t="s">
        <v>3192</v>
      </c>
      <c r="L84" t="s">
        <v>2832</v>
      </c>
      <c r="M84" t="s">
        <v>2833</v>
      </c>
      <c r="N84">
        <v>54363</v>
      </c>
      <c r="O84">
        <v>45500</v>
      </c>
      <c r="P84">
        <v>1</v>
      </c>
      <c r="Q84">
        <v>0</v>
      </c>
      <c r="S84">
        <v>143790</v>
      </c>
      <c r="T84" t="s">
        <v>3193</v>
      </c>
      <c r="U84" t="s">
        <v>2835</v>
      </c>
      <c r="W84">
        <v>0</v>
      </c>
      <c r="X84">
        <v>45500</v>
      </c>
      <c r="Y84">
        <v>41363.636363636302</v>
      </c>
      <c r="Z84" s="26">
        <v>46058</v>
      </c>
    </row>
    <row r="85" spans="1:26" x14ac:dyDescent="0.3">
      <c r="A85" s="50">
        <v>46058.335706018523</v>
      </c>
      <c r="B85">
        <v>2.0260205080005499E+18</v>
      </c>
      <c r="C85" t="s">
        <v>3094</v>
      </c>
      <c r="D85" t="s">
        <v>3095</v>
      </c>
      <c r="E85" t="s">
        <v>3095</v>
      </c>
      <c r="F85" t="s">
        <v>3194</v>
      </c>
      <c r="G85" t="s">
        <v>3195</v>
      </c>
      <c r="H85" t="s">
        <v>3195</v>
      </c>
      <c r="I85">
        <v>50322</v>
      </c>
      <c r="J85" t="s">
        <v>3196</v>
      </c>
      <c r="K85" t="s">
        <v>3196</v>
      </c>
      <c r="L85" t="s">
        <v>2832</v>
      </c>
      <c r="M85" t="s">
        <v>2833</v>
      </c>
      <c r="N85">
        <v>54363</v>
      </c>
      <c r="O85">
        <v>45500</v>
      </c>
      <c r="P85">
        <v>1</v>
      </c>
      <c r="Q85">
        <v>0</v>
      </c>
      <c r="R85" t="s">
        <v>3197</v>
      </c>
      <c r="S85">
        <v>143790</v>
      </c>
      <c r="T85" t="s">
        <v>3198</v>
      </c>
      <c r="U85" t="s">
        <v>2835</v>
      </c>
      <c r="W85">
        <v>0</v>
      </c>
      <c r="X85">
        <v>45500</v>
      </c>
      <c r="Y85">
        <v>41363.636363636302</v>
      </c>
      <c r="Z85" s="26">
        <v>46058</v>
      </c>
    </row>
    <row r="86" spans="1:26" x14ac:dyDescent="0.3">
      <c r="A86" s="50">
        <v>46058.335682870369</v>
      </c>
      <c r="B86">
        <v>2.0260205080255099E+18</v>
      </c>
      <c r="C86" t="s">
        <v>3199</v>
      </c>
      <c r="D86" t="s">
        <v>3200</v>
      </c>
      <c r="E86" t="s">
        <v>3200</v>
      </c>
      <c r="F86" t="s">
        <v>3199</v>
      </c>
      <c r="G86" t="s">
        <v>3200</v>
      </c>
      <c r="H86" t="s">
        <v>3200</v>
      </c>
      <c r="I86">
        <v>55084</v>
      </c>
      <c r="J86" t="s">
        <v>3201</v>
      </c>
      <c r="K86" t="s">
        <v>3201</v>
      </c>
      <c r="L86" t="s">
        <v>2832</v>
      </c>
      <c r="M86" t="s">
        <v>2833</v>
      </c>
      <c r="N86">
        <v>54363</v>
      </c>
      <c r="O86">
        <v>45500</v>
      </c>
      <c r="P86">
        <v>1</v>
      </c>
      <c r="Q86">
        <v>0</v>
      </c>
      <c r="R86" t="s">
        <v>3202</v>
      </c>
      <c r="S86">
        <v>143790</v>
      </c>
      <c r="T86" t="s">
        <v>3203</v>
      </c>
      <c r="U86" t="s">
        <v>2835</v>
      </c>
      <c r="W86">
        <v>0</v>
      </c>
      <c r="X86">
        <v>45500</v>
      </c>
      <c r="Y86">
        <v>41363.636363636302</v>
      </c>
      <c r="Z86" s="26">
        <v>46058</v>
      </c>
    </row>
    <row r="87" spans="1:26" x14ac:dyDescent="0.3">
      <c r="A87" s="50">
        <v>46058.3356712963</v>
      </c>
      <c r="B87">
        <v>2.0260205080119601E+18</v>
      </c>
      <c r="C87" t="s">
        <v>3204</v>
      </c>
      <c r="D87" t="s">
        <v>3205</v>
      </c>
      <c r="E87" t="s">
        <v>3205</v>
      </c>
      <c r="F87" t="s">
        <v>3206</v>
      </c>
      <c r="G87" t="s">
        <v>3207</v>
      </c>
      <c r="H87" t="s">
        <v>3207</v>
      </c>
      <c r="I87">
        <v>51024</v>
      </c>
      <c r="J87" t="s">
        <v>3208</v>
      </c>
      <c r="K87" t="s">
        <v>3208</v>
      </c>
      <c r="L87" t="s">
        <v>2832</v>
      </c>
      <c r="M87" t="s">
        <v>2833</v>
      </c>
      <c r="N87">
        <v>54363</v>
      </c>
      <c r="O87">
        <v>45500</v>
      </c>
      <c r="P87">
        <v>1</v>
      </c>
      <c r="Q87">
        <v>0</v>
      </c>
      <c r="S87">
        <v>143790</v>
      </c>
      <c r="T87" t="s">
        <v>3209</v>
      </c>
      <c r="U87" t="s">
        <v>2835</v>
      </c>
      <c r="W87">
        <v>0</v>
      </c>
      <c r="X87">
        <v>45500</v>
      </c>
      <c r="Y87">
        <v>41363.636363636302</v>
      </c>
      <c r="Z87" s="26">
        <v>46058</v>
      </c>
    </row>
    <row r="88" spans="1:26" x14ac:dyDescent="0.3">
      <c r="A88" s="50">
        <v>46058.335416666669</v>
      </c>
      <c r="B88">
        <v>2.02602050801263E+18</v>
      </c>
      <c r="C88" t="s">
        <v>3210</v>
      </c>
      <c r="D88" t="s">
        <v>3211</v>
      </c>
      <c r="E88" t="s">
        <v>3211</v>
      </c>
      <c r="F88" t="s">
        <v>3210</v>
      </c>
      <c r="G88" t="s">
        <v>3211</v>
      </c>
      <c r="H88" t="s">
        <v>3211</v>
      </c>
      <c r="I88">
        <v>31467</v>
      </c>
      <c r="J88" t="s">
        <v>3212</v>
      </c>
      <c r="K88" t="s">
        <v>3212</v>
      </c>
      <c r="L88" t="s">
        <v>2832</v>
      </c>
      <c r="M88" t="s">
        <v>2833</v>
      </c>
      <c r="N88">
        <v>54363</v>
      </c>
      <c r="O88">
        <v>45500</v>
      </c>
      <c r="P88">
        <v>1</v>
      </c>
      <c r="Q88">
        <v>0</v>
      </c>
      <c r="R88" t="s">
        <v>3213</v>
      </c>
      <c r="S88">
        <v>143790</v>
      </c>
      <c r="T88" t="s">
        <v>3214</v>
      </c>
      <c r="U88" t="s">
        <v>2835</v>
      </c>
      <c r="W88">
        <v>0</v>
      </c>
      <c r="X88">
        <v>45500</v>
      </c>
      <c r="Y88">
        <v>41363.636363636302</v>
      </c>
      <c r="Z88" s="26">
        <v>46058</v>
      </c>
    </row>
    <row r="89" spans="1:26" x14ac:dyDescent="0.3">
      <c r="A89" s="50">
        <v>46058.335243055553</v>
      </c>
      <c r="B89">
        <v>2.0260205075728E+18</v>
      </c>
      <c r="C89" t="s">
        <v>3215</v>
      </c>
      <c r="D89" t="s">
        <v>3216</v>
      </c>
      <c r="E89" t="s">
        <v>3216</v>
      </c>
      <c r="F89" t="s">
        <v>3215</v>
      </c>
      <c r="G89" t="s">
        <v>3216</v>
      </c>
      <c r="H89" t="s">
        <v>3216</v>
      </c>
      <c r="I89">
        <v>52353</v>
      </c>
      <c r="J89" t="s">
        <v>3217</v>
      </c>
      <c r="K89" t="s">
        <v>3217</v>
      </c>
      <c r="L89" t="s">
        <v>2832</v>
      </c>
      <c r="M89" t="s">
        <v>2833</v>
      </c>
      <c r="N89">
        <v>54363</v>
      </c>
      <c r="O89">
        <v>45500</v>
      </c>
      <c r="P89">
        <v>1</v>
      </c>
      <c r="Q89">
        <v>0</v>
      </c>
      <c r="R89" t="s">
        <v>3218</v>
      </c>
      <c r="S89">
        <v>143790</v>
      </c>
      <c r="T89" t="s">
        <v>3219</v>
      </c>
      <c r="U89" t="s">
        <v>2835</v>
      </c>
      <c r="W89">
        <v>0</v>
      </c>
      <c r="X89">
        <v>45500</v>
      </c>
      <c r="Y89">
        <v>41363.636363636302</v>
      </c>
      <c r="Z89" s="26">
        <v>46058</v>
      </c>
    </row>
    <row r="90" spans="1:26" x14ac:dyDescent="0.3">
      <c r="A90" s="50">
        <v>46058.33520833333</v>
      </c>
      <c r="B90">
        <v>2.02602050801231E+18</v>
      </c>
      <c r="C90" t="s">
        <v>3220</v>
      </c>
      <c r="D90" t="s">
        <v>3221</v>
      </c>
      <c r="E90" t="s">
        <v>3221</v>
      </c>
      <c r="F90" t="s">
        <v>3220</v>
      </c>
      <c r="G90" t="s">
        <v>3221</v>
      </c>
      <c r="H90" t="s">
        <v>3221</v>
      </c>
      <c r="I90">
        <v>3333</v>
      </c>
      <c r="J90" t="s">
        <v>3222</v>
      </c>
      <c r="K90" t="s">
        <v>3222</v>
      </c>
      <c r="L90" t="s">
        <v>2832</v>
      </c>
      <c r="M90" t="s">
        <v>2833</v>
      </c>
      <c r="N90">
        <v>54363</v>
      </c>
      <c r="O90">
        <v>45500</v>
      </c>
      <c r="P90">
        <v>1</v>
      </c>
      <c r="Q90">
        <v>0</v>
      </c>
      <c r="R90" t="s">
        <v>3223</v>
      </c>
      <c r="S90">
        <v>143790</v>
      </c>
      <c r="T90" t="s">
        <v>3224</v>
      </c>
      <c r="U90" t="s">
        <v>2835</v>
      </c>
      <c r="W90">
        <v>0</v>
      </c>
      <c r="X90">
        <v>45500</v>
      </c>
      <c r="Y90">
        <v>41363.636363636302</v>
      </c>
      <c r="Z90" s="26">
        <v>46058</v>
      </c>
    </row>
    <row r="91" spans="1:26" x14ac:dyDescent="0.3">
      <c r="A91" s="50">
        <v>46058.335069444453</v>
      </c>
      <c r="B91">
        <v>2.0260205080028401E+18</v>
      </c>
      <c r="C91" t="s">
        <v>3225</v>
      </c>
      <c r="D91" t="s">
        <v>3226</v>
      </c>
      <c r="E91" t="s">
        <v>3226</v>
      </c>
      <c r="F91" t="s">
        <v>3225</v>
      </c>
      <c r="G91" t="s">
        <v>3226</v>
      </c>
      <c r="H91" t="s">
        <v>3226</v>
      </c>
      <c r="I91">
        <v>16699</v>
      </c>
      <c r="J91" t="s">
        <v>3227</v>
      </c>
      <c r="K91" t="s">
        <v>3227</v>
      </c>
      <c r="L91" t="s">
        <v>2832</v>
      </c>
      <c r="M91" t="s">
        <v>2833</v>
      </c>
      <c r="N91">
        <v>54363</v>
      </c>
      <c r="O91">
        <v>45500</v>
      </c>
      <c r="P91">
        <v>1</v>
      </c>
      <c r="Q91">
        <v>0</v>
      </c>
      <c r="S91">
        <v>143790</v>
      </c>
      <c r="T91" t="s">
        <v>3228</v>
      </c>
      <c r="U91" t="s">
        <v>2835</v>
      </c>
      <c r="W91">
        <v>0</v>
      </c>
      <c r="X91">
        <v>45500</v>
      </c>
      <c r="Y91">
        <v>41363.636363636302</v>
      </c>
      <c r="Z91" s="26">
        <v>46058</v>
      </c>
    </row>
    <row r="92" spans="1:26" x14ac:dyDescent="0.3">
      <c r="A92" s="50">
        <v>46058.334976851853</v>
      </c>
      <c r="B92">
        <v>2.02602050759584E+18</v>
      </c>
      <c r="C92" t="s">
        <v>3229</v>
      </c>
      <c r="D92" t="s">
        <v>3230</v>
      </c>
      <c r="E92" t="s">
        <v>3230</v>
      </c>
      <c r="F92" t="s">
        <v>3229</v>
      </c>
      <c r="G92" t="s">
        <v>3230</v>
      </c>
      <c r="H92" t="s">
        <v>3230</v>
      </c>
      <c r="I92">
        <v>18480</v>
      </c>
      <c r="J92" t="s">
        <v>3231</v>
      </c>
      <c r="K92" t="s">
        <v>3231</v>
      </c>
      <c r="L92" t="s">
        <v>2832</v>
      </c>
      <c r="M92" t="s">
        <v>2833</v>
      </c>
      <c r="N92">
        <v>54363</v>
      </c>
      <c r="O92">
        <v>45500</v>
      </c>
      <c r="P92">
        <v>1</v>
      </c>
      <c r="Q92">
        <v>0</v>
      </c>
      <c r="S92">
        <v>143790</v>
      </c>
      <c r="T92" t="s">
        <v>3232</v>
      </c>
      <c r="U92" t="s">
        <v>2835</v>
      </c>
      <c r="W92">
        <v>0</v>
      </c>
      <c r="X92">
        <v>45500</v>
      </c>
      <c r="Y92">
        <v>41363.636363636302</v>
      </c>
      <c r="Z92" s="26">
        <v>46058</v>
      </c>
    </row>
    <row r="93" spans="1:26" x14ac:dyDescent="0.3">
      <c r="A93" s="50">
        <v>46058.334675925929</v>
      </c>
      <c r="B93">
        <v>2.0260205080057001E+18</v>
      </c>
      <c r="C93" t="s">
        <v>3233</v>
      </c>
      <c r="D93" t="s">
        <v>3234</v>
      </c>
      <c r="E93" t="s">
        <v>3234</v>
      </c>
      <c r="F93" t="s">
        <v>3233</v>
      </c>
      <c r="G93" t="s">
        <v>3235</v>
      </c>
      <c r="H93" t="s">
        <v>3235</v>
      </c>
      <c r="I93">
        <v>10579</v>
      </c>
      <c r="J93" t="s">
        <v>3236</v>
      </c>
      <c r="K93" t="s">
        <v>3236</v>
      </c>
      <c r="L93" t="s">
        <v>2832</v>
      </c>
      <c r="M93" t="s">
        <v>2833</v>
      </c>
      <c r="N93">
        <v>54363</v>
      </c>
      <c r="O93">
        <v>45500</v>
      </c>
      <c r="P93">
        <v>1</v>
      </c>
      <c r="Q93">
        <v>0</v>
      </c>
      <c r="S93">
        <v>143790</v>
      </c>
      <c r="T93" t="s">
        <v>3237</v>
      </c>
      <c r="U93" t="s">
        <v>2835</v>
      </c>
      <c r="W93">
        <v>0</v>
      </c>
      <c r="X93">
        <v>45500</v>
      </c>
      <c r="Y93">
        <v>41363.636363636302</v>
      </c>
      <c r="Z93" s="26">
        <v>46058</v>
      </c>
    </row>
    <row r="94" spans="1:26" x14ac:dyDescent="0.3">
      <c r="A94" s="50">
        <v>46058.334594907406</v>
      </c>
      <c r="B94">
        <v>2.02602050757519E+18</v>
      </c>
      <c r="C94" t="s">
        <v>3238</v>
      </c>
      <c r="D94" t="s">
        <v>3239</v>
      </c>
      <c r="E94" t="s">
        <v>3239</v>
      </c>
      <c r="F94" t="s">
        <v>3238</v>
      </c>
      <c r="G94" t="s">
        <v>3239</v>
      </c>
      <c r="H94" t="s">
        <v>3239</v>
      </c>
      <c r="I94">
        <v>16281</v>
      </c>
      <c r="J94" t="s">
        <v>3240</v>
      </c>
      <c r="K94" t="s">
        <v>3240</v>
      </c>
      <c r="L94" t="s">
        <v>2832</v>
      </c>
      <c r="M94" t="s">
        <v>2833</v>
      </c>
      <c r="N94">
        <v>54363</v>
      </c>
      <c r="O94">
        <v>45500</v>
      </c>
      <c r="P94">
        <v>1</v>
      </c>
      <c r="Q94">
        <v>0</v>
      </c>
      <c r="S94">
        <v>143790</v>
      </c>
      <c r="T94" t="s">
        <v>3241</v>
      </c>
      <c r="U94" t="s">
        <v>2835</v>
      </c>
      <c r="W94">
        <v>0</v>
      </c>
      <c r="X94">
        <v>45500</v>
      </c>
      <c r="Y94">
        <v>41363.636363636302</v>
      </c>
      <c r="Z94" s="26">
        <v>46058</v>
      </c>
    </row>
    <row r="95" spans="1:26" x14ac:dyDescent="0.3">
      <c r="A95" s="50">
        <v>46058.334548611107</v>
      </c>
      <c r="B95">
        <v>2.0260205080053901E+18</v>
      </c>
      <c r="C95" t="s">
        <v>3242</v>
      </c>
      <c r="D95" t="s">
        <v>3243</v>
      </c>
      <c r="E95" t="s">
        <v>3243</v>
      </c>
      <c r="F95" t="s">
        <v>3242</v>
      </c>
      <c r="G95" t="s">
        <v>3243</v>
      </c>
      <c r="H95" t="s">
        <v>3243</v>
      </c>
      <c r="I95">
        <v>16809</v>
      </c>
      <c r="J95" t="s">
        <v>3244</v>
      </c>
      <c r="K95" t="s">
        <v>3244</v>
      </c>
      <c r="L95" t="s">
        <v>2832</v>
      </c>
      <c r="M95" t="s">
        <v>2833</v>
      </c>
      <c r="N95">
        <v>54363</v>
      </c>
      <c r="O95">
        <v>45500</v>
      </c>
      <c r="P95">
        <v>1</v>
      </c>
      <c r="Q95">
        <v>0</v>
      </c>
      <c r="S95">
        <v>143790</v>
      </c>
      <c r="T95" t="s">
        <v>3245</v>
      </c>
      <c r="U95" t="s">
        <v>2835</v>
      </c>
      <c r="W95">
        <v>0</v>
      </c>
      <c r="X95">
        <v>45500</v>
      </c>
      <c r="Y95">
        <v>41363.636363636302</v>
      </c>
      <c r="Z95" s="26">
        <v>46058</v>
      </c>
    </row>
    <row r="96" spans="1:26" x14ac:dyDescent="0.3">
      <c r="A96" s="50">
        <v>46058.334490740737</v>
      </c>
      <c r="B96">
        <v>2.02602050759005E+18</v>
      </c>
      <c r="C96" t="s">
        <v>3246</v>
      </c>
      <c r="D96" t="s">
        <v>3247</v>
      </c>
      <c r="E96" t="s">
        <v>3247</v>
      </c>
      <c r="F96" t="s">
        <v>3246</v>
      </c>
      <c r="G96" t="s">
        <v>3247</v>
      </c>
      <c r="H96" t="s">
        <v>3247</v>
      </c>
      <c r="I96">
        <v>6360</v>
      </c>
      <c r="J96" t="s">
        <v>3248</v>
      </c>
      <c r="K96" t="s">
        <v>3248</v>
      </c>
      <c r="L96" t="s">
        <v>2832</v>
      </c>
      <c r="M96" t="s">
        <v>2833</v>
      </c>
      <c r="N96">
        <v>54363</v>
      </c>
      <c r="O96">
        <v>45500</v>
      </c>
      <c r="P96">
        <v>1</v>
      </c>
      <c r="Q96">
        <v>0</v>
      </c>
      <c r="S96">
        <v>143790</v>
      </c>
      <c r="T96" t="s">
        <v>3249</v>
      </c>
      <c r="U96" t="s">
        <v>2835</v>
      </c>
      <c r="W96">
        <v>0</v>
      </c>
      <c r="X96">
        <v>45500</v>
      </c>
      <c r="Y96">
        <v>41363.636363636302</v>
      </c>
      <c r="Z96" s="26">
        <v>46058</v>
      </c>
    </row>
    <row r="97" spans="1:26" x14ac:dyDescent="0.3">
      <c r="A97" s="50">
        <v>46058.334374999999</v>
      </c>
      <c r="B97">
        <v>2.0260205075738099E+18</v>
      </c>
      <c r="C97" t="s">
        <v>3250</v>
      </c>
      <c r="D97" t="s">
        <v>3251</v>
      </c>
      <c r="E97" t="s">
        <v>3251</v>
      </c>
      <c r="F97" t="s">
        <v>3250</v>
      </c>
      <c r="G97" t="s">
        <v>3251</v>
      </c>
      <c r="H97" t="s">
        <v>3251</v>
      </c>
      <c r="I97">
        <v>21070</v>
      </c>
      <c r="J97" t="s">
        <v>3252</v>
      </c>
      <c r="K97" t="s">
        <v>3252</v>
      </c>
      <c r="L97" t="s">
        <v>2832</v>
      </c>
      <c r="M97" t="s">
        <v>2833</v>
      </c>
      <c r="N97">
        <v>54363</v>
      </c>
      <c r="O97">
        <v>45500</v>
      </c>
      <c r="P97">
        <v>1</v>
      </c>
      <c r="Q97">
        <v>0</v>
      </c>
      <c r="R97" t="s">
        <v>3253</v>
      </c>
      <c r="S97">
        <v>143790</v>
      </c>
      <c r="T97" t="s">
        <v>3254</v>
      </c>
      <c r="U97" t="s">
        <v>2835</v>
      </c>
      <c r="W97">
        <v>0</v>
      </c>
      <c r="X97">
        <v>45500</v>
      </c>
      <c r="Y97">
        <v>41363.636363636302</v>
      </c>
      <c r="Z97" s="26">
        <v>46058</v>
      </c>
    </row>
    <row r="98" spans="1:26" x14ac:dyDescent="0.3">
      <c r="A98" s="50">
        <v>46058.334166666667</v>
      </c>
      <c r="B98">
        <v>2.0260205080035599E+18</v>
      </c>
      <c r="C98" t="s">
        <v>3255</v>
      </c>
      <c r="D98" t="s">
        <v>3256</v>
      </c>
      <c r="E98" t="s">
        <v>3256</v>
      </c>
      <c r="F98" t="s">
        <v>3255</v>
      </c>
      <c r="G98" t="s">
        <v>3256</v>
      </c>
      <c r="H98" t="s">
        <v>3256</v>
      </c>
      <c r="I98">
        <v>5501</v>
      </c>
      <c r="J98" t="s">
        <v>3257</v>
      </c>
      <c r="K98" t="s">
        <v>3257</v>
      </c>
      <c r="L98" t="s">
        <v>2832</v>
      </c>
      <c r="M98" t="s">
        <v>2833</v>
      </c>
      <c r="N98">
        <v>54363</v>
      </c>
      <c r="O98">
        <v>45500</v>
      </c>
      <c r="P98">
        <v>1</v>
      </c>
      <c r="Q98">
        <v>0</v>
      </c>
      <c r="S98">
        <v>143790</v>
      </c>
      <c r="T98" t="s">
        <v>3258</v>
      </c>
      <c r="U98" t="s">
        <v>2835</v>
      </c>
      <c r="W98">
        <v>0</v>
      </c>
      <c r="X98">
        <v>45500</v>
      </c>
      <c r="Y98">
        <v>41363.636363636302</v>
      </c>
      <c r="Z98" s="26">
        <v>46058</v>
      </c>
    </row>
    <row r="99" spans="1:26" x14ac:dyDescent="0.3">
      <c r="A99" s="50">
        <v>46058.334097222221</v>
      </c>
      <c r="B99">
        <v>2.0260205075910001E+18</v>
      </c>
      <c r="C99" t="s">
        <v>3259</v>
      </c>
      <c r="D99" t="s">
        <v>3260</v>
      </c>
      <c r="E99" t="s">
        <v>3260</v>
      </c>
      <c r="F99" t="s">
        <v>3261</v>
      </c>
      <c r="G99" t="s">
        <v>3260</v>
      </c>
      <c r="H99" t="s">
        <v>3260</v>
      </c>
      <c r="I99">
        <v>3505</v>
      </c>
      <c r="J99" t="s">
        <v>3262</v>
      </c>
      <c r="K99" t="s">
        <v>3262</v>
      </c>
      <c r="L99" t="s">
        <v>2832</v>
      </c>
      <c r="M99" t="s">
        <v>2833</v>
      </c>
      <c r="N99">
        <v>54363</v>
      </c>
      <c r="O99">
        <v>45500</v>
      </c>
      <c r="P99">
        <v>1</v>
      </c>
      <c r="Q99">
        <v>0</v>
      </c>
      <c r="S99">
        <v>143790</v>
      </c>
      <c r="T99" t="s">
        <v>3263</v>
      </c>
      <c r="U99" t="s">
        <v>2835</v>
      </c>
      <c r="W99">
        <v>0</v>
      </c>
      <c r="X99">
        <v>45500</v>
      </c>
      <c r="Y99">
        <v>41363.636363636302</v>
      </c>
      <c r="Z99" s="26">
        <v>46058</v>
      </c>
    </row>
    <row r="100" spans="1:26" x14ac:dyDescent="0.3">
      <c r="A100" s="50">
        <v>46058.334097222221</v>
      </c>
      <c r="B100">
        <v>2.02602050759598E+18</v>
      </c>
      <c r="C100" t="s">
        <v>3264</v>
      </c>
      <c r="D100" t="s">
        <v>3265</v>
      </c>
      <c r="E100" t="s">
        <v>3265</v>
      </c>
      <c r="F100" t="s">
        <v>3264</v>
      </c>
      <c r="G100" t="s">
        <v>3265</v>
      </c>
      <c r="H100" t="s">
        <v>3265</v>
      </c>
      <c r="I100">
        <v>6937</v>
      </c>
      <c r="J100" t="s">
        <v>3266</v>
      </c>
      <c r="K100" t="s">
        <v>3266</v>
      </c>
      <c r="L100" t="s">
        <v>2832</v>
      </c>
      <c r="M100" t="s">
        <v>2833</v>
      </c>
      <c r="N100">
        <v>54363</v>
      </c>
      <c r="O100">
        <v>45500</v>
      </c>
      <c r="P100">
        <v>1</v>
      </c>
      <c r="Q100">
        <v>0</v>
      </c>
      <c r="S100">
        <v>143790</v>
      </c>
      <c r="T100" t="s">
        <v>3267</v>
      </c>
      <c r="U100" t="s">
        <v>2835</v>
      </c>
      <c r="W100">
        <v>0</v>
      </c>
      <c r="X100">
        <v>45500</v>
      </c>
      <c r="Y100">
        <v>41363.636363636302</v>
      </c>
      <c r="Z100" s="26">
        <v>46058</v>
      </c>
    </row>
    <row r="101" spans="1:26" x14ac:dyDescent="0.3">
      <c r="A101" s="50">
        <v>46058.333854166667</v>
      </c>
      <c r="B101">
        <v>2.0260205075814899E+18</v>
      </c>
      <c r="C101" t="s">
        <v>3268</v>
      </c>
      <c r="D101" t="s">
        <v>3269</v>
      </c>
      <c r="E101" t="s">
        <v>3269</v>
      </c>
      <c r="F101" t="s">
        <v>3268</v>
      </c>
      <c r="G101" t="s">
        <v>3269</v>
      </c>
      <c r="H101" t="s">
        <v>3269</v>
      </c>
      <c r="I101">
        <v>10472</v>
      </c>
      <c r="J101" t="s">
        <v>3270</v>
      </c>
      <c r="K101" t="s">
        <v>3270</v>
      </c>
      <c r="L101" t="s">
        <v>2832</v>
      </c>
      <c r="M101" t="s">
        <v>2833</v>
      </c>
      <c r="N101">
        <v>54363</v>
      </c>
      <c r="O101">
        <v>45500</v>
      </c>
      <c r="P101">
        <v>1</v>
      </c>
      <c r="Q101">
        <v>0</v>
      </c>
      <c r="R101" t="s">
        <v>3271</v>
      </c>
      <c r="S101">
        <v>143790</v>
      </c>
      <c r="T101" t="s">
        <v>3272</v>
      </c>
      <c r="U101" t="s">
        <v>2835</v>
      </c>
      <c r="W101">
        <v>0</v>
      </c>
      <c r="X101">
        <v>45500</v>
      </c>
      <c r="Y101">
        <v>41363.636363636302</v>
      </c>
      <c r="Z101" s="26">
        <v>46058</v>
      </c>
    </row>
    <row r="102" spans="1:26" x14ac:dyDescent="0.3">
      <c r="A102" s="50">
        <v>46058.333854166667</v>
      </c>
      <c r="B102">
        <v>2.0260205075848E+18</v>
      </c>
      <c r="C102" t="s">
        <v>3273</v>
      </c>
      <c r="D102" t="s">
        <v>3274</v>
      </c>
      <c r="E102" t="s">
        <v>3274</v>
      </c>
      <c r="F102" t="s">
        <v>3275</v>
      </c>
      <c r="G102" t="s">
        <v>3276</v>
      </c>
      <c r="H102" t="s">
        <v>3276</v>
      </c>
      <c r="I102">
        <v>12786</v>
      </c>
      <c r="J102" t="s">
        <v>3277</v>
      </c>
      <c r="K102" t="s">
        <v>3277</v>
      </c>
      <c r="L102" t="s">
        <v>2832</v>
      </c>
      <c r="M102" t="s">
        <v>2833</v>
      </c>
      <c r="N102">
        <v>54363</v>
      </c>
      <c r="O102">
        <v>45500</v>
      </c>
      <c r="P102">
        <v>1</v>
      </c>
      <c r="Q102">
        <v>0</v>
      </c>
      <c r="R102" t="s">
        <v>3278</v>
      </c>
      <c r="S102">
        <v>143790</v>
      </c>
      <c r="T102" t="s">
        <v>3279</v>
      </c>
      <c r="U102" t="s">
        <v>2835</v>
      </c>
      <c r="W102">
        <v>0</v>
      </c>
      <c r="X102">
        <v>45500</v>
      </c>
      <c r="Y102">
        <v>41363.636363636302</v>
      </c>
      <c r="Z102" s="26">
        <v>46058</v>
      </c>
    </row>
    <row r="103" spans="1:26" x14ac:dyDescent="0.3">
      <c r="A103" s="50">
        <v>46058.333495370367</v>
      </c>
      <c r="B103">
        <v>2.0260205075729001E+18</v>
      </c>
      <c r="C103" t="s">
        <v>3280</v>
      </c>
      <c r="D103" t="s">
        <v>3281</v>
      </c>
      <c r="E103" t="s">
        <v>3281</v>
      </c>
      <c r="F103" t="s">
        <v>3280</v>
      </c>
      <c r="G103" t="s">
        <v>3281</v>
      </c>
      <c r="H103" t="s">
        <v>3281</v>
      </c>
      <c r="I103">
        <v>55079</v>
      </c>
      <c r="J103" t="s">
        <v>3282</v>
      </c>
      <c r="K103" t="s">
        <v>3282</v>
      </c>
      <c r="L103" t="s">
        <v>2832</v>
      </c>
      <c r="M103" t="s">
        <v>2833</v>
      </c>
      <c r="N103">
        <v>54363</v>
      </c>
      <c r="O103">
        <v>45500</v>
      </c>
      <c r="P103">
        <v>1</v>
      </c>
      <c r="Q103">
        <v>0</v>
      </c>
      <c r="R103" t="s">
        <v>3283</v>
      </c>
      <c r="S103">
        <v>143790</v>
      </c>
      <c r="T103" t="s">
        <v>3284</v>
      </c>
      <c r="U103" t="s">
        <v>2835</v>
      </c>
      <c r="W103">
        <v>0</v>
      </c>
      <c r="X103">
        <v>45500</v>
      </c>
      <c r="Y103">
        <v>41363.636363636302</v>
      </c>
      <c r="Z103" s="26">
        <v>46058</v>
      </c>
    </row>
    <row r="104" spans="1:26" x14ac:dyDescent="0.3">
      <c r="A104" s="50">
        <v>46058.333472222221</v>
      </c>
      <c r="B104">
        <v>2.02602050758032E+18</v>
      </c>
      <c r="C104" t="s">
        <v>3285</v>
      </c>
      <c r="D104" t="s">
        <v>3286</v>
      </c>
      <c r="E104" t="s">
        <v>3286</v>
      </c>
      <c r="F104" t="s">
        <v>3285</v>
      </c>
      <c r="G104" t="s">
        <v>3287</v>
      </c>
      <c r="H104" t="s">
        <v>3287</v>
      </c>
      <c r="I104">
        <v>58654</v>
      </c>
      <c r="J104" t="s">
        <v>3288</v>
      </c>
      <c r="K104" t="s">
        <v>3288</v>
      </c>
      <c r="L104" t="s">
        <v>2832</v>
      </c>
      <c r="M104" t="s">
        <v>2833</v>
      </c>
      <c r="N104">
        <v>54363</v>
      </c>
      <c r="O104">
        <v>45500</v>
      </c>
      <c r="P104">
        <v>1</v>
      </c>
      <c r="Q104">
        <v>0</v>
      </c>
      <c r="R104" t="s">
        <v>3289</v>
      </c>
      <c r="S104">
        <v>143790</v>
      </c>
      <c r="T104" t="s">
        <v>3290</v>
      </c>
      <c r="U104" t="s">
        <v>2835</v>
      </c>
      <c r="W104">
        <v>0</v>
      </c>
      <c r="X104">
        <v>45500</v>
      </c>
      <c r="Y104">
        <v>41363.636363636302</v>
      </c>
      <c r="Z104" s="26">
        <v>46058</v>
      </c>
    </row>
    <row r="105" spans="1:26" x14ac:dyDescent="0.3">
      <c r="A105" s="50">
        <v>46058.333414351851</v>
      </c>
      <c r="B105">
        <v>2.0260205075856E+18</v>
      </c>
      <c r="C105" t="s">
        <v>3291</v>
      </c>
      <c r="D105" t="s">
        <v>3292</v>
      </c>
      <c r="E105" t="s">
        <v>3292</v>
      </c>
      <c r="F105" t="s">
        <v>3291</v>
      </c>
      <c r="G105" t="s">
        <v>3292</v>
      </c>
      <c r="H105" t="s">
        <v>3292</v>
      </c>
      <c r="I105">
        <v>12285</v>
      </c>
      <c r="J105" t="s">
        <v>3293</v>
      </c>
      <c r="K105" t="s">
        <v>3293</v>
      </c>
      <c r="L105" t="s">
        <v>2832</v>
      </c>
      <c r="M105" t="s">
        <v>2833</v>
      </c>
      <c r="N105">
        <v>54363</v>
      </c>
      <c r="O105">
        <v>45500</v>
      </c>
      <c r="P105">
        <v>1</v>
      </c>
      <c r="Q105">
        <v>0</v>
      </c>
      <c r="S105">
        <v>143790</v>
      </c>
      <c r="T105" t="s">
        <v>3294</v>
      </c>
      <c r="U105" t="s">
        <v>2835</v>
      </c>
      <c r="W105">
        <v>0</v>
      </c>
      <c r="X105">
        <v>45500</v>
      </c>
      <c r="Y105">
        <v>41363.636363636302</v>
      </c>
      <c r="Z105" s="26">
        <v>46058</v>
      </c>
    </row>
    <row r="106" spans="1:26" x14ac:dyDescent="0.3">
      <c r="A106" s="50">
        <v>46058.333379629628</v>
      </c>
      <c r="B106">
        <v>2.0260205075712499E+18</v>
      </c>
      <c r="C106" t="s">
        <v>3295</v>
      </c>
      <c r="D106" t="s">
        <v>3296</v>
      </c>
      <c r="E106" t="s">
        <v>3296</v>
      </c>
      <c r="F106" t="s">
        <v>3295</v>
      </c>
      <c r="G106" t="s">
        <v>3296</v>
      </c>
      <c r="H106" t="s">
        <v>3296</v>
      </c>
      <c r="I106">
        <v>11189</v>
      </c>
      <c r="J106" t="s">
        <v>3297</v>
      </c>
      <c r="K106" t="s">
        <v>3297</v>
      </c>
      <c r="L106" t="s">
        <v>2832</v>
      </c>
      <c r="M106" t="s">
        <v>2833</v>
      </c>
      <c r="N106">
        <v>108726</v>
      </c>
      <c r="O106">
        <v>45500</v>
      </c>
      <c r="P106">
        <v>2</v>
      </c>
      <c r="Q106">
        <v>0</v>
      </c>
      <c r="R106" t="s">
        <v>3298</v>
      </c>
      <c r="S106">
        <v>143790</v>
      </c>
      <c r="T106" t="s">
        <v>3299</v>
      </c>
      <c r="U106" t="s">
        <v>2835</v>
      </c>
      <c r="W106">
        <v>0</v>
      </c>
      <c r="X106">
        <v>91000</v>
      </c>
      <c r="Y106">
        <v>82727.272727272706</v>
      </c>
      <c r="Z106" s="26">
        <v>46058</v>
      </c>
    </row>
    <row r="107" spans="1:26" x14ac:dyDescent="0.3">
      <c r="A107" s="50">
        <v>46058.333356481482</v>
      </c>
      <c r="B107">
        <v>2.0260205075755E+18</v>
      </c>
      <c r="C107" t="s">
        <v>3300</v>
      </c>
      <c r="D107" t="s">
        <v>3301</v>
      </c>
      <c r="E107" t="s">
        <v>3301</v>
      </c>
      <c r="F107" t="s">
        <v>3300</v>
      </c>
      <c r="G107" t="s">
        <v>3301</v>
      </c>
      <c r="H107" t="s">
        <v>3301</v>
      </c>
      <c r="I107">
        <v>12905</v>
      </c>
      <c r="J107" t="s">
        <v>3302</v>
      </c>
      <c r="K107" t="s">
        <v>3302</v>
      </c>
      <c r="L107" t="s">
        <v>2832</v>
      </c>
      <c r="M107" t="s">
        <v>2833</v>
      </c>
      <c r="N107">
        <v>54363</v>
      </c>
      <c r="O107">
        <v>45500</v>
      </c>
      <c r="P107">
        <v>1</v>
      </c>
      <c r="Q107">
        <v>0</v>
      </c>
      <c r="S107">
        <v>143790</v>
      </c>
      <c r="T107" t="s">
        <v>3303</v>
      </c>
      <c r="U107" t="s">
        <v>2835</v>
      </c>
      <c r="W107">
        <v>0</v>
      </c>
      <c r="X107">
        <v>45500</v>
      </c>
      <c r="Y107">
        <v>41363.636363636302</v>
      </c>
      <c r="Z107" s="26">
        <v>46058</v>
      </c>
    </row>
    <row r="108" spans="1:26" x14ac:dyDescent="0.3">
      <c r="A108" s="50">
        <v>46058.333194444444</v>
      </c>
      <c r="B108">
        <v>2.02602050759135E+18</v>
      </c>
      <c r="C108" t="s">
        <v>3304</v>
      </c>
      <c r="D108" t="s">
        <v>3305</v>
      </c>
      <c r="E108" t="s">
        <v>3305</v>
      </c>
      <c r="F108" t="s">
        <v>3306</v>
      </c>
      <c r="G108" t="s">
        <v>3305</v>
      </c>
      <c r="H108" t="s">
        <v>3305</v>
      </c>
      <c r="I108">
        <v>21982</v>
      </c>
      <c r="J108" t="s">
        <v>3307</v>
      </c>
      <c r="K108" t="s">
        <v>3307</v>
      </c>
      <c r="L108" t="s">
        <v>2832</v>
      </c>
      <c r="M108" t="s">
        <v>2833</v>
      </c>
      <c r="N108">
        <v>54363</v>
      </c>
      <c r="O108">
        <v>45500</v>
      </c>
      <c r="P108">
        <v>1</v>
      </c>
      <c r="Q108">
        <v>0</v>
      </c>
      <c r="S108">
        <v>143790</v>
      </c>
      <c r="T108" t="s">
        <v>3308</v>
      </c>
      <c r="U108" t="s">
        <v>2835</v>
      </c>
      <c r="W108">
        <v>0</v>
      </c>
      <c r="X108">
        <v>45500</v>
      </c>
      <c r="Y108">
        <v>41363.636363636302</v>
      </c>
      <c r="Z108" s="26">
        <v>46058</v>
      </c>
    </row>
    <row r="109" spans="1:26" x14ac:dyDescent="0.3">
      <c r="A109" s="50">
        <v>46058.33315972222</v>
      </c>
      <c r="B109">
        <v>2.02602050756174E+18</v>
      </c>
      <c r="C109" t="s">
        <v>3309</v>
      </c>
      <c r="D109" t="s">
        <v>3310</v>
      </c>
      <c r="E109" t="s">
        <v>3310</v>
      </c>
      <c r="F109" t="s">
        <v>3309</v>
      </c>
      <c r="G109" t="s">
        <v>3310</v>
      </c>
      <c r="H109" t="s">
        <v>3310</v>
      </c>
      <c r="I109">
        <v>5236</v>
      </c>
      <c r="J109" t="s">
        <v>3311</v>
      </c>
      <c r="K109" t="s">
        <v>3311</v>
      </c>
      <c r="L109" t="s">
        <v>2832</v>
      </c>
      <c r="M109" t="s">
        <v>2833</v>
      </c>
      <c r="N109">
        <v>108726</v>
      </c>
      <c r="O109">
        <v>45500</v>
      </c>
      <c r="P109">
        <v>2</v>
      </c>
      <c r="Q109">
        <v>0</v>
      </c>
      <c r="S109">
        <v>143790</v>
      </c>
      <c r="T109" t="s">
        <v>3312</v>
      </c>
      <c r="U109" t="s">
        <v>2835</v>
      </c>
      <c r="W109">
        <v>0</v>
      </c>
      <c r="X109">
        <v>91000</v>
      </c>
      <c r="Y109">
        <v>82727.272727272706</v>
      </c>
      <c r="Z109" s="26">
        <v>46058</v>
      </c>
    </row>
    <row r="110" spans="1:26" x14ac:dyDescent="0.3">
      <c r="A110" s="50">
        <v>46058.33315972222</v>
      </c>
      <c r="B110">
        <v>2.02602050758461E+18</v>
      </c>
      <c r="C110" t="s">
        <v>3313</v>
      </c>
      <c r="D110" t="s">
        <v>3314</v>
      </c>
      <c r="E110" t="s">
        <v>3314</v>
      </c>
      <c r="F110" t="s">
        <v>3313</v>
      </c>
      <c r="G110" t="s">
        <v>3314</v>
      </c>
      <c r="H110" t="s">
        <v>3314</v>
      </c>
      <c r="I110">
        <v>2117</v>
      </c>
      <c r="J110" t="s">
        <v>3315</v>
      </c>
      <c r="K110" t="s">
        <v>3315</v>
      </c>
      <c r="L110" t="s">
        <v>2832</v>
      </c>
      <c r="M110" t="s">
        <v>2833</v>
      </c>
      <c r="N110">
        <v>54363</v>
      </c>
      <c r="O110">
        <v>45500</v>
      </c>
      <c r="P110">
        <v>1</v>
      </c>
      <c r="Q110">
        <v>0</v>
      </c>
      <c r="S110">
        <v>143790</v>
      </c>
      <c r="T110" t="s">
        <v>3316</v>
      </c>
      <c r="U110" t="s">
        <v>2835</v>
      </c>
      <c r="W110">
        <v>0</v>
      </c>
      <c r="X110">
        <v>45500</v>
      </c>
      <c r="Y110">
        <v>41363.636363636302</v>
      </c>
      <c r="Z110" s="26">
        <v>46058</v>
      </c>
    </row>
    <row r="111" spans="1:26" x14ac:dyDescent="0.3">
      <c r="A111" s="50">
        <v>46058.333009259259</v>
      </c>
      <c r="B111">
        <v>2.0260205075730099E+18</v>
      </c>
      <c r="C111" t="s">
        <v>3317</v>
      </c>
      <c r="D111" t="s">
        <v>3318</v>
      </c>
      <c r="E111" t="s">
        <v>3318</v>
      </c>
      <c r="F111" t="s">
        <v>3317</v>
      </c>
      <c r="G111" t="s">
        <v>3318</v>
      </c>
      <c r="H111" t="s">
        <v>3318</v>
      </c>
      <c r="I111">
        <v>24414</v>
      </c>
      <c r="J111" t="s">
        <v>3319</v>
      </c>
      <c r="K111" t="s">
        <v>3319</v>
      </c>
      <c r="L111" t="s">
        <v>2832</v>
      </c>
      <c r="M111" t="s">
        <v>2833</v>
      </c>
      <c r="N111">
        <v>54363</v>
      </c>
      <c r="O111">
        <v>45500</v>
      </c>
      <c r="P111">
        <v>1</v>
      </c>
      <c r="Q111">
        <v>0</v>
      </c>
      <c r="S111">
        <v>143790</v>
      </c>
      <c r="T111" t="s">
        <v>3320</v>
      </c>
      <c r="U111" t="s">
        <v>2835</v>
      </c>
      <c r="W111">
        <v>0</v>
      </c>
      <c r="X111">
        <v>45500</v>
      </c>
      <c r="Y111">
        <v>41363.636363636302</v>
      </c>
      <c r="Z111" s="26">
        <v>46058</v>
      </c>
    </row>
    <row r="112" spans="1:26" x14ac:dyDescent="0.3">
      <c r="A112" s="50">
        <v>46058.333009259259</v>
      </c>
      <c r="B112">
        <v>2.02602050759039E+18</v>
      </c>
      <c r="C112" t="s">
        <v>3321</v>
      </c>
      <c r="D112" t="s">
        <v>3322</v>
      </c>
      <c r="E112" t="s">
        <v>3322</v>
      </c>
      <c r="F112" t="s">
        <v>3321</v>
      </c>
      <c r="G112" t="s">
        <v>3322</v>
      </c>
      <c r="H112" t="s">
        <v>3322</v>
      </c>
      <c r="I112">
        <v>12285</v>
      </c>
      <c r="J112" t="s">
        <v>3323</v>
      </c>
      <c r="K112" t="s">
        <v>3323</v>
      </c>
      <c r="L112" t="s">
        <v>2832</v>
      </c>
      <c r="M112" t="s">
        <v>2833</v>
      </c>
      <c r="N112">
        <v>54363</v>
      </c>
      <c r="O112">
        <v>45500</v>
      </c>
      <c r="P112">
        <v>1</v>
      </c>
      <c r="Q112">
        <v>0</v>
      </c>
      <c r="S112">
        <v>143790</v>
      </c>
      <c r="T112" t="s">
        <v>3324</v>
      </c>
      <c r="U112" t="s">
        <v>2835</v>
      </c>
      <c r="W112">
        <v>0</v>
      </c>
      <c r="X112">
        <v>45500</v>
      </c>
      <c r="Y112">
        <v>41363.636363636302</v>
      </c>
      <c r="Z112" s="26">
        <v>46058</v>
      </c>
    </row>
    <row r="113" spans="1:26" x14ac:dyDescent="0.3">
      <c r="A113" s="50">
        <v>46058.332870370366</v>
      </c>
      <c r="B113">
        <v>2.0260205075718001E+18</v>
      </c>
      <c r="C113" t="s">
        <v>3325</v>
      </c>
      <c r="D113" t="s">
        <v>3326</v>
      </c>
      <c r="E113" t="s">
        <v>3326</v>
      </c>
      <c r="F113" t="s">
        <v>3325</v>
      </c>
      <c r="G113" t="s">
        <v>3326</v>
      </c>
      <c r="H113" t="s">
        <v>3326</v>
      </c>
      <c r="I113">
        <v>6999</v>
      </c>
      <c r="J113" t="s">
        <v>3327</v>
      </c>
      <c r="K113" t="s">
        <v>3327</v>
      </c>
      <c r="L113" t="s">
        <v>2832</v>
      </c>
      <c r="M113" t="s">
        <v>2833</v>
      </c>
      <c r="N113">
        <v>54363</v>
      </c>
      <c r="O113">
        <v>45500</v>
      </c>
      <c r="P113">
        <v>1</v>
      </c>
      <c r="Q113">
        <v>0</v>
      </c>
      <c r="R113" t="s">
        <v>3328</v>
      </c>
      <c r="S113">
        <v>143790</v>
      </c>
      <c r="T113" t="s">
        <v>3329</v>
      </c>
      <c r="U113" t="s">
        <v>2835</v>
      </c>
      <c r="W113">
        <v>0</v>
      </c>
      <c r="X113">
        <v>45500</v>
      </c>
      <c r="Y113">
        <v>41363.636363636302</v>
      </c>
      <c r="Z113" s="26">
        <v>46058</v>
      </c>
    </row>
    <row r="114" spans="1:26" x14ac:dyDescent="0.3">
      <c r="A114" s="50">
        <v>46058.332870370366</v>
      </c>
      <c r="B114">
        <v>2.0260205075754801E+18</v>
      </c>
      <c r="C114" t="s">
        <v>3330</v>
      </c>
      <c r="D114" t="s">
        <v>3331</v>
      </c>
      <c r="E114" t="s">
        <v>3331</v>
      </c>
      <c r="F114" t="s">
        <v>3330</v>
      </c>
      <c r="G114" t="s">
        <v>3331</v>
      </c>
      <c r="H114" t="s">
        <v>3331</v>
      </c>
      <c r="I114">
        <v>16941</v>
      </c>
      <c r="J114" t="s">
        <v>3332</v>
      </c>
      <c r="K114" t="s">
        <v>3332</v>
      </c>
      <c r="L114" t="s">
        <v>2832</v>
      </c>
      <c r="M114" t="s">
        <v>2833</v>
      </c>
      <c r="N114">
        <v>54363</v>
      </c>
      <c r="O114">
        <v>45500</v>
      </c>
      <c r="P114">
        <v>1</v>
      </c>
      <c r="Q114">
        <v>0</v>
      </c>
      <c r="S114">
        <v>143790</v>
      </c>
      <c r="T114" t="s">
        <v>3333</v>
      </c>
      <c r="U114" t="s">
        <v>2835</v>
      </c>
      <c r="W114">
        <v>0</v>
      </c>
      <c r="X114">
        <v>45500</v>
      </c>
      <c r="Y114">
        <v>41363.636363636302</v>
      </c>
      <c r="Z114" s="26">
        <v>46058</v>
      </c>
    </row>
    <row r="115" spans="1:26" x14ac:dyDescent="0.3">
      <c r="A115" s="50">
        <v>46058.332835648151</v>
      </c>
      <c r="B115">
        <v>2.0260205075726999E+18</v>
      </c>
      <c r="C115" t="s">
        <v>3334</v>
      </c>
      <c r="D115" t="s">
        <v>3335</v>
      </c>
      <c r="E115" t="s">
        <v>3335</v>
      </c>
      <c r="F115" t="s">
        <v>3334</v>
      </c>
      <c r="G115" t="s">
        <v>3335</v>
      </c>
      <c r="H115" t="s">
        <v>3335</v>
      </c>
      <c r="I115">
        <v>50987</v>
      </c>
      <c r="J115" t="s">
        <v>3336</v>
      </c>
      <c r="K115" t="s">
        <v>3336</v>
      </c>
      <c r="L115" t="s">
        <v>2832</v>
      </c>
      <c r="M115" t="s">
        <v>2833</v>
      </c>
      <c r="N115">
        <v>108726</v>
      </c>
      <c r="O115">
        <v>45500</v>
      </c>
      <c r="P115">
        <v>2</v>
      </c>
      <c r="Q115">
        <v>0</v>
      </c>
      <c r="S115">
        <v>143790</v>
      </c>
      <c r="T115" t="s">
        <v>3337</v>
      </c>
      <c r="U115" t="s">
        <v>2835</v>
      </c>
      <c r="W115">
        <v>0</v>
      </c>
      <c r="X115">
        <v>91000</v>
      </c>
      <c r="Y115">
        <v>82727.272727272706</v>
      </c>
      <c r="Z115" s="26">
        <v>46058</v>
      </c>
    </row>
    <row r="116" spans="1:26" x14ac:dyDescent="0.3">
      <c r="A116" s="50">
        <v>46058.332789351851</v>
      </c>
      <c r="B116">
        <v>2.02602050756099E+18</v>
      </c>
      <c r="C116" t="s">
        <v>3338</v>
      </c>
      <c r="D116" t="s">
        <v>3339</v>
      </c>
      <c r="E116" t="s">
        <v>3339</v>
      </c>
      <c r="F116" t="s">
        <v>3338</v>
      </c>
      <c r="G116" t="s">
        <v>3339</v>
      </c>
      <c r="H116" t="s">
        <v>3339</v>
      </c>
      <c r="I116">
        <v>3730</v>
      </c>
      <c r="J116" t="s">
        <v>3340</v>
      </c>
      <c r="K116" t="s">
        <v>3340</v>
      </c>
      <c r="L116" t="s">
        <v>2832</v>
      </c>
      <c r="M116" t="s">
        <v>2833</v>
      </c>
      <c r="N116">
        <v>108726</v>
      </c>
      <c r="O116">
        <v>45500</v>
      </c>
      <c r="P116">
        <v>2</v>
      </c>
      <c r="Q116">
        <v>0</v>
      </c>
      <c r="S116">
        <v>143790</v>
      </c>
      <c r="T116" t="s">
        <v>3341</v>
      </c>
      <c r="U116" t="s">
        <v>2835</v>
      </c>
      <c r="W116">
        <v>0</v>
      </c>
      <c r="X116">
        <v>91000</v>
      </c>
      <c r="Y116">
        <v>82727.272727272706</v>
      </c>
      <c r="Z116" s="26">
        <v>46058</v>
      </c>
    </row>
    <row r="117" spans="1:26" x14ac:dyDescent="0.3">
      <c r="A117" s="50">
        <v>46058.332731481481</v>
      </c>
      <c r="B117">
        <v>2.02602050757472E+18</v>
      </c>
      <c r="C117" t="s">
        <v>3094</v>
      </c>
      <c r="D117" t="s">
        <v>3095</v>
      </c>
      <c r="E117" t="s">
        <v>3095</v>
      </c>
      <c r="F117" t="s">
        <v>3342</v>
      </c>
      <c r="G117" t="s">
        <v>3343</v>
      </c>
      <c r="H117" t="s">
        <v>3343</v>
      </c>
      <c r="I117">
        <v>44774</v>
      </c>
      <c r="J117" t="s">
        <v>3344</v>
      </c>
      <c r="K117" t="s">
        <v>3344</v>
      </c>
      <c r="L117" t="s">
        <v>2832</v>
      </c>
      <c r="M117" t="s">
        <v>2833</v>
      </c>
      <c r="N117">
        <v>54363</v>
      </c>
      <c r="O117">
        <v>45500</v>
      </c>
      <c r="P117">
        <v>1</v>
      </c>
      <c r="Q117">
        <v>0</v>
      </c>
      <c r="S117">
        <v>143790</v>
      </c>
      <c r="T117" t="s">
        <v>3345</v>
      </c>
      <c r="U117" t="s">
        <v>2835</v>
      </c>
      <c r="W117">
        <v>0</v>
      </c>
      <c r="X117">
        <v>45500</v>
      </c>
      <c r="Y117">
        <v>41363.636363636302</v>
      </c>
      <c r="Z117" s="26">
        <v>46058</v>
      </c>
    </row>
    <row r="118" spans="1:26" x14ac:dyDescent="0.3">
      <c r="A118" s="50">
        <v>46058.332662037043</v>
      </c>
      <c r="B118">
        <v>2.0260205075434601E+18</v>
      </c>
      <c r="C118" t="s">
        <v>3346</v>
      </c>
      <c r="D118" t="s">
        <v>3347</v>
      </c>
      <c r="E118" t="s">
        <v>3347</v>
      </c>
      <c r="F118" t="s">
        <v>3348</v>
      </c>
      <c r="G118" t="s">
        <v>3349</v>
      </c>
      <c r="H118" t="s">
        <v>3349</v>
      </c>
      <c r="I118">
        <v>36057</v>
      </c>
      <c r="J118" t="s">
        <v>3350</v>
      </c>
      <c r="K118" t="s">
        <v>3350</v>
      </c>
      <c r="L118" t="s">
        <v>2832</v>
      </c>
      <c r="M118" t="s">
        <v>2833</v>
      </c>
      <c r="N118">
        <v>54363</v>
      </c>
      <c r="O118">
        <v>45500</v>
      </c>
      <c r="P118">
        <v>1</v>
      </c>
      <c r="Q118">
        <v>0</v>
      </c>
      <c r="S118">
        <v>143790</v>
      </c>
      <c r="T118" t="s">
        <v>3351</v>
      </c>
      <c r="U118" t="s">
        <v>2835</v>
      </c>
      <c r="W118">
        <v>0</v>
      </c>
      <c r="X118">
        <v>45500</v>
      </c>
      <c r="Y118">
        <v>41363.636363636302</v>
      </c>
      <c r="Z118" s="26">
        <v>46058</v>
      </c>
    </row>
    <row r="119" spans="1:26" x14ac:dyDescent="0.3">
      <c r="A119" s="50">
        <v>46058.332627314812</v>
      </c>
      <c r="B119">
        <v>2.0260205075836301E+18</v>
      </c>
      <c r="C119" t="s">
        <v>3352</v>
      </c>
      <c r="D119" t="s">
        <v>3353</v>
      </c>
      <c r="E119" t="s">
        <v>3353</v>
      </c>
      <c r="F119" t="s">
        <v>3352</v>
      </c>
      <c r="G119" t="s">
        <v>3353</v>
      </c>
      <c r="H119" t="s">
        <v>3353</v>
      </c>
      <c r="I119">
        <v>6378</v>
      </c>
      <c r="J119" t="s">
        <v>3354</v>
      </c>
      <c r="K119" t="s">
        <v>3354</v>
      </c>
      <c r="L119" t="s">
        <v>2832</v>
      </c>
      <c r="M119" t="s">
        <v>2833</v>
      </c>
      <c r="N119">
        <v>54363</v>
      </c>
      <c r="O119">
        <v>45500</v>
      </c>
      <c r="P119">
        <v>1</v>
      </c>
      <c r="Q119">
        <v>0</v>
      </c>
      <c r="S119">
        <v>143790</v>
      </c>
      <c r="T119" t="s">
        <v>3355</v>
      </c>
      <c r="U119" t="s">
        <v>2835</v>
      </c>
      <c r="W119">
        <v>0</v>
      </c>
      <c r="X119">
        <v>45500</v>
      </c>
      <c r="Y119">
        <v>41363.636363636302</v>
      </c>
      <c r="Z119" s="26">
        <v>46058</v>
      </c>
    </row>
    <row r="120" spans="1:26" x14ac:dyDescent="0.3">
      <c r="A120" s="50">
        <v>46058.332592592589</v>
      </c>
      <c r="B120">
        <v>2.0260205075533399E+18</v>
      </c>
      <c r="C120" t="s">
        <v>3356</v>
      </c>
      <c r="D120" t="s">
        <v>3357</v>
      </c>
      <c r="E120" t="s">
        <v>3357</v>
      </c>
      <c r="F120" t="s">
        <v>3356</v>
      </c>
      <c r="G120" t="s">
        <v>3357</v>
      </c>
      <c r="H120" t="s">
        <v>3357</v>
      </c>
      <c r="I120">
        <v>55114</v>
      </c>
      <c r="J120" t="s">
        <v>3358</v>
      </c>
      <c r="K120" t="s">
        <v>3358</v>
      </c>
      <c r="L120" t="s">
        <v>2832</v>
      </c>
      <c r="M120" t="s">
        <v>2833</v>
      </c>
      <c r="N120">
        <v>54363</v>
      </c>
      <c r="O120">
        <v>45500</v>
      </c>
      <c r="P120">
        <v>1</v>
      </c>
      <c r="Q120">
        <v>0</v>
      </c>
      <c r="R120" t="s">
        <v>3359</v>
      </c>
      <c r="S120">
        <v>143790</v>
      </c>
      <c r="T120" t="s">
        <v>3360</v>
      </c>
      <c r="U120" t="s">
        <v>2835</v>
      </c>
      <c r="W120">
        <v>0</v>
      </c>
      <c r="X120">
        <v>45500</v>
      </c>
      <c r="Y120">
        <v>41363.636363636302</v>
      </c>
      <c r="Z120" s="26">
        <v>46058</v>
      </c>
    </row>
    <row r="121" spans="1:26" x14ac:dyDescent="0.3">
      <c r="A121" s="50">
        <v>46058.332546296297</v>
      </c>
      <c r="B121">
        <v>2.02602050757283E+18</v>
      </c>
      <c r="C121" t="s">
        <v>3361</v>
      </c>
      <c r="D121" t="s">
        <v>3362</v>
      </c>
      <c r="E121" t="s">
        <v>3362</v>
      </c>
      <c r="F121" t="s">
        <v>3361</v>
      </c>
      <c r="G121" t="s">
        <v>3362</v>
      </c>
      <c r="H121" t="s">
        <v>3362</v>
      </c>
      <c r="I121">
        <v>17079</v>
      </c>
      <c r="J121" t="s">
        <v>3363</v>
      </c>
      <c r="K121" t="s">
        <v>3363</v>
      </c>
      <c r="L121" t="s">
        <v>2832</v>
      </c>
      <c r="M121" t="s">
        <v>2833</v>
      </c>
      <c r="N121">
        <v>54363</v>
      </c>
      <c r="O121">
        <v>45500</v>
      </c>
      <c r="P121">
        <v>1</v>
      </c>
      <c r="Q121">
        <v>0</v>
      </c>
      <c r="S121">
        <v>143790</v>
      </c>
      <c r="T121" t="s">
        <v>3364</v>
      </c>
      <c r="U121" t="s">
        <v>2835</v>
      </c>
      <c r="W121">
        <v>0</v>
      </c>
      <c r="X121">
        <v>45500</v>
      </c>
      <c r="Y121">
        <v>41363.636363636302</v>
      </c>
      <c r="Z121" s="26">
        <v>46058</v>
      </c>
    </row>
    <row r="122" spans="1:26" x14ac:dyDescent="0.3">
      <c r="A122" s="50">
        <v>46058.332430555558</v>
      </c>
      <c r="B122">
        <v>2.0260205075816801E+18</v>
      </c>
      <c r="C122" t="s">
        <v>3365</v>
      </c>
      <c r="D122" t="s">
        <v>3366</v>
      </c>
      <c r="E122" t="s">
        <v>3366</v>
      </c>
      <c r="F122" t="s">
        <v>3365</v>
      </c>
      <c r="G122" t="s">
        <v>3366</v>
      </c>
      <c r="H122" t="s">
        <v>3366</v>
      </c>
      <c r="I122">
        <v>1752</v>
      </c>
      <c r="J122" t="s">
        <v>3367</v>
      </c>
      <c r="K122" t="s">
        <v>3367</v>
      </c>
      <c r="L122" t="s">
        <v>2832</v>
      </c>
      <c r="M122" t="s">
        <v>2833</v>
      </c>
      <c r="N122">
        <v>54363</v>
      </c>
      <c r="O122">
        <v>45500</v>
      </c>
      <c r="P122">
        <v>1</v>
      </c>
      <c r="Q122">
        <v>0</v>
      </c>
      <c r="S122">
        <v>143790</v>
      </c>
      <c r="T122" t="s">
        <v>3368</v>
      </c>
      <c r="U122" t="s">
        <v>2835</v>
      </c>
      <c r="W122">
        <v>0</v>
      </c>
      <c r="X122">
        <v>45500</v>
      </c>
      <c r="Y122">
        <v>41363.636363636302</v>
      </c>
      <c r="Z122" s="26">
        <v>46058</v>
      </c>
    </row>
    <row r="123" spans="1:26" x14ac:dyDescent="0.3">
      <c r="A123" s="50">
        <v>46058.332233796304</v>
      </c>
      <c r="B123">
        <v>2.0260205075549701E+18</v>
      </c>
      <c r="C123" t="s">
        <v>3273</v>
      </c>
      <c r="D123" t="s">
        <v>3274</v>
      </c>
      <c r="E123" t="s">
        <v>3274</v>
      </c>
      <c r="F123" t="s">
        <v>3369</v>
      </c>
      <c r="G123" t="s">
        <v>3370</v>
      </c>
      <c r="H123" t="s">
        <v>3370</v>
      </c>
      <c r="I123">
        <v>35377</v>
      </c>
      <c r="J123" t="s">
        <v>3371</v>
      </c>
      <c r="K123" t="s">
        <v>3371</v>
      </c>
      <c r="L123" t="s">
        <v>2832</v>
      </c>
      <c r="M123" t="s">
        <v>2833</v>
      </c>
      <c r="N123">
        <v>54363</v>
      </c>
      <c r="O123">
        <v>45500</v>
      </c>
      <c r="P123">
        <v>1</v>
      </c>
      <c r="Q123">
        <v>0</v>
      </c>
      <c r="R123" t="s">
        <v>3278</v>
      </c>
      <c r="S123">
        <v>143790</v>
      </c>
      <c r="T123" t="s">
        <v>3372</v>
      </c>
      <c r="U123" t="s">
        <v>2835</v>
      </c>
      <c r="W123">
        <v>0</v>
      </c>
      <c r="X123">
        <v>45500</v>
      </c>
      <c r="Y123">
        <v>41363.636363636302</v>
      </c>
      <c r="Z123" s="26">
        <v>46058</v>
      </c>
    </row>
    <row r="124" spans="1:26" x14ac:dyDescent="0.3">
      <c r="A124" s="50">
        <v>46058.332199074073</v>
      </c>
      <c r="B124">
        <v>2.0260205075636401E+18</v>
      </c>
      <c r="C124" t="s">
        <v>3373</v>
      </c>
      <c r="D124" t="s">
        <v>3374</v>
      </c>
      <c r="E124" t="s">
        <v>3374</v>
      </c>
      <c r="F124" t="s">
        <v>3373</v>
      </c>
      <c r="G124" t="s">
        <v>3374</v>
      </c>
      <c r="H124" t="s">
        <v>3374</v>
      </c>
      <c r="I124">
        <v>11744</v>
      </c>
      <c r="J124" t="s">
        <v>3375</v>
      </c>
      <c r="K124" t="s">
        <v>3375</v>
      </c>
      <c r="L124" t="s">
        <v>2832</v>
      </c>
      <c r="M124" t="s">
        <v>2833</v>
      </c>
      <c r="N124">
        <v>54363</v>
      </c>
      <c r="O124">
        <v>45500</v>
      </c>
      <c r="P124">
        <v>1</v>
      </c>
      <c r="Q124">
        <v>0</v>
      </c>
      <c r="S124">
        <v>143790</v>
      </c>
      <c r="T124" t="s">
        <v>3376</v>
      </c>
      <c r="U124" t="s">
        <v>2835</v>
      </c>
      <c r="W124">
        <v>0</v>
      </c>
      <c r="X124">
        <v>45500</v>
      </c>
      <c r="Y124">
        <v>41363.636363636302</v>
      </c>
      <c r="Z124" s="26">
        <v>46058</v>
      </c>
    </row>
    <row r="125" spans="1:26" x14ac:dyDescent="0.3">
      <c r="A125" s="50">
        <v>46058.332187499997</v>
      </c>
      <c r="B125">
        <v>2.02602050756433E+18</v>
      </c>
      <c r="C125" t="s">
        <v>3377</v>
      </c>
      <c r="D125" t="s">
        <v>3378</v>
      </c>
      <c r="E125" t="s">
        <v>3378</v>
      </c>
      <c r="F125" t="s">
        <v>3377</v>
      </c>
      <c r="G125" t="s">
        <v>3378</v>
      </c>
      <c r="H125" t="s">
        <v>3378</v>
      </c>
      <c r="I125">
        <v>13260</v>
      </c>
      <c r="J125" t="s">
        <v>3379</v>
      </c>
      <c r="K125" t="s">
        <v>3379</v>
      </c>
      <c r="L125" t="s">
        <v>2832</v>
      </c>
      <c r="M125" t="s">
        <v>2833</v>
      </c>
      <c r="N125">
        <v>54363</v>
      </c>
      <c r="O125">
        <v>45500</v>
      </c>
      <c r="P125">
        <v>1</v>
      </c>
      <c r="Q125">
        <v>0</v>
      </c>
      <c r="S125">
        <v>143790</v>
      </c>
      <c r="T125" t="s">
        <v>3380</v>
      </c>
      <c r="U125" t="s">
        <v>2835</v>
      </c>
      <c r="W125">
        <v>0</v>
      </c>
      <c r="X125">
        <v>45500</v>
      </c>
      <c r="Y125">
        <v>41363.636363636302</v>
      </c>
      <c r="Z125" s="26">
        <v>46058</v>
      </c>
    </row>
    <row r="126" spans="1:26" x14ac:dyDescent="0.3">
      <c r="A126" s="50">
        <v>46058.332083333327</v>
      </c>
      <c r="B126">
        <v>2.0260205075626099E+18</v>
      </c>
      <c r="C126" t="s">
        <v>3381</v>
      </c>
      <c r="D126" t="s">
        <v>3382</v>
      </c>
      <c r="E126" t="s">
        <v>3382</v>
      </c>
      <c r="F126" t="s">
        <v>3381</v>
      </c>
      <c r="G126" t="s">
        <v>3382</v>
      </c>
      <c r="H126" t="s">
        <v>3382</v>
      </c>
      <c r="I126">
        <v>28123</v>
      </c>
      <c r="J126" t="s">
        <v>3383</v>
      </c>
      <c r="K126" t="s">
        <v>3383</v>
      </c>
      <c r="L126" t="s">
        <v>2832</v>
      </c>
      <c r="M126" t="s">
        <v>2833</v>
      </c>
      <c r="N126">
        <v>54363</v>
      </c>
      <c r="O126">
        <v>45500</v>
      </c>
      <c r="P126">
        <v>1</v>
      </c>
      <c r="Q126">
        <v>0</v>
      </c>
      <c r="S126">
        <v>143790</v>
      </c>
      <c r="T126" t="s">
        <v>3384</v>
      </c>
      <c r="U126" t="s">
        <v>2835</v>
      </c>
      <c r="W126">
        <v>0</v>
      </c>
      <c r="X126">
        <v>45500</v>
      </c>
      <c r="Y126">
        <v>41363.636363636302</v>
      </c>
      <c r="Z126" s="26">
        <v>46058</v>
      </c>
    </row>
    <row r="127" spans="1:26" x14ac:dyDescent="0.3">
      <c r="A127" s="50">
        <v>46058.332071759258</v>
      </c>
      <c r="B127">
        <v>2.02602050757437E+18</v>
      </c>
      <c r="C127" t="s">
        <v>3385</v>
      </c>
      <c r="D127" t="s">
        <v>3386</v>
      </c>
      <c r="E127" t="s">
        <v>3386</v>
      </c>
      <c r="F127" t="s">
        <v>3385</v>
      </c>
      <c r="G127" t="s">
        <v>3386</v>
      </c>
      <c r="H127" t="s">
        <v>3386</v>
      </c>
      <c r="I127">
        <v>42637</v>
      </c>
      <c r="J127" t="s">
        <v>3387</v>
      </c>
      <c r="K127" t="s">
        <v>3387</v>
      </c>
      <c r="L127" t="s">
        <v>2832</v>
      </c>
      <c r="M127" t="s">
        <v>2833</v>
      </c>
      <c r="N127">
        <v>108726</v>
      </c>
      <c r="O127">
        <v>45500</v>
      </c>
      <c r="P127">
        <v>2</v>
      </c>
      <c r="Q127">
        <v>0</v>
      </c>
      <c r="S127">
        <v>143790</v>
      </c>
      <c r="T127" t="s">
        <v>3388</v>
      </c>
      <c r="U127" t="s">
        <v>2835</v>
      </c>
      <c r="W127">
        <v>0</v>
      </c>
      <c r="X127">
        <v>91000</v>
      </c>
      <c r="Y127">
        <v>82727.272727272706</v>
      </c>
      <c r="Z127" s="26">
        <v>46058</v>
      </c>
    </row>
    <row r="128" spans="1:26" x14ac:dyDescent="0.3">
      <c r="A128" s="50">
        <v>46058.331863425927</v>
      </c>
      <c r="B128">
        <v>2.0260205075616399E+18</v>
      </c>
      <c r="C128" t="s">
        <v>3389</v>
      </c>
      <c r="D128" t="s">
        <v>3390</v>
      </c>
      <c r="E128" t="s">
        <v>3390</v>
      </c>
      <c r="F128" t="s">
        <v>3389</v>
      </c>
      <c r="G128" t="s">
        <v>3390</v>
      </c>
      <c r="H128" t="s">
        <v>3390</v>
      </c>
      <c r="I128">
        <v>21321</v>
      </c>
      <c r="J128" t="s">
        <v>3391</v>
      </c>
      <c r="K128" t="s">
        <v>3391</v>
      </c>
      <c r="L128" t="s">
        <v>2832</v>
      </c>
      <c r="M128" t="s">
        <v>2833</v>
      </c>
      <c r="N128">
        <v>54363</v>
      </c>
      <c r="O128">
        <v>45500</v>
      </c>
      <c r="P128">
        <v>1</v>
      </c>
      <c r="Q128">
        <v>0</v>
      </c>
      <c r="R128" t="s">
        <v>3392</v>
      </c>
      <c r="S128">
        <v>143790</v>
      </c>
      <c r="T128" t="s">
        <v>3393</v>
      </c>
      <c r="U128" t="s">
        <v>2835</v>
      </c>
      <c r="W128">
        <v>0</v>
      </c>
      <c r="X128">
        <v>45500</v>
      </c>
      <c r="Y128">
        <v>41363.636363636302</v>
      </c>
      <c r="Z128" s="26">
        <v>46058</v>
      </c>
    </row>
    <row r="129" spans="1:26" x14ac:dyDescent="0.3">
      <c r="A129" s="50">
        <v>46058.331793981481</v>
      </c>
      <c r="B129">
        <v>2.0260205075559199E+18</v>
      </c>
      <c r="C129" t="s">
        <v>3394</v>
      </c>
      <c r="D129" t="s">
        <v>3395</v>
      </c>
      <c r="E129" t="s">
        <v>3395</v>
      </c>
      <c r="F129" t="s">
        <v>3396</v>
      </c>
      <c r="G129" t="s">
        <v>3395</v>
      </c>
      <c r="H129" t="s">
        <v>3395</v>
      </c>
      <c r="I129">
        <v>3320</v>
      </c>
      <c r="J129" t="s">
        <v>3397</v>
      </c>
      <c r="K129" t="s">
        <v>3397</v>
      </c>
      <c r="L129" t="s">
        <v>2832</v>
      </c>
      <c r="M129" t="s">
        <v>2833</v>
      </c>
      <c r="N129">
        <v>54363</v>
      </c>
      <c r="O129">
        <v>45500</v>
      </c>
      <c r="P129">
        <v>1</v>
      </c>
      <c r="Q129">
        <v>0</v>
      </c>
      <c r="R129" t="s">
        <v>3398</v>
      </c>
      <c r="S129">
        <v>143790</v>
      </c>
      <c r="T129" t="s">
        <v>3399</v>
      </c>
      <c r="U129" t="s">
        <v>2835</v>
      </c>
      <c r="W129">
        <v>0</v>
      </c>
      <c r="X129">
        <v>45500</v>
      </c>
      <c r="Y129">
        <v>41363.636363636302</v>
      </c>
      <c r="Z129" s="26">
        <v>46058</v>
      </c>
    </row>
    <row r="130" spans="1:26" x14ac:dyDescent="0.3">
      <c r="A130" s="50">
        <v>46058.331724537027</v>
      </c>
      <c r="B130">
        <v>2.02602050757123E+18</v>
      </c>
      <c r="C130" t="s">
        <v>3400</v>
      </c>
      <c r="D130" t="s">
        <v>3401</v>
      </c>
      <c r="E130" t="s">
        <v>3401</v>
      </c>
      <c r="F130" t="s">
        <v>3400</v>
      </c>
      <c r="G130" t="s">
        <v>3401</v>
      </c>
      <c r="H130" t="s">
        <v>3401</v>
      </c>
      <c r="I130">
        <v>27502</v>
      </c>
      <c r="J130" t="s">
        <v>3402</v>
      </c>
      <c r="K130" t="s">
        <v>3402</v>
      </c>
      <c r="L130" t="s">
        <v>2832</v>
      </c>
      <c r="M130" t="s">
        <v>2833</v>
      </c>
      <c r="N130">
        <v>54363</v>
      </c>
      <c r="O130">
        <v>45500</v>
      </c>
      <c r="P130">
        <v>1</v>
      </c>
      <c r="Q130">
        <v>0</v>
      </c>
      <c r="S130">
        <v>143790</v>
      </c>
      <c r="T130" t="s">
        <v>3403</v>
      </c>
      <c r="U130" t="s">
        <v>2835</v>
      </c>
      <c r="W130">
        <v>0</v>
      </c>
      <c r="X130">
        <v>45500</v>
      </c>
      <c r="Y130">
        <v>41363.636363636302</v>
      </c>
      <c r="Z130" s="26">
        <v>46058</v>
      </c>
    </row>
    <row r="131" spans="1:26" x14ac:dyDescent="0.3">
      <c r="A131" s="50">
        <v>46058.331678240742</v>
      </c>
      <c r="B131">
        <v>2.02602050756355E+18</v>
      </c>
      <c r="C131" t="s">
        <v>3404</v>
      </c>
      <c r="D131" t="s">
        <v>3405</v>
      </c>
      <c r="E131" t="s">
        <v>3405</v>
      </c>
      <c r="F131" t="s">
        <v>3404</v>
      </c>
      <c r="G131" t="s">
        <v>3405</v>
      </c>
      <c r="H131" t="s">
        <v>3405</v>
      </c>
      <c r="I131">
        <v>31161</v>
      </c>
      <c r="J131" t="s">
        <v>3406</v>
      </c>
      <c r="K131" t="s">
        <v>3406</v>
      </c>
      <c r="L131" t="s">
        <v>2832</v>
      </c>
      <c r="M131" t="s">
        <v>2833</v>
      </c>
      <c r="N131">
        <v>54363</v>
      </c>
      <c r="O131">
        <v>45500</v>
      </c>
      <c r="P131">
        <v>1</v>
      </c>
      <c r="Q131">
        <v>0</v>
      </c>
      <c r="S131">
        <v>143790</v>
      </c>
      <c r="T131" t="s">
        <v>3407</v>
      </c>
      <c r="U131" t="s">
        <v>2835</v>
      </c>
      <c r="W131">
        <v>0</v>
      </c>
      <c r="X131">
        <v>45500</v>
      </c>
      <c r="Y131">
        <v>41363.636363636302</v>
      </c>
      <c r="Z131" s="26">
        <v>46058</v>
      </c>
    </row>
    <row r="132" spans="1:26" x14ac:dyDescent="0.3">
      <c r="A132" s="50">
        <v>46058.331643518519</v>
      </c>
      <c r="B132">
        <v>2.0260205075546701E+18</v>
      </c>
      <c r="C132" t="s">
        <v>3408</v>
      </c>
      <c r="D132" t="s">
        <v>3409</v>
      </c>
      <c r="E132" t="s">
        <v>3409</v>
      </c>
      <c r="F132" t="s">
        <v>3408</v>
      </c>
      <c r="G132" t="s">
        <v>3409</v>
      </c>
      <c r="H132" t="s">
        <v>3409</v>
      </c>
      <c r="I132">
        <v>13914</v>
      </c>
      <c r="J132" t="s">
        <v>3410</v>
      </c>
      <c r="K132" t="s">
        <v>3410</v>
      </c>
      <c r="L132" t="s">
        <v>2832</v>
      </c>
      <c r="M132" t="s">
        <v>2833</v>
      </c>
      <c r="N132">
        <v>54363</v>
      </c>
      <c r="O132">
        <v>45500</v>
      </c>
      <c r="P132">
        <v>1</v>
      </c>
      <c r="Q132">
        <v>0</v>
      </c>
      <c r="R132" t="s">
        <v>3411</v>
      </c>
      <c r="S132">
        <v>143790</v>
      </c>
      <c r="T132" t="s">
        <v>3412</v>
      </c>
      <c r="U132" t="s">
        <v>2835</v>
      </c>
      <c r="W132">
        <v>0</v>
      </c>
      <c r="X132">
        <v>45500</v>
      </c>
      <c r="Y132">
        <v>41363.636363636302</v>
      </c>
      <c r="Z132" s="26">
        <v>46058</v>
      </c>
    </row>
    <row r="133" spans="1:26" x14ac:dyDescent="0.3">
      <c r="A133" s="50">
        <v>46058.331574074073</v>
      </c>
      <c r="B133">
        <v>2.0260205075626199E+18</v>
      </c>
      <c r="C133" t="s">
        <v>3413</v>
      </c>
      <c r="D133" t="s">
        <v>3414</v>
      </c>
      <c r="E133" t="s">
        <v>3414</v>
      </c>
      <c r="F133" t="s">
        <v>3413</v>
      </c>
      <c r="G133" t="s">
        <v>3414</v>
      </c>
      <c r="H133" t="s">
        <v>3414</v>
      </c>
      <c r="I133">
        <v>14039</v>
      </c>
      <c r="J133" t="s">
        <v>3415</v>
      </c>
      <c r="K133" t="s">
        <v>3415</v>
      </c>
      <c r="L133" t="s">
        <v>2832</v>
      </c>
      <c r="M133" t="s">
        <v>2833</v>
      </c>
      <c r="N133">
        <v>54363</v>
      </c>
      <c r="O133">
        <v>45500</v>
      </c>
      <c r="P133">
        <v>1</v>
      </c>
      <c r="Q133">
        <v>0</v>
      </c>
      <c r="S133">
        <v>143790</v>
      </c>
      <c r="T133" t="s">
        <v>3416</v>
      </c>
      <c r="U133" t="s">
        <v>2835</v>
      </c>
      <c r="W133">
        <v>0</v>
      </c>
      <c r="X133">
        <v>45500</v>
      </c>
      <c r="Y133">
        <v>41363.636363636302</v>
      </c>
      <c r="Z133" s="26">
        <v>46058</v>
      </c>
    </row>
    <row r="134" spans="1:26" x14ac:dyDescent="0.3">
      <c r="A134" s="50">
        <v>46058.331562500003</v>
      </c>
      <c r="B134">
        <v>2.02602050755297E+18</v>
      </c>
      <c r="C134" t="s">
        <v>3417</v>
      </c>
      <c r="D134" t="s">
        <v>3418</v>
      </c>
      <c r="E134" t="s">
        <v>3418</v>
      </c>
      <c r="F134" t="s">
        <v>3417</v>
      </c>
      <c r="G134" t="s">
        <v>3418</v>
      </c>
      <c r="H134" t="s">
        <v>3418</v>
      </c>
      <c r="I134">
        <v>31564</v>
      </c>
      <c r="J134" t="s">
        <v>3419</v>
      </c>
      <c r="K134" t="s">
        <v>3419</v>
      </c>
      <c r="L134" t="s">
        <v>2832</v>
      </c>
      <c r="M134" t="s">
        <v>2833</v>
      </c>
      <c r="N134">
        <v>108726</v>
      </c>
      <c r="O134">
        <v>45500</v>
      </c>
      <c r="P134">
        <v>2</v>
      </c>
      <c r="Q134">
        <v>0</v>
      </c>
      <c r="S134">
        <v>143790</v>
      </c>
      <c r="T134" t="s">
        <v>3420</v>
      </c>
      <c r="U134" t="s">
        <v>2835</v>
      </c>
      <c r="W134">
        <v>0</v>
      </c>
      <c r="X134">
        <v>91000</v>
      </c>
      <c r="Y134">
        <v>82727.272727272706</v>
      </c>
      <c r="Z134" s="26">
        <v>46058</v>
      </c>
    </row>
    <row r="135" spans="1:26" x14ac:dyDescent="0.3">
      <c r="A135" s="50">
        <v>46058.331400462957</v>
      </c>
      <c r="B135">
        <v>2.0260205075556201E+18</v>
      </c>
      <c r="C135" t="s">
        <v>3421</v>
      </c>
      <c r="D135" t="s">
        <v>3422</v>
      </c>
      <c r="E135" t="s">
        <v>3422</v>
      </c>
      <c r="F135" t="s">
        <v>3421</v>
      </c>
      <c r="G135" t="s">
        <v>3422</v>
      </c>
      <c r="H135" t="s">
        <v>3422</v>
      </c>
      <c r="I135">
        <v>18237</v>
      </c>
      <c r="J135" t="s">
        <v>3423</v>
      </c>
      <c r="K135" t="s">
        <v>3423</v>
      </c>
      <c r="L135" t="s">
        <v>2832</v>
      </c>
      <c r="M135" t="s">
        <v>2833</v>
      </c>
      <c r="N135">
        <v>217452</v>
      </c>
      <c r="O135">
        <v>45500</v>
      </c>
      <c r="P135">
        <v>4</v>
      </c>
      <c r="Q135">
        <v>0</v>
      </c>
      <c r="S135">
        <v>143790</v>
      </c>
      <c r="T135" t="s">
        <v>3424</v>
      </c>
      <c r="U135" t="s">
        <v>2835</v>
      </c>
      <c r="W135">
        <v>0</v>
      </c>
      <c r="X135">
        <v>182000</v>
      </c>
      <c r="Y135">
        <v>165454.545454545</v>
      </c>
      <c r="Z135" s="26">
        <v>46058</v>
      </c>
    </row>
    <row r="136" spans="1:26" x14ac:dyDescent="0.3">
      <c r="A136" s="50">
        <v>46058.331319444442</v>
      </c>
      <c r="B136">
        <v>2.0260205075624399E+18</v>
      </c>
      <c r="C136" t="s">
        <v>3425</v>
      </c>
      <c r="D136" t="s">
        <v>3426</v>
      </c>
      <c r="E136" t="s">
        <v>3426</v>
      </c>
      <c r="F136" t="s">
        <v>3425</v>
      </c>
      <c r="G136" t="s">
        <v>3426</v>
      </c>
      <c r="H136" t="s">
        <v>3426</v>
      </c>
      <c r="I136">
        <v>13571</v>
      </c>
      <c r="J136" t="s">
        <v>3427</v>
      </c>
      <c r="K136" t="s">
        <v>3427</v>
      </c>
      <c r="L136" t="s">
        <v>2832</v>
      </c>
      <c r="M136" t="s">
        <v>2833</v>
      </c>
      <c r="N136">
        <v>163089</v>
      </c>
      <c r="O136">
        <v>45500</v>
      </c>
      <c r="P136">
        <v>3</v>
      </c>
      <c r="Q136">
        <v>0</v>
      </c>
      <c r="S136">
        <v>143790</v>
      </c>
      <c r="T136" t="s">
        <v>3428</v>
      </c>
      <c r="U136" t="s">
        <v>2835</v>
      </c>
      <c r="W136">
        <v>0</v>
      </c>
      <c r="X136">
        <v>136500</v>
      </c>
      <c r="Y136">
        <v>124090.909090909</v>
      </c>
      <c r="Z136" s="26">
        <v>46058</v>
      </c>
    </row>
    <row r="137" spans="1:26" x14ac:dyDescent="0.3">
      <c r="A137" s="50">
        <v>46058.331319444442</v>
      </c>
      <c r="B137">
        <v>2.02602050756339E+18</v>
      </c>
      <c r="C137" t="s">
        <v>3429</v>
      </c>
      <c r="D137" t="s">
        <v>3430</v>
      </c>
      <c r="E137" t="s">
        <v>3430</v>
      </c>
      <c r="F137" t="s">
        <v>3429</v>
      </c>
      <c r="G137" t="s">
        <v>3430</v>
      </c>
      <c r="H137" t="s">
        <v>3430</v>
      </c>
      <c r="I137">
        <v>16686</v>
      </c>
      <c r="J137" t="s">
        <v>3431</v>
      </c>
      <c r="K137" t="s">
        <v>3431</v>
      </c>
      <c r="L137" t="s">
        <v>2832</v>
      </c>
      <c r="M137" t="s">
        <v>2833</v>
      </c>
      <c r="N137">
        <v>54363</v>
      </c>
      <c r="O137">
        <v>45500</v>
      </c>
      <c r="P137">
        <v>1</v>
      </c>
      <c r="Q137">
        <v>0</v>
      </c>
      <c r="S137">
        <v>143790</v>
      </c>
      <c r="T137" t="s">
        <v>3432</v>
      </c>
      <c r="U137" t="s">
        <v>2835</v>
      </c>
      <c r="W137">
        <v>0</v>
      </c>
      <c r="X137">
        <v>45500</v>
      </c>
      <c r="Y137">
        <v>41363.636363636302</v>
      </c>
      <c r="Z137" s="26">
        <v>46058</v>
      </c>
    </row>
    <row r="138" spans="1:26" x14ac:dyDescent="0.3">
      <c r="A138" s="50">
        <v>46058.331273148149</v>
      </c>
      <c r="B138">
        <v>2.02602050756192E+18</v>
      </c>
      <c r="C138" t="s">
        <v>3433</v>
      </c>
      <c r="D138" t="s">
        <v>3434</v>
      </c>
      <c r="E138" t="s">
        <v>3434</v>
      </c>
      <c r="F138" t="s">
        <v>3433</v>
      </c>
      <c r="G138" t="s">
        <v>3434</v>
      </c>
      <c r="H138" t="s">
        <v>3434</v>
      </c>
      <c r="I138">
        <v>31528</v>
      </c>
      <c r="J138" t="s">
        <v>3435</v>
      </c>
      <c r="K138" t="s">
        <v>3435</v>
      </c>
      <c r="L138" t="s">
        <v>2832</v>
      </c>
      <c r="M138" t="s">
        <v>2833</v>
      </c>
      <c r="N138">
        <v>54363</v>
      </c>
      <c r="O138">
        <v>45500</v>
      </c>
      <c r="P138">
        <v>1</v>
      </c>
      <c r="Q138">
        <v>0</v>
      </c>
      <c r="S138">
        <v>143790</v>
      </c>
      <c r="T138" t="s">
        <v>3436</v>
      </c>
      <c r="U138" t="s">
        <v>2835</v>
      </c>
      <c r="W138">
        <v>0</v>
      </c>
      <c r="X138">
        <v>45500</v>
      </c>
      <c r="Y138">
        <v>41363.636363636302</v>
      </c>
      <c r="Z138" s="26">
        <v>46058</v>
      </c>
    </row>
    <row r="139" spans="1:26" x14ac:dyDescent="0.3">
      <c r="A139" s="50">
        <v>46058.33121527778</v>
      </c>
      <c r="B139">
        <v>2.0260205075522501E+18</v>
      </c>
      <c r="C139" t="s">
        <v>3437</v>
      </c>
      <c r="D139" t="s">
        <v>3438</v>
      </c>
      <c r="E139" t="s">
        <v>3438</v>
      </c>
      <c r="F139" t="s">
        <v>3437</v>
      </c>
      <c r="G139" t="s">
        <v>3438</v>
      </c>
      <c r="H139" t="s">
        <v>3438</v>
      </c>
      <c r="I139">
        <v>31165</v>
      </c>
      <c r="J139" t="s">
        <v>3439</v>
      </c>
      <c r="K139" t="s">
        <v>3439</v>
      </c>
      <c r="L139" t="s">
        <v>2832</v>
      </c>
      <c r="M139" t="s">
        <v>2833</v>
      </c>
      <c r="N139">
        <v>54363</v>
      </c>
      <c r="O139">
        <v>45500</v>
      </c>
      <c r="P139">
        <v>1</v>
      </c>
      <c r="Q139">
        <v>0</v>
      </c>
      <c r="S139">
        <v>143790</v>
      </c>
      <c r="T139" t="s">
        <v>3440</v>
      </c>
      <c r="U139" t="s">
        <v>2835</v>
      </c>
      <c r="W139">
        <v>0</v>
      </c>
      <c r="X139">
        <v>45500</v>
      </c>
      <c r="Y139">
        <v>41363.636363636302</v>
      </c>
      <c r="Z139" s="26">
        <v>46058</v>
      </c>
    </row>
    <row r="140" spans="1:26" x14ac:dyDescent="0.3">
      <c r="A140" s="50">
        <v>46058.331192129634</v>
      </c>
      <c r="B140">
        <v>2.02602050754302E+18</v>
      </c>
      <c r="C140" t="s">
        <v>3441</v>
      </c>
      <c r="D140" t="s">
        <v>3442</v>
      </c>
      <c r="E140" t="s">
        <v>3442</v>
      </c>
      <c r="F140" t="s">
        <v>3441</v>
      </c>
      <c r="G140" t="s">
        <v>3442</v>
      </c>
      <c r="H140" t="s">
        <v>3442</v>
      </c>
      <c r="I140">
        <v>34023</v>
      </c>
      <c r="J140" t="s">
        <v>3443</v>
      </c>
      <c r="K140" t="s">
        <v>3443</v>
      </c>
      <c r="L140" t="s">
        <v>2832</v>
      </c>
      <c r="M140" t="s">
        <v>2833</v>
      </c>
      <c r="N140">
        <v>54363</v>
      </c>
      <c r="O140">
        <v>45500</v>
      </c>
      <c r="P140">
        <v>1</v>
      </c>
      <c r="Q140">
        <v>0</v>
      </c>
      <c r="S140">
        <v>143790</v>
      </c>
      <c r="T140" t="s">
        <v>3444</v>
      </c>
      <c r="U140" t="s">
        <v>2835</v>
      </c>
      <c r="W140">
        <v>0</v>
      </c>
      <c r="X140">
        <v>45500</v>
      </c>
      <c r="Y140">
        <v>41363.636363636302</v>
      </c>
      <c r="Z140" s="26">
        <v>46058</v>
      </c>
    </row>
    <row r="141" spans="1:26" x14ac:dyDescent="0.3">
      <c r="A141" s="50">
        <v>46058.331134259257</v>
      </c>
      <c r="B141">
        <v>2.0260205075541901E+18</v>
      </c>
      <c r="C141" t="s">
        <v>3445</v>
      </c>
      <c r="D141" t="s">
        <v>3446</v>
      </c>
      <c r="E141" t="s">
        <v>3446</v>
      </c>
      <c r="F141" t="s">
        <v>3445</v>
      </c>
      <c r="G141" t="s">
        <v>3446</v>
      </c>
      <c r="H141" t="s">
        <v>3446</v>
      </c>
      <c r="I141">
        <v>46526</v>
      </c>
      <c r="J141" t="s">
        <v>3447</v>
      </c>
      <c r="K141" t="s">
        <v>3447</v>
      </c>
      <c r="L141" t="s">
        <v>2832</v>
      </c>
      <c r="M141" t="s">
        <v>2833</v>
      </c>
      <c r="N141">
        <v>54363</v>
      </c>
      <c r="O141">
        <v>45500</v>
      </c>
      <c r="P141">
        <v>1</v>
      </c>
      <c r="Q141">
        <v>0</v>
      </c>
      <c r="S141">
        <v>143790</v>
      </c>
      <c r="T141" t="s">
        <v>3448</v>
      </c>
      <c r="U141" t="s">
        <v>2835</v>
      </c>
      <c r="W141">
        <v>0</v>
      </c>
      <c r="X141">
        <v>45500</v>
      </c>
      <c r="Y141">
        <v>41363.636363636302</v>
      </c>
      <c r="Z141" s="26">
        <v>46058</v>
      </c>
    </row>
    <row r="142" spans="1:26" x14ac:dyDescent="0.3">
      <c r="A142" s="50">
        <v>46058.331122685187</v>
      </c>
      <c r="B142">
        <v>2.0260205075630999E+18</v>
      </c>
      <c r="C142" t="s">
        <v>3449</v>
      </c>
      <c r="D142" t="s">
        <v>3450</v>
      </c>
      <c r="E142" t="s">
        <v>3450</v>
      </c>
      <c r="F142" t="s">
        <v>3449</v>
      </c>
      <c r="G142" t="s">
        <v>3450</v>
      </c>
      <c r="H142" t="s">
        <v>3450</v>
      </c>
      <c r="I142">
        <v>7964</v>
      </c>
      <c r="J142" t="s">
        <v>3451</v>
      </c>
      <c r="K142" t="s">
        <v>3451</v>
      </c>
      <c r="L142" t="s">
        <v>2832</v>
      </c>
      <c r="M142" t="s">
        <v>2833</v>
      </c>
      <c r="N142">
        <v>54363</v>
      </c>
      <c r="O142">
        <v>45500</v>
      </c>
      <c r="P142">
        <v>1</v>
      </c>
      <c r="Q142">
        <v>0</v>
      </c>
      <c r="S142">
        <v>143790</v>
      </c>
      <c r="T142" t="s">
        <v>3452</v>
      </c>
      <c r="U142" t="s">
        <v>2835</v>
      </c>
      <c r="W142">
        <v>0</v>
      </c>
      <c r="X142">
        <v>45500</v>
      </c>
      <c r="Y142">
        <v>41363.636363636302</v>
      </c>
      <c r="Z142" s="26">
        <v>46058</v>
      </c>
    </row>
    <row r="143" spans="1:26" x14ac:dyDescent="0.3">
      <c r="A143" s="50">
        <v>46058.331111111111</v>
      </c>
      <c r="B143">
        <v>2.02602050755311E+18</v>
      </c>
      <c r="C143" t="s">
        <v>3453</v>
      </c>
      <c r="D143" t="s">
        <v>3454</v>
      </c>
      <c r="E143" t="s">
        <v>3454</v>
      </c>
      <c r="F143" t="s">
        <v>3453</v>
      </c>
      <c r="G143" t="s">
        <v>3454</v>
      </c>
      <c r="H143" t="s">
        <v>3454</v>
      </c>
      <c r="I143">
        <v>16916</v>
      </c>
      <c r="J143" t="s">
        <v>3455</v>
      </c>
      <c r="K143" t="s">
        <v>3455</v>
      </c>
      <c r="L143" t="s">
        <v>2832</v>
      </c>
      <c r="M143" t="s">
        <v>2833</v>
      </c>
      <c r="N143">
        <v>54363</v>
      </c>
      <c r="O143">
        <v>45500</v>
      </c>
      <c r="P143">
        <v>1</v>
      </c>
      <c r="Q143">
        <v>0</v>
      </c>
      <c r="S143">
        <v>143790</v>
      </c>
      <c r="T143" t="s">
        <v>3456</v>
      </c>
      <c r="U143" t="s">
        <v>2835</v>
      </c>
      <c r="W143">
        <v>0</v>
      </c>
      <c r="X143">
        <v>45500</v>
      </c>
      <c r="Y143">
        <v>41363.636363636302</v>
      </c>
      <c r="Z143" s="26">
        <v>46058</v>
      </c>
    </row>
    <row r="144" spans="1:26" x14ac:dyDescent="0.3">
      <c r="A144" s="50">
        <v>46058.331087962957</v>
      </c>
      <c r="B144">
        <v>2.0260205075451899E+18</v>
      </c>
      <c r="C144" t="s">
        <v>3457</v>
      </c>
      <c r="D144" t="s">
        <v>3458</v>
      </c>
      <c r="E144" t="s">
        <v>3458</v>
      </c>
      <c r="F144" t="s">
        <v>3457</v>
      </c>
      <c r="G144" t="s">
        <v>3458</v>
      </c>
      <c r="H144" t="s">
        <v>3458</v>
      </c>
      <c r="I144">
        <v>48075</v>
      </c>
      <c r="J144" t="s">
        <v>3459</v>
      </c>
      <c r="K144" t="s">
        <v>3459</v>
      </c>
      <c r="L144" t="s">
        <v>2832</v>
      </c>
      <c r="M144" t="s">
        <v>2833</v>
      </c>
      <c r="N144">
        <v>54363</v>
      </c>
      <c r="O144">
        <v>45500</v>
      </c>
      <c r="P144">
        <v>1</v>
      </c>
      <c r="Q144">
        <v>0</v>
      </c>
      <c r="S144">
        <v>143790</v>
      </c>
      <c r="T144" t="s">
        <v>3460</v>
      </c>
      <c r="U144" t="s">
        <v>2835</v>
      </c>
      <c r="W144">
        <v>0</v>
      </c>
      <c r="X144">
        <v>45500</v>
      </c>
      <c r="Y144">
        <v>41363.636363636302</v>
      </c>
      <c r="Z144" s="26">
        <v>46058</v>
      </c>
    </row>
    <row r="145" spans="1:26" x14ac:dyDescent="0.3">
      <c r="A145" s="50">
        <v>46058.331053240741</v>
      </c>
      <c r="B145">
        <v>2.02602050755535E+18</v>
      </c>
      <c r="C145" t="s">
        <v>3461</v>
      </c>
      <c r="D145" t="s">
        <v>3462</v>
      </c>
      <c r="E145" t="s">
        <v>3462</v>
      </c>
      <c r="F145" t="s">
        <v>3461</v>
      </c>
      <c r="G145" t="s">
        <v>3462</v>
      </c>
      <c r="H145" t="s">
        <v>3462</v>
      </c>
      <c r="I145">
        <v>6025</v>
      </c>
      <c r="J145" t="s">
        <v>3463</v>
      </c>
      <c r="K145" t="s">
        <v>3463</v>
      </c>
      <c r="L145" t="s">
        <v>2832</v>
      </c>
      <c r="M145" t="s">
        <v>2833</v>
      </c>
      <c r="N145">
        <v>108726</v>
      </c>
      <c r="O145">
        <v>45500</v>
      </c>
      <c r="P145">
        <v>2</v>
      </c>
      <c r="Q145">
        <v>0</v>
      </c>
      <c r="S145">
        <v>143790</v>
      </c>
      <c r="T145" t="s">
        <v>3464</v>
      </c>
      <c r="U145" t="s">
        <v>2835</v>
      </c>
      <c r="W145">
        <v>0</v>
      </c>
      <c r="X145">
        <v>91000</v>
      </c>
      <c r="Y145">
        <v>82727.272727272706</v>
      </c>
      <c r="Z145" s="26">
        <v>46058</v>
      </c>
    </row>
    <row r="146" spans="1:26" x14ac:dyDescent="0.3">
      <c r="A146" s="50">
        <v>46058.330347222232</v>
      </c>
      <c r="B146">
        <v>2.0260205075420301E+18</v>
      </c>
      <c r="C146" t="s">
        <v>3465</v>
      </c>
      <c r="D146" t="s">
        <v>3466</v>
      </c>
      <c r="E146" t="s">
        <v>3466</v>
      </c>
      <c r="F146" t="s">
        <v>3465</v>
      </c>
      <c r="G146" t="s">
        <v>3466</v>
      </c>
      <c r="H146" t="s">
        <v>3466</v>
      </c>
      <c r="I146">
        <v>5507</v>
      </c>
      <c r="J146" t="s">
        <v>3467</v>
      </c>
      <c r="K146" t="s">
        <v>3467</v>
      </c>
      <c r="L146" t="s">
        <v>2832</v>
      </c>
      <c r="M146" t="s">
        <v>2833</v>
      </c>
      <c r="N146">
        <v>54363</v>
      </c>
      <c r="O146">
        <v>45500</v>
      </c>
      <c r="P146">
        <v>1</v>
      </c>
      <c r="Q146">
        <v>0</v>
      </c>
      <c r="S146">
        <v>143790</v>
      </c>
      <c r="T146" t="s">
        <v>3468</v>
      </c>
      <c r="U146" t="s">
        <v>2835</v>
      </c>
      <c r="W146">
        <v>0</v>
      </c>
      <c r="X146">
        <v>45500</v>
      </c>
      <c r="Y146">
        <v>41363.636363636302</v>
      </c>
      <c r="Z146" s="26">
        <v>46058</v>
      </c>
    </row>
    <row r="147" spans="1:26" x14ac:dyDescent="0.3">
      <c r="A147" s="50">
        <v>46058.330254629633</v>
      </c>
      <c r="B147">
        <v>2.02602050755038E+18</v>
      </c>
      <c r="C147" t="s">
        <v>3469</v>
      </c>
      <c r="D147" t="s">
        <v>3470</v>
      </c>
      <c r="E147" t="s">
        <v>3470</v>
      </c>
      <c r="F147" t="s">
        <v>3469</v>
      </c>
      <c r="G147" t="s">
        <v>3470</v>
      </c>
      <c r="H147" t="s">
        <v>3470</v>
      </c>
      <c r="I147">
        <v>36633</v>
      </c>
      <c r="J147" t="s">
        <v>3471</v>
      </c>
      <c r="K147" t="s">
        <v>3471</v>
      </c>
      <c r="L147" t="s">
        <v>2832</v>
      </c>
      <c r="M147" t="s">
        <v>2833</v>
      </c>
      <c r="N147">
        <v>54363</v>
      </c>
      <c r="O147">
        <v>45500</v>
      </c>
      <c r="P147">
        <v>1</v>
      </c>
      <c r="Q147">
        <v>0</v>
      </c>
      <c r="S147">
        <v>143790</v>
      </c>
      <c r="T147" t="s">
        <v>3472</v>
      </c>
      <c r="U147" t="s">
        <v>2835</v>
      </c>
      <c r="W147">
        <v>0</v>
      </c>
      <c r="X147">
        <v>45500</v>
      </c>
      <c r="Y147">
        <v>41363.636363636302</v>
      </c>
      <c r="Z147" s="26">
        <v>46058</v>
      </c>
    </row>
    <row r="148" spans="1:26" x14ac:dyDescent="0.3">
      <c r="A148" s="50">
        <v>46058.329976851863</v>
      </c>
      <c r="B148">
        <v>2.02602050754528E+18</v>
      </c>
      <c r="C148" t="s">
        <v>3473</v>
      </c>
      <c r="D148" t="s">
        <v>3474</v>
      </c>
      <c r="E148" t="s">
        <v>3474</v>
      </c>
      <c r="F148" t="s">
        <v>3473</v>
      </c>
      <c r="G148" t="s">
        <v>3474</v>
      </c>
      <c r="H148" t="s">
        <v>3474</v>
      </c>
      <c r="I148">
        <v>4315</v>
      </c>
      <c r="J148" t="s">
        <v>3475</v>
      </c>
      <c r="K148" t="s">
        <v>3475</v>
      </c>
      <c r="L148" t="s">
        <v>2832</v>
      </c>
      <c r="M148" t="s">
        <v>2833</v>
      </c>
      <c r="N148">
        <v>54363</v>
      </c>
      <c r="O148">
        <v>45500</v>
      </c>
      <c r="P148">
        <v>1</v>
      </c>
      <c r="Q148">
        <v>0</v>
      </c>
      <c r="S148">
        <v>143790</v>
      </c>
      <c r="T148" t="s">
        <v>3476</v>
      </c>
      <c r="U148" t="s">
        <v>2835</v>
      </c>
      <c r="W148">
        <v>0</v>
      </c>
      <c r="X148">
        <v>45500</v>
      </c>
      <c r="Y148">
        <v>41363.636363636302</v>
      </c>
      <c r="Z148" s="26">
        <v>46058</v>
      </c>
    </row>
    <row r="149" spans="1:26" x14ac:dyDescent="0.3">
      <c r="A149" s="50">
        <v>46058.329872685194</v>
      </c>
      <c r="B149">
        <v>2.0260205075422001E+18</v>
      </c>
      <c r="C149" t="s">
        <v>3477</v>
      </c>
      <c r="D149" t="s">
        <v>3478</v>
      </c>
      <c r="E149" t="s">
        <v>3478</v>
      </c>
      <c r="F149" t="s">
        <v>3477</v>
      </c>
      <c r="G149" t="s">
        <v>3478</v>
      </c>
      <c r="H149" t="s">
        <v>3478</v>
      </c>
      <c r="I149">
        <v>22868</v>
      </c>
      <c r="J149" t="s">
        <v>3479</v>
      </c>
      <c r="K149" t="s">
        <v>3479</v>
      </c>
      <c r="L149" t="s">
        <v>2832</v>
      </c>
      <c r="M149" t="s">
        <v>2833</v>
      </c>
      <c r="N149">
        <v>54363</v>
      </c>
      <c r="O149">
        <v>45500</v>
      </c>
      <c r="P149">
        <v>1</v>
      </c>
      <c r="Q149">
        <v>0</v>
      </c>
      <c r="S149">
        <v>143790</v>
      </c>
      <c r="T149" t="s">
        <v>3480</v>
      </c>
      <c r="U149" t="s">
        <v>2835</v>
      </c>
      <c r="W149">
        <v>0</v>
      </c>
      <c r="X149">
        <v>45500</v>
      </c>
      <c r="Y149">
        <v>41363.636363636302</v>
      </c>
      <c r="Z149" s="26">
        <v>46058</v>
      </c>
    </row>
    <row r="150" spans="1:26" x14ac:dyDescent="0.3">
      <c r="A150" s="50">
        <v>46058.329618055563</v>
      </c>
      <c r="B150">
        <v>2.02602050754016E+18</v>
      </c>
      <c r="C150" t="s">
        <v>3481</v>
      </c>
      <c r="D150" t="s">
        <v>3482</v>
      </c>
      <c r="E150" t="s">
        <v>3482</v>
      </c>
      <c r="F150" t="s">
        <v>3481</v>
      </c>
      <c r="G150" t="s">
        <v>3482</v>
      </c>
      <c r="H150" t="s">
        <v>3482</v>
      </c>
      <c r="I150">
        <v>47234</v>
      </c>
      <c r="J150" t="s">
        <v>3483</v>
      </c>
      <c r="K150" t="s">
        <v>3483</v>
      </c>
      <c r="L150" t="s">
        <v>2832</v>
      </c>
      <c r="M150" t="s">
        <v>2833</v>
      </c>
      <c r="N150">
        <v>54363</v>
      </c>
      <c r="O150">
        <v>45500</v>
      </c>
      <c r="P150">
        <v>1</v>
      </c>
      <c r="Q150">
        <v>0</v>
      </c>
      <c r="S150">
        <v>143790</v>
      </c>
      <c r="T150" t="s">
        <v>3484</v>
      </c>
      <c r="U150" t="s">
        <v>2835</v>
      </c>
      <c r="W150">
        <v>0</v>
      </c>
      <c r="X150">
        <v>45500</v>
      </c>
      <c r="Y150">
        <v>41363.636363636302</v>
      </c>
      <c r="Z150" s="26">
        <v>46058</v>
      </c>
    </row>
    <row r="151" spans="1:26" x14ac:dyDescent="0.3">
      <c r="A151" s="50">
        <v>46058.329594907409</v>
      </c>
      <c r="B151">
        <v>2.02602050754159E+18</v>
      </c>
      <c r="C151" t="s">
        <v>3485</v>
      </c>
      <c r="D151" t="s">
        <v>3486</v>
      </c>
      <c r="E151" t="s">
        <v>3486</v>
      </c>
      <c r="F151" t="s">
        <v>3485</v>
      </c>
      <c r="G151" t="s">
        <v>3486</v>
      </c>
      <c r="H151" t="s">
        <v>3486</v>
      </c>
      <c r="I151">
        <v>47894</v>
      </c>
      <c r="J151" t="s">
        <v>3487</v>
      </c>
      <c r="K151" t="s">
        <v>3487</v>
      </c>
      <c r="L151" t="s">
        <v>2832</v>
      </c>
      <c r="M151" t="s">
        <v>2833</v>
      </c>
      <c r="N151">
        <v>54363</v>
      </c>
      <c r="O151">
        <v>45500</v>
      </c>
      <c r="P151">
        <v>1</v>
      </c>
      <c r="Q151">
        <v>0</v>
      </c>
      <c r="S151">
        <v>143790</v>
      </c>
      <c r="T151" t="s">
        <v>3488</v>
      </c>
      <c r="U151" t="s">
        <v>2835</v>
      </c>
      <c r="W151">
        <v>0</v>
      </c>
      <c r="X151">
        <v>45500</v>
      </c>
      <c r="Y151">
        <v>41363.636363636302</v>
      </c>
      <c r="Z151" s="26">
        <v>46058</v>
      </c>
    </row>
    <row r="152" spans="1:26" x14ac:dyDescent="0.3">
      <c r="A152" s="50">
        <v>46058.325914351852</v>
      </c>
      <c r="B152">
        <v>2.0260205074431401E+18</v>
      </c>
      <c r="C152" t="s">
        <v>3489</v>
      </c>
      <c r="D152" t="s">
        <v>3490</v>
      </c>
      <c r="E152" t="s">
        <v>3490</v>
      </c>
      <c r="F152" t="s">
        <v>3489</v>
      </c>
      <c r="G152" t="s">
        <v>3491</v>
      </c>
      <c r="H152" t="s">
        <v>3491</v>
      </c>
      <c r="I152">
        <v>44641</v>
      </c>
      <c r="J152" t="s">
        <v>3492</v>
      </c>
      <c r="K152" t="s">
        <v>3492</v>
      </c>
      <c r="L152" t="s">
        <v>2832</v>
      </c>
      <c r="M152" t="s">
        <v>2833</v>
      </c>
      <c r="N152">
        <v>54363</v>
      </c>
      <c r="O152">
        <v>45500</v>
      </c>
      <c r="P152">
        <v>1</v>
      </c>
      <c r="Q152">
        <v>0</v>
      </c>
      <c r="R152" t="s">
        <v>3075</v>
      </c>
      <c r="S152">
        <v>143790</v>
      </c>
      <c r="T152" t="s">
        <v>3493</v>
      </c>
      <c r="U152" t="s">
        <v>2835</v>
      </c>
      <c r="W152">
        <v>0</v>
      </c>
      <c r="X152">
        <v>45500</v>
      </c>
      <c r="Y152">
        <v>41363.636363636302</v>
      </c>
      <c r="Z152" s="26">
        <v>46058</v>
      </c>
    </row>
    <row r="153" spans="1:26" x14ac:dyDescent="0.3">
      <c r="A153" s="50">
        <v>46058.321817129632</v>
      </c>
      <c r="B153">
        <v>2.02602050740414E+18</v>
      </c>
      <c r="C153" t="s">
        <v>3494</v>
      </c>
      <c r="D153" t="s">
        <v>3495</v>
      </c>
      <c r="E153" t="s">
        <v>3495</v>
      </c>
      <c r="F153" t="s">
        <v>3494</v>
      </c>
      <c r="G153" t="s">
        <v>3495</v>
      </c>
      <c r="H153" t="s">
        <v>3495</v>
      </c>
      <c r="I153">
        <v>21378</v>
      </c>
      <c r="J153" t="s">
        <v>3496</v>
      </c>
      <c r="K153" t="s">
        <v>3496</v>
      </c>
      <c r="L153" t="s">
        <v>2832</v>
      </c>
      <c r="M153" t="s">
        <v>2833</v>
      </c>
      <c r="N153">
        <v>54363</v>
      </c>
      <c r="O153">
        <v>45500</v>
      </c>
      <c r="P153">
        <v>1</v>
      </c>
      <c r="Q153">
        <v>0</v>
      </c>
      <c r="S153">
        <v>143790</v>
      </c>
      <c r="T153" t="s">
        <v>3497</v>
      </c>
      <c r="U153" t="s">
        <v>2835</v>
      </c>
      <c r="W153">
        <v>0</v>
      </c>
      <c r="X153">
        <v>45500</v>
      </c>
      <c r="Y153">
        <v>41363.636363636302</v>
      </c>
      <c r="Z153" s="26">
        <v>46058</v>
      </c>
    </row>
    <row r="154" spans="1:26" x14ac:dyDescent="0.3">
      <c r="A154" s="50">
        <v>46058.311562499999</v>
      </c>
      <c r="B154">
        <v>2.0260205072802199E+18</v>
      </c>
      <c r="C154" t="s">
        <v>3498</v>
      </c>
      <c r="D154" t="s">
        <v>3499</v>
      </c>
      <c r="E154" t="s">
        <v>3499</v>
      </c>
      <c r="F154" t="s">
        <v>3498</v>
      </c>
      <c r="G154" t="s">
        <v>3499</v>
      </c>
      <c r="H154" t="s">
        <v>3499</v>
      </c>
      <c r="I154">
        <v>63142</v>
      </c>
      <c r="J154" t="s">
        <v>3500</v>
      </c>
      <c r="K154" t="s">
        <v>3500</v>
      </c>
      <c r="L154" t="s">
        <v>2832</v>
      </c>
      <c r="M154" t="s">
        <v>2833</v>
      </c>
      <c r="N154">
        <v>54363</v>
      </c>
      <c r="O154">
        <v>45500</v>
      </c>
      <c r="P154">
        <v>1</v>
      </c>
      <c r="Q154">
        <v>0</v>
      </c>
      <c r="S154">
        <v>143790</v>
      </c>
      <c r="T154" t="s">
        <v>3501</v>
      </c>
      <c r="U154" t="s">
        <v>2835</v>
      </c>
      <c r="W154">
        <v>0</v>
      </c>
      <c r="X154">
        <v>45500</v>
      </c>
      <c r="Y154">
        <v>41363.636363636302</v>
      </c>
      <c r="Z154" s="26">
        <v>46058</v>
      </c>
    </row>
    <row r="155" spans="1:26" x14ac:dyDescent="0.3">
      <c r="A155" s="50">
        <v>46058.310219907413</v>
      </c>
      <c r="B155">
        <v>2.02602050723347E+18</v>
      </c>
      <c r="C155" t="s">
        <v>3502</v>
      </c>
      <c r="D155" t="s">
        <v>3503</v>
      </c>
      <c r="E155" t="s">
        <v>3503</v>
      </c>
      <c r="F155" t="s">
        <v>3504</v>
      </c>
      <c r="G155" t="s">
        <v>3505</v>
      </c>
      <c r="H155" t="s">
        <v>3505</v>
      </c>
      <c r="I155">
        <v>54619</v>
      </c>
      <c r="J155" t="s">
        <v>3506</v>
      </c>
      <c r="K155" t="s">
        <v>3506</v>
      </c>
      <c r="L155" t="s">
        <v>2832</v>
      </c>
      <c r="M155" t="s">
        <v>2833</v>
      </c>
      <c r="N155">
        <v>54363</v>
      </c>
      <c r="O155">
        <v>45500</v>
      </c>
      <c r="P155">
        <v>1</v>
      </c>
      <c r="Q155">
        <v>0</v>
      </c>
      <c r="S155">
        <v>143790</v>
      </c>
      <c r="T155" t="s">
        <v>3507</v>
      </c>
      <c r="U155" t="s">
        <v>2835</v>
      </c>
      <c r="W155">
        <v>0</v>
      </c>
      <c r="X155">
        <v>45500</v>
      </c>
      <c r="Y155">
        <v>41363.636363636302</v>
      </c>
      <c r="Z155" s="26">
        <v>46058</v>
      </c>
    </row>
    <row r="156" spans="1:26" x14ac:dyDescent="0.3">
      <c r="A156" s="50">
        <v>46058.308020833327</v>
      </c>
      <c r="B156">
        <v>2.0260205072136E+18</v>
      </c>
      <c r="C156" t="s">
        <v>3508</v>
      </c>
      <c r="D156" t="s">
        <v>3509</v>
      </c>
      <c r="E156" t="s">
        <v>3509</v>
      </c>
      <c r="F156" t="s">
        <v>3508</v>
      </c>
      <c r="G156" t="s">
        <v>3509</v>
      </c>
      <c r="H156" t="s">
        <v>3509</v>
      </c>
      <c r="I156">
        <v>15010</v>
      </c>
      <c r="J156" t="s">
        <v>3510</v>
      </c>
      <c r="K156" t="s">
        <v>3510</v>
      </c>
      <c r="L156" t="s">
        <v>2832</v>
      </c>
      <c r="M156" t="s">
        <v>2833</v>
      </c>
      <c r="N156">
        <v>54363</v>
      </c>
      <c r="O156">
        <v>45500</v>
      </c>
      <c r="P156">
        <v>1</v>
      </c>
      <c r="Q156">
        <v>0</v>
      </c>
      <c r="S156">
        <v>143790</v>
      </c>
      <c r="T156" t="s">
        <v>3511</v>
      </c>
      <c r="U156" t="s">
        <v>2835</v>
      </c>
      <c r="W156">
        <v>0</v>
      </c>
      <c r="X156">
        <v>45500</v>
      </c>
      <c r="Y156">
        <v>41363.636363636302</v>
      </c>
      <c r="Z156" s="26">
        <v>46058</v>
      </c>
    </row>
    <row r="157" spans="1:26" x14ac:dyDescent="0.3">
      <c r="A157" s="50">
        <v>46058.307835648149</v>
      </c>
      <c r="B157">
        <v>2.02602050720286E+18</v>
      </c>
      <c r="C157" t="s">
        <v>3512</v>
      </c>
      <c r="D157" t="s">
        <v>3513</v>
      </c>
      <c r="E157" t="s">
        <v>3513</v>
      </c>
      <c r="F157" t="s">
        <v>3512</v>
      </c>
      <c r="G157" t="s">
        <v>3513</v>
      </c>
      <c r="H157" t="s">
        <v>3513</v>
      </c>
      <c r="I157">
        <v>48751</v>
      </c>
      <c r="J157" t="s">
        <v>3514</v>
      </c>
      <c r="K157" t="s">
        <v>3514</v>
      </c>
      <c r="L157" t="s">
        <v>2832</v>
      </c>
      <c r="M157" t="s">
        <v>2833</v>
      </c>
      <c r="N157">
        <v>54363</v>
      </c>
      <c r="O157">
        <v>45500</v>
      </c>
      <c r="P157">
        <v>1</v>
      </c>
      <c r="Q157">
        <v>0</v>
      </c>
      <c r="S157">
        <v>143790</v>
      </c>
      <c r="T157" t="s">
        <v>3515</v>
      </c>
      <c r="U157" t="s">
        <v>2835</v>
      </c>
      <c r="W157">
        <v>0</v>
      </c>
      <c r="X157">
        <v>45500</v>
      </c>
      <c r="Y157">
        <v>41363.636363636302</v>
      </c>
      <c r="Z157" s="26">
        <v>46058</v>
      </c>
    </row>
    <row r="158" spans="1:26" x14ac:dyDescent="0.3">
      <c r="A158" s="50">
        <v>46058.30636574074</v>
      </c>
      <c r="B158">
        <v>2.0260205072022001E+18</v>
      </c>
      <c r="C158" t="s">
        <v>3516</v>
      </c>
      <c r="D158" t="s">
        <v>3517</v>
      </c>
      <c r="E158" t="s">
        <v>3517</v>
      </c>
      <c r="F158" t="s">
        <v>3516</v>
      </c>
      <c r="G158" t="s">
        <v>3517</v>
      </c>
      <c r="H158" t="s">
        <v>3517</v>
      </c>
      <c r="I158">
        <v>12746</v>
      </c>
      <c r="J158" t="s">
        <v>3518</v>
      </c>
      <c r="K158" t="s">
        <v>3518</v>
      </c>
      <c r="L158" t="s">
        <v>2832</v>
      </c>
      <c r="M158" t="s">
        <v>2833</v>
      </c>
      <c r="N158">
        <v>54363</v>
      </c>
      <c r="O158">
        <v>45500</v>
      </c>
      <c r="P158">
        <v>1</v>
      </c>
      <c r="Q158">
        <v>0</v>
      </c>
      <c r="S158">
        <v>143790</v>
      </c>
      <c r="T158" t="s">
        <v>3519</v>
      </c>
      <c r="U158" t="s">
        <v>2835</v>
      </c>
      <c r="W158">
        <v>0</v>
      </c>
      <c r="X158">
        <v>45500</v>
      </c>
      <c r="Y158">
        <v>41363.636363636302</v>
      </c>
      <c r="Z158" s="26">
        <v>46058</v>
      </c>
    </row>
    <row r="159" spans="1:26" x14ac:dyDescent="0.3">
      <c r="A159" s="50">
        <v>46058.305347222216</v>
      </c>
      <c r="B159">
        <v>2.0260205071842099E+18</v>
      </c>
      <c r="C159" t="s">
        <v>3520</v>
      </c>
      <c r="D159" t="s">
        <v>3521</v>
      </c>
      <c r="E159" t="s">
        <v>3521</v>
      </c>
      <c r="F159" t="s">
        <v>3520</v>
      </c>
      <c r="G159" t="s">
        <v>3521</v>
      </c>
      <c r="H159" t="s">
        <v>3521</v>
      </c>
      <c r="I159">
        <v>10121</v>
      </c>
      <c r="J159" t="s">
        <v>3522</v>
      </c>
      <c r="K159" t="s">
        <v>3522</v>
      </c>
      <c r="L159" t="s">
        <v>2832</v>
      </c>
      <c r="M159" t="s">
        <v>2833</v>
      </c>
      <c r="N159">
        <v>54363</v>
      </c>
      <c r="O159">
        <v>45500</v>
      </c>
      <c r="P159">
        <v>1</v>
      </c>
      <c r="Q159">
        <v>0</v>
      </c>
      <c r="S159">
        <v>143790</v>
      </c>
      <c r="T159" t="s">
        <v>3523</v>
      </c>
      <c r="U159" t="s">
        <v>2835</v>
      </c>
      <c r="W159">
        <v>0</v>
      </c>
      <c r="X159">
        <v>45500</v>
      </c>
      <c r="Y159">
        <v>41363.636363636302</v>
      </c>
      <c r="Z159" s="26">
        <v>46058</v>
      </c>
    </row>
    <row r="160" spans="1:26" x14ac:dyDescent="0.3">
      <c r="A160" s="50">
        <v>46058.304745370369</v>
      </c>
      <c r="B160">
        <v>2.0260205071725299E+18</v>
      </c>
      <c r="C160" t="s">
        <v>3524</v>
      </c>
      <c r="D160" t="s">
        <v>3525</v>
      </c>
      <c r="E160" t="s">
        <v>3525</v>
      </c>
      <c r="F160" t="s">
        <v>3524</v>
      </c>
      <c r="G160" t="s">
        <v>3525</v>
      </c>
      <c r="H160" t="s">
        <v>3525</v>
      </c>
      <c r="I160">
        <v>37624</v>
      </c>
      <c r="J160" t="s">
        <v>3526</v>
      </c>
      <c r="K160" t="s">
        <v>3526</v>
      </c>
      <c r="L160" t="s">
        <v>2832</v>
      </c>
      <c r="M160" t="s">
        <v>2833</v>
      </c>
      <c r="N160">
        <v>54363</v>
      </c>
      <c r="O160">
        <v>45500</v>
      </c>
      <c r="P160">
        <v>1</v>
      </c>
      <c r="Q160">
        <v>0</v>
      </c>
      <c r="S160">
        <v>143790</v>
      </c>
      <c r="T160" t="s">
        <v>3527</v>
      </c>
      <c r="U160" t="s">
        <v>2835</v>
      </c>
      <c r="W160">
        <v>0</v>
      </c>
      <c r="X160">
        <v>45500</v>
      </c>
      <c r="Y160">
        <v>41363.636363636302</v>
      </c>
      <c r="Z160" s="26">
        <v>46058</v>
      </c>
    </row>
    <row r="161" spans="1:26" x14ac:dyDescent="0.3">
      <c r="A161" s="50">
        <v>46058.303946759261</v>
      </c>
      <c r="B161">
        <v>2.0260205071656901E+18</v>
      </c>
      <c r="C161" t="s">
        <v>3317</v>
      </c>
      <c r="D161" t="s">
        <v>3528</v>
      </c>
      <c r="E161" t="s">
        <v>3528</v>
      </c>
      <c r="F161" t="s">
        <v>3317</v>
      </c>
      <c r="G161" t="s">
        <v>3528</v>
      </c>
      <c r="H161" t="s">
        <v>3528</v>
      </c>
      <c r="I161">
        <v>36849</v>
      </c>
      <c r="J161" t="s">
        <v>3529</v>
      </c>
      <c r="K161" t="s">
        <v>3529</v>
      </c>
      <c r="L161" t="s">
        <v>2832</v>
      </c>
      <c r="M161" t="s">
        <v>2833</v>
      </c>
      <c r="N161">
        <v>54363</v>
      </c>
      <c r="O161">
        <v>45500</v>
      </c>
      <c r="P161">
        <v>1</v>
      </c>
      <c r="Q161">
        <v>0</v>
      </c>
      <c r="S161">
        <v>143790</v>
      </c>
      <c r="T161" t="s">
        <v>3530</v>
      </c>
      <c r="U161" t="s">
        <v>2835</v>
      </c>
      <c r="W161">
        <v>0</v>
      </c>
      <c r="X161">
        <v>45500</v>
      </c>
      <c r="Y161">
        <v>41363.636363636302</v>
      </c>
      <c r="Z161" s="26">
        <v>46058</v>
      </c>
    </row>
    <row r="162" spans="1:26" x14ac:dyDescent="0.3">
      <c r="A162" s="50">
        <v>46058.303831018522</v>
      </c>
      <c r="B162">
        <v>2.02602050715567E+18</v>
      </c>
      <c r="C162" t="s">
        <v>3531</v>
      </c>
      <c r="D162" t="s">
        <v>3532</v>
      </c>
      <c r="E162" t="s">
        <v>3532</v>
      </c>
      <c r="F162" t="s">
        <v>3533</v>
      </c>
      <c r="G162" t="s">
        <v>3534</v>
      </c>
      <c r="H162" t="s">
        <v>3534</v>
      </c>
      <c r="I162">
        <v>57629</v>
      </c>
      <c r="J162" t="s">
        <v>3535</v>
      </c>
      <c r="K162" t="s">
        <v>3535</v>
      </c>
      <c r="L162" t="s">
        <v>2832</v>
      </c>
      <c r="M162" t="s">
        <v>2833</v>
      </c>
      <c r="N162">
        <v>108726</v>
      </c>
      <c r="O162">
        <v>45500</v>
      </c>
      <c r="P162">
        <v>2</v>
      </c>
      <c r="Q162">
        <v>0</v>
      </c>
      <c r="S162">
        <v>143790</v>
      </c>
      <c r="T162" t="s">
        <v>3536</v>
      </c>
      <c r="U162" t="s">
        <v>2835</v>
      </c>
      <c r="W162">
        <v>0</v>
      </c>
      <c r="X162">
        <v>91000</v>
      </c>
      <c r="Y162">
        <v>82727.272727272706</v>
      </c>
      <c r="Z162" s="26">
        <v>46058</v>
      </c>
    </row>
    <row r="163" spans="1:26" x14ac:dyDescent="0.3">
      <c r="A163" s="50">
        <v>46058.301666666674</v>
      </c>
      <c r="B163">
        <v>2.0260205065123899E+18</v>
      </c>
      <c r="C163" t="s">
        <v>3537</v>
      </c>
      <c r="D163" t="s">
        <v>3538</v>
      </c>
      <c r="E163" t="s">
        <v>3538</v>
      </c>
      <c r="F163" t="s">
        <v>3537</v>
      </c>
      <c r="G163" t="s">
        <v>3538</v>
      </c>
      <c r="H163" t="s">
        <v>3538</v>
      </c>
      <c r="I163">
        <v>6598</v>
      </c>
      <c r="J163" t="s">
        <v>3539</v>
      </c>
      <c r="K163" t="s">
        <v>3539</v>
      </c>
      <c r="L163" t="s">
        <v>2832</v>
      </c>
      <c r="M163" t="s">
        <v>2833</v>
      </c>
      <c r="N163">
        <v>54363</v>
      </c>
      <c r="O163">
        <v>45500</v>
      </c>
      <c r="P163">
        <v>1</v>
      </c>
      <c r="Q163">
        <v>0</v>
      </c>
      <c r="S163">
        <v>143790</v>
      </c>
      <c r="T163" t="s">
        <v>3540</v>
      </c>
      <c r="U163" t="s">
        <v>2835</v>
      </c>
      <c r="W163">
        <v>0</v>
      </c>
      <c r="X163">
        <v>45500</v>
      </c>
      <c r="Y163">
        <v>41363.636363636302</v>
      </c>
      <c r="Z163" s="26">
        <v>46058</v>
      </c>
    </row>
    <row r="164" spans="1:26" x14ac:dyDescent="0.3">
      <c r="A164" s="50">
        <v>46058.30096064815</v>
      </c>
      <c r="B164">
        <v>2.02602050712496E+18</v>
      </c>
      <c r="C164" t="s">
        <v>3541</v>
      </c>
      <c r="D164" t="s">
        <v>3542</v>
      </c>
      <c r="E164" t="s">
        <v>3542</v>
      </c>
      <c r="F164" t="s">
        <v>3541</v>
      </c>
      <c r="G164" t="s">
        <v>3542</v>
      </c>
      <c r="H164" t="s">
        <v>3542</v>
      </c>
      <c r="I164">
        <v>10412</v>
      </c>
      <c r="J164" t="s">
        <v>3543</v>
      </c>
      <c r="K164" t="s">
        <v>3543</v>
      </c>
      <c r="L164" t="s">
        <v>2832</v>
      </c>
      <c r="M164" t="s">
        <v>2833</v>
      </c>
      <c r="N164">
        <v>54363</v>
      </c>
      <c r="O164">
        <v>45500</v>
      </c>
      <c r="P164">
        <v>1</v>
      </c>
      <c r="Q164">
        <v>0</v>
      </c>
      <c r="S164">
        <v>143790</v>
      </c>
      <c r="T164" t="s">
        <v>3544</v>
      </c>
      <c r="U164" t="s">
        <v>2835</v>
      </c>
      <c r="W164">
        <v>0</v>
      </c>
      <c r="X164">
        <v>45500</v>
      </c>
      <c r="Y164">
        <v>41363.636363636302</v>
      </c>
      <c r="Z164" s="26">
        <v>46058</v>
      </c>
    </row>
    <row r="165" spans="1:26" x14ac:dyDescent="0.3">
      <c r="A165" s="50">
        <v>46058.300474537027</v>
      </c>
      <c r="B165">
        <v>2.0260205071102999E+18</v>
      </c>
      <c r="C165" t="s">
        <v>3545</v>
      </c>
      <c r="D165" t="s">
        <v>3546</v>
      </c>
      <c r="E165" t="s">
        <v>3546</v>
      </c>
      <c r="F165" t="s">
        <v>3545</v>
      </c>
      <c r="G165" t="s">
        <v>3546</v>
      </c>
      <c r="H165" t="s">
        <v>3546</v>
      </c>
      <c r="I165">
        <v>57985</v>
      </c>
      <c r="J165" t="s">
        <v>3547</v>
      </c>
      <c r="K165" t="s">
        <v>3547</v>
      </c>
      <c r="L165" t="s">
        <v>2832</v>
      </c>
      <c r="M165" t="s">
        <v>2833</v>
      </c>
      <c r="N165">
        <v>108726</v>
      </c>
      <c r="O165">
        <v>45500</v>
      </c>
      <c r="P165">
        <v>2</v>
      </c>
      <c r="Q165">
        <v>0</v>
      </c>
      <c r="R165" t="s">
        <v>3548</v>
      </c>
      <c r="S165">
        <v>143790</v>
      </c>
      <c r="T165" t="s">
        <v>3549</v>
      </c>
      <c r="U165" t="s">
        <v>2835</v>
      </c>
      <c r="W165">
        <v>0</v>
      </c>
      <c r="X165">
        <v>91000</v>
      </c>
      <c r="Y165">
        <v>82727.272727272706</v>
      </c>
      <c r="Z165" s="26">
        <v>46058</v>
      </c>
    </row>
    <row r="166" spans="1:26" x14ac:dyDescent="0.3">
      <c r="A166" s="50">
        <v>46058.300428240742</v>
      </c>
      <c r="B166">
        <v>2.0260205071043999E+18</v>
      </c>
      <c r="C166" t="s">
        <v>3550</v>
      </c>
      <c r="D166" t="s">
        <v>3551</v>
      </c>
      <c r="E166" t="s">
        <v>3551</v>
      </c>
      <c r="F166" t="s">
        <v>3550</v>
      </c>
      <c r="G166" t="s">
        <v>3551</v>
      </c>
      <c r="H166" t="s">
        <v>3551</v>
      </c>
      <c r="I166">
        <v>16823</v>
      </c>
      <c r="J166" t="s">
        <v>3552</v>
      </c>
      <c r="K166" t="s">
        <v>3552</v>
      </c>
      <c r="L166" t="s">
        <v>2832</v>
      </c>
      <c r="M166" t="s">
        <v>2833</v>
      </c>
      <c r="N166">
        <v>54363</v>
      </c>
      <c r="O166">
        <v>45500</v>
      </c>
      <c r="P166">
        <v>1</v>
      </c>
      <c r="Q166">
        <v>0</v>
      </c>
      <c r="S166">
        <v>143790</v>
      </c>
      <c r="T166" t="s">
        <v>3553</v>
      </c>
      <c r="U166" t="s">
        <v>2835</v>
      </c>
      <c r="W166">
        <v>0</v>
      </c>
      <c r="X166">
        <v>45500</v>
      </c>
      <c r="Y166">
        <v>41363.636363636302</v>
      </c>
      <c r="Z166" s="26">
        <v>46058</v>
      </c>
    </row>
    <row r="167" spans="1:26" x14ac:dyDescent="0.3">
      <c r="A167" s="50">
        <v>46058.297766203701</v>
      </c>
      <c r="B167">
        <v>2.02602050707395E+18</v>
      </c>
      <c r="C167" t="s">
        <v>3554</v>
      </c>
      <c r="D167" t="s">
        <v>3555</v>
      </c>
      <c r="E167" t="s">
        <v>3555</v>
      </c>
      <c r="F167" t="s">
        <v>3554</v>
      </c>
      <c r="G167" t="s">
        <v>3555</v>
      </c>
      <c r="H167" t="s">
        <v>3555</v>
      </c>
      <c r="I167">
        <v>13646</v>
      </c>
      <c r="J167" t="s">
        <v>3556</v>
      </c>
      <c r="K167" t="s">
        <v>3556</v>
      </c>
      <c r="L167" t="s">
        <v>2832</v>
      </c>
      <c r="M167" t="s">
        <v>2833</v>
      </c>
      <c r="N167">
        <v>217452</v>
      </c>
      <c r="O167">
        <v>45500</v>
      </c>
      <c r="P167">
        <v>4</v>
      </c>
      <c r="Q167">
        <v>0</v>
      </c>
      <c r="S167">
        <v>143790</v>
      </c>
      <c r="T167" t="s">
        <v>3557</v>
      </c>
      <c r="U167" t="s">
        <v>2835</v>
      </c>
      <c r="W167">
        <v>0</v>
      </c>
      <c r="X167">
        <v>182000</v>
      </c>
      <c r="Y167">
        <v>165454.545454545</v>
      </c>
      <c r="Z167" s="26">
        <v>46058</v>
      </c>
    </row>
    <row r="168" spans="1:26" x14ac:dyDescent="0.3">
      <c r="A168" s="50">
        <v>46058.297673611109</v>
      </c>
      <c r="B168">
        <v>2.0260205070643699E+18</v>
      </c>
      <c r="C168" t="s">
        <v>3558</v>
      </c>
      <c r="D168" t="s">
        <v>3559</v>
      </c>
      <c r="E168" t="s">
        <v>3559</v>
      </c>
      <c r="F168" t="s">
        <v>3558</v>
      </c>
      <c r="G168" t="s">
        <v>3559</v>
      </c>
      <c r="H168" t="s">
        <v>3559</v>
      </c>
      <c r="I168">
        <v>59723</v>
      </c>
      <c r="J168" t="s">
        <v>3560</v>
      </c>
      <c r="K168" t="s">
        <v>3560</v>
      </c>
      <c r="L168" t="s">
        <v>2832</v>
      </c>
      <c r="M168" t="s">
        <v>2833</v>
      </c>
      <c r="N168">
        <v>54363</v>
      </c>
      <c r="O168">
        <v>45500</v>
      </c>
      <c r="P168">
        <v>1</v>
      </c>
      <c r="Q168">
        <v>0</v>
      </c>
      <c r="S168">
        <v>143790</v>
      </c>
      <c r="T168" t="s">
        <v>3561</v>
      </c>
      <c r="U168" t="s">
        <v>2835</v>
      </c>
      <c r="W168">
        <v>0</v>
      </c>
      <c r="X168">
        <v>45500</v>
      </c>
      <c r="Y168">
        <v>41363.636363636302</v>
      </c>
      <c r="Z168" s="26">
        <v>46058</v>
      </c>
    </row>
    <row r="169" spans="1:26" x14ac:dyDescent="0.3">
      <c r="A169" s="50">
        <v>46058.296481481477</v>
      </c>
      <c r="B169">
        <v>2.02602050704543E+18</v>
      </c>
      <c r="C169" t="s">
        <v>3562</v>
      </c>
      <c r="D169" t="s">
        <v>3563</v>
      </c>
      <c r="E169" t="s">
        <v>3563</v>
      </c>
      <c r="F169" t="s">
        <v>3562</v>
      </c>
      <c r="G169" t="s">
        <v>3564</v>
      </c>
      <c r="H169" t="s">
        <v>3564</v>
      </c>
      <c r="I169">
        <v>15803</v>
      </c>
      <c r="J169" t="s">
        <v>3565</v>
      </c>
      <c r="K169" t="s">
        <v>3565</v>
      </c>
      <c r="L169" t="s">
        <v>2832</v>
      </c>
      <c r="M169" t="s">
        <v>2833</v>
      </c>
      <c r="N169">
        <v>54363</v>
      </c>
      <c r="O169">
        <v>45500</v>
      </c>
      <c r="P169">
        <v>1</v>
      </c>
      <c r="Q169">
        <v>0</v>
      </c>
      <c r="S169">
        <v>143790</v>
      </c>
      <c r="T169" t="s">
        <v>3566</v>
      </c>
      <c r="U169" t="s">
        <v>2835</v>
      </c>
      <c r="W169">
        <v>0</v>
      </c>
      <c r="X169">
        <v>45500</v>
      </c>
      <c r="Y169">
        <v>41363.636363636302</v>
      </c>
      <c r="Z169" s="26">
        <v>46058</v>
      </c>
    </row>
    <row r="170" spans="1:26" x14ac:dyDescent="0.3">
      <c r="A170" s="50">
        <v>46058.296388888892</v>
      </c>
      <c r="B170">
        <v>2.0260205070533E+18</v>
      </c>
      <c r="C170" t="s">
        <v>3567</v>
      </c>
      <c r="D170" t="s">
        <v>3568</v>
      </c>
      <c r="E170" t="s">
        <v>3568</v>
      </c>
      <c r="F170" t="s">
        <v>3567</v>
      </c>
      <c r="G170" t="s">
        <v>3568</v>
      </c>
      <c r="H170" t="s">
        <v>3568</v>
      </c>
      <c r="I170">
        <v>10905</v>
      </c>
      <c r="J170" t="s">
        <v>3569</v>
      </c>
      <c r="K170" t="s">
        <v>3569</v>
      </c>
      <c r="L170" t="s">
        <v>2832</v>
      </c>
      <c r="M170" t="s">
        <v>2833</v>
      </c>
      <c r="N170">
        <v>54363</v>
      </c>
      <c r="O170">
        <v>45500</v>
      </c>
      <c r="P170">
        <v>1</v>
      </c>
      <c r="Q170">
        <v>0</v>
      </c>
      <c r="S170">
        <v>143790</v>
      </c>
      <c r="T170" t="s">
        <v>3570</v>
      </c>
      <c r="U170" t="s">
        <v>2835</v>
      </c>
      <c r="W170">
        <v>0</v>
      </c>
      <c r="X170">
        <v>45500</v>
      </c>
      <c r="Y170">
        <v>41363.636363636302</v>
      </c>
      <c r="Z170" s="26">
        <v>46058</v>
      </c>
    </row>
    <row r="171" spans="1:26" x14ac:dyDescent="0.3">
      <c r="A171" s="50">
        <v>46058.29478009259</v>
      </c>
      <c r="B171">
        <v>2.02602050703264E+18</v>
      </c>
      <c r="C171" t="s">
        <v>3571</v>
      </c>
      <c r="D171" t="s">
        <v>3572</v>
      </c>
      <c r="E171" t="s">
        <v>3572</v>
      </c>
      <c r="F171" t="s">
        <v>3571</v>
      </c>
      <c r="G171" t="s">
        <v>3572</v>
      </c>
      <c r="H171" t="s">
        <v>3572</v>
      </c>
      <c r="I171">
        <v>24877</v>
      </c>
      <c r="J171" t="s">
        <v>3573</v>
      </c>
      <c r="K171" t="s">
        <v>3573</v>
      </c>
      <c r="L171" t="s">
        <v>2832</v>
      </c>
      <c r="M171" t="s">
        <v>2833</v>
      </c>
      <c r="N171">
        <v>54363</v>
      </c>
      <c r="O171">
        <v>45500</v>
      </c>
      <c r="P171">
        <v>1</v>
      </c>
      <c r="Q171">
        <v>0</v>
      </c>
      <c r="S171">
        <v>143790</v>
      </c>
      <c r="T171" t="s">
        <v>3574</v>
      </c>
      <c r="U171" t="s">
        <v>2835</v>
      </c>
      <c r="W171">
        <v>0</v>
      </c>
      <c r="X171">
        <v>45500</v>
      </c>
      <c r="Y171">
        <v>41363.636363636302</v>
      </c>
      <c r="Z171" s="26">
        <v>46058</v>
      </c>
    </row>
    <row r="172" spans="1:26" x14ac:dyDescent="0.3">
      <c r="A172" s="50">
        <v>46058.294571759259</v>
      </c>
      <c r="B172">
        <v>2.0260205070247199E+18</v>
      </c>
      <c r="C172" t="s">
        <v>3575</v>
      </c>
      <c r="D172" t="s">
        <v>3576</v>
      </c>
      <c r="E172" t="s">
        <v>3576</v>
      </c>
      <c r="F172" t="s">
        <v>3575</v>
      </c>
      <c r="G172" t="s">
        <v>3576</v>
      </c>
      <c r="H172" t="s">
        <v>3576</v>
      </c>
      <c r="I172">
        <v>16709</v>
      </c>
      <c r="J172" t="s">
        <v>3577</v>
      </c>
      <c r="K172" t="s">
        <v>3577</v>
      </c>
      <c r="L172" t="s">
        <v>2832</v>
      </c>
      <c r="M172" t="s">
        <v>2833</v>
      </c>
      <c r="N172">
        <v>54363</v>
      </c>
      <c r="O172">
        <v>45500</v>
      </c>
      <c r="P172">
        <v>1</v>
      </c>
      <c r="Q172">
        <v>0</v>
      </c>
      <c r="S172">
        <v>143790</v>
      </c>
      <c r="T172" t="s">
        <v>3578</v>
      </c>
      <c r="U172" t="s">
        <v>2835</v>
      </c>
      <c r="W172">
        <v>0</v>
      </c>
      <c r="X172">
        <v>45500</v>
      </c>
      <c r="Y172">
        <v>41363.636363636302</v>
      </c>
      <c r="Z172" s="26">
        <v>46058</v>
      </c>
    </row>
    <row r="173" spans="1:26" x14ac:dyDescent="0.3">
      <c r="A173" s="50">
        <v>46058.292488425926</v>
      </c>
      <c r="B173">
        <v>2.0260205065809999E+18</v>
      </c>
      <c r="C173" t="s">
        <v>3579</v>
      </c>
      <c r="D173" t="s">
        <v>3580</v>
      </c>
      <c r="E173" t="s">
        <v>3580</v>
      </c>
      <c r="F173" t="s">
        <v>3579</v>
      </c>
      <c r="G173" t="s">
        <v>3580</v>
      </c>
      <c r="H173" t="s">
        <v>3580</v>
      </c>
      <c r="I173">
        <v>7336</v>
      </c>
      <c r="J173" t="s">
        <v>3581</v>
      </c>
      <c r="K173" t="s">
        <v>3581</v>
      </c>
      <c r="L173" t="s">
        <v>2832</v>
      </c>
      <c r="M173" t="s">
        <v>2833</v>
      </c>
      <c r="N173">
        <v>54363</v>
      </c>
      <c r="O173">
        <v>45500</v>
      </c>
      <c r="P173">
        <v>1</v>
      </c>
      <c r="Q173">
        <v>0</v>
      </c>
      <c r="R173" t="s">
        <v>3582</v>
      </c>
      <c r="S173">
        <v>143790</v>
      </c>
      <c r="T173" t="s">
        <v>3583</v>
      </c>
      <c r="U173" t="s">
        <v>2835</v>
      </c>
      <c r="W173">
        <v>0</v>
      </c>
      <c r="X173">
        <v>45500</v>
      </c>
      <c r="Y173">
        <v>41363.636363636302</v>
      </c>
      <c r="Z173" s="26">
        <v>46058</v>
      </c>
    </row>
    <row r="174" spans="1:26" x14ac:dyDescent="0.3">
      <c r="A174" s="50">
        <v>46058.291990740741</v>
      </c>
      <c r="B174">
        <v>2.02602050657472E+18</v>
      </c>
      <c r="C174" t="s">
        <v>3584</v>
      </c>
      <c r="D174" t="s">
        <v>3585</v>
      </c>
      <c r="E174" t="s">
        <v>3585</v>
      </c>
      <c r="F174" t="s">
        <v>3584</v>
      </c>
      <c r="G174" t="s">
        <v>3585</v>
      </c>
      <c r="H174" t="s">
        <v>3585</v>
      </c>
      <c r="I174">
        <v>5649</v>
      </c>
      <c r="J174" t="s">
        <v>3586</v>
      </c>
      <c r="K174" t="s">
        <v>3586</v>
      </c>
      <c r="L174" t="s">
        <v>2832</v>
      </c>
      <c r="M174" t="s">
        <v>2833</v>
      </c>
      <c r="N174">
        <v>54363</v>
      </c>
      <c r="O174">
        <v>45500</v>
      </c>
      <c r="P174">
        <v>1</v>
      </c>
      <c r="Q174">
        <v>0</v>
      </c>
      <c r="S174">
        <v>143790</v>
      </c>
      <c r="T174" t="s">
        <v>3587</v>
      </c>
      <c r="U174" t="s">
        <v>2835</v>
      </c>
      <c r="W174">
        <v>0</v>
      </c>
      <c r="X174">
        <v>45500</v>
      </c>
      <c r="Y174">
        <v>41363.636363636302</v>
      </c>
      <c r="Z174" s="26">
        <v>46058</v>
      </c>
    </row>
    <row r="175" spans="1:26" x14ac:dyDescent="0.3">
      <c r="A175" s="50">
        <v>46058.291527777779</v>
      </c>
      <c r="B175">
        <v>2.0260205065653901E+18</v>
      </c>
      <c r="C175" t="s">
        <v>3588</v>
      </c>
      <c r="D175" t="s">
        <v>3589</v>
      </c>
      <c r="E175" t="s">
        <v>3589</v>
      </c>
      <c r="F175" t="s">
        <v>3588</v>
      </c>
      <c r="G175" t="s">
        <v>3589</v>
      </c>
      <c r="H175" t="s">
        <v>3589</v>
      </c>
      <c r="I175">
        <v>16684</v>
      </c>
      <c r="J175" t="s">
        <v>3590</v>
      </c>
      <c r="K175" t="s">
        <v>3590</v>
      </c>
      <c r="L175" t="s">
        <v>2832</v>
      </c>
      <c r="M175" t="s">
        <v>2833</v>
      </c>
      <c r="N175">
        <v>54363</v>
      </c>
      <c r="O175">
        <v>45500</v>
      </c>
      <c r="P175">
        <v>1</v>
      </c>
      <c r="Q175">
        <v>0</v>
      </c>
      <c r="R175" t="s">
        <v>3591</v>
      </c>
      <c r="S175">
        <v>143790</v>
      </c>
      <c r="T175" t="s">
        <v>3592</v>
      </c>
      <c r="U175" t="s">
        <v>2835</v>
      </c>
      <c r="W175">
        <v>0</v>
      </c>
      <c r="X175">
        <v>45500</v>
      </c>
      <c r="Y175">
        <v>41363.636363636302</v>
      </c>
      <c r="Z175" s="26">
        <v>46058</v>
      </c>
    </row>
    <row r="176" spans="1:26" x14ac:dyDescent="0.3">
      <c r="A176" s="50">
        <v>46058.291504629633</v>
      </c>
      <c r="B176">
        <v>2.02602050657533E+18</v>
      </c>
      <c r="C176" t="s">
        <v>3593</v>
      </c>
      <c r="D176" t="s">
        <v>3594</v>
      </c>
      <c r="E176" t="s">
        <v>3594</v>
      </c>
      <c r="F176" t="s">
        <v>3593</v>
      </c>
      <c r="G176" t="s">
        <v>3594</v>
      </c>
      <c r="H176" t="s">
        <v>3594</v>
      </c>
      <c r="I176">
        <v>31179</v>
      </c>
      <c r="J176" t="s">
        <v>3595</v>
      </c>
      <c r="K176" t="s">
        <v>3595</v>
      </c>
      <c r="L176" t="s">
        <v>2832</v>
      </c>
      <c r="M176" t="s">
        <v>2833</v>
      </c>
      <c r="N176">
        <v>54363</v>
      </c>
      <c r="O176">
        <v>45500</v>
      </c>
      <c r="P176">
        <v>1</v>
      </c>
      <c r="Q176">
        <v>0</v>
      </c>
      <c r="S176">
        <v>143790</v>
      </c>
      <c r="T176" t="s">
        <v>3596</v>
      </c>
      <c r="U176" t="s">
        <v>2835</v>
      </c>
      <c r="W176">
        <v>0</v>
      </c>
      <c r="X176">
        <v>45500</v>
      </c>
      <c r="Y176">
        <v>41363.636363636302</v>
      </c>
      <c r="Z176" s="26">
        <v>46058</v>
      </c>
    </row>
    <row r="177" spans="1:26" x14ac:dyDescent="0.3">
      <c r="A177" s="50">
        <v>46058.289710648147</v>
      </c>
      <c r="B177">
        <v>2.02602050651059E+18</v>
      </c>
      <c r="C177" t="s">
        <v>3597</v>
      </c>
      <c r="D177" t="s">
        <v>3598</v>
      </c>
      <c r="E177" t="s">
        <v>3598</v>
      </c>
      <c r="F177" t="s">
        <v>3597</v>
      </c>
      <c r="G177" t="s">
        <v>3598</v>
      </c>
      <c r="H177" t="s">
        <v>3598</v>
      </c>
      <c r="I177">
        <v>5118</v>
      </c>
      <c r="J177" t="s">
        <v>3599</v>
      </c>
      <c r="K177" t="s">
        <v>3599</v>
      </c>
      <c r="L177" t="s">
        <v>2832</v>
      </c>
      <c r="M177" t="s">
        <v>2833</v>
      </c>
      <c r="N177">
        <v>54363</v>
      </c>
      <c r="O177">
        <v>45500</v>
      </c>
      <c r="P177">
        <v>1</v>
      </c>
      <c r="Q177">
        <v>0</v>
      </c>
      <c r="R177" t="s">
        <v>3600</v>
      </c>
      <c r="S177">
        <v>143790</v>
      </c>
      <c r="T177" t="s">
        <v>3601</v>
      </c>
      <c r="U177" t="s">
        <v>2835</v>
      </c>
      <c r="W177">
        <v>0</v>
      </c>
      <c r="X177">
        <v>45500</v>
      </c>
      <c r="Y177">
        <v>41363.636363636302</v>
      </c>
      <c r="Z177" s="26">
        <v>46058</v>
      </c>
    </row>
    <row r="178" spans="1:26" x14ac:dyDescent="0.3">
      <c r="A178" s="50">
        <v>46058.288726851853</v>
      </c>
      <c r="B178">
        <v>2.0260205065440599E+18</v>
      </c>
      <c r="C178" t="s">
        <v>3602</v>
      </c>
      <c r="D178" t="s">
        <v>3603</v>
      </c>
      <c r="E178" t="s">
        <v>3603</v>
      </c>
      <c r="F178" t="s">
        <v>3602</v>
      </c>
      <c r="G178" t="s">
        <v>3603</v>
      </c>
      <c r="H178" t="s">
        <v>3603</v>
      </c>
      <c r="I178">
        <v>5023</v>
      </c>
      <c r="J178" t="s">
        <v>3604</v>
      </c>
      <c r="K178" t="s">
        <v>3604</v>
      </c>
      <c r="L178" t="s">
        <v>2832</v>
      </c>
      <c r="M178" t="s">
        <v>2833</v>
      </c>
      <c r="N178">
        <v>108726</v>
      </c>
      <c r="O178">
        <v>45500</v>
      </c>
      <c r="P178">
        <v>2</v>
      </c>
      <c r="Q178">
        <v>0</v>
      </c>
      <c r="S178">
        <v>143790</v>
      </c>
      <c r="T178" t="s">
        <v>3605</v>
      </c>
      <c r="U178" t="s">
        <v>2835</v>
      </c>
      <c r="W178">
        <v>0</v>
      </c>
      <c r="X178">
        <v>91000</v>
      </c>
      <c r="Y178">
        <v>82727.272727272706</v>
      </c>
      <c r="Z178" s="26">
        <v>46058</v>
      </c>
    </row>
    <row r="179" spans="1:26" x14ac:dyDescent="0.3">
      <c r="A179" s="50">
        <v>46058.288101851853</v>
      </c>
      <c r="B179">
        <v>2.02602050653072E+18</v>
      </c>
      <c r="C179" t="s">
        <v>3606</v>
      </c>
      <c r="D179" t="s">
        <v>3607</v>
      </c>
      <c r="E179" t="s">
        <v>3607</v>
      </c>
      <c r="F179" t="s">
        <v>3606</v>
      </c>
      <c r="G179" t="s">
        <v>3608</v>
      </c>
      <c r="H179" t="s">
        <v>3608</v>
      </c>
      <c r="I179">
        <v>10496</v>
      </c>
      <c r="J179" t="s">
        <v>3609</v>
      </c>
      <c r="K179" t="s">
        <v>3609</v>
      </c>
      <c r="L179" t="s">
        <v>2832</v>
      </c>
      <c r="M179" t="s">
        <v>2833</v>
      </c>
      <c r="N179">
        <v>54363</v>
      </c>
      <c r="O179">
        <v>45500</v>
      </c>
      <c r="P179">
        <v>1</v>
      </c>
      <c r="Q179">
        <v>0</v>
      </c>
      <c r="S179">
        <v>143790</v>
      </c>
      <c r="T179" t="s">
        <v>3610</v>
      </c>
      <c r="U179" t="s">
        <v>2835</v>
      </c>
      <c r="W179">
        <v>0</v>
      </c>
      <c r="X179">
        <v>45500</v>
      </c>
      <c r="Y179">
        <v>41363.636363636302</v>
      </c>
      <c r="Z179" s="26">
        <v>46058</v>
      </c>
    </row>
    <row r="180" spans="1:26" x14ac:dyDescent="0.3">
      <c r="A180" s="50">
        <v>46058.287824074083</v>
      </c>
      <c r="B180">
        <v>2.02602050653523E+18</v>
      </c>
      <c r="C180" t="s">
        <v>3611</v>
      </c>
      <c r="D180" t="s">
        <v>3612</v>
      </c>
      <c r="E180" t="s">
        <v>3612</v>
      </c>
      <c r="F180" t="s">
        <v>3611</v>
      </c>
      <c r="G180" t="s">
        <v>3612</v>
      </c>
      <c r="H180" t="s">
        <v>3612</v>
      </c>
      <c r="I180">
        <v>14061</v>
      </c>
      <c r="J180" t="s">
        <v>3613</v>
      </c>
      <c r="K180" t="s">
        <v>3613</v>
      </c>
      <c r="L180" t="s">
        <v>2832</v>
      </c>
      <c r="M180" t="s">
        <v>2833</v>
      </c>
      <c r="N180">
        <v>54363</v>
      </c>
      <c r="O180">
        <v>45500</v>
      </c>
      <c r="P180">
        <v>1</v>
      </c>
      <c r="Q180">
        <v>0</v>
      </c>
      <c r="S180">
        <v>143790</v>
      </c>
      <c r="T180" t="s">
        <v>3614</v>
      </c>
      <c r="U180" t="s">
        <v>2835</v>
      </c>
      <c r="W180">
        <v>0</v>
      </c>
      <c r="X180">
        <v>45500</v>
      </c>
      <c r="Y180">
        <v>41363.636363636302</v>
      </c>
      <c r="Z180" s="26">
        <v>46058</v>
      </c>
    </row>
    <row r="181" spans="1:26" x14ac:dyDescent="0.3">
      <c r="A181" s="50">
        <v>46058.287418981483</v>
      </c>
      <c r="B181">
        <v>2.0260205065255401E+18</v>
      </c>
      <c r="C181" t="s">
        <v>3615</v>
      </c>
      <c r="D181" t="s">
        <v>3616</v>
      </c>
      <c r="E181" t="s">
        <v>3616</v>
      </c>
      <c r="F181" t="s">
        <v>3615</v>
      </c>
      <c r="G181" t="s">
        <v>3616</v>
      </c>
      <c r="H181" t="s">
        <v>3616</v>
      </c>
      <c r="I181">
        <v>3784</v>
      </c>
      <c r="J181" t="s">
        <v>3617</v>
      </c>
      <c r="K181" t="s">
        <v>3617</v>
      </c>
      <c r="L181" t="s">
        <v>2832</v>
      </c>
      <c r="M181" t="s">
        <v>2833</v>
      </c>
      <c r="N181">
        <v>54363</v>
      </c>
      <c r="O181">
        <v>45500</v>
      </c>
      <c r="P181">
        <v>1</v>
      </c>
      <c r="Q181">
        <v>0</v>
      </c>
      <c r="S181">
        <v>143790</v>
      </c>
      <c r="T181" t="s">
        <v>3618</v>
      </c>
      <c r="U181" t="s">
        <v>2835</v>
      </c>
      <c r="W181">
        <v>0</v>
      </c>
      <c r="X181">
        <v>45500</v>
      </c>
      <c r="Y181">
        <v>41363.636363636302</v>
      </c>
      <c r="Z181" s="26">
        <v>46058</v>
      </c>
    </row>
    <row r="182" spans="1:26" x14ac:dyDescent="0.3">
      <c r="A182" s="50">
        <v>46058.287060185183</v>
      </c>
      <c r="B182">
        <v>2.0260205065217101E+18</v>
      </c>
      <c r="C182" t="s">
        <v>3619</v>
      </c>
      <c r="D182" t="s">
        <v>3620</v>
      </c>
      <c r="E182" t="s">
        <v>3620</v>
      </c>
      <c r="F182" t="s">
        <v>3619</v>
      </c>
      <c r="G182" t="s">
        <v>3620</v>
      </c>
      <c r="H182" t="s">
        <v>3620</v>
      </c>
      <c r="I182">
        <v>10416</v>
      </c>
      <c r="J182" t="s">
        <v>3621</v>
      </c>
      <c r="K182" t="s">
        <v>3621</v>
      </c>
      <c r="L182" t="s">
        <v>2832</v>
      </c>
      <c r="M182" t="s">
        <v>2833</v>
      </c>
      <c r="N182">
        <v>54363</v>
      </c>
      <c r="O182">
        <v>45500</v>
      </c>
      <c r="P182">
        <v>1</v>
      </c>
      <c r="Q182">
        <v>0</v>
      </c>
      <c r="S182">
        <v>143790</v>
      </c>
      <c r="T182" t="s">
        <v>3622</v>
      </c>
      <c r="U182" t="s">
        <v>2835</v>
      </c>
      <c r="W182">
        <v>0</v>
      </c>
      <c r="X182">
        <v>45500</v>
      </c>
      <c r="Y182">
        <v>41363.636363636302</v>
      </c>
      <c r="Z182" s="26">
        <v>46058</v>
      </c>
    </row>
    <row r="183" spans="1:26" x14ac:dyDescent="0.3">
      <c r="A183" s="50">
        <v>46058.286747685182</v>
      </c>
      <c r="B183">
        <v>2.0260205065125801E+18</v>
      </c>
      <c r="C183" t="s">
        <v>3623</v>
      </c>
      <c r="D183" t="s">
        <v>3624</v>
      </c>
      <c r="E183" t="s">
        <v>3624</v>
      </c>
      <c r="F183" t="s">
        <v>3623</v>
      </c>
      <c r="G183" t="s">
        <v>3624</v>
      </c>
      <c r="H183" t="s">
        <v>3624</v>
      </c>
      <c r="I183">
        <v>62001</v>
      </c>
      <c r="J183" t="s">
        <v>3625</v>
      </c>
      <c r="K183" t="s">
        <v>3625</v>
      </c>
      <c r="L183" t="s">
        <v>2832</v>
      </c>
      <c r="M183" t="s">
        <v>2833</v>
      </c>
      <c r="N183">
        <v>54363</v>
      </c>
      <c r="O183">
        <v>45500</v>
      </c>
      <c r="P183">
        <v>1</v>
      </c>
      <c r="Q183">
        <v>0</v>
      </c>
      <c r="S183">
        <v>143790</v>
      </c>
      <c r="T183" t="s">
        <v>3626</v>
      </c>
      <c r="U183" t="s">
        <v>2835</v>
      </c>
      <c r="W183">
        <v>0</v>
      </c>
      <c r="X183">
        <v>45500</v>
      </c>
      <c r="Y183">
        <v>41363.636363636302</v>
      </c>
      <c r="Z183" s="26">
        <v>46058</v>
      </c>
    </row>
    <row r="184" spans="1:26" x14ac:dyDescent="0.3">
      <c r="A184" s="50">
        <v>46058.286597222221</v>
      </c>
      <c r="B184">
        <v>2.02602050651442E+18</v>
      </c>
      <c r="C184" t="s">
        <v>3627</v>
      </c>
      <c r="D184" t="s">
        <v>3628</v>
      </c>
      <c r="E184" t="s">
        <v>3628</v>
      </c>
      <c r="F184" t="s">
        <v>3627</v>
      </c>
      <c r="G184" t="s">
        <v>3628</v>
      </c>
      <c r="H184" t="s">
        <v>3628</v>
      </c>
      <c r="I184">
        <v>16016</v>
      </c>
      <c r="J184" t="s">
        <v>3629</v>
      </c>
      <c r="K184" t="s">
        <v>3629</v>
      </c>
      <c r="L184" t="s">
        <v>2832</v>
      </c>
      <c r="M184" t="s">
        <v>2833</v>
      </c>
      <c r="N184">
        <v>54363</v>
      </c>
      <c r="O184">
        <v>45500</v>
      </c>
      <c r="P184">
        <v>1</v>
      </c>
      <c r="Q184">
        <v>0</v>
      </c>
      <c r="S184">
        <v>143790</v>
      </c>
      <c r="T184" t="s">
        <v>3630</v>
      </c>
      <c r="U184" t="s">
        <v>2835</v>
      </c>
      <c r="W184">
        <v>0</v>
      </c>
      <c r="X184">
        <v>45500</v>
      </c>
      <c r="Y184">
        <v>41363.636363636302</v>
      </c>
      <c r="Z184" s="26">
        <v>46058</v>
      </c>
    </row>
    <row r="185" spans="1:26" x14ac:dyDescent="0.3">
      <c r="A185" s="50">
        <v>46058.286562499998</v>
      </c>
      <c r="B185">
        <v>2.02602050651344E+18</v>
      </c>
      <c r="C185" t="s">
        <v>3631</v>
      </c>
      <c r="D185" t="s">
        <v>3632</v>
      </c>
      <c r="E185" t="s">
        <v>3632</v>
      </c>
      <c r="F185" t="s">
        <v>3631</v>
      </c>
      <c r="G185" t="s">
        <v>3632</v>
      </c>
      <c r="H185" t="s">
        <v>3632</v>
      </c>
      <c r="I185">
        <v>28808</v>
      </c>
      <c r="J185" t="s">
        <v>3633</v>
      </c>
      <c r="K185" t="s">
        <v>3633</v>
      </c>
      <c r="L185" t="s">
        <v>2832</v>
      </c>
      <c r="M185" t="s">
        <v>2833</v>
      </c>
      <c r="N185">
        <v>108726</v>
      </c>
      <c r="O185">
        <v>45500</v>
      </c>
      <c r="P185">
        <v>2</v>
      </c>
      <c r="Q185">
        <v>0</v>
      </c>
      <c r="S185">
        <v>143790</v>
      </c>
      <c r="T185" t="s">
        <v>3634</v>
      </c>
      <c r="U185" t="s">
        <v>2835</v>
      </c>
      <c r="W185">
        <v>0</v>
      </c>
      <c r="X185">
        <v>91000</v>
      </c>
      <c r="Y185">
        <v>82727.272727272706</v>
      </c>
      <c r="Z185" s="26">
        <v>46058</v>
      </c>
    </row>
    <row r="186" spans="1:26" x14ac:dyDescent="0.3">
      <c r="A186" s="50">
        <v>46058.286365740743</v>
      </c>
      <c r="B186">
        <v>2.0260205064835599E+18</v>
      </c>
      <c r="C186" t="s">
        <v>3635</v>
      </c>
      <c r="D186" t="s">
        <v>3636</v>
      </c>
      <c r="E186" t="s">
        <v>3636</v>
      </c>
      <c r="F186" t="s">
        <v>3635</v>
      </c>
      <c r="G186" t="s">
        <v>3636</v>
      </c>
      <c r="H186" t="s">
        <v>3636</v>
      </c>
      <c r="I186">
        <v>62024</v>
      </c>
      <c r="J186" t="s">
        <v>3637</v>
      </c>
      <c r="K186" t="s">
        <v>3637</v>
      </c>
      <c r="L186" t="s">
        <v>2832</v>
      </c>
      <c r="M186" t="s">
        <v>2833</v>
      </c>
      <c r="N186">
        <v>54363</v>
      </c>
      <c r="O186">
        <v>45500</v>
      </c>
      <c r="P186">
        <v>1</v>
      </c>
      <c r="Q186">
        <v>0</v>
      </c>
      <c r="S186">
        <v>143790</v>
      </c>
      <c r="T186" t="s">
        <v>3638</v>
      </c>
      <c r="U186" t="s">
        <v>2835</v>
      </c>
      <c r="W186">
        <v>0</v>
      </c>
      <c r="X186">
        <v>45500</v>
      </c>
      <c r="Y186">
        <v>41363.636363636302</v>
      </c>
      <c r="Z186" s="26">
        <v>46058</v>
      </c>
    </row>
    <row r="187" spans="1:26" x14ac:dyDescent="0.3">
      <c r="A187" s="50">
        <v>46058.286006944443</v>
      </c>
      <c r="B187">
        <v>2.02602050650403E+18</v>
      </c>
      <c r="C187" t="s">
        <v>3639</v>
      </c>
      <c r="D187" t="s">
        <v>3640</v>
      </c>
      <c r="E187" t="s">
        <v>3640</v>
      </c>
      <c r="F187" t="s">
        <v>3639</v>
      </c>
      <c r="G187" t="s">
        <v>3640</v>
      </c>
      <c r="H187" t="s">
        <v>3640</v>
      </c>
      <c r="I187">
        <v>16851</v>
      </c>
      <c r="J187" t="s">
        <v>3641</v>
      </c>
      <c r="K187" t="s">
        <v>3641</v>
      </c>
      <c r="L187" t="s">
        <v>2832</v>
      </c>
      <c r="M187" t="s">
        <v>2833</v>
      </c>
      <c r="N187">
        <v>54363</v>
      </c>
      <c r="O187">
        <v>45500</v>
      </c>
      <c r="P187">
        <v>1</v>
      </c>
      <c r="Q187">
        <v>0</v>
      </c>
      <c r="S187">
        <v>143790</v>
      </c>
      <c r="T187" t="s">
        <v>3642</v>
      </c>
      <c r="U187" t="s">
        <v>2835</v>
      </c>
      <c r="W187">
        <v>0</v>
      </c>
      <c r="X187">
        <v>45500</v>
      </c>
      <c r="Y187">
        <v>41363.636363636302</v>
      </c>
      <c r="Z187" s="26">
        <v>46058</v>
      </c>
    </row>
    <row r="188" spans="1:26" x14ac:dyDescent="0.3">
      <c r="A188" s="50">
        <v>46058.285937499997</v>
      </c>
      <c r="B188">
        <v>2.0260205065010701E+18</v>
      </c>
      <c r="C188" t="s">
        <v>3643</v>
      </c>
      <c r="D188" t="s">
        <v>3644</v>
      </c>
      <c r="E188" t="s">
        <v>3644</v>
      </c>
      <c r="F188" t="s">
        <v>3643</v>
      </c>
      <c r="G188" t="s">
        <v>3644</v>
      </c>
      <c r="H188" t="s">
        <v>3644</v>
      </c>
      <c r="I188">
        <v>13014</v>
      </c>
      <c r="J188" t="s">
        <v>3645</v>
      </c>
      <c r="K188" t="s">
        <v>3645</v>
      </c>
      <c r="L188" t="s">
        <v>2832</v>
      </c>
      <c r="M188" t="s">
        <v>2833</v>
      </c>
      <c r="N188">
        <v>54363</v>
      </c>
      <c r="O188">
        <v>45500</v>
      </c>
      <c r="P188">
        <v>1</v>
      </c>
      <c r="Q188">
        <v>0</v>
      </c>
      <c r="S188">
        <v>143790</v>
      </c>
      <c r="T188" t="s">
        <v>3646</v>
      </c>
      <c r="U188" t="s">
        <v>2835</v>
      </c>
      <c r="W188">
        <v>0</v>
      </c>
      <c r="X188">
        <v>45500</v>
      </c>
      <c r="Y188">
        <v>41363.636363636302</v>
      </c>
      <c r="Z188" s="26">
        <v>46058</v>
      </c>
    </row>
    <row r="189" spans="1:26" x14ac:dyDescent="0.3">
      <c r="A189" s="50">
        <v>46058.285694444443</v>
      </c>
      <c r="B189">
        <v>2.02602050645469E+18</v>
      </c>
      <c r="C189" t="s">
        <v>3647</v>
      </c>
      <c r="D189" t="s">
        <v>3648</v>
      </c>
      <c r="E189" t="s">
        <v>3648</v>
      </c>
      <c r="F189" t="s">
        <v>3647</v>
      </c>
      <c r="G189" t="s">
        <v>3648</v>
      </c>
      <c r="H189" t="s">
        <v>3648</v>
      </c>
      <c r="I189">
        <v>1850</v>
      </c>
      <c r="J189" t="s">
        <v>3649</v>
      </c>
      <c r="K189" t="s">
        <v>3649</v>
      </c>
      <c r="L189" t="s">
        <v>2832</v>
      </c>
      <c r="M189" t="s">
        <v>2833</v>
      </c>
      <c r="N189">
        <v>54363</v>
      </c>
      <c r="O189">
        <v>45500</v>
      </c>
      <c r="P189">
        <v>1</v>
      </c>
      <c r="Q189">
        <v>0</v>
      </c>
      <c r="S189">
        <v>143790</v>
      </c>
      <c r="T189" t="s">
        <v>3650</v>
      </c>
      <c r="U189" t="s">
        <v>2835</v>
      </c>
      <c r="W189">
        <v>0</v>
      </c>
      <c r="X189">
        <v>45500</v>
      </c>
      <c r="Y189">
        <v>41363.636363636302</v>
      </c>
      <c r="Z189" s="26">
        <v>46058</v>
      </c>
    </row>
    <row r="190" spans="1:26" x14ac:dyDescent="0.3">
      <c r="A190" s="50">
        <v>46058.285671296297</v>
      </c>
      <c r="B190">
        <v>2.02602050649357E+18</v>
      </c>
      <c r="C190" t="s">
        <v>3651</v>
      </c>
      <c r="D190" t="s">
        <v>3652</v>
      </c>
      <c r="E190" t="s">
        <v>3652</v>
      </c>
      <c r="F190" t="s">
        <v>3651</v>
      </c>
      <c r="G190" t="s">
        <v>3652</v>
      </c>
      <c r="H190" t="s">
        <v>3652</v>
      </c>
      <c r="I190">
        <v>12546</v>
      </c>
      <c r="J190" t="s">
        <v>3653</v>
      </c>
      <c r="K190" t="s">
        <v>3653</v>
      </c>
      <c r="L190" t="s">
        <v>2832</v>
      </c>
      <c r="M190" t="s">
        <v>2833</v>
      </c>
      <c r="N190">
        <v>54363</v>
      </c>
      <c r="O190">
        <v>45500</v>
      </c>
      <c r="P190">
        <v>1</v>
      </c>
      <c r="Q190">
        <v>0</v>
      </c>
      <c r="S190">
        <v>143790</v>
      </c>
      <c r="T190" t="s">
        <v>3654</v>
      </c>
      <c r="U190" t="s">
        <v>2835</v>
      </c>
      <c r="W190">
        <v>0</v>
      </c>
      <c r="X190">
        <v>45500</v>
      </c>
      <c r="Y190">
        <v>41363.636363636302</v>
      </c>
      <c r="Z190" s="26">
        <v>46058</v>
      </c>
    </row>
    <row r="191" spans="1:26" x14ac:dyDescent="0.3">
      <c r="A191" s="50">
        <v>46058.285428240742</v>
      </c>
      <c r="B191">
        <v>2.02602050646371E+18</v>
      </c>
      <c r="C191" t="s">
        <v>3655</v>
      </c>
      <c r="D191" t="s">
        <v>3656</v>
      </c>
      <c r="E191" t="s">
        <v>3656</v>
      </c>
      <c r="F191" t="s">
        <v>3655</v>
      </c>
      <c r="G191" t="s">
        <v>3656</v>
      </c>
      <c r="H191" t="s">
        <v>3656</v>
      </c>
      <c r="I191">
        <v>3357</v>
      </c>
      <c r="J191" t="s">
        <v>3657</v>
      </c>
      <c r="K191" t="s">
        <v>3657</v>
      </c>
      <c r="L191" t="s">
        <v>2832</v>
      </c>
      <c r="M191" t="s">
        <v>2833</v>
      </c>
      <c r="N191">
        <v>54363</v>
      </c>
      <c r="O191">
        <v>45500</v>
      </c>
      <c r="P191">
        <v>1</v>
      </c>
      <c r="Q191">
        <v>0</v>
      </c>
      <c r="R191" t="s">
        <v>3658</v>
      </c>
      <c r="S191">
        <v>143790</v>
      </c>
      <c r="T191" t="s">
        <v>3659</v>
      </c>
      <c r="U191" t="s">
        <v>2835</v>
      </c>
      <c r="W191">
        <v>0</v>
      </c>
      <c r="X191">
        <v>45500</v>
      </c>
      <c r="Y191">
        <v>41363.636363636302</v>
      </c>
      <c r="Z191" s="26">
        <v>46058</v>
      </c>
    </row>
    <row r="192" spans="1:26" x14ac:dyDescent="0.3">
      <c r="A192" s="50">
        <v>46058.285428240742</v>
      </c>
      <c r="B192">
        <v>2.02602050648208E+18</v>
      </c>
      <c r="C192" t="s">
        <v>3660</v>
      </c>
      <c r="D192" t="s">
        <v>3661</v>
      </c>
      <c r="E192" t="s">
        <v>3661</v>
      </c>
      <c r="F192" t="s">
        <v>3662</v>
      </c>
      <c r="G192" t="s">
        <v>3663</v>
      </c>
      <c r="H192" t="s">
        <v>3663</v>
      </c>
      <c r="I192">
        <v>52006</v>
      </c>
      <c r="J192" t="s">
        <v>3664</v>
      </c>
      <c r="K192" t="s">
        <v>3664</v>
      </c>
      <c r="L192" t="s">
        <v>2832</v>
      </c>
      <c r="M192" t="s">
        <v>2833</v>
      </c>
      <c r="N192">
        <v>54363</v>
      </c>
      <c r="O192">
        <v>45500</v>
      </c>
      <c r="P192">
        <v>1</v>
      </c>
      <c r="Q192">
        <v>0</v>
      </c>
      <c r="S192">
        <v>143790</v>
      </c>
      <c r="T192" t="s">
        <v>3665</v>
      </c>
      <c r="U192" t="s">
        <v>2835</v>
      </c>
      <c r="W192">
        <v>0</v>
      </c>
      <c r="X192">
        <v>45500</v>
      </c>
      <c r="Y192">
        <v>41363.636363636302</v>
      </c>
      <c r="Z192" s="26">
        <v>46058</v>
      </c>
    </row>
    <row r="193" spans="1:26" x14ac:dyDescent="0.3">
      <c r="A193" s="50">
        <v>46058.285370370373</v>
      </c>
      <c r="B193">
        <v>2.0260205064959501E+18</v>
      </c>
      <c r="C193" t="s">
        <v>3666</v>
      </c>
      <c r="D193" t="s">
        <v>3667</v>
      </c>
      <c r="E193" t="s">
        <v>3667</v>
      </c>
      <c r="F193" t="s">
        <v>3666</v>
      </c>
      <c r="G193" t="s">
        <v>3667</v>
      </c>
      <c r="H193" t="s">
        <v>3667</v>
      </c>
      <c r="I193">
        <v>51312</v>
      </c>
      <c r="J193" t="s">
        <v>3668</v>
      </c>
      <c r="K193" t="s">
        <v>3668</v>
      </c>
      <c r="L193" t="s">
        <v>2832</v>
      </c>
      <c r="M193" t="s">
        <v>2833</v>
      </c>
      <c r="N193">
        <v>54363</v>
      </c>
      <c r="O193">
        <v>45500</v>
      </c>
      <c r="P193">
        <v>1</v>
      </c>
      <c r="Q193">
        <v>0</v>
      </c>
      <c r="S193">
        <v>143790</v>
      </c>
      <c r="T193" t="s">
        <v>3669</v>
      </c>
      <c r="U193" t="s">
        <v>2835</v>
      </c>
      <c r="W193">
        <v>0</v>
      </c>
      <c r="X193">
        <v>45500</v>
      </c>
      <c r="Y193">
        <v>41363.636363636302</v>
      </c>
      <c r="Z193" s="26">
        <v>46058</v>
      </c>
    </row>
    <row r="194" spans="1:26" x14ac:dyDescent="0.3">
      <c r="A194" s="50">
        <v>46058.285162037027</v>
      </c>
      <c r="B194">
        <v>2.02602050649408E+18</v>
      </c>
      <c r="C194" t="s">
        <v>3670</v>
      </c>
      <c r="D194" t="s">
        <v>3671</v>
      </c>
      <c r="E194" t="s">
        <v>3671</v>
      </c>
      <c r="F194" t="s">
        <v>3670</v>
      </c>
      <c r="G194" t="s">
        <v>3671</v>
      </c>
      <c r="H194" t="s">
        <v>3671</v>
      </c>
      <c r="I194">
        <v>21419</v>
      </c>
      <c r="J194" t="s">
        <v>3672</v>
      </c>
      <c r="K194" t="s">
        <v>3672</v>
      </c>
      <c r="L194" t="s">
        <v>2832</v>
      </c>
      <c r="M194" t="s">
        <v>2833</v>
      </c>
      <c r="N194">
        <v>54363</v>
      </c>
      <c r="O194">
        <v>45500</v>
      </c>
      <c r="P194">
        <v>1</v>
      </c>
      <c r="Q194">
        <v>0</v>
      </c>
      <c r="R194" t="s">
        <v>3673</v>
      </c>
      <c r="S194">
        <v>143790</v>
      </c>
      <c r="T194" t="s">
        <v>3674</v>
      </c>
      <c r="U194" t="s">
        <v>2835</v>
      </c>
      <c r="W194">
        <v>0</v>
      </c>
      <c r="X194">
        <v>45500</v>
      </c>
      <c r="Y194">
        <v>41363.636363636302</v>
      </c>
      <c r="Z194" s="26">
        <v>46058</v>
      </c>
    </row>
    <row r="195" spans="1:26" x14ac:dyDescent="0.3">
      <c r="A195" s="50">
        <v>46058.284895833327</v>
      </c>
      <c r="B195">
        <v>2.02602050649362E+18</v>
      </c>
      <c r="C195" t="s">
        <v>3675</v>
      </c>
      <c r="D195" t="s">
        <v>3676</v>
      </c>
      <c r="E195" t="s">
        <v>3676</v>
      </c>
      <c r="F195" t="s">
        <v>3675</v>
      </c>
      <c r="G195" t="s">
        <v>3676</v>
      </c>
      <c r="H195" t="s">
        <v>3676</v>
      </c>
      <c r="I195">
        <v>42114</v>
      </c>
      <c r="J195" t="s">
        <v>3677</v>
      </c>
      <c r="K195" t="s">
        <v>3677</v>
      </c>
      <c r="L195" t="s">
        <v>2832</v>
      </c>
      <c r="M195" t="s">
        <v>2833</v>
      </c>
      <c r="N195">
        <v>54363</v>
      </c>
      <c r="O195">
        <v>45500</v>
      </c>
      <c r="P195">
        <v>1</v>
      </c>
      <c r="Q195">
        <v>0</v>
      </c>
      <c r="S195">
        <v>143790</v>
      </c>
      <c r="T195" t="s">
        <v>3678</v>
      </c>
      <c r="U195" t="s">
        <v>2835</v>
      </c>
      <c r="W195">
        <v>0</v>
      </c>
      <c r="X195">
        <v>45500</v>
      </c>
      <c r="Y195">
        <v>41363.636363636302</v>
      </c>
      <c r="Z195" s="26">
        <v>46058</v>
      </c>
    </row>
    <row r="196" spans="1:26" x14ac:dyDescent="0.3">
      <c r="A196" s="50">
        <v>46058.28465277778</v>
      </c>
      <c r="B196">
        <v>2.02602050648493E+18</v>
      </c>
      <c r="C196" t="s">
        <v>3679</v>
      </c>
      <c r="D196" t="s">
        <v>3680</v>
      </c>
      <c r="E196" t="s">
        <v>3680</v>
      </c>
      <c r="F196" t="s">
        <v>3679</v>
      </c>
      <c r="G196" t="s">
        <v>3680</v>
      </c>
      <c r="H196" t="s">
        <v>3680</v>
      </c>
      <c r="I196">
        <v>28413</v>
      </c>
      <c r="J196" t="s">
        <v>3681</v>
      </c>
      <c r="K196" t="s">
        <v>3681</v>
      </c>
      <c r="L196" t="s">
        <v>2832</v>
      </c>
      <c r="M196" t="s">
        <v>2833</v>
      </c>
      <c r="N196">
        <v>54363</v>
      </c>
      <c r="O196">
        <v>45500</v>
      </c>
      <c r="P196">
        <v>1</v>
      </c>
      <c r="Q196">
        <v>0</v>
      </c>
      <c r="S196">
        <v>143790</v>
      </c>
      <c r="T196" t="s">
        <v>3682</v>
      </c>
      <c r="U196" t="s">
        <v>2835</v>
      </c>
      <c r="W196">
        <v>0</v>
      </c>
      <c r="X196">
        <v>45500</v>
      </c>
      <c r="Y196">
        <v>41363.636363636302</v>
      </c>
      <c r="Z196" s="26">
        <v>46058</v>
      </c>
    </row>
    <row r="197" spans="1:26" x14ac:dyDescent="0.3">
      <c r="A197" s="50">
        <v>46058.284120370372</v>
      </c>
      <c r="B197">
        <v>2.02602050647538E+18</v>
      </c>
      <c r="C197" t="s">
        <v>3683</v>
      </c>
      <c r="D197" t="s">
        <v>3684</v>
      </c>
      <c r="E197" t="s">
        <v>3684</v>
      </c>
      <c r="F197" t="s">
        <v>3685</v>
      </c>
      <c r="G197" t="s">
        <v>3686</v>
      </c>
      <c r="H197" t="s">
        <v>3686</v>
      </c>
      <c r="I197">
        <v>12913</v>
      </c>
      <c r="J197" t="s">
        <v>3687</v>
      </c>
      <c r="K197" t="s">
        <v>3687</v>
      </c>
      <c r="L197" t="s">
        <v>2832</v>
      </c>
      <c r="M197" t="s">
        <v>2833</v>
      </c>
      <c r="N197">
        <v>54363</v>
      </c>
      <c r="O197">
        <v>45500</v>
      </c>
      <c r="P197">
        <v>1</v>
      </c>
      <c r="Q197">
        <v>0</v>
      </c>
      <c r="S197">
        <v>143790</v>
      </c>
      <c r="T197" t="s">
        <v>3688</v>
      </c>
      <c r="U197" t="s">
        <v>2835</v>
      </c>
      <c r="W197">
        <v>0</v>
      </c>
      <c r="X197">
        <v>45500</v>
      </c>
      <c r="Y197">
        <v>41363.636363636302</v>
      </c>
      <c r="Z197" s="26">
        <v>46058</v>
      </c>
    </row>
    <row r="198" spans="1:26" x14ac:dyDescent="0.3">
      <c r="A198" s="50">
        <v>46058.284108796302</v>
      </c>
      <c r="B198">
        <v>2.0260205064813199E+18</v>
      </c>
      <c r="C198" t="s">
        <v>3689</v>
      </c>
      <c r="D198" t="s">
        <v>3690</v>
      </c>
      <c r="E198" t="s">
        <v>3690</v>
      </c>
      <c r="F198" t="s">
        <v>3689</v>
      </c>
      <c r="G198" t="s">
        <v>3690</v>
      </c>
      <c r="H198" t="s">
        <v>3690</v>
      </c>
      <c r="I198">
        <v>6352</v>
      </c>
      <c r="J198" t="s">
        <v>3691</v>
      </c>
      <c r="K198" t="s">
        <v>3691</v>
      </c>
      <c r="L198" t="s">
        <v>2832</v>
      </c>
      <c r="M198" t="s">
        <v>2833</v>
      </c>
      <c r="N198">
        <v>54363</v>
      </c>
      <c r="O198">
        <v>45500</v>
      </c>
      <c r="P198">
        <v>1</v>
      </c>
      <c r="Q198">
        <v>0</v>
      </c>
      <c r="S198">
        <v>143790</v>
      </c>
      <c r="T198" t="s">
        <v>3692</v>
      </c>
      <c r="U198" t="s">
        <v>2835</v>
      </c>
      <c r="W198">
        <v>0</v>
      </c>
      <c r="X198">
        <v>45500</v>
      </c>
      <c r="Y198">
        <v>41363.636363636302</v>
      </c>
      <c r="Z198" s="26">
        <v>46058</v>
      </c>
    </row>
    <row r="199" spans="1:26" x14ac:dyDescent="0.3">
      <c r="A199" s="50">
        <v>46058.284039351849</v>
      </c>
      <c r="B199">
        <v>2.0260205064650601E+18</v>
      </c>
      <c r="C199" t="s">
        <v>3693</v>
      </c>
      <c r="D199" t="s">
        <v>3694</v>
      </c>
      <c r="E199" t="s">
        <v>3694</v>
      </c>
      <c r="F199" t="s">
        <v>3693</v>
      </c>
      <c r="G199" t="s">
        <v>3694</v>
      </c>
      <c r="H199" t="s">
        <v>3694</v>
      </c>
      <c r="I199">
        <v>2748</v>
      </c>
      <c r="J199" t="s">
        <v>3695</v>
      </c>
      <c r="K199" t="s">
        <v>3695</v>
      </c>
      <c r="L199" t="s">
        <v>2832</v>
      </c>
      <c r="M199" t="s">
        <v>2833</v>
      </c>
      <c r="N199">
        <v>54363</v>
      </c>
      <c r="O199">
        <v>45500</v>
      </c>
      <c r="P199">
        <v>1</v>
      </c>
      <c r="Q199">
        <v>0</v>
      </c>
      <c r="S199">
        <v>143790</v>
      </c>
      <c r="T199" t="s">
        <v>3696</v>
      </c>
      <c r="U199" t="s">
        <v>2835</v>
      </c>
      <c r="W199">
        <v>0</v>
      </c>
      <c r="X199">
        <v>45500</v>
      </c>
      <c r="Y199">
        <v>41363.636363636302</v>
      </c>
      <c r="Z199" s="26">
        <v>46058</v>
      </c>
    </row>
    <row r="200" spans="1:26" x14ac:dyDescent="0.3">
      <c r="A200" s="50">
        <v>46058.283750000002</v>
      </c>
      <c r="B200">
        <v>2.0260205064629499E+18</v>
      </c>
      <c r="C200" t="s">
        <v>3697</v>
      </c>
      <c r="D200" t="s">
        <v>3698</v>
      </c>
      <c r="E200" t="s">
        <v>3698</v>
      </c>
      <c r="F200" t="s">
        <v>3697</v>
      </c>
      <c r="G200" t="s">
        <v>3698</v>
      </c>
      <c r="H200" t="s">
        <v>3698</v>
      </c>
      <c r="I200">
        <v>5594</v>
      </c>
      <c r="J200" t="s">
        <v>3699</v>
      </c>
      <c r="K200" t="s">
        <v>3699</v>
      </c>
      <c r="L200" t="s">
        <v>2832</v>
      </c>
      <c r="M200" t="s">
        <v>2833</v>
      </c>
      <c r="N200">
        <v>54363</v>
      </c>
      <c r="O200">
        <v>45500</v>
      </c>
      <c r="P200">
        <v>1</v>
      </c>
      <c r="Q200">
        <v>0</v>
      </c>
      <c r="S200">
        <v>143790</v>
      </c>
      <c r="T200" t="s">
        <v>3700</v>
      </c>
      <c r="U200" t="s">
        <v>2835</v>
      </c>
      <c r="W200">
        <v>0</v>
      </c>
      <c r="X200">
        <v>45500</v>
      </c>
      <c r="Y200">
        <v>41363.636363636302</v>
      </c>
      <c r="Z200" s="26">
        <v>46058</v>
      </c>
    </row>
    <row r="201" spans="1:26" x14ac:dyDescent="0.3">
      <c r="A201" s="50">
        <v>46058.283333333333</v>
      </c>
      <c r="B201">
        <v>2.0260205064739E+18</v>
      </c>
      <c r="C201" t="s">
        <v>3701</v>
      </c>
      <c r="D201" t="s">
        <v>3702</v>
      </c>
      <c r="E201" t="s">
        <v>3702</v>
      </c>
      <c r="F201" t="s">
        <v>3701</v>
      </c>
      <c r="G201" t="s">
        <v>3702</v>
      </c>
      <c r="H201" t="s">
        <v>3702</v>
      </c>
      <c r="I201">
        <v>4360</v>
      </c>
      <c r="J201" t="s">
        <v>3703</v>
      </c>
      <c r="K201" t="s">
        <v>3703</v>
      </c>
      <c r="L201" t="s">
        <v>2832</v>
      </c>
      <c r="M201" t="s">
        <v>2833</v>
      </c>
      <c r="N201">
        <v>54363</v>
      </c>
      <c r="O201">
        <v>45500</v>
      </c>
      <c r="P201">
        <v>1</v>
      </c>
      <c r="Q201">
        <v>0</v>
      </c>
      <c r="S201">
        <v>143790</v>
      </c>
      <c r="T201" t="s">
        <v>3704</v>
      </c>
      <c r="U201" t="s">
        <v>2835</v>
      </c>
      <c r="W201">
        <v>0</v>
      </c>
      <c r="X201">
        <v>45500</v>
      </c>
      <c r="Y201">
        <v>41363.636363636302</v>
      </c>
      <c r="Z201" s="26">
        <v>46058</v>
      </c>
    </row>
    <row r="202" spans="1:26" x14ac:dyDescent="0.3">
      <c r="A202" s="50">
        <v>46058.283263888887</v>
      </c>
      <c r="B202">
        <v>2.0260205064643699E+18</v>
      </c>
      <c r="C202" t="s">
        <v>3705</v>
      </c>
      <c r="D202" t="s">
        <v>3706</v>
      </c>
      <c r="E202" t="s">
        <v>3706</v>
      </c>
      <c r="F202" t="s">
        <v>3705</v>
      </c>
      <c r="G202" t="s">
        <v>3706</v>
      </c>
      <c r="H202" t="s">
        <v>3706</v>
      </c>
      <c r="I202">
        <v>55152</v>
      </c>
      <c r="J202" t="s">
        <v>3707</v>
      </c>
      <c r="K202" t="s">
        <v>3707</v>
      </c>
      <c r="L202" t="s">
        <v>2832</v>
      </c>
      <c r="M202" t="s">
        <v>2833</v>
      </c>
      <c r="N202">
        <v>54363</v>
      </c>
      <c r="O202">
        <v>45500</v>
      </c>
      <c r="P202">
        <v>1</v>
      </c>
      <c r="Q202">
        <v>0</v>
      </c>
      <c r="S202">
        <v>143790</v>
      </c>
      <c r="T202" t="s">
        <v>3708</v>
      </c>
      <c r="U202" t="s">
        <v>2835</v>
      </c>
      <c r="W202">
        <v>0</v>
      </c>
      <c r="X202">
        <v>45500</v>
      </c>
      <c r="Y202">
        <v>41363.636363636302</v>
      </c>
      <c r="Z202" s="26">
        <v>46058</v>
      </c>
    </row>
    <row r="203" spans="1:26" x14ac:dyDescent="0.3">
      <c r="A203" s="50">
        <v>46058.283182870371</v>
      </c>
      <c r="B203">
        <v>2.0260205064620001E+18</v>
      </c>
      <c r="C203" t="s">
        <v>3709</v>
      </c>
      <c r="D203" t="s">
        <v>3710</v>
      </c>
      <c r="E203" t="s">
        <v>3710</v>
      </c>
      <c r="F203" t="s">
        <v>3709</v>
      </c>
      <c r="G203" t="s">
        <v>3710</v>
      </c>
      <c r="H203" t="s">
        <v>3710</v>
      </c>
      <c r="I203">
        <v>46762</v>
      </c>
      <c r="J203" t="s">
        <v>3711</v>
      </c>
      <c r="K203" t="s">
        <v>3711</v>
      </c>
      <c r="L203" t="s">
        <v>2832</v>
      </c>
      <c r="M203" t="s">
        <v>2833</v>
      </c>
      <c r="N203">
        <v>54363</v>
      </c>
      <c r="O203">
        <v>45500</v>
      </c>
      <c r="P203">
        <v>1</v>
      </c>
      <c r="Q203">
        <v>0</v>
      </c>
      <c r="S203">
        <v>143790</v>
      </c>
      <c r="T203" t="s">
        <v>3712</v>
      </c>
      <c r="U203" t="s">
        <v>2835</v>
      </c>
      <c r="W203">
        <v>0</v>
      </c>
      <c r="X203">
        <v>45500</v>
      </c>
      <c r="Y203">
        <v>41363.636363636302</v>
      </c>
      <c r="Z203" s="26">
        <v>46058</v>
      </c>
    </row>
    <row r="204" spans="1:26" x14ac:dyDescent="0.3">
      <c r="A204" s="50">
        <v>46058.283171296287</v>
      </c>
      <c r="B204">
        <v>2.0260205064609101E+18</v>
      </c>
      <c r="C204" t="s">
        <v>3713</v>
      </c>
      <c r="D204" t="s">
        <v>3714</v>
      </c>
      <c r="E204" t="s">
        <v>3714</v>
      </c>
      <c r="F204" t="s">
        <v>3715</v>
      </c>
      <c r="G204" t="s">
        <v>3714</v>
      </c>
      <c r="H204" t="s">
        <v>3714</v>
      </c>
      <c r="I204">
        <v>28809</v>
      </c>
      <c r="J204" t="s">
        <v>3716</v>
      </c>
      <c r="K204" t="s">
        <v>3716</v>
      </c>
      <c r="L204" t="s">
        <v>2832</v>
      </c>
      <c r="M204" t="s">
        <v>2833</v>
      </c>
      <c r="N204">
        <v>108726</v>
      </c>
      <c r="O204">
        <v>45500</v>
      </c>
      <c r="P204">
        <v>2</v>
      </c>
      <c r="Q204">
        <v>0</v>
      </c>
      <c r="S204">
        <v>143790</v>
      </c>
      <c r="T204" t="s">
        <v>3717</v>
      </c>
      <c r="U204" t="s">
        <v>2835</v>
      </c>
      <c r="W204">
        <v>0</v>
      </c>
      <c r="X204">
        <v>91000</v>
      </c>
      <c r="Y204">
        <v>82727.272727272706</v>
      </c>
      <c r="Z204" s="26">
        <v>46058</v>
      </c>
    </row>
    <row r="205" spans="1:26" x14ac:dyDescent="0.3">
      <c r="A205" s="50">
        <v>46058.283067129632</v>
      </c>
      <c r="B205">
        <v>2.02602050645055E+18</v>
      </c>
      <c r="C205" t="s">
        <v>3683</v>
      </c>
      <c r="D205" t="s">
        <v>3684</v>
      </c>
      <c r="E205" t="s">
        <v>3684</v>
      </c>
      <c r="F205" t="s">
        <v>3718</v>
      </c>
      <c r="G205" t="s">
        <v>3719</v>
      </c>
      <c r="H205" t="s">
        <v>3719</v>
      </c>
      <c r="I205">
        <v>2210</v>
      </c>
      <c r="J205" t="s">
        <v>3720</v>
      </c>
      <c r="K205" t="s">
        <v>3720</v>
      </c>
      <c r="L205" t="s">
        <v>2832</v>
      </c>
      <c r="M205" t="s">
        <v>2833</v>
      </c>
      <c r="N205">
        <v>54363</v>
      </c>
      <c r="O205">
        <v>45500</v>
      </c>
      <c r="P205">
        <v>1</v>
      </c>
      <c r="Q205">
        <v>0</v>
      </c>
      <c r="S205">
        <v>143790</v>
      </c>
      <c r="T205" t="s">
        <v>3721</v>
      </c>
      <c r="U205" t="s">
        <v>2835</v>
      </c>
      <c r="W205">
        <v>0</v>
      </c>
      <c r="X205">
        <v>45500</v>
      </c>
      <c r="Y205">
        <v>41363.636363636302</v>
      </c>
      <c r="Z205" s="26">
        <v>46058</v>
      </c>
    </row>
    <row r="206" spans="1:26" x14ac:dyDescent="0.3">
      <c r="A206" s="50">
        <v>46058.282187500001</v>
      </c>
      <c r="B206">
        <v>2.0260205064541299E+18</v>
      </c>
      <c r="C206" t="s">
        <v>3722</v>
      </c>
      <c r="D206" t="s">
        <v>3723</v>
      </c>
      <c r="E206" t="s">
        <v>3723</v>
      </c>
      <c r="F206" t="s">
        <v>3722</v>
      </c>
      <c r="G206" t="s">
        <v>3723</v>
      </c>
      <c r="H206" t="s">
        <v>3723</v>
      </c>
      <c r="I206">
        <v>61754</v>
      </c>
      <c r="J206" t="s">
        <v>3724</v>
      </c>
      <c r="K206" t="s">
        <v>3724</v>
      </c>
      <c r="L206" t="s">
        <v>2832</v>
      </c>
      <c r="M206" t="s">
        <v>2833</v>
      </c>
      <c r="N206">
        <v>54363</v>
      </c>
      <c r="O206">
        <v>45500</v>
      </c>
      <c r="P206">
        <v>1</v>
      </c>
      <c r="Q206">
        <v>0</v>
      </c>
      <c r="S206">
        <v>143790</v>
      </c>
      <c r="T206" t="s">
        <v>3725</v>
      </c>
      <c r="U206" t="s">
        <v>2835</v>
      </c>
      <c r="W206">
        <v>0</v>
      </c>
      <c r="X206">
        <v>45500</v>
      </c>
      <c r="Y206">
        <v>41363.636363636302</v>
      </c>
      <c r="Z206" s="26">
        <v>46058</v>
      </c>
    </row>
    <row r="207" spans="1:26" x14ac:dyDescent="0.3">
      <c r="A207" s="50">
        <v>46058.278703703712</v>
      </c>
      <c r="B207">
        <v>2.02602050640286E+18</v>
      </c>
      <c r="C207" t="s">
        <v>3726</v>
      </c>
      <c r="D207" t="s">
        <v>3727</v>
      </c>
      <c r="E207" t="s">
        <v>3727</v>
      </c>
      <c r="F207" t="s">
        <v>3726</v>
      </c>
      <c r="G207" t="s">
        <v>3727</v>
      </c>
      <c r="H207" t="s">
        <v>3727</v>
      </c>
      <c r="I207">
        <v>7270</v>
      </c>
      <c r="J207" t="s">
        <v>3728</v>
      </c>
      <c r="K207" t="s">
        <v>3728</v>
      </c>
      <c r="L207" t="s">
        <v>2832</v>
      </c>
      <c r="M207" t="s">
        <v>2833</v>
      </c>
      <c r="N207">
        <v>54363</v>
      </c>
      <c r="O207">
        <v>45500</v>
      </c>
      <c r="P207">
        <v>1</v>
      </c>
      <c r="Q207">
        <v>0</v>
      </c>
      <c r="S207">
        <v>143790</v>
      </c>
      <c r="T207" t="s">
        <v>3729</v>
      </c>
      <c r="U207" t="s">
        <v>2835</v>
      </c>
      <c r="W207">
        <v>0</v>
      </c>
      <c r="X207">
        <v>45500</v>
      </c>
      <c r="Y207">
        <v>41363.636363636302</v>
      </c>
      <c r="Z207" s="26">
        <v>46058</v>
      </c>
    </row>
    <row r="208" spans="1:26" x14ac:dyDescent="0.3">
      <c r="A208" s="50">
        <v>46058.269363425927</v>
      </c>
      <c r="B208">
        <v>2.02602050627166E+18</v>
      </c>
      <c r="C208" t="s">
        <v>3730</v>
      </c>
      <c r="D208" t="s">
        <v>3731</v>
      </c>
      <c r="E208" t="s">
        <v>3731</v>
      </c>
      <c r="F208" t="s">
        <v>3730</v>
      </c>
      <c r="G208" t="s">
        <v>3731</v>
      </c>
      <c r="H208" t="s">
        <v>3731</v>
      </c>
      <c r="I208">
        <v>13608</v>
      </c>
      <c r="J208" t="s">
        <v>3732</v>
      </c>
      <c r="K208" t="s">
        <v>3732</v>
      </c>
      <c r="L208" t="s">
        <v>2832</v>
      </c>
      <c r="M208" t="s">
        <v>2833</v>
      </c>
      <c r="N208">
        <v>54363</v>
      </c>
      <c r="O208">
        <v>45500</v>
      </c>
      <c r="P208">
        <v>1</v>
      </c>
      <c r="Q208">
        <v>0</v>
      </c>
      <c r="S208">
        <v>143790</v>
      </c>
      <c r="T208" t="s">
        <v>3733</v>
      </c>
      <c r="U208" t="s">
        <v>2835</v>
      </c>
      <c r="W208">
        <v>0</v>
      </c>
      <c r="X208">
        <v>45500</v>
      </c>
      <c r="Y208">
        <v>41363.636363636302</v>
      </c>
      <c r="Z208" s="26">
        <v>46058</v>
      </c>
    </row>
    <row r="209" spans="1:26" x14ac:dyDescent="0.3">
      <c r="A209" s="50">
        <v>46058.261689814812</v>
      </c>
      <c r="B209">
        <v>2.02602050614579E+18</v>
      </c>
      <c r="C209" t="s">
        <v>3734</v>
      </c>
      <c r="D209" t="s">
        <v>3735</v>
      </c>
      <c r="E209" t="s">
        <v>3735</v>
      </c>
      <c r="F209" t="s">
        <v>3734</v>
      </c>
      <c r="G209" t="s">
        <v>3735</v>
      </c>
      <c r="H209" t="s">
        <v>3735</v>
      </c>
      <c r="I209">
        <v>61031</v>
      </c>
      <c r="J209" t="s">
        <v>3736</v>
      </c>
      <c r="K209" t="s">
        <v>3736</v>
      </c>
      <c r="L209" t="s">
        <v>2832</v>
      </c>
      <c r="M209" t="s">
        <v>2833</v>
      </c>
      <c r="N209">
        <v>54363</v>
      </c>
      <c r="O209">
        <v>45500</v>
      </c>
      <c r="P209">
        <v>1</v>
      </c>
      <c r="Q209">
        <v>0</v>
      </c>
      <c r="S209">
        <v>143790</v>
      </c>
      <c r="T209" t="s">
        <v>3737</v>
      </c>
      <c r="U209" t="s">
        <v>2835</v>
      </c>
      <c r="W209">
        <v>0</v>
      </c>
      <c r="X209">
        <v>45500</v>
      </c>
      <c r="Y209">
        <v>41363.636363636302</v>
      </c>
      <c r="Z209" s="26">
        <v>46058</v>
      </c>
    </row>
    <row r="210" spans="1:26" x14ac:dyDescent="0.3">
      <c r="A210" s="50">
        <v>46058.200115740743</v>
      </c>
      <c r="B210">
        <v>2.0260205044730801E+18</v>
      </c>
      <c r="C210" t="s">
        <v>3738</v>
      </c>
      <c r="D210" t="s">
        <v>3739</v>
      </c>
      <c r="E210" t="s">
        <v>3739</v>
      </c>
      <c r="F210" t="s">
        <v>3738</v>
      </c>
      <c r="G210" t="s">
        <v>3739</v>
      </c>
      <c r="H210" t="s">
        <v>3739</v>
      </c>
      <c r="I210">
        <v>13995</v>
      </c>
      <c r="J210" t="s">
        <v>3740</v>
      </c>
      <c r="K210" t="s">
        <v>3740</v>
      </c>
      <c r="L210" t="s">
        <v>2832</v>
      </c>
      <c r="M210" t="s">
        <v>2833</v>
      </c>
      <c r="N210">
        <v>54363</v>
      </c>
      <c r="O210">
        <v>45500</v>
      </c>
      <c r="P210">
        <v>1</v>
      </c>
      <c r="Q210">
        <v>0</v>
      </c>
      <c r="S210">
        <v>143790</v>
      </c>
      <c r="T210" t="s">
        <v>3741</v>
      </c>
      <c r="U210" t="s">
        <v>2835</v>
      </c>
      <c r="W210">
        <v>0</v>
      </c>
      <c r="X210">
        <v>45500</v>
      </c>
      <c r="Y210">
        <v>41363.636363636302</v>
      </c>
      <c r="Z210" s="26">
        <v>46058</v>
      </c>
    </row>
    <row r="211" spans="1:26" x14ac:dyDescent="0.3">
      <c r="A211" s="50">
        <v>46058.149467592593</v>
      </c>
      <c r="B211">
        <v>2.0260205033429199E+18</v>
      </c>
      <c r="C211" t="s">
        <v>3742</v>
      </c>
      <c r="D211" t="s">
        <v>3743</v>
      </c>
      <c r="E211" t="s">
        <v>3743</v>
      </c>
      <c r="F211" t="s">
        <v>3742</v>
      </c>
      <c r="G211" t="s">
        <v>3743</v>
      </c>
      <c r="H211" t="s">
        <v>3743</v>
      </c>
      <c r="I211">
        <v>8012</v>
      </c>
      <c r="J211" t="s">
        <v>3744</v>
      </c>
      <c r="K211" t="s">
        <v>3744</v>
      </c>
      <c r="L211" t="s">
        <v>2832</v>
      </c>
      <c r="M211" t="s">
        <v>2833</v>
      </c>
      <c r="N211">
        <v>54363</v>
      </c>
      <c r="O211">
        <v>45500</v>
      </c>
      <c r="P211">
        <v>1</v>
      </c>
      <c r="Q211">
        <v>0</v>
      </c>
      <c r="R211" t="s">
        <v>3745</v>
      </c>
      <c r="S211">
        <v>143790</v>
      </c>
      <c r="T211" t="s">
        <v>3746</v>
      </c>
      <c r="U211" t="s">
        <v>2835</v>
      </c>
      <c r="W211">
        <v>0</v>
      </c>
      <c r="X211">
        <v>45500</v>
      </c>
      <c r="Y211">
        <v>41363.636363636302</v>
      </c>
      <c r="Z211" s="26">
        <v>46058</v>
      </c>
    </row>
    <row r="212" spans="1:26" x14ac:dyDescent="0.3">
      <c r="A212" s="50">
        <v>46058.066192129627</v>
      </c>
      <c r="B212">
        <v>2.0260205013356401E+18</v>
      </c>
      <c r="C212" t="s">
        <v>3747</v>
      </c>
      <c r="D212" t="s">
        <v>3748</v>
      </c>
      <c r="E212" t="s">
        <v>3748</v>
      </c>
      <c r="F212" t="s">
        <v>3747</v>
      </c>
      <c r="G212" t="s">
        <v>3748</v>
      </c>
      <c r="H212" t="s">
        <v>3748</v>
      </c>
      <c r="I212">
        <v>42637</v>
      </c>
      <c r="J212" t="s">
        <v>3749</v>
      </c>
      <c r="K212" t="s">
        <v>3749</v>
      </c>
      <c r="L212" t="s">
        <v>2832</v>
      </c>
      <c r="M212" t="s">
        <v>2833</v>
      </c>
      <c r="N212">
        <v>54363</v>
      </c>
      <c r="O212">
        <v>45500</v>
      </c>
      <c r="P212">
        <v>1</v>
      </c>
      <c r="Q212">
        <v>0</v>
      </c>
      <c r="S212">
        <v>143790</v>
      </c>
      <c r="T212" t="s">
        <v>3750</v>
      </c>
      <c r="U212" t="s">
        <v>2835</v>
      </c>
      <c r="W212">
        <v>0</v>
      </c>
      <c r="X212">
        <v>45500</v>
      </c>
      <c r="Y212">
        <v>41363.636363636302</v>
      </c>
      <c r="Z212" s="26">
        <v>46058</v>
      </c>
    </row>
    <row r="213" spans="1:26" x14ac:dyDescent="0.3">
      <c r="A213" s="50">
        <v>46058.038287037038</v>
      </c>
      <c r="B213">
        <v>2.02602050049522E+18</v>
      </c>
      <c r="C213" t="s">
        <v>3751</v>
      </c>
      <c r="D213" t="s">
        <v>3752</v>
      </c>
      <c r="E213" t="s">
        <v>3752</v>
      </c>
      <c r="F213" t="s">
        <v>3753</v>
      </c>
      <c r="G213" t="s">
        <v>3754</v>
      </c>
      <c r="H213" t="s">
        <v>3754</v>
      </c>
      <c r="I213">
        <v>4989</v>
      </c>
      <c r="J213" t="s">
        <v>3755</v>
      </c>
      <c r="K213" t="s">
        <v>3755</v>
      </c>
      <c r="L213" t="s">
        <v>2832</v>
      </c>
      <c r="M213" t="s">
        <v>2833</v>
      </c>
      <c r="N213">
        <v>108726</v>
      </c>
      <c r="O213">
        <v>45500</v>
      </c>
      <c r="P213">
        <v>2</v>
      </c>
      <c r="Q213">
        <v>0</v>
      </c>
      <c r="R213" t="s">
        <v>3756</v>
      </c>
      <c r="S213">
        <v>143790</v>
      </c>
      <c r="T213" t="s">
        <v>3757</v>
      </c>
      <c r="U213" t="s">
        <v>2835</v>
      </c>
      <c r="W213">
        <v>0</v>
      </c>
      <c r="X213">
        <v>91000</v>
      </c>
      <c r="Y213">
        <v>82727.272727272706</v>
      </c>
      <c r="Z213" s="26">
        <v>46058</v>
      </c>
    </row>
    <row r="214" spans="1:26" x14ac:dyDescent="0.3">
      <c r="A214" s="50">
        <v>46058.015810185178</v>
      </c>
      <c r="B214">
        <v>2.0260205002215401E+18</v>
      </c>
      <c r="C214" t="s">
        <v>3758</v>
      </c>
      <c r="D214" t="s">
        <v>3759</v>
      </c>
      <c r="E214" t="s">
        <v>3759</v>
      </c>
      <c r="F214" t="s">
        <v>3758</v>
      </c>
      <c r="G214" t="s">
        <v>3759</v>
      </c>
      <c r="H214" t="s">
        <v>3759</v>
      </c>
      <c r="I214">
        <v>12097</v>
      </c>
      <c r="J214" t="s">
        <v>3760</v>
      </c>
      <c r="K214" t="s">
        <v>3760</v>
      </c>
      <c r="L214" t="s">
        <v>2832</v>
      </c>
      <c r="M214" t="s">
        <v>2833</v>
      </c>
      <c r="N214">
        <v>54363</v>
      </c>
      <c r="O214">
        <v>45500</v>
      </c>
      <c r="P214">
        <v>1</v>
      </c>
      <c r="Q214">
        <v>0</v>
      </c>
      <c r="S214">
        <v>143790</v>
      </c>
      <c r="T214" t="s">
        <v>3761</v>
      </c>
      <c r="U214" t="s">
        <v>2835</v>
      </c>
      <c r="W214">
        <v>0</v>
      </c>
      <c r="X214">
        <v>45500</v>
      </c>
      <c r="Y214">
        <v>41363.636363636302</v>
      </c>
      <c r="Z214" s="26">
        <v>46058</v>
      </c>
    </row>
    <row r="215" spans="1:26" x14ac:dyDescent="0.3">
      <c r="A215" s="50">
        <v>46057.947754629633</v>
      </c>
      <c r="B215">
        <v>2.0260204223818399E+18</v>
      </c>
      <c r="C215" t="s">
        <v>3762</v>
      </c>
      <c r="D215" t="s">
        <v>3763</v>
      </c>
      <c r="E215" t="s">
        <v>3763</v>
      </c>
      <c r="F215" t="s">
        <v>3762</v>
      </c>
      <c r="G215" t="s">
        <v>3763</v>
      </c>
      <c r="H215" t="s">
        <v>3763</v>
      </c>
      <c r="I215">
        <v>34049</v>
      </c>
      <c r="J215" t="s">
        <v>3764</v>
      </c>
      <c r="K215" t="s">
        <v>3764</v>
      </c>
      <c r="L215" t="s">
        <v>2832</v>
      </c>
      <c r="M215" t="s">
        <v>2833</v>
      </c>
      <c r="N215">
        <v>54363</v>
      </c>
      <c r="O215">
        <v>45500</v>
      </c>
      <c r="P215">
        <v>1</v>
      </c>
      <c r="Q215">
        <v>0</v>
      </c>
      <c r="R215" t="s">
        <v>3765</v>
      </c>
      <c r="S215">
        <v>143790</v>
      </c>
      <c r="T215" t="s">
        <v>3766</v>
      </c>
      <c r="U215" t="s">
        <v>2835</v>
      </c>
      <c r="W215">
        <v>0</v>
      </c>
      <c r="X215">
        <v>45500</v>
      </c>
      <c r="Y215">
        <v>41363.636363636302</v>
      </c>
      <c r="Z215" s="26">
        <v>46058</v>
      </c>
    </row>
    <row r="216" spans="1:26" x14ac:dyDescent="0.3">
      <c r="A216" s="50">
        <v>46057.942800925928</v>
      </c>
      <c r="B216">
        <v>2.02602042234528E+18</v>
      </c>
      <c r="C216" t="s">
        <v>3767</v>
      </c>
      <c r="D216" t="s">
        <v>3768</v>
      </c>
      <c r="E216" t="s">
        <v>3768</v>
      </c>
      <c r="F216" t="s">
        <v>3767</v>
      </c>
      <c r="G216" t="s">
        <v>3768</v>
      </c>
      <c r="H216" t="s">
        <v>3768</v>
      </c>
      <c r="I216">
        <v>8236</v>
      </c>
      <c r="J216" t="s">
        <v>3769</v>
      </c>
      <c r="K216" t="s">
        <v>3769</v>
      </c>
      <c r="L216" t="s">
        <v>2832</v>
      </c>
      <c r="M216" t="s">
        <v>2833</v>
      </c>
      <c r="N216">
        <v>54363</v>
      </c>
      <c r="O216">
        <v>45500</v>
      </c>
      <c r="P216">
        <v>1</v>
      </c>
      <c r="Q216">
        <v>0</v>
      </c>
      <c r="R216" t="s">
        <v>2598</v>
      </c>
      <c r="S216">
        <v>143790</v>
      </c>
      <c r="T216" t="s">
        <v>3770</v>
      </c>
      <c r="U216" t="s">
        <v>2835</v>
      </c>
      <c r="W216">
        <v>0</v>
      </c>
      <c r="X216">
        <v>45500</v>
      </c>
      <c r="Y216">
        <v>41363.636363636302</v>
      </c>
      <c r="Z216" s="26">
        <v>46058</v>
      </c>
    </row>
    <row r="217" spans="1:26" x14ac:dyDescent="0.3">
      <c r="A217" s="50">
        <v>46057.939247685194</v>
      </c>
      <c r="B217">
        <v>2.0260204223127199E+18</v>
      </c>
      <c r="C217" t="s">
        <v>3771</v>
      </c>
      <c r="D217" t="s">
        <v>3772</v>
      </c>
      <c r="E217" t="s">
        <v>3772</v>
      </c>
      <c r="F217" t="s">
        <v>3771</v>
      </c>
      <c r="G217" t="s">
        <v>3772</v>
      </c>
      <c r="H217" t="s">
        <v>3772</v>
      </c>
      <c r="I217">
        <v>13485</v>
      </c>
      <c r="J217" t="s">
        <v>3773</v>
      </c>
      <c r="K217" t="s">
        <v>3773</v>
      </c>
      <c r="L217" t="s">
        <v>2832</v>
      </c>
      <c r="M217" t="s">
        <v>2833</v>
      </c>
      <c r="N217">
        <v>54363</v>
      </c>
      <c r="O217">
        <v>45500</v>
      </c>
      <c r="P217">
        <v>1</v>
      </c>
      <c r="Q217">
        <v>0</v>
      </c>
      <c r="S217">
        <v>143790</v>
      </c>
      <c r="T217" t="s">
        <v>3774</v>
      </c>
      <c r="U217" t="s">
        <v>2835</v>
      </c>
      <c r="W217">
        <v>0</v>
      </c>
      <c r="X217">
        <v>45500</v>
      </c>
      <c r="Y217">
        <v>41363.636363636302</v>
      </c>
      <c r="Z217" s="26">
        <v>46058</v>
      </c>
    </row>
    <row r="218" spans="1:26" x14ac:dyDescent="0.3">
      <c r="A218" s="50">
        <v>46057.932569444441</v>
      </c>
      <c r="B218">
        <v>2.0260204222154801E+18</v>
      </c>
      <c r="C218" t="s">
        <v>3775</v>
      </c>
      <c r="D218" t="s">
        <v>3776</v>
      </c>
      <c r="E218" t="s">
        <v>3776</v>
      </c>
      <c r="F218" t="s">
        <v>3775</v>
      </c>
      <c r="G218" t="s">
        <v>3776</v>
      </c>
      <c r="H218" t="s">
        <v>3776</v>
      </c>
      <c r="I218">
        <v>7671</v>
      </c>
      <c r="J218" t="s">
        <v>3777</v>
      </c>
      <c r="K218" t="s">
        <v>3777</v>
      </c>
      <c r="L218" t="s">
        <v>2832</v>
      </c>
      <c r="M218" t="s">
        <v>2833</v>
      </c>
      <c r="N218">
        <v>54363</v>
      </c>
      <c r="O218">
        <v>45500</v>
      </c>
      <c r="P218">
        <v>1</v>
      </c>
      <c r="Q218">
        <v>0</v>
      </c>
      <c r="S218">
        <v>143790</v>
      </c>
      <c r="T218" t="s">
        <v>3778</v>
      </c>
      <c r="U218" t="s">
        <v>2835</v>
      </c>
      <c r="W218">
        <v>0</v>
      </c>
      <c r="X218">
        <v>45500</v>
      </c>
      <c r="Y218">
        <v>41363.636363636302</v>
      </c>
      <c r="Z218" s="26">
        <v>46058</v>
      </c>
    </row>
    <row r="219" spans="1:26" x14ac:dyDescent="0.3">
      <c r="A219" s="50">
        <v>46057.928055555552</v>
      </c>
      <c r="B219">
        <v>2.02602042215489E+18</v>
      </c>
      <c r="C219" t="s">
        <v>3779</v>
      </c>
      <c r="D219" t="s">
        <v>3780</v>
      </c>
      <c r="E219" t="s">
        <v>3780</v>
      </c>
      <c r="F219" t="s">
        <v>3779</v>
      </c>
      <c r="G219" t="s">
        <v>3780</v>
      </c>
      <c r="H219" t="s">
        <v>3780</v>
      </c>
      <c r="I219">
        <v>7039</v>
      </c>
      <c r="J219" t="s">
        <v>3781</v>
      </c>
      <c r="K219" t="s">
        <v>3781</v>
      </c>
      <c r="L219" t="s">
        <v>2832</v>
      </c>
      <c r="M219" t="s">
        <v>2833</v>
      </c>
      <c r="N219">
        <v>54363</v>
      </c>
      <c r="O219">
        <v>45500</v>
      </c>
      <c r="P219">
        <v>1</v>
      </c>
      <c r="Q219">
        <v>0</v>
      </c>
      <c r="S219">
        <v>143790</v>
      </c>
      <c r="T219" t="s">
        <v>3782</v>
      </c>
      <c r="U219" t="s">
        <v>2835</v>
      </c>
      <c r="W219">
        <v>0</v>
      </c>
      <c r="X219">
        <v>45500</v>
      </c>
      <c r="Y219">
        <v>41363.636363636302</v>
      </c>
      <c r="Z219" s="26">
        <v>46058</v>
      </c>
    </row>
    <row r="220" spans="1:26" x14ac:dyDescent="0.3">
      <c r="A220" s="50">
        <v>46057.92696759259</v>
      </c>
      <c r="B220">
        <v>2.0260204221301299E+18</v>
      </c>
      <c r="C220" t="s">
        <v>3783</v>
      </c>
      <c r="D220" t="s">
        <v>3784</v>
      </c>
      <c r="E220" t="s">
        <v>3784</v>
      </c>
      <c r="F220" t="s">
        <v>3785</v>
      </c>
      <c r="G220" t="s">
        <v>3786</v>
      </c>
      <c r="H220" t="s">
        <v>3786</v>
      </c>
      <c r="I220">
        <v>2418</v>
      </c>
      <c r="J220" t="s">
        <v>3787</v>
      </c>
      <c r="K220" t="s">
        <v>3787</v>
      </c>
      <c r="L220" t="s">
        <v>2832</v>
      </c>
      <c r="M220" t="s">
        <v>2833</v>
      </c>
      <c r="N220">
        <v>54363</v>
      </c>
      <c r="O220">
        <v>45500</v>
      </c>
      <c r="P220">
        <v>1</v>
      </c>
      <c r="Q220">
        <v>0</v>
      </c>
      <c r="S220">
        <v>143790</v>
      </c>
      <c r="T220" t="s">
        <v>3788</v>
      </c>
      <c r="U220" t="s">
        <v>2835</v>
      </c>
      <c r="W220">
        <v>0</v>
      </c>
      <c r="X220">
        <v>45500</v>
      </c>
      <c r="Y220">
        <v>41363.636363636302</v>
      </c>
      <c r="Z220" s="26">
        <v>46058</v>
      </c>
    </row>
    <row r="221" spans="1:26" x14ac:dyDescent="0.3">
      <c r="A221" s="50">
        <v>46057.907141203701</v>
      </c>
      <c r="B221">
        <v>2.0260204214535099E+18</v>
      </c>
      <c r="C221" t="s">
        <v>3789</v>
      </c>
      <c r="D221" t="s">
        <v>3790</v>
      </c>
      <c r="E221" t="s">
        <v>3790</v>
      </c>
      <c r="F221" t="s">
        <v>3789</v>
      </c>
      <c r="G221" t="s">
        <v>3790</v>
      </c>
      <c r="H221" t="s">
        <v>3790</v>
      </c>
      <c r="I221">
        <v>48533</v>
      </c>
      <c r="J221" t="s">
        <v>3791</v>
      </c>
      <c r="K221" t="s">
        <v>3791</v>
      </c>
      <c r="L221" t="s">
        <v>2832</v>
      </c>
      <c r="M221" t="s">
        <v>2833</v>
      </c>
      <c r="N221">
        <v>54363</v>
      </c>
      <c r="O221">
        <v>45500</v>
      </c>
      <c r="P221">
        <v>1</v>
      </c>
      <c r="Q221">
        <v>0</v>
      </c>
      <c r="S221">
        <v>143790</v>
      </c>
      <c r="T221" t="s">
        <v>3792</v>
      </c>
      <c r="U221" t="s">
        <v>2835</v>
      </c>
      <c r="W221">
        <v>0</v>
      </c>
      <c r="X221">
        <v>45500</v>
      </c>
      <c r="Y221">
        <v>41363.636363636302</v>
      </c>
      <c r="Z221" s="26">
        <v>46058</v>
      </c>
    </row>
    <row r="222" spans="1:26" x14ac:dyDescent="0.3">
      <c r="A222" s="50">
        <v>46057.90047453704</v>
      </c>
      <c r="B222">
        <v>2.0260204213138299E+18</v>
      </c>
      <c r="C222" t="s">
        <v>3793</v>
      </c>
      <c r="D222" t="s">
        <v>3794</v>
      </c>
      <c r="E222" t="s">
        <v>3794</v>
      </c>
      <c r="F222" t="s">
        <v>3795</v>
      </c>
      <c r="G222" t="s">
        <v>3796</v>
      </c>
      <c r="H222" t="s">
        <v>3796</v>
      </c>
      <c r="I222">
        <v>40053</v>
      </c>
      <c r="J222" t="s">
        <v>3797</v>
      </c>
      <c r="K222" t="s">
        <v>3797</v>
      </c>
      <c r="L222" t="s">
        <v>2832</v>
      </c>
      <c r="M222" t="s">
        <v>2833</v>
      </c>
      <c r="N222">
        <v>108726</v>
      </c>
      <c r="O222">
        <v>45500</v>
      </c>
      <c r="P222">
        <v>2</v>
      </c>
      <c r="Q222">
        <v>0</v>
      </c>
      <c r="R222" t="s">
        <v>3798</v>
      </c>
      <c r="S222">
        <v>143790</v>
      </c>
      <c r="T222" t="s">
        <v>3799</v>
      </c>
      <c r="U222" t="s">
        <v>2835</v>
      </c>
      <c r="W222">
        <v>0</v>
      </c>
      <c r="X222">
        <v>91000</v>
      </c>
      <c r="Y222">
        <v>82727.272727272706</v>
      </c>
      <c r="Z222" s="26">
        <v>46058</v>
      </c>
    </row>
    <row r="223" spans="1:26" x14ac:dyDescent="0.3">
      <c r="A223" s="50">
        <v>46057.894386574073</v>
      </c>
      <c r="B223">
        <v>2.02602042127102E+18</v>
      </c>
      <c r="C223" t="s">
        <v>3800</v>
      </c>
      <c r="D223" t="s">
        <v>3801</v>
      </c>
      <c r="E223" t="s">
        <v>3801</v>
      </c>
      <c r="F223" t="s">
        <v>3800</v>
      </c>
      <c r="G223" t="s">
        <v>3801</v>
      </c>
      <c r="H223" t="s">
        <v>3801</v>
      </c>
      <c r="I223">
        <v>10073</v>
      </c>
      <c r="J223" t="s">
        <v>3802</v>
      </c>
      <c r="K223" t="s">
        <v>3802</v>
      </c>
      <c r="L223" t="s">
        <v>2832</v>
      </c>
      <c r="M223" t="s">
        <v>2833</v>
      </c>
      <c r="N223">
        <v>54363</v>
      </c>
      <c r="O223">
        <v>45500</v>
      </c>
      <c r="P223">
        <v>1</v>
      </c>
      <c r="Q223">
        <v>0</v>
      </c>
      <c r="S223">
        <v>143790</v>
      </c>
      <c r="T223" t="s">
        <v>3803</v>
      </c>
      <c r="U223" t="s">
        <v>2835</v>
      </c>
      <c r="W223">
        <v>0</v>
      </c>
      <c r="X223">
        <v>45500</v>
      </c>
      <c r="Y223">
        <v>41363.636363636302</v>
      </c>
      <c r="Z223" s="26">
        <v>46058</v>
      </c>
    </row>
    <row r="224" spans="1:26" x14ac:dyDescent="0.3">
      <c r="A224" s="50">
        <v>46057.882627314822</v>
      </c>
      <c r="B224">
        <v>2.02602042110083E+18</v>
      </c>
      <c r="C224" t="s">
        <v>3804</v>
      </c>
      <c r="D224" t="s">
        <v>3805</v>
      </c>
      <c r="E224" t="s">
        <v>3805</v>
      </c>
      <c r="F224" t="s">
        <v>3804</v>
      </c>
      <c r="G224" t="s">
        <v>3805</v>
      </c>
      <c r="H224" t="s">
        <v>3805</v>
      </c>
      <c r="I224">
        <v>4731</v>
      </c>
      <c r="J224" t="s">
        <v>3806</v>
      </c>
      <c r="K224" t="s">
        <v>3806</v>
      </c>
      <c r="L224" t="s">
        <v>2832</v>
      </c>
      <c r="M224" t="s">
        <v>2833</v>
      </c>
      <c r="N224">
        <v>54363</v>
      </c>
      <c r="O224">
        <v>45500</v>
      </c>
      <c r="P224">
        <v>1</v>
      </c>
      <c r="Q224">
        <v>0</v>
      </c>
      <c r="S224">
        <v>143790</v>
      </c>
      <c r="T224" t="s">
        <v>3807</v>
      </c>
      <c r="U224" t="s">
        <v>2835</v>
      </c>
      <c r="W224">
        <v>0</v>
      </c>
      <c r="X224">
        <v>45500</v>
      </c>
      <c r="Y224">
        <v>41363.636363636302</v>
      </c>
      <c r="Z224" s="26">
        <v>46058</v>
      </c>
    </row>
    <row r="225" spans="1:26" x14ac:dyDescent="0.3">
      <c r="A225" s="50">
        <v>46057.881249999999</v>
      </c>
      <c r="B225">
        <v>2.0260204210747599E+18</v>
      </c>
      <c r="C225" t="s">
        <v>3808</v>
      </c>
      <c r="D225" t="s">
        <v>3809</v>
      </c>
      <c r="E225" t="s">
        <v>3809</v>
      </c>
      <c r="F225" t="s">
        <v>3808</v>
      </c>
      <c r="G225" t="s">
        <v>3809</v>
      </c>
      <c r="H225" t="s">
        <v>3809</v>
      </c>
      <c r="I225">
        <v>12137</v>
      </c>
      <c r="J225" t="s">
        <v>3810</v>
      </c>
      <c r="K225" t="s">
        <v>3810</v>
      </c>
      <c r="L225" t="s">
        <v>2832</v>
      </c>
      <c r="M225" t="s">
        <v>2833</v>
      </c>
      <c r="N225">
        <v>54363</v>
      </c>
      <c r="O225">
        <v>45500</v>
      </c>
      <c r="P225">
        <v>1</v>
      </c>
      <c r="Q225">
        <v>0</v>
      </c>
      <c r="S225">
        <v>143790</v>
      </c>
      <c r="T225" t="s">
        <v>3811</v>
      </c>
      <c r="U225" t="s">
        <v>2835</v>
      </c>
      <c r="W225">
        <v>0</v>
      </c>
      <c r="X225">
        <v>45500</v>
      </c>
      <c r="Y225">
        <v>41363.636363636302</v>
      </c>
      <c r="Z225" s="26">
        <v>46058</v>
      </c>
    </row>
    <row r="226" spans="1:26" x14ac:dyDescent="0.3">
      <c r="A226" s="50">
        <v>46057.870752314811</v>
      </c>
      <c r="B226">
        <v>2.02602042052206E+18</v>
      </c>
      <c r="C226" t="s">
        <v>3812</v>
      </c>
      <c r="D226" t="s">
        <v>3813</v>
      </c>
      <c r="E226" t="s">
        <v>3813</v>
      </c>
      <c r="F226" t="s">
        <v>3814</v>
      </c>
      <c r="G226" t="s">
        <v>3815</v>
      </c>
      <c r="H226" t="s">
        <v>3815</v>
      </c>
      <c r="I226">
        <v>5502</v>
      </c>
      <c r="J226" t="s">
        <v>3816</v>
      </c>
      <c r="K226" t="s">
        <v>3816</v>
      </c>
      <c r="L226" t="s">
        <v>2832</v>
      </c>
      <c r="M226" t="s">
        <v>2833</v>
      </c>
      <c r="N226">
        <v>54363</v>
      </c>
      <c r="O226">
        <v>45500</v>
      </c>
      <c r="P226">
        <v>1</v>
      </c>
      <c r="Q226">
        <v>0</v>
      </c>
      <c r="S226">
        <v>143790</v>
      </c>
      <c r="T226" t="s">
        <v>3817</v>
      </c>
      <c r="U226" t="s">
        <v>2835</v>
      </c>
      <c r="W226">
        <v>0</v>
      </c>
      <c r="X226">
        <v>45500</v>
      </c>
      <c r="Y226">
        <v>41363.636363636302</v>
      </c>
      <c r="Z226" s="26">
        <v>46058</v>
      </c>
    </row>
    <row r="227" spans="1:26" x14ac:dyDescent="0.3">
      <c r="A227" s="50">
        <v>46057.870069444441</v>
      </c>
      <c r="B227">
        <v>2.02602042052275E+18</v>
      </c>
      <c r="C227" t="s">
        <v>3818</v>
      </c>
      <c r="D227" t="s">
        <v>3632</v>
      </c>
      <c r="E227" t="s">
        <v>3632</v>
      </c>
      <c r="F227" t="s">
        <v>3818</v>
      </c>
      <c r="G227" t="s">
        <v>3632</v>
      </c>
      <c r="H227" t="s">
        <v>3632</v>
      </c>
      <c r="I227">
        <v>28808</v>
      </c>
      <c r="J227" t="s">
        <v>3633</v>
      </c>
      <c r="K227" t="s">
        <v>3633</v>
      </c>
      <c r="L227" t="s">
        <v>2832</v>
      </c>
      <c r="M227" t="s">
        <v>2833</v>
      </c>
      <c r="N227">
        <v>163089</v>
      </c>
      <c r="O227">
        <v>45500</v>
      </c>
      <c r="P227">
        <v>3</v>
      </c>
      <c r="Q227">
        <v>0</v>
      </c>
      <c r="S227">
        <v>143790</v>
      </c>
      <c r="T227" t="s">
        <v>3819</v>
      </c>
      <c r="U227" t="s">
        <v>2835</v>
      </c>
      <c r="W227">
        <v>0</v>
      </c>
      <c r="X227">
        <v>136500</v>
      </c>
      <c r="Y227">
        <v>124090.909090909</v>
      </c>
      <c r="Z227" s="26">
        <v>46058</v>
      </c>
    </row>
    <row r="228" spans="1:26" x14ac:dyDescent="0.3">
      <c r="A228" s="50">
        <v>46057.847870370373</v>
      </c>
      <c r="B228">
        <v>2.0260204201954501E+18</v>
      </c>
      <c r="C228" t="s">
        <v>3812</v>
      </c>
      <c r="D228" t="s">
        <v>3813</v>
      </c>
      <c r="E228" t="s">
        <v>3813</v>
      </c>
      <c r="F228" t="s">
        <v>3812</v>
      </c>
      <c r="G228" t="s">
        <v>3813</v>
      </c>
      <c r="H228" t="s">
        <v>3813</v>
      </c>
      <c r="I228">
        <v>32264</v>
      </c>
      <c r="J228" t="s">
        <v>3820</v>
      </c>
      <c r="K228" t="s">
        <v>3820</v>
      </c>
      <c r="L228" t="s">
        <v>2832</v>
      </c>
      <c r="M228" t="s">
        <v>2833</v>
      </c>
      <c r="N228">
        <v>54363</v>
      </c>
      <c r="O228">
        <v>45500</v>
      </c>
      <c r="P228">
        <v>1</v>
      </c>
      <c r="Q228">
        <v>0</v>
      </c>
      <c r="S228">
        <v>143790</v>
      </c>
      <c r="T228" t="s">
        <v>3821</v>
      </c>
      <c r="U228" t="s">
        <v>2835</v>
      </c>
      <c r="W228">
        <v>0</v>
      </c>
      <c r="X228">
        <v>45500</v>
      </c>
      <c r="Y228">
        <v>41363.636363636302</v>
      </c>
      <c r="Z228" s="26">
        <v>46058</v>
      </c>
    </row>
    <row r="229" spans="1:26" x14ac:dyDescent="0.3">
      <c r="A229" s="50">
        <v>46057.845046296286</v>
      </c>
      <c r="B229">
        <v>2.0260204201428301E+18</v>
      </c>
      <c r="C229" t="s">
        <v>3812</v>
      </c>
      <c r="D229" t="s">
        <v>3813</v>
      </c>
      <c r="E229" t="s">
        <v>3813</v>
      </c>
      <c r="F229" t="s">
        <v>3822</v>
      </c>
      <c r="G229" t="s">
        <v>3823</v>
      </c>
      <c r="H229" t="s">
        <v>3823</v>
      </c>
      <c r="I229">
        <v>4912</v>
      </c>
      <c r="J229" t="s">
        <v>3824</v>
      </c>
      <c r="K229" t="s">
        <v>3824</v>
      </c>
      <c r="L229" t="s">
        <v>2832</v>
      </c>
      <c r="M229" t="s">
        <v>2833</v>
      </c>
      <c r="N229">
        <v>54363</v>
      </c>
      <c r="O229">
        <v>45500</v>
      </c>
      <c r="P229">
        <v>1</v>
      </c>
      <c r="Q229">
        <v>0</v>
      </c>
      <c r="S229">
        <v>143790</v>
      </c>
      <c r="T229" t="s">
        <v>3825</v>
      </c>
      <c r="U229" t="s">
        <v>2835</v>
      </c>
      <c r="W229">
        <v>0</v>
      </c>
      <c r="X229">
        <v>45500</v>
      </c>
      <c r="Y229">
        <v>41363.636363636302</v>
      </c>
      <c r="Z229" s="26">
        <v>46058</v>
      </c>
    </row>
    <row r="230" spans="1:26" x14ac:dyDescent="0.3">
      <c r="A230" s="50">
        <v>46058.455995370372</v>
      </c>
      <c r="B230">
        <v>2.0260205103158999E+18</v>
      </c>
      <c r="C230" t="s">
        <v>3826</v>
      </c>
      <c r="D230" t="s">
        <v>3827</v>
      </c>
      <c r="E230" t="s">
        <v>3827</v>
      </c>
      <c r="F230" t="s">
        <v>3826</v>
      </c>
      <c r="G230" t="s">
        <v>3827</v>
      </c>
      <c r="H230" t="s">
        <v>3827</v>
      </c>
      <c r="I230">
        <v>2799</v>
      </c>
      <c r="J230" t="s">
        <v>3828</v>
      </c>
      <c r="K230" t="s">
        <v>3828</v>
      </c>
      <c r="L230" t="s">
        <v>3829</v>
      </c>
      <c r="M230" t="s">
        <v>3830</v>
      </c>
      <c r="N230">
        <v>18181</v>
      </c>
      <c r="O230">
        <v>63000</v>
      </c>
      <c r="P230">
        <v>1</v>
      </c>
      <c r="Q230" t="s">
        <v>3831</v>
      </c>
      <c r="S230">
        <v>143790</v>
      </c>
      <c r="T230" t="s">
        <v>3832</v>
      </c>
      <c r="U230" t="s">
        <v>2835</v>
      </c>
      <c r="W230">
        <v>0</v>
      </c>
      <c r="X230">
        <v>63000</v>
      </c>
      <c r="Y230">
        <v>57272.727272727199</v>
      </c>
      <c r="Z230" s="26">
        <v>46058</v>
      </c>
    </row>
    <row r="231" spans="1:26" x14ac:dyDescent="0.3">
      <c r="A231" s="50">
        <v>46058.446909722217</v>
      </c>
      <c r="B231">
        <v>2.02602051042271E+18</v>
      </c>
      <c r="C231" t="s">
        <v>3833</v>
      </c>
      <c r="D231" t="s">
        <v>3834</v>
      </c>
      <c r="E231" t="s">
        <v>3834</v>
      </c>
      <c r="F231" t="s">
        <v>3833</v>
      </c>
      <c r="G231" t="s">
        <v>3834</v>
      </c>
      <c r="H231" t="s">
        <v>3834</v>
      </c>
      <c r="I231">
        <v>18477</v>
      </c>
      <c r="J231" t="s">
        <v>3835</v>
      </c>
      <c r="K231" t="s">
        <v>3835</v>
      </c>
      <c r="L231" t="s">
        <v>3829</v>
      </c>
      <c r="M231" t="s">
        <v>3830</v>
      </c>
      <c r="N231">
        <v>18181</v>
      </c>
      <c r="O231">
        <v>63000</v>
      </c>
      <c r="P231">
        <v>1</v>
      </c>
      <c r="Q231" t="s">
        <v>3831</v>
      </c>
      <c r="S231">
        <v>143790</v>
      </c>
      <c r="T231" t="s">
        <v>3836</v>
      </c>
      <c r="U231" t="s">
        <v>2835</v>
      </c>
      <c r="W231">
        <v>0</v>
      </c>
      <c r="X231">
        <v>63000</v>
      </c>
      <c r="Y231">
        <v>57272.727272727199</v>
      </c>
      <c r="Z231" s="26">
        <v>46058</v>
      </c>
    </row>
    <row r="232" spans="1:26" x14ac:dyDescent="0.3">
      <c r="A232" s="50">
        <v>46058.443796296298</v>
      </c>
      <c r="B232">
        <v>2.0260205103831501E+18</v>
      </c>
      <c r="C232" t="s">
        <v>3837</v>
      </c>
      <c r="D232" t="s">
        <v>3838</v>
      </c>
      <c r="E232" t="s">
        <v>3838</v>
      </c>
      <c r="F232" t="s">
        <v>3837</v>
      </c>
      <c r="G232" t="s">
        <v>3838</v>
      </c>
      <c r="H232" t="s">
        <v>3838</v>
      </c>
      <c r="I232">
        <v>1057</v>
      </c>
      <c r="J232" t="s">
        <v>3839</v>
      </c>
      <c r="K232" t="s">
        <v>3839</v>
      </c>
      <c r="L232" t="s">
        <v>3829</v>
      </c>
      <c r="M232" t="s">
        <v>3830</v>
      </c>
      <c r="N232">
        <v>18181</v>
      </c>
      <c r="O232">
        <v>63000</v>
      </c>
      <c r="P232">
        <v>1</v>
      </c>
      <c r="Q232" t="s">
        <v>3831</v>
      </c>
      <c r="S232">
        <v>143790</v>
      </c>
      <c r="T232" t="s">
        <v>3840</v>
      </c>
      <c r="U232" t="s">
        <v>2835</v>
      </c>
      <c r="W232">
        <v>0</v>
      </c>
      <c r="X232">
        <v>63000</v>
      </c>
      <c r="Y232">
        <v>57272.727272727199</v>
      </c>
      <c r="Z232" s="26">
        <v>46058</v>
      </c>
    </row>
    <row r="233" spans="1:26" x14ac:dyDescent="0.3">
      <c r="A233" s="50">
        <v>46058.399074074077</v>
      </c>
      <c r="B233">
        <v>2.0260205093351199E+18</v>
      </c>
      <c r="C233" t="s">
        <v>3841</v>
      </c>
      <c r="D233" t="s">
        <v>3842</v>
      </c>
      <c r="E233" t="s">
        <v>3842</v>
      </c>
      <c r="F233" t="s">
        <v>3841</v>
      </c>
      <c r="G233" t="s">
        <v>3842</v>
      </c>
      <c r="H233" t="s">
        <v>3842</v>
      </c>
      <c r="I233">
        <v>5224</v>
      </c>
      <c r="J233" t="s">
        <v>3843</v>
      </c>
      <c r="K233" t="s">
        <v>3843</v>
      </c>
      <c r="L233" t="s">
        <v>3829</v>
      </c>
      <c r="M233" t="s">
        <v>3830</v>
      </c>
      <c r="N233">
        <v>18181</v>
      </c>
      <c r="O233">
        <v>63000</v>
      </c>
      <c r="P233">
        <v>1</v>
      </c>
      <c r="Q233" t="s">
        <v>3831</v>
      </c>
      <c r="S233">
        <v>143790</v>
      </c>
      <c r="T233" t="s">
        <v>3844</v>
      </c>
      <c r="U233" t="s">
        <v>2835</v>
      </c>
      <c r="W233">
        <v>0</v>
      </c>
      <c r="X233">
        <v>63000</v>
      </c>
      <c r="Y233">
        <v>57272.727272727199</v>
      </c>
      <c r="Z233" s="26">
        <v>46058</v>
      </c>
    </row>
    <row r="234" spans="1:26" x14ac:dyDescent="0.3">
      <c r="A234" s="50">
        <v>46058.382025462961</v>
      </c>
      <c r="B234">
        <v>2.02602050909311E+18</v>
      </c>
      <c r="C234" t="s">
        <v>3845</v>
      </c>
      <c r="D234" t="s">
        <v>3846</v>
      </c>
      <c r="E234" t="s">
        <v>3846</v>
      </c>
      <c r="F234" t="s">
        <v>3845</v>
      </c>
      <c r="G234" t="s">
        <v>3846</v>
      </c>
      <c r="H234" t="s">
        <v>3846</v>
      </c>
      <c r="I234">
        <v>61112</v>
      </c>
      <c r="J234" t="s">
        <v>3847</v>
      </c>
      <c r="K234" t="s">
        <v>3847</v>
      </c>
      <c r="L234" t="s">
        <v>3829</v>
      </c>
      <c r="M234" t="s">
        <v>3830</v>
      </c>
      <c r="N234">
        <v>18181</v>
      </c>
      <c r="O234">
        <v>63000</v>
      </c>
      <c r="P234">
        <v>1</v>
      </c>
      <c r="Q234" t="s">
        <v>3831</v>
      </c>
      <c r="S234">
        <v>143790</v>
      </c>
      <c r="T234" t="s">
        <v>3848</v>
      </c>
      <c r="U234" t="s">
        <v>2835</v>
      </c>
      <c r="W234">
        <v>0</v>
      </c>
      <c r="X234">
        <v>63000</v>
      </c>
      <c r="Y234">
        <v>57272.727272727199</v>
      </c>
      <c r="Z234" s="26">
        <v>46058</v>
      </c>
    </row>
    <row r="235" spans="1:26" x14ac:dyDescent="0.3">
      <c r="A235" s="50">
        <v>46058.37358796296</v>
      </c>
      <c r="B235">
        <v>2.0260205085507899E+18</v>
      </c>
      <c r="C235" t="s">
        <v>3849</v>
      </c>
      <c r="D235" t="s">
        <v>3850</v>
      </c>
      <c r="E235" t="s">
        <v>3850</v>
      </c>
      <c r="F235" t="s">
        <v>3849</v>
      </c>
      <c r="G235" t="s">
        <v>3850</v>
      </c>
      <c r="H235" t="s">
        <v>3850</v>
      </c>
      <c r="I235">
        <v>7729</v>
      </c>
      <c r="J235" t="s">
        <v>3851</v>
      </c>
      <c r="K235" t="s">
        <v>3851</v>
      </c>
      <c r="L235" t="s">
        <v>3829</v>
      </c>
      <c r="M235" t="s">
        <v>3830</v>
      </c>
      <c r="N235">
        <v>18181</v>
      </c>
      <c r="O235">
        <v>63000</v>
      </c>
      <c r="P235">
        <v>1</v>
      </c>
      <c r="Q235" t="s">
        <v>3831</v>
      </c>
      <c r="S235">
        <v>143790</v>
      </c>
      <c r="T235" t="s">
        <v>3852</v>
      </c>
      <c r="U235" t="s">
        <v>2835</v>
      </c>
      <c r="W235">
        <v>0</v>
      </c>
      <c r="X235">
        <v>63000</v>
      </c>
      <c r="Y235">
        <v>57272.727272727199</v>
      </c>
      <c r="Z235" s="26">
        <v>46058</v>
      </c>
    </row>
    <row r="236" spans="1:26" x14ac:dyDescent="0.3">
      <c r="A236" s="50">
        <v>46058.358402777783</v>
      </c>
      <c r="B236">
        <v>2.0260205083521999E+18</v>
      </c>
      <c r="C236" t="s">
        <v>3853</v>
      </c>
      <c r="D236" t="s">
        <v>3854</v>
      </c>
      <c r="E236" t="s">
        <v>3854</v>
      </c>
      <c r="F236" t="s">
        <v>3853</v>
      </c>
      <c r="G236" t="s">
        <v>3854</v>
      </c>
      <c r="H236" t="s">
        <v>3854</v>
      </c>
      <c r="I236">
        <v>6280</v>
      </c>
      <c r="J236" t="s">
        <v>3855</v>
      </c>
      <c r="K236" t="s">
        <v>3855</v>
      </c>
      <c r="L236" t="s">
        <v>3829</v>
      </c>
      <c r="M236" t="s">
        <v>3830</v>
      </c>
      <c r="N236">
        <v>18181</v>
      </c>
      <c r="O236">
        <v>63000</v>
      </c>
      <c r="P236">
        <v>1</v>
      </c>
      <c r="Q236" t="s">
        <v>3831</v>
      </c>
      <c r="S236">
        <v>143790</v>
      </c>
      <c r="T236" t="s">
        <v>3856</v>
      </c>
      <c r="U236" t="s">
        <v>2835</v>
      </c>
      <c r="W236">
        <v>0</v>
      </c>
      <c r="X236">
        <v>63000</v>
      </c>
      <c r="Y236">
        <v>57272.727272727199</v>
      </c>
      <c r="Z236" s="26">
        <v>46058</v>
      </c>
    </row>
    <row r="237" spans="1:26" x14ac:dyDescent="0.3">
      <c r="A237" s="50">
        <v>46058.351469907408</v>
      </c>
      <c r="B237">
        <v>2.0260205082401201E+18</v>
      </c>
      <c r="C237" t="s">
        <v>3857</v>
      </c>
      <c r="D237" t="s">
        <v>3858</v>
      </c>
      <c r="E237" t="s">
        <v>3858</v>
      </c>
      <c r="F237" t="s">
        <v>3857</v>
      </c>
      <c r="G237" t="s">
        <v>3858</v>
      </c>
      <c r="H237" t="s">
        <v>3858</v>
      </c>
      <c r="I237">
        <v>12216</v>
      </c>
      <c r="J237" t="s">
        <v>3859</v>
      </c>
      <c r="K237" t="s">
        <v>3859</v>
      </c>
      <c r="L237" t="s">
        <v>3829</v>
      </c>
      <c r="M237" t="s">
        <v>3830</v>
      </c>
      <c r="N237">
        <v>18181</v>
      </c>
      <c r="O237">
        <v>63000</v>
      </c>
      <c r="P237">
        <v>1</v>
      </c>
      <c r="Q237" t="s">
        <v>3831</v>
      </c>
      <c r="S237">
        <v>143790</v>
      </c>
      <c r="T237" t="s">
        <v>3860</v>
      </c>
      <c r="U237" t="s">
        <v>2835</v>
      </c>
      <c r="W237">
        <v>0</v>
      </c>
      <c r="X237">
        <v>63000</v>
      </c>
      <c r="Y237">
        <v>57272.727272727199</v>
      </c>
      <c r="Z237" s="26">
        <v>46058</v>
      </c>
    </row>
    <row r="238" spans="1:26" x14ac:dyDescent="0.3">
      <c r="A238" s="50">
        <v>46058.34957175926</v>
      </c>
      <c r="B238">
        <v>2.0260205082256699E+18</v>
      </c>
      <c r="C238" t="s">
        <v>3861</v>
      </c>
      <c r="D238" t="s">
        <v>3862</v>
      </c>
      <c r="E238" t="s">
        <v>3862</v>
      </c>
      <c r="F238" t="s">
        <v>3861</v>
      </c>
      <c r="G238" t="s">
        <v>3862</v>
      </c>
      <c r="H238" t="s">
        <v>3862</v>
      </c>
      <c r="I238">
        <v>16519</v>
      </c>
      <c r="J238" t="s">
        <v>3863</v>
      </c>
      <c r="K238" t="s">
        <v>3863</v>
      </c>
      <c r="L238" t="s">
        <v>3829</v>
      </c>
      <c r="M238" t="s">
        <v>3830</v>
      </c>
      <c r="N238">
        <v>18181</v>
      </c>
      <c r="O238">
        <v>63000</v>
      </c>
      <c r="P238">
        <v>1</v>
      </c>
      <c r="Q238" t="s">
        <v>3831</v>
      </c>
      <c r="S238">
        <v>143790</v>
      </c>
      <c r="T238" t="s">
        <v>3864</v>
      </c>
      <c r="U238" t="s">
        <v>2835</v>
      </c>
      <c r="W238">
        <v>0</v>
      </c>
      <c r="X238">
        <v>63000</v>
      </c>
      <c r="Y238">
        <v>57272.727272727199</v>
      </c>
      <c r="Z238" s="26">
        <v>46058</v>
      </c>
    </row>
    <row r="239" spans="1:26" x14ac:dyDescent="0.3">
      <c r="A239" s="50">
        <v>46058.349189814813</v>
      </c>
      <c r="B239">
        <v>2.02602050817359E+18</v>
      </c>
      <c r="C239" t="s">
        <v>3865</v>
      </c>
      <c r="D239" t="s">
        <v>3866</v>
      </c>
      <c r="E239" t="s">
        <v>3866</v>
      </c>
      <c r="F239" t="s">
        <v>3865</v>
      </c>
      <c r="G239" t="s">
        <v>3866</v>
      </c>
      <c r="H239" t="s">
        <v>3866</v>
      </c>
      <c r="I239">
        <v>12110</v>
      </c>
      <c r="J239" t="s">
        <v>3867</v>
      </c>
      <c r="K239" t="s">
        <v>3867</v>
      </c>
      <c r="L239" t="s">
        <v>3829</v>
      </c>
      <c r="M239" t="s">
        <v>3830</v>
      </c>
      <c r="N239">
        <v>18181</v>
      </c>
      <c r="O239">
        <v>63000</v>
      </c>
      <c r="P239">
        <v>1</v>
      </c>
      <c r="Q239" t="s">
        <v>3831</v>
      </c>
      <c r="S239">
        <v>143790</v>
      </c>
      <c r="T239" t="s">
        <v>3868</v>
      </c>
      <c r="U239" t="s">
        <v>2835</v>
      </c>
      <c r="W239">
        <v>0</v>
      </c>
      <c r="X239">
        <v>63000</v>
      </c>
      <c r="Y239">
        <v>57272.727272727199</v>
      </c>
      <c r="Z239" s="26">
        <v>46058</v>
      </c>
    </row>
    <row r="240" spans="1:26" x14ac:dyDescent="0.3">
      <c r="A240" s="50">
        <v>46058.342291666668</v>
      </c>
      <c r="B240">
        <v>2.0260205081139E+18</v>
      </c>
      <c r="C240" t="s">
        <v>3869</v>
      </c>
      <c r="D240" t="s">
        <v>3870</v>
      </c>
      <c r="E240" t="s">
        <v>3870</v>
      </c>
      <c r="F240" t="s">
        <v>3869</v>
      </c>
      <c r="G240" t="s">
        <v>3870</v>
      </c>
      <c r="H240" t="s">
        <v>3870</v>
      </c>
      <c r="I240">
        <v>21385</v>
      </c>
      <c r="J240" t="s">
        <v>3871</v>
      </c>
      <c r="K240" t="s">
        <v>3871</v>
      </c>
      <c r="L240" t="s">
        <v>3829</v>
      </c>
      <c r="M240" t="s">
        <v>3830</v>
      </c>
      <c r="N240">
        <v>18181</v>
      </c>
      <c r="O240">
        <v>63000</v>
      </c>
      <c r="P240">
        <v>1</v>
      </c>
      <c r="Q240" t="s">
        <v>3831</v>
      </c>
      <c r="S240">
        <v>143790</v>
      </c>
      <c r="T240" t="s">
        <v>3872</v>
      </c>
      <c r="U240" t="s">
        <v>2835</v>
      </c>
      <c r="W240">
        <v>0</v>
      </c>
      <c r="X240">
        <v>63000</v>
      </c>
      <c r="Y240">
        <v>57272.727272727199</v>
      </c>
      <c r="Z240" s="26">
        <v>46058</v>
      </c>
    </row>
    <row r="241" spans="1:26" x14ac:dyDescent="0.3">
      <c r="A241" s="50">
        <v>46058.339722222219</v>
      </c>
      <c r="B241">
        <v>2.0260205080738801E+18</v>
      </c>
      <c r="C241" t="s">
        <v>3873</v>
      </c>
      <c r="D241" t="s">
        <v>3874</v>
      </c>
      <c r="E241" t="s">
        <v>3874</v>
      </c>
      <c r="F241" t="s">
        <v>3875</v>
      </c>
      <c r="G241" t="s">
        <v>3876</v>
      </c>
      <c r="H241" t="s">
        <v>3876</v>
      </c>
      <c r="I241">
        <v>10483</v>
      </c>
      <c r="J241" t="s">
        <v>3877</v>
      </c>
      <c r="K241" t="s">
        <v>3877</v>
      </c>
      <c r="L241" t="s">
        <v>3829</v>
      </c>
      <c r="M241" t="s">
        <v>3830</v>
      </c>
      <c r="N241">
        <v>18181</v>
      </c>
      <c r="O241">
        <v>63000</v>
      </c>
      <c r="P241">
        <v>1</v>
      </c>
      <c r="Q241" t="s">
        <v>3831</v>
      </c>
      <c r="S241">
        <v>143790</v>
      </c>
      <c r="T241" t="s">
        <v>3878</v>
      </c>
      <c r="U241" t="s">
        <v>2835</v>
      </c>
      <c r="W241">
        <v>0</v>
      </c>
      <c r="X241">
        <v>63000</v>
      </c>
      <c r="Y241">
        <v>57272.727272727199</v>
      </c>
      <c r="Z241" s="26">
        <v>46058</v>
      </c>
    </row>
    <row r="242" spans="1:26" x14ac:dyDescent="0.3">
      <c r="A242" s="50">
        <v>46058.337141203701</v>
      </c>
      <c r="B242">
        <v>2.02602050803411E+18</v>
      </c>
      <c r="C242" t="s">
        <v>3879</v>
      </c>
      <c r="D242" t="s">
        <v>3880</v>
      </c>
      <c r="E242" t="s">
        <v>3880</v>
      </c>
      <c r="F242" t="s">
        <v>3879</v>
      </c>
      <c r="G242" t="s">
        <v>3880</v>
      </c>
      <c r="H242" t="s">
        <v>3880</v>
      </c>
      <c r="I242">
        <v>12284</v>
      </c>
      <c r="J242" t="s">
        <v>3881</v>
      </c>
      <c r="K242" t="s">
        <v>3881</v>
      </c>
      <c r="L242" t="s">
        <v>3829</v>
      </c>
      <c r="M242" t="s">
        <v>3830</v>
      </c>
      <c r="N242">
        <v>18181</v>
      </c>
      <c r="O242">
        <v>63000</v>
      </c>
      <c r="P242">
        <v>1</v>
      </c>
      <c r="Q242" t="s">
        <v>3831</v>
      </c>
      <c r="S242">
        <v>143790</v>
      </c>
      <c r="T242" t="s">
        <v>3882</v>
      </c>
      <c r="U242" t="s">
        <v>2835</v>
      </c>
      <c r="W242">
        <v>0</v>
      </c>
      <c r="X242">
        <v>63000</v>
      </c>
      <c r="Y242">
        <v>57272.727272727199</v>
      </c>
      <c r="Z242" s="26">
        <v>46058</v>
      </c>
    </row>
    <row r="243" spans="1:26" x14ac:dyDescent="0.3">
      <c r="A243" s="50">
        <v>46058.336342592593</v>
      </c>
      <c r="B243">
        <v>2.0260205080335401E+18</v>
      </c>
      <c r="C243" t="s">
        <v>3883</v>
      </c>
      <c r="D243" t="s">
        <v>3884</v>
      </c>
      <c r="E243" t="s">
        <v>3884</v>
      </c>
      <c r="F243" t="s">
        <v>3883</v>
      </c>
      <c r="G243" t="s">
        <v>3884</v>
      </c>
      <c r="H243" t="s">
        <v>3884</v>
      </c>
      <c r="I243">
        <v>13556</v>
      </c>
      <c r="J243" t="s">
        <v>3885</v>
      </c>
      <c r="K243" t="s">
        <v>3885</v>
      </c>
      <c r="L243" t="s">
        <v>3829</v>
      </c>
      <c r="M243" t="s">
        <v>3830</v>
      </c>
      <c r="N243">
        <v>18181</v>
      </c>
      <c r="O243">
        <v>63000</v>
      </c>
      <c r="P243">
        <v>1</v>
      </c>
      <c r="Q243" t="s">
        <v>3831</v>
      </c>
      <c r="S243">
        <v>143790</v>
      </c>
      <c r="T243" t="s">
        <v>3886</v>
      </c>
      <c r="U243" t="s">
        <v>2835</v>
      </c>
      <c r="W243">
        <v>0</v>
      </c>
      <c r="X243">
        <v>63000</v>
      </c>
      <c r="Y243">
        <v>57272.727272727199</v>
      </c>
      <c r="Z243" s="26">
        <v>46058</v>
      </c>
    </row>
    <row r="244" spans="1:26" x14ac:dyDescent="0.3">
      <c r="A244" s="50">
        <v>46058.335717592592</v>
      </c>
      <c r="B244">
        <v>2.0260205080136699E+18</v>
      </c>
      <c r="C244" t="s">
        <v>3887</v>
      </c>
      <c r="D244" t="s">
        <v>3888</v>
      </c>
      <c r="E244" t="s">
        <v>3888</v>
      </c>
      <c r="F244" t="s">
        <v>3887</v>
      </c>
      <c r="G244" t="s">
        <v>3888</v>
      </c>
      <c r="H244" t="s">
        <v>3888</v>
      </c>
      <c r="I244">
        <v>41962</v>
      </c>
      <c r="J244" t="s">
        <v>3889</v>
      </c>
      <c r="K244" t="s">
        <v>3889</v>
      </c>
      <c r="L244" t="s">
        <v>3829</v>
      </c>
      <c r="M244" t="s">
        <v>3830</v>
      </c>
      <c r="N244">
        <v>18181</v>
      </c>
      <c r="O244">
        <v>63000</v>
      </c>
      <c r="P244">
        <v>1</v>
      </c>
      <c r="Q244" t="s">
        <v>3831</v>
      </c>
      <c r="S244">
        <v>143790</v>
      </c>
      <c r="T244" t="s">
        <v>3890</v>
      </c>
      <c r="U244" t="s">
        <v>2835</v>
      </c>
      <c r="W244">
        <v>0</v>
      </c>
      <c r="X244">
        <v>63000</v>
      </c>
      <c r="Y244">
        <v>57272.727272727199</v>
      </c>
      <c r="Z244" s="26">
        <v>46058</v>
      </c>
    </row>
    <row r="245" spans="1:26" x14ac:dyDescent="0.3">
      <c r="A245" s="50">
        <v>46058.335011574083</v>
      </c>
      <c r="B245">
        <v>2.0260205075749801E+18</v>
      </c>
      <c r="C245" t="s">
        <v>3891</v>
      </c>
      <c r="D245" t="s">
        <v>3892</v>
      </c>
      <c r="E245" t="s">
        <v>3892</v>
      </c>
      <c r="F245" t="s">
        <v>3891</v>
      </c>
      <c r="G245" t="s">
        <v>3892</v>
      </c>
      <c r="H245" t="s">
        <v>3892</v>
      </c>
      <c r="I245">
        <v>13821</v>
      </c>
      <c r="J245" t="s">
        <v>3893</v>
      </c>
      <c r="K245" t="s">
        <v>3893</v>
      </c>
      <c r="L245" t="s">
        <v>3829</v>
      </c>
      <c r="M245" t="s">
        <v>3830</v>
      </c>
      <c r="N245">
        <v>18181</v>
      </c>
      <c r="O245">
        <v>63000</v>
      </c>
      <c r="P245">
        <v>1</v>
      </c>
      <c r="Q245" t="s">
        <v>3831</v>
      </c>
      <c r="R245" t="s">
        <v>3894</v>
      </c>
      <c r="S245">
        <v>143790</v>
      </c>
      <c r="T245" t="s">
        <v>3895</v>
      </c>
      <c r="U245" t="s">
        <v>2835</v>
      </c>
      <c r="W245">
        <v>0</v>
      </c>
      <c r="X245">
        <v>63000</v>
      </c>
      <c r="Y245">
        <v>57272.727272727199</v>
      </c>
      <c r="Z245" s="26">
        <v>46058</v>
      </c>
    </row>
    <row r="246" spans="1:26" x14ac:dyDescent="0.3">
      <c r="A246" s="50">
        <v>46058.334050925929</v>
      </c>
      <c r="B246">
        <v>2.0260205075941901E+18</v>
      </c>
      <c r="C246" t="s">
        <v>3896</v>
      </c>
      <c r="D246" t="s">
        <v>3897</v>
      </c>
      <c r="E246" t="s">
        <v>3897</v>
      </c>
      <c r="F246" t="s">
        <v>3896</v>
      </c>
      <c r="G246" t="s">
        <v>3897</v>
      </c>
      <c r="H246" t="s">
        <v>3897</v>
      </c>
      <c r="I246">
        <v>42016</v>
      </c>
      <c r="J246" t="s">
        <v>3898</v>
      </c>
      <c r="K246" t="s">
        <v>3898</v>
      </c>
      <c r="L246" t="s">
        <v>3829</v>
      </c>
      <c r="M246" t="s">
        <v>3830</v>
      </c>
      <c r="N246">
        <v>18181</v>
      </c>
      <c r="O246">
        <v>63000</v>
      </c>
      <c r="P246">
        <v>1</v>
      </c>
      <c r="Q246" t="s">
        <v>3831</v>
      </c>
      <c r="S246">
        <v>143790</v>
      </c>
      <c r="T246" t="s">
        <v>3899</v>
      </c>
      <c r="U246" t="s">
        <v>2835</v>
      </c>
      <c r="W246">
        <v>0</v>
      </c>
      <c r="X246">
        <v>63000</v>
      </c>
      <c r="Y246">
        <v>57272.727272727199</v>
      </c>
      <c r="Z246" s="26">
        <v>46058</v>
      </c>
    </row>
    <row r="247" spans="1:26" x14ac:dyDescent="0.3">
      <c r="A247" s="50">
        <v>46058.333796296298</v>
      </c>
      <c r="B247">
        <v>2.0260205075624499E+18</v>
      </c>
      <c r="C247" t="s">
        <v>3900</v>
      </c>
      <c r="D247" t="s">
        <v>3901</v>
      </c>
      <c r="E247" t="s">
        <v>3901</v>
      </c>
      <c r="F247" t="s">
        <v>3902</v>
      </c>
      <c r="G247" t="s">
        <v>3901</v>
      </c>
      <c r="H247" t="s">
        <v>3901</v>
      </c>
      <c r="I247">
        <v>18433</v>
      </c>
      <c r="J247" t="s">
        <v>3903</v>
      </c>
      <c r="K247" t="s">
        <v>3903</v>
      </c>
      <c r="L247" t="s">
        <v>3829</v>
      </c>
      <c r="M247" t="s">
        <v>3830</v>
      </c>
      <c r="N247">
        <v>18181</v>
      </c>
      <c r="O247">
        <v>63000</v>
      </c>
      <c r="P247">
        <v>1</v>
      </c>
      <c r="Q247" t="s">
        <v>3831</v>
      </c>
      <c r="S247">
        <v>143790</v>
      </c>
      <c r="T247" t="s">
        <v>3904</v>
      </c>
      <c r="U247" t="s">
        <v>2835</v>
      </c>
      <c r="W247">
        <v>0</v>
      </c>
      <c r="X247">
        <v>63000</v>
      </c>
      <c r="Y247">
        <v>57272.727272727199</v>
      </c>
      <c r="Z247" s="26">
        <v>46058</v>
      </c>
    </row>
    <row r="248" spans="1:26" x14ac:dyDescent="0.3">
      <c r="A248" s="50">
        <v>46058.333182870367</v>
      </c>
      <c r="B248">
        <v>2.0260205075831199E+18</v>
      </c>
      <c r="C248" t="s">
        <v>3905</v>
      </c>
      <c r="D248" t="s">
        <v>3906</v>
      </c>
      <c r="E248" t="s">
        <v>3906</v>
      </c>
      <c r="F248" t="s">
        <v>3905</v>
      </c>
      <c r="G248" t="s">
        <v>3906</v>
      </c>
      <c r="H248" t="s">
        <v>3906</v>
      </c>
      <c r="I248">
        <v>10402</v>
      </c>
      <c r="J248" t="s">
        <v>3907</v>
      </c>
      <c r="K248" t="s">
        <v>3907</v>
      </c>
      <c r="L248" t="s">
        <v>3829</v>
      </c>
      <c r="M248" t="s">
        <v>3830</v>
      </c>
      <c r="N248">
        <v>18181</v>
      </c>
      <c r="O248">
        <v>63000</v>
      </c>
      <c r="P248">
        <v>1</v>
      </c>
      <c r="Q248" t="s">
        <v>3831</v>
      </c>
      <c r="S248">
        <v>143790</v>
      </c>
      <c r="T248" t="s">
        <v>3908</v>
      </c>
      <c r="U248" t="s">
        <v>2835</v>
      </c>
      <c r="W248">
        <v>0</v>
      </c>
      <c r="X248">
        <v>63000</v>
      </c>
      <c r="Y248">
        <v>57272.727272727199</v>
      </c>
      <c r="Z248" s="26">
        <v>46058</v>
      </c>
    </row>
    <row r="249" spans="1:26" x14ac:dyDescent="0.3">
      <c r="A249" s="50">
        <v>46058.331458333327</v>
      </c>
      <c r="B249">
        <v>2.0260205075626701E+18</v>
      </c>
      <c r="C249" t="s">
        <v>3909</v>
      </c>
      <c r="D249" t="s">
        <v>3910</v>
      </c>
      <c r="E249" t="s">
        <v>3910</v>
      </c>
      <c r="F249" t="s">
        <v>3909</v>
      </c>
      <c r="G249" t="s">
        <v>3910</v>
      </c>
      <c r="H249" t="s">
        <v>3910</v>
      </c>
      <c r="I249">
        <v>48298</v>
      </c>
      <c r="J249" t="s">
        <v>3911</v>
      </c>
      <c r="K249" t="s">
        <v>3911</v>
      </c>
      <c r="L249" t="s">
        <v>3829</v>
      </c>
      <c r="M249" t="s">
        <v>3830</v>
      </c>
      <c r="N249">
        <v>18181</v>
      </c>
      <c r="O249">
        <v>63000</v>
      </c>
      <c r="P249">
        <v>1</v>
      </c>
      <c r="Q249" t="s">
        <v>3831</v>
      </c>
      <c r="S249">
        <v>143790</v>
      </c>
      <c r="T249" t="s">
        <v>3912</v>
      </c>
      <c r="U249" t="s">
        <v>2835</v>
      </c>
      <c r="W249">
        <v>0</v>
      </c>
      <c r="X249">
        <v>63000</v>
      </c>
      <c r="Y249">
        <v>57272.727272727199</v>
      </c>
      <c r="Z249" s="26">
        <v>46058</v>
      </c>
    </row>
    <row r="250" spans="1:26" x14ac:dyDescent="0.3">
      <c r="A250" s="50">
        <v>46058.325219907398</v>
      </c>
      <c r="B250">
        <v>2.0260205074725499E+18</v>
      </c>
      <c r="C250" t="s">
        <v>3913</v>
      </c>
      <c r="D250" t="s">
        <v>3914</v>
      </c>
      <c r="E250" t="s">
        <v>3914</v>
      </c>
      <c r="F250" t="s">
        <v>3913</v>
      </c>
      <c r="G250" t="s">
        <v>3914</v>
      </c>
      <c r="H250" t="s">
        <v>3914</v>
      </c>
      <c r="I250">
        <v>6218</v>
      </c>
      <c r="J250" t="s">
        <v>3915</v>
      </c>
      <c r="K250" t="s">
        <v>3915</v>
      </c>
      <c r="L250" t="s">
        <v>3829</v>
      </c>
      <c r="M250" t="s">
        <v>3830</v>
      </c>
      <c r="N250">
        <v>18181</v>
      </c>
      <c r="O250">
        <v>63000</v>
      </c>
      <c r="P250">
        <v>1</v>
      </c>
      <c r="Q250" t="s">
        <v>3831</v>
      </c>
      <c r="S250">
        <v>143790</v>
      </c>
      <c r="T250" t="s">
        <v>3916</v>
      </c>
      <c r="U250" t="s">
        <v>2835</v>
      </c>
      <c r="W250">
        <v>0</v>
      </c>
      <c r="X250">
        <v>63000</v>
      </c>
      <c r="Y250">
        <v>57272.727272727199</v>
      </c>
      <c r="Z250" s="26">
        <v>46058</v>
      </c>
    </row>
    <row r="251" spans="1:26" x14ac:dyDescent="0.3">
      <c r="A251" s="50">
        <v>46058.299907407411</v>
      </c>
      <c r="B251">
        <v>2.0260205071013E+18</v>
      </c>
      <c r="C251" t="s">
        <v>3917</v>
      </c>
      <c r="D251" t="s">
        <v>3918</v>
      </c>
      <c r="E251" t="s">
        <v>3918</v>
      </c>
      <c r="F251" t="s">
        <v>3917</v>
      </c>
      <c r="G251" t="s">
        <v>3918</v>
      </c>
      <c r="H251" t="s">
        <v>3918</v>
      </c>
      <c r="I251">
        <v>13645</v>
      </c>
      <c r="J251" t="s">
        <v>3919</v>
      </c>
      <c r="K251" t="s">
        <v>3919</v>
      </c>
      <c r="L251" t="s">
        <v>3829</v>
      </c>
      <c r="M251" t="s">
        <v>3830</v>
      </c>
      <c r="N251">
        <v>36362</v>
      </c>
      <c r="O251">
        <v>63000</v>
      </c>
      <c r="P251">
        <v>2</v>
      </c>
      <c r="Q251" t="s">
        <v>3831</v>
      </c>
      <c r="S251">
        <v>143790</v>
      </c>
      <c r="T251" t="s">
        <v>3920</v>
      </c>
      <c r="U251" t="s">
        <v>2835</v>
      </c>
      <c r="W251">
        <v>0</v>
      </c>
      <c r="X251">
        <v>126000</v>
      </c>
      <c r="Y251">
        <v>114545.45454545401</v>
      </c>
      <c r="Z251" s="26">
        <v>46058</v>
      </c>
    </row>
    <row r="252" spans="1:26" x14ac:dyDescent="0.3">
      <c r="A252" s="50">
        <v>46058.297939814824</v>
      </c>
      <c r="B252">
        <v>2.0260205070754801E+18</v>
      </c>
      <c r="C252" t="s">
        <v>3921</v>
      </c>
      <c r="D252" t="s">
        <v>3922</v>
      </c>
      <c r="E252" t="s">
        <v>3922</v>
      </c>
      <c r="F252" t="s">
        <v>3921</v>
      </c>
      <c r="G252" t="s">
        <v>3922</v>
      </c>
      <c r="H252" t="s">
        <v>3922</v>
      </c>
      <c r="I252">
        <v>58580</v>
      </c>
      <c r="J252" t="s">
        <v>3923</v>
      </c>
      <c r="K252" t="s">
        <v>3923</v>
      </c>
      <c r="L252" t="s">
        <v>3829</v>
      </c>
      <c r="M252" t="s">
        <v>3830</v>
      </c>
      <c r="N252">
        <v>36362</v>
      </c>
      <c r="O252">
        <v>63000</v>
      </c>
      <c r="P252">
        <v>2</v>
      </c>
      <c r="Q252" t="s">
        <v>3831</v>
      </c>
      <c r="S252">
        <v>143790</v>
      </c>
      <c r="T252" t="s">
        <v>3924</v>
      </c>
      <c r="U252" t="s">
        <v>2835</v>
      </c>
      <c r="W252">
        <v>0</v>
      </c>
      <c r="X252">
        <v>126000</v>
      </c>
      <c r="Y252">
        <v>114545.45454545401</v>
      </c>
      <c r="Z252" s="26">
        <v>46058</v>
      </c>
    </row>
    <row r="253" spans="1:26" x14ac:dyDescent="0.3">
      <c r="A253" s="50">
        <v>46058.287662037037</v>
      </c>
      <c r="B253">
        <v>2.02602050653391E+18</v>
      </c>
      <c r="C253" t="s">
        <v>3925</v>
      </c>
      <c r="D253" t="s">
        <v>3926</v>
      </c>
      <c r="E253" t="s">
        <v>3926</v>
      </c>
      <c r="F253" t="s">
        <v>3925</v>
      </c>
      <c r="G253" t="s">
        <v>3926</v>
      </c>
      <c r="H253" t="s">
        <v>3926</v>
      </c>
      <c r="I253">
        <v>27938</v>
      </c>
      <c r="J253" t="s">
        <v>3927</v>
      </c>
      <c r="K253" t="s">
        <v>3927</v>
      </c>
      <c r="L253" t="s">
        <v>3829</v>
      </c>
      <c r="M253" t="s">
        <v>3830</v>
      </c>
      <c r="N253">
        <v>18181</v>
      </c>
      <c r="O253">
        <v>63000</v>
      </c>
      <c r="P253">
        <v>1</v>
      </c>
      <c r="Q253" t="s">
        <v>3831</v>
      </c>
      <c r="S253">
        <v>143790</v>
      </c>
      <c r="T253" t="s">
        <v>3928</v>
      </c>
      <c r="U253" t="s">
        <v>2835</v>
      </c>
      <c r="W253">
        <v>0</v>
      </c>
      <c r="X253">
        <v>63000</v>
      </c>
      <c r="Y253">
        <v>57272.727272727199</v>
      </c>
      <c r="Z253" s="26">
        <v>46058</v>
      </c>
    </row>
    <row r="254" spans="1:26" x14ac:dyDescent="0.3">
      <c r="A254" s="50">
        <v>46058.284560185188</v>
      </c>
      <c r="B254">
        <v>2.02602050649087E+18</v>
      </c>
      <c r="C254" t="s">
        <v>3929</v>
      </c>
      <c r="D254" t="s">
        <v>3930</v>
      </c>
      <c r="E254" t="s">
        <v>3930</v>
      </c>
      <c r="F254" t="s">
        <v>3929</v>
      </c>
      <c r="G254" t="s">
        <v>3930</v>
      </c>
      <c r="H254" t="s">
        <v>3930</v>
      </c>
      <c r="I254">
        <v>34857</v>
      </c>
      <c r="J254" t="s">
        <v>3931</v>
      </c>
      <c r="K254" t="s">
        <v>3931</v>
      </c>
      <c r="L254" t="s">
        <v>3829</v>
      </c>
      <c r="M254" t="s">
        <v>3830</v>
      </c>
      <c r="N254">
        <v>18181</v>
      </c>
      <c r="O254">
        <v>63000</v>
      </c>
      <c r="P254">
        <v>1</v>
      </c>
      <c r="Q254" t="s">
        <v>3831</v>
      </c>
      <c r="S254">
        <v>143790</v>
      </c>
      <c r="T254" t="s">
        <v>3932</v>
      </c>
      <c r="U254" t="s">
        <v>2835</v>
      </c>
      <c r="W254">
        <v>0</v>
      </c>
      <c r="X254">
        <v>63000</v>
      </c>
      <c r="Y254">
        <v>57272.727272727199</v>
      </c>
      <c r="Z254" s="26">
        <v>46058</v>
      </c>
    </row>
    <row r="255" spans="1:26" x14ac:dyDescent="0.3">
      <c r="A255" s="50">
        <v>46058.282893518517</v>
      </c>
      <c r="B255">
        <v>2.02602050646205E+18</v>
      </c>
      <c r="C255" t="s">
        <v>3933</v>
      </c>
      <c r="D255" t="s">
        <v>3934</v>
      </c>
      <c r="E255" t="s">
        <v>3934</v>
      </c>
      <c r="F255" t="s">
        <v>3933</v>
      </c>
      <c r="G255" t="s">
        <v>3934</v>
      </c>
      <c r="H255" t="s">
        <v>3934</v>
      </c>
      <c r="I255">
        <v>7013</v>
      </c>
      <c r="J255" t="s">
        <v>3935</v>
      </c>
      <c r="K255" t="s">
        <v>3935</v>
      </c>
      <c r="L255" t="s">
        <v>3829</v>
      </c>
      <c r="M255" t="s">
        <v>3830</v>
      </c>
      <c r="N255">
        <v>18181</v>
      </c>
      <c r="O255">
        <v>63000</v>
      </c>
      <c r="P255">
        <v>1</v>
      </c>
      <c r="Q255" t="s">
        <v>3831</v>
      </c>
      <c r="S255">
        <v>143790</v>
      </c>
      <c r="T255" t="s">
        <v>3936</v>
      </c>
      <c r="U255" t="s">
        <v>2835</v>
      </c>
      <c r="W255">
        <v>0</v>
      </c>
      <c r="X255">
        <v>63000</v>
      </c>
      <c r="Y255">
        <v>57272.727272727199</v>
      </c>
      <c r="Z255" s="26">
        <v>46058</v>
      </c>
    </row>
    <row r="256" spans="1:26" x14ac:dyDescent="0.3">
      <c r="A256" s="50">
        <v>46058.281886574077</v>
      </c>
      <c r="B256">
        <v>2.02602050645309E+18</v>
      </c>
      <c r="C256" t="s">
        <v>3937</v>
      </c>
      <c r="D256" t="s">
        <v>3938</v>
      </c>
      <c r="E256" t="s">
        <v>3938</v>
      </c>
      <c r="F256" t="s">
        <v>3937</v>
      </c>
      <c r="G256" t="s">
        <v>3938</v>
      </c>
      <c r="H256" t="s">
        <v>3938</v>
      </c>
      <c r="I256">
        <v>30095</v>
      </c>
      <c r="J256" t="s">
        <v>3939</v>
      </c>
      <c r="K256" t="s">
        <v>3939</v>
      </c>
      <c r="L256" t="s">
        <v>3829</v>
      </c>
      <c r="M256" t="s">
        <v>3830</v>
      </c>
      <c r="N256">
        <v>18181</v>
      </c>
      <c r="O256">
        <v>63000</v>
      </c>
      <c r="P256">
        <v>1</v>
      </c>
      <c r="Q256" t="s">
        <v>3831</v>
      </c>
      <c r="S256">
        <v>143790</v>
      </c>
      <c r="T256" t="s">
        <v>3940</v>
      </c>
      <c r="U256" t="s">
        <v>2835</v>
      </c>
      <c r="W256">
        <v>0</v>
      </c>
      <c r="X256">
        <v>63000</v>
      </c>
      <c r="Y256">
        <v>57272.727272727199</v>
      </c>
      <c r="Z256" s="26">
        <v>46058</v>
      </c>
    </row>
    <row r="257" spans="1:26" x14ac:dyDescent="0.3">
      <c r="A257" s="50">
        <v>46058.067291666674</v>
      </c>
      <c r="B257">
        <v>2.0260205013435699E+18</v>
      </c>
      <c r="C257" t="s">
        <v>3941</v>
      </c>
      <c r="D257" t="s">
        <v>3942</v>
      </c>
      <c r="E257" t="s">
        <v>3942</v>
      </c>
      <c r="F257" t="s">
        <v>3941</v>
      </c>
      <c r="G257" t="s">
        <v>3942</v>
      </c>
      <c r="H257" t="s">
        <v>3942</v>
      </c>
      <c r="I257">
        <v>16848</v>
      </c>
      <c r="J257" t="s">
        <v>3943</v>
      </c>
      <c r="K257" t="s">
        <v>3943</v>
      </c>
      <c r="L257" t="s">
        <v>3829</v>
      </c>
      <c r="M257" t="s">
        <v>3830</v>
      </c>
      <c r="N257">
        <v>18181</v>
      </c>
      <c r="O257">
        <v>63000</v>
      </c>
      <c r="P257">
        <v>1</v>
      </c>
      <c r="Q257" t="s">
        <v>3831</v>
      </c>
      <c r="S257">
        <v>143790</v>
      </c>
      <c r="T257" t="s">
        <v>3944</v>
      </c>
      <c r="U257" t="s">
        <v>2835</v>
      </c>
      <c r="W257">
        <v>0</v>
      </c>
      <c r="X257">
        <v>63000</v>
      </c>
      <c r="Y257">
        <v>57272.727272727199</v>
      </c>
      <c r="Z257" s="26">
        <v>46058</v>
      </c>
    </row>
    <row r="258" spans="1:26" x14ac:dyDescent="0.3">
      <c r="A258" s="50">
        <v>46058.021608796298</v>
      </c>
      <c r="B258">
        <v>2.02602050029571E+18</v>
      </c>
      <c r="C258" t="s">
        <v>3945</v>
      </c>
      <c r="D258" t="s">
        <v>3946</v>
      </c>
      <c r="E258" t="s">
        <v>3946</v>
      </c>
      <c r="F258" t="s">
        <v>3945</v>
      </c>
      <c r="G258" t="s">
        <v>3946</v>
      </c>
      <c r="H258" t="s">
        <v>3946</v>
      </c>
      <c r="I258">
        <v>10306</v>
      </c>
      <c r="J258" t="s">
        <v>3947</v>
      </c>
      <c r="K258" t="s">
        <v>3947</v>
      </c>
      <c r="L258" t="s">
        <v>3829</v>
      </c>
      <c r="M258" t="s">
        <v>3830</v>
      </c>
      <c r="N258">
        <v>18181</v>
      </c>
      <c r="O258">
        <v>63000</v>
      </c>
      <c r="P258">
        <v>1</v>
      </c>
      <c r="Q258" t="s">
        <v>3831</v>
      </c>
      <c r="S258">
        <v>143790</v>
      </c>
      <c r="T258" t="s">
        <v>3948</v>
      </c>
      <c r="U258" t="s">
        <v>2835</v>
      </c>
      <c r="W258">
        <v>0</v>
      </c>
      <c r="X258">
        <v>63000</v>
      </c>
      <c r="Y258">
        <v>57272.727272727199</v>
      </c>
      <c r="Z258" s="26">
        <v>46058</v>
      </c>
    </row>
    <row r="259" spans="1:26" x14ac:dyDescent="0.3">
      <c r="A259" s="50">
        <v>46057.959965277783</v>
      </c>
      <c r="B259">
        <v>2.02602042300317E+18</v>
      </c>
      <c r="C259" t="s">
        <v>3949</v>
      </c>
      <c r="D259" t="s">
        <v>3950</v>
      </c>
      <c r="E259" t="s">
        <v>3950</v>
      </c>
      <c r="F259" t="s">
        <v>3949</v>
      </c>
      <c r="G259" t="s">
        <v>3950</v>
      </c>
      <c r="H259" t="s">
        <v>3950</v>
      </c>
      <c r="I259">
        <v>10362</v>
      </c>
      <c r="J259" t="s">
        <v>3951</v>
      </c>
      <c r="K259" t="s">
        <v>3951</v>
      </c>
      <c r="L259" t="s">
        <v>3829</v>
      </c>
      <c r="M259" t="s">
        <v>3830</v>
      </c>
      <c r="N259">
        <v>18181</v>
      </c>
      <c r="O259">
        <v>63000</v>
      </c>
      <c r="P259">
        <v>1</v>
      </c>
      <c r="Q259" t="s">
        <v>3831</v>
      </c>
      <c r="S259">
        <v>143790</v>
      </c>
      <c r="T259" t="s">
        <v>3952</v>
      </c>
      <c r="U259" t="s">
        <v>2835</v>
      </c>
      <c r="W259">
        <v>0</v>
      </c>
      <c r="X259">
        <v>63000</v>
      </c>
      <c r="Y259">
        <v>57272.727272727199</v>
      </c>
      <c r="Z259" s="26">
        <v>46058</v>
      </c>
    </row>
    <row r="260" spans="1:26" x14ac:dyDescent="0.3">
      <c r="A260" s="50">
        <v>46057.931377314817</v>
      </c>
      <c r="B260">
        <v>2.0260204221906099E+18</v>
      </c>
      <c r="C260" t="s">
        <v>3953</v>
      </c>
      <c r="D260" t="s">
        <v>3954</v>
      </c>
      <c r="E260" t="s">
        <v>3954</v>
      </c>
      <c r="F260" t="s">
        <v>3953</v>
      </c>
      <c r="G260" t="s">
        <v>3954</v>
      </c>
      <c r="H260" t="s">
        <v>3954</v>
      </c>
      <c r="I260">
        <v>21586</v>
      </c>
      <c r="J260" t="s">
        <v>3955</v>
      </c>
      <c r="K260" t="s">
        <v>3955</v>
      </c>
      <c r="L260" t="s">
        <v>3829</v>
      </c>
      <c r="M260" t="s">
        <v>3830</v>
      </c>
      <c r="N260">
        <v>18181</v>
      </c>
      <c r="O260">
        <v>63000</v>
      </c>
      <c r="P260">
        <v>1</v>
      </c>
      <c r="Q260" t="s">
        <v>3831</v>
      </c>
      <c r="S260">
        <v>143790</v>
      </c>
      <c r="T260" t="s">
        <v>3956</v>
      </c>
      <c r="U260" t="s">
        <v>2835</v>
      </c>
      <c r="W260">
        <v>0</v>
      </c>
      <c r="X260">
        <v>63000</v>
      </c>
      <c r="Y260">
        <v>57272.727272727199</v>
      </c>
      <c r="Z260" s="26">
        <v>46058</v>
      </c>
    </row>
    <row r="261" spans="1:26" x14ac:dyDescent="0.3">
      <c r="A261" s="50">
        <v>46058.332881944443</v>
      </c>
      <c r="B261">
        <v>2.0260205075749701E+18</v>
      </c>
      <c r="C261" t="s">
        <v>3957</v>
      </c>
      <c r="D261" t="s">
        <v>3958</v>
      </c>
      <c r="E261" t="s">
        <v>3958</v>
      </c>
      <c r="F261" t="s">
        <v>3959</v>
      </c>
      <c r="G261" t="s">
        <v>3960</v>
      </c>
      <c r="H261" t="s">
        <v>3960</v>
      </c>
      <c r="I261">
        <v>5303</v>
      </c>
      <c r="J261" t="s">
        <v>3961</v>
      </c>
      <c r="K261" t="s">
        <v>3961</v>
      </c>
      <c r="L261" t="s">
        <v>2832</v>
      </c>
      <c r="M261" t="s">
        <v>2833</v>
      </c>
      <c r="N261">
        <v>54363</v>
      </c>
      <c r="O261">
        <v>45500</v>
      </c>
      <c r="P261">
        <v>1</v>
      </c>
      <c r="Q261">
        <v>0</v>
      </c>
      <c r="S261">
        <v>143790</v>
      </c>
      <c r="T261">
        <v>0</v>
      </c>
      <c r="U261" t="s">
        <v>2835</v>
      </c>
      <c r="W261" t="s">
        <v>3962</v>
      </c>
      <c r="X261">
        <v>45500</v>
      </c>
      <c r="Y261">
        <v>41363.636363636302</v>
      </c>
      <c r="Z261" s="26">
        <v>46059</v>
      </c>
    </row>
    <row r="262" spans="1:26" x14ac:dyDescent="0.3">
      <c r="A262" s="50">
        <v>46058.370717592603</v>
      </c>
      <c r="B262">
        <v>2.0260205085247099E+18</v>
      </c>
      <c r="C262" t="s">
        <v>2954</v>
      </c>
      <c r="D262" t="s">
        <v>2955</v>
      </c>
      <c r="E262" t="s">
        <v>2955</v>
      </c>
      <c r="F262" t="s">
        <v>3963</v>
      </c>
      <c r="G262" t="s">
        <v>3964</v>
      </c>
      <c r="H262" t="s">
        <v>3964</v>
      </c>
      <c r="I262">
        <v>5080</v>
      </c>
      <c r="J262" t="s">
        <v>3965</v>
      </c>
      <c r="K262" t="s">
        <v>3965</v>
      </c>
      <c r="L262" t="s">
        <v>2832</v>
      </c>
      <c r="M262" t="s">
        <v>2833</v>
      </c>
      <c r="N262">
        <v>54363</v>
      </c>
      <c r="O262">
        <v>45500</v>
      </c>
      <c r="P262">
        <v>1</v>
      </c>
      <c r="Q262">
        <v>0</v>
      </c>
      <c r="S262">
        <v>143790</v>
      </c>
      <c r="T262">
        <v>0</v>
      </c>
      <c r="U262" t="s">
        <v>2835</v>
      </c>
      <c r="W262" t="s">
        <v>3966</v>
      </c>
      <c r="X262">
        <v>45500</v>
      </c>
      <c r="Y262">
        <v>41363.636363636302</v>
      </c>
      <c r="Z262" s="26">
        <v>46059</v>
      </c>
    </row>
    <row r="263" spans="1:26" x14ac:dyDescent="0.3">
      <c r="A263" s="50">
        <v>46058.459421296298</v>
      </c>
      <c r="B263">
        <v>2.02602051042495E+18</v>
      </c>
      <c r="C263" t="s">
        <v>3967</v>
      </c>
      <c r="D263" t="s">
        <v>3968</v>
      </c>
      <c r="E263" t="s">
        <v>3968</v>
      </c>
      <c r="F263" t="s">
        <v>3969</v>
      </c>
      <c r="G263" t="s">
        <v>3970</v>
      </c>
      <c r="H263" t="s">
        <v>3970</v>
      </c>
      <c r="I263">
        <v>16909</v>
      </c>
      <c r="J263" t="s">
        <v>3971</v>
      </c>
      <c r="K263" t="s">
        <v>3971</v>
      </c>
      <c r="L263" t="s">
        <v>2832</v>
      </c>
      <c r="M263" t="s">
        <v>2833</v>
      </c>
      <c r="N263">
        <v>54363</v>
      </c>
      <c r="O263">
        <v>45500</v>
      </c>
      <c r="P263">
        <v>1</v>
      </c>
      <c r="Q263">
        <v>0</v>
      </c>
      <c r="S263">
        <v>143790</v>
      </c>
      <c r="T263">
        <v>0</v>
      </c>
      <c r="U263" t="s">
        <v>2835</v>
      </c>
      <c r="W263" t="s">
        <v>3972</v>
      </c>
      <c r="X263">
        <v>45500</v>
      </c>
      <c r="Y263">
        <v>41363.636363636302</v>
      </c>
      <c r="Z263" s="26">
        <v>46059</v>
      </c>
    </row>
    <row r="264" spans="1:26" x14ac:dyDescent="0.3">
      <c r="A264" s="50">
        <v>46058.460428240738</v>
      </c>
      <c r="B264">
        <v>2.0260205110231501E+18</v>
      </c>
      <c r="C264" t="s">
        <v>3973</v>
      </c>
      <c r="D264" t="s">
        <v>3974</v>
      </c>
      <c r="E264" t="s">
        <v>3974</v>
      </c>
      <c r="F264" t="s">
        <v>3973</v>
      </c>
      <c r="G264" t="s">
        <v>3974</v>
      </c>
      <c r="H264" t="s">
        <v>3974</v>
      </c>
      <c r="I264">
        <v>4346</v>
      </c>
      <c r="J264" t="s">
        <v>3975</v>
      </c>
      <c r="K264" t="s">
        <v>3975</v>
      </c>
      <c r="L264" t="s">
        <v>2832</v>
      </c>
      <c r="M264" t="s">
        <v>2833</v>
      </c>
      <c r="N264">
        <v>108726</v>
      </c>
      <c r="O264">
        <v>45500</v>
      </c>
      <c r="P264">
        <v>2</v>
      </c>
      <c r="Q264">
        <v>0</v>
      </c>
      <c r="S264">
        <v>143790</v>
      </c>
      <c r="T264">
        <v>0</v>
      </c>
      <c r="U264" t="s">
        <v>2835</v>
      </c>
      <c r="W264" t="s">
        <v>3976</v>
      </c>
      <c r="X264">
        <v>91000</v>
      </c>
      <c r="Y264">
        <v>82727.272727272706</v>
      </c>
      <c r="Z264" s="26">
        <v>46059</v>
      </c>
    </row>
    <row r="265" spans="1:26" x14ac:dyDescent="0.3">
      <c r="A265" s="50">
        <v>46058.466134259259</v>
      </c>
      <c r="B265">
        <v>2.02602051103107E+18</v>
      </c>
      <c r="C265" t="s">
        <v>3977</v>
      </c>
      <c r="D265" t="s">
        <v>3978</v>
      </c>
      <c r="E265" t="s">
        <v>3978</v>
      </c>
      <c r="F265" t="s">
        <v>3977</v>
      </c>
      <c r="G265" t="s">
        <v>3978</v>
      </c>
      <c r="H265" t="s">
        <v>3978</v>
      </c>
      <c r="I265">
        <v>14743</v>
      </c>
      <c r="J265" t="s">
        <v>3979</v>
      </c>
      <c r="K265" t="s">
        <v>3979</v>
      </c>
      <c r="L265" t="s">
        <v>2832</v>
      </c>
      <c r="M265" t="s">
        <v>2833</v>
      </c>
      <c r="N265">
        <v>54363</v>
      </c>
      <c r="O265">
        <v>45500</v>
      </c>
      <c r="P265">
        <v>1</v>
      </c>
      <c r="Q265">
        <v>0</v>
      </c>
      <c r="S265">
        <v>143790</v>
      </c>
      <c r="T265">
        <v>0</v>
      </c>
      <c r="U265" t="s">
        <v>2835</v>
      </c>
      <c r="W265" t="s">
        <v>3980</v>
      </c>
      <c r="X265">
        <v>45500</v>
      </c>
      <c r="Y265">
        <v>41363.636363636302</v>
      </c>
      <c r="Z265" s="26">
        <v>46059</v>
      </c>
    </row>
    <row r="266" spans="1:26" x14ac:dyDescent="0.3">
      <c r="A266" s="50">
        <v>46058.467523148152</v>
      </c>
      <c r="B266">
        <v>2.0260205111221499E+18</v>
      </c>
      <c r="C266" t="s">
        <v>3981</v>
      </c>
      <c r="D266" t="s">
        <v>3982</v>
      </c>
      <c r="E266" t="s">
        <v>3982</v>
      </c>
      <c r="F266" t="s">
        <v>3981</v>
      </c>
      <c r="G266" t="s">
        <v>3982</v>
      </c>
      <c r="H266" t="s">
        <v>3982</v>
      </c>
      <c r="I266">
        <v>2524</v>
      </c>
      <c r="J266" t="s">
        <v>3983</v>
      </c>
      <c r="K266" t="s">
        <v>3983</v>
      </c>
      <c r="L266" t="s">
        <v>2832</v>
      </c>
      <c r="M266" t="s">
        <v>2833</v>
      </c>
      <c r="N266">
        <v>54363</v>
      </c>
      <c r="O266">
        <v>45500</v>
      </c>
      <c r="P266">
        <v>1</v>
      </c>
      <c r="Q266">
        <v>0</v>
      </c>
      <c r="S266">
        <v>143790</v>
      </c>
      <c r="T266">
        <v>0</v>
      </c>
      <c r="U266" t="s">
        <v>2835</v>
      </c>
      <c r="W266" t="s">
        <v>3984</v>
      </c>
      <c r="X266">
        <v>45500</v>
      </c>
      <c r="Y266">
        <v>41363.636363636302</v>
      </c>
      <c r="Z266" s="26">
        <v>46059</v>
      </c>
    </row>
    <row r="267" spans="1:26" x14ac:dyDescent="0.3">
      <c r="A267" s="50">
        <v>46058.473333333342</v>
      </c>
      <c r="B267">
        <v>2.02602051119117E+18</v>
      </c>
      <c r="C267" t="s">
        <v>3985</v>
      </c>
      <c r="D267" t="s">
        <v>3986</v>
      </c>
      <c r="E267" t="s">
        <v>3986</v>
      </c>
      <c r="F267" t="s">
        <v>3985</v>
      </c>
      <c r="G267" t="s">
        <v>3986</v>
      </c>
      <c r="H267" t="s">
        <v>3986</v>
      </c>
      <c r="I267">
        <v>2816</v>
      </c>
      <c r="J267" t="s">
        <v>3987</v>
      </c>
      <c r="K267" t="s">
        <v>3987</v>
      </c>
      <c r="L267" t="s">
        <v>2832</v>
      </c>
      <c r="M267" t="s">
        <v>2833</v>
      </c>
      <c r="N267">
        <v>54363</v>
      </c>
      <c r="O267">
        <v>45500</v>
      </c>
      <c r="P267">
        <v>1</v>
      </c>
      <c r="Q267">
        <v>0</v>
      </c>
      <c r="S267">
        <v>143790</v>
      </c>
      <c r="T267">
        <v>0</v>
      </c>
      <c r="U267" t="s">
        <v>2835</v>
      </c>
      <c r="W267" t="s">
        <v>3988</v>
      </c>
      <c r="X267">
        <v>45500</v>
      </c>
      <c r="Y267">
        <v>41363.636363636302</v>
      </c>
      <c r="Z267" s="26">
        <v>46059</v>
      </c>
    </row>
    <row r="268" spans="1:26" x14ac:dyDescent="0.3">
      <c r="A268" s="50">
        <v>46058.482395833344</v>
      </c>
      <c r="B268">
        <v>2.0260205113413E+18</v>
      </c>
      <c r="C268" t="s">
        <v>3989</v>
      </c>
      <c r="D268" t="s">
        <v>3990</v>
      </c>
      <c r="E268" t="s">
        <v>3990</v>
      </c>
      <c r="F268" t="s">
        <v>3989</v>
      </c>
      <c r="G268" t="s">
        <v>3990</v>
      </c>
      <c r="H268" t="s">
        <v>3990</v>
      </c>
      <c r="I268">
        <v>38127</v>
      </c>
      <c r="J268" t="s">
        <v>3991</v>
      </c>
      <c r="K268" t="s">
        <v>3991</v>
      </c>
      <c r="L268" t="s">
        <v>2832</v>
      </c>
      <c r="M268" t="s">
        <v>2833</v>
      </c>
      <c r="N268">
        <v>54363</v>
      </c>
      <c r="O268">
        <v>45500</v>
      </c>
      <c r="P268">
        <v>1</v>
      </c>
      <c r="Q268">
        <v>0</v>
      </c>
      <c r="S268">
        <v>143790</v>
      </c>
      <c r="T268">
        <v>0</v>
      </c>
      <c r="U268" t="s">
        <v>2835</v>
      </c>
      <c r="W268" t="s">
        <v>3992</v>
      </c>
      <c r="X268">
        <v>45500</v>
      </c>
      <c r="Y268">
        <v>41363.636363636302</v>
      </c>
      <c r="Z268" s="26">
        <v>46059</v>
      </c>
    </row>
    <row r="269" spans="1:26" x14ac:dyDescent="0.3">
      <c r="A269" s="50">
        <v>46058.482708333337</v>
      </c>
      <c r="B269">
        <v>2.0260205113420101E+18</v>
      </c>
      <c r="C269" t="s">
        <v>3993</v>
      </c>
      <c r="D269" t="s">
        <v>3994</v>
      </c>
      <c r="E269" t="s">
        <v>3994</v>
      </c>
      <c r="F269" t="s">
        <v>3993</v>
      </c>
      <c r="G269" t="s">
        <v>3994</v>
      </c>
      <c r="H269" t="s">
        <v>3994</v>
      </c>
      <c r="I269">
        <v>16222</v>
      </c>
      <c r="J269" t="s">
        <v>3995</v>
      </c>
      <c r="K269" t="s">
        <v>3995</v>
      </c>
      <c r="L269" t="s">
        <v>2832</v>
      </c>
      <c r="M269" t="s">
        <v>2833</v>
      </c>
      <c r="N269">
        <v>54363</v>
      </c>
      <c r="O269">
        <v>45500</v>
      </c>
      <c r="P269">
        <v>1</v>
      </c>
      <c r="Q269">
        <v>0</v>
      </c>
      <c r="S269">
        <v>143790</v>
      </c>
      <c r="T269">
        <v>0</v>
      </c>
      <c r="U269" t="s">
        <v>2835</v>
      </c>
      <c r="W269" t="s">
        <v>3996</v>
      </c>
      <c r="X269">
        <v>45500</v>
      </c>
      <c r="Y269">
        <v>41363.636363636302</v>
      </c>
      <c r="Z269" s="26">
        <v>46059</v>
      </c>
    </row>
    <row r="270" spans="1:26" x14ac:dyDescent="0.3">
      <c r="A270" s="50">
        <v>46058.484270833331</v>
      </c>
      <c r="B270">
        <v>2.0260205113308301E+18</v>
      </c>
      <c r="C270" t="s">
        <v>3997</v>
      </c>
      <c r="D270" t="s">
        <v>3998</v>
      </c>
      <c r="E270" t="s">
        <v>3998</v>
      </c>
      <c r="F270" t="s">
        <v>3997</v>
      </c>
      <c r="G270" t="s">
        <v>3998</v>
      </c>
      <c r="H270" t="s">
        <v>3998</v>
      </c>
      <c r="I270">
        <v>21561</v>
      </c>
      <c r="J270" t="s">
        <v>3999</v>
      </c>
      <c r="K270" t="s">
        <v>3999</v>
      </c>
      <c r="L270" t="s">
        <v>2832</v>
      </c>
      <c r="M270" t="s">
        <v>2833</v>
      </c>
      <c r="N270">
        <v>54363</v>
      </c>
      <c r="O270">
        <v>45500</v>
      </c>
      <c r="P270">
        <v>1</v>
      </c>
      <c r="Q270">
        <v>0</v>
      </c>
      <c r="S270">
        <v>143790</v>
      </c>
      <c r="T270">
        <v>0</v>
      </c>
      <c r="U270" t="s">
        <v>2835</v>
      </c>
      <c r="W270" t="s">
        <v>4000</v>
      </c>
      <c r="X270">
        <v>45500</v>
      </c>
      <c r="Y270">
        <v>41363.636363636302</v>
      </c>
      <c r="Z270" s="26">
        <v>46059</v>
      </c>
    </row>
    <row r="271" spans="1:26" x14ac:dyDescent="0.3">
      <c r="A271" s="50">
        <v>46058.487881944442</v>
      </c>
      <c r="B271">
        <v>2.0260205114108001E+18</v>
      </c>
      <c r="C271" t="s">
        <v>4001</v>
      </c>
      <c r="D271" t="s">
        <v>4002</v>
      </c>
      <c r="E271" t="s">
        <v>4002</v>
      </c>
      <c r="F271" t="s">
        <v>4001</v>
      </c>
      <c r="G271" t="s">
        <v>4002</v>
      </c>
      <c r="H271" t="s">
        <v>4002</v>
      </c>
      <c r="I271">
        <v>2435</v>
      </c>
      <c r="J271" t="s">
        <v>4003</v>
      </c>
      <c r="K271" t="s">
        <v>4003</v>
      </c>
      <c r="L271" t="s">
        <v>2832</v>
      </c>
      <c r="M271" t="s">
        <v>2833</v>
      </c>
      <c r="N271">
        <v>54363</v>
      </c>
      <c r="O271">
        <v>45500</v>
      </c>
      <c r="P271">
        <v>1</v>
      </c>
      <c r="Q271">
        <v>0</v>
      </c>
      <c r="S271">
        <v>143790</v>
      </c>
      <c r="T271">
        <v>0</v>
      </c>
      <c r="U271" t="s">
        <v>2835</v>
      </c>
      <c r="W271" t="s">
        <v>4004</v>
      </c>
      <c r="X271">
        <v>45500</v>
      </c>
      <c r="Y271">
        <v>41363.636363636302</v>
      </c>
      <c r="Z271" s="26">
        <v>46059</v>
      </c>
    </row>
    <row r="272" spans="1:26" x14ac:dyDescent="0.3">
      <c r="A272" s="50">
        <v>46058.490740740737</v>
      </c>
      <c r="B272">
        <v>2.0260205114541499E+18</v>
      </c>
      <c r="C272" t="s">
        <v>4005</v>
      </c>
      <c r="D272" t="s">
        <v>4006</v>
      </c>
      <c r="E272" t="s">
        <v>4006</v>
      </c>
      <c r="F272" t="s">
        <v>4005</v>
      </c>
      <c r="G272" t="s">
        <v>4006</v>
      </c>
      <c r="H272" t="s">
        <v>4006</v>
      </c>
      <c r="I272">
        <v>17722</v>
      </c>
      <c r="J272" t="s">
        <v>4007</v>
      </c>
      <c r="K272" t="s">
        <v>4007</v>
      </c>
      <c r="L272" t="s">
        <v>2832</v>
      </c>
      <c r="M272" t="s">
        <v>2833</v>
      </c>
      <c r="N272">
        <v>54363</v>
      </c>
      <c r="O272">
        <v>45500</v>
      </c>
      <c r="P272">
        <v>1</v>
      </c>
      <c r="Q272">
        <v>0</v>
      </c>
      <c r="S272">
        <v>143790</v>
      </c>
      <c r="T272">
        <v>0</v>
      </c>
      <c r="U272" t="s">
        <v>2835</v>
      </c>
      <c r="W272" t="s">
        <v>4008</v>
      </c>
      <c r="X272">
        <v>45500</v>
      </c>
      <c r="Y272">
        <v>41363.636363636302</v>
      </c>
      <c r="Z272" s="26">
        <v>46059</v>
      </c>
    </row>
    <row r="273" spans="1:26" x14ac:dyDescent="0.3">
      <c r="A273" s="50">
        <v>46058.491273148153</v>
      </c>
      <c r="B273">
        <v>2.0260205114501299E+18</v>
      </c>
      <c r="C273" t="s">
        <v>4009</v>
      </c>
      <c r="D273" t="s">
        <v>4010</v>
      </c>
      <c r="E273" t="s">
        <v>4010</v>
      </c>
      <c r="F273" t="s">
        <v>4009</v>
      </c>
      <c r="G273" t="s">
        <v>4010</v>
      </c>
      <c r="H273" t="s">
        <v>4010</v>
      </c>
      <c r="I273">
        <v>16813</v>
      </c>
      <c r="J273" t="s">
        <v>4011</v>
      </c>
      <c r="K273" t="s">
        <v>4011</v>
      </c>
      <c r="L273" t="s">
        <v>2832</v>
      </c>
      <c r="M273" t="s">
        <v>2833</v>
      </c>
      <c r="N273">
        <v>54363</v>
      </c>
      <c r="O273">
        <v>45500</v>
      </c>
      <c r="P273">
        <v>1</v>
      </c>
      <c r="Q273">
        <v>0</v>
      </c>
      <c r="S273">
        <v>143790</v>
      </c>
      <c r="T273">
        <v>0</v>
      </c>
      <c r="U273" t="s">
        <v>2835</v>
      </c>
      <c r="W273" t="s">
        <v>4012</v>
      </c>
      <c r="X273">
        <v>45500</v>
      </c>
      <c r="Y273">
        <v>41363.636363636302</v>
      </c>
      <c r="Z273" s="26">
        <v>46059</v>
      </c>
    </row>
    <row r="274" spans="1:26" x14ac:dyDescent="0.3">
      <c r="A274" s="50">
        <v>46058.495046296302</v>
      </c>
      <c r="B274">
        <v>2.02602051151136E+18</v>
      </c>
      <c r="C274" t="s">
        <v>4013</v>
      </c>
      <c r="D274" t="s">
        <v>4014</v>
      </c>
      <c r="E274" t="s">
        <v>4014</v>
      </c>
      <c r="F274" t="s">
        <v>4015</v>
      </c>
      <c r="G274" t="s">
        <v>4016</v>
      </c>
      <c r="H274" t="s">
        <v>4016</v>
      </c>
      <c r="I274">
        <v>49208</v>
      </c>
      <c r="J274" t="s">
        <v>4017</v>
      </c>
      <c r="K274" t="s">
        <v>4017</v>
      </c>
      <c r="L274" t="s">
        <v>2832</v>
      </c>
      <c r="M274" t="s">
        <v>2833</v>
      </c>
      <c r="N274">
        <v>54363</v>
      </c>
      <c r="O274">
        <v>45500</v>
      </c>
      <c r="P274">
        <v>1</v>
      </c>
      <c r="Q274">
        <v>0</v>
      </c>
      <c r="S274">
        <v>143790</v>
      </c>
      <c r="T274">
        <v>0</v>
      </c>
      <c r="U274" t="s">
        <v>2835</v>
      </c>
      <c r="W274" t="s">
        <v>4018</v>
      </c>
      <c r="X274">
        <v>45500</v>
      </c>
      <c r="Y274">
        <v>41363.636363636302</v>
      </c>
      <c r="Z274" s="26">
        <v>46059</v>
      </c>
    </row>
    <row r="275" spans="1:26" x14ac:dyDescent="0.3">
      <c r="A275" s="50">
        <v>46058.495798611111</v>
      </c>
      <c r="B275">
        <v>2.02602051153118E+18</v>
      </c>
      <c r="C275" t="s">
        <v>4013</v>
      </c>
      <c r="D275" t="s">
        <v>4014</v>
      </c>
      <c r="E275" t="s">
        <v>4014</v>
      </c>
      <c r="F275" t="s">
        <v>4019</v>
      </c>
      <c r="G275" t="s">
        <v>4020</v>
      </c>
      <c r="H275" t="s">
        <v>4020</v>
      </c>
      <c r="I275">
        <v>47262</v>
      </c>
      <c r="J275" t="s">
        <v>4021</v>
      </c>
      <c r="K275" t="s">
        <v>4021</v>
      </c>
      <c r="L275" t="s">
        <v>2832</v>
      </c>
      <c r="M275" t="s">
        <v>2833</v>
      </c>
      <c r="N275">
        <v>54363</v>
      </c>
      <c r="O275">
        <v>45500</v>
      </c>
      <c r="P275">
        <v>1</v>
      </c>
      <c r="Q275">
        <v>0</v>
      </c>
      <c r="S275">
        <v>143790</v>
      </c>
      <c r="T275">
        <v>0</v>
      </c>
      <c r="U275" t="s">
        <v>2835</v>
      </c>
      <c r="W275" t="s">
        <v>4022</v>
      </c>
      <c r="X275">
        <v>45500</v>
      </c>
      <c r="Y275">
        <v>41363.636363636302</v>
      </c>
      <c r="Z275" s="26">
        <v>46059</v>
      </c>
    </row>
    <row r="276" spans="1:26" x14ac:dyDescent="0.3">
      <c r="A276" s="50">
        <v>46058.49590277778</v>
      </c>
      <c r="B276">
        <v>2.0260205115144699E+18</v>
      </c>
      <c r="C276" t="s">
        <v>4023</v>
      </c>
      <c r="D276" t="s">
        <v>4024</v>
      </c>
      <c r="E276" t="s">
        <v>4024</v>
      </c>
      <c r="F276" t="s">
        <v>4025</v>
      </c>
      <c r="G276" t="s">
        <v>4024</v>
      </c>
      <c r="H276" t="s">
        <v>4024</v>
      </c>
      <c r="I276">
        <v>16824</v>
      </c>
      <c r="J276" t="s">
        <v>4026</v>
      </c>
      <c r="K276" t="s">
        <v>4026</v>
      </c>
      <c r="L276" t="s">
        <v>2832</v>
      </c>
      <c r="M276" t="s">
        <v>2833</v>
      </c>
      <c r="N276">
        <v>54363</v>
      </c>
      <c r="O276">
        <v>45500</v>
      </c>
      <c r="P276">
        <v>1</v>
      </c>
      <c r="Q276">
        <v>0</v>
      </c>
      <c r="R276" t="s">
        <v>4027</v>
      </c>
      <c r="S276">
        <v>143790</v>
      </c>
      <c r="T276">
        <v>0</v>
      </c>
      <c r="U276" t="s">
        <v>2835</v>
      </c>
      <c r="W276" t="s">
        <v>4028</v>
      </c>
      <c r="X276">
        <v>45500</v>
      </c>
      <c r="Y276">
        <v>41363.636363636302</v>
      </c>
      <c r="Z276" s="26">
        <v>46059</v>
      </c>
    </row>
    <row r="277" spans="1:26" x14ac:dyDescent="0.3">
      <c r="A277" s="50">
        <v>46058.504745370366</v>
      </c>
      <c r="B277">
        <v>2.02602051205133E+18</v>
      </c>
      <c r="C277" t="s">
        <v>4029</v>
      </c>
      <c r="D277" t="s">
        <v>4030</v>
      </c>
      <c r="E277" t="s">
        <v>4030</v>
      </c>
      <c r="F277" t="s">
        <v>4031</v>
      </c>
      <c r="G277" t="s">
        <v>4032</v>
      </c>
      <c r="H277" t="s">
        <v>4032</v>
      </c>
      <c r="I277">
        <v>6777</v>
      </c>
      <c r="J277" t="s">
        <v>4033</v>
      </c>
      <c r="K277" t="s">
        <v>4033</v>
      </c>
      <c r="L277" t="s">
        <v>2832</v>
      </c>
      <c r="M277" t="s">
        <v>2833</v>
      </c>
      <c r="N277">
        <v>54363</v>
      </c>
      <c r="O277">
        <v>45500</v>
      </c>
      <c r="P277">
        <v>1</v>
      </c>
      <c r="Q277">
        <v>0</v>
      </c>
      <c r="S277">
        <v>143790</v>
      </c>
      <c r="T277">
        <v>0</v>
      </c>
      <c r="U277" t="s">
        <v>2835</v>
      </c>
      <c r="W277" t="s">
        <v>4034</v>
      </c>
      <c r="X277">
        <v>45500</v>
      </c>
      <c r="Y277">
        <v>41363.636363636302</v>
      </c>
      <c r="Z277" s="26">
        <v>46059</v>
      </c>
    </row>
    <row r="278" spans="1:26" x14ac:dyDescent="0.3">
      <c r="A278" s="50">
        <v>46058.510115740741</v>
      </c>
      <c r="B278">
        <v>2.0260205121250299E+18</v>
      </c>
      <c r="C278" t="s">
        <v>4035</v>
      </c>
      <c r="D278" t="s">
        <v>4036</v>
      </c>
      <c r="E278" t="s">
        <v>4036</v>
      </c>
      <c r="F278" t="s">
        <v>4035</v>
      </c>
      <c r="G278" t="s">
        <v>4036</v>
      </c>
      <c r="H278" t="s">
        <v>4036</v>
      </c>
      <c r="I278">
        <v>14537</v>
      </c>
      <c r="J278" t="s">
        <v>4037</v>
      </c>
      <c r="K278" t="s">
        <v>4037</v>
      </c>
      <c r="L278" t="s">
        <v>2832</v>
      </c>
      <c r="M278" t="s">
        <v>2833</v>
      </c>
      <c r="N278">
        <v>54363</v>
      </c>
      <c r="O278">
        <v>45500</v>
      </c>
      <c r="P278">
        <v>1</v>
      </c>
      <c r="Q278">
        <v>0</v>
      </c>
      <c r="S278">
        <v>143790</v>
      </c>
      <c r="T278">
        <v>0</v>
      </c>
      <c r="U278" t="s">
        <v>2835</v>
      </c>
      <c r="W278" t="s">
        <v>4038</v>
      </c>
      <c r="X278">
        <v>45500</v>
      </c>
      <c r="Y278">
        <v>41363.636363636302</v>
      </c>
      <c r="Z278" s="26">
        <v>46059</v>
      </c>
    </row>
    <row r="279" spans="1:26" x14ac:dyDescent="0.3">
      <c r="A279" s="50">
        <v>46058.51017361111</v>
      </c>
      <c r="B279">
        <v>2.02602051213533E+18</v>
      </c>
      <c r="C279" t="s">
        <v>4029</v>
      </c>
      <c r="D279" t="s">
        <v>4030</v>
      </c>
      <c r="E279" t="s">
        <v>4030</v>
      </c>
      <c r="F279" t="s">
        <v>4039</v>
      </c>
      <c r="G279" t="s">
        <v>4040</v>
      </c>
      <c r="H279" t="s">
        <v>4040</v>
      </c>
      <c r="I279">
        <v>21364</v>
      </c>
      <c r="J279" t="s">
        <v>4041</v>
      </c>
      <c r="K279" t="s">
        <v>4041</v>
      </c>
      <c r="L279" t="s">
        <v>2832</v>
      </c>
      <c r="M279" t="s">
        <v>2833</v>
      </c>
      <c r="N279">
        <v>54363</v>
      </c>
      <c r="O279">
        <v>45500</v>
      </c>
      <c r="P279">
        <v>1</v>
      </c>
      <c r="Q279">
        <v>0</v>
      </c>
      <c r="S279">
        <v>143790</v>
      </c>
      <c r="T279">
        <v>0</v>
      </c>
      <c r="U279" t="s">
        <v>2835</v>
      </c>
      <c r="W279" t="s">
        <v>4042</v>
      </c>
      <c r="X279">
        <v>45500</v>
      </c>
      <c r="Y279">
        <v>41363.636363636302</v>
      </c>
      <c r="Z279" s="26">
        <v>46059</v>
      </c>
    </row>
    <row r="280" spans="1:26" x14ac:dyDescent="0.3">
      <c r="A280" s="50">
        <v>46058.510972222219</v>
      </c>
      <c r="B280">
        <v>2.0260205121508401E+18</v>
      </c>
      <c r="C280" t="s">
        <v>4029</v>
      </c>
      <c r="D280" t="s">
        <v>4030</v>
      </c>
      <c r="E280" t="s">
        <v>4030</v>
      </c>
      <c r="F280" t="s">
        <v>4043</v>
      </c>
      <c r="G280" t="s">
        <v>4044</v>
      </c>
      <c r="H280" t="s">
        <v>4044</v>
      </c>
      <c r="I280">
        <v>2834</v>
      </c>
      <c r="J280" t="s">
        <v>4045</v>
      </c>
      <c r="K280" t="s">
        <v>4045</v>
      </c>
      <c r="L280" t="s">
        <v>2832</v>
      </c>
      <c r="M280" t="s">
        <v>2833</v>
      </c>
      <c r="N280">
        <v>54363</v>
      </c>
      <c r="O280">
        <v>45500</v>
      </c>
      <c r="P280">
        <v>1</v>
      </c>
      <c r="Q280">
        <v>0</v>
      </c>
      <c r="S280">
        <v>143790</v>
      </c>
      <c r="T280">
        <v>0</v>
      </c>
      <c r="U280" t="s">
        <v>2835</v>
      </c>
      <c r="W280" t="s">
        <v>4046</v>
      </c>
      <c r="X280">
        <v>45500</v>
      </c>
      <c r="Y280">
        <v>41363.636363636302</v>
      </c>
      <c r="Z280" s="26">
        <v>46059</v>
      </c>
    </row>
    <row r="281" spans="1:26" x14ac:dyDescent="0.3">
      <c r="A281" s="50">
        <v>46058.512928240743</v>
      </c>
      <c r="B281">
        <v>2.0260205121699999E+18</v>
      </c>
      <c r="C281" t="s">
        <v>4029</v>
      </c>
      <c r="D281" t="s">
        <v>4030</v>
      </c>
      <c r="E281" t="s">
        <v>4030</v>
      </c>
      <c r="F281" t="s">
        <v>4047</v>
      </c>
      <c r="G281" t="s">
        <v>4048</v>
      </c>
      <c r="H281" t="s">
        <v>4048</v>
      </c>
      <c r="I281">
        <v>11812</v>
      </c>
      <c r="J281" t="s">
        <v>4049</v>
      </c>
      <c r="K281" t="s">
        <v>4049</v>
      </c>
      <c r="L281" t="s">
        <v>2832</v>
      </c>
      <c r="M281" t="s">
        <v>2833</v>
      </c>
      <c r="N281">
        <v>54363</v>
      </c>
      <c r="O281">
        <v>45500</v>
      </c>
      <c r="P281">
        <v>1</v>
      </c>
      <c r="Q281">
        <v>0</v>
      </c>
      <c r="S281">
        <v>143790</v>
      </c>
      <c r="T281">
        <v>0</v>
      </c>
      <c r="U281" t="s">
        <v>2835</v>
      </c>
      <c r="W281" t="s">
        <v>4050</v>
      </c>
      <c r="X281">
        <v>45500</v>
      </c>
      <c r="Y281">
        <v>41363.636363636302</v>
      </c>
      <c r="Z281" s="26">
        <v>46059</v>
      </c>
    </row>
    <row r="282" spans="1:26" x14ac:dyDescent="0.3">
      <c r="A282" s="50">
        <v>46058.523668981477</v>
      </c>
      <c r="B282">
        <v>2.0260205123405599E+18</v>
      </c>
      <c r="C282" t="s">
        <v>4051</v>
      </c>
      <c r="D282" t="s">
        <v>4052</v>
      </c>
      <c r="E282" t="s">
        <v>4052</v>
      </c>
      <c r="F282" t="s">
        <v>4053</v>
      </c>
      <c r="G282" t="s">
        <v>4054</v>
      </c>
      <c r="H282" t="s">
        <v>4054</v>
      </c>
      <c r="I282">
        <v>6618</v>
      </c>
      <c r="J282" t="s">
        <v>4055</v>
      </c>
      <c r="K282" t="s">
        <v>4055</v>
      </c>
      <c r="L282" t="s">
        <v>2832</v>
      </c>
      <c r="M282" t="s">
        <v>2833</v>
      </c>
      <c r="N282">
        <v>54363</v>
      </c>
      <c r="O282">
        <v>45500</v>
      </c>
      <c r="P282">
        <v>1</v>
      </c>
      <c r="Q282">
        <v>0</v>
      </c>
      <c r="S282">
        <v>143790</v>
      </c>
      <c r="T282">
        <v>0</v>
      </c>
      <c r="U282" t="s">
        <v>2835</v>
      </c>
      <c r="W282" t="s">
        <v>4056</v>
      </c>
      <c r="X282">
        <v>45500</v>
      </c>
      <c r="Y282">
        <v>41363.636363636302</v>
      </c>
      <c r="Z282" s="26">
        <v>46059</v>
      </c>
    </row>
    <row r="283" spans="1:26" x14ac:dyDescent="0.3">
      <c r="A283" s="50">
        <v>46058.53019675926</v>
      </c>
      <c r="B283">
        <v>2.0260205124257101E+18</v>
      </c>
      <c r="C283" t="s">
        <v>4057</v>
      </c>
      <c r="D283" t="s">
        <v>4058</v>
      </c>
      <c r="E283" t="s">
        <v>4058</v>
      </c>
      <c r="F283" t="s">
        <v>4057</v>
      </c>
      <c r="G283" t="s">
        <v>4058</v>
      </c>
      <c r="H283" t="s">
        <v>4058</v>
      </c>
      <c r="I283">
        <v>16818</v>
      </c>
      <c r="J283" t="s">
        <v>4059</v>
      </c>
      <c r="K283" t="s">
        <v>4059</v>
      </c>
      <c r="L283" t="s">
        <v>2832</v>
      </c>
      <c r="M283" t="s">
        <v>2833</v>
      </c>
      <c r="N283">
        <v>54363</v>
      </c>
      <c r="O283">
        <v>45500</v>
      </c>
      <c r="P283">
        <v>1</v>
      </c>
      <c r="Q283">
        <v>0</v>
      </c>
      <c r="S283">
        <v>143790</v>
      </c>
      <c r="T283">
        <v>0</v>
      </c>
      <c r="U283" t="s">
        <v>2835</v>
      </c>
      <c r="W283" t="s">
        <v>4060</v>
      </c>
      <c r="X283">
        <v>45500</v>
      </c>
      <c r="Y283">
        <v>41363.636363636302</v>
      </c>
      <c r="Z283" s="26">
        <v>46059</v>
      </c>
    </row>
    <row r="284" spans="1:26" x14ac:dyDescent="0.3">
      <c r="A284" s="50">
        <v>46058.53765046296</v>
      </c>
      <c r="B284">
        <v>2.02602051252048E+18</v>
      </c>
      <c r="C284" t="s">
        <v>4061</v>
      </c>
      <c r="D284" t="s">
        <v>4062</v>
      </c>
      <c r="E284" t="s">
        <v>4062</v>
      </c>
      <c r="F284" t="s">
        <v>4061</v>
      </c>
      <c r="G284" t="s">
        <v>4062</v>
      </c>
      <c r="H284" t="s">
        <v>4062</v>
      </c>
      <c r="I284">
        <v>10892</v>
      </c>
      <c r="J284" t="s">
        <v>4063</v>
      </c>
      <c r="K284" t="s">
        <v>4063</v>
      </c>
      <c r="L284" t="s">
        <v>2832</v>
      </c>
      <c r="M284" t="s">
        <v>2833</v>
      </c>
      <c r="N284">
        <v>54363</v>
      </c>
      <c r="O284">
        <v>45500</v>
      </c>
      <c r="P284">
        <v>1</v>
      </c>
      <c r="Q284">
        <v>0</v>
      </c>
      <c r="S284">
        <v>143790</v>
      </c>
      <c r="T284">
        <v>0</v>
      </c>
      <c r="U284" t="s">
        <v>2835</v>
      </c>
      <c r="W284" t="s">
        <v>4064</v>
      </c>
      <c r="X284">
        <v>45500</v>
      </c>
      <c r="Y284">
        <v>41363.636363636302</v>
      </c>
      <c r="Z284" s="26">
        <v>46059</v>
      </c>
    </row>
    <row r="285" spans="1:26" x14ac:dyDescent="0.3">
      <c r="A285" s="50">
        <v>46058.547824074078</v>
      </c>
      <c r="B285">
        <v>2.02602051305389E+18</v>
      </c>
      <c r="C285" t="s">
        <v>4065</v>
      </c>
      <c r="D285" t="s">
        <v>4066</v>
      </c>
      <c r="E285" t="s">
        <v>4066</v>
      </c>
      <c r="F285" t="s">
        <v>4065</v>
      </c>
      <c r="G285" t="s">
        <v>4066</v>
      </c>
      <c r="H285" t="s">
        <v>4066</v>
      </c>
      <c r="I285">
        <v>16825</v>
      </c>
      <c r="J285" t="s">
        <v>4067</v>
      </c>
      <c r="K285" t="s">
        <v>4067</v>
      </c>
      <c r="L285" t="s">
        <v>2832</v>
      </c>
      <c r="M285" t="s">
        <v>2833</v>
      </c>
      <c r="N285">
        <v>163089</v>
      </c>
      <c r="O285">
        <v>45500</v>
      </c>
      <c r="P285">
        <v>3</v>
      </c>
      <c r="Q285">
        <v>0</v>
      </c>
      <c r="R285" t="s">
        <v>3213</v>
      </c>
      <c r="S285">
        <v>143790</v>
      </c>
      <c r="T285">
        <v>0</v>
      </c>
      <c r="U285" t="s">
        <v>2835</v>
      </c>
      <c r="W285" t="s">
        <v>4068</v>
      </c>
      <c r="X285">
        <v>136500</v>
      </c>
      <c r="Y285">
        <v>124090.909090909</v>
      </c>
      <c r="Z285" s="26">
        <v>46059</v>
      </c>
    </row>
    <row r="286" spans="1:26" x14ac:dyDescent="0.3">
      <c r="A286" s="50">
        <v>46058.553217592591</v>
      </c>
      <c r="B286">
        <v>2.02602051315279E+18</v>
      </c>
      <c r="C286" t="s">
        <v>4069</v>
      </c>
      <c r="D286" t="s">
        <v>4070</v>
      </c>
      <c r="E286" t="s">
        <v>4070</v>
      </c>
      <c r="F286" t="s">
        <v>4069</v>
      </c>
      <c r="G286" t="s">
        <v>4070</v>
      </c>
      <c r="H286" t="s">
        <v>4070</v>
      </c>
      <c r="I286">
        <v>28125</v>
      </c>
      <c r="J286" t="s">
        <v>4071</v>
      </c>
      <c r="K286" t="s">
        <v>4071</v>
      </c>
      <c r="L286" t="s">
        <v>2832</v>
      </c>
      <c r="M286" t="s">
        <v>2833</v>
      </c>
      <c r="N286">
        <v>54363</v>
      </c>
      <c r="O286">
        <v>45500</v>
      </c>
      <c r="P286">
        <v>1</v>
      </c>
      <c r="Q286">
        <v>0</v>
      </c>
      <c r="S286">
        <v>143790</v>
      </c>
      <c r="T286">
        <v>0</v>
      </c>
      <c r="U286" t="s">
        <v>2835</v>
      </c>
      <c r="W286" t="s">
        <v>4072</v>
      </c>
      <c r="X286">
        <v>45500</v>
      </c>
      <c r="Y286">
        <v>41363.636363636302</v>
      </c>
      <c r="Z286" s="26">
        <v>46059</v>
      </c>
    </row>
    <row r="287" spans="1:26" x14ac:dyDescent="0.3">
      <c r="A287" s="50">
        <v>46058.560173611113</v>
      </c>
      <c r="B287">
        <v>2.0260205132452301E+18</v>
      </c>
      <c r="C287" t="s">
        <v>4073</v>
      </c>
      <c r="D287" t="s">
        <v>4074</v>
      </c>
      <c r="E287" t="s">
        <v>4074</v>
      </c>
      <c r="F287" t="s">
        <v>4073</v>
      </c>
      <c r="G287" t="s">
        <v>4074</v>
      </c>
      <c r="H287" t="s">
        <v>4074</v>
      </c>
      <c r="I287">
        <v>10823</v>
      </c>
      <c r="J287" t="s">
        <v>4075</v>
      </c>
      <c r="K287" t="s">
        <v>4075</v>
      </c>
      <c r="L287" t="s">
        <v>2832</v>
      </c>
      <c r="M287" t="s">
        <v>2833</v>
      </c>
      <c r="N287">
        <v>54363</v>
      </c>
      <c r="O287">
        <v>45500</v>
      </c>
      <c r="P287">
        <v>1</v>
      </c>
      <c r="Q287">
        <v>0</v>
      </c>
      <c r="S287">
        <v>143790</v>
      </c>
      <c r="T287">
        <v>0</v>
      </c>
      <c r="U287" t="s">
        <v>2835</v>
      </c>
      <c r="W287" t="s">
        <v>4076</v>
      </c>
      <c r="X287">
        <v>45500</v>
      </c>
      <c r="Y287">
        <v>41363.636363636302</v>
      </c>
      <c r="Z287" s="26">
        <v>46059</v>
      </c>
    </row>
    <row r="288" spans="1:26" x14ac:dyDescent="0.3">
      <c r="A288" s="50">
        <v>46058.565138888887</v>
      </c>
      <c r="B288">
        <v>2.0260205133301399E+18</v>
      </c>
      <c r="C288" t="s">
        <v>4029</v>
      </c>
      <c r="D288" t="s">
        <v>4030</v>
      </c>
      <c r="E288" t="s">
        <v>4030</v>
      </c>
      <c r="F288" t="s">
        <v>4077</v>
      </c>
      <c r="G288" t="s">
        <v>4078</v>
      </c>
      <c r="H288" t="s">
        <v>4078</v>
      </c>
      <c r="I288">
        <v>1150</v>
      </c>
      <c r="J288" t="s">
        <v>4079</v>
      </c>
      <c r="K288" t="s">
        <v>4079</v>
      </c>
      <c r="L288" t="s">
        <v>2832</v>
      </c>
      <c r="M288" t="s">
        <v>2833</v>
      </c>
      <c r="N288">
        <v>54363</v>
      </c>
      <c r="O288">
        <v>45500</v>
      </c>
      <c r="P288">
        <v>1</v>
      </c>
      <c r="Q288">
        <v>0</v>
      </c>
      <c r="S288">
        <v>143790</v>
      </c>
      <c r="T288">
        <v>0</v>
      </c>
      <c r="U288" t="s">
        <v>2835</v>
      </c>
      <c r="W288" t="s">
        <v>4080</v>
      </c>
      <c r="X288">
        <v>45500</v>
      </c>
      <c r="Y288">
        <v>41363.636363636302</v>
      </c>
      <c r="Z288" s="26">
        <v>46059</v>
      </c>
    </row>
    <row r="289" spans="1:26" x14ac:dyDescent="0.3">
      <c r="A289" s="50">
        <v>46058.569236111107</v>
      </c>
      <c r="B289">
        <v>2.02602051338467E+18</v>
      </c>
      <c r="C289" t="s">
        <v>4081</v>
      </c>
      <c r="D289" t="s">
        <v>4082</v>
      </c>
      <c r="E289" t="s">
        <v>4082</v>
      </c>
      <c r="F289" t="s">
        <v>4081</v>
      </c>
      <c r="G289" t="s">
        <v>4082</v>
      </c>
      <c r="H289" t="s">
        <v>4082</v>
      </c>
      <c r="I289">
        <v>13618</v>
      </c>
      <c r="J289" t="s">
        <v>4083</v>
      </c>
      <c r="K289" t="s">
        <v>4083</v>
      </c>
      <c r="L289" t="s">
        <v>2832</v>
      </c>
      <c r="M289" t="s">
        <v>2833</v>
      </c>
      <c r="N289">
        <v>54363</v>
      </c>
      <c r="O289">
        <v>45500</v>
      </c>
      <c r="P289">
        <v>1</v>
      </c>
      <c r="Q289">
        <v>0</v>
      </c>
      <c r="S289">
        <v>143790</v>
      </c>
      <c r="T289">
        <v>0</v>
      </c>
      <c r="U289" t="s">
        <v>2835</v>
      </c>
      <c r="W289" t="s">
        <v>4084</v>
      </c>
      <c r="X289">
        <v>45500</v>
      </c>
      <c r="Y289">
        <v>41363.636363636302</v>
      </c>
      <c r="Z289" s="26">
        <v>46059</v>
      </c>
    </row>
    <row r="290" spans="1:26" x14ac:dyDescent="0.3">
      <c r="A290" s="50">
        <v>46058.569826388892</v>
      </c>
      <c r="B290">
        <v>2.0260205134033101E+18</v>
      </c>
      <c r="C290" t="s">
        <v>4085</v>
      </c>
      <c r="E290" t="s">
        <v>4086</v>
      </c>
      <c r="F290" t="s">
        <v>4085</v>
      </c>
      <c r="H290" t="s">
        <v>4086</v>
      </c>
      <c r="I290">
        <v>8725</v>
      </c>
      <c r="J290" t="s">
        <v>4087</v>
      </c>
      <c r="K290" t="s">
        <v>4088</v>
      </c>
      <c r="L290" t="s">
        <v>2832</v>
      </c>
      <c r="M290" t="s">
        <v>2833</v>
      </c>
      <c r="N290">
        <v>54363</v>
      </c>
      <c r="O290">
        <v>45500</v>
      </c>
      <c r="P290">
        <v>1</v>
      </c>
      <c r="Q290">
        <v>0</v>
      </c>
      <c r="S290">
        <v>143790</v>
      </c>
      <c r="T290">
        <v>0</v>
      </c>
      <c r="U290" t="s">
        <v>2835</v>
      </c>
      <c r="W290" t="s">
        <v>4089</v>
      </c>
      <c r="X290">
        <v>45500</v>
      </c>
      <c r="Y290">
        <v>41363.636363636302</v>
      </c>
      <c r="Z290" s="26">
        <v>46059</v>
      </c>
    </row>
    <row r="291" spans="1:26" x14ac:dyDescent="0.3">
      <c r="A291" s="50">
        <v>46058.5778587963</v>
      </c>
      <c r="B291">
        <v>2.02602051351168E+18</v>
      </c>
      <c r="C291" t="s">
        <v>4090</v>
      </c>
      <c r="D291" t="s">
        <v>4091</v>
      </c>
      <c r="E291" t="s">
        <v>4091</v>
      </c>
      <c r="F291" t="s">
        <v>4090</v>
      </c>
      <c r="G291" t="s">
        <v>4091</v>
      </c>
      <c r="H291" t="s">
        <v>4091</v>
      </c>
      <c r="I291">
        <v>8608</v>
      </c>
      <c r="J291" t="s">
        <v>4092</v>
      </c>
      <c r="K291" t="s">
        <v>4092</v>
      </c>
      <c r="L291" t="s">
        <v>2832</v>
      </c>
      <c r="M291" t="s">
        <v>2833</v>
      </c>
      <c r="N291">
        <v>54363</v>
      </c>
      <c r="O291">
        <v>45500</v>
      </c>
      <c r="P291">
        <v>1</v>
      </c>
      <c r="Q291">
        <v>0</v>
      </c>
      <c r="S291">
        <v>143790</v>
      </c>
      <c r="T291">
        <v>0</v>
      </c>
      <c r="U291" t="s">
        <v>2835</v>
      </c>
      <c r="W291" t="s">
        <v>4093</v>
      </c>
      <c r="X291">
        <v>45500</v>
      </c>
      <c r="Y291">
        <v>41363.636363636302</v>
      </c>
      <c r="Z291" s="26">
        <v>46059</v>
      </c>
    </row>
    <row r="292" spans="1:26" x14ac:dyDescent="0.3">
      <c r="A292" s="50">
        <v>46058.579212962963</v>
      </c>
      <c r="B292">
        <v>2.02602051353011E+18</v>
      </c>
      <c r="C292" t="s">
        <v>4094</v>
      </c>
      <c r="D292" t="s">
        <v>4095</v>
      </c>
      <c r="E292" t="s">
        <v>4095</v>
      </c>
      <c r="F292" t="s">
        <v>4094</v>
      </c>
      <c r="G292" t="s">
        <v>4095</v>
      </c>
      <c r="H292" t="s">
        <v>4095</v>
      </c>
      <c r="I292">
        <v>48107</v>
      </c>
      <c r="J292" t="s">
        <v>4096</v>
      </c>
      <c r="K292" t="s">
        <v>4096</v>
      </c>
      <c r="L292" t="s">
        <v>2832</v>
      </c>
      <c r="M292" t="s">
        <v>2833</v>
      </c>
      <c r="N292">
        <v>54363</v>
      </c>
      <c r="O292">
        <v>45500</v>
      </c>
      <c r="P292">
        <v>1</v>
      </c>
      <c r="Q292">
        <v>0</v>
      </c>
      <c r="S292">
        <v>143790</v>
      </c>
      <c r="T292">
        <v>0</v>
      </c>
      <c r="U292" t="s">
        <v>2835</v>
      </c>
      <c r="W292" t="s">
        <v>4097</v>
      </c>
      <c r="X292">
        <v>45500</v>
      </c>
      <c r="Y292">
        <v>41363.636363636302</v>
      </c>
      <c r="Z292" s="26">
        <v>46059</v>
      </c>
    </row>
    <row r="293" spans="1:26" x14ac:dyDescent="0.3">
      <c r="A293" s="50">
        <v>46058.583622685182</v>
      </c>
      <c r="B293">
        <v>2.02602051359278E+18</v>
      </c>
      <c r="C293" t="s">
        <v>4098</v>
      </c>
      <c r="D293" t="s">
        <v>4099</v>
      </c>
      <c r="E293" t="s">
        <v>4099</v>
      </c>
      <c r="F293" t="s">
        <v>4098</v>
      </c>
      <c r="G293" t="s">
        <v>4099</v>
      </c>
      <c r="H293" t="s">
        <v>4099</v>
      </c>
      <c r="I293">
        <v>1708</v>
      </c>
      <c r="J293" t="s">
        <v>4100</v>
      </c>
      <c r="K293" t="s">
        <v>4100</v>
      </c>
      <c r="L293" t="s">
        <v>2832</v>
      </c>
      <c r="M293" t="s">
        <v>2833</v>
      </c>
      <c r="N293">
        <v>54363</v>
      </c>
      <c r="O293">
        <v>45500</v>
      </c>
      <c r="P293">
        <v>1</v>
      </c>
      <c r="Q293">
        <v>0</v>
      </c>
      <c r="S293">
        <v>143790</v>
      </c>
      <c r="T293">
        <v>0</v>
      </c>
      <c r="U293" t="s">
        <v>2835</v>
      </c>
      <c r="W293" t="s">
        <v>4101</v>
      </c>
      <c r="X293">
        <v>45500</v>
      </c>
      <c r="Y293">
        <v>41363.636363636302</v>
      </c>
      <c r="Z293" s="26">
        <v>46059</v>
      </c>
    </row>
    <row r="294" spans="1:26" x14ac:dyDescent="0.3">
      <c r="A294" s="50">
        <v>46058.610092592593</v>
      </c>
      <c r="B294">
        <v>2.0260205143455099E+18</v>
      </c>
      <c r="C294" t="s">
        <v>4102</v>
      </c>
      <c r="D294" t="s">
        <v>4103</v>
      </c>
      <c r="E294" t="s">
        <v>4103</v>
      </c>
      <c r="F294" t="s">
        <v>4102</v>
      </c>
      <c r="G294" t="s">
        <v>4103</v>
      </c>
      <c r="H294" t="s">
        <v>4103</v>
      </c>
      <c r="I294">
        <v>42605</v>
      </c>
      <c r="J294" t="s">
        <v>4104</v>
      </c>
      <c r="K294" t="s">
        <v>4104</v>
      </c>
      <c r="L294" t="s">
        <v>2832</v>
      </c>
      <c r="M294" t="s">
        <v>2833</v>
      </c>
      <c r="N294">
        <v>54363</v>
      </c>
      <c r="O294">
        <v>45500</v>
      </c>
      <c r="P294">
        <v>1</v>
      </c>
      <c r="Q294">
        <v>0</v>
      </c>
      <c r="R294" t="s">
        <v>4105</v>
      </c>
      <c r="S294">
        <v>143790</v>
      </c>
      <c r="T294">
        <v>0</v>
      </c>
      <c r="U294" t="s">
        <v>2835</v>
      </c>
      <c r="W294" t="s">
        <v>4106</v>
      </c>
      <c r="X294">
        <v>45500</v>
      </c>
      <c r="Y294">
        <v>41363.636363636302</v>
      </c>
      <c r="Z294" s="26">
        <v>46059</v>
      </c>
    </row>
    <row r="295" spans="1:26" x14ac:dyDescent="0.3">
      <c r="A295" s="50">
        <v>46058.61787037037</v>
      </c>
      <c r="B295">
        <v>2.02602051447394E+18</v>
      </c>
      <c r="C295" t="s">
        <v>4107</v>
      </c>
      <c r="D295" t="s">
        <v>4108</v>
      </c>
      <c r="E295" t="s">
        <v>4108</v>
      </c>
      <c r="F295" t="s">
        <v>4107</v>
      </c>
      <c r="G295" t="s">
        <v>4108</v>
      </c>
      <c r="H295" t="s">
        <v>4108</v>
      </c>
      <c r="I295">
        <v>51763</v>
      </c>
      <c r="J295" t="s">
        <v>4109</v>
      </c>
      <c r="K295" t="s">
        <v>4109</v>
      </c>
      <c r="L295" t="s">
        <v>2832</v>
      </c>
      <c r="M295" t="s">
        <v>2833</v>
      </c>
      <c r="N295">
        <v>54363</v>
      </c>
      <c r="O295">
        <v>45500</v>
      </c>
      <c r="P295">
        <v>1</v>
      </c>
      <c r="Q295">
        <v>0</v>
      </c>
      <c r="R295" t="s">
        <v>4110</v>
      </c>
      <c r="S295">
        <v>143790</v>
      </c>
      <c r="T295">
        <v>0</v>
      </c>
      <c r="U295" t="s">
        <v>2835</v>
      </c>
      <c r="W295" t="s">
        <v>4111</v>
      </c>
      <c r="X295">
        <v>45500</v>
      </c>
      <c r="Y295">
        <v>41363.636363636302</v>
      </c>
      <c r="Z295" s="26">
        <v>46059</v>
      </c>
    </row>
    <row r="296" spans="1:26" x14ac:dyDescent="0.3">
      <c r="A296" s="50">
        <v>46058.671030092592</v>
      </c>
      <c r="B296">
        <v>2.02602051605235E+18</v>
      </c>
      <c r="C296" t="s">
        <v>4112</v>
      </c>
      <c r="D296" t="s">
        <v>4113</v>
      </c>
      <c r="E296" t="s">
        <v>4113</v>
      </c>
      <c r="F296" t="s">
        <v>4112</v>
      </c>
      <c r="G296" t="s">
        <v>4113</v>
      </c>
      <c r="H296" t="s">
        <v>4113</v>
      </c>
      <c r="I296">
        <v>13262</v>
      </c>
      <c r="J296" t="s">
        <v>4114</v>
      </c>
      <c r="K296" t="s">
        <v>4114</v>
      </c>
      <c r="L296" t="s">
        <v>2832</v>
      </c>
      <c r="M296" t="s">
        <v>2833</v>
      </c>
      <c r="N296">
        <v>54363</v>
      </c>
      <c r="O296">
        <v>45500</v>
      </c>
      <c r="P296">
        <v>1</v>
      </c>
      <c r="Q296">
        <v>0</v>
      </c>
      <c r="S296">
        <v>143790</v>
      </c>
      <c r="T296">
        <v>0</v>
      </c>
      <c r="U296" t="s">
        <v>2835</v>
      </c>
      <c r="W296" t="s">
        <v>4115</v>
      </c>
      <c r="X296">
        <v>45500</v>
      </c>
      <c r="Y296">
        <v>41363.636363636302</v>
      </c>
      <c r="Z296" s="26">
        <v>46059</v>
      </c>
    </row>
    <row r="297" spans="1:26" x14ac:dyDescent="0.3">
      <c r="A297" s="50">
        <v>46058.674131944441</v>
      </c>
      <c r="B297">
        <v>2.0260205160856699E+18</v>
      </c>
      <c r="C297" t="s">
        <v>4116</v>
      </c>
      <c r="D297" t="s">
        <v>4117</v>
      </c>
      <c r="E297" t="s">
        <v>4117</v>
      </c>
      <c r="F297" t="s">
        <v>4116</v>
      </c>
      <c r="G297" t="s">
        <v>4117</v>
      </c>
      <c r="H297" t="s">
        <v>4117</v>
      </c>
      <c r="I297">
        <v>6703</v>
      </c>
      <c r="J297" t="s">
        <v>4118</v>
      </c>
      <c r="K297" t="s">
        <v>4118</v>
      </c>
      <c r="L297" t="s">
        <v>2832</v>
      </c>
      <c r="M297" t="s">
        <v>2833</v>
      </c>
      <c r="N297">
        <v>54363</v>
      </c>
      <c r="O297">
        <v>45500</v>
      </c>
      <c r="P297">
        <v>1</v>
      </c>
      <c r="Q297">
        <v>0</v>
      </c>
      <c r="S297">
        <v>143790</v>
      </c>
      <c r="T297">
        <v>0</v>
      </c>
      <c r="U297" t="s">
        <v>2835</v>
      </c>
      <c r="W297" t="s">
        <v>4119</v>
      </c>
      <c r="X297">
        <v>45500</v>
      </c>
      <c r="Y297">
        <v>41363.636363636302</v>
      </c>
      <c r="Z297" s="26">
        <v>46059</v>
      </c>
    </row>
    <row r="298" spans="1:26" x14ac:dyDescent="0.3">
      <c r="A298" s="50">
        <v>46058.674224537041</v>
      </c>
      <c r="B298">
        <v>2.0260205160954501E+18</v>
      </c>
      <c r="C298" t="s">
        <v>4120</v>
      </c>
      <c r="D298" t="s">
        <v>4121</v>
      </c>
      <c r="E298" t="s">
        <v>4121</v>
      </c>
      <c r="F298" t="s">
        <v>4120</v>
      </c>
      <c r="G298" t="s">
        <v>4121</v>
      </c>
      <c r="H298" t="s">
        <v>4121</v>
      </c>
      <c r="I298">
        <v>3733</v>
      </c>
      <c r="J298" t="s">
        <v>4122</v>
      </c>
      <c r="K298" t="s">
        <v>4122</v>
      </c>
      <c r="L298" t="s">
        <v>2832</v>
      </c>
      <c r="M298" t="s">
        <v>2833</v>
      </c>
      <c r="N298">
        <v>54363</v>
      </c>
      <c r="O298">
        <v>45500</v>
      </c>
      <c r="P298">
        <v>1</v>
      </c>
      <c r="Q298">
        <v>0</v>
      </c>
      <c r="S298">
        <v>143790</v>
      </c>
      <c r="T298">
        <v>0</v>
      </c>
      <c r="U298" t="s">
        <v>2835</v>
      </c>
      <c r="W298" t="s">
        <v>4123</v>
      </c>
      <c r="X298">
        <v>45500</v>
      </c>
      <c r="Y298">
        <v>41363.636363636302</v>
      </c>
      <c r="Z298" s="26">
        <v>46059</v>
      </c>
    </row>
    <row r="299" spans="1:26" x14ac:dyDescent="0.3">
      <c r="A299" s="50">
        <v>46058.67423611111</v>
      </c>
      <c r="B299">
        <v>2.0260205161002501E+18</v>
      </c>
      <c r="C299" t="s">
        <v>4124</v>
      </c>
      <c r="D299" t="s">
        <v>4125</v>
      </c>
      <c r="E299" t="s">
        <v>4125</v>
      </c>
      <c r="F299" t="s">
        <v>4124</v>
      </c>
      <c r="G299" t="s">
        <v>4125</v>
      </c>
      <c r="H299" t="s">
        <v>4125</v>
      </c>
      <c r="I299">
        <v>6216</v>
      </c>
      <c r="J299" t="s">
        <v>4126</v>
      </c>
      <c r="K299" t="s">
        <v>4126</v>
      </c>
      <c r="L299" t="s">
        <v>2832</v>
      </c>
      <c r="M299" t="s">
        <v>2833</v>
      </c>
      <c r="N299">
        <v>54363</v>
      </c>
      <c r="O299">
        <v>45500</v>
      </c>
      <c r="P299">
        <v>1</v>
      </c>
      <c r="Q299">
        <v>0</v>
      </c>
      <c r="S299">
        <v>143790</v>
      </c>
      <c r="T299">
        <v>0</v>
      </c>
      <c r="U299" t="s">
        <v>2835</v>
      </c>
      <c r="W299" t="s">
        <v>4127</v>
      </c>
      <c r="X299">
        <v>45500</v>
      </c>
      <c r="Y299">
        <v>41363.636363636302</v>
      </c>
      <c r="Z299" s="26">
        <v>46059</v>
      </c>
    </row>
    <row r="300" spans="1:26" x14ac:dyDescent="0.3">
      <c r="A300" s="50">
        <v>46058.674375000002</v>
      </c>
      <c r="B300">
        <v>2.02602051610111E+18</v>
      </c>
      <c r="C300" t="s">
        <v>4128</v>
      </c>
      <c r="D300" t="s">
        <v>4129</v>
      </c>
      <c r="E300" t="s">
        <v>4129</v>
      </c>
      <c r="F300" t="s">
        <v>4128</v>
      </c>
      <c r="G300" t="s">
        <v>4129</v>
      </c>
      <c r="H300" t="s">
        <v>4129</v>
      </c>
      <c r="I300">
        <v>5048</v>
      </c>
      <c r="J300" t="s">
        <v>4130</v>
      </c>
      <c r="K300" t="s">
        <v>4130</v>
      </c>
      <c r="L300" t="s">
        <v>2832</v>
      </c>
      <c r="M300" t="s">
        <v>2833</v>
      </c>
      <c r="N300">
        <v>54363</v>
      </c>
      <c r="O300">
        <v>45500</v>
      </c>
      <c r="P300">
        <v>1</v>
      </c>
      <c r="Q300">
        <v>0</v>
      </c>
      <c r="S300">
        <v>143790</v>
      </c>
      <c r="T300">
        <v>0</v>
      </c>
      <c r="U300" t="s">
        <v>2835</v>
      </c>
      <c r="W300" t="s">
        <v>4131</v>
      </c>
      <c r="X300">
        <v>45500</v>
      </c>
      <c r="Y300">
        <v>41363.636363636302</v>
      </c>
      <c r="Z300" s="26">
        <v>46059</v>
      </c>
    </row>
    <row r="301" spans="1:26" x14ac:dyDescent="0.3">
      <c r="A301" s="50">
        <v>46058.675393518519</v>
      </c>
      <c r="B301">
        <v>2.02602051611553E+18</v>
      </c>
      <c r="C301" t="s">
        <v>4132</v>
      </c>
      <c r="D301" t="s">
        <v>4133</v>
      </c>
      <c r="E301" t="s">
        <v>4133</v>
      </c>
      <c r="F301" t="s">
        <v>4132</v>
      </c>
      <c r="G301" t="s">
        <v>4133</v>
      </c>
      <c r="H301" t="s">
        <v>4133</v>
      </c>
      <c r="I301">
        <v>22001</v>
      </c>
      <c r="J301" t="s">
        <v>4134</v>
      </c>
      <c r="K301" t="s">
        <v>4134</v>
      </c>
      <c r="L301" t="s">
        <v>2832</v>
      </c>
      <c r="M301" t="s">
        <v>2833</v>
      </c>
      <c r="N301">
        <v>54363</v>
      </c>
      <c r="O301">
        <v>45500</v>
      </c>
      <c r="P301">
        <v>1</v>
      </c>
      <c r="Q301">
        <v>0</v>
      </c>
      <c r="S301">
        <v>143790</v>
      </c>
      <c r="T301">
        <v>0</v>
      </c>
      <c r="U301" t="s">
        <v>2835</v>
      </c>
      <c r="W301" t="s">
        <v>4135</v>
      </c>
      <c r="X301">
        <v>45500</v>
      </c>
      <c r="Y301">
        <v>41363.636363636302</v>
      </c>
      <c r="Z301" s="26">
        <v>46059</v>
      </c>
    </row>
    <row r="302" spans="1:26" x14ac:dyDescent="0.3">
      <c r="A302" s="50">
        <v>46058.675416666672</v>
      </c>
      <c r="B302">
        <v>2.02602051610337E+18</v>
      </c>
      <c r="C302" t="s">
        <v>4136</v>
      </c>
      <c r="D302" t="s">
        <v>4137</v>
      </c>
      <c r="E302" t="s">
        <v>4137</v>
      </c>
      <c r="F302" t="s">
        <v>4138</v>
      </c>
      <c r="G302" t="s">
        <v>4139</v>
      </c>
      <c r="H302" t="s">
        <v>4139</v>
      </c>
      <c r="I302">
        <v>2057</v>
      </c>
      <c r="J302" t="s">
        <v>4140</v>
      </c>
      <c r="K302" t="s">
        <v>4140</v>
      </c>
      <c r="L302" t="s">
        <v>2832</v>
      </c>
      <c r="M302" t="s">
        <v>2833</v>
      </c>
      <c r="N302">
        <v>54363</v>
      </c>
      <c r="O302">
        <v>45500</v>
      </c>
      <c r="P302">
        <v>1</v>
      </c>
      <c r="Q302">
        <v>0</v>
      </c>
      <c r="S302">
        <v>143790</v>
      </c>
      <c r="T302">
        <v>0</v>
      </c>
      <c r="U302" t="s">
        <v>2835</v>
      </c>
      <c r="W302" t="s">
        <v>4141</v>
      </c>
      <c r="X302">
        <v>45500</v>
      </c>
      <c r="Y302">
        <v>41363.636363636302</v>
      </c>
      <c r="Z302" s="26">
        <v>46059</v>
      </c>
    </row>
    <row r="303" spans="1:26" x14ac:dyDescent="0.3">
      <c r="A303" s="50">
        <v>46058.676203703697</v>
      </c>
      <c r="B303">
        <v>2.0260205161303601E+18</v>
      </c>
      <c r="C303" t="s">
        <v>4136</v>
      </c>
      <c r="D303" t="s">
        <v>4137</v>
      </c>
      <c r="E303" t="s">
        <v>4137</v>
      </c>
      <c r="F303" t="s">
        <v>4136</v>
      </c>
      <c r="G303" t="s">
        <v>4137</v>
      </c>
      <c r="H303" t="s">
        <v>4137</v>
      </c>
      <c r="I303">
        <v>5210</v>
      </c>
      <c r="J303" t="s">
        <v>4142</v>
      </c>
      <c r="K303" t="s">
        <v>4142</v>
      </c>
      <c r="L303" t="s">
        <v>2832</v>
      </c>
      <c r="M303" t="s">
        <v>2833</v>
      </c>
      <c r="N303">
        <v>54363</v>
      </c>
      <c r="O303">
        <v>45500</v>
      </c>
      <c r="P303">
        <v>1</v>
      </c>
      <c r="Q303">
        <v>0</v>
      </c>
      <c r="S303">
        <v>143790</v>
      </c>
      <c r="T303">
        <v>0</v>
      </c>
      <c r="U303" t="s">
        <v>2835</v>
      </c>
      <c r="W303" t="s">
        <v>4143</v>
      </c>
      <c r="X303">
        <v>45500</v>
      </c>
      <c r="Y303">
        <v>41363.636363636302</v>
      </c>
      <c r="Z303" s="26">
        <v>46059</v>
      </c>
    </row>
    <row r="304" spans="1:26" x14ac:dyDescent="0.3">
      <c r="A304" s="50">
        <v>46058.676458333342</v>
      </c>
      <c r="B304">
        <v>2.0260205161101701E+18</v>
      </c>
      <c r="C304" t="s">
        <v>4144</v>
      </c>
      <c r="D304" t="s">
        <v>4145</v>
      </c>
      <c r="E304" t="s">
        <v>4145</v>
      </c>
      <c r="F304" t="s">
        <v>4144</v>
      </c>
      <c r="G304" t="s">
        <v>4145</v>
      </c>
      <c r="H304" t="s">
        <v>4145</v>
      </c>
      <c r="I304">
        <v>21552</v>
      </c>
      <c r="J304" t="s">
        <v>4146</v>
      </c>
      <c r="K304" t="s">
        <v>4146</v>
      </c>
      <c r="L304" t="s">
        <v>2832</v>
      </c>
      <c r="M304" t="s">
        <v>2833</v>
      </c>
      <c r="N304">
        <v>54363</v>
      </c>
      <c r="O304">
        <v>45500</v>
      </c>
      <c r="P304">
        <v>1</v>
      </c>
      <c r="Q304">
        <v>0</v>
      </c>
      <c r="S304">
        <v>143790</v>
      </c>
      <c r="T304">
        <v>0</v>
      </c>
      <c r="U304" t="s">
        <v>2835</v>
      </c>
      <c r="W304" t="s">
        <v>4147</v>
      </c>
      <c r="X304">
        <v>45500</v>
      </c>
      <c r="Y304">
        <v>41363.636363636302</v>
      </c>
      <c r="Z304" s="26">
        <v>46059</v>
      </c>
    </row>
    <row r="305" spans="1:26" x14ac:dyDescent="0.3">
      <c r="A305" s="50">
        <v>46058.67659722222</v>
      </c>
      <c r="B305">
        <v>2.0260205161245701E+18</v>
      </c>
      <c r="C305" t="s">
        <v>4148</v>
      </c>
      <c r="D305" t="s">
        <v>4149</v>
      </c>
      <c r="E305" t="s">
        <v>4149</v>
      </c>
      <c r="F305" t="s">
        <v>4148</v>
      </c>
      <c r="G305" t="s">
        <v>4149</v>
      </c>
      <c r="H305" t="s">
        <v>4149</v>
      </c>
      <c r="I305">
        <v>11809</v>
      </c>
      <c r="J305" t="s">
        <v>4150</v>
      </c>
      <c r="K305" t="s">
        <v>4150</v>
      </c>
      <c r="L305" t="s">
        <v>2832</v>
      </c>
      <c r="M305" t="s">
        <v>2833</v>
      </c>
      <c r="N305">
        <v>108726</v>
      </c>
      <c r="O305">
        <v>45500</v>
      </c>
      <c r="P305">
        <v>2</v>
      </c>
      <c r="Q305">
        <v>0</v>
      </c>
      <c r="S305">
        <v>143790</v>
      </c>
      <c r="T305">
        <v>0</v>
      </c>
      <c r="U305" t="s">
        <v>2835</v>
      </c>
      <c r="W305" t="s">
        <v>4151</v>
      </c>
      <c r="X305">
        <v>91000</v>
      </c>
      <c r="Y305">
        <v>82727.272727272706</v>
      </c>
      <c r="Z305" s="26">
        <v>46059</v>
      </c>
    </row>
    <row r="306" spans="1:26" x14ac:dyDescent="0.3">
      <c r="A306" s="50">
        <v>46058.677233796298</v>
      </c>
      <c r="B306">
        <v>2.0260205161337101E+18</v>
      </c>
      <c r="C306" t="s">
        <v>4152</v>
      </c>
      <c r="D306" t="s">
        <v>4153</v>
      </c>
      <c r="E306" t="s">
        <v>4153</v>
      </c>
      <c r="F306" t="s">
        <v>4152</v>
      </c>
      <c r="G306" t="s">
        <v>4153</v>
      </c>
      <c r="H306" t="s">
        <v>4153</v>
      </c>
      <c r="I306">
        <v>10895</v>
      </c>
      <c r="J306" t="s">
        <v>4154</v>
      </c>
      <c r="K306" t="s">
        <v>4154</v>
      </c>
      <c r="L306" t="s">
        <v>2832</v>
      </c>
      <c r="M306" t="s">
        <v>2833</v>
      </c>
      <c r="N306">
        <v>54363</v>
      </c>
      <c r="O306">
        <v>45500</v>
      </c>
      <c r="P306">
        <v>1</v>
      </c>
      <c r="Q306">
        <v>0</v>
      </c>
      <c r="S306">
        <v>143790</v>
      </c>
      <c r="T306">
        <v>0</v>
      </c>
      <c r="U306" t="s">
        <v>2835</v>
      </c>
      <c r="W306" t="s">
        <v>4155</v>
      </c>
      <c r="X306">
        <v>45500</v>
      </c>
      <c r="Y306">
        <v>41363.636363636302</v>
      </c>
      <c r="Z306" s="26">
        <v>46059</v>
      </c>
    </row>
    <row r="307" spans="1:26" x14ac:dyDescent="0.3">
      <c r="A307" s="50">
        <v>46058.678032407413</v>
      </c>
      <c r="B307">
        <v>2.0260205161222999E+18</v>
      </c>
      <c r="C307" t="s">
        <v>4156</v>
      </c>
      <c r="D307" t="s">
        <v>4157</v>
      </c>
      <c r="E307" t="s">
        <v>4157</v>
      </c>
      <c r="F307" t="s">
        <v>4156</v>
      </c>
      <c r="G307" t="s">
        <v>4157</v>
      </c>
      <c r="H307" t="s">
        <v>4157</v>
      </c>
      <c r="I307">
        <v>63084</v>
      </c>
      <c r="J307" t="s">
        <v>4158</v>
      </c>
      <c r="K307" t="s">
        <v>4158</v>
      </c>
      <c r="L307" t="s">
        <v>2832</v>
      </c>
      <c r="M307" t="s">
        <v>2833</v>
      </c>
      <c r="N307">
        <v>54363</v>
      </c>
      <c r="O307">
        <v>45500</v>
      </c>
      <c r="P307">
        <v>1</v>
      </c>
      <c r="Q307">
        <v>0</v>
      </c>
      <c r="R307" t="s">
        <v>4159</v>
      </c>
      <c r="S307">
        <v>143790</v>
      </c>
      <c r="T307">
        <v>0</v>
      </c>
      <c r="U307" t="s">
        <v>2835</v>
      </c>
      <c r="W307" t="s">
        <v>4160</v>
      </c>
      <c r="X307">
        <v>45500</v>
      </c>
      <c r="Y307">
        <v>41363.636363636302</v>
      </c>
      <c r="Z307" s="26">
        <v>46059</v>
      </c>
    </row>
    <row r="308" spans="1:26" x14ac:dyDescent="0.3">
      <c r="A308" s="50">
        <v>46058.679456018523</v>
      </c>
      <c r="B308">
        <v>2.0260205161724001E+18</v>
      </c>
      <c r="C308" t="s">
        <v>4161</v>
      </c>
      <c r="D308" t="s">
        <v>4162</v>
      </c>
      <c r="E308" t="s">
        <v>4162</v>
      </c>
      <c r="F308" t="s">
        <v>4161</v>
      </c>
      <c r="G308" t="s">
        <v>4162</v>
      </c>
      <c r="H308" t="s">
        <v>4162</v>
      </c>
      <c r="I308">
        <v>12141</v>
      </c>
      <c r="J308" t="s">
        <v>4163</v>
      </c>
      <c r="K308" t="s">
        <v>4163</v>
      </c>
      <c r="L308" t="s">
        <v>2832</v>
      </c>
      <c r="M308" t="s">
        <v>2833</v>
      </c>
      <c r="N308">
        <v>54363</v>
      </c>
      <c r="O308">
        <v>45500</v>
      </c>
      <c r="P308">
        <v>1</v>
      </c>
      <c r="Q308">
        <v>0</v>
      </c>
      <c r="S308">
        <v>143790</v>
      </c>
      <c r="T308">
        <v>0</v>
      </c>
      <c r="U308" t="s">
        <v>2835</v>
      </c>
      <c r="W308" t="s">
        <v>4164</v>
      </c>
      <c r="X308">
        <v>45500</v>
      </c>
      <c r="Y308">
        <v>41363.636363636302</v>
      </c>
      <c r="Z308" s="26">
        <v>46059</v>
      </c>
    </row>
    <row r="309" spans="1:26" x14ac:dyDescent="0.3">
      <c r="A309" s="50">
        <v>46058.679675925923</v>
      </c>
      <c r="B309">
        <v>2.02602051617106E+18</v>
      </c>
      <c r="C309" t="s">
        <v>4165</v>
      </c>
      <c r="D309" t="s">
        <v>4166</v>
      </c>
      <c r="E309" t="s">
        <v>4166</v>
      </c>
      <c r="F309" t="s">
        <v>4167</v>
      </c>
      <c r="G309" t="s">
        <v>4168</v>
      </c>
      <c r="H309" t="s">
        <v>4168</v>
      </c>
      <c r="I309">
        <v>24536</v>
      </c>
      <c r="J309" t="s">
        <v>4169</v>
      </c>
      <c r="K309" t="s">
        <v>4169</v>
      </c>
      <c r="L309" t="s">
        <v>2832</v>
      </c>
      <c r="M309" t="s">
        <v>2833</v>
      </c>
      <c r="N309">
        <v>54363</v>
      </c>
      <c r="O309">
        <v>45500</v>
      </c>
      <c r="P309">
        <v>1</v>
      </c>
      <c r="Q309">
        <v>0</v>
      </c>
      <c r="S309">
        <v>143790</v>
      </c>
      <c r="T309">
        <v>0</v>
      </c>
      <c r="U309" t="s">
        <v>2835</v>
      </c>
      <c r="W309" t="s">
        <v>4170</v>
      </c>
      <c r="X309">
        <v>45500</v>
      </c>
      <c r="Y309">
        <v>41363.636363636302</v>
      </c>
      <c r="Z309" s="26">
        <v>46059</v>
      </c>
    </row>
    <row r="310" spans="1:26" x14ac:dyDescent="0.3">
      <c r="A310" s="50">
        <v>46058.68005787037</v>
      </c>
      <c r="B310">
        <v>2.0260205161659899E+18</v>
      </c>
      <c r="C310" t="s">
        <v>4171</v>
      </c>
      <c r="D310" t="s">
        <v>4172</v>
      </c>
      <c r="E310" t="s">
        <v>4172</v>
      </c>
      <c r="F310" t="s">
        <v>4171</v>
      </c>
      <c r="G310" t="s">
        <v>4172</v>
      </c>
      <c r="H310" t="s">
        <v>4172</v>
      </c>
      <c r="I310">
        <v>17077</v>
      </c>
      <c r="J310" t="s">
        <v>4173</v>
      </c>
      <c r="K310" t="s">
        <v>4173</v>
      </c>
      <c r="L310" t="s">
        <v>2832</v>
      </c>
      <c r="M310" t="s">
        <v>2833</v>
      </c>
      <c r="N310">
        <v>54363</v>
      </c>
      <c r="O310">
        <v>45500</v>
      </c>
      <c r="P310">
        <v>1</v>
      </c>
      <c r="Q310">
        <v>0</v>
      </c>
      <c r="R310" t="s">
        <v>4174</v>
      </c>
      <c r="S310">
        <v>143790</v>
      </c>
      <c r="T310">
        <v>0</v>
      </c>
      <c r="U310" t="s">
        <v>2835</v>
      </c>
      <c r="W310" t="s">
        <v>4175</v>
      </c>
      <c r="X310">
        <v>45500</v>
      </c>
      <c r="Y310">
        <v>41363.636363636302</v>
      </c>
      <c r="Z310" s="26">
        <v>46059</v>
      </c>
    </row>
    <row r="311" spans="1:26" x14ac:dyDescent="0.3">
      <c r="A311" s="50">
        <v>46058.681909722232</v>
      </c>
      <c r="B311">
        <v>2.0260205161900401E+18</v>
      </c>
      <c r="C311" t="s">
        <v>4176</v>
      </c>
      <c r="D311" t="s">
        <v>4177</v>
      </c>
      <c r="E311" t="s">
        <v>4177</v>
      </c>
      <c r="F311" t="s">
        <v>4176</v>
      </c>
      <c r="G311" t="s">
        <v>4177</v>
      </c>
      <c r="H311" t="s">
        <v>4177</v>
      </c>
      <c r="I311">
        <v>18239</v>
      </c>
      <c r="J311" t="s">
        <v>4178</v>
      </c>
      <c r="K311" t="s">
        <v>4178</v>
      </c>
      <c r="L311" t="s">
        <v>2832</v>
      </c>
      <c r="M311" t="s">
        <v>2833</v>
      </c>
      <c r="N311">
        <v>54363</v>
      </c>
      <c r="O311">
        <v>45500</v>
      </c>
      <c r="P311">
        <v>1</v>
      </c>
      <c r="Q311">
        <v>0</v>
      </c>
      <c r="S311">
        <v>143790</v>
      </c>
      <c r="T311">
        <v>0</v>
      </c>
      <c r="U311" t="s">
        <v>2835</v>
      </c>
      <c r="W311" t="s">
        <v>4179</v>
      </c>
      <c r="X311">
        <v>45500</v>
      </c>
      <c r="Y311">
        <v>41363.636363636302</v>
      </c>
      <c r="Z311" s="26">
        <v>46059</v>
      </c>
    </row>
    <row r="312" spans="1:26" x14ac:dyDescent="0.3">
      <c r="A312" s="50">
        <v>46058.684282407397</v>
      </c>
      <c r="B312">
        <v>2.0260205161604101E+18</v>
      </c>
      <c r="C312" t="s">
        <v>4180</v>
      </c>
      <c r="D312" t="s">
        <v>4181</v>
      </c>
      <c r="E312" t="s">
        <v>4181</v>
      </c>
      <c r="F312" t="s">
        <v>4180</v>
      </c>
      <c r="G312" t="s">
        <v>4181</v>
      </c>
      <c r="H312" t="s">
        <v>4181</v>
      </c>
      <c r="I312">
        <v>13903</v>
      </c>
      <c r="J312" t="s">
        <v>4182</v>
      </c>
      <c r="K312" t="s">
        <v>4182</v>
      </c>
      <c r="L312" t="s">
        <v>2832</v>
      </c>
      <c r="M312" t="s">
        <v>2833</v>
      </c>
      <c r="N312">
        <v>54363</v>
      </c>
      <c r="O312">
        <v>45500</v>
      </c>
      <c r="P312">
        <v>1</v>
      </c>
      <c r="Q312">
        <v>0</v>
      </c>
      <c r="R312" t="s">
        <v>4183</v>
      </c>
      <c r="S312">
        <v>143790</v>
      </c>
      <c r="T312">
        <v>0</v>
      </c>
      <c r="U312" t="s">
        <v>2835</v>
      </c>
      <c r="W312" t="s">
        <v>4184</v>
      </c>
      <c r="X312">
        <v>45500</v>
      </c>
      <c r="Y312">
        <v>41363.636363636302</v>
      </c>
      <c r="Z312" s="26">
        <v>46059</v>
      </c>
    </row>
    <row r="313" spans="1:26" x14ac:dyDescent="0.3">
      <c r="A313" s="50">
        <v>46058.68645833333</v>
      </c>
      <c r="B313">
        <v>2.0260205162654999E+18</v>
      </c>
      <c r="C313" t="s">
        <v>4185</v>
      </c>
      <c r="D313" t="s">
        <v>4186</v>
      </c>
      <c r="E313" t="s">
        <v>4186</v>
      </c>
      <c r="F313" t="s">
        <v>4187</v>
      </c>
      <c r="G313" t="s">
        <v>4188</v>
      </c>
      <c r="H313" t="s">
        <v>4188</v>
      </c>
      <c r="I313">
        <v>57723</v>
      </c>
      <c r="J313" t="s">
        <v>4189</v>
      </c>
      <c r="K313" t="s">
        <v>4189</v>
      </c>
      <c r="L313" t="s">
        <v>2832</v>
      </c>
      <c r="M313" t="s">
        <v>2833</v>
      </c>
      <c r="N313">
        <v>54363</v>
      </c>
      <c r="O313">
        <v>45500</v>
      </c>
      <c r="P313">
        <v>1</v>
      </c>
      <c r="Q313">
        <v>0</v>
      </c>
      <c r="S313">
        <v>143790</v>
      </c>
      <c r="T313">
        <v>0</v>
      </c>
      <c r="U313" t="s">
        <v>2835</v>
      </c>
      <c r="W313" t="s">
        <v>4190</v>
      </c>
      <c r="X313">
        <v>45500</v>
      </c>
      <c r="Y313">
        <v>41363.636363636302</v>
      </c>
      <c r="Z313" s="26">
        <v>46059</v>
      </c>
    </row>
    <row r="314" spans="1:26" x14ac:dyDescent="0.3">
      <c r="A314" s="50">
        <v>46058.688634259262</v>
      </c>
      <c r="B314">
        <v>2.0260205163101701E+18</v>
      </c>
      <c r="C314" t="s">
        <v>4191</v>
      </c>
      <c r="D314" t="s">
        <v>4192</v>
      </c>
      <c r="E314" t="s">
        <v>4192</v>
      </c>
      <c r="F314" t="s">
        <v>4191</v>
      </c>
      <c r="G314" t="s">
        <v>4192</v>
      </c>
      <c r="H314" t="s">
        <v>4192</v>
      </c>
      <c r="I314">
        <v>5410</v>
      </c>
      <c r="J314" t="s">
        <v>4193</v>
      </c>
      <c r="K314" t="s">
        <v>4193</v>
      </c>
      <c r="L314" t="s">
        <v>2832</v>
      </c>
      <c r="M314" t="s">
        <v>2833</v>
      </c>
      <c r="N314">
        <v>54363</v>
      </c>
      <c r="O314">
        <v>45500</v>
      </c>
      <c r="P314">
        <v>1</v>
      </c>
      <c r="Q314">
        <v>0</v>
      </c>
      <c r="S314">
        <v>143790</v>
      </c>
      <c r="T314">
        <v>0</v>
      </c>
      <c r="U314" t="s">
        <v>2835</v>
      </c>
      <c r="W314" t="s">
        <v>4194</v>
      </c>
      <c r="X314">
        <v>45500</v>
      </c>
      <c r="Y314">
        <v>41363.636363636302</v>
      </c>
      <c r="Z314" s="26">
        <v>46059</v>
      </c>
    </row>
    <row r="315" spans="1:26" x14ac:dyDescent="0.3">
      <c r="A315" s="50">
        <v>46058.690300925933</v>
      </c>
      <c r="B315">
        <v>2.02602051633071E+18</v>
      </c>
      <c r="C315" t="s">
        <v>4195</v>
      </c>
      <c r="D315" t="s">
        <v>4196</v>
      </c>
      <c r="E315" t="s">
        <v>4196</v>
      </c>
      <c r="F315" t="s">
        <v>4195</v>
      </c>
      <c r="G315" t="s">
        <v>4196</v>
      </c>
      <c r="H315" t="s">
        <v>4196</v>
      </c>
      <c r="I315">
        <v>13824</v>
      </c>
      <c r="J315" t="s">
        <v>4197</v>
      </c>
      <c r="K315" t="s">
        <v>4197</v>
      </c>
      <c r="L315" t="s">
        <v>2832</v>
      </c>
      <c r="M315" t="s">
        <v>2833</v>
      </c>
      <c r="N315">
        <v>54363</v>
      </c>
      <c r="O315">
        <v>45500</v>
      </c>
      <c r="P315">
        <v>1</v>
      </c>
      <c r="Q315">
        <v>0</v>
      </c>
      <c r="S315">
        <v>143790</v>
      </c>
      <c r="T315">
        <v>0</v>
      </c>
      <c r="U315" t="s">
        <v>2835</v>
      </c>
      <c r="W315" t="s">
        <v>4198</v>
      </c>
      <c r="X315">
        <v>45500</v>
      </c>
      <c r="Y315">
        <v>41363.636363636302</v>
      </c>
      <c r="Z315" s="26">
        <v>46059</v>
      </c>
    </row>
    <row r="316" spans="1:26" x14ac:dyDescent="0.3">
      <c r="A316" s="50">
        <v>46058.690625000003</v>
      </c>
      <c r="B316">
        <v>2.0260205163213901E+18</v>
      </c>
      <c r="C316" t="s">
        <v>4199</v>
      </c>
      <c r="D316" t="s">
        <v>4200</v>
      </c>
      <c r="E316" t="s">
        <v>4200</v>
      </c>
      <c r="F316" t="s">
        <v>4199</v>
      </c>
      <c r="G316" t="s">
        <v>4200</v>
      </c>
      <c r="H316" t="s">
        <v>4200</v>
      </c>
      <c r="I316">
        <v>31739</v>
      </c>
      <c r="J316" t="s">
        <v>4201</v>
      </c>
      <c r="K316" t="s">
        <v>4201</v>
      </c>
      <c r="L316" t="s">
        <v>2832</v>
      </c>
      <c r="M316" t="s">
        <v>2833</v>
      </c>
      <c r="N316">
        <v>217452</v>
      </c>
      <c r="O316">
        <v>45500</v>
      </c>
      <c r="P316">
        <v>4</v>
      </c>
      <c r="Q316">
        <v>0</v>
      </c>
      <c r="S316">
        <v>143790</v>
      </c>
      <c r="T316">
        <v>0</v>
      </c>
      <c r="U316" t="s">
        <v>2835</v>
      </c>
      <c r="W316" t="s">
        <v>4202</v>
      </c>
      <c r="X316">
        <v>182000</v>
      </c>
      <c r="Y316">
        <v>165454.545454545</v>
      </c>
      <c r="Z316" s="26">
        <v>46059</v>
      </c>
    </row>
    <row r="317" spans="1:26" x14ac:dyDescent="0.3">
      <c r="A317" s="50">
        <v>46058.692708333343</v>
      </c>
      <c r="B317">
        <v>2.0260205163512901E+18</v>
      </c>
      <c r="C317" t="s">
        <v>4203</v>
      </c>
      <c r="D317" t="s">
        <v>4204</v>
      </c>
      <c r="E317" t="s">
        <v>4204</v>
      </c>
      <c r="F317" t="s">
        <v>4203</v>
      </c>
      <c r="G317" t="s">
        <v>4204</v>
      </c>
      <c r="H317" t="s">
        <v>4204</v>
      </c>
      <c r="I317">
        <v>10324</v>
      </c>
      <c r="J317" t="s">
        <v>4205</v>
      </c>
      <c r="K317" t="s">
        <v>4205</v>
      </c>
      <c r="L317" t="s">
        <v>2832</v>
      </c>
      <c r="M317" t="s">
        <v>2833</v>
      </c>
      <c r="N317">
        <v>54363</v>
      </c>
      <c r="O317">
        <v>45500</v>
      </c>
      <c r="P317">
        <v>1</v>
      </c>
      <c r="Q317">
        <v>0</v>
      </c>
      <c r="R317" t="s">
        <v>2865</v>
      </c>
      <c r="S317">
        <v>143790</v>
      </c>
      <c r="T317">
        <v>0</v>
      </c>
      <c r="U317" t="s">
        <v>2835</v>
      </c>
      <c r="W317" t="s">
        <v>4206</v>
      </c>
      <c r="X317">
        <v>45500</v>
      </c>
      <c r="Y317">
        <v>41363.636363636302</v>
      </c>
      <c r="Z317" s="26">
        <v>46059</v>
      </c>
    </row>
    <row r="318" spans="1:26" x14ac:dyDescent="0.3">
      <c r="A318" s="50">
        <v>46058.699097222219</v>
      </c>
      <c r="B318">
        <v>2.0260205164018401E+18</v>
      </c>
      <c r="C318" t="s">
        <v>4207</v>
      </c>
      <c r="D318" t="s">
        <v>4208</v>
      </c>
      <c r="E318" t="s">
        <v>4208</v>
      </c>
      <c r="F318" t="s">
        <v>4207</v>
      </c>
      <c r="G318" t="s">
        <v>4208</v>
      </c>
      <c r="H318" t="s">
        <v>4208</v>
      </c>
      <c r="I318">
        <v>4702</v>
      </c>
      <c r="J318" t="s">
        <v>4209</v>
      </c>
      <c r="K318" t="s">
        <v>4209</v>
      </c>
      <c r="L318" t="s">
        <v>2832</v>
      </c>
      <c r="M318" t="s">
        <v>2833</v>
      </c>
      <c r="N318">
        <v>54363</v>
      </c>
      <c r="O318">
        <v>45500</v>
      </c>
      <c r="P318">
        <v>1</v>
      </c>
      <c r="Q318">
        <v>0</v>
      </c>
      <c r="R318" t="s">
        <v>4210</v>
      </c>
      <c r="S318">
        <v>143790</v>
      </c>
      <c r="T318">
        <v>0</v>
      </c>
      <c r="U318" t="s">
        <v>2835</v>
      </c>
      <c r="W318" t="s">
        <v>4211</v>
      </c>
      <c r="X318">
        <v>45500</v>
      </c>
      <c r="Y318">
        <v>41363.636363636302</v>
      </c>
      <c r="Z318" s="26">
        <v>46059</v>
      </c>
    </row>
    <row r="319" spans="1:26" x14ac:dyDescent="0.3">
      <c r="A319" s="50">
        <v>46058.700289351851</v>
      </c>
      <c r="B319">
        <v>2.0260205164503601E+18</v>
      </c>
      <c r="C319" t="s">
        <v>4212</v>
      </c>
      <c r="D319" t="s">
        <v>4213</v>
      </c>
      <c r="E319" t="s">
        <v>4213</v>
      </c>
      <c r="F319" t="s">
        <v>4212</v>
      </c>
      <c r="G319" t="s">
        <v>4213</v>
      </c>
      <c r="H319" t="s">
        <v>4213</v>
      </c>
      <c r="I319">
        <v>63527</v>
      </c>
      <c r="J319" t="s">
        <v>4214</v>
      </c>
      <c r="K319" t="s">
        <v>4214</v>
      </c>
      <c r="L319" t="s">
        <v>2832</v>
      </c>
      <c r="M319" t="s">
        <v>2833</v>
      </c>
      <c r="N319">
        <v>54363</v>
      </c>
      <c r="O319">
        <v>45500</v>
      </c>
      <c r="P319">
        <v>1</v>
      </c>
      <c r="Q319">
        <v>0</v>
      </c>
      <c r="S319">
        <v>143790</v>
      </c>
      <c r="T319">
        <v>0</v>
      </c>
      <c r="U319" t="s">
        <v>2835</v>
      </c>
      <c r="W319" t="s">
        <v>4215</v>
      </c>
      <c r="X319">
        <v>45500</v>
      </c>
      <c r="Y319">
        <v>41363.636363636302</v>
      </c>
      <c r="Z319" s="26">
        <v>46059</v>
      </c>
    </row>
    <row r="320" spans="1:26" x14ac:dyDescent="0.3">
      <c r="A320" s="50">
        <v>46058.701770833337</v>
      </c>
      <c r="B320">
        <v>2.0260205164937001E+18</v>
      </c>
      <c r="C320" t="s">
        <v>4216</v>
      </c>
      <c r="D320" t="s">
        <v>4217</v>
      </c>
      <c r="E320" t="s">
        <v>4217</v>
      </c>
      <c r="F320" t="s">
        <v>4216</v>
      </c>
      <c r="G320" t="s">
        <v>4217</v>
      </c>
      <c r="H320" t="s">
        <v>4217</v>
      </c>
      <c r="I320">
        <v>15038</v>
      </c>
      <c r="J320" t="s">
        <v>4218</v>
      </c>
      <c r="K320" t="s">
        <v>4218</v>
      </c>
      <c r="L320" t="s">
        <v>2832</v>
      </c>
      <c r="M320" t="s">
        <v>2833</v>
      </c>
      <c r="N320">
        <v>54363</v>
      </c>
      <c r="O320">
        <v>45500</v>
      </c>
      <c r="P320">
        <v>1</v>
      </c>
      <c r="Q320">
        <v>0</v>
      </c>
      <c r="R320" t="s">
        <v>3283</v>
      </c>
      <c r="S320">
        <v>143790</v>
      </c>
      <c r="T320">
        <v>0</v>
      </c>
      <c r="U320" t="s">
        <v>2835</v>
      </c>
      <c r="W320" t="s">
        <v>4219</v>
      </c>
      <c r="X320">
        <v>45500</v>
      </c>
      <c r="Y320">
        <v>41363.636363636302</v>
      </c>
      <c r="Z320" s="26">
        <v>46059</v>
      </c>
    </row>
    <row r="321" spans="1:26" x14ac:dyDescent="0.3">
      <c r="A321" s="50">
        <v>46058.703541666669</v>
      </c>
      <c r="B321">
        <v>2.0260205165237399E+18</v>
      </c>
      <c r="C321" t="s">
        <v>4220</v>
      </c>
      <c r="D321" t="s">
        <v>4221</v>
      </c>
      <c r="E321" t="s">
        <v>4221</v>
      </c>
      <c r="F321" t="s">
        <v>4220</v>
      </c>
      <c r="G321" t="s">
        <v>4221</v>
      </c>
      <c r="H321" t="s">
        <v>4221</v>
      </c>
      <c r="I321">
        <v>22748</v>
      </c>
      <c r="J321" t="s">
        <v>4222</v>
      </c>
      <c r="K321" t="s">
        <v>4222</v>
      </c>
      <c r="L321" t="s">
        <v>2832</v>
      </c>
      <c r="M321" t="s">
        <v>2833</v>
      </c>
      <c r="N321">
        <v>54363</v>
      </c>
      <c r="O321">
        <v>45500</v>
      </c>
      <c r="P321">
        <v>1</v>
      </c>
      <c r="Q321">
        <v>0</v>
      </c>
      <c r="S321">
        <v>143790</v>
      </c>
      <c r="T321">
        <v>0</v>
      </c>
      <c r="U321" t="s">
        <v>2835</v>
      </c>
      <c r="W321" t="s">
        <v>4223</v>
      </c>
      <c r="X321">
        <v>45500</v>
      </c>
      <c r="Y321">
        <v>41363.636363636302</v>
      </c>
      <c r="Z321" s="26">
        <v>46059</v>
      </c>
    </row>
    <row r="322" spans="1:26" x14ac:dyDescent="0.3">
      <c r="A322" s="50">
        <v>46058.711701388893</v>
      </c>
      <c r="B322">
        <v>2.0260205170315E+18</v>
      </c>
      <c r="C322" t="s">
        <v>4224</v>
      </c>
      <c r="D322" t="s">
        <v>4225</v>
      </c>
      <c r="E322" t="s">
        <v>4225</v>
      </c>
      <c r="F322" t="s">
        <v>4224</v>
      </c>
      <c r="G322" t="s">
        <v>4225</v>
      </c>
      <c r="H322" t="s">
        <v>4225</v>
      </c>
      <c r="I322">
        <v>14321</v>
      </c>
      <c r="J322" t="s">
        <v>4226</v>
      </c>
      <c r="K322" t="s">
        <v>4226</v>
      </c>
      <c r="L322" t="s">
        <v>2832</v>
      </c>
      <c r="M322" t="s">
        <v>2833</v>
      </c>
      <c r="N322">
        <v>54363</v>
      </c>
      <c r="O322">
        <v>45500</v>
      </c>
      <c r="P322">
        <v>1</v>
      </c>
      <c r="Q322">
        <v>0</v>
      </c>
      <c r="S322">
        <v>143790</v>
      </c>
      <c r="T322">
        <v>0</v>
      </c>
      <c r="U322" t="s">
        <v>2835</v>
      </c>
      <c r="W322" t="s">
        <v>4227</v>
      </c>
      <c r="X322">
        <v>45500</v>
      </c>
      <c r="Y322">
        <v>41363.636363636302</v>
      </c>
      <c r="Z322" s="26">
        <v>46059</v>
      </c>
    </row>
    <row r="323" spans="1:26" x14ac:dyDescent="0.3">
      <c r="A323" s="50">
        <v>46058.713333333333</v>
      </c>
      <c r="B323">
        <v>2.0260205170621299E+18</v>
      </c>
      <c r="C323" t="s">
        <v>4224</v>
      </c>
      <c r="D323" t="s">
        <v>4225</v>
      </c>
      <c r="E323" t="s">
        <v>4225</v>
      </c>
      <c r="F323" t="s">
        <v>4224</v>
      </c>
      <c r="G323" t="s">
        <v>4225</v>
      </c>
      <c r="H323" t="s">
        <v>4225</v>
      </c>
      <c r="I323">
        <v>8599</v>
      </c>
      <c r="J323" t="s">
        <v>4228</v>
      </c>
      <c r="K323" t="s">
        <v>4228</v>
      </c>
      <c r="L323" t="s">
        <v>2832</v>
      </c>
      <c r="M323" t="s">
        <v>2833</v>
      </c>
      <c r="N323">
        <v>54363</v>
      </c>
      <c r="O323">
        <v>45500</v>
      </c>
      <c r="P323">
        <v>1</v>
      </c>
      <c r="Q323">
        <v>0</v>
      </c>
      <c r="S323">
        <v>143790</v>
      </c>
      <c r="T323">
        <v>0</v>
      </c>
      <c r="U323" t="s">
        <v>2835</v>
      </c>
      <c r="W323" t="s">
        <v>4229</v>
      </c>
      <c r="X323">
        <v>45500</v>
      </c>
      <c r="Y323">
        <v>41363.636363636302</v>
      </c>
      <c r="Z323" s="26">
        <v>46059</v>
      </c>
    </row>
    <row r="324" spans="1:26" x14ac:dyDescent="0.3">
      <c r="A324" s="50">
        <v>46058.718553240738</v>
      </c>
      <c r="B324">
        <v>2.02602051713073E+18</v>
      </c>
      <c r="C324" t="s">
        <v>4230</v>
      </c>
      <c r="D324" t="s">
        <v>4231</v>
      </c>
      <c r="E324" t="s">
        <v>4231</v>
      </c>
      <c r="F324" t="s">
        <v>4230</v>
      </c>
      <c r="G324" t="s">
        <v>4231</v>
      </c>
      <c r="H324" t="s">
        <v>4231</v>
      </c>
      <c r="I324">
        <v>10492</v>
      </c>
      <c r="J324" t="s">
        <v>4232</v>
      </c>
      <c r="K324" t="s">
        <v>4232</v>
      </c>
      <c r="L324" t="s">
        <v>2832</v>
      </c>
      <c r="M324" t="s">
        <v>2833</v>
      </c>
      <c r="N324">
        <v>54363</v>
      </c>
      <c r="O324">
        <v>45500</v>
      </c>
      <c r="P324">
        <v>1</v>
      </c>
      <c r="Q324">
        <v>0</v>
      </c>
      <c r="S324">
        <v>143790</v>
      </c>
      <c r="T324">
        <v>0</v>
      </c>
      <c r="U324" t="s">
        <v>2835</v>
      </c>
      <c r="W324" t="s">
        <v>4233</v>
      </c>
      <c r="X324">
        <v>45500</v>
      </c>
      <c r="Y324">
        <v>41363.636363636302</v>
      </c>
      <c r="Z324" s="26">
        <v>46059</v>
      </c>
    </row>
    <row r="325" spans="1:26" x14ac:dyDescent="0.3">
      <c r="A325" s="50">
        <v>46058.718865740739</v>
      </c>
      <c r="B325">
        <v>2.02602051712446E+18</v>
      </c>
      <c r="C325" t="s">
        <v>4234</v>
      </c>
      <c r="D325" t="s">
        <v>4235</v>
      </c>
      <c r="E325" t="s">
        <v>4235</v>
      </c>
      <c r="F325" t="s">
        <v>4236</v>
      </c>
      <c r="G325" t="s">
        <v>4237</v>
      </c>
      <c r="H325" t="s">
        <v>4237</v>
      </c>
      <c r="I325">
        <v>7542</v>
      </c>
      <c r="J325" t="s">
        <v>4238</v>
      </c>
      <c r="K325" t="s">
        <v>4238</v>
      </c>
      <c r="L325" t="s">
        <v>2832</v>
      </c>
      <c r="M325" t="s">
        <v>2833</v>
      </c>
      <c r="N325">
        <v>54363</v>
      </c>
      <c r="O325">
        <v>45500</v>
      </c>
      <c r="P325">
        <v>1</v>
      </c>
      <c r="Q325">
        <v>0</v>
      </c>
      <c r="S325">
        <v>143790</v>
      </c>
      <c r="T325">
        <v>0</v>
      </c>
      <c r="U325" t="s">
        <v>2835</v>
      </c>
      <c r="W325" t="s">
        <v>4239</v>
      </c>
      <c r="X325">
        <v>45500</v>
      </c>
      <c r="Y325">
        <v>41363.636363636302</v>
      </c>
      <c r="Z325" s="26">
        <v>46059</v>
      </c>
    </row>
    <row r="326" spans="1:26" x14ac:dyDescent="0.3">
      <c r="A326" s="50">
        <v>46058.724699074082</v>
      </c>
      <c r="B326">
        <v>2.0260205172151401E+18</v>
      </c>
      <c r="C326" t="s">
        <v>4240</v>
      </c>
      <c r="D326" t="s">
        <v>4241</v>
      </c>
      <c r="E326" t="s">
        <v>4241</v>
      </c>
      <c r="F326" t="s">
        <v>4240</v>
      </c>
      <c r="G326" t="s">
        <v>4241</v>
      </c>
      <c r="H326" t="s">
        <v>4241</v>
      </c>
      <c r="I326">
        <v>6374</v>
      </c>
      <c r="J326" t="s">
        <v>4242</v>
      </c>
      <c r="K326" t="s">
        <v>4242</v>
      </c>
      <c r="L326" t="s">
        <v>2832</v>
      </c>
      <c r="M326" t="s">
        <v>2833</v>
      </c>
      <c r="N326">
        <v>54363</v>
      </c>
      <c r="O326">
        <v>45500</v>
      </c>
      <c r="P326">
        <v>1</v>
      </c>
      <c r="Q326">
        <v>0</v>
      </c>
      <c r="S326">
        <v>143790</v>
      </c>
      <c r="T326">
        <v>0</v>
      </c>
      <c r="U326" t="s">
        <v>2835</v>
      </c>
      <c r="W326" t="s">
        <v>4243</v>
      </c>
      <c r="X326">
        <v>45500</v>
      </c>
      <c r="Y326">
        <v>41363.636363636302</v>
      </c>
      <c r="Z326" s="26">
        <v>46059</v>
      </c>
    </row>
    <row r="327" spans="1:26" x14ac:dyDescent="0.3">
      <c r="A327" s="50">
        <v>46058.727083333331</v>
      </c>
      <c r="B327">
        <v>2.02602051723488E+18</v>
      </c>
      <c r="C327" t="s">
        <v>4244</v>
      </c>
      <c r="D327" t="s">
        <v>4245</v>
      </c>
      <c r="E327" t="s">
        <v>4245</v>
      </c>
      <c r="F327" t="s">
        <v>4246</v>
      </c>
      <c r="G327" t="s">
        <v>4247</v>
      </c>
      <c r="H327" t="s">
        <v>4247</v>
      </c>
      <c r="I327">
        <v>58307</v>
      </c>
      <c r="J327" t="s">
        <v>4248</v>
      </c>
      <c r="K327" t="s">
        <v>4248</v>
      </c>
      <c r="L327" t="s">
        <v>2832</v>
      </c>
      <c r="M327" t="s">
        <v>2833</v>
      </c>
      <c r="N327">
        <v>54363</v>
      </c>
      <c r="O327">
        <v>45500</v>
      </c>
      <c r="P327">
        <v>1</v>
      </c>
      <c r="Q327">
        <v>0</v>
      </c>
      <c r="R327" t="s">
        <v>3591</v>
      </c>
      <c r="S327">
        <v>143790</v>
      </c>
      <c r="T327">
        <v>0</v>
      </c>
      <c r="U327" t="s">
        <v>2835</v>
      </c>
      <c r="W327" t="s">
        <v>4249</v>
      </c>
      <c r="X327">
        <v>45500</v>
      </c>
      <c r="Y327">
        <v>41363.636363636302</v>
      </c>
      <c r="Z327" s="26">
        <v>46059</v>
      </c>
    </row>
    <row r="328" spans="1:26" x14ac:dyDescent="0.3">
      <c r="A328" s="50">
        <v>46058.729085648149</v>
      </c>
      <c r="B328">
        <v>2.0260205172907699E+18</v>
      </c>
      <c r="C328" t="s">
        <v>4250</v>
      </c>
      <c r="D328" t="s">
        <v>4251</v>
      </c>
      <c r="E328" t="s">
        <v>4251</v>
      </c>
      <c r="F328" t="s">
        <v>4250</v>
      </c>
      <c r="G328" t="s">
        <v>4251</v>
      </c>
      <c r="H328" t="s">
        <v>4251</v>
      </c>
      <c r="I328">
        <v>14238</v>
      </c>
      <c r="J328" t="s">
        <v>4252</v>
      </c>
      <c r="K328" t="s">
        <v>4252</v>
      </c>
      <c r="L328" t="s">
        <v>2832</v>
      </c>
      <c r="M328" t="s">
        <v>2833</v>
      </c>
      <c r="N328">
        <v>54363</v>
      </c>
      <c r="O328">
        <v>45500</v>
      </c>
      <c r="P328">
        <v>1</v>
      </c>
      <c r="Q328">
        <v>0</v>
      </c>
      <c r="S328">
        <v>143790</v>
      </c>
      <c r="T328">
        <v>0</v>
      </c>
      <c r="U328" t="s">
        <v>2835</v>
      </c>
      <c r="W328" t="s">
        <v>4253</v>
      </c>
      <c r="X328">
        <v>45500</v>
      </c>
      <c r="Y328">
        <v>41363.636363636302</v>
      </c>
      <c r="Z328" s="26">
        <v>46059</v>
      </c>
    </row>
    <row r="329" spans="1:26" x14ac:dyDescent="0.3">
      <c r="A329" s="50">
        <v>46058.729490740741</v>
      </c>
      <c r="B329">
        <v>2.0260205172837299E+18</v>
      </c>
      <c r="C329" t="s">
        <v>4254</v>
      </c>
      <c r="D329" t="s">
        <v>4255</v>
      </c>
      <c r="E329" t="s">
        <v>4255</v>
      </c>
      <c r="F329" t="s">
        <v>4254</v>
      </c>
      <c r="G329" t="s">
        <v>4255</v>
      </c>
      <c r="H329" t="s">
        <v>4255</v>
      </c>
      <c r="I329">
        <v>63322</v>
      </c>
      <c r="J329" t="s">
        <v>4256</v>
      </c>
      <c r="K329" t="s">
        <v>4256</v>
      </c>
      <c r="L329" t="s">
        <v>2832</v>
      </c>
      <c r="M329" t="s">
        <v>2833</v>
      </c>
      <c r="N329">
        <v>54363</v>
      </c>
      <c r="O329">
        <v>45500</v>
      </c>
      <c r="P329">
        <v>1</v>
      </c>
      <c r="Q329">
        <v>0</v>
      </c>
      <c r="S329">
        <v>143790</v>
      </c>
      <c r="T329">
        <v>0</v>
      </c>
      <c r="U329" t="s">
        <v>2835</v>
      </c>
      <c r="W329" t="s">
        <v>4257</v>
      </c>
      <c r="X329">
        <v>45500</v>
      </c>
      <c r="Y329">
        <v>41363.636363636302</v>
      </c>
      <c r="Z329" s="26">
        <v>46059</v>
      </c>
    </row>
    <row r="330" spans="1:26" x14ac:dyDescent="0.3">
      <c r="A330" s="50">
        <v>46058.738368055558</v>
      </c>
      <c r="B330">
        <v>2.02602051741442E+18</v>
      </c>
      <c r="C330" t="s">
        <v>4258</v>
      </c>
      <c r="D330" t="s">
        <v>4259</v>
      </c>
      <c r="E330" t="s">
        <v>4259</v>
      </c>
      <c r="F330" t="s">
        <v>4258</v>
      </c>
      <c r="G330" t="s">
        <v>4259</v>
      </c>
      <c r="H330" t="s">
        <v>4259</v>
      </c>
      <c r="I330">
        <v>16928</v>
      </c>
      <c r="J330" t="s">
        <v>4260</v>
      </c>
      <c r="K330" t="s">
        <v>4260</v>
      </c>
      <c r="L330" t="s">
        <v>2832</v>
      </c>
      <c r="M330" t="s">
        <v>2833</v>
      </c>
      <c r="N330">
        <v>54363</v>
      </c>
      <c r="O330">
        <v>45500</v>
      </c>
      <c r="P330">
        <v>1</v>
      </c>
      <c r="Q330">
        <v>0</v>
      </c>
      <c r="S330">
        <v>143790</v>
      </c>
      <c r="T330">
        <v>0</v>
      </c>
      <c r="U330" t="s">
        <v>2835</v>
      </c>
      <c r="W330" t="s">
        <v>4261</v>
      </c>
      <c r="X330">
        <v>45500</v>
      </c>
      <c r="Y330">
        <v>41363.636363636302</v>
      </c>
      <c r="Z330" s="26">
        <v>46059</v>
      </c>
    </row>
    <row r="331" spans="1:26" x14ac:dyDescent="0.3">
      <c r="A331" s="50">
        <v>46058.740810185183</v>
      </c>
      <c r="B331">
        <v>2.02602051741314E+18</v>
      </c>
      <c r="C331" t="s">
        <v>4262</v>
      </c>
      <c r="D331" t="s">
        <v>4263</v>
      </c>
      <c r="E331" t="s">
        <v>4263</v>
      </c>
      <c r="F331" t="s">
        <v>4264</v>
      </c>
      <c r="G331" t="s">
        <v>4265</v>
      </c>
      <c r="H331" t="s">
        <v>4265</v>
      </c>
      <c r="I331">
        <v>16217</v>
      </c>
      <c r="J331" t="s">
        <v>4266</v>
      </c>
      <c r="K331" t="s">
        <v>4266</v>
      </c>
      <c r="L331" t="s">
        <v>2832</v>
      </c>
      <c r="M331" t="s">
        <v>2833</v>
      </c>
      <c r="N331">
        <v>54363</v>
      </c>
      <c r="O331">
        <v>45500</v>
      </c>
      <c r="P331">
        <v>1</v>
      </c>
      <c r="Q331">
        <v>0</v>
      </c>
      <c r="S331">
        <v>143790</v>
      </c>
      <c r="T331">
        <v>0</v>
      </c>
      <c r="U331" t="s">
        <v>2835</v>
      </c>
      <c r="W331" t="s">
        <v>4267</v>
      </c>
      <c r="X331">
        <v>45500</v>
      </c>
      <c r="Y331">
        <v>41363.636363636302</v>
      </c>
      <c r="Z331" s="26">
        <v>46059</v>
      </c>
    </row>
    <row r="332" spans="1:26" x14ac:dyDescent="0.3">
      <c r="A332" s="50">
        <v>46058.747916666667</v>
      </c>
      <c r="B332">
        <v>2.02602051755454E+18</v>
      </c>
      <c r="C332" t="s">
        <v>4268</v>
      </c>
      <c r="D332" t="s">
        <v>4269</v>
      </c>
      <c r="E332" t="s">
        <v>4269</v>
      </c>
      <c r="F332" t="s">
        <v>4268</v>
      </c>
      <c r="G332" t="s">
        <v>4269</v>
      </c>
      <c r="H332" t="s">
        <v>4269</v>
      </c>
      <c r="I332">
        <v>42732</v>
      </c>
      <c r="J332" t="s">
        <v>4270</v>
      </c>
      <c r="K332" t="s">
        <v>4270</v>
      </c>
      <c r="L332" t="s">
        <v>2832</v>
      </c>
      <c r="M332" t="s">
        <v>2833</v>
      </c>
      <c r="N332">
        <v>54363</v>
      </c>
      <c r="O332">
        <v>45500</v>
      </c>
      <c r="P332">
        <v>1</v>
      </c>
      <c r="Q332">
        <v>0</v>
      </c>
      <c r="S332">
        <v>143790</v>
      </c>
      <c r="T332">
        <v>0</v>
      </c>
      <c r="U332" t="s">
        <v>2835</v>
      </c>
      <c r="W332" t="s">
        <v>4271</v>
      </c>
      <c r="X332">
        <v>45500</v>
      </c>
      <c r="Y332">
        <v>41363.636363636302</v>
      </c>
      <c r="Z332" s="26">
        <v>46059</v>
      </c>
    </row>
    <row r="333" spans="1:26" x14ac:dyDescent="0.3">
      <c r="A333" s="50">
        <v>46058.760104166657</v>
      </c>
      <c r="B333">
        <v>2.02602051812176E+18</v>
      </c>
      <c r="C333" t="s">
        <v>4272</v>
      </c>
      <c r="D333" t="s">
        <v>4273</v>
      </c>
      <c r="E333" t="s">
        <v>4273</v>
      </c>
      <c r="F333" t="s">
        <v>4272</v>
      </c>
      <c r="G333" t="s">
        <v>4273</v>
      </c>
      <c r="H333" t="s">
        <v>4273</v>
      </c>
      <c r="I333">
        <v>61685</v>
      </c>
      <c r="J333" t="s">
        <v>4274</v>
      </c>
      <c r="K333" t="s">
        <v>4274</v>
      </c>
      <c r="L333" t="s">
        <v>2832</v>
      </c>
      <c r="M333" t="s">
        <v>2833</v>
      </c>
      <c r="N333">
        <v>108726</v>
      </c>
      <c r="O333">
        <v>45500</v>
      </c>
      <c r="P333">
        <v>2</v>
      </c>
      <c r="Q333">
        <v>0</v>
      </c>
      <c r="S333">
        <v>143790</v>
      </c>
      <c r="T333">
        <v>0</v>
      </c>
      <c r="U333" t="s">
        <v>2835</v>
      </c>
      <c r="W333" t="s">
        <v>4275</v>
      </c>
      <c r="X333">
        <v>91000</v>
      </c>
      <c r="Y333">
        <v>82727.272727272706</v>
      </c>
      <c r="Z333" s="26">
        <v>46059</v>
      </c>
    </row>
    <row r="334" spans="1:26" x14ac:dyDescent="0.3">
      <c r="A334" s="50">
        <v>46058.768125000002</v>
      </c>
      <c r="B334">
        <v>2.02602051822509E+18</v>
      </c>
      <c r="C334" t="s">
        <v>4276</v>
      </c>
      <c r="D334" t="s">
        <v>4277</v>
      </c>
      <c r="E334" t="s">
        <v>4277</v>
      </c>
      <c r="F334" t="s">
        <v>4276</v>
      </c>
      <c r="G334" t="s">
        <v>4277</v>
      </c>
      <c r="H334" t="s">
        <v>4277</v>
      </c>
      <c r="I334">
        <v>63132</v>
      </c>
      <c r="J334" t="s">
        <v>4278</v>
      </c>
      <c r="K334" t="s">
        <v>4278</v>
      </c>
      <c r="L334" t="s">
        <v>2832</v>
      </c>
      <c r="M334" t="s">
        <v>2833</v>
      </c>
      <c r="N334">
        <v>54363</v>
      </c>
      <c r="O334">
        <v>45500</v>
      </c>
      <c r="P334">
        <v>1</v>
      </c>
      <c r="Q334">
        <v>0</v>
      </c>
      <c r="S334">
        <v>143790</v>
      </c>
      <c r="T334">
        <v>0</v>
      </c>
      <c r="U334" t="s">
        <v>2835</v>
      </c>
      <c r="W334" t="s">
        <v>4279</v>
      </c>
      <c r="X334">
        <v>45500</v>
      </c>
      <c r="Y334">
        <v>41363.636363636302</v>
      </c>
      <c r="Z334" s="26">
        <v>46059</v>
      </c>
    </row>
    <row r="335" spans="1:26" x14ac:dyDescent="0.3">
      <c r="A335" s="50">
        <v>46058.768993055557</v>
      </c>
      <c r="B335">
        <v>2.0260205182641201E+18</v>
      </c>
      <c r="C335" t="s">
        <v>4280</v>
      </c>
      <c r="D335" t="s">
        <v>4281</v>
      </c>
      <c r="E335" t="s">
        <v>4281</v>
      </c>
      <c r="F335" t="s">
        <v>4280</v>
      </c>
      <c r="G335" t="s">
        <v>4281</v>
      </c>
      <c r="H335" t="s">
        <v>4281</v>
      </c>
      <c r="I335">
        <v>11776</v>
      </c>
      <c r="J335" t="s">
        <v>4282</v>
      </c>
      <c r="K335" t="s">
        <v>4282</v>
      </c>
      <c r="L335" t="s">
        <v>2832</v>
      </c>
      <c r="M335" t="s">
        <v>2833</v>
      </c>
      <c r="N335">
        <v>54363</v>
      </c>
      <c r="O335">
        <v>45500</v>
      </c>
      <c r="P335">
        <v>1</v>
      </c>
      <c r="Q335">
        <v>0</v>
      </c>
      <c r="S335">
        <v>143790</v>
      </c>
      <c r="T335">
        <v>0</v>
      </c>
      <c r="U335" t="s">
        <v>2835</v>
      </c>
      <c r="W335" t="s">
        <v>4283</v>
      </c>
      <c r="X335">
        <v>45500</v>
      </c>
      <c r="Y335">
        <v>41363.636363636302</v>
      </c>
      <c r="Z335" s="26">
        <v>46059</v>
      </c>
    </row>
    <row r="336" spans="1:26" x14ac:dyDescent="0.3">
      <c r="A336" s="50">
        <v>46058.778182870366</v>
      </c>
      <c r="B336">
        <v>2.02602051839585E+18</v>
      </c>
      <c r="C336" t="s">
        <v>4284</v>
      </c>
      <c r="D336" t="s">
        <v>4285</v>
      </c>
      <c r="E336" t="s">
        <v>4285</v>
      </c>
      <c r="F336" t="s">
        <v>4284</v>
      </c>
      <c r="G336" t="s">
        <v>4285</v>
      </c>
      <c r="H336" t="s">
        <v>4285</v>
      </c>
      <c r="I336">
        <v>14743</v>
      </c>
      <c r="J336" t="s">
        <v>4286</v>
      </c>
      <c r="K336" t="s">
        <v>4286</v>
      </c>
      <c r="L336" t="s">
        <v>2832</v>
      </c>
      <c r="M336" t="s">
        <v>2833</v>
      </c>
      <c r="N336">
        <v>54363</v>
      </c>
      <c r="O336">
        <v>45500</v>
      </c>
      <c r="P336">
        <v>1</v>
      </c>
      <c r="Q336">
        <v>0</v>
      </c>
      <c r="R336" t="s">
        <v>4287</v>
      </c>
      <c r="S336">
        <v>143790</v>
      </c>
      <c r="T336">
        <v>0</v>
      </c>
      <c r="U336" t="s">
        <v>2835</v>
      </c>
      <c r="W336" t="s">
        <v>4288</v>
      </c>
      <c r="X336">
        <v>45500</v>
      </c>
      <c r="Y336">
        <v>41363.636363636302</v>
      </c>
      <c r="Z336" s="26">
        <v>46059</v>
      </c>
    </row>
    <row r="337" spans="1:26" x14ac:dyDescent="0.3">
      <c r="A337" s="50">
        <v>46058.783796296288</v>
      </c>
      <c r="B337">
        <v>2.0260205184803999E+18</v>
      </c>
      <c r="C337" t="s">
        <v>4289</v>
      </c>
      <c r="D337" t="s">
        <v>4290</v>
      </c>
      <c r="E337" t="s">
        <v>4290</v>
      </c>
      <c r="F337" t="s">
        <v>4289</v>
      </c>
      <c r="G337" t="s">
        <v>4290</v>
      </c>
      <c r="H337" t="s">
        <v>4290</v>
      </c>
      <c r="I337">
        <v>10068</v>
      </c>
      <c r="J337" t="s">
        <v>4291</v>
      </c>
      <c r="K337" t="s">
        <v>4291</v>
      </c>
      <c r="L337" t="s">
        <v>2832</v>
      </c>
      <c r="M337" t="s">
        <v>2833</v>
      </c>
      <c r="N337">
        <v>54363</v>
      </c>
      <c r="O337">
        <v>45500</v>
      </c>
      <c r="P337">
        <v>1</v>
      </c>
      <c r="Q337">
        <v>0</v>
      </c>
      <c r="S337">
        <v>143790</v>
      </c>
      <c r="T337">
        <v>0</v>
      </c>
      <c r="U337" t="s">
        <v>2835</v>
      </c>
      <c r="W337" t="s">
        <v>4292</v>
      </c>
      <c r="X337">
        <v>45500</v>
      </c>
      <c r="Y337">
        <v>41363.636363636302</v>
      </c>
      <c r="Z337" s="26">
        <v>46059</v>
      </c>
    </row>
    <row r="338" spans="1:26" x14ac:dyDescent="0.3">
      <c r="A338" s="50">
        <v>46058.783865740741</v>
      </c>
      <c r="B338">
        <v>2.0260205184725601E+18</v>
      </c>
      <c r="C338" t="s">
        <v>4293</v>
      </c>
      <c r="D338" t="s">
        <v>4294</v>
      </c>
      <c r="E338" t="s">
        <v>4294</v>
      </c>
      <c r="F338" t="s">
        <v>4293</v>
      </c>
      <c r="G338" t="s">
        <v>4294</v>
      </c>
      <c r="H338" t="s">
        <v>4294</v>
      </c>
      <c r="I338">
        <v>1468</v>
      </c>
      <c r="J338" t="s">
        <v>4295</v>
      </c>
      <c r="K338" t="s">
        <v>4295</v>
      </c>
      <c r="L338" t="s">
        <v>2832</v>
      </c>
      <c r="M338" t="s">
        <v>2833</v>
      </c>
      <c r="N338">
        <v>54363</v>
      </c>
      <c r="O338">
        <v>45500</v>
      </c>
      <c r="P338">
        <v>1</v>
      </c>
      <c r="Q338">
        <v>0</v>
      </c>
      <c r="S338">
        <v>143790</v>
      </c>
      <c r="T338">
        <v>0</v>
      </c>
      <c r="U338" t="s">
        <v>2835</v>
      </c>
      <c r="W338" t="s">
        <v>4296</v>
      </c>
      <c r="X338">
        <v>45500</v>
      </c>
      <c r="Y338">
        <v>41363.636363636302</v>
      </c>
      <c r="Z338" s="26">
        <v>46059</v>
      </c>
    </row>
    <row r="339" spans="1:26" x14ac:dyDescent="0.3">
      <c r="A339" s="50">
        <v>46058.804525462961</v>
      </c>
      <c r="B339">
        <v>2.0260205191721201E+18</v>
      </c>
      <c r="C339" t="s">
        <v>4297</v>
      </c>
      <c r="D339" t="s">
        <v>4298</v>
      </c>
      <c r="E339" t="s">
        <v>4298</v>
      </c>
      <c r="F339" t="s">
        <v>4297</v>
      </c>
      <c r="G339" t="s">
        <v>4298</v>
      </c>
      <c r="H339" t="s">
        <v>4298</v>
      </c>
      <c r="I339">
        <v>14244</v>
      </c>
      <c r="J339" t="s">
        <v>4299</v>
      </c>
      <c r="K339" t="s">
        <v>4299</v>
      </c>
      <c r="L339" t="s">
        <v>2832</v>
      </c>
      <c r="M339" t="s">
        <v>2833</v>
      </c>
      <c r="N339">
        <v>54363</v>
      </c>
      <c r="O339">
        <v>45500</v>
      </c>
      <c r="P339">
        <v>1</v>
      </c>
      <c r="Q339">
        <v>0</v>
      </c>
      <c r="S339">
        <v>143790</v>
      </c>
      <c r="T339">
        <v>0</v>
      </c>
      <c r="U339" t="s">
        <v>2835</v>
      </c>
      <c r="W339" t="s">
        <v>4300</v>
      </c>
      <c r="X339">
        <v>45500</v>
      </c>
      <c r="Y339">
        <v>41363.636363636302</v>
      </c>
      <c r="Z339" s="26">
        <v>46059</v>
      </c>
    </row>
    <row r="340" spans="1:26" x14ac:dyDescent="0.3">
      <c r="A340" s="50">
        <v>46058.811006944437</v>
      </c>
      <c r="B340">
        <v>2.0260205192512699E+18</v>
      </c>
      <c r="C340" t="s">
        <v>4301</v>
      </c>
      <c r="D340" t="s">
        <v>4302</v>
      </c>
      <c r="E340" t="s">
        <v>4302</v>
      </c>
      <c r="F340" t="s">
        <v>4301</v>
      </c>
      <c r="G340" t="s">
        <v>4302</v>
      </c>
      <c r="H340" t="s">
        <v>4302</v>
      </c>
      <c r="I340">
        <v>63308</v>
      </c>
      <c r="J340" t="s">
        <v>4303</v>
      </c>
      <c r="K340" t="s">
        <v>4303</v>
      </c>
      <c r="L340" t="s">
        <v>2832</v>
      </c>
      <c r="M340" t="s">
        <v>2833</v>
      </c>
      <c r="N340">
        <v>54363</v>
      </c>
      <c r="O340">
        <v>45500</v>
      </c>
      <c r="P340">
        <v>1</v>
      </c>
      <c r="Q340">
        <v>0</v>
      </c>
      <c r="S340">
        <v>143790</v>
      </c>
      <c r="T340">
        <v>0</v>
      </c>
      <c r="U340" t="s">
        <v>2835</v>
      </c>
      <c r="W340" t="s">
        <v>4304</v>
      </c>
      <c r="X340">
        <v>45500</v>
      </c>
      <c r="Y340">
        <v>41363.636363636302</v>
      </c>
      <c r="Z340" s="26">
        <v>46059</v>
      </c>
    </row>
    <row r="341" spans="1:26" x14ac:dyDescent="0.3">
      <c r="A341" s="50">
        <v>46058.826180555552</v>
      </c>
      <c r="B341">
        <v>2.02602051948494E+18</v>
      </c>
      <c r="C341" t="s">
        <v>4305</v>
      </c>
      <c r="D341" t="s">
        <v>4306</v>
      </c>
      <c r="E341" t="s">
        <v>4306</v>
      </c>
      <c r="F341" t="s">
        <v>4305</v>
      </c>
      <c r="G341" t="s">
        <v>4306</v>
      </c>
      <c r="H341" t="s">
        <v>4306</v>
      </c>
      <c r="I341">
        <v>4588</v>
      </c>
      <c r="J341" t="s">
        <v>4307</v>
      </c>
      <c r="K341" t="s">
        <v>4307</v>
      </c>
      <c r="L341" t="s">
        <v>2832</v>
      </c>
      <c r="M341" t="s">
        <v>2833</v>
      </c>
      <c r="N341">
        <v>54363</v>
      </c>
      <c r="O341">
        <v>45500</v>
      </c>
      <c r="P341">
        <v>1</v>
      </c>
      <c r="Q341">
        <v>0</v>
      </c>
      <c r="R341" t="s">
        <v>4308</v>
      </c>
      <c r="S341">
        <v>143790</v>
      </c>
      <c r="T341">
        <v>0</v>
      </c>
      <c r="U341" t="s">
        <v>2835</v>
      </c>
      <c r="W341" t="s">
        <v>4309</v>
      </c>
      <c r="X341">
        <v>45500</v>
      </c>
      <c r="Y341">
        <v>41363.636363636302</v>
      </c>
      <c r="Z341" s="26">
        <v>46059</v>
      </c>
    </row>
    <row r="342" spans="1:26" x14ac:dyDescent="0.3">
      <c r="A342" s="50">
        <v>46058.828090277777</v>
      </c>
      <c r="B342">
        <v>2.0260205194933E+18</v>
      </c>
      <c r="C342" t="s">
        <v>4310</v>
      </c>
      <c r="D342" t="s">
        <v>4311</v>
      </c>
      <c r="E342" t="s">
        <v>4311</v>
      </c>
      <c r="F342" t="s">
        <v>4310</v>
      </c>
      <c r="G342" t="s">
        <v>4311</v>
      </c>
      <c r="H342" t="s">
        <v>4311</v>
      </c>
      <c r="I342">
        <v>42928</v>
      </c>
      <c r="J342" t="s">
        <v>4312</v>
      </c>
      <c r="K342" t="s">
        <v>4312</v>
      </c>
      <c r="L342" t="s">
        <v>2832</v>
      </c>
      <c r="M342" t="s">
        <v>2833</v>
      </c>
      <c r="N342">
        <v>54363</v>
      </c>
      <c r="O342">
        <v>45500</v>
      </c>
      <c r="P342">
        <v>1</v>
      </c>
      <c r="Q342">
        <v>0</v>
      </c>
      <c r="S342">
        <v>143790</v>
      </c>
      <c r="T342">
        <v>0</v>
      </c>
      <c r="U342" t="s">
        <v>2835</v>
      </c>
      <c r="W342" t="s">
        <v>4313</v>
      </c>
      <c r="X342">
        <v>45500</v>
      </c>
      <c r="Y342">
        <v>41363.636363636302</v>
      </c>
      <c r="Z342" s="26">
        <v>46059</v>
      </c>
    </row>
    <row r="343" spans="1:26" x14ac:dyDescent="0.3">
      <c r="A343" s="50">
        <v>46058.838055555563</v>
      </c>
      <c r="B343">
        <v>2.02602052005026E+18</v>
      </c>
      <c r="C343" t="s">
        <v>4314</v>
      </c>
      <c r="D343" t="s">
        <v>4315</v>
      </c>
      <c r="E343" t="s">
        <v>4315</v>
      </c>
      <c r="F343" t="s">
        <v>4316</v>
      </c>
      <c r="G343" t="s">
        <v>4317</v>
      </c>
      <c r="H343" t="s">
        <v>4317</v>
      </c>
      <c r="I343">
        <v>35355</v>
      </c>
      <c r="J343" t="s">
        <v>4318</v>
      </c>
      <c r="K343" t="s">
        <v>4318</v>
      </c>
      <c r="L343" t="s">
        <v>2832</v>
      </c>
      <c r="M343" t="s">
        <v>2833</v>
      </c>
      <c r="N343">
        <v>54363</v>
      </c>
      <c r="O343">
        <v>45500</v>
      </c>
      <c r="P343">
        <v>1</v>
      </c>
      <c r="Q343">
        <v>0</v>
      </c>
      <c r="S343">
        <v>143790</v>
      </c>
      <c r="T343">
        <v>0</v>
      </c>
      <c r="U343" t="s">
        <v>2835</v>
      </c>
      <c r="W343" t="s">
        <v>4319</v>
      </c>
      <c r="X343">
        <v>45500</v>
      </c>
      <c r="Y343">
        <v>41363.636363636302</v>
      </c>
      <c r="Z343" s="26">
        <v>46059</v>
      </c>
    </row>
    <row r="344" spans="1:26" x14ac:dyDescent="0.3">
      <c r="A344" s="50">
        <v>46058.853715277779</v>
      </c>
      <c r="B344">
        <v>2.0260205202722299E+18</v>
      </c>
      <c r="C344" t="s">
        <v>4320</v>
      </c>
      <c r="D344" t="s">
        <v>4321</v>
      </c>
      <c r="E344" t="s">
        <v>4321</v>
      </c>
      <c r="F344" t="s">
        <v>4320</v>
      </c>
      <c r="G344" t="s">
        <v>4321</v>
      </c>
      <c r="H344" t="s">
        <v>4321</v>
      </c>
      <c r="I344">
        <v>8760</v>
      </c>
      <c r="J344" t="s">
        <v>4322</v>
      </c>
      <c r="K344" t="s">
        <v>4322</v>
      </c>
      <c r="L344" t="s">
        <v>2832</v>
      </c>
      <c r="M344" t="s">
        <v>2833</v>
      </c>
      <c r="N344">
        <v>54363</v>
      </c>
      <c r="O344">
        <v>45500</v>
      </c>
      <c r="P344">
        <v>1</v>
      </c>
      <c r="Q344">
        <v>0</v>
      </c>
      <c r="R344" t="s">
        <v>4323</v>
      </c>
      <c r="S344">
        <v>143790</v>
      </c>
      <c r="T344">
        <v>0</v>
      </c>
      <c r="U344" t="s">
        <v>2835</v>
      </c>
      <c r="W344" t="s">
        <v>4324</v>
      </c>
      <c r="X344">
        <v>45500</v>
      </c>
      <c r="Y344">
        <v>41363.636363636302</v>
      </c>
      <c r="Z344" s="26">
        <v>46059</v>
      </c>
    </row>
    <row r="345" spans="1:26" x14ac:dyDescent="0.3">
      <c r="A345" s="50">
        <v>46058.856724537043</v>
      </c>
      <c r="B345">
        <v>2.0260205203103401E+18</v>
      </c>
      <c r="C345" t="s">
        <v>4325</v>
      </c>
      <c r="D345" t="s">
        <v>4326</v>
      </c>
      <c r="E345" t="s">
        <v>4326</v>
      </c>
      <c r="F345" t="s">
        <v>4325</v>
      </c>
      <c r="G345" t="s">
        <v>4326</v>
      </c>
      <c r="H345" t="s">
        <v>4326</v>
      </c>
      <c r="I345">
        <v>5813</v>
      </c>
      <c r="J345" t="s">
        <v>4327</v>
      </c>
      <c r="K345" t="s">
        <v>4327</v>
      </c>
      <c r="L345" t="s">
        <v>2832</v>
      </c>
      <c r="M345" t="s">
        <v>2833</v>
      </c>
      <c r="N345">
        <v>54363</v>
      </c>
      <c r="O345">
        <v>45500</v>
      </c>
      <c r="P345">
        <v>1</v>
      </c>
      <c r="Q345">
        <v>0</v>
      </c>
      <c r="S345">
        <v>143790</v>
      </c>
      <c r="T345">
        <v>0</v>
      </c>
      <c r="U345" t="s">
        <v>2835</v>
      </c>
      <c r="W345" t="s">
        <v>4328</v>
      </c>
      <c r="X345">
        <v>45500</v>
      </c>
      <c r="Y345">
        <v>41363.636363636302</v>
      </c>
      <c r="Z345" s="26">
        <v>46059</v>
      </c>
    </row>
    <row r="346" spans="1:26" x14ac:dyDescent="0.3">
      <c r="A346" s="50">
        <v>46058.879710648151</v>
      </c>
      <c r="B346">
        <v>2.02602052104035E+18</v>
      </c>
      <c r="C346" t="s">
        <v>4329</v>
      </c>
      <c r="D346" t="s">
        <v>4330</v>
      </c>
      <c r="E346" t="s">
        <v>4330</v>
      </c>
      <c r="F346" t="s">
        <v>4329</v>
      </c>
      <c r="G346" t="s">
        <v>4330</v>
      </c>
      <c r="H346" t="s">
        <v>4330</v>
      </c>
      <c r="I346">
        <v>30152</v>
      </c>
      <c r="J346" t="s">
        <v>4331</v>
      </c>
      <c r="K346" t="s">
        <v>4331</v>
      </c>
      <c r="L346" t="s">
        <v>2832</v>
      </c>
      <c r="M346" t="s">
        <v>2833</v>
      </c>
      <c r="N346">
        <v>54363</v>
      </c>
      <c r="O346">
        <v>45500</v>
      </c>
      <c r="P346">
        <v>1</v>
      </c>
      <c r="Q346">
        <v>0</v>
      </c>
      <c r="R346" t="s">
        <v>4332</v>
      </c>
      <c r="S346">
        <v>143790</v>
      </c>
      <c r="T346">
        <v>0</v>
      </c>
      <c r="U346" t="s">
        <v>2835</v>
      </c>
      <c r="W346" t="s">
        <v>4333</v>
      </c>
      <c r="X346">
        <v>45500</v>
      </c>
      <c r="Y346">
        <v>41363.636363636302</v>
      </c>
      <c r="Z346" s="26">
        <v>46059</v>
      </c>
    </row>
    <row r="347" spans="1:26" x14ac:dyDescent="0.3">
      <c r="A347" s="50">
        <v>46058.887523148151</v>
      </c>
      <c r="B347">
        <v>2.02602052116275E+18</v>
      </c>
      <c r="C347" t="s">
        <v>4334</v>
      </c>
      <c r="D347" t="s">
        <v>4335</v>
      </c>
      <c r="E347" t="s">
        <v>4335</v>
      </c>
      <c r="F347" t="s">
        <v>4336</v>
      </c>
      <c r="G347" t="s">
        <v>4337</v>
      </c>
      <c r="H347" t="s">
        <v>4337</v>
      </c>
      <c r="I347">
        <v>59549</v>
      </c>
      <c r="J347" t="s">
        <v>4338</v>
      </c>
      <c r="K347" t="s">
        <v>4338</v>
      </c>
      <c r="L347" t="s">
        <v>2832</v>
      </c>
      <c r="M347" t="s">
        <v>2833</v>
      </c>
      <c r="N347">
        <v>54363</v>
      </c>
      <c r="O347">
        <v>45500</v>
      </c>
      <c r="P347">
        <v>1</v>
      </c>
      <c r="Q347">
        <v>0</v>
      </c>
      <c r="S347">
        <v>143790</v>
      </c>
      <c r="T347">
        <v>0</v>
      </c>
      <c r="U347" t="s">
        <v>2835</v>
      </c>
      <c r="W347" t="s">
        <v>4339</v>
      </c>
      <c r="X347">
        <v>45500</v>
      </c>
      <c r="Y347">
        <v>41363.636363636302</v>
      </c>
      <c r="Z347" s="26">
        <v>46059</v>
      </c>
    </row>
    <row r="348" spans="1:26" x14ac:dyDescent="0.3">
      <c r="A348" s="50">
        <v>46058.888541666667</v>
      </c>
      <c r="B348">
        <v>2.02602052118323E+18</v>
      </c>
      <c r="C348" t="s">
        <v>4340</v>
      </c>
      <c r="D348" t="s">
        <v>4335</v>
      </c>
      <c r="E348" t="s">
        <v>4335</v>
      </c>
      <c r="F348" t="s">
        <v>4334</v>
      </c>
      <c r="G348" t="s">
        <v>4335</v>
      </c>
      <c r="H348" t="s">
        <v>4335</v>
      </c>
      <c r="I348">
        <v>8018</v>
      </c>
      <c r="J348" t="s">
        <v>4341</v>
      </c>
      <c r="K348" t="s">
        <v>4341</v>
      </c>
      <c r="L348" t="s">
        <v>2832</v>
      </c>
      <c r="M348" t="s">
        <v>2833</v>
      </c>
      <c r="N348">
        <v>54363</v>
      </c>
      <c r="O348">
        <v>45500</v>
      </c>
      <c r="P348">
        <v>1</v>
      </c>
      <c r="Q348">
        <v>0</v>
      </c>
      <c r="S348">
        <v>143790</v>
      </c>
      <c r="T348">
        <v>0</v>
      </c>
      <c r="U348" t="s">
        <v>2835</v>
      </c>
      <c r="W348" t="s">
        <v>4342</v>
      </c>
      <c r="X348">
        <v>45500</v>
      </c>
      <c r="Y348">
        <v>41363.636363636302</v>
      </c>
      <c r="Z348" s="26">
        <v>46059</v>
      </c>
    </row>
    <row r="349" spans="1:26" x14ac:dyDescent="0.3">
      <c r="A349" s="50">
        <v>46058.932280092587</v>
      </c>
      <c r="B349">
        <v>2.02602052220545E+18</v>
      </c>
      <c r="C349" t="s">
        <v>4343</v>
      </c>
      <c r="D349" t="s">
        <v>4344</v>
      </c>
      <c r="E349" t="s">
        <v>4344</v>
      </c>
      <c r="F349" t="s">
        <v>4343</v>
      </c>
      <c r="G349" t="s">
        <v>4344</v>
      </c>
      <c r="H349" t="s">
        <v>4344</v>
      </c>
      <c r="I349">
        <v>17332</v>
      </c>
      <c r="J349" t="s">
        <v>4345</v>
      </c>
      <c r="K349" t="s">
        <v>4345</v>
      </c>
      <c r="L349" t="s">
        <v>2832</v>
      </c>
      <c r="M349" t="s">
        <v>2833</v>
      </c>
      <c r="N349">
        <v>54363</v>
      </c>
      <c r="O349">
        <v>45500</v>
      </c>
      <c r="P349">
        <v>1</v>
      </c>
      <c r="Q349">
        <v>0</v>
      </c>
      <c r="R349" t="s">
        <v>4346</v>
      </c>
      <c r="S349">
        <v>143790</v>
      </c>
      <c r="T349">
        <v>0</v>
      </c>
      <c r="U349" t="s">
        <v>2835</v>
      </c>
      <c r="W349" t="s">
        <v>4347</v>
      </c>
      <c r="X349">
        <v>45500</v>
      </c>
      <c r="Y349">
        <v>41363.636363636302</v>
      </c>
      <c r="Z349" s="26">
        <v>46059</v>
      </c>
    </row>
    <row r="350" spans="1:26" x14ac:dyDescent="0.3">
      <c r="A350" s="50">
        <v>46058.938900462963</v>
      </c>
      <c r="B350">
        <v>2.0260205223050199E+18</v>
      </c>
      <c r="C350" t="s">
        <v>4348</v>
      </c>
      <c r="D350" t="s">
        <v>4349</v>
      </c>
      <c r="E350" t="s">
        <v>4349</v>
      </c>
      <c r="F350" t="s">
        <v>4348</v>
      </c>
      <c r="G350" t="s">
        <v>4349</v>
      </c>
      <c r="H350" t="s">
        <v>4349</v>
      </c>
      <c r="I350">
        <v>14329</v>
      </c>
      <c r="J350" t="s">
        <v>4350</v>
      </c>
      <c r="K350" t="s">
        <v>4350</v>
      </c>
      <c r="L350" t="s">
        <v>2832</v>
      </c>
      <c r="M350" t="s">
        <v>2833</v>
      </c>
      <c r="N350">
        <v>54363</v>
      </c>
      <c r="O350">
        <v>45500</v>
      </c>
      <c r="P350">
        <v>1</v>
      </c>
      <c r="Q350">
        <v>0</v>
      </c>
      <c r="S350">
        <v>143790</v>
      </c>
      <c r="T350">
        <v>0</v>
      </c>
      <c r="U350" t="s">
        <v>2835</v>
      </c>
      <c r="W350" t="s">
        <v>4351</v>
      </c>
      <c r="X350">
        <v>45500</v>
      </c>
      <c r="Y350">
        <v>41363.636363636302</v>
      </c>
      <c r="Z350" s="26">
        <v>46059</v>
      </c>
    </row>
    <row r="351" spans="1:26" x14ac:dyDescent="0.3">
      <c r="A351" s="50">
        <v>46058.944074074083</v>
      </c>
      <c r="B351">
        <v>2.0260205223744599E+18</v>
      </c>
      <c r="C351" t="s">
        <v>4352</v>
      </c>
      <c r="D351" t="s">
        <v>4353</v>
      </c>
      <c r="E351" t="s">
        <v>4353</v>
      </c>
      <c r="F351" t="s">
        <v>4352</v>
      </c>
      <c r="G351" t="s">
        <v>4353</v>
      </c>
      <c r="H351" t="s">
        <v>4353</v>
      </c>
      <c r="I351">
        <v>16847</v>
      </c>
      <c r="J351" t="s">
        <v>4354</v>
      </c>
      <c r="K351" t="s">
        <v>4354</v>
      </c>
      <c r="L351" t="s">
        <v>2832</v>
      </c>
      <c r="M351" t="s">
        <v>2833</v>
      </c>
      <c r="N351">
        <v>163089</v>
      </c>
      <c r="O351">
        <v>45500</v>
      </c>
      <c r="P351">
        <v>3</v>
      </c>
      <c r="Q351">
        <v>0</v>
      </c>
      <c r="S351">
        <v>143790</v>
      </c>
      <c r="T351">
        <v>0</v>
      </c>
      <c r="U351" t="s">
        <v>2835</v>
      </c>
      <c r="W351" t="s">
        <v>4355</v>
      </c>
      <c r="X351">
        <v>136500</v>
      </c>
      <c r="Y351">
        <v>124090.909090909</v>
      </c>
      <c r="Z351" s="26">
        <v>46059</v>
      </c>
    </row>
    <row r="352" spans="1:26" x14ac:dyDescent="0.3">
      <c r="A352" s="50">
        <v>46058.947905092587</v>
      </c>
      <c r="B352">
        <v>2.0260205224154701E+18</v>
      </c>
      <c r="C352" t="s">
        <v>4356</v>
      </c>
      <c r="D352" t="s">
        <v>4357</v>
      </c>
      <c r="E352" t="s">
        <v>4357</v>
      </c>
      <c r="F352" t="s">
        <v>4356</v>
      </c>
      <c r="G352" t="s">
        <v>4357</v>
      </c>
      <c r="H352" t="s">
        <v>4357</v>
      </c>
      <c r="I352">
        <v>8018</v>
      </c>
      <c r="J352" t="s">
        <v>4358</v>
      </c>
      <c r="K352" t="s">
        <v>4358</v>
      </c>
      <c r="L352" t="s">
        <v>2832</v>
      </c>
      <c r="M352" t="s">
        <v>2833</v>
      </c>
      <c r="N352">
        <v>54363</v>
      </c>
      <c r="O352">
        <v>45500</v>
      </c>
      <c r="P352">
        <v>1</v>
      </c>
      <c r="Q352">
        <v>0</v>
      </c>
      <c r="S352">
        <v>143790</v>
      </c>
      <c r="T352">
        <v>0</v>
      </c>
      <c r="U352" t="s">
        <v>2835</v>
      </c>
      <c r="W352" t="s">
        <v>4359</v>
      </c>
      <c r="X352">
        <v>45500</v>
      </c>
      <c r="Y352">
        <v>41363.636363636302</v>
      </c>
      <c r="Z352" s="26">
        <v>46059</v>
      </c>
    </row>
    <row r="353" spans="1:26" x14ac:dyDescent="0.3">
      <c r="A353" s="50">
        <v>46058.95076388889</v>
      </c>
      <c r="B353">
        <v>2.02602052246541E+18</v>
      </c>
      <c r="C353" t="s">
        <v>4360</v>
      </c>
      <c r="D353" t="s">
        <v>4361</v>
      </c>
      <c r="E353" t="s">
        <v>4361</v>
      </c>
      <c r="F353" t="s">
        <v>4362</v>
      </c>
      <c r="G353" t="s">
        <v>4363</v>
      </c>
      <c r="H353" t="s">
        <v>4363</v>
      </c>
      <c r="I353">
        <v>12276</v>
      </c>
      <c r="J353" t="s">
        <v>4364</v>
      </c>
      <c r="K353" t="s">
        <v>4364</v>
      </c>
      <c r="L353" t="s">
        <v>2832</v>
      </c>
      <c r="M353" t="s">
        <v>2833</v>
      </c>
      <c r="N353">
        <v>54363</v>
      </c>
      <c r="O353">
        <v>45500</v>
      </c>
      <c r="P353">
        <v>1</v>
      </c>
      <c r="Q353">
        <v>0</v>
      </c>
      <c r="S353">
        <v>143790</v>
      </c>
      <c r="T353">
        <v>0</v>
      </c>
      <c r="U353" t="s">
        <v>2835</v>
      </c>
      <c r="W353" t="s">
        <v>4365</v>
      </c>
      <c r="X353">
        <v>45500</v>
      </c>
      <c r="Y353">
        <v>41363.636363636302</v>
      </c>
      <c r="Z353" s="26">
        <v>46059</v>
      </c>
    </row>
    <row r="354" spans="1:26" x14ac:dyDescent="0.3">
      <c r="A354" s="50">
        <v>46058.982627314806</v>
      </c>
      <c r="B354">
        <v>2.0260205233327301E+18</v>
      </c>
      <c r="C354" t="s">
        <v>4366</v>
      </c>
      <c r="D354" t="s">
        <v>4367</v>
      </c>
      <c r="E354" t="s">
        <v>4367</v>
      </c>
      <c r="F354" t="s">
        <v>4366</v>
      </c>
      <c r="G354" t="s">
        <v>4367</v>
      </c>
      <c r="H354" t="s">
        <v>4367</v>
      </c>
      <c r="I354">
        <v>24415</v>
      </c>
      <c r="J354" t="s">
        <v>4368</v>
      </c>
      <c r="K354" t="s">
        <v>4368</v>
      </c>
      <c r="L354" t="s">
        <v>2832</v>
      </c>
      <c r="M354" t="s">
        <v>2833</v>
      </c>
      <c r="N354">
        <v>54363</v>
      </c>
      <c r="O354">
        <v>45500</v>
      </c>
      <c r="P354">
        <v>1</v>
      </c>
      <c r="Q354">
        <v>0</v>
      </c>
      <c r="S354">
        <v>143790</v>
      </c>
      <c r="T354">
        <v>0</v>
      </c>
      <c r="U354" t="s">
        <v>2835</v>
      </c>
      <c r="W354" t="s">
        <v>4369</v>
      </c>
      <c r="X354">
        <v>45500</v>
      </c>
      <c r="Y354">
        <v>41363.636363636302</v>
      </c>
      <c r="Z354" s="26">
        <v>46059</v>
      </c>
    </row>
    <row r="355" spans="1:26" x14ac:dyDescent="0.3">
      <c r="A355" s="50">
        <v>46058.986805555563</v>
      </c>
      <c r="B355">
        <v>2.0260205233828101E+18</v>
      </c>
      <c r="C355" t="s">
        <v>4370</v>
      </c>
      <c r="D355" t="s">
        <v>4371</v>
      </c>
      <c r="E355" t="s">
        <v>4371</v>
      </c>
      <c r="F355" t="s">
        <v>4370</v>
      </c>
      <c r="G355" t="s">
        <v>4371</v>
      </c>
      <c r="H355" t="s">
        <v>4371</v>
      </c>
      <c r="I355">
        <v>34899</v>
      </c>
      <c r="J355" t="s">
        <v>4372</v>
      </c>
      <c r="K355" t="s">
        <v>4372</v>
      </c>
      <c r="L355" t="s">
        <v>2832</v>
      </c>
      <c r="M355" t="s">
        <v>2833</v>
      </c>
      <c r="N355">
        <v>163089</v>
      </c>
      <c r="O355">
        <v>45500</v>
      </c>
      <c r="P355">
        <v>3</v>
      </c>
      <c r="Q355">
        <v>0</v>
      </c>
      <c r="S355">
        <v>143790</v>
      </c>
      <c r="T355">
        <v>0</v>
      </c>
      <c r="U355" t="s">
        <v>2835</v>
      </c>
      <c r="W355" t="s">
        <v>4373</v>
      </c>
      <c r="X355">
        <v>136500</v>
      </c>
      <c r="Y355">
        <v>124090.909090909</v>
      </c>
      <c r="Z355" s="26">
        <v>46059</v>
      </c>
    </row>
    <row r="356" spans="1:26" x14ac:dyDescent="0.3">
      <c r="A356" s="50">
        <v>46058.992349537039</v>
      </c>
      <c r="B356">
        <v>2.02602052347373E+18</v>
      </c>
      <c r="C356" t="s">
        <v>4374</v>
      </c>
      <c r="D356" t="s">
        <v>4375</v>
      </c>
      <c r="E356" t="s">
        <v>4375</v>
      </c>
      <c r="F356" t="s">
        <v>4374</v>
      </c>
      <c r="G356" t="s">
        <v>4375</v>
      </c>
      <c r="H356" t="s">
        <v>4375</v>
      </c>
      <c r="I356">
        <v>31516</v>
      </c>
      <c r="J356" t="s">
        <v>4376</v>
      </c>
      <c r="K356" t="s">
        <v>4376</v>
      </c>
      <c r="L356" t="s">
        <v>2832</v>
      </c>
      <c r="M356" t="s">
        <v>2833</v>
      </c>
      <c r="N356">
        <v>54363</v>
      </c>
      <c r="O356">
        <v>45500</v>
      </c>
      <c r="P356">
        <v>1</v>
      </c>
      <c r="Q356">
        <v>0</v>
      </c>
      <c r="S356">
        <v>143790</v>
      </c>
      <c r="T356">
        <v>0</v>
      </c>
      <c r="U356" t="s">
        <v>2835</v>
      </c>
      <c r="W356" t="s">
        <v>4377</v>
      </c>
      <c r="X356">
        <v>45500</v>
      </c>
      <c r="Y356">
        <v>41363.636363636302</v>
      </c>
      <c r="Z356" s="26">
        <v>46059</v>
      </c>
    </row>
    <row r="357" spans="1:26" x14ac:dyDescent="0.3">
      <c r="A357" s="50">
        <v>46058.993437500001</v>
      </c>
      <c r="B357">
        <v>2.02602052347585E+18</v>
      </c>
      <c r="C357" t="s">
        <v>4378</v>
      </c>
      <c r="D357" t="s">
        <v>4379</v>
      </c>
      <c r="E357" t="s">
        <v>4379</v>
      </c>
      <c r="F357" t="s">
        <v>4378</v>
      </c>
      <c r="G357" t="s">
        <v>4379</v>
      </c>
      <c r="H357" t="s">
        <v>4379</v>
      </c>
      <c r="I357">
        <v>6359</v>
      </c>
      <c r="J357" t="s">
        <v>4380</v>
      </c>
      <c r="K357" t="s">
        <v>4380</v>
      </c>
      <c r="L357" t="s">
        <v>2832</v>
      </c>
      <c r="M357" t="s">
        <v>2833</v>
      </c>
      <c r="N357">
        <v>54363</v>
      </c>
      <c r="O357">
        <v>45500</v>
      </c>
      <c r="P357">
        <v>1</v>
      </c>
      <c r="Q357">
        <v>0</v>
      </c>
      <c r="S357">
        <v>143790</v>
      </c>
      <c r="T357">
        <v>0</v>
      </c>
      <c r="U357" t="s">
        <v>2835</v>
      </c>
      <c r="W357" t="s">
        <v>4381</v>
      </c>
      <c r="X357">
        <v>45500</v>
      </c>
      <c r="Y357">
        <v>41363.636363636302</v>
      </c>
      <c r="Z357" s="26">
        <v>46059</v>
      </c>
    </row>
    <row r="358" spans="1:26" x14ac:dyDescent="0.3">
      <c r="A358" s="50">
        <v>46059.006319444437</v>
      </c>
      <c r="B358">
        <v>2.0260206000805E+18</v>
      </c>
      <c r="C358" t="s">
        <v>4382</v>
      </c>
      <c r="D358" t="s">
        <v>4383</v>
      </c>
      <c r="E358" t="s">
        <v>4383</v>
      </c>
      <c r="F358" t="s">
        <v>4382</v>
      </c>
      <c r="G358" t="s">
        <v>4383</v>
      </c>
      <c r="H358" t="s">
        <v>4383</v>
      </c>
      <c r="I358">
        <v>21038</v>
      </c>
      <c r="J358" t="s">
        <v>4384</v>
      </c>
      <c r="K358" t="s">
        <v>4384</v>
      </c>
      <c r="L358" t="s">
        <v>2832</v>
      </c>
      <c r="M358" t="s">
        <v>2833</v>
      </c>
      <c r="N358">
        <v>54363</v>
      </c>
      <c r="O358">
        <v>45500</v>
      </c>
      <c r="P358">
        <v>1</v>
      </c>
      <c r="Q358">
        <v>0</v>
      </c>
      <c r="S358">
        <v>143790</v>
      </c>
      <c r="T358">
        <v>0</v>
      </c>
      <c r="U358" t="s">
        <v>2835</v>
      </c>
      <c r="W358" t="s">
        <v>4385</v>
      </c>
      <c r="X358">
        <v>45500</v>
      </c>
      <c r="Y358">
        <v>41363.636363636302</v>
      </c>
      <c r="Z358" s="26">
        <v>46059</v>
      </c>
    </row>
    <row r="359" spans="1:26" x14ac:dyDescent="0.3">
      <c r="A359" s="50">
        <v>46059.015451388892</v>
      </c>
      <c r="B359">
        <v>2.0260206001952699E+18</v>
      </c>
      <c r="C359" t="s">
        <v>4386</v>
      </c>
      <c r="D359" t="s">
        <v>4387</v>
      </c>
      <c r="E359" t="s">
        <v>4387</v>
      </c>
      <c r="F359" t="s">
        <v>4386</v>
      </c>
      <c r="G359" t="s">
        <v>4387</v>
      </c>
      <c r="H359" t="s">
        <v>4387</v>
      </c>
      <c r="I359">
        <v>48516</v>
      </c>
      <c r="J359" t="s">
        <v>4388</v>
      </c>
      <c r="K359" t="s">
        <v>4388</v>
      </c>
      <c r="L359" t="s">
        <v>2832</v>
      </c>
      <c r="M359" t="s">
        <v>2833</v>
      </c>
      <c r="N359">
        <v>54363</v>
      </c>
      <c r="O359">
        <v>45500</v>
      </c>
      <c r="P359">
        <v>1</v>
      </c>
      <c r="Q359">
        <v>0</v>
      </c>
      <c r="S359">
        <v>143790</v>
      </c>
      <c r="T359">
        <v>0</v>
      </c>
      <c r="U359" t="s">
        <v>2835</v>
      </c>
      <c r="W359" t="s">
        <v>4389</v>
      </c>
      <c r="X359">
        <v>45500</v>
      </c>
      <c r="Y359">
        <v>41363.636363636302</v>
      </c>
      <c r="Z359" s="26">
        <v>46059</v>
      </c>
    </row>
    <row r="360" spans="1:26" x14ac:dyDescent="0.3">
      <c r="A360" s="50">
        <v>46059.030266203707</v>
      </c>
      <c r="B360">
        <v>2.0260206004243699E+18</v>
      </c>
      <c r="C360" t="s">
        <v>4390</v>
      </c>
      <c r="D360" t="s">
        <v>4391</v>
      </c>
      <c r="E360" t="s">
        <v>4391</v>
      </c>
      <c r="F360" t="s">
        <v>4390</v>
      </c>
      <c r="G360" t="s">
        <v>4391</v>
      </c>
      <c r="H360" t="s">
        <v>4391</v>
      </c>
      <c r="I360">
        <v>34090</v>
      </c>
      <c r="J360" t="s">
        <v>4392</v>
      </c>
      <c r="K360" t="s">
        <v>4392</v>
      </c>
      <c r="L360" t="s">
        <v>2832</v>
      </c>
      <c r="M360" t="s">
        <v>2833</v>
      </c>
      <c r="N360">
        <v>54363</v>
      </c>
      <c r="O360">
        <v>45500</v>
      </c>
      <c r="P360">
        <v>1</v>
      </c>
      <c r="Q360">
        <v>0</v>
      </c>
      <c r="S360">
        <v>143790</v>
      </c>
      <c r="T360">
        <v>0</v>
      </c>
      <c r="U360" t="s">
        <v>2835</v>
      </c>
      <c r="W360" t="s">
        <v>4393</v>
      </c>
      <c r="X360">
        <v>45500</v>
      </c>
      <c r="Y360">
        <v>41363.636363636302</v>
      </c>
      <c r="Z360" s="26">
        <v>46059</v>
      </c>
    </row>
    <row r="361" spans="1:26" x14ac:dyDescent="0.3">
      <c r="A361" s="50">
        <v>46059.059166666673</v>
      </c>
      <c r="B361">
        <v>2.0260206012321201E+18</v>
      </c>
      <c r="C361" t="s">
        <v>4394</v>
      </c>
      <c r="D361" t="s">
        <v>4395</v>
      </c>
      <c r="E361" t="s">
        <v>4395</v>
      </c>
      <c r="F361" t="s">
        <v>4394</v>
      </c>
      <c r="G361" t="s">
        <v>4395</v>
      </c>
      <c r="H361" t="s">
        <v>4395</v>
      </c>
      <c r="I361">
        <v>2159</v>
      </c>
      <c r="J361" t="s">
        <v>4396</v>
      </c>
      <c r="K361" t="s">
        <v>4396</v>
      </c>
      <c r="L361" t="s">
        <v>2832</v>
      </c>
      <c r="M361" t="s">
        <v>2833</v>
      </c>
      <c r="N361">
        <v>54363</v>
      </c>
      <c r="O361">
        <v>45500</v>
      </c>
      <c r="P361">
        <v>1</v>
      </c>
      <c r="Q361">
        <v>0</v>
      </c>
      <c r="S361">
        <v>143790</v>
      </c>
      <c r="T361">
        <v>0</v>
      </c>
      <c r="U361" t="s">
        <v>2835</v>
      </c>
      <c r="W361" t="s">
        <v>4397</v>
      </c>
      <c r="X361">
        <v>45500</v>
      </c>
      <c r="Y361">
        <v>41363.636363636302</v>
      </c>
      <c r="Z361" s="26">
        <v>46059</v>
      </c>
    </row>
    <row r="362" spans="1:26" x14ac:dyDescent="0.3">
      <c r="A362" s="50">
        <v>46059.060520833344</v>
      </c>
      <c r="B362">
        <v>2.0260206012537001E+18</v>
      </c>
      <c r="C362" t="s">
        <v>4394</v>
      </c>
      <c r="D362" t="s">
        <v>4395</v>
      </c>
      <c r="E362" t="s">
        <v>4395</v>
      </c>
      <c r="F362" t="s">
        <v>4394</v>
      </c>
      <c r="G362" t="s">
        <v>4395</v>
      </c>
      <c r="H362" t="s">
        <v>4395</v>
      </c>
      <c r="I362">
        <v>31793</v>
      </c>
      <c r="J362" t="s">
        <v>4398</v>
      </c>
      <c r="K362" t="s">
        <v>4398</v>
      </c>
      <c r="L362" t="s">
        <v>2832</v>
      </c>
      <c r="M362" t="s">
        <v>2833</v>
      </c>
      <c r="N362">
        <v>54363</v>
      </c>
      <c r="O362">
        <v>45500</v>
      </c>
      <c r="P362">
        <v>1</v>
      </c>
      <c r="Q362">
        <v>0</v>
      </c>
      <c r="S362">
        <v>143790</v>
      </c>
      <c r="T362">
        <v>0</v>
      </c>
      <c r="U362" t="s">
        <v>2835</v>
      </c>
      <c r="W362" t="s">
        <v>4399</v>
      </c>
      <c r="X362">
        <v>45500</v>
      </c>
      <c r="Y362">
        <v>41363.636363636302</v>
      </c>
      <c r="Z362" s="26">
        <v>46059</v>
      </c>
    </row>
    <row r="363" spans="1:26" x14ac:dyDescent="0.3">
      <c r="A363" s="50">
        <v>46059.280590277784</v>
      </c>
      <c r="B363">
        <v>2.0260206064209999E+18</v>
      </c>
      <c r="C363" t="s">
        <v>4400</v>
      </c>
      <c r="D363" t="s">
        <v>4401</v>
      </c>
      <c r="E363" t="s">
        <v>4401</v>
      </c>
      <c r="F363" t="s">
        <v>4400</v>
      </c>
      <c r="G363" t="s">
        <v>4401</v>
      </c>
      <c r="H363" t="s">
        <v>4401</v>
      </c>
      <c r="I363">
        <v>44224</v>
      </c>
      <c r="J363" t="s">
        <v>4402</v>
      </c>
      <c r="K363" t="s">
        <v>4402</v>
      </c>
      <c r="L363" t="s">
        <v>2832</v>
      </c>
      <c r="M363" t="s">
        <v>2833</v>
      </c>
      <c r="N363">
        <v>54363</v>
      </c>
      <c r="O363">
        <v>45500</v>
      </c>
      <c r="P363">
        <v>1</v>
      </c>
      <c r="Q363">
        <v>0</v>
      </c>
      <c r="S363">
        <v>143790</v>
      </c>
      <c r="T363">
        <v>0</v>
      </c>
      <c r="U363" t="s">
        <v>2835</v>
      </c>
      <c r="W363" t="s">
        <v>4403</v>
      </c>
      <c r="X363">
        <v>45500</v>
      </c>
      <c r="Y363">
        <v>41363.636363636302</v>
      </c>
      <c r="Z363" s="26">
        <v>46059</v>
      </c>
    </row>
    <row r="364" spans="1:26" x14ac:dyDescent="0.3">
      <c r="A364" s="50">
        <v>46059.309479166674</v>
      </c>
      <c r="B364">
        <v>2.02602060725101E+18</v>
      </c>
      <c r="C364" t="s">
        <v>4404</v>
      </c>
      <c r="D364" t="s">
        <v>4405</v>
      </c>
      <c r="E364" t="s">
        <v>4405</v>
      </c>
      <c r="F364" t="s">
        <v>4404</v>
      </c>
      <c r="G364" t="s">
        <v>4405</v>
      </c>
      <c r="H364" t="s">
        <v>4405</v>
      </c>
      <c r="I364">
        <v>4776</v>
      </c>
      <c r="J364" t="s">
        <v>4406</v>
      </c>
      <c r="K364" t="s">
        <v>4406</v>
      </c>
      <c r="L364" t="s">
        <v>2832</v>
      </c>
      <c r="M364" t="s">
        <v>2833</v>
      </c>
      <c r="N364">
        <v>54363</v>
      </c>
      <c r="O364">
        <v>45500</v>
      </c>
      <c r="P364">
        <v>1</v>
      </c>
      <c r="Q364">
        <v>0</v>
      </c>
      <c r="S364">
        <v>143790</v>
      </c>
      <c r="T364">
        <v>0</v>
      </c>
      <c r="U364" t="s">
        <v>2835</v>
      </c>
      <c r="W364" t="s">
        <v>4407</v>
      </c>
      <c r="X364">
        <v>45500</v>
      </c>
      <c r="Y364">
        <v>41363.636363636302</v>
      </c>
      <c r="Z364" s="26">
        <v>46059</v>
      </c>
    </row>
    <row r="365" spans="1:26" x14ac:dyDescent="0.3">
      <c r="A365" s="50">
        <v>46059.331354166658</v>
      </c>
      <c r="B365">
        <v>2.02602060755491E+18</v>
      </c>
      <c r="C365" t="s">
        <v>4408</v>
      </c>
      <c r="D365" t="s">
        <v>4409</v>
      </c>
      <c r="E365" t="s">
        <v>4409</v>
      </c>
      <c r="F365" t="s">
        <v>4410</v>
      </c>
      <c r="G365" t="s">
        <v>4409</v>
      </c>
      <c r="H365" t="s">
        <v>4409</v>
      </c>
      <c r="I365">
        <v>6503</v>
      </c>
      <c r="J365" t="s">
        <v>4411</v>
      </c>
      <c r="K365" t="s">
        <v>4411</v>
      </c>
      <c r="L365" t="s">
        <v>2832</v>
      </c>
      <c r="M365" t="s">
        <v>2833</v>
      </c>
      <c r="N365">
        <v>54363</v>
      </c>
      <c r="O365">
        <v>45500</v>
      </c>
      <c r="P365">
        <v>1</v>
      </c>
      <c r="Q365">
        <v>0</v>
      </c>
      <c r="S365">
        <v>143790</v>
      </c>
      <c r="T365">
        <v>0</v>
      </c>
      <c r="U365" t="s">
        <v>2835</v>
      </c>
      <c r="W365" t="s">
        <v>4412</v>
      </c>
      <c r="X365">
        <v>45500</v>
      </c>
      <c r="Y365">
        <v>41363.636363636302</v>
      </c>
      <c r="Z365" s="26">
        <v>46059</v>
      </c>
    </row>
    <row r="366" spans="1:26" x14ac:dyDescent="0.3">
      <c r="A366" s="50">
        <v>46059.332152777781</v>
      </c>
      <c r="B366">
        <v>2.02602060757231E+18</v>
      </c>
      <c r="C366" t="s">
        <v>4408</v>
      </c>
      <c r="D366" t="s">
        <v>4409</v>
      </c>
      <c r="E366" t="s">
        <v>4409</v>
      </c>
      <c r="F366" t="s">
        <v>4408</v>
      </c>
      <c r="G366" t="s">
        <v>4409</v>
      </c>
      <c r="H366" t="s">
        <v>4409</v>
      </c>
      <c r="I366">
        <v>6006</v>
      </c>
      <c r="J366" t="s">
        <v>4413</v>
      </c>
      <c r="K366" t="s">
        <v>4413</v>
      </c>
      <c r="L366" t="s">
        <v>2832</v>
      </c>
      <c r="M366" t="s">
        <v>2833</v>
      </c>
      <c r="N366">
        <v>54363</v>
      </c>
      <c r="O366">
        <v>45500</v>
      </c>
      <c r="P366">
        <v>1</v>
      </c>
      <c r="Q366">
        <v>0</v>
      </c>
      <c r="S366">
        <v>143790</v>
      </c>
      <c r="T366">
        <v>0</v>
      </c>
      <c r="U366" t="s">
        <v>2835</v>
      </c>
      <c r="W366" t="s">
        <v>4414</v>
      </c>
      <c r="X366">
        <v>45500</v>
      </c>
      <c r="Y366">
        <v>41363.636363636302</v>
      </c>
      <c r="Z366" s="26">
        <v>46059</v>
      </c>
    </row>
    <row r="367" spans="1:26" x14ac:dyDescent="0.3">
      <c r="A367" s="50">
        <v>46059.336898148147</v>
      </c>
      <c r="B367">
        <v>2.0260206080032901E+18</v>
      </c>
      <c r="C367" t="s">
        <v>4415</v>
      </c>
      <c r="D367" t="s">
        <v>4416</v>
      </c>
      <c r="E367" t="s">
        <v>4416</v>
      </c>
      <c r="F367" t="s">
        <v>4415</v>
      </c>
      <c r="G367" t="s">
        <v>4416</v>
      </c>
      <c r="H367" t="s">
        <v>4416</v>
      </c>
      <c r="I367">
        <v>13832</v>
      </c>
      <c r="J367" t="s">
        <v>4417</v>
      </c>
      <c r="K367" t="s">
        <v>4417</v>
      </c>
      <c r="L367" t="s">
        <v>2832</v>
      </c>
      <c r="M367" t="s">
        <v>2833</v>
      </c>
      <c r="N367">
        <v>54363</v>
      </c>
      <c r="O367">
        <v>45500</v>
      </c>
      <c r="P367">
        <v>1</v>
      </c>
      <c r="Q367">
        <v>0</v>
      </c>
      <c r="S367">
        <v>143790</v>
      </c>
      <c r="T367">
        <v>0</v>
      </c>
      <c r="U367" t="s">
        <v>2835</v>
      </c>
      <c r="W367" t="s">
        <v>4418</v>
      </c>
      <c r="X367">
        <v>45500</v>
      </c>
      <c r="Y367">
        <v>41363.636363636302</v>
      </c>
      <c r="Z367" s="26">
        <v>46059</v>
      </c>
    </row>
    <row r="368" spans="1:26" x14ac:dyDescent="0.3">
      <c r="A368" s="50">
        <v>46059.337800925918</v>
      </c>
      <c r="B368">
        <v>2.0260206080418501E+18</v>
      </c>
      <c r="C368" t="s">
        <v>4419</v>
      </c>
      <c r="D368" t="s">
        <v>4420</v>
      </c>
      <c r="E368" t="s">
        <v>4420</v>
      </c>
      <c r="F368" t="s">
        <v>4419</v>
      </c>
      <c r="G368" t="s">
        <v>4420</v>
      </c>
      <c r="H368" t="s">
        <v>4420</v>
      </c>
      <c r="I368">
        <v>44480</v>
      </c>
      <c r="J368" t="s">
        <v>4421</v>
      </c>
      <c r="K368" t="s">
        <v>4421</v>
      </c>
      <c r="L368" t="s">
        <v>2832</v>
      </c>
      <c r="M368" t="s">
        <v>2833</v>
      </c>
      <c r="N368">
        <v>54363</v>
      </c>
      <c r="O368">
        <v>45500</v>
      </c>
      <c r="P368">
        <v>1</v>
      </c>
      <c r="Q368">
        <v>0</v>
      </c>
      <c r="S368">
        <v>143790</v>
      </c>
      <c r="T368">
        <v>0</v>
      </c>
      <c r="U368" t="s">
        <v>2835</v>
      </c>
      <c r="W368" t="s">
        <v>4422</v>
      </c>
      <c r="X368">
        <v>45500</v>
      </c>
      <c r="Y368">
        <v>41363.636363636302</v>
      </c>
      <c r="Z368" s="26">
        <v>46059</v>
      </c>
    </row>
    <row r="369" spans="1:26" x14ac:dyDescent="0.3">
      <c r="A369" s="50">
        <v>46059.341365740736</v>
      </c>
      <c r="B369">
        <v>2.02602060810333E+18</v>
      </c>
      <c r="C369" t="s">
        <v>4423</v>
      </c>
      <c r="D369" t="s">
        <v>4424</v>
      </c>
      <c r="E369" t="s">
        <v>4424</v>
      </c>
      <c r="F369" t="s">
        <v>4423</v>
      </c>
      <c r="G369" t="s">
        <v>4424</v>
      </c>
      <c r="H369" t="s">
        <v>4424</v>
      </c>
      <c r="I369">
        <v>53244</v>
      </c>
      <c r="J369" t="s">
        <v>4425</v>
      </c>
      <c r="K369" t="s">
        <v>4425</v>
      </c>
      <c r="L369" t="s">
        <v>2832</v>
      </c>
      <c r="M369" t="s">
        <v>2833</v>
      </c>
      <c r="N369">
        <v>54363</v>
      </c>
      <c r="O369">
        <v>45500</v>
      </c>
      <c r="P369">
        <v>1</v>
      </c>
      <c r="Q369">
        <v>0</v>
      </c>
      <c r="S369">
        <v>143790</v>
      </c>
      <c r="T369">
        <v>0</v>
      </c>
      <c r="U369" t="s">
        <v>2835</v>
      </c>
      <c r="W369" t="s">
        <v>4426</v>
      </c>
      <c r="X369">
        <v>45500</v>
      </c>
      <c r="Y369">
        <v>41363.636363636302</v>
      </c>
      <c r="Z369" s="26">
        <v>46059</v>
      </c>
    </row>
    <row r="370" spans="1:26" x14ac:dyDescent="0.3">
      <c r="A370" s="50">
        <v>46059.352500000001</v>
      </c>
      <c r="B370">
        <v>2.0260206082602199E+18</v>
      </c>
      <c r="C370" t="s">
        <v>4427</v>
      </c>
      <c r="D370" t="s">
        <v>4428</v>
      </c>
      <c r="E370" t="s">
        <v>4428</v>
      </c>
      <c r="F370" t="s">
        <v>4427</v>
      </c>
      <c r="G370" t="s">
        <v>4428</v>
      </c>
      <c r="H370" t="s">
        <v>4428</v>
      </c>
      <c r="I370">
        <v>14996</v>
      </c>
      <c r="J370" t="s">
        <v>4429</v>
      </c>
      <c r="K370" t="s">
        <v>4429</v>
      </c>
      <c r="L370" t="s">
        <v>2832</v>
      </c>
      <c r="M370" t="s">
        <v>2833</v>
      </c>
      <c r="N370">
        <v>54363</v>
      </c>
      <c r="O370">
        <v>45500</v>
      </c>
      <c r="P370">
        <v>1</v>
      </c>
      <c r="Q370">
        <v>0</v>
      </c>
      <c r="S370">
        <v>143790</v>
      </c>
      <c r="T370">
        <v>0</v>
      </c>
      <c r="U370" t="s">
        <v>2835</v>
      </c>
      <c r="W370" t="s">
        <v>4430</v>
      </c>
      <c r="X370">
        <v>45500</v>
      </c>
      <c r="Y370">
        <v>41363.636363636302</v>
      </c>
      <c r="Z370" s="26">
        <v>46059</v>
      </c>
    </row>
    <row r="371" spans="1:26" x14ac:dyDescent="0.3">
      <c r="A371" s="50">
        <v>46059.421053240738</v>
      </c>
      <c r="B371">
        <v>2.0260206100421299E+18</v>
      </c>
      <c r="C371" t="s">
        <v>4431</v>
      </c>
      <c r="D371" t="s">
        <v>4432</v>
      </c>
      <c r="E371" t="s">
        <v>4432</v>
      </c>
      <c r="F371" t="s">
        <v>4431</v>
      </c>
      <c r="G371" t="s">
        <v>4432</v>
      </c>
      <c r="H371" t="s">
        <v>4432</v>
      </c>
      <c r="I371">
        <v>13013</v>
      </c>
      <c r="J371" t="s">
        <v>4433</v>
      </c>
      <c r="K371" t="s">
        <v>4433</v>
      </c>
      <c r="L371" t="s">
        <v>2832</v>
      </c>
      <c r="M371" t="s">
        <v>2833</v>
      </c>
      <c r="N371">
        <v>54363</v>
      </c>
      <c r="O371">
        <v>45500</v>
      </c>
      <c r="P371">
        <v>1</v>
      </c>
      <c r="Q371">
        <v>0</v>
      </c>
      <c r="R371" t="s">
        <v>4434</v>
      </c>
      <c r="S371">
        <v>143790</v>
      </c>
      <c r="T371">
        <v>0</v>
      </c>
      <c r="U371" t="s">
        <v>2835</v>
      </c>
      <c r="W371" t="s">
        <v>4435</v>
      </c>
      <c r="X371">
        <v>45500</v>
      </c>
      <c r="Y371">
        <v>41363.636363636302</v>
      </c>
      <c r="Z371" s="26">
        <v>46059</v>
      </c>
    </row>
    <row r="372" spans="1:26" x14ac:dyDescent="0.3">
      <c r="A372" s="50">
        <v>46059.426296296297</v>
      </c>
      <c r="B372">
        <v>2.0260206101221299E+18</v>
      </c>
      <c r="C372" t="s">
        <v>4436</v>
      </c>
      <c r="D372" t="s">
        <v>4437</v>
      </c>
      <c r="E372" t="s">
        <v>4437</v>
      </c>
      <c r="F372" t="s">
        <v>4436</v>
      </c>
      <c r="G372" t="s">
        <v>4437</v>
      </c>
      <c r="H372" t="s">
        <v>4437</v>
      </c>
      <c r="I372">
        <v>2760</v>
      </c>
      <c r="J372" t="s">
        <v>4438</v>
      </c>
      <c r="K372" t="s">
        <v>4438</v>
      </c>
      <c r="L372" t="s">
        <v>2832</v>
      </c>
      <c r="M372" t="s">
        <v>2833</v>
      </c>
      <c r="N372">
        <v>108726</v>
      </c>
      <c r="O372">
        <v>45500</v>
      </c>
      <c r="P372">
        <v>2</v>
      </c>
      <c r="Q372">
        <v>0</v>
      </c>
      <c r="S372">
        <v>143790</v>
      </c>
      <c r="T372">
        <v>0</v>
      </c>
      <c r="U372" t="s">
        <v>2835</v>
      </c>
      <c r="W372" t="s">
        <v>4439</v>
      </c>
      <c r="X372">
        <v>91000</v>
      </c>
      <c r="Y372">
        <v>82727.272727272706</v>
      </c>
      <c r="Z372" s="26">
        <v>46059</v>
      </c>
    </row>
    <row r="373" spans="1:26" x14ac:dyDescent="0.3">
      <c r="A373" s="50">
        <v>46059.457511574074</v>
      </c>
      <c r="B373">
        <v>2.0260206105727301E+18</v>
      </c>
      <c r="C373" t="s">
        <v>4440</v>
      </c>
      <c r="D373" t="s">
        <v>4441</v>
      </c>
      <c r="E373" t="s">
        <v>4441</v>
      </c>
      <c r="F373" t="s">
        <v>4440</v>
      </c>
      <c r="G373" t="s">
        <v>4442</v>
      </c>
      <c r="H373" t="s">
        <v>4442</v>
      </c>
      <c r="I373">
        <v>26461</v>
      </c>
      <c r="J373" t="s">
        <v>4443</v>
      </c>
      <c r="K373" t="s">
        <v>4443</v>
      </c>
      <c r="L373" t="s">
        <v>2832</v>
      </c>
      <c r="M373" t="s">
        <v>2833</v>
      </c>
      <c r="N373">
        <v>54363</v>
      </c>
      <c r="O373">
        <v>45500</v>
      </c>
      <c r="P373">
        <v>1</v>
      </c>
      <c r="Q373">
        <v>0</v>
      </c>
      <c r="S373">
        <v>143790</v>
      </c>
      <c r="T373">
        <v>0</v>
      </c>
      <c r="U373" t="s">
        <v>2835</v>
      </c>
      <c r="W373" t="s">
        <v>4444</v>
      </c>
      <c r="X373">
        <v>45500</v>
      </c>
      <c r="Y373">
        <v>41363.636363636302</v>
      </c>
      <c r="Z373" s="26">
        <v>46059</v>
      </c>
    </row>
    <row r="374" spans="1:26" x14ac:dyDescent="0.3">
      <c r="A374" s="50">
        <v>46059.457986111112</v>
      </c>
      <c r="B374">
        <v>2.0260206105900401E+18</v>
      </c>
      <c r="C374" t="s">
        <v>2912</v>
      </c>
      <c r="D374" t="s">
        <v>4445</v>
      </c>
      <c r="E374" t="s">
        <v>4445</v>
      </c>
      <c r="F374" t="s">
        <v>2912</v>
      </c>
      <c r="G374" t="s">
        <v>4445</v>
      </c>
      <c r="H374" t="s">
        <v>4445</v>
      </c>
      <c r="I374">
        <v>16668</v>
      </c>
      <c r="J374" t="s">
        <v>4446</v>
      </c>
      <c r="K374" t="s">
        <v>4446</v>
      </c>
      <c r="L374" t="s">
        <v>2832</v>
      </c>
      <c r="M374" t="s">
        <v>2833</v>
      </c>
      <c r="N374">
        <v>54363</v>
      </c>
      <c r="O374">
        <v>45500</v>
      </c>
      <c r="P374">
        <v>1</v>
      </c>
      <c r="Q374">
        <v>0</v>
      </c>
      <c r="S374">
        <v>143790</v>
      </c>
      <c r="T374">
        <v>0</v>
      </c>
      <c r="U374" t="s">
        <v>2835</v>
      </c>
      <c r="W374" t="s">
        <v>4447</v>
      </c>
      <c r="X374">
        <v>45500</v>
      </c>
      <c r="Y374">
        <v>41363.636363636302</v>
      </c>
      <c r="Z374" s="26">
        <v>46059</v>
      </c>
    </row>
    <row r="375" spans="1:26" x14ac:dyDescent="0.3">
      <c r="A375" s="50">
        <v>46058.558136574073</v>
      </c>
      <c r="B375">
        <v>2.0260205132135099E+18</v>
      </c>
      <c r="C375" t="s">
        <v>4448</v>
      </c>
      <c r="D375" t="s">
        <v>4449</v>
      </c>
      <c r="E375" t="s">
        <v>4449</v>
      </c>
      <c r="F375" t="s">
        <v>4450</v>
      </c>
      <c r="G375" t="s">
        <v>4451</v>
      </c>
      <c r="H375" t="s">
        <v>4451</v>
      </c>
      <c r="I375">
        <v>27340</v>
      </c>
      <c r="J375" t="s">
        <v>4452</v>
      </c>
      <c r="K375" t="s">
        <v>4452</v>
      </c>
      <c r="L375" t="s">
        <v>3829</v>
      </c>
      <c r="M375" t="s">
        <v>3830</v>
      </c>
      <c r="N375">
        <v>18181</v>
      </c>
      <c r="O375">
        <v>63000</v>
      </c>
      <c r="P375">
        <v>1</v>
      </c>
      <c r="Q375" t="s">
        <v>3831</v>
      </c>
      <c r="R375" t="s">
        <v>4453</v>
      </c>
      <c r="S375">
        <v>143790</v>
      </c>
      <c r="T375">
        <v>0</v>
      </c>
      <c r="U375" t="s">
        <v>2835</v>
      </c>
      <c r="W375" t="s">
        <v>4454</v>
      </c>
      <c r="X375">
        <v>63000</v>
      </c>
      <c r="Y375">
        <v>57272.727272727199</v>
      </c>
      <c r="Z375" s="26">
        <v>46059</v>
      </c>
    </row>
    <row r="376" spans="1:26" x14ac:dyDescent="0.3">
      <c r="A376" s="50">
        <v>46058.571689814817</v>
      </c>
      <c r="B376">
        <v>2.0260205133832801E+18</v>
      </c>
      <c r="C376" t="s">
        <v>4455</v>
      </c>
      <c r="D376" t="s">
        <v>4456</v>
      </c>
      <c r="E376" t="s">
        <v>4456</v>
      </c>
      <c r="F376" t="s">
        <v>4455</v>
      </c>
      <c r="G376" t="s">
        <v>4456</v>
      </c>
      <c r="H376" t="s">
        <v>4456</v>
      </c>
      <c r="I376">
        <v>6277</v>
      </c>
      <c r="J376" t="s">
        <v>4457</v>
      </c>
      <c r="K376" t="s">
        <v>4457</v>
      </c>
      <c r="L376" t="s">
        <v>3829</v>
      </c>
      <c r="M376" t="s">
        <v>3830</v>
      </c>
      <c r="N376">
        <v>18181</v>
      </c>
      <c r="O376">
        <v>63000</v>
      </c>
      <c r="P376">
        <v>1</v>
      </c>
      <c r="Q376" t="s">
        <v>3831</v>
      </c>
      <c r="S376">
        <v>143790</v>
      </c>
      <c r="T376">
        <v>0</v>
      </c>
      <c r="U376" t="s">
        <v>2835</v>
      </c>
      <c r="W376" t="s">
        <v>4458</v>
      </c>
      <c r="X376">
        <v>63000</v>
      </c>
      <c r="Y376">
        <v>57272.727272727199</v>
      </c>
      <c r="Z376" s="26">
        <v>46059</v>
      </c>
    </row>
    <row r="377" spans="1:26" x14ac:dyDescent="0.3">
      <c r="A377" s="50">
        <v>46058.700370370367</v>
      </c>
      <c r="B377">
        <v>2.02602051647373E+18</v>
      </c>
      <c r="C377" t="s">
        <v>4459</v>
      </c>
      <c r="D377" t="s">
        <v>4460</v>
      </c>
      <c r="E377" t="s">
        <v>4460</v>
      </c>
      <c r="F377" t="s">
        <v>4459</v>
      </c>
      <c r="G377" t="s">
        <v>4460</v>
      </c>
      <c r="H377" t="s">
        <v>4460</v>
      </c>
      <c r="I377">
        <v>7380</v>
      </c>
      <c r="J377" t="s">
        <v>4461</v>
      </c>
      <c r="K377" t="s">
        <v>4461</v>
      </c>
      <c r="L377" t="s">
        <v>3829</v>
      </c>
      <c r="M377" t="s">
        <v>3830</v>
      </c>
      <c r="N377">
        <v>18181</v>
      </c>
      <c r="O377">
        <v>63000</v>
      </c>
      <c r="P377">
        <v>1</v>
      </c>
      <c r="Q377" t="s">
        <v>3831</v>
      </c>
      <c r="S377">
        <v>143790</v>
      </c>
      <c r="T377">
        <v>0</v>
      </c>
      <c r="U377" t="s">
        <v>2835</v>
      </c>
      <c r="W377" t="s">
        <v>4462</v>
      </c>
      <c r="X377">
        <v>63000</v>
      </c>
      <c r="Y377">
        <v>57272.727272727199</v>
      </c>
      <c r="Z377" s="26">
        <v>46059</v>
      </c>
    </row>
    <row r="378" spans="1:26" x14ac:dyDescent="0.3">
      <c r="A378" s="50">
        <v>46058.72965277778</v>
      </c>
      <c r="B378">
        <v>2.02602051729411E+18</v>
      </c>
      <c r="C378" t="s">
        <v>4463</v>
      </c>
      <c r="D378" t="s">
        <v>4464</v>
      </c>
      <c r="E378" t="s">
        <v>4464</v>
      </c>
      <c r="F378" t="s">
        <v>4463</v>
      </c>
      <c r="G378" t="s">
        <v>4464</v>
      </c>
      <c r="H378" t="s">
        <v>4464</v>
      </c>
      <c r="I378">
        <v>12668</v>
      </c>
      <c r="J378" t="s">
        <v>4465</v>
      </c>
      <c r="K378" t="s">
        <v>4465</v>
      </c>
      <c r="L378" t="s">
        <v>3829</v>
      </c>
      <c r="M378" t="s">
        <v>3830</v>
      </c>
      <c r="N378">
        <v>18181</v>
      </c>
      <c r="O378">
        <v>63000</v>
      </c>
      <c r="P378">
        <v>1</v>
      </c>
      <c r="Q378" t="s">
        <v>3831</v>
      </c>
      <c r="S378">
        <v>143790</v>
      </c>
      <c r="T378">
        <v>0</v>
      </c>
      <c r="U378" t="s">
        <v>2835</v>
      </c>
      <c r="W378" t="s">
        <v>4466</v>
      </c>
      <c r="X378">
        <v>63000</v>
      </c>
      <c r="Y378">
        <v>57272.727272727199</v>
      </c>
      <c r="Z378" s="26">
        <v>46059</v>
      </c>
    </row>
    <row r="379" spans="1:26" x14ac:dyDescent="0.3">
      <c r="A379" s="50">
        <v>46058.743692129632</v>
      </c>
      <c r="B379">
        <v>2.02602051748113E+18</v>
      </c>
      <c r="C379" t="s">
        <v>4467</v>
      </c>
      <c r="D379" t="s">
        <v>4468</v>
      </c>
      <c r="E379" t="s">
        <v>4468</v>
      </c>
      <c r="F379" t="s">
        <v>4467</v>
      </c>
      <c r="G379" t="s">
        <v>4468</v>
      </c>
      <c r="H379" t="s">
        <v>4468</v>
      </c>
      <c r="I379">
        <v>41141</v>
      </c>
      <c r="J379" t="s">
        <v>4469</v>
      </c>
      <c r="K379" t="s">
        <v>4469</v>
      </c>
      <c r="L379" t="s">
        <v>3829</v>
      </c>
      <c r="M379" t="s">
        <v>3830</v>
      </c>
      <c r="N379">
        <v>18181</v>
      </c>
      <c r="O379">
        <v>63000</v>
      </c>
      <c r="P379">
        <v>1</v>
      </c>
      <c r="Q379" t="s">
        <v>3831</v>
      </c>
      <c r="S379">
        <v>143790</v>
      </c>
      <c r="T379">
        <v>0</v>
      </c>
      <c r="U379" t="s">
        <v>2835</v>
      </c>
      <c r="W379" t="s">
        <v>4470</v>
      </c>
      <c r="X379">
        <v>63000</v>
      </c>
      <c r="Y379">
        <v>57272.727272727199</v>
      </c>
      <c r="Z379" s="26">
        <v>46059</v>
      </c>
    </row>
    <row r="380" spans="1:26" x14ac:dyDescent="0.3">
      <c r="A380" s="50">
        <v>46058.748518518521</v>
      </c>
      <c r="B380">
        <v>2.0260205175536599E+18</v>
      </c>
      <c r="C380" t="s">
        <v>4467</v>
      </c>
      <c r="D380" t="s">
        <v>4468</v>
      </c>
      <c r="E380" t="s">
        <v>4468</v>
      </c>
      <c r="F380" t="s">
        <v>4467</v>
      </c>
      <c r="G380" t="s">
        <v>4468</v>
      </c>
      <c r="H380" t="s">
        <v>4468</v>
      </c>
      <c r="I380">
        <v>18496</v>
      </c>
      <c r="J380" t="s">
        <v>4471</v>
      </c>
      <c r="K380" t="s">
        <v>4471</v>
      </c>
      <c r="L380" t="s">
        <v>3829</v>
      </c>
      <c r="M380" t="s">
        <v>3830</v>
      </c>
      <c r="N380">
        <v>18181</v>
      </c>
      <c r="O380">
        <v>63000</v>
      </c>
      <c r="P380">
        <v>1</v>
      </c>
      <c r="Q380" t="s">
        <v>3831</v>
      </c>
      <c r="S380">
        <v>143790</v>
      </c>
      <c r="T380">
        <v>0</v>
      </c>
      <c r="U380" t="s">
        <v>2835</v>
      </c>
      <c r="W380" t="s">
        <v>4472</v>
      </c>
      <c r="X380">
        <v>63000</v>
      </c>
      <c r="Y380">
        <v>57272.727272727199</v>
      </c>
      <c r="Z380" s="26">
        <v>46059</v>
      </c>
    </row>
    <row r="381" spans="1:26" x14ac:dyDescent="0.3">
      <c r="A381" s="50">
        <v>46058.824826388889</v>
      </c>
      <c r="B381">
        <v>2.0260205194217201E+18</v>
      </c>
      <c r="C381" t="s">
        <v>4378</v>
      </c>
      <c r="D381" t="s">
        <v>4473</v>
      </c>
      <c r="E381" t="s">
        <v>4473</v>
      </c>
      <c r="F381" t="s">
        <v>4474</v>
      </c>
      <c r="G381" t="s">
        <v>4473</v>
      </c>
      <c r="H381" t="s">
        <v>4473</v>
      </c>
      <c r="I381">
        <v>11947</v>
      </c>
      <c r="J381" t="s">
        <v>4475</v>
      </c>
      <c r="K381" t="s">
        <v>4475</v>
      </c>
      <c r="L381" t="s">
        <v>3829</v>
      </c>
      <c r="M381" t="s">
        <v>3830</v>
      </c>
      <c r="N381">
        <v>18181</v>
      </c>
      <c r="O381">
        <v>63000</v>
      </c>
      <c r="P381">
        <v>1</v>
      </c>
      <c r="Q381" t="s">
        <v>3831</v>
      </c>
      <c r="S381">
        <v>143790</v>
      </c>
      <c r="T381">
        <v>0</v>
      </c>
      <c r="U381" t="s">
        <v>2835</v>
      </c>
      <c r="W381" t="s">
        <v>4476</v>
      </c>
      <c r="X381">
        <v>63000</v>
      </c>
      <c r="Y381">
        <v>57272.727272727199</v>
      </c>
      <c r="Z381" s="26">
        <v>46059</v>
      </c>
    </row>
    <row r="382" spans="1:26" x14ac:dyDescent="0.3">
      <c r="A382" s="50">
        <v>46058.944710648153</v>
      </c>
      <c r="B382">
        <v>2.0260205223919201E+18</v>
      </c>
      <c r="C382" t="s">
        <v>4477</v>
      </c>
      <c r="D382" t="s">
        <v>4478</v>
      </c>
      <c r="E382" t="s">
        <v>4478</v>
      </c>
      <c r="F382" t="s">
        <v>4477</v>
      </c>
      <c r="G382" t="s">
        <v>4478</v>
      </c>
      <c r="H382" t="s">
        <v>4478</v>
      </c>
      <c r="I382">
        <v>4145</v>
      </c>
      <c r="J382" t="s">
        <v>4479</v>
      </c>
      <c r="K382" t="s">
        <v>4479</v>
      </c>
      <c r="L382" t="s">
        <v>3829</v>
      </c>
      <c r="M382" t="s">
        <v>3830</v>
      </c>
      <c r="N382">
        <v>18181</v>
      </c>
      <c r="O382">
        <v>63000</v>
      </c>
      <c r="P382">
        <v>1</v>
      </c>
      <c r="Q382" t="s">
        <v>3831</v>
      </c>
      <c r="S382">
        <v>143790</v>
      </c>
      <c r="T382">
        <v>0</v>
      </c>
      <c r="U382" t="s">
        <v>2835</v>
      </c>
      <c r="W382" t="s">
        <v>4480</v>
      </c>
      <c r="X382">
        <v>63000</v>
      </c>
      <c r="Y382">
        <v>57272.727272727199</v>
      </c>
      <c r="Z382" s="26">
        <v>46059</v>
      </c>
    </row>
    <row r="383" spans="1:26" x14ac:dyDescent="0.3">
      <c r="A383" s="50">
        <v>46059.131203703713</v>
      </c>
      <c r="B383">
        <v>2.0260206030559099E+18</v>
      </c>
      <c r="C383" t="s">
        <v>4481</v>
      </c>
      <c r="D383" t="s">
        <v>4482</v>
      </c>
      <c r="E383" t="s">
        <v>4482</v>
      </c>
      <c r="F383" t="s">
        <v>4481</v>
      </c>
      <c r="G383" t="s">
        <v>4482</v>
      </c>
      <c r="H383" t="s">
        <v>4482</v>
      </c>
      <c r="I383">
        <v>4122</v>
      </c>
      <c r="J383" t="s">
        <v>4483</v>
      </c>
      <c r="K383" t="s">
        <v>4483</v>
      </c>
      <c r="L383" t="s">
        <v>3829</v>
      </c>
      <c r="M383" t="s">
        <v>3830</v>
      </c>
      <c r="N383">
        <v>18181</v>
      </c>
      <c r="O383">
        <v>63000</v>
      </c>
      <c r="P383">
        <v>1</v>
      </c>
      <c r="Q383" t="s">
        <v>3831</v>
      </c>
      <c r="S383">
        <v>143790</v>
      </c>
      <c r="T383">
        <v>0</v>
      </c>
      <c r="U383" t="s">
        <v>2835</v>
      </c>
      <c r="W383" t="s">
        <v>4484</v>
      </c>
      <c r="X383">
        <v>63000</v>
      </c>
      <c r="Y383">
        <v>57272.727272727199</v>
      </c>
      <c r="Z383" s="26">
        <v>46059</v>
      </c>
    </row>
    <row r="384" spans="1:26" x14ac:dyDescent="0.3">
      <c r="A384" s="50">
        <v>46059.353460648148</v>
      </c>
      <c r="B384">
        <v>2.0260206082819899E+18</v>
      </c>
      <c r="C384" t="s">
        <v>4485</v>
      </c>
      <c r="D384" t="s">
        <v>4486</v>
      </c>
      <c r="E384" t="s">
        <v>4486</v>
      </c>
      <c r="F384" t="s">
        <v>4485</v>
      </c>
      <c r="G384" t="s">
        <v>4486</v>
      </c>
      <c r="H384" t="s">
        <v>4486</v>
      </c>
      <c r="I384">
        <v>16311</v>
      </c>
      <c r="J384" t="s">
        <v>4487</v>
      </c>
      <c r="K384" t="s">
        <v>4487</v>
      </c>
      <c r="L384" t="s">
        <v>3829</v>
      </c>
      <c r="M384" t="s">
        <v>3830</v>
      </c>
      <c r="N384">
        <v>18181</v>
      </c>
      <c r="O384">
        <v>63000</v>
      </c>
      <c r="P384">
        <v>1</v>
      </c>
      <c r="Q384" t="s">
        <v>3831</v>
      </c>
      <c r="S384">
        <v>143790</v>
      </c>
      <c r="T384">
        <v>0</v>
      </c>
      <c r="U384" t="s">
        <v>2835</v>
      </c>
      <c r="W384" t="s">
        <v>4488</v>
      </c>
      <c r="X384">
        <v>63000</v>
      </c>
      <c r="Y384">
        <v>57272.727272727199</v>
      </c>
      <c r="Z384" s="26">
        <v>46059</v>
      </c>
    </row>
    <row r="385" spans="1:26" x14ac:dyDescent="0.3">
      <c r="A385" s="50">
        <v>46059.445555555547</v>
      </c>
      <c r="B385">
        <v>2.02602061039422E+18</v>
      </c>
      <c r="C385" t="s">
        <v>4489</v>
      </c>
      <c r="D385" t="s">
        <v>4490</v>
      </c>
      <c r="E385" t="s">
        <v>4490</v>
      </c>
      <c r="F385" t="s">
        <v>4489</v>
      </c>
      <c r="G385" t="s">
        <v>4490</v>
      </c>
      <c r="H385" t="s">
        <v>4490</v>
      </c>
      <c r="I385">
        <v>13995</v>
      </c>
      <c r="J385" t="s">
        <v>4491</v>
      </c>
      <c r="K385" t="s">
        <v>4491</v>
      </c>
      <c r="L385" t="s">
        <v>3829</v>
      </c>
      <c r="M385" t="s">
        <v>3830</v>
      </c>
      <c r="N385">
        <v>18181</v>
      </c>
      <c r="O385">
        <v>63000</v>
      </c>
      <c r="P385">
        <v>1</v>
      </c>
      <c r="Q385" t="s">
        <v>3831</v>
      </c>
      <c r="R385" t="s">
        <v>4492</v>
      </c>
      <c r="S385">
        <v>143790</v>
      </c>
      <c r="T385">
        <v>0</v>
      </c>
      <c r="U385" t="s">
        <v>2835</v>
      </c>
      <c r="W385" t="s">
        <v>4493</v>
      </c>
      <c r="X385">
        <v>63000</v>
      </c>
      <c r="Y385">
        <v>57272.727272727199</v>
      </c>
      <c r="Z385" s="26">
        <v>46059</v>
      </c>
    </row>
    <row r="386" spans="1:26" x14ac:dyDescent="0.3">
      <c r="A386" s="50">
        <v>46062.42291666667</v>
      </c>
      <c r="B386">
        <v>2.02602091006482E+18</v>
      </c>
      <c r="C386" t="s">
        <v>4494</v>
      </c>
      <c r="D386" t="s">
        <v>4495</v>
      </c>
      <c r="E386" t="s">
        <v>4495</v>
      </c>
      <c r="F386" t="s">
        <v>4494</v>
      </c>
      <c r="G386" t="s">
        <v>4495</v>
      </c>
      <c r="H386" t="s">
        <v>4495</v>
      </c>
      <c r="I386">
        <v>5672</v>
      </c>
      <c r="J386" t="s">
        <v>4496</v>
      </c>
      <c r="K386" t="s">
        <v>4496</v>
      </c>
      <c r="L386" t="s">
        <v>2832</v>
      </c>
      <c r="M386" t="s">
        <v>2833</v>
      </c>
      <c r="N386">
        <v>54363</v>
      </c>
      <c r="O386">
        <v>45500</v>
      </c>
      <c r="P386">
        <v>1</v>
      </c>
      <c r="Q386">
        <v>0</v>
      </c>
      <c r="S386">
        <v>143790</v>
      </c>
      <c r="T386">
        <v>0</v>
      </c>
      <c r="U386" t="s">
        <v>2835</v>
      </c>
      <c r="W386" t="s">
        <v>4497</v>
      </c>
      <c r="X386">
        <v>45500</v>
      </c>
      <c r="Y386">
        <v>41363.636363636302</v>
      </c>
      <c r="Z386" s="26">
        <v>46062</v>
      </c>
    </row>
    <row r="387" spans="1:26" x14ac:dyDescent="0.3">
      <c r="A387" s="50">
        <v>46062.336053240739</v>
      </c>
      <c r="B387">
        <v>2.0260209080301801E+18</v>
      </c>
      <c r="C387" t="s">
        <v>4498</v>
      </c>
      <c r="D387" t="s">
        <v>4499</v>
      </c>
      <c r="E387" t="s">
        <v>4499</v>
      </c>
      <c r="F387" t="s">
        <v>4500</v>
      </c>
      <c r="G387" t="s">
        <v>4499</v>
      </c>
      <c r="H387" t="s">
        <v>4499</v>
      </c>
      <c r="I387">
        <v>6276</v>
      </c>
      <c r="J387" t="s">
        <v>4501</v>
      </c>
      <c r="K387" t="s">
        <v>4501</v>
      </c>
      <c r="L387" t="s">
        <v>2832</v>
      </c>
      <c r="M387" t="s">
        <v>2833</v>
      </c>
      <c r="N387">
        <v>54363</v>
      </c>
      <c r="O387">
        <v>45500</v>
      </c>
      <c r="P387">
        <v>1</v>
      </c>
      <c r="Q387">
        <v>0</v>
      </c>
      <c r="S387">
        <v>143790</v>
      </c>
      <c r="T387">
        <v>0</v>
      </c>
      <c r="U387" t="s">
        <v>2835</v>
      </c>
      <c r="W387" t="s">
        <v>4502</v>
      </c>
      <c r="X387">
        <v>45500</v>
      </c>
      <c r="Y387">
        <v>41363.636363636302</v>
      </c>
      <c r="Z387" s="26">
        <v>46062</v>
      </c>
    </row>
    <row r="388" spans="1:26" x14ac:dyDescent="0.3">
      <c r="A388" s="50">
        <v>46062.058136574073</v>
      </c>
      <c r="B388">
        <v>2.0260209012113999E+18</v>
      </c>
      <c r="C388" t="s">
        <v>4503</v>
      </c>
      <c r="D388" t="s">
        <v>4504</v>
      </c>
      <c r="E388" t="s">
        <v>4504</v>
      </c>
      <c r="F388" t="s">
        <v>4505</v>
      </c>
      <c r="G388" t="s">
        <v>4506</v>
      </c>
      <c r="H388" t="s">
        <v>4506</v>
      </c>
      <c r="I388">
        <v>17805</v>
      </c>
      <c r="J388" t="s">
        <v>4507</v>
      </c>
      <c r="K388" t="s">
        <v>4507</v>
      </c>
      <c r="L388" t="s">
        <v>2832</v>
      </c>
      <c r="M388" t="s">
        <v>2833</v>
      </c>
      <c r="N388">
        <v>54363</v>
      </c>
      <c r="O388">
        <v>45500</v>
      </c>
      <c r="P388">
        <v>1</v>
      </c>
      <c r="Q388">
        <v>0</v>
      </c>
      <c r="R388" t="s">
        <v>4508</v>
      </c>
      <c r="S388">
        <v>143790</v>
      </c>
      <c r="T388">
        <v>0</v>
      </c>
      <c r="U388" t="s">
        <v>2835</v>
      </c>
      <c r="W388" t="s">
        <v>4509</v>
      </c>
      <c r="X388">
        <v>45500</v>
      </c>
      <c r="Y388">
        <v>41363.636363636302</v>
      </c>
      <c r="Z388" s="26">
        <v>46062</v>
      </c>
    </row>
    <row r="389" spans="1:26" x14ac:dyDescent="0.3">
      <c r="A389" s="50">
        <v>46062.010567129633</v>
      </c>
      <c r="B389">
        <v>2.02602090014432E+18</v>
      </c>
      <c r="C389" t="s">
        <v>4510</v>
      </c>
      <c r="D389" t="s">
        <v>4511</v>
      </c>
      <c r="E389" t="s">
        <v>4511</v>
      </c>
      <c r="F389" t="s">
        <v>4510</v>
      </c>
      <c r="G389" t="s">
        <v>4511</v>
      </c>
      <c r="H389" t="s">
        <v>4511</v>
      </c>
      <c r="I389">
        <v>18322</v>
      </c>
      <c r="J389" t="s">
        <v>4512</v>
      </c>
      <c r="K389" t="s">
        <v>4512</v>
      </c>
      <c r="L389" t="s">
        <v>2832</v>
      </c>
      <c r="M389" t="s">
        <v>2833</v>
      </c>
      <c r="N389">
        <v>54363</v>
      </c>
      <c r="O389">
        <v>45500</v>
      </c>
      <c r="P389">
        <v>1</v>
      </c>
      <c r="Q389">
        <v>0</v>
      </c>
      <c r="S389">
        <v>143790</v>
      </c>
      <c r="T389">
        <v>0</v>
      </c>
      <c r="U389" t="s">
        <v>2835</v>
      </c>
      <c r="W389" t="s">
        <v>4513</v>
      </c>
      <c r="X389">
        <v>45500</v>
      </c>
      <c r="Y389">
        <v>41363.636363636302</v>
      </c>
      <c r="Z389" s="26">
        <v>46062</v>
      </c>
    </row>
    <row r="390" spans="1:26" x14ac:dyDescent="0.3">
      <c r="A390" s="50">
        <v>46061.986979166657</v>
      </c>
      <c r="B390">
        <v>2.0260208234043899E+18</v>
      </c>
      <c r="C390" t="s">
        <v>4514</v>
      </c>
      <c r="D390" t="s">
        <v>4515</v>
      </c>
      <c r="E390" t="s">
        <v>4515</v>
      </c>
      <c r="F390" t="s">
        <v>4514</v>
      </c>
      <c r="G390" t="s">
        <v>4515</v>
      </c>
      <c r="H390" t="s">
        <v>4515</v>
      </c>
      <c r="I390">
        <v>24886</v>
      </c>
      <c r="J390" t="s">
        <v>4516</v>
      </c>
      <c r="K390" t="s">
        <v>4516</v>
      </c>
      <c r="L390" t="s">
        <v>2832</v>
      </c>
      <c r="M390" t="s">
        <v>2833</v>
      </c>
      <c r="N390">
        <v>54363</v>
      </c>
      <c r="O390">
        <v>45500</v>
      </c>
      <c r="P390">
        <v>1</v>
      </c>
      <c r="Q390">
        <v>0</v>
      </c>
      <c r="S390">
        <v>143790</v>
      </c>
      <c r="T390">
        <v>0</v>
      </c>
      <c r="U390" t="s">
        <v>2835</v>
      </c>
      <c r="W390" t="s">
        <v>4517</v>
      </c>
      <c r="X390">
        <v>45500</v>
      </c>
      <c r="Y390">
        <v>41363.636363636302</v>
      </c>
      <c r="Z390" s="26">
        <v>46062</v>
      </c>
    </row>
    <row r="391" spans="1:26" x14ac:dyDescent="0.3">
      <c r="A391" s="50">
        <v>46061.976157407407</v>
      </c>
      <c r="B391">
        <v>2.0260208232315E+18</v>
      </c>
      <c r="C391" t="s">
        <v>4518</v>
      </c>
      <c r="D391" t="s">
        <v>4519</v>
      </c>
      <c r="E391" t="s">
        <v>4519</v>
      </c>
      <c r="F391" t="s">
        <v>4518</v>
      </c>
      <c r="G391" t="s">
        <v>4519</v>
      </c>
      <c r="H391" t="s">
        <v>4519</v>
      </c>
      <c r="I391">
        <v>3648</v>
      </c>
      <c r="J391" t="s">
        <v>4520</v>
      </c>
      <c r="K391" t="s">
        <v>4520</v>
      </c>
      <c r="L391" t="s">
        <v>2832</v>
      </c>
      <c r="M391" t="s">
        <v>2833</v>
      </c>
      <c r="N391">
        <v>54363</v>
      </c>
      <c r="O391">
        <v>45500</v>
      </c>
      <c r="P391">
        <v>1</v>
      </c>
      <c r="Q391">
        <v>0</v>
      </c>
      <c r="S391">
        <v>143790</v>
      </c>
      <c r="T391">
        <v>0</v>
      </c>
      <c r="U391" t="s">
        <v>2835</v>
      </c>
      <c r="W391" t="s">
        <v>4521</v>
      </c>
      <c r="X391">
        <v>45500</v>
      </c>
      <c r="Y391">
        <v>41363.636363636302</v>
      </c>
      <c r="Z391" s="26">
        <v>46062</v>
      </c>
    </row>
    <row r="392" spans="1:26" x14ac:dyDescent="0.3">
      <c r="A392" s="50">
        <v>46061.863692129627</v>
      </c>
      <c r="B392">
        <v>2.02602082042015E+18</v>
      </c>
      <c r="C392" t="s">
        <v>4522</v>
      </c>
      <c r="D392" t="s">
        <v>4523</v>
      </c>
      <c r="E392" t="s">
        <v>4523</v>
      </c>
      <c r="F392" t="s">
        <v>4522</v>
      </c>
      <c r="G392" t="s">
        <v>4523</v>
      </c>
      <c r="H392" t="s">
        <v>4523</v>
      </c>
      <c r="I392">
        <v>44489</v>
      </c>
      <c r="J392" t="s">
        <v>4524</v>
      </c>
      <c r="K392" t="s">
        <v>4524</v>
      </c>
      <c r="L392" t="s">
        <v>2832</v>
      </c>
      <c r="M392" t="s">
        <v>2833</v>
      </c>
      <c r="N392">
        <v>54363</v>
      </c>
      <c r="O392">
        <v>45500</v>
      </c>
      <c r="P392">
        <v>1</v>
      </c>
      <c r="Q392">
        <v>0</v>
      </c>
      <c r="S392">
        <v>143790</v>
      </c>
      <c r="T392">
        <v>0</v>
      </c>
      <c r="U392" t="s">
        <v>2835</v>
      </c>
      <c r="W392" t="s">
        <v>4525</v>
      </c>
      <c r="X392">
        <v>45500</v>
      </c>
      <c r="Y392">
        <v>41363.636363636302</v>
      </c>
      <c r="Z392" s="26">
        <v>46062</v>
      </c>
    </row>
    <row r="393" spans="1:26" x14ac:dyDescent="0.3">
      <c r="A393" s="50">
        <v>46061.854351851849</v>
      </c>
      <c r="B393">
        <v>2.0260208202021199E+18</v>
      </c>
      <c r="C393" t="s">
        <v>4526</v>
      </c>
      <c r="D393" t="s">
        <v>4527</v>
      </c>
      <c r="E393" t="s">
        <v>4527</v>
      </c>
      <c r="F393" t="s">
        <v>4526</v>
      </c>
      <c r="G393" t="s">
        <v>4527</v>
      </c>
      <c r="H393" t="s">
        <v>4527</v>
      </c>
      <c r="I393">
        <v>5019</v>
      </c>
      <c r="J393" t="s">
        <v>4528</v>
      </c>
      <c r="K393" t="s">
        <v>4528</v>
      </c>
      <c r="L393" t="s">
        <v>2832</v>
      </c>
      <c r="M393" t="s">
        <v>2833</v>
      </c>
      <c r="N393">
        <v>54363</v>
      </c>
      <c r="O393">
        <v>45500</v>
      </c>
      <c r="P393">
        <v>1</v>
      </c>
      <c r="Q393">
        <v>0</v>
      </c>
      <c r="S393">
        <v>143790</v>
      </c>
      <c r="T393">
        <v>0</v>
      </c>
      <c r="U393" t="s">
        <v>2835</v>
      </c>
      <c r="W393" t="s">
        <v>4529</v>
      </c>
      <c r="X393">
        <v>45500</v>
      </c>
      <c r="Y393">
        <v>41363.636363636302</v>
      </c>
      <c r="Z393" s="26">
        <v>46062</v>
      </c>
    </row>
    <row r="394" spans="1:26" x14ac:dyDescent="0.3">
      <c r="A394" s="50">
        <v>46061.815115740741</v>
      </c>
      <c r="B394">
        <v>2.0260208192633201E+18</v>
      </c>
      <c r="C394" t="s">
        <v>4530</v>
      </c>
      <c r="D394" t="s">
        <v>4531</v>
      </c>
      <c r="E394" t="s">
        <v>4531</v>
      </c>
      <c r="F394" t="s">
        <v>4530</v>
      </c>
      <c r="G394" t="s">
        <v>4531</v>
      </c>
      <c r="H394" t="s">
        <v>4531</v>
      </c>
      <c r="I394">
        <v>2785</v>
      </c>
      <c r="J394" t="s">
        <v>4532</v>
      </c>
      <c r="K394" t="s">
        <v>4532</v>
      </c>
      <c r="L394" t="s">
        <v>2832</v>
      </c>
      <c r="M394" t="s">
        <v>2833</v>
      </c>
      <c r="N394">
        <v>54363</v>
      </c>
      <c r="O394">
        <v>45500</v>
      </c>
      <c r="P394">
        <v>1</v>
      </c>
      <c r="Q394">
        <v>0</v>
      </c>
      <c r="S394">
        <v>143790</v>
      </c>
      <c r="T394">
        <v>0</v>
      </c>
      <c r="U394" t="s">
        <v>2835</v>
      </c>
      <c r="W394" t="s">
        <v>4533</v>
      </c>
      <c r="X394">
        <v>45500</v>
      </c>
      <c r="Y394">
        <v>41363.636363636302</v>
      </c>
      <c r="Z394" s="26">
        <v>46062</v>
      </c>
    </row>
    <row r="395" spans="1:26" x14ac:dyDescent="0.3">
      <c r="A395" s="50">
        <v>46061.809849537043</v>
      </c>
      <c r="B395">
        <v>2.02602081925375E+18</v>
      </c>
      <c r="C395" t="s">
        <v>4534</v>
      </c>
      <c r="D395" t="s">
        <v>4535</v>
      </c>
      <c r="E395" t="s">
        <v>4535</v>
      </c>
      <c r="F395" t="s">
        <v>4534</v>
      </c>
      <c r="G395" t="s">
        <v>4535</v>
      </c>
      <c r="H395" t="s">
        <v>4535</v>
      </c>
      <c r="I395">
        <v>16817</v>
      </c>
      <c r="J395" t="s">
        <v>4536</v>
      </c>
      <c r="K395" t="s">
        <v>4536</v>
      </c>
      <c r="L395" t="s">
        <v>2832</v>
      </c>
      <c r="M395" t="s">
        <v>2833</v>
      </c>
      <c r="N395">
        <v>54363</v>
      </c>
      <c r="O395">
        <v>45500</v>
      </c>
      <c r="P395">
        <v>1</v>
      </c>
      <c r="Q395">
        <v>0</v>
      </c>
      <c r="S395">
        <v>143790</v>
      </c>
      <c r="T395">
        <v>0</v>
      </c>
      <c r="U395" t="s">
        <v>2835</v>
      </c>
      <c r="W395" t="s">
        <v>4537</v>
      </c>
      <c r="X395">
        <v>45500</v>
      </c>
      <c r="Y395">
        <v>41363.636363636302</v>
      </c>
      <c r="Z395" s="26">
        <v>46062</v>
      </c>
    </row>
    <row r="396" spans="1:26" x14ac:dyDescent="0.3">
      <c r="A396" s="50">
        <v>46061.809745370367</v>
      </c>
      <c r="B396">
        <v>2.0260208192229901E+18</v>
      </c>
      <c r="C396" t="s">
        <v>4081</v>
      </c>
      <c r="D396" t="s">
        <v>4082</v>
      </c>
      <c r="E396" t="s">
        <v>4082</v>
      </c>
      <c r="F396" t="s">
        <v>4538</v>
      </c>
      <c r="G396" t="s">
        <v>4082</v>
      </c>
      <c r="H396" t="s">
        <v>4082</v>
      </c>
      <c r="I396">
        <v>41978</v>
      </c>
      <c r="J396" t="s">
        <v>4539</v>
      </c>
      <c r="K396" t="s">
        <v>4539</v>
      </c>
      <c r="L396" t="s">
        <v>2832</v>
      </c>
      <c r="M396" t="s">
        <v>2833</v>
      </c>
      <c r="N396">
        <v>108726</v>
      </c>
      <c r="O396">
        <v>45500</v>
      </c>
      <c r="P396">
        <v>2</v>
      </c>
      <c r="Q396">
        <v>0</v>
      </c>
      <c r="S396">
        <v>143790</v>
      </c>
      <c r="T396">
        <v>0</v>
      </c>
      <c r="U396" t="s">
        <v>2835</v>
      </c>
      <c r="W396" t="s">
        <v>4540</v>
      </c>
      <c r="X396">
        <v>91000</v>
      </c>
      <c r="Y396">
        <v>82727.272727272706</v>
      </c>
      <c r="Z396" s="26">
        <v>46062</v>
      </c>
    </row>
    <row r="397" spans="1:26" x14ac:dyDescent="0.3">
      <c r="A397" s="50">
        <v>46061.807939814818</v>
      </c>
      <c r="B397">
        <v>2.0260208192118999E+18</v>
      </c>
      <c r="C397" t="s">
        <v>4541</v>
      </c>
      <c r="D397" t="s">
        <v>4542</v>
      </c>
      <c r="E397" t="s">
        <v>4542</v>
      </c>
      <c r="F397" t="s">
        <v>4541</v>
      </c>
      <c r="G397" t="s">
        <v>4542</v>
      </c>
      <c r="H397" t="s">
        <v>4542</v>
      </c>
      <c r="I397">
        <v>11468</v>
      </c>
      <c r="J397" t="s">
        <v>4543</v>
      </c>
      <c r="K397" t="s">
        <v>4543</v>
      </c>
      <c r="L397" t="s">
        <v>2832</v>
      </c>
      <c r="M397" t="s">
        <v>2833</v>
      </c>
      <c r="N397">
        <v>54363</v>
      </c>
      <c r="O397">
        <v>45500</v>
      </c>
      <c r="P397">
        <v>1</v>
      </c>
      <c r="Q397">
        <v>0</v>
      </c>
      <c r="S397">
        <v>143790</v>
      </c>
      <c r="T397">
        <v>0</v>
      </c>
      <c r="U397" t="s">
        <v>2835</v>
      </c>
      <c r="W397" t="s">
        <v>4544</v>
      </c>
      <c r="X397">
        <v>45500</v>
      </c>
      <c r="Y397">
        <v>41363.636363636302</v>
      </c>
      <c r="Z397" s="26">
        <v>46062</v>
      </c>
    </row>
    <row r="398" spans="1:26" x14ac:dyDescent="0.3">
      <c r="A398" s="50">
        <v>46061.80232638889</v>
      </c>
      <c r="B398">
        <v>2.0260208191306399E+18</v>
      </c>
      <c r="C398" t="s">
        <v>3441</v>
      </c>
      <c r="D398" t="s">
        <v>3442</v>
      </c>
      <c r="E398" t="s">
        <v>3442</v>
      </c>
      <c r="F398" t="s">
        <v>3441</v>
      </c>
      <c r="G398" t="s">
        <v>3442</v>
      </c>
      <c r="H398" t="s">
        <v>3442</v>
      </c>
      <c r="I398">
        <v>34023</v>
      </c>
      <c r="J398" t="s">
        <v>3443</v>
      </c>
      <c r="K398" t="s">
        <v>3443</v>
      </c>
      <c r="L398" t="s">
        <v>2832</v>
      </c>
      <c r="M398" t="s">
        <v>2833</v>
      </c>
      <c r="N398">
        <v>108726</v>
      </c>
      <c r="O398">
        <v>45500</v>
      </c>
      <c r="P398">
        <v>2</v>
      </c>
      <c r="Q398">
        <v>0</v>
      </c>
      <c r="S398">
        <v>143790</v>
      </c>
      <c r="T398">
        <v>0</v>
      </c>
      <c r="U398" t="s">
        <v>2835</v>
      </c>
      <c r="W398" t="s">
        <v>4545</v>
      </c>
      <c r="X398">
        <v>91000</v>
      </c>
      <c r="Y398">
        <v>82727.272727272706</v>
      </c>
      <c r="Z398" s="26">
        <v>46062</v>
      </c>
    </row>
    <row r="399" spans="1:26" x14ac:dyDescent="0.3">
      <c r="A399" s="50">
        <v>46061.789537037039</v>
      </c>
      <c r="B399">
        <v>2.0260208185549701E+18</v>
      </c>
      <c r="C399" t="s">
        <v>4546</v>
      </c>
      <c r="D399" t="s">
        <v>4547</v>
      </c>
      <c r="E399" t="s">
        <v>4547</v>
      </c>
      <c r="F399" t="s">
        <v>4546</v>
      </c>
      <c r="G399" t="s">
        <v>4547</v>
      </c>
      <c r="H399" t="s">
        <v>4547</v>
      </c>
      <c r="I399">
        <v>17039</v>
      </c>
      <c r="J399" t="s">
        <v>4548</v>
      </c>
      <c r="K399" t="s">
        <v>4548</v>
      </c>
      <c r="L399" t="s">
        <v>2832</v>
      </c>
      <c r="M399" t="s">
        <v>2833</v>
      </c>
      <c r="N399">
        <v>54363</v>
      </c>
      <c r="O399">
        <v>45500</v>
      </c>
      <c r="P399">
        <v>1</v>
      </c>
      <c r="Q399">
        <v>0</v>
      </c>
      <c r="S399">
        <v>143790</v>
      </c>
      <c r="T399">
        <v>0</v>
      </c>
      <c r="U399" t="s">
        <v>2835</v>
      </c>
      <c r="W399" t="s">
        <v>4549</v>
      </c>
      <c r="X399">
        <v>45500</v>
      </c>
      <c r="Y399">
        <v>41363.636363636302</v>
      </c>
      <c r="Z399" s="26">
        <v>46062</v>
      </c>
    </row>
    <row r="400" spans="1:26" x14ac:dyDescent="0.3">
      <c r="A400" s="50">
        <v>46061.787511574083</v>
      </c>
      <c r="B400">
        <v>2.02602081851182E+18</v>
      </c>
      <c r="C400" t="s">
        <v>4550</v>
      </c>
      <c r="D400" t="s">
        <v>4551</v>
      </c>
      <c r="E400" t="s">
        <v>4551</v>
      </c>
      <c r="F400" t="s">
        <v>4550</v>
      </c>
      <c r="G400" t="s">
        <v>4551</v>
      </c>
      <c r="H400" t="s">
        <v>4551</v>
      </c>
      <c r="I400">
        <v>5323</v>
      </c>
      <c r="J400" t="s">
        <v>4552</v>
      </c>
      <c r="K400" t="s">
        <v>4552</v>
      </c>
      <c r="L400" t="s">
        <v>2832</v>
      </c>
      <c r="M400" t="s">
        <v>2833</v>
      </c>
      <c r="N400">
        <v>54363</v>
      </c>
      <c r="O400">
        <v>45500</v>
      </c>
      <c r="P400">
        <v>1</v>
      </c>
      <c r="Q400">
        <v>0</v>
      </c>
      <c r="S400">
        <v>143790</v>
      </c>
      <c r="T400">
        <v>0</v>
      </c>
      <c r="U400" t="s">
        <v>2835</v>
      </c>
      <c r="W400" t="s">
        <v>4553</v>
      </c>
      <c r="X400">
        <v>45500</v>
      </c>
      <c r="Y400">
        <v>41363.636363636302</v>
      </c>
      <c r="Z400" s="26">
        <v>46062</v>
      </c>
    </row>
    <row r="401" spans="1:26" x14ac:dyDescent="0.3">
      <c r="A401" s="50">
        <v>46061.779965277783</v>
      </c>
      <c r="B401">
        <v>2.02602081842179E+18</v>
      </c>
      <c r="C401" t="s">
        <v>4554</v>
      </c>
      <c r="D401" t="s">
        <v>4555</v>
      </c>
      <c r="E401" t="s">
        <v>4555</v>
      </c>
      <c r="F401" t="s">
        <v>4554</v>
      </c>
      <c r="G401" t="s">
        <v>4555</v>
      </c>
      <c r="H401" t="s">
        <v>4555</v>
      </c>
      <c r="I401">
        <v>32558</v>
      </c>
      <c r="J401" t="s">
        <v>4556</v>
      </c>
      <c r="K401" t="s">
        <v>4556</v>
      </c>
      <c r="L401" t="s">
        <v>2832</v>
      </c>
      <c r="M401" t="s">
        <v>2833</v>
      </c>
      <c r="N401">
        <v>54363</v>
      </c>
      <c r="O401">
        <v>45500</v>
      </c>
      <c r="P401">
        <v>1</v>
      </c>
      <c r="Q401">
        <v>0</v>
      </c>
      <c r="S401">
        <v>143790</v>
      </c>
      <c r="T401">
        <v>0</v>
      </c>
      <c r="U401" t="s">
        <v>2835</v>
      </c>
      <c r="W401" t="s">
        <v>4557</v>
      </c>
      <c r="X401">
        <v>45500</v>
      </c>
      <c r="Y401">
        <v>41363.636363636302</v>
      </c>
      <c r="Z401" s="26">
        <v>46062</v>
      </c>
    </row>
    <row r="402" spans="1:26" x14ac:dyDescent="0.3">
      <c r="A402" s="50">
        <v>46061.764791666668</v>
      </c>
      <c r="B402">
        <v>2.02602081819518E+18</v>
      </c>
      <c r="C402" t="s">
        <v>4558</v>
      </c>
      <c r="D402" t="s">
        <v>4559</v>
      </c>
      <c r="E402" t="s">
        <v>4559</v>
      </c>
      <c r="F402" t="s">
        <v>4558</v>
      </c>
      <c r="G402" t="s">
        <v>4559</v>
      </c>
      <c r="H402" t="s">
        <v>4559</v>
      </c>
      <c r="I402">
        <v>57237</v>
      </c>
      <c r="J402" t="s">
        <v>4560</v>
      </c>
      <c r="K402" t="s">
        <v>4560</v>
      </c>
      <c r="L402" t="s">
        <v>2832</v>
      </c>
      <c r="M402" t="s">
        <v>2833</v>
      </c>
      <c r="N402">
        <v>54363</v>
      </c>
      <c r="O402">
        <v>45500</v>
      </c>
      <c r="P402">
        <v>1</v>
      </c>
      <c r="Q402">
        <v>0</v>
      </c>
      <c r="S402">
        <v>143790</v>
      </c>
      <c r="T402">
        <v>0</v>
      </c>
      <c r="U402" t="s">
        <v>2835</v>
      </c>
      <c r="W402" t="s">
        <v>4561</v>
      </c>
      <c r="X402">
        <v>45500</v>
      </c>
      <c r="Y402">
        <v>41363.636363636302</v>
      </c>
      <c r="Z402" s="26">
        <v>46062</v>
      </c>
    </row>
    <row r="403" spans="1:26" x14ac:dyDescent="0.3">
      <c r="A403" s="50">
        <v>46061.758888888893</v>
      </c>
      <c r="B403">
        <v>2.0260208181204301E+18</v>
      </c>
      <c r="C403" t="s">
        <v>4562</v>
      </c>
      <c r="D403" t="s">
        <v>4563</v>
      </c>
      <c r="E403" t="s">
        <v>4563</v>
      </c>
      <c r="F403" t="s">
        <v>4564</v>
      </c>
      <c r="G403" t="s">
        <v>4563</v>
      </c>
      <c r="H403" t="s">
        <v>4563</v>
      </c>
      <c r="I403">
        <v>2803</v>
      </c>
      <c r="J403" t="s">
        <v>4565</v>
      </c>
      <c r="K403" t="s">
        <v>4565</v>
      </c>
      <c r="L403" t="s">
        <v>2832</v>
      </c>
      <c r="M403" t="s">
        <v>2833</v>
      </c>
      <c r="N403">
        <v>54363</v>
      </c>
      <c r="O403">
        <v>45500</v>
      </c>
      <c r="P403">
        <v>1</v>
      </c>
      <c r="Q403">
        <v>0</v>
      </c>
      <c r="S403">
        <v>143790</v>
      </c>
      <c r="T403">
        <v>0</v>
      </c>
      <c r="U403" t="s">
        <v>2835</v>
      </c>
      <c r="W403" t="s">
        <v>4566</v>
      </c>
      <c r="X403">
        <v>45500</v>
      </c>
      <c r="Y403">
        <v>41363.636363636302</v>
      </c>
      <c r="Z403" s="26">
        <v>46062</v>
      </c>
    </row>
    <row r="404" spans="1:26" x14ac:dyDescent="0.3">
      <c r="A404" s="50">
        <v>46061.753923611112</v>
      </c>
      <c r="B404">
        <v>2.0260208180349399E+18</v>
      </c>
      <c r="C404" t="s">
        <v>4567</v>
      </c>
      <c r="D404" t="s">
        <v>4568</v>
      </c>
      <c r="E404" t="s">
        <v>4568</v>
      </c>
      <c r="F404" t="s">
        <v>4569</v>
      </c>
      <c r="G404" t="s">
        <v>4570</v>
      </c>
      <c r="H404" t="s">
        <v>4570</v>
      </c>
      <c r="I404">
        <v>4901</v>
      </c>
      <c r="J404" t="s">
        <v>4571</v>
      </c>
      <c r="K404" t="s">
        <v>4571</v>
      </c>
      <c r="L404" t="s">
        <v>2832</v>
      </c>
      <c r="M404" t="s">
        <v>2833</v>
      </c>
      <c r="N404">
        <v>54363</v>
      </c>
      <c r="O404">
        <v>45500</v>
      </c>
      <c r="P404">
        <v>1</v>
      </c>
      <c r="Q404">
        <v>0</v>
      </c>
      <c r="R404" t="s">
        <v>4210</v>
      </c>
      <c r="S404">
        <v>143790</v>
      </c>
      <c r="T404">
        <v>0</v>
      </c>
      <c r="U404" t="s">
        <v>2835</v>
      </c>
      <c r="W404" t="s">
        <v>4572</v>
      </c>
      <c r="X404">
        <v>45500</v>
      </c>
      <c r="Y404">
        <v>41363.636363636302</v>
      </c>
      <c r="Z404" s="26">
        <v>46062</v>
      </c>
    </row>
    <row r="405" spans="1:26" x14ac:dyDescent="0.3">
      <c r="A405" s="50">
        <v>46061.752858796302</v>
      </c>
      <c r="B405">
        <v>2.0260208180218501E+18</v>
      </c>
      <c r="C405" t="s">
        <v>4573</v>
      </c>
      <c r="D405" t="s">
        <v>4574</v>
      </c>
      <c r="E405" t="s">
        <v>4574</v>
      </c>
      <c r="F405" t="s">
        <v>4573</v>
      </c>
      <c r="G405" t="s">
        <v>4574</v>
      </c>
      <c r="H405" t="s">
        <v>4574</v>
      </c>
      <c r="I405">
        <v>15888</v>
      </c>
      <c r="J405" t="s">
        <v>4575</v>
      </c>
      <c r="K405" t="s">
        <v>4575</v>
      </c>
      <c r="L405" t="s">
        <v>2832</v>
      </c>
      <c r="M405" t="s">
        <v>2833</v>
      </c>
      <c r="N405">
        <v>54363</v>
      </c>
      <c r="O405">
        <v>45500</v>
      </c>
      <c r="P405">
        <v>1</v>
      </c>
      <c r="Q405">
        <v>0</v>
      </c>
      <c r="S405">
        <v>143790</v>
      </c>
      <c r="T405">
        <v>0</v>
      </c>
      <c r="U405" t="s">
        <v>2835</v>
      </c>
      <c r="W405" t="s">
        <v>4576</v>
      </c>
      <c r="X405">
        <v>45500</v>
      </c>
      <c r="Y405">
        <v>41363.636363636302</v>
      </c>
      <c r="Z405" s="26">
        <v>46062</v>
      </c>
    </row>
    <row r="406" spans="1:26" x14ac:dyDescent="0.3">
      <c r="A406" s="50">
        <v>46061.742303240739</v>
      </c>
      <c r="B406">
        <v>2.0260208174533199E+18</v>
      </c>
      <c r="C406" t="s">
        <v>4577</v>
      </c>
      <c r="D406" t="s">
        <v>4578</v>
      </c>
      <c r="E406" t="s">
        <v>4578</v>
      </c>
      <c r="F406" t="s">
        <v>4577</v>
      </c>
      <c r="G406" t="s">
        <v>4578</v>
      </c>
      <c r="H406" t="s">
        <v>4578</v>
      </c>
      <c r="I406">
        <v>6998</v>
      </c>
      <c r="J406" t="s">
        <v>4579</v>
      </c>
      <c r="K406" t="s">
        <v>4579</v>
      </c>
      <c r="L406" t="s">
        <v>2832</v>
      </c>
      <c r="M406" t="s">
        <v>2833</v>
      </c>
      <c r="N406">
        <v>54363</v>
      </c>
      <c r="O406">
        <v>45500</v>
      </c>
      <c r="P406">
        <v>1</v>
      </c>
      <c r="Q406">
        <v>0</v>
      </c>
      <c r="R406" t="s">
        <v>4580</v>
      </c>
      <c r="S406">
        <v>143790</v>
      </c>
      <c r="T406">
        <v>0</v>
      </c>
      <c r="U406" t="s">
        <v>2835</v>
      </c>
      <c r="W406" t="s">
        <v>4581</v>
      </c>
      <c r="X406">
        <v>45500</v>
      </c>
      <c r="Y406">
        <v>41363.636363636302</v>
      </c>
      <c r="Z406" s="26">
        <v>46062</v>
      </c>
    </row>
    <row r="407" spans="1:26" x14ac:dyDescent="0.3">
      <c r="A407" s="50">
        <v>46061.742199074077</v>
      </c>
      <c r="B407">
        <v>2.0260208174738801E+18</v>
      </c>
      <c r="C407" t="s">
        <v>4582</v>
      </c>
      <c r="D407" t="s">
        <v>4583</v>
      </c>
      <c r="E407" t="s">
        <v>4583</v>
      </c>
      <c r="F407" t="s">
        <v>4582</v>
      </c>
      <c r="G407" t="s">
        <v>4583</v>
      </c>
      <c r="H407" t="s">
        <v>4583</v>
      </c>
      <c r="I407">
        <v>12777</v>
      </c>
      <c r="J407" t="s">
        <v>4584</v>
      </c>
      <c r="K407" t="s">
        <v>4584</v>
      </c>
      <c r="L407" t="s">
        <v>2832</v>
      </c>
      <c r="M407" t="s">
        <v>2833</v>
      </c>
      <c r="N407">
        <v>54363</v>
      </c>
      <c r="O407">
        <v>45500</v>
      </c>
      <c r="P407">
        <v>1</v>
      </c>
      <c r="Q407">
        <v>0</v>
      </c>
      <c r="S407">
        <v>143790</v>
      </c>
      <c r="T407">
        <v>0</v>
      </c>
      <c r="U407" t="s">
        <v>2835</v>
      </c>
      <c r="W407" t="s">
        <v>4585</v>
      </c>
      <c r="X407">
        <v>45500</v>
      </c>
      <c r="Y407">
        <v>41363.636363636302</v>
      </c>
      <c r="Z407" s="26">
        <v>46062</v>
      </c>
    </row>
    <row r="408" spans="1:26" x14ac:dyDescent="0.3">
      <c r="A408" s="50">
        <v>46061.73877314815</v>
      </c>
      <c r="B408">
        <v>2.02602081739326E+18</v>
      </c>
      <c r="C408" t="s">
        <v>4586</v>
      </c>
      <c r="D408" t="s">
        <v>4587</v>
      </c>
      <c r="E408" t="s">
        <v>4587</v>
      </c>
      <c r="F408" t="s">
        <v>4586</v>
      </c>
      <c r="G408" t="s">
        <v>4587</v>
      </c>
      <c r="H408" t="s">
        <v>4587</v>
      </c>
      <c r="I408">
        <v>24230</v>
      </c>
      <c r="J408" t="s">
        <v>4588</v>
      </c>
      <c r="K408" t="s">
        <v>4588</v>
      </c>
      <c r="L408" t="s">
        <v>2832</v>
      </c>
      <c r="M408" t="s">
        <v>2833</v>
      </c>
      <c r="N408">
        <v>54363</v>
      </c>
      <c r="O408">
        <v>45500</v>
      </c>
      <c r="P408">
        <v>1</v>
      </c>
      <c r="Q408">
        <v>0</v>
      </c>
      <c r="R408" t="s">
        <v>4589</v>
      </c>
      <c r="S408">
        <v>143790</v>
      </c>
      <c r="T408">
        <v>0</v>
      </c>
      <c r="U408" t="s">
        <v>2835</v>
      </c>
      <c r="W408" t="s">
        <v>4590</v>
      </c>
      <c r="X408">
        <v>45500</v>
      </c>
      <c r="Y408">
        <v>41363.636363636302</v>
      </c>
      <c r="Z408" s="26">
        <v>46062</v>
      </c>
    </row>
    <row r="409" spans="1:26" x14ac:dyDescent="0.3">
      <c r="A409" s="50">
        <v>46061.634780092587</v>
      </c>
      <c r="B409">
        <v>2.02602081512415E+18</v>
      </c>
      <c r="C409" t="s">
        <v>4591</v>
      </c>
      <c r="D409" t="s">
        <v>4592</v>
      </c>
      <c r="E409" t="s">
        <v>4592</v>
      </c>
      <c r="F409" t="s">
        <v>4591</v>
      </c>
      <c r="G409" t="s">
        <v>4592</v>
      </c>
      <c r="H409" t="s">
        <v>4592</v>
      </c>
      <c r="I409">
        <v>52128</v>
      </c>
      <c r="J409" t="s">
        <v>4593</v>
      </c>
      <c r="K409" t="s">
        <v>4593</v>
      </c>
      <c r="L409" t="s">
        <v>2832</v>
      </c>
      <c r="M409" t="s">
        <v>2833</v>
      </c>
      <c r="N409">
        <v>54363</v>
      </c>
      <c r="O409">
        <v>45500</v>
      </c>
      <c r="P409">
        <v>1</v>
      </c>
      <c r="Q409">
        <v>0</v>
      </c>
      <c r="S409">
        <v>143790</v>
      </c>
      <c r="T409">
        <v>0</v>
      </c>
      <c r="U409" t="s">
        <v>2835</v>
      </c>
      <c r="W409" t="s">
        <v>4594</v>
      </c>
      <c r="X409">
        <v>45500</v>
      </c>
      <c r="Y409">
        <v>41363.636363636302</v>
      </c>
      <c r="Z409" s="26">
        <v>46062</v>
      </c>
    </row>
    <row r="410" spans="1:26" x14ac:dyDescent="0.3">
      <c r="A410" s="50">
        <v>46061.605949074074</v>
      </c>
      <c r="B410">
        <v>2.02602081430526E+18</v>
      </c>
      <c r="C410" t="s">
        <v>4595</v>
      </c>
      <c r="D410" t="s">
        <v>4596</v>
      </c>
      <c r="E410" t="s">
        <v>4596</v>
      </c>
      <c r="F410" t="s">
        <v>4597</v>
      </c>
      <c r="G410" t="s">
        <v>4598</v>
      </c>
      <c r="H410" t="s">
        <v>4598</v>
      </c>
      <c r="I410">
        <v>15011</v>
      </c>
      <c r="J410" t="s">
        <v>4599</v>
      </c>
      <c r="K410" t="s">
        <v>4599</v>
      </c>
      <c r="L410" t="s">
        <v>2832</v>
      </c>
      <c r="M410" t="s">
        <v>2833</v>
      </c>
      <c r="N410">
        <v>54363</v>
      </c>
      <c r="O410">
        <v>45500</v>
      </c>
      <c r="P410">
        <v>1</v>
      </c>
      <c r="Q410">
        <v>0</v>
      </c>
      <c r="S410">
        <v>143790</v>
      </c>
      <c r="T410">
        <v>0</v>
      </c>
      <c r="U410" t="s">
        <v>2835</v>
      </c>
      <c r="W410" t="s">
        <v>4600</v>
      </c>
      <c r="X410">
        <v>45500</v>
      </c>
      <c r="Y410">
        <v>41363.636363636302</v>
      </c>
      <c r="Z410" s="26">
        <v>46062</v>
      </c>
    </row>
    <row r="411" spans="1:26" x14ac:dyDescent="0.3">
      <c r="A411" s="50">
        <v>46061.603229166663</v>
      </c>
      <c r="B411">
        <v>2.0260208142653399E+18</v>
      </c>
      <c r="C411" t="s">
        <v>4595</v>
      </c>
      <c r="D411" t="s">
        <v>4596</v>
      </c>
      <c r="E411" t="s">
        <v>4596</v>
      </c>
      <c r="F411" t="s">
        <v>4601</v>
      </c>
      <c r="G411" t="s">
        <v>4602</v>
      </c>
      <c r="H411" t="s">
        <v>4602</v>
      </c>
      <c r="I411">
        <v>63062</v>
      </c>
      <c r="J411" t="s">
        <v>4603</v>
      </c>
      <c r="K411" t="s">
        <v>4603</v>
      </c>
      <c r="L411" t="s">
        <v>2832</v>
      </c>
      <c r="M411" t="s">
        <v>2833</v>
      </c>
      <c r="N411">
        <v>54363</v>
      </c>
      <c r="O411">
        <v>45500</v>
      </c>
      <c r="P411">
        <v>1</v>
      </c>
      <c r="Q411">
        <v>0</v>
      </c>
      <c r="S411">
        <v>143790</v>
      </c>
      <c r="T411">
        <v>0</v>
      </c>
      <c r="U411" t="s">
        <v>2835</v>
      </c>
      <c r="W411" t="s">
        <v>4604</v>
      </c>
      <c r="X411">
        <v>45500</v>
      </c>
      <c r="Y411">
        <v>41363.636363636302</v>
      </c>
      <c r="Z411" s="26">
        <v>46062</v>
      </c>
    </row>
    <row r="412" spans="1:26" x14ac:dyDescent="0.3">
      <c r="A412" s="50">
        <v>46061.596400462957</v>
      </c>
      <c r="B412">
        <v>2.02602081417554E+18</v>
      </c>
      <c r="C412" t="s">
        <v>4605</v>
      </c>
      <c r="D412" t="s">
        <v>4606</v>
      </c>
      <c r="E412" t="s">
        <v>4606</v>
      </c>
      <c r="F412" t="s">
        <v>4607</v>
      </c>
      <c r="G412" t="s">
        <v>4608</v>
      </c>
      <c r="H412" t="s">
        <v>4608</v>
      </c>
      <c r="I412">
        <v>10364</v>
      </c>
      <c r="J412" t="s">
        <v>4609</v>
      </c>
      <c r="K412" t="s">
        <v>4609</v>
      </c>
      <c r="L412" t="s">
        <v>2832</v>
      </c>
      <c r="M412" t="s">
        <v>2833</v>
      </c>
      <c r="N412">
        <v>54363</v>
      </c>
      <c r="O412">
        <v>45500</v>
      </c>
      <c r="P412">
        <v>1</v>
      </c>
      <c r="Q412">
        <v>0</v>
      </c>
      <c r="S412">
        <v>143790</v>
      </c>
      <c r="T412">
        <v>0</v>
      </c>
      <c r="U412" t="s">
        <v>2835</v>
      </c>
      <c r="W412" t="s">
        <v>4610</v>
      </c>
      <c r="X412">
        <v>45500</v>
      </c>
      <c r="Y412">
        <v>41363.636363636302</v>
      </c>
      <c r="Z412" s="26">
        <v>46062</v>
      </c>
    </row>
    <row r="413" spans="1:26" x14ac:dyDescent="0.3">
      <c r="A413" s="50">
        <v>46061.590011574073</v>
      </c>
      <c r="B413">
        <v>2.0260208140811899E+18</v>
      </c>
      <c r="C413" t="s">
        <v>4605</v>
      </c>
      <c r="D413" t="s">
        <v>4606</v>
      </c>
      <c r="E413" t="s">
        <v>4606</v>
      </c>
      <c r="F413" t="s">
        <v>4611</v>
      </c>
      <c r="G413" t="s">
        <v>4612</v>
      </c>
      <c r="H413" t="s">
        <v>4612</v>
      </c>
      <c r="I413">
        <v>10543</v>
      </c>
      <c r="J413" t="s">
        <v>4613</v>
      </c>
      <c r="K413" t="s">
        <v>4613</v>
      </c>
      <c r="L413" t="s">
        <v>2832</v>
      </c>
      <c r="M413" t="s">
        <v>2833</v>
      </c>
      <c r="N413">
        <v>54363</v>
      </c>
      <c r="O413">
        <v>45500</v>
      </c>
      <c r="P413">
        <v>1</v>
      </c>
      <c r="Q413">
        <v>0</v>
      </c>
      <c r="S413">
        <v>143790</v>
      </c>
      <c r="T413">
        <v>0</v>
      </c>
      <c r="U413" t="s">
        <v>2835</v>
      </c>
      <c r="W413" t="s">
        <v>4614</v>
      </c>
      <c r="X413">
        <v>45500</v>
      </c>
      <c r="Y413">
        <v>41363.636363636302</v>
      </c>
      <c r="Z413" s="26">
        <v>46062</v>
      </c>
    </row>
    <row r="414" spans="1:26" x14ac:dyDescent="0.3">
      <c r="A414" s="50">
        <v>46061.557581018518</v>
      </c>
      <c r="B414">
        <v>2.0260208132033999E+18</v>
      </c>
      <c r="C414" t="s">
        <v>4615</v>
      </c>
      <c r="D414" t="s">
        <v>4616</v>
      </c>
      <c r="E414" t="s">
        <v>4616</v>
      </c>
      <c r="F414" t="s">
        <v>4617</v>
      </c>
      <c r="G414" t="s">
        <v>4618</v>
      </c>
      <c r="H414" t="s">
        <v>4618</v>
      </c>
      <c r="I414">
        <v>41838</v>
      </c>
      <c r="J414" t="s">
        <v>4619</v>
      </c>
      <c r="K414" t="s">
        <v>4619</v>
      </c>
      <c r="L414" t="s">
        <v>2832</v>
      </c>
      <c r="M414" t="s">
        <v>2833</v>
      </c>
      <c r="N414">
        <v>108726</v>
      </c>
      <c r="O414">
        <v>45500</v>
      </c>
      <c r="P414">
        <v>2</v>
      </c>
      <c r="Q414">
        <v>0</v>
      </c>
      <c r="S414">
        <v>143790</v>
      </c>
      <c r="T414">
        <v>0</v>
      </c>
      <c r="U414" t="s">
        <v>2835</v>
      </c>
      <c r="W414" t="s">
        <v>4620</v>
      </c>
      <c r="X414">
        <v>91000</v>
      </c>
      <c r="Y414">
        <v>82727.272727272706</v>
      </c>
      <c r="Z414" s="26">
        <v>46062</v>
      </c>
    </row>
    <row r="415" spans="1:26" x14ac:dyDescent="0.3">
      <c r="A415" s="50">
        <v>46061.538715277777</v>
      </c>
      <c r="B415">
        <v>2.02602081254462E+18</v>
      </c>
      <c r="C415" t="s">
        <v>4605</v>
      </c>
      <c r="D415" t="s">
        <v>4606</v>
      </c>
      <c r="E415" t="s">
        <v>4606</v>
      </c>
      <c r="F415" t="s">
        <v>4621</v>
      </c>
      <c r="G415" t="s">
        <v>4622</v>
      </c>
      <c r="H415" t="s">
        <v>4622</v>
      </c>
      <c r="I415">
        <v>6083</v>
      </c>
      <c r="J415" t="s">
        <v>4623</v>
      </c>
      <c r="K415" t="s">
        <v>4623</v>
      </c>
      <c r="L415" t="s">
        <v>2832</v>
      </c>
      <c r="M415" t="s">
        <v>2833</v>
      </c>
      <c r="N415">
        <v>54363</v>
      </c>
      <c r="O415">
        <v>45500</v>
      </c>
      <c r="P415">
        <v>1</v>
      </c>
      <c r="Q415">
        <v>0</v>
      </c>
      <c r="S415">
        <v>143790</v>
      </c>
      <c r="T415">
        <v>0</v>
      </c>
      <c r="U415" t="s">
        <v>2835</v>
      </c>
      <c r="W415" t="s">
        <v>4624</v>
      </c>
      <c r="X415">
        <v>45500</v>
      </c>
      <c r="Y415">
        <v>41363.636363636302</v>
      </c>
      <c r="Z415" s="26">
        <v>46062</v>
      </c>
    </row>
    <row r="416" spans="1:26" x14ac:dyDescent="0.3">
      <c r="A416" s="50">
        <v>46061.533854166657</v>
      </c>
      <c r="B416">
        <v>2.0260208124821399E+18</v>
      </c>
      <c r="C416" t="s">
        <v>4625</v>
      </c>
      <c r="D416" t="s">
        <v>4626</v>
      </c>
      <c r="E416" t="s">
        <v>4626</v>
      </c>
      <c r="F416" t="s">
        <v>4625</v>
      </c>
      <c r="G416" t="s">
        <v>4626</v>
      </c>
      <c r="H416" t="s">
        <v>4626</v>
      </c>
      <c r="I416">
        <v>16224</v>
      </c>
      <c r="J416" t="s">
        <v>4627</v>
      </c>
      <c r="K416" t="s">
        <v>4627</v>
      </c>
      <c r="L416" t="s">
        <v>2832</v>
      </c>
      <c r="M416" t="s">
        <v>2833</v>
      </c>
      <c r="N416">
        <v>54363</v>
      </c>
      <c r="O416">
        <v>45500</v>
      </c>
      <c r="P416">
        <v>1</v>
      </c>
      <c r="Q416">
        <v>0</v>
      </c>
      <c r="S416">
        <v>143790</v>
      </c>
      <c r="T416">
        <v>0</v>
      </c>
      <c r="U416" t="s">
        <v>2835</v>
      </c>
      <c r="W416" t="s">
        <v>4628</v>
      </c>
      <c r="X416">
        <v>45500</v>
      </c>
      <c r="Y416">
        <v>41363.636363636302</v>
      </c>
      <c r="Z416" s="26">
        <v>46062</v>
      </c>
    </row>
    <row r="417" spans="1:26" x14ac:dyDescent="0.3">
      <c r="A417" s="50">
        <v>46061.526724537027</v>
      </c>
      <c r="B417">
        <v>2.0260208123745999E+18</v>
      </c>
      <c r="C417" t="s">
        <v>4605</v>
      </c>
      <c r="D417" t="s">
        <v>4606</v>
      </c>
      <c r="E417" t="s">
        <v>4606</v>
      </c>
      <c r="F417" t="s">
        <v>3204</v>
      </c>
      <c r="G417" t="s">
        <v>4629</v>
      </c>
      <c r="H417" t="s">
        <v>4629</v>
      </c>
      <c r="I417">
        <v>14742</v>
      </c>
      <c r="J417" t="s">
        <v>4630</v>
      </c>
      <c r="K417" t="s">
        <v>4630</v>
      </c>
      <c r="L417" t="s">
        <v>2832</v>
      </c>
      <c r="M417" t="s">
        <v>2833</v>
      </c>
      <c r="N417">
        <v>54363</v>
      </c>
      <c r="O417">
        <v>45500</v>
      </c>
      <c r="P417">
        <v>1</v>
      </c>
      <c r="Q417">
        <v>0</v>
      </c>
      <c r="S417">
        <v>143790</v>
      </c>
      <c r="T417">
        <v>0</v>
      </c>
      <c r="U417" t="s">
        <v>2835</v>
      </c>
      <c r="W417" t="s">
        <v>4631</v>
      </c>
      <c r="X417">
        <v>45500</v>
      </c>
      <c r="Y417">
        <v>41363.636363636302</v>
      </c>
      <c r="Z417" s="26">
        <v>46062</v>
      </c>
    </row>
    <row r="418" spans="1:26" x14ac:dyDescent="0.3">
      <c r="A418" s="50">
        <v>46061.523182870369</v>
      </c>
      <c r="B418">
        <v>2.02602081232383E+18</v>
      </c>
      <c r="C418" t="s">
        <v>4605</v>
      </c>
      <c r="D418" t="s">
        <v>4606</v>
      </c>
      <c r="E418" t="s">
        <v>4606</v>
      </c>
      <c r="F418" t="s">
        <v>4632</v>
      </c>
      <c r="G418" t="s">
        <v>4633</v>
      </c>
      <c r="H418" t="s">
        <v>4633</v>
      </c>
      <c r="I418">
        <v>11346</v>
      </c>
      <c r="J418" t="s">
        <v>4634</v>
      </c>
      <c r="K418" t="s">
        <v>4634</v>
      </c>
      <c r="L418" t="s">
        <v>2832</v>
      </c>
      <c r="M418" t="s">
        <v>2833</v>
      </c>
      <c r="N418">
        <v>54363</v>
      </c>
      <c r="O418">
        <v>45500</v>
      </c>
      <c r="P418">
        <v>1</v>
      </c>
      <c r="Q418">
        <v>0</v>
      </c>
      <c r="S418">
        <v>143790</v>
      </c>
      <c r="T418">
        <v>0</v>
      </c>
      <c r="U418" t="s">
        <v>2835</v>
      </c>
      <c r="W418" t="s">
        <v>4635</v>
      </c>
      <c r="X418">
        <v>45500</v>
      </c>
      <c r="Y418">
        <v>41363.636363636302</v>
      </c>
      <c r="Z418" s="26">
        <v>46062</v>
      </c>
    </row>
    <row r="419" spans="1:26" x14ac:dyDescent="0.3">
      <c r="A419" s="50">
        <v>46061.521481481483</v>
      </c>
      <c r="B419">
        <v>2.02602081228477E+18</v>
      </c>
      <c r="C419" t="s">
        <v>4605</v>
      </c>
      <c r="D419" t="s">
        <v>4606</v>
      </c>
      <c r="E419" t="s">
        <v>4606</v>
      </c>
      <c r="F419" t="s">
        <v>4636</v>
      </c>
      <c r="G419" t="s">
        <v>4637</v>
      </c>
      <c r="H419" t="s">
        <v>4637</v>
      </c>
      <c r="I419">
        <v>18492</v>
      </c>
      <c r="J419" t="s">
        <v>4638</v>
      </c>
      <c r="K419" t="s">
        <v>4638</v>
      </c>
      <c r="L419" t="s">
        <v>2832</v>
      </c>
      <c r="M419" t="s">
        <v>2833</v>
      </c>
      <c r="N419">
        <v>54363</v>
      </c>
      <c r="O419">
        <v>45500</v>
      </c>
      <c r="P419">
        <v>1</v>
      </c>
      <c r="Q419">
        <v>0</v>
      </c>
      <c r="S419">
        <v>143790</v>
      </c>
      <c r="T419">
        <v>0</v>
      </c>
      <c r="U419" t="s">
        <v>2835</v>
      </c>
      <c r="W419" t="s">
        <v>4639</v>
      </c>
      <c r="X419">
        <v>45500</v>
      </c>
      <c r="Y419">
        <v>41363.636363636302</v>
      </c>
      <c r="Z419" s="26">
        <v>46062</v>
      </c>
    </row>
    <row r="420" spans="1:26" x14ac:dyDescent="0.3">
      <c r="A420" s="50">
        <v>46061.518738425933</v>
      </c>
      <c r="B420">
        <v>2.02602081225441E+18</v>
      </c>
      <c r="C420" t="s">
        <v>4605</v>
      </c>
      <c r="D420" t="s">
        <v>4606</v>
      </c>
      <c r="E420" t="s">
        <v>4606</v>
      </c>
      <c r="F420" t="s">
        <v>4640</v>
      </c>
      <c r="G420" t="s">
        <v>4641</v>
      </c>
      <c r="H420" t="s">
        <v>4641</v>
      </c>
      <c r="I420">
        <v>12253</v>
      </c>
      <c r="J420" t="s">
        <v>4642</v>
      </c>
      <c r="K420" t="s">
        <v>4642</v>
      </c>
      <c r="L420" t="s">
        <v>2832</v>
      </c>
      <c r="M420" t="s">
        <v>2833</v>
      </c>
      <c r="N420">
        <v>54363</v>
      </c>
      <c r="O420">
        <v>45500</v>
      </c>
      <c r="P420">
        <v>1</v>
      </c>
      <c r="Q420">
        <v>0</v>
      </c>
      <c r="S420">
        <v>143790</v>
      </c>
      <c r="T420">
        <v>0</v>
      </c>
      <c r="U420" t="s">
        <v>2835</v>
      </c>
      <c r="W420" t="s">
        <v>4643</v>
      </c>
      <c r="X420">
        <v>45500</v>
      </c>
      <c r="Y420">
        <v>41363.636363636302</v>
      </c>
      <c r="Z420" s="26">
        <v>46062</v>
      </c>
    </row>
    <row r="421" spans="1:26" x14ac:dyDescent="0.3">
      <c r="A421" s="50">
        <v>46061.516423611109</v>
      </c>
      <c r="B421">
        <v>2.0260208122208699E+18</v>
      </c>
      <c r="C421" t="s">
        <v>4644</v>
      </c>
      <c r="D421" t="s">
        <v>4645</v>
      </c>
      <c r="E421" t="s">
        <v>4645</v>
      </c>
      <c r="F421" t="s">
        <v>4644</v>
      </c>
      <c r="G421" t="s">
        <v>4645</v>
      </c>
      <c r="H421" t="s">
        <v>4645</v>
      </c>
      <c r="I421">
        <v>47054</v>
      </c>
      <c r="J421" t="s">
        <v>4646</v>
      </c>
      <c r="K421" t="s">
        <v>4646</v>
      </c>
      <c r="L421" t="s">
        <v>2832</v>
      </c>
      <c r="M421" t="s">
        <v>2833</v>
      </c>
      <c r="N421">
        <v>54363</v>
      </c>
      <c r="O421">
        <v>45500</v>
      </c>
      <c r="P421">
        <v>1</v>
      </c>
      <c r="Q421">
        <v>0</v>
      </c>
      <c r="R421" t="s">
        <v>4647</v>
      </c>
      <c r="S421">
        <v>143790</v>
      </c>
      <c r="T421">
        <v>0</v>
      </c>
      <c r="U421" t="s">
        <v>2835</v>
      </c>
      <c r="W421" t="s">
        <v>4648</v>
      </c>
      <c r="X421">
        <v>45500</v>
      </c>
      <c r="Y421">
        <v>41363.636363636302</v>
      </c>
      <c r="Z421" s="26">
        <v>46062</v>
      </c>
    </row>
    <row r="422" spans="1:26" x14ac:dyDescent="0.3">
      <c r="A422" s="50">
        <v>46061.509432870371</v>
      </c>
      <c r="B422">
        <v>2.0260208121309299E+18</v>
      </c>
      <c r="C422" t="s">
        <v>4649</v>
      </c>
      <c r="D422" t="s">
        <v>4650</v>
      </c>
      <c r="E422" t="s">
        <v>4650</v>
      </c>
      <c r="F422" t="s">
        <v>4649</v>
      </c>
      <c r="G422" t="s">
        <v>4650</v>
      </c>
      <c r="H422" t="s">
        <v>4650</v>
      </c>
      <c r="I422">
        <v>28416</v>
      </c>
      <c r="J422" t="s">
        <v>4651</v>
      </c>
      <c r="K422" t="s">
        <v>4651</v>
      </c>
      <c r="L422" t="s">
        <v>2832</v>
      </c>
      <c r="M422" t="s">
        <v>2833</v>
      </c>
      <c r="N422">
        <v>54363</v>
      </c>
      <c r="O422">
        <v>45500</v>
      </c>
      <c r="P422">
        <v>1</v>
      </c>
      <c r="Q422">
        <v>0</v>
      </c>
      <c r="R422" t="s">
        <v>3271</v>
      </c>
      <c r="S422">
        <v>143790</v>
      </c>
      <c r="T422">
        <v>0</v>
      </c>
      <c r="U422" t="s">
        <v>2835</v>
      </c>
      <c r="W422" t="s">
        <v>4652</v>
      </c>
      <c r="X422">
        <v>45500</v>
      </c>
      <c r="Y422">
        <v>41363.636363636302</v>
      </c>
      <c r="Z422" s="26">
        <v>46062</v>
      </c>
    </row>
    <row r="423" spans="1:26" x14ac:dyDescent="0.3">
      <c r="A423" s="50">
        <v>46061.424976851849</v>
      </c>
      <c r="B423">
        <v>2.0260208101034299E+18</v>
      </c>
      <c r="C423" t="s">
        <v>4653</v>
      </c>
      <c r="D423" t="s">
        <v>4654</v>
      </c>
      <c r="E423" t="s">
        <v>4654</v>
      </c>
      <c r="F423" t="s">
        <v>4653</v>
      </c>
      <c r="G423" t="s">
        <v>4654</v>
      </c>
      <c r="H423" t="s">
        <v>4654</v>
      </c>
      <c r="I423">
        <v>8106</v>
      </c>
      <c r="J423" t="s">
        <v>4655</v>
      </c>
      <c r="K423" t="s">
        <v>4655</v>
      </c>
      <c r="L423" t="s">
        <v>2832</v>
      </c>
      <c r="M423" t="s">
        <v>2833</v>
      </c>
      <c r="N423">
        <v>54363</v>
      </c>
      <c r="O423">
        <v>45500</v>
      </c>
      <c r="P423">
        <v>1</v>
      </c>
      <c r="Q423">
        <v>0</v>
      </c>
      <c r="S423">
        <v>143790</v>
      </c>
      <c r="T423">
        <v>0</v>
      </c>
      <c r="U423" t="s">
        <v>2835</v>
      </c>
      <c r="W423" t="s">
        <v>4656</v>
      </c>
      <c r="X423">
        <v>45500</v>
      </c>
      <c r="Y423">
        <v>41363.636363636302</v>
      </c>
      <c r="Z423" s="26">
        <v>46062</v>
      </c>
    </row>
    <row r="424" spans="1:26" x14ac:dyDescent="0.3">
      <c r="A424" s="50">
        <v>46061.420219907413</v>
      </c>
      <c r="B424">
        <v>2.0260208100358999E+18</v>
      </c>
      <c r="C424" t="s">
        <v>4657</v>
      </c>
      <c r="D424" t="s">
        <v>4658</v>
      </c>
      <c r="E424" t="s">
        <v>4658</v>
      </c>
      <c r="F424" t="s">
        <v>4657</v>
      </c>
      <c r="G424" t="s">
        <v>4658</v>
      </c>
      <c r="H424" t="s">
        <v>4658</v>
      </c>
      <c r="I424">
        <v>12771</v>
      </c>
      <c r="J424" t="s">
        <v>4659</v>
      </c>
      <c r="K424" t="s">
        <v>4659</v>
      </c>
      <c r="L424" t="s">
        <v>2832</v>
      </c>
      <c r="M424" t="s">
        <v>2833</v>
      </c>
      <c r="N424">
        <v>163089</v>
      </c>
      <c r="O424">
        <v>45500</v>
      </c>
      <c r="P424">
        <v>3</v>
      </c>
      <c r="Q424">
        <v>0</v>
      </c>
      <c r="S424">
        <v>143790</v>
      </c>
      <c r="T424">
        <v>0</v>
      </c>
      <c r="U424" t="s">
        <v>2835</v>
      </c>
      <c r="W424" t="s">
        <v>4660</v>
      </c>
      <c r="X424">
        <v>136500</v>
      </c>
      <c r="Y424">
        <v>124090.909090909</v>
      </c>
      <c r="Z424" s="26">
        <v>46062</v>
      </c>
    </row>
    <row r="425" spans="1:26" x14ac:dyDescent="0.3">
      <c r="A425" s="50">
        <v>46061.403020833342</v>
      </c>
      <c r="B425">
        <v>2.02602080939091E+18</v>
      </c>
      <c r="C425" t="s">
        <v>4661</v>
      </c>
      <c r="D425" t="s">
        <v>4662</v>
      </c>
      <c r="E425" t="s">
        <v>4662</v>
      </c>
      <c r="F425" t="s">
        <v>4661</v>
      </c>
      <c r="G425" t="s">
        <v>4662</v>
      </c>
      <c r="H425" t="s">
        <v>4662</v>
      </c>
      <c r="I425">
        <v>28615</v>
      </c>
      <c r="J425" t="s">
        <v>4663</v>
      </c>
      <c r="K425" t="s">
        <v>4663</v>
      </c>
      <c r="L425" t="s">
        <v>2832</v>
      </c>
      <c r="M425" t="s">
        <v>2833</v>
      </c>
      <c r="N425">
        <v>54363</v>
      </c>
      <c r="O425">
        <v>45500</v>
      </c>
      <c r="P425">
        <v>1</v>
      </c>
      <c r="Q425">
        <v>0</v>
      </c>
      <c r="S425">
        <v>143790</v>
      </c>
      <c r="T425">
        <v>0</v>
      </c>
      <c r="U425" t="s">
        <v>2835</v>
      </c>
      <c r="W425" t="s">
        <v>4664</v>
      </c>
      <c r="X425">
        <v>45500</v>
      </c>
      <c r="Y425">
        <v>41363.636363636302</v>
      </c>
      <c r="Z425" s="26">
        <v>46062</v>
      </c>
    </row>
    <row r="426" spans="1:26" x14ac:dyDescent="0.3">
      <c r="A426" s="50">
        <v>46060.967476851853</v>
      </c>
      <c r="B426">
        <v>2.0260207230925801E+18</v>
      </c>
      <c r="C426" t="s">
        <v>4665</v>
      </c>
      <c r="D426" t="s">
        <v>4666</v>
      </c>
      <c r="E426" t="s">
        <v>4666</v>
      </c>
      <c r="F426" t="s">
        <v>4667</v>
      </c>
      <c r="G426" t="s">
        <v>4668</v>
      </c>
      <c r="H426" t="s">
        <v>4668</v>
      </c>
      <c r="I426">
        <v>7651</v>
      </c>
      <c r="J426" t="s">
        <v>4669</v>
      </c>
      <c r="K426" t="s">
        <v>4669</v>
      </c>
      <c r="L426" t="s">
        <v>2832</v>
      </c>
      <c r="M426" t="s">
        <v>2833</v>
      </c>
      <c r="N426">
        <v>54363</v>
      </c>
      <c r="O426">
        <v>45500</v>
      </c>
      <c r="P426">
        <v>1</v>
      </c>
      <c r="Q426">
        <v>0</v>
      </c>
      <c r="R426" t="s">
        <v>4670</v>
      </c>
      <c r="S426">
        <v>143790</v>
      </c>
      <c r="T426">
        <v>0</v>
      </c>
      <c r="U426" t="s">
        <v>2835</v>
      </c>
      <c r="W426" t="s">
        <v>4671</v>
      </c>
      <c r="X426">
        <v>45500</v>
      </c>
      <c r="Y426">
        <v>41363.636363636302</v>
      </c>
      <c r="Z426" s="26">
        <v>46062</v>
      </c>
    </row>
    <row r="427" spans="1:26" x14ac:dyDescent="0.3">
      <c r="A427" s="50">
        <v>46060.954502314817</v>
      </c>
      <c r="B427">
        <v>2.02602072254033E+18</v>
      </c>
      <c r="C427" t="s">
        <v>4672</v>
      </c>
      <c r="D427" t="s">
        <v>4673</v>
      </c>
      <c r="E427" t="s">
        <v>4673</v>
      </c>
      <c r="F427" t="s">
        <v>4672</v>
      </c>
      <c r="G427" t="s">
        <v>4673</v>
      </c>
      <c r="H427" t="s">
        <v>4673</v>
      </c>
      <c r="I427">
        <v>1461</v>
      </c>
      <c r="J427" t="s">
        <v>4674</v>
      </c>
      <c r="K427" t="s">
        <v>4674</v>
      </c>
      <c r="L427" t="s">
        <v>2832</v>
      </c>
      <c r="M427" t="s">
        <v>2833</v>
      </c>
      <c r="N427">
        <v>54363</v>
      </c>
      <c r="O427">
        <v>45500</v>
      </c>
      <c r="P427">
        <v>1</v>
      </c>
      <c r="Q427">
        <v>0</v>
      </c>
      <c r="S427">
        <v>143790</v>
      </c>
      <c r="T427">
        <v>0</v>
      </c>
      <c r="U427" t="s">
        <v>2835</v>
      </c>
      <c r="W427" t="s">
        <v>4675</v>
      </c>
      <c r="X427">
        <v>45500</v>
      </c>
      <c r="Y427">
        <v>41363.636363636302</v>
      </c>
      <c r="Z427" s="26">
        <v>46062</v>
      </c>
    </row>
    <row r="428" spans="1:26" x14ac:dyDescent="0.3">
      <c r="A428" s="50">
        <v>46060.785532407397</v>
      </c>
      <c r="B428">
        <v>2.0260207184200901E+18</v>
      </c>
      <c r="C428" t="s">
        <v>4676</v>
      </c>
      <c r="D428" t="s">
        <v>4677</v>
      </c>
      <c r="E428" t="s">
        <v>4677</v>
      </c>
      <c r="F428" t="s">
        <v>4678</v>
      </c>
      <c r="G428" t="s">
        <v>4679</v>
      </c>
      <c r="H428" t="s">
        <v>4679</v>
      </c>
      <c r="I428">
        <v>58227</v>
      </c>
      <c r="J428" t="s">
        <v>4680</v>
      </c>
      <c r="K428" t="s">
        <v>4680</v>
      </c>
      <c r="L428" t="s">
        <v>2832</v>
      </c>
      <c r="M428" t="s">
        <v>2833</v>
      </c>
      <c r="N428">
        <v>54363</v>
      </c>
      <c r="O428">
        <v>45500</v>
      </c>
      <c r="P428">
        <v>1</v>
      </c>
      <c r="Q428">
        <v>0</v>
      </c>
      <c r="R428" t="s">
        <v>4681</v>
      </c>
      <c r="S428">
        <v>143790</v>
      </c>
      <c r="T428">
        <v>0</v>
      </c>
      <c r="U428" t="s">
        <v>2835</v>
      </c>
      <c r="W428" t="s">
        <v>4682</v>
      </c>
      <c r="X428">
        <v>45500</v>
      </c>
      <c r="Y428">
        <v>41363.636363636302</v>
      </c>
      <c r="Z428" s="26">
        <v>46062</v>
      </c>
    </row>
    <row r="429" spans="1:26" x14ac:dyDescent="0.3">
      <c r="A429" s="50">
        <v>46060.78528935185</v>
      </c>
      <c r="B429">
        <v>2.0260207184436101E+18</v>
      </c>
      <c r="C429" t="s">
        <v>4683</v>
      </c>
      <c r="D429" t="s">
        <v>4684</v>
      </c>
      <c r="E429" t="s">
        <v>4684</v>
      </c>
      <c r="F429" t="s">
        <v>4685</v>
      </c>
      <c r="G429" t="s">
        <v>4686</v>
      </c>
      <c r="H429" t="s">
        <v>4686</v>
      </c>
      <c r="I429">
        <v>36419</v>
      </c>
      <c r="J429" t="s">
        <v>4687</v>
      </c>
      <c r="K429" t="s">
        <v>4687</v>
      </c>
      <c r="L429" t="s">
        <v>2832</v>
      </c>
      <c r="M429" t="s">
        <v>2833</v>
      </c>
      <c r="N429">
        <v>54363</v>
      </c>
      <c r="O429">
        <v>45500</v>
      </c>
      <c r="P429">
        <v>1</v>
      </c>
      <c r="Q429">
        <v>0</v>
      </c>
      <c r="R429" t="s">
        <v>4688</v>
      </c>
      <c r="S429">
        <v>143790</v>
      </c>
      <c r="T429">
        <v>0</v>
      </c>
      <c r="U429" t="s">
        <v>2835</v>
      </c>
      <c r="W429" t="s">
        <v>4689</v>
      </c>
      <c r="X429">
        <v>45500</v>
      </c>
      <c r="Y429">
        <v>41363.636363636302</v>
      </c>
      <c r="Z429" s="26">
        <v>46062</v>
      </c>
    </row>
    <row r="430" spans="1:26" x14ac:dyDescent="0.3">
      <c r="A430" s="50">
        <v>46060.773472222223</v>
      </c>
      <c r="B430">
        <v>2.0260207183328399E+18</v>
      </c>
      <c r="C430" t="s">
        <v>4690</v>
      </c>
      <c r="D430" t="s">
        <v>4691</v>
      </c>
      <c r="E430" t="s">
        <v>4691</v>
      </c>
      <c r="F430" t="s">
        <v>4690</v>
      </c>
      <c r="G430" t="s">
        <v>4691</v>
      </c>
      <c r="H430" t="s">
        <v>4691</v>
      </c>
      <c r="I430">
        <v>11803</v>
      </c>
      <c r="J430" t="s">
        <v>4692</v>
      </c>
      <c r="K430" t="s">
        <v>4692</v>
      </c>
      <c r="L430" t="s">
        <v>2832</v>
      </c>
      <c r="M430" t="s">
        <v>2833</v>
      </c>
      <c r="N430">
        <v>54363</v>
      </c>
      <c r="O430">
        <v>45500</v>
      </c>
      <c r="P430">
        <v>1</v>
      </c>
      <c r="Q430">
        <v>0</v>
      </c>
      <c r="S430">
        <v>143790</v>
      </c>
      <c r="T430">
        <v>0</v>
      </c>
      <c r="U430" t="s">
        <v>2835</v>
      </c>
      <c r="W430" t="s">
        <v>4693</v>
      </c>
      <c r="X430">
        <v>45500</v>
      </c>
      <c r="Y430">
        <v>41363.636363636302</v>
      </c>
      <c r="Z430" s="26">
        <v>46062</v>
      </c>
    </row>
    <row r="431" spans="1:26" x14ac:dyDescent="0.3">
      <c r="A431" s="50">
        <v>46060.749178240738</v>
      </c>
      <c r="B431">
        <v>2.0260207175720699E+18</v>
      </c>
      <c r="C431" t="s">
        <v>4694</v>
      </c>
      <c r="D431" t="s">
        <v>4695</v>
      </c>
      <c r="E431" t="s">
        <v>4695</v>
      </c>
      <c r="F431" t="s">
        <v>4696</v>
      </c>
      <c r="G431" t="s">
        <v>4697</v>
      </c>
      <c r="H431" t="s">
        <v>4697</v>
      </c>
      <c r="I431">
        <v>55349</v>
      </c>
      <c r="J431" t="s">
        <v>4698</v>
      </c>
      <c r="K431" t="s">
        <v>4698</v>
      </c>
      <c r="L431" t="s">
        <v>2832</v>
      </c>
      <c r="M431" t="s">
        <v>2833</v>
      </c>
      <c r="N431">
        <v>108726</v>
      </c>
      <c r="O431">
        <v>45500</v>
      </c>
      <c r="P431">
        <v>2</v>
      </c>
      <c r="Q431">
        <v>0</v>
      </c>
      <c r="S431">
        <v>143790</v>
      </c>
      <c r="T431">
        <v>0</v>
      </c>
      <c r="U431" t="s">
        <v>2835</v>
      </c>
      <c r="W431" t="s">
        <v>4699</v>
      </c>
      <c r="X431">
        <v>91000</v>
      </c>
      <c r="Y431">
        <v>82727.272727272706</v>
      </c>
      <c r="Z431" s="26">
        <v>46062</v>
      </c>
    </row>
    <row r="432" spans="1:26" x14ac:dyDescent="0.3">
      <c r="A432" s="50">
        <v>46060.734351851846</v>
      </c>
      <c r="B432">
        <v>2.0260207173531599E+18</v>
      </c>
      <c r="C432" t="s">
        <v>4700</v>
      </c>
      <c r="D432" t="s">
        <v>4701</v>
      </c>
      <c r="E432" t="s">
        <v>4701</v>
      </c>
      <c r="F432" t="s">
        <v>4702</v>
      </c>
      <c r="G432" t="s">
        <v>4703</v>
      </c>
      <c r="H432" t="s">
        <v>4703</v>
      </c>
      <c r="I432">
        <v>1440</v>
      </c>
      <c r="J432" t="s">
        <v>4704</v>
      </c>
      <c r="K432" t="s">
        <v>4704</v>
      </c>
      <c r="L432" t="s">
        <v>2832</v>
      </c>
      <c r="M432" t="s">
        <v>2833</v>
      </c>
      <c r="N432">
        <v>54363</v>
      </c>
      <c r="O432">
        <v>45500</v>
      </c>
      <c r="P432">
        <v>1</v>
      </c>
      <c r="Q432">
        <v>0</v>
      </c>
      <c r="S432">
        <v>143790</v>
      </c>
      <c r="T432">
        <v>0</v>
      </c>
      <c r="U432" t="s">
        <v>2835</v>
      </c>
      <c r="W432" t="s">
        <v>4705</v>
      </c>
      <c r="X432">
        <v>45500</v>
      </c>
      <c r="Y432">
        <v>41363.636363636302</v>
      </c>
      <c r="Z432" s="26">
        <v>46062</v>
      </c>
    </row>
    <row r="433" spans="1:26" x14ac:dyDescent="0.3">
      <c r="A433" s="50">
        <v>46060.727372685193</v>
      </c>
      <c r="B433">
        <v>2.0260207172626099E+18</v>
      </c>
      <c r="C433" t="s">
        <v>4706</v>
      </c>
      <c r="D433" t="s">
        <v>4707</v>
      </c>
      <c r="E433" t="s">
        <v>4707</v>
      </c>
      <c r="F433" t="s">
        <v>4708</v>
      </c>
      <c r="G433" t="s">
        <v>4709</v>
      </c>
      <c r="H433" t="s">
        <v>4709</v>
      </c>
      <c r="I433">
        <v>56348</v>
      </c>
      <c r="J433" t="s">
        <v>4710</v>
      </c>
      <c r="K433" t="s">
        <v>4710</v>
      </c>
      <c r="L433" t="s">
        <v>2832</v>
      </c>
      <c r="M433" t="s">
        <v>2833</v>
      </c>
      <c r="N433">
        <v>54363</v>
      </c>
      <c r="O433">
        <v>45500</v>
      </c>
      <c r="P433">
        <v>1</v>
      </c>
      <c r="Q433">
        <v>0</v>
      </c>
      <c r="S433">
        <v>143790</v>
      </c>
      <c r="T433">
        <v>0</v>
      </c>
      <c r="U433" t="s">
        <v>2835</v>
      </c>
      <c r="W433" t="s">
        <v>4711</v>
      </c>
      <c r="X433">
        <v>45500</v>
      </c>
      <c r="Y433">
        <v>41363.636363636302</v>
      </c>
      <c r="Z433" s="26">
        <v>46062</v>
      </c>
    </row>
    <row r="434" spans="1:26" x14ac:dyDescent="0.3">
      <c r="A434" s="50">
        <v>46060.72693287037</v>
      </c>
      <c r="B434">
        <v>2.0260207172507599E+18</v>
      </c>
      <c r="C434" t="s">
        <v>4700</v>
      </c>
      <c r="D434" t="s">
        <v>4701</v>
      </c>
      <c r="E434" t="s">
        <v>4701</v>
      </c>
      <c r="F434" t="s">
        <v>4712</v>
      </c>
      <c r="G434" t="s">
        <v>4713</v>
      </c>
      <c r="H434" t="s">
        <v>4713</v>
      </c>
      <c r="I434">
        <v>16953</v>
      </c>
      <c r="J434" t="s">
        <v>4714</v>
      </c>
      <c r="K434" t="s">
        <v>4714</v>
      </c>
      <c r="L434" t="s">
        <v>2832</v>
      </c>
      <c r="M434" t="s">
        <v>2833</v>
      </c>
      <c r="N434">
        <v>54363</v>
      </c>
      <c r="O434">
        <v>45500</v>
      </c>
      <c r="P434">
        <v>1</v>
      </c>
      <c r="Q434">
        <v>0</v>
      </c>
      <c r="S434">
        <v>143790</v>
      </c>
      <c r="T434">
        <v>0</v>
      </c>
      <c r="U434" t="s">
        <v>2835</v>
      </c>
      <c r="W434" t="s">
        <v>4715</v>
      </c>
      <c r="X434">
        <v>45500</v>
      </c>
      <c r="Y434">
        <v>41363.636363636302</v>
      </c>
      <c r="Z434" s="26">
        <v>46062</v>
      </c>
    </row>
    <row r="435" spans="1:26" x14ac:dyDescent="0.3">
      <c r="A435" s="50">
        <v>46060.715914351851</v>
      </c>
      <c r="B435">
        <v>2.0260207170851799E+18</v>
      </c>
      <c r="C435" t="s">
        <v>4716</v>
      </c>
      <c r="D435" t="s">
        <v>4717</v>
      </c>
      <c r="E435" t="s">
        <v>4717</v>
      </c>
      <c r="F435" t="s">
        <v>4716</v>
      </c>
      <c r="G435" t="s">
        <v>4717</v>
      </c>
      <c r="H435" t="s">
        <v>4717</v>
      </c>
      <c r="I435">
        <v>6195</v>
      </c>
      <c r="J435" t="s">
        <v>4718</v>
      </c>
      <c r="K435" t="s">
        <v>4718</v>
      </c>
      <c r="L435" t="s">
        <v>2832</v>
      </c>
      <c r="M435" t="s">
        <v>2833</v>
      </c>
      <c r="N435">
        <v>54363</v>
      </c>
      <c r="O435">
        <v>45500</v>
      </c>
      <c r="P435">
        <v>1</v>
      </c>
      <c r="Q435">
        <v>0</v>
      </c>
      <c r="S435">
        <v>143790</v>
      </c>
      <c r="T435">
        <v>0</v>
      </c>
      <c r="U435" t="s">
        <v>2835</v>
      </c>
      <c r="W435" t="s">
        <v>4719</v>
      </c>
      <c r="X435">
        <v>45500</v>
      </c>
      <c r="Y435">
        <v>41363.636363636302</v>
      </c>
      <c r="Z435" s="26">
        <v>46062</v>
      </c>
    </row>
    <row r="436" spans="1:26" x14ac:dyDescent="0.3">
      <c r="A436" s="50">
        <v>46060.680694444447</v>
      </c>
      <c r="B436">
        <v>2.0260207161914501E+18</v>
      </c>
      <c r="C436" t="s">
        <v>4720</v>
      </c>
      <c r="D436" t="s">
        <v>4721</v>
      </c>
      <c r="E436" t="s">
        <v>4721</v>
      </c>
      <c r="F436" t="s">
        <v>4720</v>
      </c>
      <c r="G436" t="s">
        <v>4721</v>
      </c>
      <c r="H436" t="s">
        <v>4721</v>
      </c>
      <c r="I436">
        <v>7070</v>
      </c>
      <c r="J436" t="s">
        <v>4722</v>
      </c>
      <c r="K436" t="s">
        <v>4722</v>
      </c>
      <c r="L436" t="s">
        <v>2832</v>
      </c>
      <c r="M436" t="s">
        <v>2833</v>
      </c>
      <c r="N436">
        <v>108726</v>
      </c>
      <c r="O436">
        <v>45500</v>
      </c>
      <c r="P436">
        <v>2</v>
      </c>
      <c r="Q436">
        <v>0</v>
      </c>
      <c r="R436" t="s">
        <v>4723</v>
      </c>
      <c r="S436">
        <v>143790</v>
      </c>
      <c r="T436">
        <v>0</v>
      </c>
      <c r="U436" t="s">
        <v>2835</v>
      </c>
      <c r="W436" t="s">
        <v>4724</v>
      </c>
      <c r="X436">
        <v>91000</v>
      </c>
      <c r="Y436">
        <v>82727.272727272706</v>
      </c>
      <c r="Z436" s="26">
        <v>46062</v>
      </c>
    </row>
    <row r="437" spans="1:26" x14ac:dyDescent="0.3">
      <c r="A437" s="50">
        <v>46060.676712962973</v>
      </c>
      <c r="B437">
        <v>2.02602071613293E+18</v>
      </c>
      <c r="C437" t="s">
        <v>4725</v>
      </c>
      <c r="D437" t="s">
        <v>4726</v>
      </c>
      <c r="E437" t="s">
        <v>4726</v>
      </c>
      <c r="F437" t="s">
        <v>4725</v>
      </c>
      <c r="G437" t="s">
        <v>4726</v>
      </c>
      <c r="H437" t="s">
        <v>4726</v>
      </c>
      <c r="I437">
        <v>1387</v>
      </c>
      <c r="J437" t="s">
        <v>4727</v>
      </c>
      <c r="K437" t="s">
        <v>4727</v>
      </c>
      <c r="L437" t="s">
        <v>2832</v>
      </c>
      <c r="M437" t="s">
        <v>2833</v>
      </c>
      <c r="N437">
        <v>54363</v>
      </c>
      <c r="O437">
        <v>45500</v>
      </c>
      <c r="P437">
        <v>1</v>
      </c>
      <c r="Q437">
        <v>0</v>
      </c>
      <c r="S437">
        <v>143790</v>
      </c>
      <c r="T437">
        <v>0</v>
      </c>
      <c r="U437" t="s">
        <v>2835</v>
      </c>
      <c r="W437" t="s">
        <v>4728</v>
      </c>
      <c r="X437">
        <v>45500</v>
      </c>
      <c r="Y437">
        <v>41363.636363636302</v>
      </c>
      <c r="Z437" s="26">
        <v>46062</v>
      </c>
    </row>
    <row r="438" spans="1:26" x14ac:dyDescent="0.3">
      <c r="A438" s="50">
        <v>46060.661423611113</v>
      </c>
      <c r="B438">
        <v>2.0260207154808901E+18</v>
      </c>
      <c r="C438" t="s">
        <v>3291</v>
      </c>
      <c r="D438" t="s">
        <v>4729</v>
      </c>
      <c r="E438" t="s">
        <v>4729</v>
      </c>
      <c r="F438" t="s">
        <v>4730</v>
      </c>
      <c r="G438" t="s">
        <v>4731</v>
      </c>
      <c r="H438" t="s">
        <v>4731</v>
      </c>
      <c r="I438">
        <v>62076</v>
      </c>
      <c r="J438" t="s">
        <v>4732</v>
      </c>
      <c r="K438" t="s">
        <v>4732</v>
      </c>
      <c r="L438" t="s">
        <v>2832</v>
      </c>
      <c r="M438" t="s">
        <v>2833</v>
      </c>
      <c r="N438">
        <v>54363</v>
      </c>
      <c r="O438">
        <v>45500</v>
      </c>
      <c r="P438">
        <v>1</v>
      </c>
      <c r="Q438">
        <v>0</v>
      </c>
      <c r="R438" t="s">
        <v>4733</v>
      </c>
      <c r="S438">
        <v>143790</v>
      </c>
      <c r="T438">
        <v>0</v>
      </c>
      <c r="U438" t="s">
        <v>2835</v>
      </c>
      <c r="W438" t="s">
        <v>4734</v>
      </c>
      <c r="X438">
        <v>45500</v>
      </c>
      <c r="Y438">
        <v>41363.636363636302</v>
      </c>
      <c r="Z438" s="26">
        <v>46062</v>
      </c>
    </row>
    <row r="439" spans="1:26" x14ac:dyDescent="0.3">
      <c r="A439" s="50">
        <v>46060.658067129632</v>
      </c>
      <c r="B439">
        <v>2.0260207154655401E+18</v>
      </c>
      <c r="C439" t="s">
        <v>4735</v>
      </c>
      <c r="D439" t="s">
        <v>4736</v>
      </c>
      <c r="E439" t="s">
        <v>4736</v>
      </c>
      <c r="F439" t="s">
        <v>4735</v>
      </c>
      <c r="G439" t="s">
        <v>4736</v>
      </c>
      <c r="H439" t="s">
        <v>4736</v>
      </c>
      <c r="I439">
        <v>15259</v>
      </c>
      <c r="J439" t="s">
        <v>4737</v>
      </c>
      <c r="K439" t="s">
        <v>4737</v>
      </c>
      <c r="L439" t="s">
        <v>2832</v>
      </c>
      <c r="M439" t="s">
        <v>2833</v>
      </c>
      <c r="N439">
        <v>54363</v>
      </c>
      <c r="O439">
        <v>45500</v>
      </c>
      <c r="P439">
        <v>1</v>
      </c>
      <c r="Q439">
        <v>0</v>
      </c>
      <c r="S439">
        <v>143790</v>
      </c>
      <c r="T439">
        <v>0</v>
      </c>
      <c r="U439" t="s">
        <v>2835</v>
      </c>
      <c r="W439" t="s">
        <v>4738</v>
      </c>
      <c r="X439">
        <v>45500</v>
      </c>
      <c r="Y439">
        <v>41363.636363636302</v>
      </c>
      <c r="Z439" s="26">
        <v>46062</v>
      </c>
    </row>
    <row r="440" spans="1:26" x14ac:dyDescent="0.3">
      <c r="A440" s="50">
        <v>46060.641793981478</v>
      </c>
      <c r="B440">
        <v>2.02602071521458E+18</v>
      </c>
      <c r="C440" t="s">
        <v>4739</v>
      </c>
      <c r="D440" t="s">
        <v>4740</v>
      </c>
      <c r="E440" t="s">
        <v>4740</v>
      </c>
      <c r="F440" t="s">
        <v>4741</v>
      </c>
      <c r="G440" t="s">
        <v>4742</v>
      </c>
      <c r="H440" t="s">
        <v>4742</v>
      </c>
      <c r="I440">
        <v>37931</v>
      </c>
      <c r="J440" t="s">
        <v>4743</v>
      </c>
      <c r="K440" t="s">
        <v>4743</v>
      </c>
      <c r="L440" t="s">
        <v>2832</v>
      </c>
      <c r="M440" t="s">
        <v>2833</v>
      </c>
      <c r="N440">
        <v>54363</v>
      </c>
      <c r="O440">
        <v>45500</v>
      </c>
      <c r="P440">
        <v>1</v>
      </c>
      <c r="Q440">
        <v>0</v>
      </c>
      <c r="S440">
        <v>143790</v>
      </c>
      <c r="T440">
        <v>0</v>
      </c>
      <c r="U440" t="s">
        <v>2835</v>
      </c>
      <c r="W440" t="s">
        <v>4744</v>
      </c>
      <c r="X440">
        <v>45500</v>
      </c>
      <c r="Y440">
        <v>41363.636363636302</v>
      </c>
      <c r="Z440" s="26">
        <v>46062</v>
      </c>
    </row>
    <row r="441" spans="1:26" x14ac:dyDescent="0.3">
      <c r="A441" s="50">
        <v>46060.571793981479</v>
      </c>
      <c r="B441">
        <v>2.02602071341539E+18</v>
      </c>
      <c r="C441" t="s">
        <v>4745</v>
      </c>
      <c r="D441" t="s">
        <v>4746</v>
      </c>
      <c r="E441" t="s">
        <v>4746</v>
      </c>
      <c r="F441" t="s">
        <v>4747</v>
      </c>
      <c r="G441" t="s">
        <v>4748</v>
      </c>
      <c r="H441" t="s">
        <v>4748</v>
      </c>
      <c r="I441">
        <v>51671</v>
      </c>
      <c r="J441" t="s">
        <v>4749</v>
      </c>
      <c r="K441" t="s">
        <v>4749</v>
      </c>
      <c r="L441" t="s">
        <v>2832</v>
      </c>
      <c r="M441" t="s">
        <v>2833</v>
      </c>
      <c r="N441">
        <v>108726</v>
      </c>
      <c r="O441">
        <v>45500</v>
      </c>
      <c r="P441">
        <v>2</v>
      </c>
      <c r="Q441">
        <v>0</v>
      </c>
      <c r="S441">
        <v>143790</v>
      </c>
      <c r="T441">
        <v>0</v>
      </c>
      <c r="U441" t="s">
        <v>2835</v>
      </c>
      <c r="W441" t="s">
        <v>4750</v>
      </c>
      <c r="X441">
        <v>91000</v>
      </c>
      <c r="Y441">
        <v>82727.272727272706</v>
      </c>
      <c r="Z441" s="26">
        <v>46062</v>
      </c>
    </row>
    <row r="442" spans="1:26" x14ac:dyDescent="0.3">
      <c r="A442" s="50">
        <v>46060.570057870369</v>
      </c>
      <c r="B442">
        <v>2.0260207133936699E+18</v>
      </c>
      <c r="C442" t="s">
        <v>4745</v>
      </c>
      <c r="D442" t="s">
        <v>4746</v>
      </c>
      <c r="E442" t="s">
        <v>4746</v>
      </c>
      <c r="F442" t="s">
        <v>4751</v>
      </c>
      <c r="G442" t="s">
        <v>4752</v>
      </c>
      <c r="H442" t="s">
        <v>4752</v>
      </c>
      <c r="I442">
        <v>51674</v>
      </c>
      <c r="J442" t="s">
        <v>4753</v>
      </c>
      <c r="K442" t="s">
        <v>4753</v>
      </c>
      <c r="L442" t="s">
        <v>2832</v>
      </c>
      <c r="M442" t="s">
        <v>2833</v>
      </c>
      <c r="N442">
        <v>108726</v>
      </c>
      <c r="O442">
        <v>45500</v>
      </c>
      <c r="P442">
        <v>2</v>
      </c>
      <c r="Q442">
        <v>0</v>
      </c>
      <c r="S442">
        <v>143790</v>
      </c>
      <c r="T442">
        <v>0</v>
      </c>
      <c r="U442" t="s">
        <v>2835</v>
      </c>
      <c r="W442" t="s">
        <v>4754</v>
      </c>
      <c r="X442">
        <v>91000</v>
      </c>
      <c r="Y442">
        <v>82727.272727272706</v>
      </c>
      <c r="Z442" s="26">
        <v>46062</v>
      </c>
    </row>
    <row r="443" spans="1:26" x14ac:dyDescent="0.3">
      <c r="A443" s="50">
        <v>46060.567453703698</v>
      </c>
      <c r="B443">
        <v>2.0260207133418601E+18</v>
      </c>
      <c r="C443" t="s">
        <v>4745</v>
      </c>
      <c r="D443" t="s">
        <v>4746</v>
      </c>
      <c r="E443" t="s">
        <v>4746</v>
      </c>
      <c r="F443" t="s">
        <v>4755</v>
      </c>
      <c r="G443" t="s">
        <v>4756</v>
      </c>
      <c r="H443" t="s">
        <v>4756</v>
      </c>
      <c r="I443">
        <v>51696</v>
      </c>
      <c r="J443" t="s">
        <v>4757</v>
      </c>
      <c r="K443" t="s">
        <v>4757</v>
      </c>
      <c r="L443" t="s">
        <v>2832</v>
      </c>
      <c r="M443" t="s">
        <v>2833</v>
      </c>
      <c r="N443">
        <v>108726</v>
      </c>
      <c r="O443">
        <v>45500</v>
      </c>
      <c r="P443">
        <v>2</v>
      </c>
      <c r="Q443">
        <v>0</v>
      </c>
      <c r="S443">
        <v>143790</v>
      </c>
      <c r="T443">
        <v>0</v>
      </c>
      <c r="U443" t="s">
        <v>2835</v>
      </c>
      <c r="W443" t="s">
        <v>4758</v>
      </c>
      <c r="X443">
        <v>91000</v>
      </c>
      <c r="Y443">
        <v>82727.272727272706</v>
      </c>
      <c r="Z443" s="26">
        <v>46062</v>
      </c>
    </row>
    <row r="444" spans="1:26" x14ac:dyDescent="0.3">
      <c r="A444" s="50">
        <v>46060.560636574082</v>
      </c>
      <c r="B444">
        <v>2.02602071326035E+18</v>
      </c>
      <c r="C444" t="s">
        <v>4759</v>
      </c>
      <c r="D444" t="s">
        <v>4760</v>
      </c>
      <c r="E444" t="s">
        <v>4760</v>
      </c>
      <c r="F444" t="s">
        <v>4759</v>
      </c>
      <c r="G444" t="s">
        <v>4760</v>
      </c>
      <c r="H444" t="s">
        <v>4760</v>
      </c>
      <c r="I444">
        <v>31151</v>
      </c>
      <c r="J444" t="s">
        <v>4761</v>
      </c>
      <c r="K444" t="s">
        <v>4761</v>
      </c>
      <c r="L444" t="s">
        <v>2832</v>
      </c>
      <c r="M444" t="s">
        <v>2833</v>
      </c>
      <c r="N444">
        <v>54363</v>
      </c>
      <c r="O444">
        <v>45500</v>
      </c>
      <c r="P444">
        <v>1</v>
      </c>
      <c r="Q444">
        <v>0</v>
      </c>
      <c r="S444">
        <v>143790</v>
      </c>
      <c r="T444">
        <v>0</v>
      </c>
      <c r="U444" t="s">
        <v>2835</v>
      </c>
      <c r="W444" t="s">
        <v>4762</v>
      </c>
      <c r="X444">
        <v>45500</v>
      </c>
      <c r="Y444">
        <v>41363.636363636302</v>
      </c>
      <c r="Z444" s="26">
        <v>46062</v>
      </c>
    </row>
    <row r="445" spans="1:26" x14ac:dyDescent="0.3">
      <c r="A445" s="50">
        <v>46060.551377314812</v>
      </c>
      <c r="B445">
        <v>2.02602071311325E+18</v>
      </c>
      <c r="C445" t="s">
        <v>4763</v>
      </c>
      <c r="D445" t="s">
        <v>4764</v>
      </c>
      <c r="E445" t="s">
        <v>4764</v>
      </c>
      <c r="F445" t="s">
        <v>4763</v>
      </c>
      <c r="G445" t="s">
        <v>4764</v>
      </c>
      <c r="H445" t="s">
        <v>4764</v>
      </c>
      <c r="I445">
        <v>7344</v>
      </c>
      <c r="J445" t="s">
        <v>4765</v>
      </c>
      <c r="K445" t="s">
        <v>4765</v>
      </c>
      <c r="L445" t="s">
        <v>2832</v>
      </c>
      <c r="M445" t="s">
        <v>2833</v>
      </c>
      <c r="N445">
        <v>54363</v>
      </c>
      <c r="O445">
        <v>45500</v>
      </c>
      <c r="P445">
        <v>1</v>
      </c>
      <c r="Q445">
        <v>0</v>
      </c>
      <c r="S445">
        <v>143790</v>
      </c>
      <c r="T445">
        <v>0</v>
      </c>
      <c r="U445" t="s">
        <v>2835</v>
      </c>
      <c r="W445" t="s">
        <v>4766</v>
      </c>
      <c r="X445">
        <v>45500</v>
      </c>
      <c r="Y445">
        <v>41363.636363636302</v>
      </c>
      <c r="Z445" s="26">
        <v>46062</v>
      </c>
    </row>
    <row r="446" spans="1:26" x14ac:dyDescent="0.3">
      <c r="A446" s="50">
        <v>46060.549351851849</v>
      </c>
      <c r="B446">
        <v>2.02602071309345E+18</v>
      </c>
      <c r="C446" t="s">
        <v>4767</v>
      </c>
      <c r="D446" t="s">
        <v>4768</v>
      </c>
      <c r="E446" t="s">
        <v>4768</v>
      </c>
      <c r="F446" t="s">
        <v>4767</v>
      </c>
      <c r="G446" t="s">
        <v>4768</v>
      </c>
      <c r="H446" t="s">
        <v>4768</v>
      </c>
      <c r="I446">
        <v>27404</v>
      </c>
      <c r="J446" t="s">
        <v>4769</v>
      </c>
      <c r="K446" t="s">
        <v>4769</v>
      </c>
      <c r="L446" t="s">
        <v>2832</v>
      </c>
      <c r="M446" t="s">
        <v>2833</v>
      </c>
      <c r="N446">
        <v>54363</v>
      </c>
      <c r="O446">
        <v>45500</v>
      </c>
      <c r="P446">
        <v>1</v>
      </c>
      <c r="Q446">
        <v>0</v>
      </c>
      <c r="S446">
        <v>143790</v>
      </c>
      <c r="T446">
        <v>0</v>
      </c>
      <c r="U446" t="s">
        <v>2835</v>
      </c>
      <c r="W446" t="s">
        <v>4770</v>
      </c>
      <c r="X446">
        <v>45500</v>
      </c>
      <c r="Y446">
        <v>41363.636363636302</v>
      </c>
      <c r="Z446" s="26">
        <v>46062</v>
      </c>
    </row>
    <row r="447" spans="1:26" x14ac:dyDescent="0.3">
      <c r="A447" s="50">
        <v>46060.53224537037</v>
      </c>
      <c r="B447">
        <v>2.02602071244413E+18</v>
      </c>
      <c r="C447" t="s">
        <v>4771</v>
      </c>
      <c r="D447" t="s">
        <v>4772</v>
      </c>
      <c r="E447" t="s">
        <v>4772</v>
      </c>
      <c r="F447" t="s">
        <v>4773</v>
      </c>
      <c r="G447" t="s">
        <v>4774</v>
      </c>
      <c r="H447" t="s">
        <v>4774</v>
      </c>
      <c r="I447">
        <v>4193</v>
      </c>
      <c r="J447" t="s">
        <v>4775</v>
      </c>
      <c r="K447" t="s">
        <v>4775</v>
      </c>
      <c r="L447" t="s">
        <v>2832</v>
      </c>
      <c r="M447" t="s">
        <v>2833</v>
      </c>
      <c r="N447">
        <v>54363</v>
      </c>
      <c r="O447">
        <v>45500</v>
      </c>
      <c r="P447">
        <v>1</v>
      </c>
      <c r="Q447">
        <v>0</v>
      </c>
      <c r="S447">
        <v>143790</v>
      </c>
      <c r="T447">
        <v>0</v>
      </c>
      <c r="U447" t="s">
        <v>2835</v>
      </c>
      <c r="W447" t="s">
        <v>4776</v>
      </c>
      <c r="X447">
        <v>45500</v>
      </c>
      <c r="Y447">
        <v>41363.636363636302</v>
      </c>
      <c r="Z447" s="26">
        <v>46062</v>
      </c>
    </row>
    <row r="448" spans="1:26" x14ac:dyDescent="0.3">
      <c r="A448" s="50">
        <v>46060.512361111112</v>
      </c>
      <c r="B448">
        <v>2.02602071213501E+18</v>
      </c>
      <c r="C448" t="s">
        <v>3002</v>
      </c>
      <c r="D448" t="s">
        <v>3001</v>
      </c>
      <c r="E448" t="s">
        <v>3001</v>
      </c>
      <c r="F448" t="s">
        <v>4777</v>
      </c>
      <c r="G448" t="s">
        <v>4778</v>
      </c>
      <c r="H448" t="s">
        <v>4778</v>
      </c>
      <c r="I448">
        <v>58116</v>
      </c>
      <c r="J448" t="s">
        <v>4779</v>
      </c>
      <c r="K448" t="s">
        <v>4779</v>
      </c>
      <c r="L448" t="s">
        <v>2832</v>
      </c>
      <c r="M448" t="s">
        <v>2833</v>
      </c>
      <c r="N448">
        <v>54363</v>
      </c>
      <c r="O448">
        <v>45500</v>
      </c>
      <c r="P448">
        <v>1</v>
      </c>
      <c r="Q448">
        <v>0</v>
      </c>
      <c r="S448">
        <v>143790</v>
      </c>
      <c r="T448">
        <v>0</v>
      </c>
      <c r="U448" t="s">
        <v>2835</v>
      </c>
      <c r="W448" t="s">
        <v>4780</v>
      </c>
      <c r="X448">
        <v>45500</v>
      </c>
      <c r="Y448">
        <v>41363.636363636302</v>
      </c>
      <c r="Z448" s="26">
        <v>46062</v>
      </c>
    </row>
    <row r="449" spans="1:26" x14ac:dyDescent="0.3">
      <c r="A449" s="50">
        <v>46060.483993055554</v>
      </c>
      <c r="B449">
        <v>2.0260207113601001E+18</v>
      </c>
      <c r="C449" t="s">
        <v>4781</v>
      </c>
      <c r="D449" t="s">
        <v>4782</v>
      </c>
      <c r="E449" t="s">
        <v>4782</v>
      </c>
      <c r="F449" t="s">
        <v>4781</v>
      </c>
      <c r="G449" t="s">
        <v>4782</v>
      </c>
      <c r="H449" t="s">
        <v>4782</v>
      </c>
      <c r="I449">
        <v>44026</v>
      </c>
      <c r="J449" t="s">
        <v>4783</v>
      </c>
      <c r="K449" t="s">
        <v>4783</v>
      </c>
      <c r="L449" t="s">
        <v>2832</v>
      </c>
      <c r="M449" t="s">
        <v>2833</v>
      </c>
      <c r="N449">
        <v>54363</v>
      </c>
      <c r="O449">
        <v>45500</v>
      </c>
      <c r="P449">
        <v>1</v>
      </c>
      <c r="Q449">
        <v>0</v>
      </c>
      <c r="S449">
        <v>143790</v>
      </c>
      <c r="T449">
        <v>0</v>
      </c>
      <c r="U449" t="s">
        <v>2835</v>
      </c>
      <c r="W449" t="s">
        <v>4784</v>
      </c>
      <c r="X449">
        <v>45500</v>
      </c>
      <c r="Y449">
        <v>41363.636363636302</v>
      </c>
      <c r="Z449" s="26">
        <v>46062</v>
      </c>
    </row>
    <row r="450" spans="1:26" x14ac:dyDescent="0.3">
      <c r="A450" s="50">
        <v>46060.481759259259</v>
      </c>
      <c r="B450">
        <v>2.0260207113215099E+18</v>
      </c>
      <c r="C450" t="s">
        <v>4503</v>
      </c>
      <c r="D450" t="s">
        <v>4504</v>
      </c>
      <c r="E450" t="s">
        <v>4504</v>
      </c>
      <c r="F450" t="s">
        <v>4503</v>
      </c>
      <c r="G450" t="s">
        <v>4504</v>
      </c>
      <c r="H450" t="s">
        <v>4504</v>
      </c>
      <c r="I450">
        <v>17954</v>
      </c>
      <c r="J450" t="s">
        <v>4785</v>
      </c>
      <c r="K450" t="s">
        <v>4785</v>
      </c>
      <c r="L450" t="s">
        <v>2832</v>
      </c>
      <c r="M450" t="s">
        <v>2833</v>
      </c>
      <c r="N450">
        <v>54363</v>
      </c>
      <c r="O450">
        <v>45500</v>
      </c>
      <c r="P450">
        <v>1</v>
      </c>
      <c r="Q450">
        <v>0</v>
      </c>
      <c r="S450">
        <v>143790</v>
      </c>
      <c r="T450">
        <v>0</v>
      </c>
      <c r="U450" t="s">
        <v>2835</v>
      </c>
      <c r="W450" t="s">
        <v>4786</v>
      </c>
      <c r="X450">
        <v>45500</v>
      </c>
      <c r="Y450">
        <v>41363.636363636302</v>
      </c>
      <c r="Z450" s="26">
        <v>46062</v>
      </c>
    </row>
    <row r="451" spans="1:26" x14ac:dyDescent="0.3">
      <c r="A451" s="50">
        <v>46060.467789351853</v>
      </c>
      <c r="B451">
        <v>2.0260207111112901E+18</v>
      </c>
      <c r="C451" t="s">
        <v>4787</v>
      </c>
      <c r="D451" t="s">
        <v>4788</v>
      </c>
      <c r="E451" t="s">
        <v>4788</v>
      </c>
      <c r="F451" t="s">
        <v>4787</v>
      </c>
      <c r="G451" t="s">
        <v>4788</v>
      </c>
      <c r="H451" t="s">
        <v>4788</v>
      </c>
      <c r="I451">
        <v>41083</v>
      </c>
      <c r="J451" t="s">
        <v>4789</v>
      </c>
      <c r="K451" t="s">
        <v>4789</v>
      </c>
      <c r="L451" t="s">
        <v>2832</v>
      </c>
      <c r="M451" t="s">
        <v>2833</v>
      </c>
      <c r="N451">
        <v>54363</v>
      </c>
      <c r="O451">
        <v>45500</v>
      </c>
      <c r="P451">
        <v>1</v>
      </c>
      <c r="Q451">
        <v>0</v>
      </c>
      <c r="S451">
        <v>143790</v>
      </c>
      <c r="T451">
        <v>0</v>
      </c>
      <c r="U451" t="s">
        <v>2835</v>
      </c>
      <c r="W451" t="s">
        <v>4790</v>
      </c>
      <c r="X451">
        <v>45500</v>
      </c>
      <c r="Y451">
        <v>41363.636363636302</v>
      </c>
      <c r="Z451" s="26">
        <v>46062</v>
      </c>
    </row>
    <row r="452" spans="1:26" x14ac:dyDescent="0.3">
      <c r="A452" s="50">
        <v>46060.458043981482</v>
      </c>
      <c r="B452">
        <v>2.0260207105635899E+18</v>
      </c>
      <c r="C452" t="s">
        <v>4791</v>
      </c>
      <c r="D452" t="s">
        <v>4792</v>
      </c>
      <c r="E452" t="s">
        <v>4792</v>
      </c>
      <c r="F452" t="s">
        <v>4793</v>
      </c>
      <c r="G452" t="s">
        <v>4794</v>
      </c>
      <c r="H452" t="s">
        <v>4794</v>
      </c>
      <c r="I452">
        <v>46523</v>
      </c>
      <c r="J452" t="s">
        <v>4795</v>
      </c>
      <c r="K452" t="s">
        <v>4795</v>
      </c>
      <c r="L452" t="s">
        <v>2832</v>
      </c>
      <c r="M452" t="s">
        <v>2833</v>
      </c>
      <c r="N452">
        <v>54363</v>
      </c>
      <c r="O452">
        <v>45500</v>
      </c>
      <c r="P452">
        <v>1</v>
      </c>
      <c r="Q452">
        <v>0</v>
      </c>
      <c r="S452">
        <v>143790</v>
      </c>
      <c r="T452">
        <v>0</v>
      </c>
      <c r="U452" t="s">
        <v>2835</v>
      </c>
      <c r="W452" t="s">
        <v>4796</v>
      </c>
      <c r="X452">
        <v>45500</v>
      </c>
      <c r="Y452">
        <v>41363.636363636302</v>
      </c>
      <c r="Z452" s="26">
        <v>46062</v>
      </c>
    </row>
    <row r="453" spans="1:26" x14ac:dyDescent="0.3">
      <c r="A453" s="50">
        <v>46060.45753472222</v>
      </c>
      <c r="B453">
        <v>2.0260207105816699E+18</v>
      </c>
      <c r="C453" t="s">
        <v>4615</v>
      </c>
      <c r="D453" t="s">
        <v>4797</v>
      </c>
      <c r="E453" t="s">
        <v>4797</v>
      </c>
      <c r="F453" t="s">
        <v>4798</v>
      </c>
      <c r="G453" t="s">
        <v>4799</v>
      </c>
      <c r="H453" t="s">
        <v>4799</v>
      </c>
      <c r="I453">
        <v>7619</v>
      </c>
      <c r="J453" t="s">
        <v>4800</v>
      </c>
      <c r="K453" t="s">
        <v>4800</v>
      </c>
      <c r="L453" t="s">
        <v>2832</v>
      </c>
      <c r="M453" t="s">
        <v>2833</v>
      </c>
      <c r="N453">
        <v>54363</v>
      </c>
      <c r="O453">
        <v>45500</v>
      </c>
      <c r="P453">
        <v>1</v>
      </c>
      <c r="Q453">
        <v>0</v>
      </c>
      <c r="S453">
        <v>143790</v>
      </c>
      <c r="T453">
        <v>0</v>
      </c>
      <c r="U453" t="s">
        <v>2835</v>
      </c>
      <c r="W453" t="s">
        <v>4801</v>
      </c>
      <c r="X453">
        <v>45500</v>
      </c>
      <c r="Y453">
        <v>41363.636363636302</v>
      </c>
      <c r="Z453" s="26">
        <v>46062</v>
      </c>
    </row>
    <row r="454" spans="1:26" x14ac:dyDescent="0.3">
      <c r="A454" s="50">
        <v>46060.449467592603</v>
      </c>
      <c r="B454">
        <v>2.0260207104243599E+18</v>
      </c>
      <c r="C454" t="s">
        <v>4802</v>
      </c>
      <c r="D454" t="s">
        <v>3022</v>
      </c>
      <c r="E454" t="s">
        <v>3022</v>
      </c>
      <c r="F454" t="s">
        <v>4803</v>
      </c>
      <c r="G454" t="s">
        <v>4804</v>
      </c>
      <c r="H454" t="s">
        <v>4804</v>
      </c>
      <c r="I454">
        <v>34125</v>
      </c>
      <c r="J454" t="s">
        <v>4805</v>
      </c>
      <c r="K454" t="s">
        <v>4805</v>
      </c>
      <c r="L454" t="s">
        <v>2832</v>
      </c>
      <c r="M454" t="s">
        <v>2833</v>
      </c>
      <c r="N454">
        <v>108726</v>
      </c>
      <c r="O454">
        <v>45500</v>
      </c>
      <c r="P454">
        <v>2</v>
      </c>
      <c r="Q454">
        <v>0</v>
      </c>
      <c r="S454">
        <v>143790</v>
      </c>
      <c r="T454">
        <v>0</v>
      </c>
      <c r="U454" t="s">
        <v>2835</v>
      </c>
      <c r="W454" t="s">
        <v>4806</v>
      </c>
      <c r="X454">
        <v>91000</v>
      </c>
      <c r="Y454">
        <v>82727.272727272706</v>
      </c>
      <c r="Z454" s="26">
        <v>46062</v>
      </c>
    </row>
    <row r="455" spans="1:26" x14ac:dyDescent="0.3">
      <c r="A455" s="50">
        <v>46060.442569444444</v>
      </c>
      <c r="B455">
        <v>2.0260207103343201E+18</v>
      </c>
      <c r="C455" t="s">
        <v>4807</v>
      </c>
      <c r="D455" t="s">
        <v>4808</v>
      </c>
      <c r="E455" t="s">
        <v>4808</v>
      </c>
      <c r="F455" t="s">
        <v>4807</v>
      </c>
      <c r="G455" t="s">
        <v>4808</v>
      </c>
      <c r="H455" t="s">
        <v>4808</v>
      </c>
      <c r="I455">
        <v>35244</v>
      </c>
      <c r="J455" t="s">
        <v>4809</v>
      </c>
      <c r="K455" t="s">
        <v>4809</v>
      </c>
      <c r="L455" t="s">
        <v>2832</v>
      </c>
      <c r="M455" t="s">
        <v>2833</v>
      </c>
      <c r="N455">
        <v>54363</v>
      </c>
      <c r="O455">
        <v>45500</v>
      </c>
      <c r="P455">
        <v>1</v>
      </c>
      <c r="Q455">
        <v>0</v>
      </c>
      <c r="S455">
        <v>143790</v>
      </c>
      <c r="T455">
        <v>0</v>
      </c>
      <c r="U455" t="s">
        <v>2835</v>
      </c>
      <c r="W455" t="s">
        <v>4810</v>
      </c>
      <c r="X455">
        <v>45500</v>
      </c>
      <c r="Y455">
        <v>41363.636363636302</v>
      </c>
      <c r="Z455" s="26">
        <v>46062</v>
      </c>
    </row>
    <row r="456" spans="1:26" x14ac:dyDescent="0.3">
      <c r="A456" s="50">
        <v>46060.439421296287</v>
      </c>
      <c r="B456">
        <v>2.02602071031199E+18</v>
      </c>
      <c r="C456" t="s">
        <v>4811</v>
      </c>
      <c r="D456" t="s">
        <v>4812</v>
      </c>
      <c r="E456" t="s">
        <v>4812</v>
      </c>
      <c r="F456" t="s">
        <v>4811</v>
      </c>
      <c r="G456" t="s">
        <v>4812</v>
      </c>
      <c r="H456" t="s">
        <v>4812</v>
      </c>
      <c r="I456">
        <v>62247</v>
      </c>
      <c r="J456" t="s">
        <v>4813</v>
      </c>
      <c r="K456" t="s">
        <v>4813</v>
      </c>
      <c r="L456" t="s">
        <v>2832</v>
      </c>
      <c r="M456" t="s">
        <v>2833</v>
      </c>
      <c r="N456">
        <v>108726</v>
      </c>
      <c r="O456">
        <v>45500</v>
      </c>
      <c r="P456">
        <v>2</v>
      </c>
      <c r="Q456">
        <v>0</v>
      </c>
      <c r="S456">
        <v>143790</v>
      </c>
      <c r="T456">
        <v>0</v>
      </c>
      <c r="U456" t="s">
        <v>2835</v>
      </c>
      <c r="W456" t="s">
        <v>4814</v>
      </c>
      <c r="X456">
        <v>91000</v>
      </c>
      <c r="Y456">
        <v>82727.272727272706</v>
      </c>
      <c r="Z456" s="26">
        <v>46062</v>
      </c>
    </row>
    <row r="457" spans="1:26" x14ac:dyDescent="0.3">
      <c r="A457" s="50">
        <v>46060.421805555547</v>
      </c>
      <c r="B457">
        <v>2.0260207100626601E+18</v>
      </c>
      <c r="C457" t="s">
        <v>4815</v>
      </c>
      <c r="D457" t="s">
        <v>4816</v>
      </c>
      <c r="E457" t="s">
        <v>4816</v>
      </c>
      <c r="F457" t="s">
        <v>4815</v>
      </c>
      <c r="G457" t="s">
        <v>4816</v>
      </c>
      <c r="H457" t="s">
        <v>4816</v>
      </c>
      <c r="I457">
        <v>38814</v>
      </c>
      <c r="J457" t="s">
        <v>4817</v>
      </c>
      <c r="K457" t="s">
        <v>4817</v>
      </c>
      <c r="L457" t="s">
        <v>2832</v>
      </c>
      <c r="M457" t="s">
        <v>2833</v>
      </c>
      <c r="N457">
        <v>108726</v>
      </c>
      <c r="O457">
        <v>45500</v>
      </c>
      <c r="P457">
        <v>2</v>
      </c>
      <c r="Q457">
        <v>0</v>
      </c>
      <c r="S457">
        <v>143790</v>
      </c>
      <c r="T457">
        <v>0</v>
      </c>
      <c r="U457" t="s">
        <v>2835</v>
      </c>
      <c r="W457" t="s">
        <v>4818</v>
      </c>
      <c r="X457">
        <v>91000</v>
      </c>
      <c r="Y457">
        <v>82727.272727272706</v>
      </c>
      <c r="Z457" s="26">
        <v>46062</v>
      </c>
    </row>
    <row r="458" spans="1:26" x14ac:dyDescent="0.3">
      <c r="A458" s="50">
        <v>46060.404791666668</v>
      </c>
      <c r="B458">
        <v>2.0260207094224499E+18</v>
      </c>
      <c r="C458" t="s">
        <v>4819</v>
      </c>
      <c r="D458" t="s">
        <v>4820</v>
      </c>
      <c r="E458" t="s">
        <v>4820</v>
      </c>
      <c r="F458" t="s">
        <v>4819</v>
      </c>
      <c r="G458" t="s">
        <v>4820</v>
      </c>
      <c r="H458" t="s">
        <v>4820</v>
      </c>
      <c r="I458">
        <v>13833</v>
      </c>
      <c r="J458" t="s">
        <v>4821</v>
      </c>
      <c r="K458" t="s">
        <v>4821</v>
      </c>
      <c r="L458" t="s">
        <v>2832</v>
      </c>
      <c r="M458" t="s">
        <v>2833</v>
      </c>
      <c r="N458">
        <v>54363</v>
      </c>
      <c r="O458">
        <v>45500</v>
      </c>
      <c r="P458">
        <v>1</v>
      </c>
      <c r="Q458">
        <v>0</v>
      </c>
      <c r="S458">
        <v>143790</v>
      </c>
      <c r="T458">
        <v>0</v>
      </c>
      <c r="U458" t="s">
        <v>2835</v>
      </c>
      <c r="W458" t="s">
        <v>4822</v>
      </c>
      <c r="X458">
        <v>45500</v>
      </c>
      <c r="Y458">
        <v>41363.636363636302</v>
      </c>
      <c r="Z458" s="26">
        <v>46062</v>
      </c>
    </row>
    <row r="459" spans="1:26" x14ac:dyDescent="0.3">
      <c r="A459" s="50">
        <v>46060.394189814811</v>
      </c>
      <c r="B459">
        <v>2.0260207092644101E+18</v>
      </c>
      <c r="C459" t="s">
        <v>4823</v>
      </c>
      <c r="D459" t="s">
        <v>4824</v>
      </c>
      <c r="E459" t="s">
        <v>4824</v>
      </c>
      <c r="F459" t="s">
        <v>4823</v>
      </c>
      <c r="G459" t="s">
        <v>4824</v>
      </c>
      <c r="H459" t="s">
        <v>4824</v>
      </c>
      <c r="I459">
        <v>10126</v>
      </c>
      <c r="J459" t="s">
        <v>4825</v>
      </c>
      <c r="K459" t="s">
        <v>4825</v>
      </c>
      <c r="L459" t="s">
        <v>2832</v>
      </c>
      <c r="M459" t="s">
        <v>2833</v>
      </c>
      <c r="N459">
        <v>54363</v>
      </c>
      <c r="O459">
        <v>45500</v>
      </c>
      <c r="P459">
        <v>1</v>
      </c>
      <c r="Q459">
        <v>0</v>
      </c>
      <c r="S459">
        <v>143790</v>
      </c>
      <c r="T459">
        <v>0</v>
      </c>
      <c r="U459" t="s">
        <v>2835</v>
      </c>
      <c r="W459" t="s">
        <v>4826</v>
      </c>
      <c r="X459">
        <v>45500</v>
      </c>
      <c r="Y459">
        <v>41363.636363636302</v>
      </c>
      <c r="Z459" s="26">
        <v>46062</v>
      </c>
    </row>
    <row r="460" spans="1:26" x14ac:dyDescent="0.3">
      <c r="A460" s="50">
        <v>46060.37090277778</v>
      </c>
      <c r="B460">
        <v>2.0260207085223601E+18</v>
      </c>
      <c r="C460" t="s">
        <v>4827</v>
      </c>
      <c r="D460" t="s">
        <v>4828</v>
      </c>
      <c r="E460" t="s">
        <v>4828</v>
      </c>
      <c r="F460" t="s">
        <v>4827</v>
      </c>
      <c r="G460" t="s">
        <v>4828</v>
      </c>
      <c r="H460" t="s">
        <v>4828</v>
      </c>
      <c r="I460">
        <v>6592</v>
      </c>
      <c r="J460" t="s">
        <v>4829</v>
      </c>
      <c r="K460" t="s">
        <v>4829</v>
      </c>
      <c r="L460" t="s">
        <v>2832</v>
      </c>
      <c r="M460" t="s">
        <v>2833</v>
      </c>
      <c r="N460">
        <v>54363</v>
      </c>
      <c r="O460">
        <v>45500</v>
      </c>
      <c r="P460">
        <v>1</v>
      </c>
      <c r="Q460">
        <v>0</v>
      </c>
      <c r="S460">
        <v>143790</v>
      </c>
      <c r="T460">
        <v>0</v>
      </c>
      <c r="U460" t="s">
        <v>2835</v>
      </c>
      <c r="W460" t="s">
        <v>4830</v>
      </c>
      <c r="X460">
        <v>45500</v>
      </c>
      <c r="Y460">
        <v>41363.636363636302</v>
      </c>
      <c r="Z460" s="26">
        <v>46062</v>
      </c>
    </row>
    <row r="461" spans="1:26" x14ac:dyDescent="0.3">
      <c r="A461" s="50">
        <v>46060.361307870371</v>
      </c>
      <c r="B461">
        <v>2.02602070839246E+18</v>
      </c>
      <c r="C461" t="s">
        <v>4831</v>
      </c>
      <c r="D461" t="s">
        <v>4832</v>
      </c>
      <c r="E461" t="s">
        <v>4832</v>
      </c>
      <c r="F461" t="s">
        <v>4831</v>
      </c>
      <c r="G461" t="s">
        <v>4832</v>
      </c>
      <c r="H461" t="s">
        <v>4832</v>
      </c>
      <c r="I461">
        <v>62012</v>
      </c>
      <c r="J461" t="s">
        <v>4833</v>
      </c>
      <c r="K461" t="s">
        <v>4833</v>
      </c>
      <c r="L461" t="s">
        <v>2832</v>
      </c>
      <c r="M461" t="s">
        <v>2833</v>
      </c>
      <c r="N461">
        <v>54363</v>
      </c>
      <c r="O461">
        <v>45500</v>
      </c>
      <c r="P461">
        <v>1</v>
      </c>
      <c r="Q461">
        <v>0</v>
      </c>
      <c r="S461">
        <v>143790</v>
      </c>
      <c r="T461">
        <v>0</v>
      </c>
      <c r="U461" t="s">
        <v>2835</v>
      </c>
      <c r="W461" t="s">
        <v>4834</v>
      </c>
      <c r="X461">
        <v>45500</v>
      </c>
      <c r="Y461">
        <v>41363.636363636302</v>
      </c>
      <c r="Z461" s="26">
        <v>46062</v>
      </c>
    </row>
    <row r="462" spans="1:26" x14ac:dyDescent="0.3">
      <c r="A462" s="50">
        <v>46060.35628472222</v>
      </c>
      <c r="B462">
        <v>2.0260207082640499E+18</v>
      </c>
      <c r="C462" t="s">
        <v>4835</v>
      </c>
      <c r="D462" t="s">
        <v>4836</v>
      </c>
      <c r="E462" t="s">
        <v>4836</v>
      </c>
      <c r="F462" t="s">
        <v>4835</v>
      </c>
      <c r="G462" t="s">
        <v>4836</v>
      </c>
      <c r="H462" t="s">
        <v>4836</v>
      </c>
      <c r="I462">
        <v>47849</v>
      </c>
      <c r="J462" t="s">
        <v>4837</v>
      </c>
      <c r="K462" t="s">
        <v>4837</v>
      </c>
      <c r="L462" t="s">
        <v>2832</v>
      </c>
      <c r="M462" t="s">
        <v>2833</v>
      </c>
      <c r="N462">
        <v>108726</v>
      </c>
      <c r="O462">
        <v>45500</v>
      </c>
      <c r="P462">
        <v>2</v>
      </c>
      <c r="Q462">
        <v>0</v>
      </c>
      <c r="R462" t="s">
        <v>4838</v>
      </c>
      <c r="S462">
        <v>143790</v>
      </c>
      <c r="T462">
        <v>0</v>
      </c>
      <c r="U462" t="s">
        <v>2835</v>
      </c>
      <c r="W462" t="s">
        <v>4839</v>
      </c>
      <c r="X462">
        <v>91000</v>
      </c>
      <c r="Y462">
        <v>82727.272727272706</v>
      </c>
      <c r="Z462" s="26">
        <v>46062</v>
      </c>
    </row>
    <row r="463" spans="1:26" x14ac:dyDescent="0.3">
      <c r="A463" s="50">
        <v>46060.351377314822</v>
      </c>
      <c r="B463">
        <v>2.02602070822499E+18</v>
      </c>
      <c r="C463" t="s">
        <v>4840</v>
      </c>
      <c r="D463" t="s">
        <v>4841</v>
      </c>
      <c r="E463" t="s">
        <v>4841</v>
      </c>
      <c r="F463" t="s">
        <v>4842</v>
      </c>
      <c r="G463" t="s">
        <v>4843</v>
      </c>
      <c r="H463" t="s">
        <v>4843</v>
      </c>
      <c r="I463">
        <v>41438</v>
      </c>
      <c r="J463" t="s">
        <v>4844</v>
      </c>
      <c r="K463" t="s">
        <v>4844</v>
      </c>
      <c r="L463" t="s">
        <v>2832</v>
      </c>
      <c r="M463" t="s">
        <v>2833</v>
      </c>
      <c r="N463">
        <v>54363</v>
      </c>
      <c r="O463">
        <v>45500</v>
      </c>
      <c r="P463">
        <v>1</v>
      </c>
      <c r="Q463">
        <v>0</v>
      </c>
      <c r="S463">
        <v>143790</v>
      </c>
      <c r="T463">
        <v>0</v>
      </c>
      <c r="U463" t="s">
        <v>2835</v>
      </c>
      <c r="W463" t="s">
        <v>4845</v>
      </c>
      <c r="X463">
        <v>45500</v>
      </c>
      <c r="Y463">
        <v>41363.636363636302</v>
      </c>
      <c r="Z463" s="26">
        <v>46062</v>
      </c>
    </row>
    <row r="464" spans="1:26" x14ac:dyDescent="0.3">
      <c r="A464" s="50">
        <v>46060.338379629633</v>
      </c>
      <c r="B464">
        <v>2.02602070805235E+18</v>
      </c>
      <c r="C464" t="s">
        <v>4846</v>
      </c>
      <c r="D464" t="s">
        <v>4847</v>
      </c>
      <c r="E464" t="s">
        <v>4847</v>
      </c>
      <c r="F464" t="s">
        <v>4846</v>
      </c>
      <c r="G464" t="s">
        <v>4847</v>
      </c>
      <c r="H464" t="s">
        <v>4847</v>
      </c>
      <c r="I464">
        <v>7301</v>
      </c>
      <c r="J464" t="s">
        <v>4848</v>
      </c>
      <c r="K464" t="s">
        <v>4848</v>
      </c>
      <c r="L464" t="s">
        <v>2832</v>
      </c>
      <c r="M464" t="s">
        <v>2833</v>
      </c>
      <c r="N464">
        <v>54363</v>
      </c>
      <c r="O464">
        <v>45500</v>
      </c>
      <c r="P464">
        <v>1</v>
      </c>
      <c r="Q464">
        <v>0</v>
      </c>
      <c r="S464">
        <v>143790</v>
      </c>
      <c r="T464">
        <v>0</v>
      </c>
      <c r="U464" t="s">
        <v>2835</v>
      </c>
      <c r="W464" t="s">
        <v>4849</v>
      </c>
      <c r="X464">
        <v>45500</v>
      </c>
      <c r="Y464">
        <v>41363.636363636302</v>
      </c>
      <c r="Z464" s="26">
        <v>46062</v>
      </c>
    </row>
    <row r="465" spans="1:26" x14ac:dyDescent="0.3">
      <c r="A465" s="50">
        <v>46060.33630787037</v>
      </c>
      <c r="B465">
        <v>2.0260207080237499E+18</v>
      </c>
      <c r="C465" t="s">
        <v>4850</v>
      </c>
      <c r="D465" t="s">
        <v>4851</v>
      </c>
      <c r="E465" t="s">
        <v>4851</v>
      </c>
      <c r="F465" t="s">
        <v>4852</v>
      </c>
      <c r="G465" t="s">
        <v>4853</v>
      </c>
      <c r="H465" t="s">
        <v>4853</v>
      </c>
      <c r="I465">
        <v>13568</v>
      </c>
      <c r="J465" t="s">
        <v>4854</v>
      </c>
      <c r="K465" t="s">
        <v>4854</v>
      </c>
      <c r="L465" t="s">
        <v>2832</v>
      </c>
      <c r="M465" t="s">
        <v>2833</v>
      </c>
      <c r="N465">
        <v>108726</v>
      </c>
      <c r="O465">
        <v>45500</v>
      </c>
      <c r="P465">
        <v>2</v>
      </c>
      <c r="Q465">
        <v>0</v>
      </c>
      <c r="S465">
        <v>143790</v>
      </c>
      <c r="T465">
        <v>0</v>
      </c>
      <c r="U465" t="s">
        <v>2835</v>
      </c>
      <c r="W465" t="s">
        <v>4855</v>
      </c>
      <c r="X465">
        <v>91000</v>
      </c>
      <c r="Y465">
        <v>82727.272727272706</v>
      </c>
      <c r="Z465" s="26">
        <v>46062</v>
      </c>
    </row>
    <row r="466" spans="1:26" x14ac:dyDescent="0.3">
      <c r="A466" s="50">
        <v>46060.332858796297</v>
      </c>
      <c r="B466">
        <v>2.02602070756223E+18</v>
      </c>
      <c r="C466" t="s">
        <v>4850</v>
      </c>
      <c r="D466" t="s">
        <v>4851</v>
      </c>
      <c r="E466" t="s">
        <v>4851</v>
      </c>
      <c r="F466" t="s">
        <v>4856</v>
      </c>
      <c r="G466" t="s">
        <v>4857</v>
      </c>
      <c r="H466" t="s">
        <v>4857</v>
      </c>
      <c r="I466">
        <v>17578</v>
      </c>
      <c r="J466" t="s">
        <v>4858</v>
      </c>
      <c r="K466" t="s">
        <v>4858</v>
      </c>
      <c r="L466" t="s">
        <v>2832</v>
      </c>
      <c r="M466" t="s">
        <v>2833</v>
      </c>
      <c r="N466">
        <v>108726</v>
      </c>
      <c r="O466">
        <v>45500</v>
      </c>
      <c r="P466">
        <v>2</v>
      </c>
      <c r="Q466">
        <v>0</v>
      </c>
      <c r="S466">
        <v>143790</v>
      </c>
      <c r="T466">
        <v>0</v>
      </c>
      <c r="U466" t="s">
        <v>2835</v>
      </c>
      <c r="W466" t="s">
        <v>4859</v>
      </c>
      <c r="X466">
        <v>91000</v>
      </c>
      <c r="Y466">
        <v>82727.272727272706</v>
      </c>
      <c r="Z466" s="26">
        <v>46062</v>
      </c>
    </row>
    <row r="467" spans="1:26" x14ac:dyDescent="0.3">
      <c r="A467" s="50">
        <v>46060.298414351862</v>
      </c>
      <c r="B467">
        <v>2.0260207070451899E+18</v>
      </c>
      <c r="C467" t="s">
        <v>4860</v>
      </c>
      <c r="D467" t="s">
        <v>4861</v>
      </c>
      <c r="E467" t="s">
        <v>4861</v>
      </c>
      <c r="F467" t="s">
        <v>4862</v>
      </c>
      <c r="G467" t="s">
        <v>4861</v>
      </c>
      <c r="H467" t="s">
        <v>4861</v>
      </c>
      <c r="I467">
        <v>7357</v>
      </c>
      <c r="J467" t="s">
        <v>4863</v>
      </c>
      <c r="K467" t="s">
        <v>4863</v>
      </c>
      <c r="L467" t="s">
        <v>2832</v>
      </c>
      <c r="M467" t="s">
        <v>2833</v>
      </c>
      <c r="N467">
        <v>54363</v>
      </c>
      <c r="O467">
        <v>45500</v>
      </c>
      <c r="P467">
        <v>1</v>
      </c>
      <c r="Q467">
        <v>0</v>
      </c>
      <c r="R467" t="s">
        <v>4864</v>
      </c>
      <c r="S467">
        <v>143790</v>
      </c>
      <c r="T467">
        <v>0</v>
      </c>
      <c r="U467" t="s">
        <v>2835</v>
      </c>
      <c r="W467" t="s">
        <v>4865</v>
      </c>
      <c r="X467">
        <v>45500</v>
      </c>
      <c r="Y467">
        <v>41363.636363636302</v>
      </c>
      <c r="Z467" s="26">
        <v>46062</v>
      </c>
    </row>
    <row r="468" spans="1:26" x14ac:dyDescent="0.3">
      <c r="A468" s="50">
        <v>46060.135833333326</v>
      </c>
      <c r="B468">
        <v>2.0260207031306299E+18</v>
      </c>
      <c r="C468" t="s">
        <v>4866</v>
      </c>
      <c r="D468" t="s">
        <v>4867</v>
      </c>
      <c r="E468" t="s">
        <v>4867</v>
      </c>
      <c r="F468" t="s">
        <v>4868</v>
      </c>
      <c r="G468" t="s">
        <v>4867</v>
      </c>
      <c r="H468" t="s">
        <v>4867</v>
      </c>
      <c r="I468">
        <v>1090</v>
      </c>
      <c r="J468" t="s">
        <v>4869</v>
      </c>
      <c r="K468" t="s">
        <v>4869</v>
      </c>
      <c r="L468" t="s">
        <v>2832</v>
      </c>
      <c r="M468" t="s">
        <v>2833</v>
      </c>
      <c r="N468">
        <v>54363</v>
      </c>
      <c r="O468">
        <v>45500</v>
      </c>
      <c r="P468">
        <v>1</v>
      </c>
      <c r="Q468">
        <v>0</v>
      </c>
      <c r="R468" t="s">
        <v>4870</v>
      </c>
      <c r="S468">
        <v>143790</v>
      </c>
      <c r="T468">
        <v>0</v>
      </c>
      <c r="U468" t="s">
        <v>2835</v>
      </c>
      <c r="W468" t="s">
        <v>4871</v>
      </c>
      <c r="X468">
        <v>45500</v>
      </c>
      <c r="Y468">
        <v>41363.636363636302</v>
      </c>
      <c r="Z468" s="26">
        <v>46062</v>
      </c>
    </row>
    <row r="469" spans="1:26" x14ac:dyDescent="0.3">
      <c r="A469" s="50">
        <v>46060.092199074083</v>
      </c>
      <c r="B469">
        <v>2.0260207021143199E+18</v>
      </c>
      <c r="C469" t="s">
        <v>4665</v>
      </c>
      <c r="D469" t="s">
        <v>4666</v>
      </c>
      <c r="E469" t="s">
        <v>4666</v>
      </c>
      <c r="F469" t="s">
        <v>4665</v>
      </c>
      <c r="G469" t="s">
        <v>4666</v>
      </c>
      <c r="H469" t="s">
        <v>4666</v>
      </c>
      <c r="I469">
        <v>4155</v>
      </c>
      <c r="J469" t="s">
        <v>4872</v>
      </c>
      <c r="K469" t="s">
        <v>4872</v>
      </c>
      <c r="L469" t="s">
        <v>2832</v>
      </c>
      <c r="M469" t="s">
        <v>2833</v>
      </c>
      <c r="N469">
        <v>54363</v>
      </c>
      <c r="O469">
        <v>45500</v>
      </c>
      <c r="P469">
        <v>1</v>
      </c>
      <c r="Q469">
        <v>0</v>
      </c>
      <c r="S469">
        <v>143790</v>
      </c>
      <c r="T469">
        <v>0</v>
      </c>
      <c r="U469" t="s">
        <v>2835</v>
      </c>
      <c r="W469" t="s">
        <v>4873</v>
      </c>
      <c r="X469">
        <v>45500</v>
      </c>
      <c r="Y469">
        <v>41363.636363636302</v>
      </c>
      <c r="Z469" s="26">
        <v>46062</v>
      </c>
    </row>
    <row r="470" spans="1:26" x14ac:dyDescent="0.3">
      <c r="A470" s="50">
        <v>46060.047754629632</v>
      </c>
      <c r="B470">
        <v>2.0260207010353001E+18</v>
      </c>
      <c r="C470" t="s">
        <v>4874</v>
      </c>
      <c r="D470" t="s">
        <v>4875</v>
      </c>
      <c r="E470" t="s">
        <v>4875</v>
      </c>
      <c r="F470" t="s">
        <v>4876</v>
      </c>
      <c r="G470" t="s">
        <v>4877</v>
      </c>
      <c r="H470" t="s">
        <v>4877</v>
      </c>
      <c r="I470">
        <v>2020</v>
      </c>
      <c r="J470" t="s">
        <v>4878</v>
      </c>
      <c r="K470" t="s">
        <v>4878</v>
      </c>
      <c r="L470" t="s">
        <v>2832</v>
      </c>
      <c r="M470" t="s">
        <v>2833</v>
      </c>
      <c r="N470">
        <v>54363</v>
      </c>
      <c r="O470">
        <v>45500</v>
      </c>
      <c r="P470">
        <v>1</v>
      </c>
      <c r="Q470">
        <v>0</v>
      </c>
      <c r="R470" t="s">
        <v>4879</v>
      </c>
      <c r="S470">
        <v>143790</v>
      </c>
      <c r="T470">
        <v>0</v>
      </c>
      <c r="U470" t="s">
        <v>2835</v>
      </c>
      <c r="W470" t="s">
        <v>4880</v>
      </c>
      <c r="X470">
        <v>45500</v>
      </c>
      <c r="Y470">
        <v>41363.636363636302</v>
      </c>
      <c r="Z470" s="26">
        <v>46062</v>
      </c>
    </row>
    <row r="471" spans="1:26" x14ac:dyDescent="0.3">
      <c r="A471" s="50">
        <v>46060.002106481479</v>
      </c>
      <c r="B471">
        <v>2.0260207000159301E+18</v>
      </c>
      <c r="C471" t="s">
        <v>4881</v>
      </c>
      <c r="D471" t="s">
        <v>4882</v>
      </c>
      <c r="E471" t="s">
        <v>4882</v>
      </c>
      <c r="F471" t="s">
        <v>4881</v>
      </c>
      <c r="G471" t="s">
        <v>4882</v>
      </c>
      <c r="H471" t="s">
        <v>4882</v>
      </c>
      <c r="I471">
        <v>52855</v>
      </c>
      <c r="J471" t="s">
        <v>4883</v>
      </c>
      <c r="K471" t="s">
        <v>4883</v>
      </c>
      <c r="L471" t="s">
        <v>2832</v>
      </c>
      <c r="M471" t="s">
        <v>2833</v>
      </c>
      <c r="N471">
        <v>54363</v>
      </c>
      <c r="O471">
        <v>45500</v>
      </c>
      <c r="P471">
        <v>1</v>
      </c>
      <c r="Q471">
        <v>0</v>
      </c>
      <c r="S471">
        <v>143790</v>
      </c>
      <c r="T471">
        <v>0</v>
      </c>
      <c r="U471" t="s">
        <v>2835</v>
      </c>
      <c r="W471" t="s">
        <v>4884</v>
      </c>
      <c r="X471">
        <v>45500</v>
      </c>
      <c r="Y471">
        <v>41363.636363636302</v>
      </c>
      <c r="Z471" s="26">
        <v>46062</v>
      </c>
    </row>
    <row r="472" spans="1:26" x14ac:dyDescent="0.3">
      <c r="A472" s="50">
        <v>46059.97314814815</v>
      </c>
      <c r="B472">
        <v>2.02602062320144E+18</v>
      </c>
      <c r="C472" t="s">
        <v>4885</v>
      </c>
      <c r="D472" t="s">
        <v>4886</v>
      </c>
      <c r="E472" t="s">
        <v>4886</v>
      </c>
      <c r="F472" t="s">
        <v>4885</v>
      </c>
      <c r="G472" t="s">
        <v>4886</v>
      </c>
      <c r="H472" t="s">
        <v>4886</v>
      </c>
      <c r="I472">
        <v>5649</v>
      </c>
      <c r="J472" t="s">
        <v>4887</v>
      </c>
      <c r="K472" t="s">
        <v>4887</v>
      </c>
      <c r="L472" t="s">
        <v>2832</v>
      </c>
      <c r="M472" t="s">
        <v>2833</v>
      </c>
      <c r="N472">
        <v>108726</v>
      </c>
      <c r="O472">
        <v>45500</v>
      </c>
      <c r="P472">
        <v>2</v>
      </c>
      <c r="Q472">
        <v>0</v>
      </c>
      <c r="S472">
        <v>143790</v>
      </c>
      <c r="T472">
        <v>0</v>
      </c>
      <c r="U472" t="s">
        <v>2835</v>
      </c>
      <c r="W472" t="s">
        <v>4888</v>
      </c>
      <c r="X472">
        <v>91000</v>
      </c>
      <c r="Y472">
        <v>82727.272727272706</v>
      </c>
      <c r="Z472" s="26">
        <v>46062</v>
      </c>
    </row>
    <row r="473" spans="1:26" x14ac:dyDescent="0.3">
      <c r="A473" s="50">
        <v>46059.891898148147</v>
      </c>
      <c r="B473">
        <v>2.02602062121136E+18</v>
      </c>
      <c r="C473" t="s">
        <v>4889</v>
      </c>
      <c r="D473" t="s">
        <v>4890</v>
      </c>
      <c r="E473" t="s">
        <v>4890</v>
      </c>
      <c r="F473" t="s">
        <v>4889</v>
      </c>
      <c r="G473" t="s">
        <v>4890</v>
      </c>
      <c r="H473" t="s">
        <v>4890</v>
      </c>
      <c r="I473">
        <v>25470</v>
      </c>
      <c r="J473" t="s">
        <v>4891</v>
      </c>
      <c r="K473" t="s">
        <v>4891</v>
      </c>
      <c r="L473" t="s">
        <v>2832</v>
      </c>
      <c r="M473" t="s">
        <v>2833</v>
      </c>
      <c r="N473">
        <v>54363</v>
      </c>
      <c r="O473">
        <v>45500</v>
      </c>
      <c r="P473">
        <v>1</v>
      </c>
      <c r="Q473">
        <v>0</v>
      </c>
      <c r="S473">
        <v>143790</v>
      </c>
      <c r="T473">
        <v>0</v>
      </c>
      <c r="U473" t="s">
        <v>2835</v>
      </c>
      <c r="W473" t="s">
        <v>4892</v>
      </c>
      <c r="X473">
        <v>45500</v>
      </c>
      <c r="Y473">
        <v>41363.636363636302</v>
      </c>
      <c r="Z473" s="26">
        <v>46062</v>
      </c>
    </row>
    <row r="474" spans="1:26" x14ac:dyDescent="0.3">
      <c r="A474" s="50">
        <v>46059.888541666667</v>
      </c>
      <c r="B474">
        <v>2.0260206211836201E+18</v>
      </c>
      <c r="C474" t="s">
        <v>4893</v>
      </c>
      <c r="D474" t="s">
        <v>4894</v>
      </c>
      <c r="E474" t="s">
        <v>4894</v>
      </c>
      <c r="F474" t="s">
        <v>4893</v>
      </c>
      <c r="G474" t="s">
        <v>4894</v>
      </c>
      <c r="H474" t="s">
        <v>4894</v>
      </c>
      <c r="I474">
        <v>5098</v>
      </c>
      <c r="J474" t="s">
        <v>4895</v>
      </c>
      <c r="K474" t="s">
        <v>4895</v>
      </c>
      <c r="L474" t="s">
        <v>2832</v>
      </c>
      <c r="M474" t="s">
        <v>2833</v>
      </c>
      <c r="N474">
        <v>54363</v>
      </c>
      <c r="O474">
        <v>45500</v>
      </c>
      <c r="P474">
        <v>1</v>
      </c>
      <c r="Q474">
        <v>0</v>
      </c>
      <c r="S474">
        <v>143790</v>
      </c>
      <c r="T474">
        <v>0</v>
      </c>
      <c r="U474" t="s">
        <v>2835</v>
      </c>
      <c r="W474" t="s">
        <v>4896</v>
      </c>
      <c r="X474">
        <v>45500</v>
      </c>
      <c r="Y474">
        <v>41363.636363636302</v>
      </c>
      <c r="Z474" s="26">
        <v>46062</v>
      </c>
    </row>
    <row r="475" spans="1:26" x14ac:dyDescent="0.3">
      <c r="A475" s="50">
        <v>46059.883668981478</v>
      </c>
      <c r="B475">
        <v>2.02602062109136E+18</v>
      </c>
      <c r="C475" t="s">
        <v>4897</v>
      </c>
      <c r="D475" t="s">
        <v>4898</v>
      </c>
      <c r="E475" t="s">
        <v>4898</v>
      </c>
      <c r="F475" t="s">
        <v>4897</v>
      </c>
      <c r="G475" t="s">
        <v>4898</v>
      </c>
      <c r="H475" t="s">
        <v>4898</v>
      </c>
      <c r="I475">
        <v>17066</v>
      </c>
      <c r="J475" t="s">
        <v>4899</v>
      </c>
      <c r="K475" t="s">
        <v>4899</v>
      </c>
      <c r="L475" t="s">
        <v>2832</v>
      </c>
      <c r="M475" t="s">
        <v>2833</v>
      </c>
      <c r="N475">
        <v>54363</v>
      </c>
      <c r="O475">
        <v>45500</v>
      </c>
      <c r="P475">
        <v>1</v>
      </c>
      <c r="Q475">
        <v>0</v>
      </c>
      <c r="S475">
        <v>143790</v>
      </c>
      <c r="T475">
        <v>0</v>
      </c>
      <c r="U475" t="s">
        <v>2835</v>
      </c>
      <c r="W475" t="s">
        <v>4900</v>
      </c>
      <c r="X475">
        <v>45500</v>
      </c>
      <c r="Y475">
        <v>41363.636363636302</v>
      </c>
      <c r="Z475" s="26">
        <v>46062</v>
      </c>
    </row>
    <row r="476" spans="1:26" x14ac:dyDescent="0.3">
      <c r="A476" s="50">
        <v>46059.883125</v>
      </c>
      <c r="B476">
        <v>2.0260206210955599E+18</v>
      </c>
      <c r="C476" t="s">
        <v>4901</v>
      </c>
      <c r="D476" t="s">
        <v>4902</v>
      </c>
      <c r="E476" t="s">
        <v>4902</v>
      </c>
      <c r="F476" t="s">
        <v>4901</v>
      </c>
      <c r="G476" t="s">
        <v>4902</v>
      </c>
      <c r="H476" t="s">
        <v>4902</v>
      </c>
      <c r="I476">
        <v>4731</v>
      </c>
      <c r="J476" t="s">
        <v>4903</v>
      </c>
      <c r="K476" t="s">
        <v>4903</v>
      </c>
      <c r="L476" t="s">
        <v>2832</v>
      </c>
      <c r="M476" t="s">
        <v>2833</v>
      </c>
      <c r="N476">
        <v>54363</v>
      </c>
      <c r="O476">
        <v>45500</v>
      </c>
      <c r="P476">
        <v>1</v>
      </c>
      <c r="Q476">
        <v>0</v>
      </c>
      <c r="S476">
        <v>143790</v>
      </c>
      <c r="T476">
        <v>0</v>
      </c>
      <c r="U476" t="s">
        <v>2835</v>
      </c>
      <c r="W476" t="s">
        <v>4904</v>
      </c>
      <c r="X476">
        <v>45500</v>
      </c>
      <c r="Y476">
        <v>41363.636363636302</v>
      </c>
      <c r="Z476" s="26">
        <v>46062</v>
      </c>
    </row>
    <row r="477" spans="1:26" x14ac:dyDescent="0.3">
      <c r="A477" s="50">
        <v>46059.881041666667</v>
      </c>
      <c r="B477">
        <v>2.0260206210703501E+18</v>
      </c>
      <c r="C477" t="s">
        <v>4905</v>
      </c>
      <c r="D477" t="s">
        <v>4906</v>
      </c>
      <c r="E477" t="s">
        <v>4906</v>
      </c>
      <c r="F477" t="s">
        <v>4905</v>
      </c>
      <c r="G477" t="s">
        <v>4906</v>
      </c>
      <c r="H477" t="s">
        <v>4906</v>
      </c>
      <c r="I477">
        <v>17868</v>
      </c>
      <c r="J477" t="s">
        <v>4907</v>
      </c>
      <c r="K477" t="s">
        <v>4907</v>
      </c>
      <c r="L477" t="s">
        <v>2832</v>
      </c>
      <c r="M477" t="s">
        <v>2833</v>
      </c>
      <c r="N477">
        <v>54363</v>
      </c>
      <c r="O477">
        <v>45500</v>
      </c>
      <c r="P477">
        <v>1</v>
      </c>
      <c r="Q477">
        <v>0</v>
      </c>
      <c r="S477">
        <v>143790</v>
      </c>
      <c r="T477">
        <v>0</v>
      </c>
      <c r="U477" t="s">
        <v>2835</v>
      </c>
      <c r="W477" t="s">
        <v>4908</v>
      </c>
      <c r="X477">
        <v>45500</v>
      </c>
      <c r="Y477">
        <v>41363.636363636302</v>
      </c>
      <c r="Z477" s="26">
        <v>46062</v>
      </c>
    </row>
    <row r="478" spans="1:26" x14ac:dyDescent="0.3">
      <c r="A478" s="50">
        <v>46059.880555555559</v>
      </c>
      <c r="B478">
        <v>2.0260206210732301E+18</v>
      </c>
      <c r="C478" t="s">
        <v>4909</v>
      </c>
      <c r="D478" t="s">
        <v>4910</v>
      </c>
      <c r="E478" t="s">
        <v>4910</v>
      </c>
      <c r="F478" t="s">
        <v>4909</v>
      </c>
      <c r="G478" t="s">
        <v>4910</v>
      </c>
      <c r="H478" t="s">
        <v>4910</v>
      </c>
      <c r="I478">
        <v>11722</v>
      </c>
      <c r="J478" t="s">
        <v>4911</v>
      </c>
      <c r="K478" t="s">
        <v>4911</v>
      </c>
      <c r="L478" t="s">
        <v>2832</v>
      </c>
      <c r="M478" t="s">
        <v>2833</v>
      </c>
      <c r="N478">
        <v>54363</v>
      </c>
      <c r="O478">
        <v>45500</v>
      </c>
      <c r="P478">
        <v>1</v>
      </c>
      <c r="Q478">
        <v>0</v>
      </c>
      <c r="S478">
        <v>143790</v>
      </c>
      <c r="T478">
        <v>0</v>
      </c>
      <c r="U478" t="s">
        <v>2835</v>
      </c>
      <c r="W478" t="s">
        <v>4912</v>
      </c>
      <c r="X478">
        <v>45500</v>
      </c>
      <c r="Y478">
        <v>41363.636363636302</v>
      </c>
      <c r="Z478" s="26">
        <v>46062</v>
      </c>
    </row>
    <row r="479" spans="1:26" x14ac:dyDescent="0.3">
      <c r="A479" s="50">
        <v>46059.863518518519</v>
      </c>
      <c r="B479">
        <v>2.02602062042499E+18</v>
      </c>
      <c r="C479" t="s">
        <v>3481</v>
      </c>
      <c r="D479" t="s">
        <v>4913</v>
      </c>
      <c r="E479" t="s">
        <v>4913</v>
      </c>
      <c r="F479" t="s">
        <v>3481</v>
      </c>
      <c r="G479" t="s">
        <v>4913</v>
      </c>
      <c r="H479" t="s">
        <v>4913</v>
      </c>
      <c r="I479">
        <v>59720</v>
      </c>
      <c r="J479" t="s">
        <v>4914</v>
      </c>
      <c r="K479" t="s">
        <v>4914</v>
      </c>
      <c r="L479" t="s">
        <v>2832</v>
      </c>
      <c r="M479" t="s">
        <v>2833</v>
      </c>
      <c r="N479">
        <v>54363</v>
      </c>
      <c r="O479">
        <v>45500</v>
      </c>
      <c r="P479">
        <v>1</v>
      </c>
      <c r="Q479">
        <v>0</v>
      </c>
      <c r="S479">
        <v>143790</v>
      </c>
      <c r="T479">
        <v>0</v>
      </c>
      <c r="U479" t="s">
        <v>2835</v>
      </c>
      <c r="W479" t="s">
        <v>4915</v>
      </c>
      <c r="X479">
        <v>45500</v>
      </c>
      <c r="Y479">
        <v>41363.636363636302</v>
      </c>
      <c r="Z479" s="26">
        <v>46062</v>
      </c>
    </row>
    <row r="480" spans="1:26" x14ac:dyDescent="0.3">
      <c r="A480" s="50">
        <v>46059.857557870368</v>
      </c>
      <c r="B480">
        <v>2.0260206202942799E+18</v>
      </c>
      <c r="C480" t="s">
        <v>4916</v>
      </c>
      <c r="D480" t="s">
        <v>4917</v>
      </c>
      <c r="E480" t="s">
        <v>4917</v>
      </c>
      <c r="F480" t="s">
        <v>4918</v>
      </c>
      <c r="G480" t="s">
        <v>4919</v>
      </c>
      <c r="H480" t="s">
        <v>4919</v>
      </c>
      <c r="I480">
        <v>61952</v>
      </c>
      <c r="J480" t="s">
        <v>4920</v>
      </c>
      <c r="K480" t="s">
        <v>4920</v>
      </c>
      <c r="L480" t="s">
        <v>2832</v>
      </c>
      <c r="M480" t="s">
        <v>2833</v>
      </c>
      <c r="N480">
        <v>54363</v>
      </c>
      <c r="O480">
        <v>45500</v>
      </c>
      <c r="P480">
        <v>1</v>
      </c>
      <c r="Q480">
        <v>0</v>
      </c>
      <c r="S480">
        <v>143790</v>
      </c>
      <c r="T480">
        <v>0</v>
      </c>
      <c r="U480" t="s">
        <v>2835</v>
      </c>
      <c r="W480" t="s">
        <v>4921</v>
      </c>
      <c r="X480">
        <v>45500</v>
      </c>
      <c r="Y480">
        <v>41363.636363636302</v>
      </c>
      <c r="Z480" s="26">
        <v>46062</v>
      </c>
    </row>
    <row r="481" spans="1:26" x14ac:dyDescent="0.3">
      <c r="A481" s="50">
        <v>46059.856192129628</v>
      </c>
      <c r="B481">
        <v>2.0260206203026801E+18</v>
      </c>
      <c r="C481" t="s">
        <v>4922</v>
      </c>
      <c r="D481" t="s">
        <v>4923</v>
      </c>
      <c r="E481" t="s">
        <v>4923</v>
      </c>
      <c r="F481" t="s">
        <v>4922</v>
      </c>
      <c r="G481" t="s">
        <v>4923</v>
      </c>
      <c r="H481" t="s">
        <v>4923</v>
      </c>
      <c r="I481">
        <v>55105</v>
      </c>
      <c r="J481" t="s">
        <v>4924</v>
      </c>
      <c r="K481" t="s">
        <v>4924</v>
      </c>
      <c r="L481" t="s">
        <v>2832</v>
      </c>
      <c r="M481" t="s">
        <v>2833</v>
      </c>
      <c r="N481">
        <v>54363</v>
      </c>
      <c r="O481">
        <v>45500</v>
      </c>
      <c r="P481">
        <v>1</v>
      </c>
      <c r="Q481">
        <v>0</v>
      </c>
      <c r="S481">
        <v>143790</v>
      </c>
      <c r="T481">
        <v>0</v>
      </c>
      <c r="U481" t="s">
        <v>2835</v>
      </c>
      <c r="W481" t="s">
        <v>4925</v>
      </c>
      <c r="X481">
        <v>45500</v>
      </c>
      <c r="Y481">
        <v>41363.636363636302</v>
      </c>
      <c r="Z481" s="26">
        <v>46062</v>
      </c>
    </row>
    <row r="482" spans="1:26" x14ac:dyDescent="0.3">
      <c r="A482" s="50">
        <v>46059.854687500003</v>
      </c>
      <c r="B482">
        <v>2.0260206202918799E+18</v>
      </c>
      <c r="C482" t="s">
        <v>4926</v>
      </c>
      <c r="D482" t="s">
        <v>4927</v>
      </c>
      <c r="E482" t="s">
        <v>4927</v>
      </c>
      <c r="F482" t="s">
        <v>4928</v>
      </c>
      <c r="G482" t="s">
        <v>4929</v>
      </c>
      <c r="H482" t="s">
        <v>4929</v>
      </c>
      <c r="I482">
        <v>15058</v>
      </c>
      <c r="J482" t="s">
        <v>4930</v>
      </c>
      <c r="K482" t="s">
        <v>4930</v>
      </c>
      <c r="L482" t="s">
        <v>2832</v>
      </c>
      <c r="M482" t="s">
        <v>2833</v>
      </c>
      <c r="N482">
        <v>54363</v>
      </c>
      <c r="O482">
        <v>45500</v>
      </c>
      <c r="P482">
        <v>1</v>
      </c>
      <c r="Q482">
        <v>0</v>
      </c>
      <c r="S482">
        <v>143790</v>
      </c>
      <c r="T482">
        <v>0</v>
      </c>
      <c r="U482" t="s">
        <v>2835</v>
      </c>
      <c r="W482" t="s">
        <v>4931</v>
      </c>
      <c r="X482">
        <v>45500</v>
      </c>
      <c r="Y482">
        <v>41363.636363636302</v>
      </c>
      <c r="Z482" s="26">
        <v>46062</v>
      </c>
    </row>
    <row r="483" spans="1:26" x14ac:dyDescent="0.3">
      <c r="A483" s="50">
        <v>46059.854247685187</v>
      </c>
      <c r="B483">
        <v>2.02602062029137E+18</v>
      </c>
      <c r="C483" t="s">
        <v>4932</v>
      </c>
      <c r="D483" t="s">
        <v>4933</v>
      </c>
      <c r="E483" t="s">
        <v>4933</v>
      </c>
      <c r="F483" t="s">
        <v>4932</v>
      </c>
      <c r="G483" t="s">
        <v>4933</v>
      </c>
      <c r="H483" t="s">
        <v>4933</v>
      </c>
      <c r="I483">
        <v>2748</v>
      </c>
      <c r="J483" t="s">
        <v>4934</v>
      </c>
      <c r="K483" t="s">
        <v>4934</v>
      </c>
      <c r="L483" t="s">
        <v>2832</v>
      </c>
      <c r="M483" t="s">
        <v>2833</v>
      </c>
      <c r="N483">
        <v>54363</v>
      </c>
      <c r="O483">
        <v>45500</v>
      </c>
      <c r="P483">
        <v>1</v>
      </c>
      <c r="Q483">
        <v>0</v>
      </c>
      <c r="S483">
        <v>143790</v>
      </c>
      <c r="T483">
        <v>0</v>
      </c>
      <c r="U483" t="s">
        <v>2835</v>
      </c>
      <c r="W483" t="s">
        <v>4935</v>
      </c>
      <c r="X483">
        <v>45500</v>
      </c>
      <c r="Y483">
        <v>41363.636363636302</v>
      </c>
      <c r="Z483" s="26">
        <v>46062</v>
      </c>
    </row>
    <row r="484" spans="1:26" x14ac:dyDescent="0.3">
      <c r="A484" s="50">
        <v>46059.853726851848</v>
      </c>
      <c r="B484">
        <v>2.0260206202822001E+18</v>
      </c>
      <c r="C484" t="s">
        <v>4936</v>
      </c>
      <c r="D484" t="s">
        <v>4937</v>
      </c>
      <c r="E484" t="s">
        <v>4937</v>
      </c>
      <c r="F484" t="s">
        <v>4936</v>
      </c>
      <c r="G484" t="s">
        <v>4937</v>
      </c>
      <c r="H484" t="s">
        <v>4937</v>
      </c>
      <c r="I484">
        <v>16329</v>
      </c>
      <c r="J484" t="s">
        <v>4938</v>
      </c>
      <c r="K484" t="s">
        <v>4938</v>
      </c>
      <c r="L484" t="s">
        <v>2832</v>
      </c>
      <c r="M484" t="s">
        <v>2833</v>
      </c>
      <c r="N484">
        <v>54363</v>
      </c>
      <c r="O484">
        <v>45500</v>
      </c>
      <c r="P484">
        <v>1</v>
      </c>
      <c r="Q484">
        <v>0</v>
      </c>
      <c r="S484">
        <v>143790</v>
      </c>
      <c r="T484">
        <v>0</v>
      </c>
      <c r="U484" t="s">
        <v>2835</v>
      </c>
      <c r="W484" t="s">
        <v>4939</v>
      </c>
      <c r="X484">
        <v>45500</v>
      </c>
      <c r="Y484">
        <v>41363.636363636302</v>
      </c>
      <c r="Z484" s="26">
        <v>46062</v>
      </c>
    </row>
    <row r="485" spans="1:26" x14ac:dyDescent="0.3">
      <c r="A485" s="50">
        <v>46059.850960648153</v>
      </c>
      <c r="B485">
        <v>2.02602062018077E+18</v>
      </c>
      <c r="C485" t="s">
        <v>4940</v>
      </c>
      <c r="D485" t="s">
        <v>4941</v>
      </c>
      <c r="E485" t="s">
        <v>4941</v>
      </c>
      <c r="F485" t="s">
        <v>4942</v>
      </c>
      <c r="G485" t="s">
        <v>4943</v>
      </c>
      <c r="H485" t="s">
        <v>4943</v>
      </c>
      <c r="I485">
        <v>27350</v>
      </c>
      <c r="J485" t="s">
        <v>4944</v>
      </c>
      <c r="K485" t="s">
        <v>4944</v>
      </c>
      <c r="L485" t="s">
        <v>2832</v>
      </c>
      <c r="M485" t="s">
        <v>2833</v>
      </c>
      <c r="N485">
        <v>54363</v>
      </c>
      <c r="O485">
        <v>45500</v>
      </c>
      <c r="P485">
        <v>1</v>
      </c>
      <c r="Q485">
        <v>0</v>
      </c>
      <c r="R485" t="s">
        <v>4945</v>
      </c>
      <c r="S485">
        <v>143790</v>
      </c>
      <c r="T485">
        <v>0</v>
      </c>
      <c r="U485" t="s">
        <v>2835</v>
      </c>
      <c r="W485" t="s">
        <v>4946</v>
      </c>
      <c r="X485">
        <v>45500</v>
      </c>
      <c r="Y485">
        <v>41363.636363636302</v>
      </c>
      <c r="Z485" s="26">
        <v>46062</v>
      </c>
    </row>
    <row r="486" spans="1:26" x14ac:dyDescent="0.3">
      <c r="A486" s="50">
        <v>46059.850856481477</v>
      </c>
      <c r="B486">
        <v>2.0260206202421299E+18</v>
      </c>
      <c r="C486" t="s">
        <v>4947</v>
      </c>
      <c r="D486" t="s">
        <v>4948</v>
      </c>
      <c r="E486" t="s">
        <v>4948</v>
      </c>
      <c r="F486" t="s">
        <v>4947</v>
      </c>
      <c r="G486" t="s">
        <v>4948</v>
      </c>
      <c r="H486" t="s">
        <v>4948</v>
      </c>
      <c r="I486">
        <v>17117</v>
      </c>
      <c r="J486" t="s">
        <v>4949</v>
      </c>
      <c r="K486" t="s">
        <v>4949</v>
      </c>
      <c r="L486" t="s">
        <v>2832</v>
      </c>
      <c r="M486" t="s">
        <v>2833</v>
      </c>
      <c r="N486">
        <v>54363</v>
      </c>
      <c r="O486">
        <v>45500</v>
      </c>
      <c r="P486">
        <v>1</v>
      </c>
      <c r="Q486">
        <v>0</v>
      </c>
      <c r="S486">
        <v>143790</v>
      </c>
      <c r="T486">
        <v>0</v>
      </c>
      <c r="U486" t="s">
        <v>2835</v>
      </c>
      <c r="W486" t="s">
        <v>4950</v>
      </c>
      <c r="X486">
        <v>45500</v>
      </c>
      <c r="Y486">
        <v>41363.636363636302</v>
      </c>
      <c r="Z486" s="26">
        <v>46062</v>
      </c>
    </row>
    <row r="487" spans="1:26" x14ac:dyDescent="0.3">
      <c r="A487" s="50">
        <v>46059.850659722222</v>
      </c>
      <c r="B487">
        <v>2.0260206202235699E+18</v>
      </c>
      <c r="C487" t="s">
        <v>4916</v>
      </c>
      <c r="D487" t="s">
        <v>4917</v>
      </c>
      <c r="E487" t="s">
        <v>4917</v>
      </c>
      <c r="F487" t="s">
        <v>4951</v>
      </c>
      <c r="G487" t="s">
        <v>4952</v>
      </c>
      <c r="H487" t="s">
        <v>4952</v>
      </c>
      <c r="I487">
        <v>5010</v>
      </c>
      <c r="J487" t="s">
        <v>4953</v>
      </c>
      <c r="K487" t="s">
        <v>4953</v>
      </c>
      <c r="L487" t="s">
        <v>2832</v>
      </c>
      <c r="M487" t="s">
        <v>2833</v>
      </c>
      <c r="N487">
        <v>54363</v>
      </c>
      <c r="O487">
        <v>45500</v>
      </c>
      <c r="P487">
        <v>1</v>
      </c>
      <c r="Q487">
        <v>0</v>
      </c>
      <c r="S487">
        <v>143790</v>
      </c>
      <c r="T487">
        <v>0</v>
      </c>
      <c r="U487" t="s">
        <v>2835</v>
      </c>
      <c r="W487" t="s">
        <v>4954</v>
      </c>
      <c r="X487">
        <v>45500</v>
      </c>
      <c r="Y487">
        <v>41363.636363636302</v>
      </c>
      <c r="Z487" s="26">
        <v>46062</v>
      </c>
    </row>
    <row r="488" spans="1:26" x14ac:dyDescent="0.3">
      <c r="A488" s="50">
        <v>46059.847048611111</v>
      </c>
      <c r="B488">
        <v>2.02602062019153E+18</v>
      </c>
      <c r="C488" t="s">
        <v>4955</v>
      </c>
      <c r="D488" t="s">
        <v>4956</v>
      </c>
      <c r="E488" t="s">
        <v>4956</v>
      </c>
      <c r="F488" t="s">
        <v>4955</v>
      </c>
      <c r="G488" t="s">
        <v>4956</v>
      </c>
      <c r="H488" t="s">
        <v>4956</v>
      </c>
      <c r="I488">
        <v>5410</v>
      </c>
      <c r="J488" t="s">
        <v>4957</v>
      </c>
      <c r="K488" t="s">
        <v>4957</v>
      </c>
      <c r="L488" t="s">
        <v>2832</v>
      </c>
      <c r="M488" t="s">
        <v>2833</v>
      </c>
      <c r="N488">
        <v>54363</v>
      </c>
      <c r="O488">
        <v>45500</v>
      </c>
      <c r="P488">
        <v>1</v>
      </c>
      <c r="Q488">
        <v>0</v>
      </c>
      <c r="S488">
        <v>143790</v>
      </c>
      <c r="T488">
        <v>0</v>
      </c>
      <c r="U488" t="s">
        <v>2835</v>
      </c>
      <c r="W488" t="s">
        <v>4958</v>
      </c>
      <c r="X488">
        <v>45500</v>
      </c>
      <c r="Y488">
        <v>41363.636363636302</v>
      </c>
      <c r="Z488" s="26">
        <v>46062</v>
      </c>
    </row>
    <row r="489" spans="1:26" x14ac:dyDescent="0.3">
      <c r="A489" s="50">
        <v>46059.844733796293</v>
      </c>
      <c r="B489">
        <v>2.02602062015409E+18</v>
      </c>
      <c r="C489" t="s">
        <v>4959</v>
      </c>
      <c r="D489" t="s">
        <v>4960</v>
      </c>
      <c r="E489" t="s">
        <v>4960</v>
      </c>
      <c r="F489" t="s">
        <v>4959</v>
      </c>
      <c r="G489" t="s">
        <v>4960</v>
      </c>
      <c r="H489" t="s">
        <v>4960</v>
      </c>
      <c r="I489">
        <v>61040</v>
      </c>
      <c r="J489" t="s">
        <v>4961</v>
      </c>
      <c r="K489" t="s">
        <v>4961</v>
      </c>
      <c r="L489" t="s">
        <v>2832</v>
      </c>
      <c r="M489" t="s">
        <v>2833</v>
      </c>
      <c r="N489">
        <v>54363</v>
      </c>
      <c r="O489">
        <v>45500</v>
      </c>
      <c r="P489">
        <v>1</v>
      </c>
      <c r="Q489">
        <v>0</v>
      </c>
      <c r="S489">
        <v>143790</v>
      </c>
      <c r="T489">
        <v>0</v>
      </c>
      <c r="U489" t="s">
        <v>2835</v>
      </c>
      <c r="W489" t="s">
        <v>4962</v>
      </c>
      <c r="X489">
        <v>45500</v>
      </c>
      <c r="Y489">
        <v>41363.636363636302</v>
      </c>
      <c r="Z489" s="26">
        <v>46062</v>
      </c>
    </row>
    <row r="490" spans="1:26" x14ac:dyDescent="0.3">
      <c r="A490" s="50">
        <v>46059.843587962961</v>
      </c>
      <c r="B490">
        <v>2.02602062013073E+18</v>
      </c>
      <c r="C490" t="s">
        <v>4963</v>
      </c>
      <c r="D490" t="s">
        <v>4964</v>
      </c>
      <c r="E490" t="s">
        <v>4964</v>
      </c>
      <c r="F490" t="s">
        <v>4963</v>
      </c>
      <c r="G490" t="s">
        <v>4964</v>
      </c>
      <c r="H490" t="s">
        <v>4964</v>
      </c>
      <c r="I490">
        <v>16814</v>
      </c>
      <c r="J490" t="s">
        <v>4965</v>
      </c>
      <c r="K490" t="s">
        <v>4965</v>
      </c>
      <c r="L490" t="s">
        <v>2832</v>
      </c>
      <c r="M490" t="s">
        <v>2833</v>
      </c>
      <c r="N490">
        <v>54363</v>
      </c>
      <c r="O490">
        <v>45500</v>
      </c>
      <c r="P490">
        <v>1</v>
      </c>
      <c r="Q490">
        <v>0</v>
      </c>
      <c r="S490">
        <v>143790</v>
      </c>
      <c r="T490">
        <v>0</v>
      </c>
      <c r="U490" t="s">
        <v>2835</v>
      </c>
      <c r="W490" t="s">
        <v>4966</v>
      </c>
      <c r="X490">
        <v>45500</v>
      </c>
      <c r="Y490">
        <v>41363.636363636302</v>
      </c>
      <c r="Z490" s="26">
        <v>46062</v>
      </c>
    </row>
    <row r="491" spans="1:26" x14ac:dyDescent="0.3">
      <c r="A491" s="50">
        <v>46059.842083333337</v>
      </c>
      <c r="B491">
        <v>2.02602062011104E+18</v>
      </c>
      <c r="C491" t="s">
        <v>4967</v>
      </c>
      <c r="D491" t="s">
        <v>4968</v>
      </c>
      <c r="E491" t="s">
        <v>4968</v>
      </c>
      <c r="F491" t="s">
        <v>4967</v>
      </c>
      <c r="G491" t="s">
        <v>4968</v>
      </c>
      <c r="H491" t="s">
        <v>4968</v>
      </c>
      <c r="I491">
        <v>38081</v>
      </c>
      <c r="J491" t="s">
        <v>4969</v>
      </c>
      <c r="K491" t="s">
        <v>4969</v>
      </c>
      <c r="L491" t="s">
        <v>2832</v>
      </c>
      <c r="M491" t="s">
        <v>2833</v>
      </c>
      <c r="N491">
        <v>54363</v>
      </c>
      <c r="O491">
        <v>45500</v>
      </c>
      <c r="P491">
        <v>1</v>
      </c>
      <c r="Q491">
        <v>0</v>
      </c>
      <c r="S491">
        <v>143790</v>
      </c>
      <c r="T491">
        <v>0</v>
      </c>
      <c r="U491" t="s">
        <v>2835</v>
      </c>
      <c r="W491" t="s">
        <v>4970</v>
      </c>
      <c r="X491">
        <v>45500</v>
      </c>
      <c r="Y491">
        <v>41363.636363636302</v>
      </c>
      <c r="Z491" s="26">
        <v>46062</v>
      </c>
    </row>
    <row r="492" spans="1:26" x14ac:dyDescent="0.3">
      <c r="A492" s="50">
        <v>46059.831724537027</v>
      </c>
      <c r="B492">
        <v>2.0260206195657999E+18</v>
      </c>
      <c r="C492" t="s">
        <v>4971</v>
      </c>
      <c r="D492" t="s">
        <v>4972</v>
      </c>
      <c r="E492" t="s">
        <v>4972</v>
      </c>
      <c r="F492" t="s">
        <v>4971</v>
      </c>
      <c r="G492" t="s">
        <v>4972</v>
      </c>
      <c r="H492" t="s">
        <v>4972</v>
      </c>
      <c r="I492">
        <v>13544</v>
      </c>
      <c r="J492" t="s">
        <v>4973</v>
      </c>
      <c r="K492" t="s">
        <v>4973</v>
      </c>
      <c r="L492" t="s">
        <v>2832</v>
      </c>
      <c r="M492" t="s">
        <v>2833</v>
      </c>
      <c r="N492">
        <v>54363</v>
      </c>
      <c r="O492">
        <v>45500</v>
      </c>
      <c r="P492">
        <v>1</v>
      </c>
      <c r="Q492">
        <v>0</v>
      </c>
      <c r="S492">
        <v>143790</v>
      </c>
      <c r="T492">
        <v>0</v>
      </c>
      <c r="U492" t="s">
        <v>2835</v>
      </c>
      <c r="W492" t="s">
        <v>4974</v>
      </c>
      <c r="X492">
        <v>45500</v>
      </c>
      <c r="Y492">
        <v>41363.636363636302</v>
      </c>
      <c r="Z492" s="26">
        <v>46062</v>
      </c>
    </row>
    <row r="493" spans="1:26" x14ac:dyDescent="0.3">
      <c r="A493" s="50">
        <v>46059.827291666668</v>
      </c>
      <c r="B493">
        <v>2.0260206195031501E+18</v>
      </c>
      <c r="C493" t="s">
        <v>4975</v>
      </c>
      <c r="D493" t="s">
        <v>4976</v>
      </c>
      <c r="E493" t="s">
        <v>4976</v>
      </c>
      <c r="F493" t="s">
        <v>4975</v>
      </c>
      <c r="G493" t="s">
        <v>4976</v>
      </c>
      <c r="H493" t="s">
        <v>4976</v>
      </c>
      <c r="I493">
        <v>3380</v>
      </c>
      <c r="J493" t="s">
        <v>4977</v>
      </c>
      <c r="K493" t="s">
        <v>4977</v>
      </c>
      <c r="L493" t="s">
        <v>2832</v>
      </c>
      <c r="M493" t="s">
        <v>2833</v>
      </c>
      <c r="N493">
        <v>163089</v>
      </c>
      <c r="O493">
        <v>45500</v>
      </c>
      <c r="P493">
        <v>3</v>
      </c>
      <c r="Q493">
        <v>0</v>
      </c>
      <c r="S493">
        <v>143790</v>
      </c>
      <c r="T493">
        <v>0</v>
      </c>
      <c r="U493" t="s">
        <v>2835</v>
      </c>
      <c r="W493" t="s">
        <v>4978</v>
      </c>
      <c r="X493">
        <v>136500</v>
      </c>
      <c r="Y493">
        <v>124090.909090909</v>
      </c>
      <c r="Z493" s="26">
        <v>46062</v>
      </c>
    </row>
    <row r="494" spans="1:26" x14ac:dyDescent="0.3">
      <c r="A494" s="50">
        <v>46059.826261574082</v>
      </c>
      <c r="B494">
        <v>2.0260206194915599E+18</v>
      </c>
      <c r="C494" t="s">
        <v>4979</v>
      </c>
      <c r="D494" t="s">
        <v>4980</v>
      </c>
      <c r="E494" t="s">
        <v>4980</v>
      </c>
      <c r="F494" t="s">
        <v>4979</v>
      </c>
      <c r="G494" t="s">
        <v>4980</v>
      </c>
      <c r="H494" t="s">
        <v>4980</v>
      </c>
      <c r="I494">
        <v>12095</v>
      </c>
      <c r="J494" t="s">
        <v>4981</v>
      </c>
      <c r="K494" t="s">
        <v>4981</v>
      </c>
      <c r="L494" t="s">
        <v>2832</v>
      </c>
      <c r="M494" t="s">
        <v>2833</v>
      </c>
      <c r="N494">
        <v>54363</v>
      </c>
      <c r="O494">
        <v>45500</v>
      </c>
      <c r="P494">
        <v>1</v>
      </c>
      <c r="Q494">
        <v>0</v>
      </c>
      <c r="S494">
        <v>143790</v>
      </c>
      <c r="T494">
        <v>0</v>
      </c>
      <c r="U494" t="s">
        <v>2835</v>
      </c>
      <c r="W494" t="s">
        <v>4982</v>
      </c>
      <c r="X494">
        <v>45500</v>
      </c>
      <c r="Y494">
        <v>41363.636363636302</v>
      </c>
      <c r="Z494" s="26">
        <v>46062</v>
      </c>
    </row>
    <row r="495" spans="1:26" x14ac:dyDescent="0.3">
      <c r="A495" s="50">
        <v>46059.818113425928</v>
      </c>
      <c r="B495">
        <v>2.0260206193542799E+18</v>
      </c>
      <c r="C495" t="s">
        <v>4983</v>
      </c>
      <c r="D495" t="s">
        <v>4984</v>
      </c>
      <c r="E495" t="s">
        <v>4984</v>
      </c>
      <c r="F495" t="s">
        <v>4985</v>
      </c>
      <c r="G495" t="s">
        <v>4986</v>
      </c>
      <c r="H495" t="s">
        <v>4986</v>
      </c>
      <c r="I495">
        <v>12082</v>
      </c>
      <c r="J495" t="s">
        <v>4987</v>
      </c>
      <c r="K495" t="s">
        <v>4987</v>
      </c>
      <c r="L495" t="s">
        <v>2832</v>
      </c>
      <c r="M495" t="s">
        <v>2833</v>
      </c>
      <c r="N495">
        <v>54363</v>
      </c>
      <c r="O495">
        <v>45500</v>
      </c>
      <c r="P495">
        <v>1</v>
      </c>
      <c r="Q495">
        <v>0</v>
      </c>
      <c r="S495">
        <v>143790</v>
      </c>
      <c r="T495">
        <v>0</v>
      </c>
      <c r="U495" t="s">
        <v>2835</v>
      </c>
      <c r="W495" t="s">
        <v>4988</v>
      </c>
      <c r="X495">
        <v>45500</v>
      </c>
      <c r="Y495">
        <v>41363.636363636302</v>
      </c>
      <c r="Z495" s="26">
        <v>46062</v>
      </c>
    </row>
    <row r="496" spans="1:26" x14ac:dyDescent="0.3">
      <c r="A496" s="50">
        <v>46059.81622685185</v>
      </c>
      <c r="B496">
        <v>2.0260206193314199E+18</v>
      </c>
      <c r="C496" t="s">
        <v>4989</v>
      </c>
      <c r="D496" t="s">
        <v>4990</v>
      </c>
      <c r="E496" t="s">
        <v>4990</v>
      </c>
      <c r="F496" t="s">
        <v>4989</v>
      </c>
      <c r="G496" t="s">
        <v>4990</v>
      </c>
      <c r="H496" t="s">
        <v>4990</v>
      </c>
      <c r="I496">
        <v>15352</v>
      </c>
      <c r="J496" t="s">
        <v>4991</v>
      </c>
      <c r="K496" t="s">
        <v>4991</v>
      </c>
      <c r="L496" t="s">
        <v>2832</v>
      </c>
      <c r="M496" t="s">
        <v>2833</v>
      </c>
      <c r="N496">
        <v>54363</v>
      </c>
      <c r="O496">
        <v>45500</v>
      </c>
      <c r="P496">
        <v>1</v>
      </c>
      <c r="Q496">
        <v>0</v>
      </c>
      <c r="S496">
        <v>143790</v>
      </c>
      <c r="T496">
        <v>0</v>
      </c>
      <c r="U496" t="s">
        <v>2835</v>
      </c>
      <c r="W496" t="s">
        <v>4992</v>
      </c>
      <c r="X496">
        <v>45500</v>
      </c>
      <c r="Y496">
        <v>41363.636363636302</v>
      </c>
      <c r="Z496" s="26">
        <v>46062</v>
      </c>
    </row>
    <row r="497" spans="1:26" x14ac:dyDescent="0.3">
      <c r="A497" s="50">
        <v>46059.807812500003</v>
      </c>
      <c r="B497">
        <v>2.02602061922243E+18</v>
      </c>
      <c r="C497" t="s">
        <v>4993</v>
      </c>
      <c r="D497" t="s">
        <v>4994</v>
      </c>
      <c r="E497" t="s">
        <v>4994</v>
      </c>
      <c r="F497" t="s">
        <v>4993</v>
      </c>
      <c r="G497" t="s">
        <v>4994</v>
      </c>
      <c r="H497" t="s">
        <v>4994</v>
      </c>
      <c r="I497">
        <v>1626</v>
      </c>
      <c r="J497" t="s">
        <v>4995</v>
      </c>
      <c r="K497" t="s">
        <v>4995</v>
      </c>
      <c r="L497" t="s">
        <v>2832</v>
      </c>
      <c r="M497" t="s">
        <v>2833</v>
      </c>
      <c r="N497">
        <v>54363</v>
      </c>
      <c r="O497">
        <v>45500</v>
      </c>
      <c r="P497">
        <v>1</v>
      </c>
      <c r="Q497">
        <v>0</v>
      </c>
      <c r="S497">
        <v>143790</v>
      </c>
      <c r="T497">
        <v>0</v>
      </c>
      <c r="U497" t="s">
        <v>2835</v>
      </c>
      <c r="W497" t="s">
        <v>4996</v>
      </c>
      <c r="X497">
        <v>45500</v>
      </c>
      <c r="Y497">
        <v>41363.636363636302</v>
      </c>
      <c r="Z497" s="26">
        <v>46062</v>
      </c>
    </row>
    <row r="498" spans="1:26" x14ac:dyDescent="0.3">
      <c r="A498" s="50">
        <v>46059.805833333332</v>
      </c>
      <c r="B498">
        <v>2.0260206191939899E+18</v>
      </c>
      <c r="C498" t="s">
        <v>4997</v>
      </c>
      <c r="D498" t="s">
        <v>4998</v>
      </c>
      <c r="E498" t="s">
        <v>4998</v>
      </c>
      <c r="F498" t="s">
        <v>4997</v>
      </c>
      <c r="G498" t="s">
        <v>4998</v>
      </c>
      <c r="H498" t="s">
        <v>4998</v>
      </c>
      <c r="I498">
        <v>21557</v>
      </c>
      <c r="J498" t="s">
        <v>4999</v>
      </c>
      <c r="K498" t="s">
        <v>4999</v>
      </c>
      <c r="L498" t="s">
        <v>2832</v>
      </c>
      <c r="M498" t="s">
        <v>2833</v>
      </c>
      <c r="N498">
        <v>54363</v>
      </c>
      <c r="O498">
        <v>45500</v>
      </c>
      <c r="P498">
        <v>1</v>
      </c>
      <c r="Q498">
        <v>0</v>
      </c>
      <c r="S498">
        <v>143790</v>
      </c>
      <c r="T498">
        <v>0</v>
      </c>
      <c r="U498" t="s">
        <v>2835</v>
      </c>
      <c r="W498" t="s">
        <v>5000</v>
      </c>
      <c r="X498">
        <v>45500</v>
      </c>
      <c r="Y498">
        <v>41363.636363636302</v>
      </c>
      <c r="Z498" s="26">
        <v>46062</v>
      </c>
    </row>
    <row r="499" spans="1:26" x14ac:dyDescent="0.3">
      <c r="A499" s="50">
        <v>46059.805659722217</v>
      </c>
      <c r="B499">
        <v>2.02602061919006E+18</v>
      </c>
      <c r="C499" t="s">
        <v>5001</v>
      </c>
      <c r="D499" t="s">
        <v>5002</v>
      </c>
      <c r="E499" t="s">
        <v>5002</v>
      </c>
      <c r="F499" t="s">
        <v>5001</v>
      </c>
      <c r="G499" t="s">
        <v>5002</v>
      </c>
      <c r="H499" t="s">
        <v>5002</v>
      </c>
      <c r="I499">
        <v>13013</v>
      </c>
      <c r="J499" t="s">
        <v>5003</v>
      </c>
      <c r="K499" t="s">
        <v>5003</v>
      </c>
      <c r="L499" t="s">
        <v>2832</v>
      </c>
      <c r="M499" t="s">
        <v>2833</v>
      </c>
      <c r="N499">
        <v>54363</v>
      </c>
      <c r="O499">
        <v>45500</v>
      </c>
      <c r="P499">
        <v>1</v>
      </c>
      <c r="Q499">
        <v>0</v>
      </c>
      <c r="S499">
        <v>143790</v>
      </c>
      <c r="T499">
        <v>0</v>
      </c>
      <c r="U499" t="s">
        <v>2835</v>
      </c>
      <c r="W499" t="s">
        <v>5004</v>
      </c>
      <c r="X499">
        <v>45500</v>
      </c>
      <c r="Y499">
        <v>41363.636363636302</v>
      </c>
      <c r="Z499" s="26">
        <v>46062</v>
      </c>
    </row>
    <row r="500" spans="1:26" x14ac:dyDescent="0.3">
      <c r="A500" s="50">
        <v>46059.805254629631</v>
      </c>
      <c r="B500">
        <v>2.0260206191847401E+18</v>
      </c>
      <c r="C500" t="s">
        <v>5005</v>
      </c>
      <c r="D500" t="s">
        <v>5006</v>
      </c>
      <c r="E500" t="s">
        <v>5006</v>
      </c>
      <c r="F500" t="s">
        <v>5005</v>
      </c>
      <c r="G500" t="s">
        <v>5006</v>
      </c>
      <c r="H500" t="s">
        <v>5006</v>
      </c>
      <c r="I500">
        <v>2874</v>
      </c>
      <c r="J500" t="s">
        <v>5007</v>
      </c>
      <c r="K500" t="s">
        <v>5007</v>
      </c>
      <c r="L500" t="s">
        <v>2832</v>
      </c>
      <c r="M500" t="s">
        <v>2833</v>
      </c>
      <c r="N500">
        <v>54363</v>
      </c>
      <c r="O500">
        <v>45500</v>
      </c>
      <c r="P500">
        <v>1</v>
      </c>
      <c r="Q500">
        <v>0</v>
      </c>
      <c r="S500">
        <v>143790</v>
      </c>
      <c r="T500">
        <v>0</v>
      </c>
      <c r="U500" t="s">
        <v>2835</v>
      </c>
      <c r="W500" t="s">
        <v>5008</v>
      </c>
      <c r="X500">
        <v>45500</v>
      </c>
      <c r="Y500">
        <v>41363.636363636302</v>
      </c>
      <c r="Z500" s="26">
        <v>46062</v>
      </c>
    </row>
    <row r="501" spans="1:26" x14ac:dyDescent="0.3">
      <c r="A501" s="50">
        <v>46059.803923611107</v>
      </c>
      <c r="B501">
        <v>2.0260206191706199E+18</v>
      </c>
      <c r="C501" t="s">
        <v>5009</v>
      </c>
      <c r="D501" t="s">
        <v>5010</v>
      </c>
      <c r="E501" t="s">
        <v>5010</v>
      </c>
      <c r="F501" t="s">
        <v>5009</v>
      </c>
      <c r="G501" t="s">
        <v>5010</v>
      </c>
      <c r="H501" t="s">
        <v>5010</v>
      </c>
      <c r="I501">
        <v>47803</v>
      </c>
      <c r="J501" t="s">
        <v>5011</v>
      </c>
      <c r="K501" t="s">
        <v>5011</v>
      </c>
      <c r="L501" t="s">
        <v>2832</v>
      </c>
      <c r="M501" t="s">
        <v>2833</v>
      </c>
      <c r="N501">
        <v>54363</v>
      </c>
      <c r="O501">
        <v>45500</v>
      </c>
      <c r="P501">
        <v>1</v>
      </c>
      <c r="Q501">
        <v>0</v>
      </c>
      <c r="R501" t="s">
        <v>5012</v>
      </c>
      <c r="S501">
        <v>143790</v>
      </c>
      <c r="T501">
        <v>0</v>
      </c>
      <c r="U501" t="s">
        <v>2835</v>
      </c>
      <c r="W501" t="s">
        <v>5013</v>
      </c>
      <c r="X501">
        <v>45500</v>
      </c>
      <c r="Y501">
        <v>41363.636363636302</v>
      </c>
      <c r="Z501" s="26">
        <v>46062</v>
      </c>
    </row>
    <row r="502" spans="1:26" x14ac:dyDescent="0.3">
      <c r="A502" s="50">
        <v>46059.803842592592</v>
      </c>
      <c r="B502">
        <v>2.0260206191706801E+18</v>
      </c>
      <c r="C502" t="s">
        <v>5014</v>
      </c>
      <c r="D502" t="s">
        <v>5015</v>
      </c>
      <c r="E502" t="s">
        <v>5015</v>
      </c>
      <c r="F502" t="s">
        <v>5014</v>
      </c>
      <c r="G502" t="s">
        <v>5015</v>
      </c>
      <c r="H502" t="s">
        <v>5015</v>
      </c>
      <c r="I502">
        <v>5080</v>
      </c>
      <c r="J502" t="s">
        <v>5016</v>
      </c>
      <c r="K502" t="s">
        <v>5016</v>
      </c>
      <c r="L502" t="s">
        <v>2832</v>
      </c>
      <c r="M502" t="s">
        <v>2833</v>
      </c>
      <c r="N502">
        <v>54363</v>
      </c>
      <c r="O502">
        <v>45500</v>
      </c>
      <c r="P502">
        <v>1</v>
      </c>
      <c r="Q502">
        <v>0</v>
      </c>
      <c r="S502">
        <v>143790</v>
      </c>
      <c r="T502">
        <v>0</v>
      </c>
      <c r="U502" t="s">
        <v>2835</v>
      </c>
      <c r="W502" t="s">
        <v>5017</v>
      </c>
      <c r="X502">
        <v>45500</v>
      </c>
      <c r="Y502">
        <v>41363.636363636302</v>
      </c>
      <c r="Z502" s="26">
        <v>46062</v>
      </c>
    </row>
    <row r="503" spans="1:26" x14ac:dyDescent="0.3">
      <c r="A503" s="50">
        <v>46059.802395833343</v>
      </c>
      <c r="B503">
        <v>2.0260206191426501E+18</v>
      </c>
      <c r="C503" t="s">
        <v>5018</v>
      </c>
      <c r="D503" t="s">
        <v>5019</v>
      </c>
      <c r="E503" t="s">
        <v>5019</v>
      </c>
      <c r="F503" t="s">
        <v>5018</v>
      </c>
      <c r="G503" t="s">
        <v>5019</v>
      </c>
      <c r="H503" t="s">
        <v>5019</v>
      </c>
      <c r="I503">
        <v>53216</v>
      </c>
      <c r="J503" t="s">
        <v>5020</v>
      </c>
      <c r="K503" t="s">
        <v>5020</v>
      </c>
      <c r="L503" t="s">
        <v>2832</v>
      </c>
      <c r="M503" t="s">
        <v>2833</v>
      </c>
      <c r="N503">
        <v>54363</v>
      </c>
      <c r="O503">
        <v>45500</v>
      </c>
      <c r="P503">
        <v>1</v>
      </c>
      <c r="Q503">
        <v>0</v>
      </c>
      <c r="S503">
        <v>143790</v>
      </c>
      <c r="T503">
        <v>0</v>
      </c>
      <c r="U503" t="s">
        <v>2835</v>
      </c>
      <c r="W503" t="s">
        <v>5021</v>
      </c>
      <c r="X503">
        <v>45500</v>
      </c>
      <c r="Y503">
        <v>41363.636363636302</v>
      </c>
      <c r="Z503" s="26">
        <v>46062</v>
      </c>
    </row>
    <row r="504" spans="1:26" x14ac:dyDescent="0.3">
      <c r="A504" s="50">
        <v>46059.802245370367</v>
      </c>
      <c r="B504">
        <v>2.02602061914402E+18</v>
      </c>
      <c r="C504" t="s">
        <v>5022</v>
      </c>
      <c r="D504" t="s">
        <v>5023</v>
      </c>
      <c r="E504" t="s">
        <v>5023</v>
      </c>
      <c r="F504" t="s">
        <v>5022</v>
      </c>
      <c r="G504" t="s">
        <v>5023</v>
      </c>
      <c r="H504" t="s">
        <v>5023</v>
      </c>
      <c r="I504">
        <v>10893</v>
      </c>
      <c r="J504" t="s">
        <v>5024</v>
      </c>
      <c r="K504" t="s">
        <v>5024</v>
      </c>
      <c r="L504" t="s">
        <v>2832</v>
      </c>
      <c r="M504" t="s">
        <v>2833</v>
      </c>
      <c r="N504">
        <v>54363</v>
      </c>
      <c r="O504">
        <v>45500</v>
      </c>
      <c r="P504">
        <v>1</v>
      </c>
      <c r="Q504">
        <v>0</v>
      </c>
      <c r="S504">
        <v>143790</v>
      </c>
      <c r="T504">
        <v>0</v>
      </c>
      <c r="U504" t="s">
        <v>2835</v>
      </c>
      <c r="W504" t="s">
        <v>5025</v>
      </c>
      <c r="X504">
        <v>45500</v>
      </c>
      <c r="Y504">
        <v>41363.636363636302</v>
      </c>
      <c r="Z504" s="26">
        <v>46062</v>
      </c>
    </row>
    <row r="505" spans="1:26" x14ac:dyDescent="0.3">
      <c r="A505" s="50">
        <v>46059.802210648151</v>
      </c>
      <c r="B505">
        <v>2.0260206191224801E+18</v>
      </c>
      <c r="C505" t="s">
        <v>5026</v>
      </c>
      <c r="D505" t="s">
        <v>5027</v>
      </c>
      <c r="E505" t="s">
        <v>5027</v>
      </c>
      <c r="F505" t="s">
        <v>5026</v>
      </c>
      <c r="G505" t="s">
        <v>5027</v>
      </c>
      <c r="H505" t="s">
        <v>5027</v>
      </c>
      <c r="I505">
        <v>5085</v>
      </c>
      <c r="J505" t="s">
        <v>5028</v>
      </c>
      <c r="K505" t="s">
        <v>5028</v>
      </c>
      <c r="L505" t="s">
        <v>2832</v>
      </c>
      <c r="M505" t="s">
        <v>2833</v>
      </c>
      <c r="N505">
        <v>54363</v>
      </c>
      <c r="O505">
        <v>45500</v>
      </c>
      <c r="P505">
        <v>1</v>
      </c>
      <c r="Q505">
        <v>0</v>
      </c>
      <c r="R505" t="s">
        <v>5029</v>
      </c>
      <c r="S505">
        <v>143790</v>
      </c>
      <c r="T505">
        <v>0</v>
      </c>
      <c r="U505" t="s">
        <v>2835</v>
      </c>
      <c r="W505" t="s">
        <v>5030</v>
      </c>
      <c r="X505">
        <v>45500</v>
      </c>
      <c r="Y505">
        <v>41363.636363636302</v>
      </c>
      <c r="Z505" s="26">
        <v>46062</v>
      </c>
    </row>
    <row r="506" spans="1:26" x14ac:dyDescent="0.3">
      <c r="A506" s="50">
        <v>46059.801539351851</v>
      </c>
      <c r="B506">
        <v>2.0260206191314601E+18</v>
      </c>
      <c r="C506" t="s">
        <v>5031</v>
      </c>
      <c r="D506" t="s">
        <v>5032</v>
      </c>
      <c r="E506" t="s">
        <v>5032</v>
      </c>
      <c r="F506" t="s">
        <v>5031</v>
      </c>
      <c r="G506" t="s">
        <v>5032</v>
      </c>
      <c r="H506" t="s">
        <v>5032</v>
      </c>
      <c r="I506">
        <v>2442</v>
      </c>
      <c r="J506" t="s">
        <v>5033</v>
      </c>
      <c r="K506" t="s">
        <v>5033</v>
      </c>
      <c r="L506" t="s">
        <v>2832</v>
      </c>
      <c r="M506" t="s">
        <v>2833</v>
      </c>
      <c r="N506">
        <v>108726</v>
      </c>
      <c r="O506">
        <v>45500</v>
      </c>
      <c r="P506">
        <v>2</v>
      </c>
      <c r="Q506">
        <v>0</v>
      </c>
      <c r="S506">
        <v>143790</v>
      </c>
      <c r="T506">
        <v>0</v>
      </c>
      <c r="U506" t="s">
        <v>2835</v>
      </c>
      <c r="W506" t="s">
        <v>5034</v>
      </c>
      <c r="X506">
        <v>91000</v>
      </c>
      <c r="Y506">
        <v>82727.272727272706</v>
      </c>
      <c r="Z506" s="26">
        <v>46062</v>
      </c>
    </row>
    <row r="507" spans="1:26" x14ac:dyDescent="0.3">
      <c r="A507" s="50">
        <v>46059.801481481481</v>
      </c>
      <c r="B507">
        <v>2.02602061912463E+18</v>
      </c>
      <c r="C507" t="s">
        <v>5035</v>
      </c>
      <c r="D507" t="s">
        <v>5036</v>
      </c>
      <c r="E507" t="s">
        <v>5036</v>
      </c>
      <c r="F507" t="s">
        <v>5035</v>
      </c>
      <c r="G507" t="s">
        <v>5036</v>
      </c>
      <c r="H507" t="s">
        <v>5036</v>
      </c>
      <c r="I507">
        <v>6278</v>
      </c>
      <c r="J507" t="s">
        <v>5037</v>
      </c>
      <c r="K507" t="s">
        <v>5037</v>
      </c>
      <c r="L507" t="s">
        <v>2832</v>
      </c>
      <c r="M507" t="s">
        <v>2833</v>
      </c>
      <c r="N507">
        <v>54363</v>
      </c>
      <c r="O507">
        <v>45500</v>
      </c>
      <c r="P507">
        <v>1</v>
      </c>
      <c r="Q507">
        <v>0</v>
      </c>
      <c r="S507">
        <v>143790</v>
      </c>
      <c r="T507">
        <v>0</v>
      </c>
      <c r="U507" t="s">
        <v>2835</v>
      </c>
      <c r="W507" t="s">
        <v>5038</v>
      </c>
      <c r="X507">
        <v>45500</v>
      </c>
      <c r="Y507">
        <v>41363.636363636302</v>
      </c>
      <c r="Z507" s="26">
        <v>46062</v>
      </c>
    </row>
    <row r="508" spans="1:26" x14ac:dyDescent="0.3">
      <c r="A508" s="50">
        <v>46059.801377314812</v>
      </c>
      <c r="B508">
        <v>2.02602061913219E+18</v>
      </c>
      <c r="C508" t="s">
        <v>5039</v>
      </c>
      <c r="D508" t="s">
        <v>5040</v>
      </c>
      <c r="E508" t="s">
        <v>5040</v>
      </c>
      <c r="F508" t="s">
        <v>5039</v>
      </c>
      <c r="G508" t="s">
        <v>5040</v>
      </c>
      <c r="H508" t="s">
        <v>5040</v>
      </c>
      <c r="I508">
        <v>2725</v>
      </c>
      <c r="J508" t="s">
        <v>5041</v>
      </c>
      <c r="K508" t="s">
        <v>5041</v>
      </c>
      <c r="L508" t="s">
        <v>2832</v>
      </c>
      <c r="M508" t="s">
        <v>2833</v>
      </c>
      <c r="N508">
        <v>54363</v>
      </c>
      <c r="O508">
        <v>45500</v>
      </c>
      <c r="P508">
        <v>1</v>
      </c>
      <c r="Q508">
        <v>0</v>
      </c>
      <c r="S508">
        <v>143790</v>
      </c>
      <c r="T508">
        <v>0</v>
      </c>
      <c r="U508" t="s">
        <v>2835</v>
      </c>
      <c r="W508" t="s">
        <v>5042</v>
      </c>
      <c r="X508">
        <v>45500</v>
      </c>
      <c r="Y508">
        <v>41363.636363636302</v>
      </c>
      <c r="Z508" s="26">
        <v>46062</v>
      </c>
    </row>
    <row r="509" spans="1:26" x14ac:dyDescent="0.3">
      <c r="A509" s="50">
        <v>46059.801030092603</v>
      </c>
      <c r="B509">
        <v>2.02602061912323E+18</v>
      </c>
      <c r="C509" t="s">
        <v>5043</v>
      </c>
      <c r="D509" t="s">
        <v>5044</v>
      </c>
      <c r="E509" t="s">
        <v>5044</v>
      </c>
      <c r="F509" t="s">
        <v>5043</v>
      </c>
      <c r="G509" t="s">
        <v>5044</v>
      </c>
      <c r="H509" t="s">
        <v>5044</v>
      </c>
      <c r="I509">
        <v>12099</v>
      </c>
      <c r="J509" t="s">
        <v>5045</v>
      </c>
      <c r="K509" t="s">
        <v>5045</v>
      </c>
      <c r="L509" t="s">
        <v>2832</v>
      </c>
      <c r="M509" t="s">
        <v>2833</v>
      </c>
      <c r="N509">
        <v>54363</v>
      </c>
      <c r="O509">
        <v>45500</v>
      </c>
      <c r="P509">
        <v>1</v>
      </c>
      <c r="Q509">
        <v>0</v>
      </c>
      <c r="S509">
        <v>143790</v>
      </c>
      <c r="T509">
        <v>0</v>
      </c>
      <c r="U509" t="s">
        <v>2835</v>
      </c>
      <c r="W509" t="s">
        <v>5046</v>
      </c>
      <c r="X509">
        <v>45500</v>
      </c>
      <c r="Y509">
        <v>41363.636363636302</v>
      </c>
      <c r="Z509" s="26">
        <v>46062</v>
      </c>
    </row>
    <row r="510" spans="1:26" x14ac:dyDescent="0.3">
      <c r="A510" s="50">
        <v>46059.69290509259</v>
      </c>
      <c r="B510">
        <v>2.0260206163606999E+18</v>
      </c>
      <c r="C510" t="s">
        <v>5047</v>
      </c>
      <c r="D510" t="s">
        <v>5048</v>
      </c>
      <c r="E510" t="s">
        <v>5048</v>
      </c>
      <c r="F510" t="s">
        <v>5047</v>
      </c>
      <c r="G510" t="s">
        <v>5048</v>
      </c>
      <c r="H510" t="s">
        <v>5048</v>
      </c>
      <c r="I510">
        <v>13567</v>
      </c>
      <c r="J510" t="s">
        <v>5049</v>
      </c>
      <c r="K510" t="s">
        <v>5049</v>
      </c>
      <c r="L510" t="s">
        <v>2832</v>
      </c>
      <c r="M510" t="s">
        <v>2833</v>
      </c>
      <c r="N510">
        <v>54363</v>
      </c>
      <c r="O510">
        <v>45500</v>
      </c>
      <c r="P510">
        <v>1</v>
      </c>
      <c r="Q510">
        <v>0</v>
      </c>
      <c r="S510">
        <v>143790</v>
      </c>
      <c r="T510">
        <v>0</v>
      </c>
      <c r="U510" t="s">
        <v>2835</v>
      </c>
      <c r="W510" t="s">
        <v>5050</v>
      </c>
      <c r="X510">
        <v>45500</v>
      </c>
      <c r="Y510">
        <v>41363.636363636302</v>
      </c>
      <c r="Z510" s="26">
        <v>46062</v>
      </c>
    </row>
    <row r="511" spans="1:26" x14ac:dyDescent="0.3">
      <c r="A511" s="50">
        <v>46059.691296296303</v>
      </c>
      <c r="B511">
        <v>2.0260206163110999E+18</v>
      </c>
      <c r="C511" t="s">
        <v>4550</v>
      </c>
      <c r="D511" t="s">
        <v>4551</v>
      </c>
      <c r="E511" t="s">
        <v>4551</v>
      </c>
      <c r="F511" t="s">
        <v>5051</v>
      </c>
      <c r="G511" t="s">
        <v>5052</v>
      </c>
      <c r="H511" t="s">
        <v>5052</v>
      </c>
      <c r="I511">
        <v>5210</v>
      </c>
      <c r="J511" t="s">
        <v>5053</v>
      </c>
      <c r="K511" t="s">
        <v>5053</v>
      </c>
      <c r="L511" t="s">
        <v>2832</v>
      </c>
      <c r="M511" t="s">
        <v>2833</v>
      </c>
      <c r="N511">
        <v>54363</v>
      </c>
      <c r="O511">
        <v>45500</v>
      </c>
      <c r="P511">
        <v>1</v>
      </c>
      <c r="Q511">
        <v>0</v>
      </c>
      <c r="S511">
        <v>143790</v>
      </c>
      <c r="T511">
        <v>0</v>
      </c>
      <c r="U511" t="s">
        <v>2835</v>
      </c>
      <c r="W511" t="s">
        <v>5054</v>
      </c>
      <c r="X511">
        <v>45500</v>
      </c>
      <c r="Y511">
        <v>41363.636363636302</v>
      </c>
      <c r="Z511" s="26">
        <v>46062</v>
      </c>
    </row>
    <row r="512" spans="1:26" x14ac:dyDescent="0.3">
      <c r="A512" s="50">
        <v>46059.684247685182</v>
      </c>
      <c r="B512">
        <v>2.0260206162218601E+18</v>
      </c>
      <c r="C512" t="s">
        <v>5055</v>
      </c>
      <c r="D512" t="s">
        <v>5056</v>
      </c>
      <c r="E512" t="s">
        <v>5056</v>
      </c>
      <c r="F512" t="s">
        <v>5057</v>
      </c>
      <c r="G512" t="s">
        <v>5058</v>
      </c>
      <c r="H512" t="s">
        <v>5058</v>
      </c>
      <c r="I512">
        <v>15869</v>
      </c>
      <c r="J512" t="s">
        <v>5059</v>
      </c>
      <c r="K512" t="s">
        <v>5059</v>
      </c>
      <c r="L512" t="s">
        <v>2832</v>
      </c>
      <c r="M512" t="s">
        <v>2833</v>
      </c>
      <c r="N512">
        <v>54363</v>
      </c>
      <c r="O512">
        <v>45500</v>
      </c>
      <c r="P512">
        <v>1</v>
      </c>
      <c r="Q512">
        <v>0</v>
      </c>
      <c r="S512">
        <v>143790</v>
      </c>
      <c r="T512">
        <v>0</v>
      </c>
      <c r="U512" t="s">
        <v>2835</v>
      </c>
      <c r="W512" t="s">
        <v>5060</v>
      </c>
      <c r="X512">
        <v>45500</v>
      </c>
      <c r="Y512">
        <v>41363.636363636302</v>
      </c>
      <c r="Z512" s="26">
        <v>46062</v>
      </c>
    </row>
    <row r="513" spans="1:26" x14ac:dyDescent="0.3">
      <c r="A513" s="50">
        <v>46059.678969907407</v>
      </c>
      <c r="B513">
        <v>2.0260206161657201E+18</v>
      </c>
      <c r="C513" t="s">
        <v>5061</v>
      </c>
      <c r="D513" t="s">
        <v>5062</v>
      </c>
      <c r="E513" t="s">
        <v>5062</v>
      </c>
      <c r="F513" t="s">
        <v>5061</v>
      </c>
      <c r="G513" t="s">
        <v>5062</v>
      </c>
      <c r="H513" t="s">
        <v>5062</v>
      </c>
      <c r="I513">
        <v>13544</v>
      </c>
      <c r="J513" t="s">
        <v>5063</v>
      </c>
      <c r="K513" t="s">
        <v>5063</v>
      </c>
      <c r="L513" t="s">
        <v>2832</v>
      </c>
      <c r="M513" t="s">
        <v>2833</v>
      </c>
      <c r="N513">
        <v>54363</v>
      </c>
      <c r="O513">
        <v>45500</v>
      </c>
      <c r="P513">
        <v>1</v>
      </c>
      <c r="Q513">
        <v>0</v>
      </c>
      <c r="S513">
        <v>143790</v>
      </c>
      <c r="T513">
        <v>0</v>
      </c>
      <c r="U513" t="s">
        <v>2835</v>
      </c>
      <c r="W513" t="s">
        <v>5064</v>
      </c>
      <c r="X513">
        <v>45500</v>
      </c>
      <c r="Y513">
        <v>41363.636363636302</v>
      </c>
      <c r="Z513" s="26">
        <v>46062</v>
      </c>
    </row>
    <row r="514" spans="1:26" x14ac:dyDescent="0.3">
      <c r="A514" s="50">
        <v>46059.651446759257</v>
      </c>
      <c r="B514">
        <v>2.0260206153656901E+18</v>
      </c>
      <c r="C514" t="s">
        <v>5065</v>
      </c>
      <c r="D514" t="s">
        <v>5066</v>
      </c>
      <c r="E514" t="s">
        <v>5066</v>
      </c>
      <c r="F514" t="s">
        <v>5067</v>
      </c>
      <c r="G514" t="s">
        <v>5068</v>
      </c>
      <c r="H514" t="s">
        <v>5068</v>
      </c>
      <c r="I514">
        <v>16898</v>
      </c>
      <c r="J514" t="s">
        <v>5069</v>
      </c>
      <c r="K514" t="s">
        <v>5069</v>
      </c>
      <c r="L514" t="s">
        <v>2832</v>
      </c>
      <c r="M514" t="s">
        <v>2833</v>
      </c>
      <c r="N514">
        <v>54363</v>
      </c>
      <c r="O514">
        <v>45500</v>
      </c>
      <c r="P514">
        <v>1</v>
      </c>
      <c r="Q514">
        <v>0</v>
      </c>
      <c r="S514">
        <v>143790</v>
      </c>
      <c r="T514">
        <v>0</v>
      </c>
      <c r="U514" t="s">
        <v>2835</v>
      </c>
      <c r="W514" t="s">
        <v>5070</v>
      </c>
      <c r="X514">
        <v>45500</v>
      </c>
      <c r="Y514">
        <v>41363.636363636302</v>
      </c>
      <c r="Z514" s="26">
        <v>46062</v>
      </c>
    </row>
    <row r="515" spans="1:26" x14ac:dyDescent="0.3">
      <c r="A515" s="50">
        <v>46059.645729166667</v>
      </c>
      <c r="B515">
        <v>2.02602061528275E+18</v>
      </c>
      <c r="C515" t="s">
        <v>5065</v>
      </c>
      <c r="D515" t="s">
        <v>5066</v>
      </c>
      <c r="E515" t="s">
        <v>5066</v>
      </c>
      <c r="F515" t="s">
        <v>5071</v>
      </c>
      <c r="G515" t="s">
        <v>5066</v>
      </c>
      <c r="H515" t="s">
        <v>5066</v>
      </c>
      <c r="I515">
        <v>8557</v>
      </c>
      <c r="J515" t="s">
        <v>5072</v>
      </c>
      <c r="K515" t="s">
        <v>5072</v>
      </c>
      <c r="L515" t="s">
        <v>2832</v>
      </c>
      <c r="M515" t="s">
        <v>2833</v>
      </c>
      <c r="N515">
        <v>54363</v>
      </c>
      <c r="O515">
        <v>45500</v>
      </c>
      <c r="P515">
        <v>1</v>
      </c>
      <c r="Q515">
        <v>0</v>
      </c>
      <c r="S515">
        <v>143790</v>
      </c>
      <c r="T515">
        <v>0</v>
      </c>
      <c r="U515" t="s">
        <v>2835</v>
      </c>
      <c r="W515" t="s">
        <v>5073</v>
      </c>
      <c r="X515">
        <v>45500</v>
      </c>
      <c r="Y515">
        <v>41363.636363636302</v>
      </c>
      <c r="Z515" s="26">
        <v>46062</v>
      </c>
    </row>
    <row r="516" spans="1:26" x14ac:dyDescent="0.3">
      <c r="A516" s="50">
        <v>46059.644641203697</v>
      </c>
      <c r="B516">
        <v>2.02602061527425E+18</v>
      </c>
      <c r="C516" t="s">
        <v>5065</v>
      </c>
      <c r="D516" t="s">
        <v>5066</v>
      </c>
      <c r="E516" t="s">
        <v>5066</v>
      </c>
      <c r="F516" t="s">
        <v>5074</v>
      </c>
      <c r="G516" t="s">
        <v>5066</v>
      </c>
      <c r="H516" t="s">
        <v>5066</v>
      </c>
      <c r="I516">
        <v>22738</v>
      </c>
      <c r="J516" t="s">
        <v>5075</v>
      </c>
      <c r="K516" t="s">
        <v>5075</v>
      </c>
      <c r="L516" t="s">
        <v>2832</v>
      </c>
      <c r="M516" t="s">
        <v>2833</v>
      </c>
      <c r="N516">
        <v>54363</v>
      </c>
      <c r="O516">
        <v>45500</v>
      </c>
      <c r="P516">
        <v>1</v>
      </c>
      <c r="Q516">
        <v>0</v>
      </c>
      <c r="S516">
        <v>143790</v>
      </c>
      <c r="T516">
        <v>0</v>
      </c>
      <c r="U516" t="s">
        <v>2835</v>
      </c>
      <c r="W516" t="s">
        <v>5076</v>
      </c>
      <c r="X516">
        <v>45500</v>
      </c>
      <c r="Y516">
        <v>41363.636363636302</v>
      </c>
      <c r="Z516" s="26">
        <v>46062</v>
      </c>
    </row>
    <row r="517" spans="1:26" x14ac:dyDescent="0.3">
      <c r="A517" s="50">
        <v>46059.641203703701</v>
      </c>
      <c r="B517">
        <v>2.02602061520416E+18</v>
      </c>
      <c r="C517" t="s">
        <v>5077</v>
      </c>
      <c r="D517" t="s">
        <v>5078</v>
      </c>
      <c r="E517" t="s">
        <v>5078</v>
      </c>
      <c r="F517" t="s">
        <v>5079</v>
      </c>
      <c r="G517" t="s">
        <v>5078</v>
      </c>
      <c r="H517" t="s">
        <v>5078</v>
      </c>
      <c r="I517">
        <v>35245</v>
      </c>
      <c r="J517" t="s">
        <v>5080</v>
      </c>
      <c r="K517" t="s">
        <v>5080</v>
      </c>
      <c r="L517" t="s">
        <v>2832</v>
      </c>
      <c r="M517" t="s">
        <v>2833</v>
      </c>
      <c r="N517">
        <v>54363</v>
      </c>
      <c r="O517">
        <v>45500</v>
      </c>
      <c r="P517">
        <v>1</v>
      </c>
      <c r="Q517">
        <v>0</v>
      </c>
      <c r="S517">
        <v>143790</v>
      </c>
      <c r="T517">
        <v>0</v>
      </c>
      <c r="U517" t="s">
        <v>2835</v>
      </c>
      <c r="W517" t="s">
        <v>5081</v>
      </c>
      <c r="X517">
        <v>45500</v>
      </c>
      <c r="Y517">
        <v>41363.636363636302</v>
      </c>
      <c r="Z517" s="26">
        <v>46062</v>
      </c>
    </row>
    <row r="518" spans="1:26" x14ac:dyDescent="0.3">
      <c r="A518" s="50">
        <v>46059.640115740738</v>
      </c>
      <c r="B518">
        <v>2.0260206152023401E+18</v>
      </c>
      <c r="C518" t="s">
        <v>2605</v>
      </c>
      <c r="D518" t="s">
        <v>5082</v>
      </c>
      <c r="E518" t="s">
        <v>5082</v>
      </c>
      <c r="F518" t="s">
        <v>2605</v>
      </c>
      <c r="G518" t="s">
        <v>5082</v>
      </c>
      <c r="H518" t="s">
        <v>5082</v>
      </c>
      <c r="I518">
        <v>62066</v>
      </c>
      <c r="J518" t="s">
        <v>5083</v>
      </c>
      <c r="K518" t="s">
        <v>5083</v>
      </c>
      <c r="L518" t="s">
        <v>2832</v>
      </c>
      <c r="M518" t="s">
        <v>2833</v>
      </c>
      <c r="N518">
        <v>54363</v>
      </c>
      <c r="O518">
        <v>45500</v>
      </c>
      <c r="P518">
        <v>1</v>
      </c>
      <c r="Q518">
        <v>0</v>
      </c>
      <c r="S518">
        <v>143790</v>
      </c>
      <c r="T518">
        <v>0</v>
      </c>
      <c r="U518" t="s">
        <v>2835</v>
      </c>
      <c r="W518" t="s">
        <v>5084</v>
      </c>
      <c r="X518">
        <v>45500</v>
      </c>
      <c r="Y518">
        <v>41363.636363636302</v>
      </c>
      <c r="Z518" s="26">
        <v>46062</v>
      </c>
    </row>
    <row r="519" spans="1:26" x14ac:dyDescent="0.3">
      <c r="A519" s="50">
        <v>46059.638356481482</v>
      </c>
      <c r="B519">
        <v>2.02602061517088E+18</v>
      </c>
      <c r="C519" t="s">
        <v>5085</v>
      </c>
      <c r="D519" t="s">
        <v>5086</v>
      </c>
      <c r="E519" t="s">
        <v>5086</v>
      </c>
      <c r="F519" t="s">
        <v>5085</v>
      </c>
      <c r="G519" t="s">
        <v>5086</v>
      </c>
      <c r="H519" t="s">
        <v>5086</v>
      </c>
      <c r="I519">
        <v>5213</v>
      </c>
      <c r="J519" t="s">
        <v>5087</v>
      </c>
      <c r="K519" t="s">
        <v>5087</v>
      </c>
      <c r="L519" t="s">
        <v>2832</v>
      </c>
      <c r="M519" t="s">
        <v>2833</v>
      </c>
      <c r="N519">
        <v>54363</v>
      </c>
      <c r="O519">
        <v>45500</v>
      </c>
      <c r="P519">
        <v>1</v>
      </c>
      <c r="Q519">
        <v>0</v>
      </c>
      <c r="S519">
        <v>143790</v>
      </c>
      <c r="T519">
        <v>0</v>
      </c>
      <c r="U519" t="s">
        <v>2835</v>
      </c>
      <c r="W519" t="s">
        <v>5088</v>
      </c>
      <c r="X519">
        <v>45500</v>
      </c>
      <c r="Y519">
        <v>41363.636363636302</v>
      </c>
      <c r="Z519" s="26">
        <v>46062</v>
      </c>
    </row>
    <row r="520" spans="1:26" x14ac:dyDescent="0.3">
      <c r="A520" s="50">
        <v>46059.636689814812</v>
      </c>
      <c r="B520">
        <v>2.02602061514462E+18</v>
      </c>
      <c r="C520" t="s">
        <v>5089</v>
      </c>
      <c r="D520" t="s">
        <v>5090</v>
      </c>
      <c r="E520" t="s">
        <v>5090</v>
      </c>
      <c r="F520" t="s">
        <v>5089</v>
      </c>
      <c r="G520" t="s">
        <v>5091</v>
      </c>
      <c r="H520" t="s">
        <v>5091</v>
      </c>
      <c r="I520">
        <v>11719</v>
      </c>
      <c r="J520" t="s">
        <v>5092</v>
      </c>
      <c r="K520" t="s">
        <v>5092</v>
      </c>
      <c r="L520" t="s">
        <v>2832</v>
      </c>
      <c r="M520" t="s">
        <v>2833</v>
      </c>
      <c r="N520">
        <v>54363</v>
      </c>
      <c r="O520">
        <v>45500</v>
      </c>
      <c r="P520">
        <v>1</v>
      </c>
      <c r="Q520">
        <v>0</v>
      </c>
      <c r="S520">
        <v>143790</v>
      </c>
      <c r="T520">
        <v>0</v>
      </c>
      <c r="U520" t="s">
        <v>2835</v>
      </c>
      <c r="W520" t="s">
        <v>5093</v>
      </c>
      <c r="X520">
        <v>45500</v>
      </c>
      <c r="Y520">
        <v>41363.636363636302</v>
      </c>
      <c r="Z520" s="26">
        <v>46062</v>
      </c>
    </row>
    <row r="521" spans="1:26" x14ac:dyDescent="0.3">
      <c r="A521" s="50">
        <v>46059.633981481478</v>
      </c>
      <c r="B521">
        <v>2.02602061510497E+18</v>
      </c>
      <c r="C521" t="s">
        <v>5094</v>
      </c>
      <c r="D521" t="s">
        <v>5095</v>
      </c>
      <c r="E521" t="s">
        <v>5095</v>
      </c>
      <c r="F521" t="s">
        <v>5094</v>
      </c>
      <c r="G521" t="s">
        <v>5095</v>
      </c>
      <c r="H521" t="s">
        <v>5095</v>
      </c>
      <c r="I521">
        <v>4425</v>
      </c>
      <c r="J521" t="s">
        <v>5096</v>
      </c>
      <c r="K521" t="s">
        <v>5096</v>
      </c>
      <c r="L521" t="s">
        <v>2832</v>
      </c>
      <c r="M521" t="s">
        <v>2833</v>
      </c>
      <c r="N521">
        <v>54363</v>
      </c>
      <c r="O521">
        <v>45500</v>
      </c>
      <c r="P521">
        <v>1</v>
      </c>
      <c r="Q521">
        <v>0</v>
      </c>
      <c r="R521" t="s">
        <v>5097</v>
      </c>
      <c r="S521">
        <v>143790</v>
      </c>
      <c r="T521">
        <v>0</v>
      </c>
      <c r="U521" t="s">
        <v>2835</v>
      </c>
      <c r="W521" t="s">
        <v>5098</v>
      </c>
      <c r="X521">
        <v>45500</v>
      </c>
      <c r="Y521">
        <v>41363.636363636302</v>
      </c>
      <c r="Z521" s="26">
        <v>46062</v>
      </c>
    </row>
    <row r="522" spans="1:26" x14ac:dyDescent="0.3">
      <c r="A522" s="50">
        <v>46059.617025462961</v>
      </c>
      <c r="B522">
        <v>2.0260206144735201E+18</v>
      </c>
      <c r="C522" t="s">
        <v>5099</v>
      </c>
      <c r="D522" t="s">
        <v>5100</v>
      </c>
      <c r="E522" t="s">
        <v>5100</v>
      </c>
      <c r="F522" t="s">
        <v>5099</v>
      </c>
      <c r="G522" t="s">
        <v>5100</v>
      </c>
      <c r="H522" t="s">
        <v>5100</v>
      </c>
      <c r="I522">
        <v>8589</v>
      </c>
      <c r="J522" t="s">
        <v>5101</v>
      </c>
      <c r="K522" t="s">
        <v>5101</v>
      </c>
      <c r="L522" t="s">
        <v>2832</v>
      </c>
      <c r="M522" t="s">
        <v>2833</v>
      </c>
      <c r="N522">
        <v>54363</v>
      </c>
      <c r="O522">
        <v>45500</v>
      </c>
      <c r="P522">
        <v>1</v>
      </c>
      <c r="Q522">
        <v>0</v>
      </c>
      <c r="S522">
        <v>143790</v>
      </c>
      <c r="T522">
        <v>0</v>
      </c>
      <c r="U522" t="s">
        <v>2835</v>
      </c>
      <c r="W522" t="s">
        <v>5102</v>
      </c>
      <c r="X522">
        <v>45500</v>
      </c>
      <c r="Y522">
        <v>41363.636363636302</v>
      </c>
      <c r="Z522" s="26">
        <v>46062</v>
      </c>
    </row>
    <row r="523" spans="1:26" x14ac:dyDescent="0.3">
      <c r="A523" s="50">
        <v>46059.61078703704</v>
      </c>
      <c r="B523">
        <v>2.02602061438269E+18</v>
      </c>
      <c r="C523" t="s">
        <v>5103</v>
      </c>
      <c r="D523" t="s">
        <v>5104</v>
      </c>
      <c r="E523" t="s">
        <v>5104</v>
      </c>
      <c r="F523" t="s">
        <v>5103</v>
      </c>
      <c r="G523" t="s">
        <v>5104</v>
      </c>
      <c r="H523" t="s">
        <v>5104</v>
      </c>
      <c r="I523">
        <v>61190</v>
      </c>
      <c r="J523" t="s">
        <v>5105</v>
      </c>
      <c r="K523" t="s">
        <v>5105</v>
      </c>
      <c r="L523" t="s">
        <v>2832</v>
      </c>
      <c r="M523" t="s">
        <v>2833</v>
      </c>
      <c r="N523">
        <v>54363</v>
      </c>
      <c r="O523">
        <v>45500</v>
      </c>
      <c r="P523">
        <v>1</v>
      </c>
      <c r="Q523">
        <v>0</v>
      </c>
      <c r="S523">
        <v>143790</v>
      </c>
      <c r="T523">
        <v>0</v>
      </c>
      <c r="U523" t="s">
        <v>2835</v>
      </c>
      <c r="W523" t="s">
        <v>5106</v>
      </c>
      <c r="X523">
        <v>45500</v>
      </c>
      <c r="Y523">
        <v>41363.636363636302</v>
      </c>
      <c r="Z523" s="26">
        <v>46062</v>
      </c>
    </row>
    <row r="524" spans="1:26" x14ac:dyDescent="0.3">
      <c r="A524" s="50">
        <v>46059.605821759258</v>
      </c>
      <c r="B524">
        <v>2.0260206142657101E+18</v>
      </c>
      <c r="C524" t="s">
        <v>4802</v>
      </c>
      <c r="D524" t="s">
        <v>3022</v>
      </c>
      <c r="E524" t="s">
        <v>3022</v>
      </c>
      <c r="F524" t="s">
        <v>5107</v>
      </c>
      <c r="G524" t="s">
        <v>5108</v>
      </c>
      <c r="H524" t="s">
        <v>5108</v>
      </c>
      <c r="I524">
        <v>12772</v>
      </c>
      <c r="J524" t="s">
        <v>5109</v>
      </c>
      <c r="K524" t="s">
        <v>5109</v>
      </c>
      <c r="L524" t="s">
        <v>2832</v>
      </c>
      <c r="M524" t="s">
        <v>2833</v>
      </c>
      <c r="N524">
        <v>54363</v>
      </c>
      <c r="O524">
        <v>45500</v>
      </c>
      <c r="P524">
        <v>1</v>
      </c>
      <c r="Q524">
        <v>0</v>
      </c>
      <c r="S524">
        <v>143790</v>
      </c>
      <c r="T524">
        <v>0</v>
      </c>
      <c r="U524" t="s">
        <v>2835</v>
      </c>
      <c r="W524" t="s">
        <v>5110</v>
      </c>
      <c r="X524">
        <v>45500</v>
      </c>
      <c r="Y524">
        <v>41363.636363636302</v>
      </c>
      <c r="Z524" s="26">
        <v>46062</v>
      </c>
    </row>
    <row r="525" spans="1:26" x14ac:dyDescent="0.3">
      <c r="A525" s="50">
        <v>46059.563194444447</v>
      </c>
      <c r="B525">
        <v>2.02602061329456E+18</v>
      </c>
      <c r="C525" t="s">
        <v>5111</v>
      </c>
      <c r="D525" t="s">
        <v>5112</v>
      </c>
      <c r="E525" t="s">
        <v>5112</v>
      </c>
      <c r="F525" t="s">
        <v>5111</v>
      </c>
      <c r="G525" t="s">
        <v>5112</v>
      </c>
      <c r="H525" t="s">
        <v>5112</v>
      </c>
      <c r="I525">
        <v>8606</v>
      </c>
      <c r="J525" t="s">
        <v>5113</v>
      </c>
      <c r="K525" t="s">
        <v>5113</v>
      </c>
      <c r="L525" t="s">
        <v>2832</v>
      </c>
      <c r="M525" t="s">
        <v>2833</v>
      </c>
      <c r="N525">
        <v>54363</v>
      </c>
      <c r="O525">
        <v>45500</v>
      </c>
      <c r="P525">
        <v>1</v>
      </c>
      <c r="Q525">
        <v>0</v>
      </c>
      <c r="S525">
        <v>143790</v>
      </c>
      <c r="T525">
        <v>0</v>
      </c>
      <c r="U525" t="s">
        <v>2835</v>
      </c>
      <c r="W525" t="s">
        <v>5114</v>
      </c>
      <c r="X525">
        <v>45500</v>
      </c>
      <c r="Y525">
        <v>41363.636363636302</v>
      </c>
      <c r="Z525" s="26">
        <v>46062</v>
      </c>
    </row>
    <row r="526" spans="1:26" x14ac:dyDescent="0.3">
      <c r="A526" s="50">
        <v>46059.530150462961</v>
      </c>
      <c r="B526">
        <v>2.02602061242429E+18</v>
      </c>
      <c r="C526" t="s">
        <v>5115</v>
      </c>
      <c r="D526" t="s">
        <v>5116</v>
      </c>
      <c r="E526" t="s">
        <v>5116</v>
      </c>
      <c r="F526" t="s">
        <v>5115</v>
      </c>
      <c r="G526" t="s">
        <v>5116</v>
      </c>
      <c r="H526" t="s">
        <v>5116</v>
      </c>
      <c r="I526">
        <v>16698</v>
      </c>
      <c r="J526" t="s">
        <v>5117</v>
      </c>
      <c r="K526" t="s">
        <v>5117</v>
      </c>
      <c r="L526" t="s">
        <v>2832</v>
      </c>
      <c r="M526" t="s">
        <v>2833</v>
      </c>
      <c r="N526">
        <v>108726</v>
      </c>
      <c r="O526">
        <v>45500</v>
      </c>
      <c r="P526">
        <v>2</v>
      </c>
      <c r="Q526">
        <v>0</v>
      </c>
      <c r="S526">
        <v>143790</v>
      </c>
      <c r="T526">
        <v>0</v>
      </c>
      <c r="U526" t="s">
        <v>2835</v>
      </c>
      <c r="W526" t="s">
        <v>5118</v>
      </c>
      <c r="X526">
        <v>91000</v>
      </c>
      <c r="Y526">
        <v>82727.272727272706</v>
      </c>
      <c r="Z526" s="26">
        <v>46062</v>
      </c>
    </row>
    <row r="527" spans="1:26" x14ac:dyDescent="0.3">
      <c r="A527" s="50">
        <v>46059.523831018523</v>
      </c>
      <c r="B527">
        <v>2.0260206123241001E+18</v>
      </c>
      <c r="C527" t="s">
        <v>5119</v>
      </c>
      <c r="D527" t="s">
        <v>5120</v>
      </c>
      <c r="E527" t="s">
        <v>5120</v>
      </c>
      <c r="F527" t="s">
        <v>5119</v>
      </c>
      <c r="G527" t="s">
        <v>5120</v>
      </c>
      <c r="H527" t="s">
        <v>5120</v>
      </c>
      <c r="I527">
        <v>12255</v>
      </c>
      <c r="J527" t="s">
        <v>5121</v>
      </c>
      <c r="K527" t="s">
        <v>5121</v>
      </c>
      <c r="L527" t="s">
        <v>2832</v>
      </c>
      <c r="M527" t="s">
        <v>2833</v>
      </c>
      <c r="N527">
        <v>54363</v>
      </c>
      <c r="O527">
        <v>45500</v>
      </c>
      <c r="P527">
        <v>1</v>
      </c>
      <c r="Q527">
        <v>0</v>
      </c>
      <c r="S527">
        <v>143790</v>
      </c>
      <c r="T527">
        <v>0</v>
      </c>
      <c r="U527" t="s">
        <v>2835</v>
      </c>
      <c r="W527" t="s">
        <v>5122</v>
      </c>
      <c r="X527">
        <v>45500</v>
      </c>
      <c r="Y527">
        <v>41363.636363636302</v>
      </c>
      <c r="Z527" s="26">
        <v>46062</v>
      </c>
    </row>
    <row r="528" spans="1:26" x14ac:dyDescent="0.3">
      <c r="A528" s="50">
        <v>46059.497361111113</v>
      </c>
      <c r="B528">
        <v>2.0260206112135301E+18</v>
      </c>
      <c r="C528" t="s">
        <v>5123</v>
      </c>
      <c r="D528" t="s">
        <v>5124</v>
      </c>
      <c r="E528" t="s">
        <v>5124</v>
      </c>
      <c r="F528" t="s">
        <v>5123</v>
      </c>
      <c r="G528" t="s">
        <v>5125</v>
      </c>
      <c r="H528" t="s">
        <v>5125</v>
      </c>
      <c r="I528">
        <v>26403</v>
      </c>
      <c r="J528" t="s">
        <v>5126</v>
      </c>
      <c r="K528" t="s">
        <v>5126</v>
      </c>
      <c r="L528" t="s">
        <v>2832</v>
      </c>
      <c r="M528" t="s">
        <v>2833</v>
      </c>
      <c r="N528">
        <v>108726</v>
      </c>
      <c r="O528">
        <v>45500</v>
      </c>
      <c r="P528">
        <v>2</v>
      </c>
      <c r="Q528">
        <v>0</v>
      </c>
      <c r="S528">
        <v>143790</v>
      </c>
      <c r="T528">
        <v>0</v>
      </c>
      <c r="U528" t="s">
        <v>2835</v>
      </c>
      <c r="W528" t="s">
        <v>5127</v>
      </c>
      <c r="X528">
        <v>91000</v>
      </c>
      <c r="Y528">
        <v>82727.272727272706</v>
      </c>
      <c r="Z528" s="26">
        <v>46062</v>
      </c>
    </row>
    <row r="529" spans="1:26" x14ac:dyDescent="0.3">
      <c r="A529" s="50">
        <v>46059.477870370371</v>
      </c>
      <c r="B529">
        <v>2.02602061126591E+18</v>
      </c>
      <c r="C529" t="s">
        <v>5128</v>
      </c>
      <c r="D529" t="s">
        <v>5129</v>
      </c>
      <c r="E529" t="s">
        <v>5129</v>
      </c>
      <c r="F529" t="s">
        <v>5128</v>
      </c>
      <c r="G529" t="s">
        <v>5129</v>
      </c>
      <c r="H529" t="s">
        <v>5129</v>
      </c>
      <c r="I529">
        <v>24221</v>
      </c>
      <c r="J529" t="s">
        <v>5130</v>
      </c>
      <c r="K529" t="s">
        <v>5130</v>
      </c>
      <c r="L529" t="s">
        <v>2832</v>
      </c>
      <c r="M529" t="s">
        <v>2833</v>
      </c>
      <c r="N529">
        <v>108726</v>
      </c>
      <c r="O529">
        <v>45500</v>
      </c>
      <c r="P529">
        <v>2</v>
      </c>
      <c r="Q529">
        <v>0</v>
      </c>
      <c r="S529">
        <v>143790</v>
      </c>
      <c r="T529">
        <v>0</v>
      </c>
      <c r="U529" t="s">
        <v>2835</v>
      </c>
      <c r="W529" t="s">
        <v>5131</v>
      </c>
      <c r="X529">
        <v>91000</v>
      </c>
      <c r="Y529">
        <v>82727.272727272706</v>
      </c>
      <c r="Z529" s="26">
        <v>46062</v>
      </c>
    </row>
    <row r="530" spans="1:26" x14ac:dyDescent="0.3">
      <c r="A530" s="50">
        <v>46059.469872685193</v>
      </c>
      <c r="B530">
        <v>2.0260206111532001E+18</v>
      </c>
      <c r="C530" t="s">
        <v>5132</v>
      </c>
      <c r="D530" t="s">
        <v>5133</v>
      </c>
      <c r="E530" t="s">
        <v>5133</v>
      </c>
      <c r="F530" t="s">
        <v>5132</v>
      </c>
      <c r="G530" t="s">
        <v>5134</v>
      </c>
      <c r="H530" t="s">
        <v>5134</v>
      </c>
      <c r="I530">
        <v>44496</v>
      </c>
      <c r="J530" t="s">
        <v>5135</v>
      </c>
      <c r="K530" t="s">
        <v>5135</v>
      </c>
      <c r="L530" t="s">
        <v>2832</v>
      </c>
      <c r="M530" t="s">
        <v>2833</v>
      </c>
      <c r="N530">
        <v>54363</v>
      </c>
      <c r="O530">
        <v>45500</v>
      </c>
      <c r="P530">
        <v>1</v>
      </c>
      <c r="Q530">
        <v>0</v>
      </c>
      <c r="S530">
        <v>143790</v>
      </c>
      <c r="T530">
        <v>0</v>
      </c>
      <c r="U530" t="s">
        <v>2835</v>
      </c>
      <c r="W530" t="s">
        <v>5136</v>
      </c>
      <c r="X530">
        <v>45500</v>
      </c>
      <c r="Y530">
        <v>41363.636363636302</v>
      </c>
      <c r="Z530" s="26">
        <v>46062</v>
      </c>
    </row>
    <row r="531" spans="1:26" x14ac:dyDescent="0.3">
      <c r="A531" s="50">
        <v>46059.167870370373</v>
      </c>
      <c r="B531">
        <v>2.0260206040057101E+18</v>
      </c>
      <c r="C531" t="s">
        <v>5137</v>
      </c>
      <c r="D531" t="s">
        <v>5138</v>
      </c>
      <c r="E531" t="s">
        <v>5138</v>
      </c>
      <c r="F531" t="s">
        <v>5139</v>
      </c>
      <c r="G531" t="s">
        <v>5140</v>
      </c>
      <c r="H531" t="s">
        <v>5140</v>
      </c>
      <c r="I531">
        <v>44646</v>
      </c>
      <c r="J531" t="s">
        <v>5141</v>
      </c>
      <c r="K531" t="s">
        <v>5141</v>
      </c>
      <c r="L531" t="s">
        <v>2832</v>
      </c>
      <c r="M531" t="s">
        <v>2833</v>
      </c>
      <c r="N531">
        <v>54363</v>
      </c>
      <c r="O531">
        <v>45500</v>
      </c>
      <c r="P531">
        <v>1</v>
      </c>
      <c r="Q531">
        <v>0</v>
      </c>
      <c r="S531">
        <v>143790</v>
      </c>
      <c r="T531">
        <v>0</v>
      </c>
      <c r="U531" t="s">
        <v>2835</v>
      </c>
      <c r="W531" t="s">
        <v>5142</v>
      </c>
      <c r="X531">
        <v>45500</v>
      </c>
      <c r="Y531">
        <v>41363.636363636302</v>
      </c>
      <c r="Z531" s="26">
        <v>46062</v>
      </c>
    </row>
    <row r="532" spans="1:26" x14ac:dyDescent="0.3">
      <c r="A532" s="50">
        <v>46059.166956018518</v>
      </c>
      <c r="B532">
        <v>2.0260206035917801E+18</v>
      </c>
      <c r="C532" t="s">
        <v>5137</v>
      </c>
      <c r="D532" t="s">
        <v>5138</v>
      </c>
      <c r="E532" t="s">
        <v>5138</v>
      </c>
      <c r="F532" t="s">
        <v>5143</v>
      </c>
      <c r="G532" t="s">
        <v>5144</v>
      </c>
      <c r="H532" t="s">
        <v>5144</v>
      </c>
      <c r="I532">
        <v>10518</v>
      </c>
      <c r="J532" t="s">
        <v>5145</v>
      </c>
      <c r="K532" t="s">
        <v>5145</v>
      </c>
      <c r="L532" t="s">
        <v>2832</v>
      </c>
      <c r="M532" t="s">
        <v>2833</v>
      </c>
      <c r="N532">
        <v>54363</v>
      </c>
      <c r="O532">
        <v>45500</v>
      </c>
      <c r="P532">
        <v>1</v>
      </c>
      <c r="Q532">
        <v>0</v>
      </c>
      <c r="S532">
        <v>143790</v>
      </c>
      <c r="T532">
        <v>0</v>
      </c>
      <c r="U532" t="s">
        <v>2835</v>
      </c>
      <c r="W532" t="s">
        <v>5146</v>
      </c>
      <c r="X532">
        <v>45500</v>
      </c>
      <c r="Y532">
        <v>41363.636363636302</v>
      </c>
      <c r="Z532" s="26">
        <v>46062</v>
      </c>
    </row>
    <row r="533" spans="1:26" x14ac:dyDescent="0.3">
      <c r="A533" s="50">
        <v>46059.006631944438</v>
      </c>
      <c r="B533">
        <v>2.02602060008563E+18</v>
      </c>
      <c r="C533" t="s">
        <v>5147</v>
      </c>
      <c r="D533" t="s">
        <v>5148</v>
      </c>
      <c r="E533" t="s">
        <v>5148</v>
      </c>
      <c r="F533" t="s">
        <v>5147</v>
      </c>
      <c r="G533" t="s">
        <v>5148</v>
      </c>
      <c r="H533" t="s">
        <v>5148</v>
      </c>
      <c r="I533">
        <v>13640</v>
      </c>
      <c r="J533" t="s">
        <v>5149</v>
      </c>
      <c r="K533" t="s">
        <v>5149</v>
      </c>
      <c r="L533" t="s">
        <v>2832</v>
      </c>
      <c r="M533" t="s">
        <v>2833</v>
      </c>
      <c r="N533">
        <v>54363</v>
      </c>
      <c r="O533">
        <v>45500</v>
      </c>
      <c r="P533">
        <v>1</v>
      </c>
      <c r="Q533">
        <v>0</v>
      </c>
      <c r="S533">
        <v>143790</v>
      </c>
      <c r="T533">
        <v>0</v>
      </c>
      <c r="U533" t="s">
        <v>2835</v>
      </c>
      <c r="W533" t="s">
        <v>5150</v>
      </c>
      <c r="X533">
        <v>45500</v>
      </c>
      <c r="Y533">
        <v>41363.636363636302</v>
      </c>
      <c r="Z533" s="26">
        <v>46062</v>
      </c>
    </row>
    <row r="534" spans="1:26" x14ac:dyDescent="0.3">
      <c r="A534" s="50">
        <v>46062.379675925928</v>
      </c>
      <c r="B534">
        <v>2.0260209090323899E+18</v>
      </c>
      <c r="C534" t="s">
        <v>5151</v>
      </c>
      <c r="D534" t="s">
        <v>5152</v>
      </c>
      <c r="E534" t="s">
        <v>5152</v>
      </c>
      <c r="F534" t="s">
        <v>5153</v>
      </c>
      <c r="G534" t="s">
        <v>5154</v>
      </c>
      <c r="H534" t="s">
        <v>5154</v>
      </c>
      <c r="I534">
        <v>3631</v>
      </c>
      <c r="J534" t="s">
        <v>5155</v>
      </c>
      <c r="K534" t="s">
        <v>5155</v>
      </c>
      <c r="L534" t="s">
        <v>2832</v>
      </c>
      <c r="M534" t="s">
        <v>2833</v>
      </c>
      <c r="N534">
        <v>6454</v>
      </c>
      <c r="O534">
        <v>45500</v>
      </c>
      <c r="P534">
        <v>1</v>
      </c>
      <c r="Q534">
        <v>0</v>
      </c>
      <c r="S534">
        <v>143812</v>
      </c>
      <c r="T534">
        <v>0</v>
      </c>
      <c r="U534" t="s">
        <v>5156</v>
      </c>
      <c r="W534" t="s">
        <v>5157</v>
      </c>
      <c r="X534">
        <v>45500</v>
      </c>
      <c r="Y534">
        <v>41363.636363636302</v>
      </c>
      <c r="Z534" s="26">
        <v>46062</v>
      </c>
    </row>
    <row r="535" spans="1:26" x14ac:dyDescent="0.3">
      <c r="A535" s="50">
        <v>46062.340081018519</v>
      </c>
      <c r="B535">
        <v>2.02602090807597E+18</v>
      </c>
      <c r="C535" t="s">
        <v>5158</v>
      </c>
      <c r="D535" t="s">
        <v>5159</v>
      </c>
      <c r="E535" t="s">
        <v>5159</v>
      </c>
      <c r="F535" t="s">
        <v>5158</v>
      </c>
      <c r="G535" t="s">
        <v>5159</v>
      </c>
      <c r="H535" t="s">
        <v>5159</v>
      </c>
      <c r="I535">
        <v>34818</v>
      </c>
      <c r="J535" t="s">
        <v>5160</v>
      </c>
      <c r="K535" t="s">
        <v>5160</v>
      </c>
      <c r="L535" t="s">
        <v>2832</v>
      </c>
      <c r="M535" t="s">
        <v>2833</v>
      </c>
      <c r="N535">
        <v>6454</v>
      </c>
      <c r="O535">
        <v>45500</v>
      </c>
      <c r="P535">
        <v>1</v>
      </c>
      <c r="Q535">
        <v>0</v>
      </c>
      <c r="R535" t="s">
        <v>5161</v>
      </c>
      <c r="S535">
        <v>143812</v>
      </c>
      <c r="T535">
        <v>0</v>
      </c>
      <c r="U535" t="s">
        <v>5156</v>
      </c>
      <c r="W535" t="s">
        <v>5162</v>
      </c>
      <c r="X535">
        <v>45500</v>
      </c>
      <c r="Y535">
        <v>41363.636363636302</v>
      </c>
      <c r="Z535" s="26">
        <v>46062</v>
      </c>
    </row>
    <row r="536" spans="1:26" x14ac:dyDescent="0.3">
      <c r="A536" s="50">
        <v>46062.296180555553</v>
      </c>
      <c r="B536">
        <v>2.02602090705537E+18</v>
      </c>
      <c r="C536" t="s">
        <v>5163</v>
      </c>
      <c r="D536" t="s">
        <v>5164</v>
      </c>
      <c r="E536" t="s">
        <v>5164</v>
      </c>
      <c r="F536" t="s">
        <v>5163</v>
      </c>
      <c r="G536" t="s">
        <v>5164</v>
      </c>
      <c r="H536" t="s">
        <v>5164</v>
      </c>
      <c r="I536">
        <v>6570</v>
      </c>
      <c r="J536" t="s">
        <v>5165</v>
      </c>
      <c r="K536" t="s">
        <v>5165</v>
      </c>
      <c r="L536" t="s">
        <v>2832</v>
      </c>
      <c r="M536" t="s">
        <v>2833</v>
      </c>
      <c r="N536">
        <v>6454</v>
      </c>
      <c r="O536">
        <v>45500</v>
      </c>
      <c r="P536">
        <v>1</v>
      </c>
      <c r="Q536">
        <v>0</v>
      </c>
      <c r="S536">
        <v>143812</v>
      </c>
      <c r="T536">
        <v>0</v>
      </c>
      <c r="U536" t="s">
        <v>5156</v>
      </c>
      <c r="W536" t="s">
        <v>5166</v>
      </c>
      <c r="X536">
        <v>45500</v>
      </c>
      <c r="Y536">
        <v>41363.636363636302</v>
      </c>
      <c r="Z536" s="26">
        <v>46062</v>
      </c>
    </row>
    <row r="537" spans="1:26" x14ac:dyDescent="0.3">
      <c r="A537" s="50">
        <v>46061.78465277778</v>
      </c>
      <c r="B537">
        <v>2.0260208184923799E+18</v>
      </c>
      <c r="C537" t="s">
        <v>5167</v>
      </c>
      <c r="D537" t="s">
        <v>5168</v>
      </c>
      <c r="E537" t="s">
        <v>5168</v>
      </c>
      <c r="F537" t="s">
        <v>5167</v>
      </c>
      <c r="G537" t="s">
        <v>5168</v>
      </c>
      <c r="H537" t="s">
        <v>5168</v>
      </c>
      <c r="I537">
        <v>48312</v>
      </c>
      <c r="J537" t="s">
        <v>5169</v>
      </c>
      <c r="K537" t="s">
        <v>5169</v>
      </c>
      <c r="L537" t="s">
        <v>3829</v>
      </c>
      <c r="M537" t="s">
        <v>3830</v>
      </c>
      <c r="N537">
        <v>18181</v>
      </c>
      <c r="O537">
        <v>63000</v>
      </c>
      <c r="P537">
        <v>1</v>
      </c>
      <c r="Q537" t="s">
        <v>3831</v>
      </c>
      <c r="S537">
        <v>143790</v>
      </c>
      <c r="T537">
        <v>0</v>
      </c>
      <c r="U537" t="s">
        <v>2835</v>
      </c>
      <c r="W537" t="s">
        <v>5170</v>
      </c>
      <c r="X537">
        <v>63000</v>
      </c>
      <c r="Y537">
        <v>57272.727272727199</v>
      </c>
      <c r="Z537" s="26">
        <v>46062</v>
      </c>
    </row>
    <row r="538" spans="1:26" x14ac:dyDescent="0.3">
      <c r="A538" s="50">
        <v>46061.759039351848</v>
      </c>
      <c r="B538">
        <v>2.02602081812339E+18</v>
      </c>
      <c r="C538" t="s">
        <v>5171</v>
      </c>
      <c r="D538" t="s">
        <v>5172</v>
      </c>
      <c r="E538" t="s">
        <v>5172</v>
      </c>
      <c r="F538" t="s">
        <v>5171</v>
      </c>
      <c r="G538" t="s">
        <v>5172</v>
      </c>
      <c r="H538" t="s">
        <v>5172</v>
      </c>
      <c r="I538">
        <v>48272</v>
      </c>
      <c r="J538" t="s">
        <v>5173</v>
      </c>
      <c r="K538" t="s">
        <v>5173</v>
      </c>
      <c r="L538" t="s">
        <v>3829</v>
      </c>
      <c r="M538" t="s">
        <v>3830</v>
      </c>
      <c r="N538">
        <v>36362</v>
      </c>
      <c r="O538">
        <v>63000</v>
      </c>
      <c r="P538">
        <v>2</v>
      </c>
      <c r="Q538" t="s">
        <v>3831</v>
      </c>
      <c r="S538">
        <v>143790</v>
      </c>
      <c r="T538">
        <v>0</v>
      </c>
      <c r="U538" t="s">
        <v>2835</v>
      </c>
      <c r="W538" t="s">
        <v>5174</v>
      </c>
      <c r="X538">
        <v>126000</v>
      </c>
      <c r="Y538">
        <v>114545.45454545401</v>
      </c>
      <c r="Z538" s="26">
        <v>46062</v>
      </c>
    </row>
    <row r="539" spans="1:26" x14ac:dyDescent="0.3">
      <c r="A539" s="50">
        <v>46061.747152777767</v>
      </c>
      <c r="B539">
        <v>2.0260208175501599E+18</v>
      </c>
      <c r="C539" t="s">
        <v>5175</v>
      </c>
      <c r="D539" t="s">
        <v>5176</v>
      </c>
      <c r="E539" t="s">
        <v>5176</v>
      </c>
      <c r="F539" t="s">
        <v>5175</v>
      </c>
      <c r="G539" t="s">
        <v>5176</v>
      </c>
      <c r="H539" t="s">
        <v>5176</v>
      </c>
      <c r="I539">
        <v>55048</v>
      </c>
      <c r="J539" t="s">
        <v>5177</v>
      </c>
      <c r="K539" t="s">
        <v>5177</v>
      </c>
      <c r="L539" t="s">
        <v>3829</v>
      </c>
      <c r="M539" t="s">
        <v>3830</v>
      </c>
      <c r="N539">
        <v>18181</v>
      </c>
      <c r="O539">
        <v>63000</v>
      </c>
      <c r="P539">
        <v>1</v>
      </c>
      <c r="Q539" t="s">
        <v>3831</v>
      </c>
      <c r="S539">
        <v>143790</v>
      </c>
      <c r="T539">
        <v>0</v>
      </c>
      <c r="U539" t="s">
        <v>2835</v>
      </c>
      <c r="W539" t="s">
        <v>5178</v>
      </c>
      <c r="X539">
        <v>63000</v>
      </c>
      <c r="Y539">
        <v>57272.727272727199</v>
      </c>
      <c r="Z539" s="26">
        <v>46062</v>
      </c>
    </row>
    <row r="540" spans="1:26" x14ac:dyDescent="0.3">
      <c r="A540" s="50">
        <v>46061.745474537027</v>
      </c>
      <c r="B540">
        <v>2.0260208175207601E+18</v>
      </c>
      <c r="C540" t="s">
        <v>5179</v>
      </c>
      <c r="D540" t="s">
        <v>5180</v>
      </c>
      <c r="E540" t="s">
        <v>5180</v>
      </c>
      <c r="F540" t="s">
        <v>5179</v>
      </c>
      <c r="G540" t="s">
        <v>5180</v>
      </c>
      <c r="H540" t="s">
        <v>5180</v>
      </c>
      <c r="I540">
        <v>18484</v>
      </c>
      <c r="J540" t="s">
        <v>5181</v>
      </c>
      <c r="K540" t="s">
        <v>5181</v>
      </c>
      <c r="L540" t="s">
        <v>3829</v>
      </c>
      <c r="M540" t="s">
        <v>3830</v>
      </c>
      <c r="N540">
        <v>18181</v>
      </c>
      <c r="O540">
        <v>63000</v>
      </c>
      <c r="P540">
        <v>1</v>
      </c>
      <c r="Q540" t="s">
        <v>3831</v>
      </c>
      <c r="S540">
        <v>143790</v>
      </c>
      <c r="T540">
        <v>0</v>
      </c>
      <c r="U540" t="s">
        <v>2835</v>
      </c>
      <c r="W540" t="s">
        <v>5182</v>
      </c>
      <c r="X540">
        <v>63000</v>
      </c>
      <c r="Y540">
        <v>57272.727272727199</v>
      </c>
      <c r="Z540" s="26">
        <v>46062</v>
      </c>
    </row>
    <row r="541" spans="1:26" x14ac:dyDescent="0.3">
      <c r="A541" s="50">
        <v>46061.740590277783</v>
      </c>
      <c r="B541">
        <v>2.0260208174407099E+18</v>
      </c>
      <c r="C541" t="s">
        <v>5183</v>
      </c>
      <c r="D541" t="s">
        <v>5184</v>
      </c>
      <c r="E541" t="s">
        <v>5184</v>
      </c>
      <c r="F541" t="s">
        <v>5183</v>
      </c>
      <c r="G541" t="s">
        <v>5184</v>
      </c>
      <c r="H541" t="s">
        <v>5184</v>
      </c>
      <c r="I541">
        <v>59703</v>
      </c>
      <c r="J541" t="s">
        <v>5185</v>
      </c>
      <c r="K541" t="s">
        <v>5185</v>
      </c>
      <c r="L541" t="s">
        <v>3829</v>
      </c>
      <c r="M541" t="s">
        <v>3830</v>
      </c>
      <c r="N541">
        <v>18181</v>
      </c>
      <c r="O541">
        <v>63000</v>
      </c>
      <c r="P541">
        <v>1</v>
      </c>
      <c r="Q541" t="s">
        <v>3831</v>
      </c>
      <c r="S541">
        <v>143790</v>
      </c>
      <c r="T541">
        <v>0</v>
      </c>
      <c r="U541" t="s">
        <v>2835</v>
      </c>
      <c r="W541" t="s">
        <v>5186</v>
      </c>
      <c r="X541">
        <v>63000</v>
      </c>
      <c r="Y541">
        <v>57272.727272727199</v>
      </c>
      <c r="Z541" s="26">
        <v>46062</v>
      </c>
    </row>
    <row r="542" spans="1:26" x14ac:dyDescent="0.3">
      <c r="A542" s="50">
        <v>46061.596400462957</v>
      </c>
      <c r="B542">
        <v>2.0260208141737001E+18</v>
      </c>
      <c r="C542" t="s">
        <v>5187</v>
      </c>
      <c r="D542" t="s">
        <v>5188</v>
      </c>
      <c r="E542" t="s">
        <v>5188</v>
      </c>
      <c r="F542" t="s">
        <v>5187</v>
      </c>
      <c r="G542" t="s">
        <v>5188</v>
      </c>
      <c r="H542" t="s">
        <v>5188</v>
      </c>
      <c r="I542">
        <v>7651</v>
      </c>
      <c r="J542" t="s">
        <v>5189</v>
      </c>
      <c r="K542" t="s">
        <v>5189</v>
      </c>
      <c r="L542" t="s">
        <v>3829</v>
      </c>
      <c r="M542" t="s">
        <v>3830</v>
      </c>
      <c r="N542">
        <v>18181</v>
      </c>
      <c r="O542">
        <v>63000</v>
      </c>
      <c r="P542">
        <v>1</v>
      </c>
      <c r="Q542" t="s">
        <v>3831</v>
      </c>
      <c r="S542">
        <v>143790</v>
      </c>
      <c r="T542">
        <v>0</v>
      </c>
      <c r="U542" t="s">
        <v>2835</v>
      </c>
      <c r="W542" t="s">
        <v>5190</v>
      </c>
      <c r="X542">
        <v>63000</v>
      </c>
      <c r="Y542">
        <v>57272.727272727199</v>
      </c>
      <c r="Z542" s="26">
        <v>46062</v>
      </c>
    </row>
    <row r="543" spans="1:26" x14ac:dyDescent="0.3">
      <c r="A543" s="50">
        <v>46061.560844907413</v>
      </c>
      <c r="B543">
        <v>2.02602081327074E+18</v>
      </c>
      <c r="C543" t="s">
        <v>5191</v>
      </c>
      <c r="D543" t="s">
        <v>5192</v>
      </c>
      <c r="E543" t="s">
        <v>5192</v>
      </c>
      <c r="F543" t="s">
        <v>5191</v>
      </c>
      <c r="G543" t="s">
        <v>5192</v>
      </c>
      <c r="H543" t="s">
        <v>5192</v>
      </c>
      <c r="I543">
        <v>12912</v>
      </c>
      <c r="J543" t="s">
        <v>5193</v>
      </c>
      <c r="K543" t="s">
        <v>5193</v>
      </c>
      <c r="L543" t="s">
        <v>3829</v>
      </c>
      <c r="M543" t="s">
        <v>3830</v>
      </c>
      <c r="N543">
        <v>18181</v>
      </c>
      <c r="O543">
        <v>63000</v>
      </c>
      <c r="P543">
        <v>1</v>
      </c>
      <c r="Q543" t="s">
        <v>3831</v>
      </c>
      <c r="S543">
        <v>143790</v>
      </c>
      <c r="T543">
        <v>0</v>
      </c>
      <c r="U543" t="s">
        <v>2835</v>
      </c>
      <c r="W543" t="s">
        <v>5194</v>
      </c>
      <c r="X543">
        <v>63000</v>
      </c>
      <c r="Y543">
        <v>57272.727272727199</v>
      </c>
      <c r="Z543" s="26">
        <v>46062</v>
      </c>
    </row>
    <row r="544" spans="1:26" x14ac:dyDescent="0.3">
      <c r="A544" s="50">
        <v>46061.560254629629</v>
      </c>
      <c r="B544">
        <v>2.0260208132624599E+18</v>
      </c>
      <c r="C544" t="s">
        <v>5191</v>
      </c>
      <c r="D544" t="s">
        <v>5192</v>
      </c>
      <c r="E544" t="s">
        <v>5192</v>
      </c>
      <c r="F544" t="s">
        <v>5191</v>
      </c>
      <c r="G544" t="s">
        <v>5192</v>
      </c>
      <c r="H544" t="s">
        <v>5192</v>
      </c>
      <c r="I544">
        <v>12912</v>
      </c>
      <c r="J544" t="s">
        <v>5193</v>
      </c>
      <c r="K544" t="s">
        <v>5193</v>
      </c>
      <c r="L544" t="s">
        <v>3829</v>
      </c>
      <c r="M544" t="s">
        <v>3830</v>
      </c>
      <c r="N544">
        <v>18181</v>
      </c>
      <c r="O544">
        <v>63000</v>
      </c>
      <c r="P544">
        <v>1</v>
      </c>
      <c r="Q544" t="s">
        <v>3831</v>
      </c>
      <c r="S544">
        <v>143790</v>
      </c>
      <c r="T544">
        <v>0</v>
      </c>
      <c r="U544" t="s">
        <v>2835</v>
      </c>
      <c r="W544" t="s">
        <v>5195</v>
      </c>
      <c r="X544">
        <v>63000</v>
      </c>
      <c r="Y544">
        <v>57272.727272727199</v>
      </c>
      <c r="Z544" s="26">
        <v>46062</v>
      </c>
    </row>
    <row r="545" spans="1:26" x14ac:dyDescent="0.3">
      <c r="A545" s="50">
        <v>46060.88082175926</v>
      </c>
      <c r="B545">
        <v>2.02602072107522E+18</v>
      </c>
      <c r="C545" t="s">
        <v>5196</v>
      </c>
      <c r="D545" t="s">
        <v>5197</v>
      </c>
      <c r="E545" t="s">
        <v>5197</v>
      </c>
      <c r="F545" t="s">
        <v>5196</v>
      </c>
      <c r="G545" t="s">
        <v>5197</v>
      </c>
      <c r="H545" t="s">
        <v>5197</v>
      </c>
      <c r="I545">
        <v>25495</v>
      </c>
      <c r="J545" t="s">
        <v>5198</v>
      </c>
      <c r="K545" t="s">
        <v>5198</v>
      </c>
      <c r="L545" t="s">
        <v>3829</v>
      </c>
      <c r="M545" t="s">
        <v>3830</v>
      </c>
      <c r="N545">
        <v>18181</v>
      </c>
      <c r="O545">
        <v>63000</v>
      </c>
      <c r="P545">
        <v>1</v>
      </c>
      <c r="Q545" t="s">
        <v>3831</v>
      </c>
      <c r="S545">
        <v>143790</v>
      </c>
      <c r="T545">
        <v>0</v>
      </c>
      <c r="U545" t="s">
        <v>2835</v>
      </c>
      <c r="W545" t="s">
        <v>5199</v>
      </c>
      <c r="X545">
        <v>63000</v>
      </c>
      <c r="Y545">
        <v>57272.727272727199</v>
      </c>
      <c r="Z545" s="26">
        <v>46062</v>
      </c>
    </row>
    <row r="546" spans="1:26" x14ac:dyDescent="0.3">
      <c r="A546" s="50">
        <v>46060.877951388888</v>
      </c>
      <c r="B546">
        <v>2.0260207210336499E+18</v>
      </c>
      <c r="C546" t="s">
        <v>5196</v>
      </c>
      <c r="D546" t="s">
        <v>5197</v>
      </c>
      <c r="E546" t="s">
        <v>5197</v>
      </c>
      <c r="F546" t="s">
        <v>5196</v>
      </c>
      <c r="G546" t="s">
        <v>5197</v>
      </c>
      <c r="H546" t="s">
        <v>5197</v>
      </c>
      <c r="I546">
        <v>25495</v>
      </c>
      <c r="J546" t="s">
        <v>5198</v>
      </c>
      <c r="K546" t="s">
        <v>5198</v>
      </c>
      <c r="L546" t="s">
        <v>3829</v>
      </c>
      <c r="M546" t="s">
        <v>3830</v>
      </c>
      <c r="N546">
        <v>18181</v>
      </c>
      <c r="O546">
        <v>63000</v>
      </c>
      <c r="P546">
        <v>1</v>
      </c>
      <c r="Q546" t="s">
        <v>3831</v>
      </c>
      <c r="S546">
        <v>143790</v>
      </c>
      <c r="T546">
        <v>0</v>
      </c>
      <c r="U546" t="s">
        <v>2835</v>
      </c>
      <c r="W546" t="s">
        <v>5200</v>
      </c>
      <c r="X546">
        <v>63000</v>
      </c>
      <c r="Y546">
        <v>57272.727272727199</v>
      </c>
      <c r="Z546" s="26">
        <v>46062</v>
      </c>
    </row>
    <row r="547" spans="1:26" x14ac:dyDescent="0.3">
      <c r="A547" s="50">
        <v>46060.747569444437</v>
      </c>
      <c r="B547">
        <v>2.02602071755298E+18</v>
      </c>
      <c r="C547" t="s">
        <v>5201</v>
      </c>
      <c r="D547" t="s">
        <v>4695</v>
      </c>
      <c r="E547" t="s">
        <v>4695</v>
      </c>
      <c r="F547" t="s">
        <v>4694</v>
      </c>
      <c r="G547" t="s">
        <v>4695</v>
      </c>
      <c r="H547" t="s">
        <v>4695</v>
      </c>
      <c r="I547">
        <v>8211</v>
      </c>
      <c r="J547" t="s">
        <v>5202</v>
      </c>
      <c r="K547" t="s">
        <v>5202</v>
      </c>
      <c r="L547" t="s">
        <v>3829</v>
      </c>
      <c r="M547" t="s">
        <v>3830</v>
      </c>
      <c r="N547">
        <v>18181</v>
      </c>
      <c r="O547">
        <v>63000</v>
      </c>
      <c r="P547">
        <v>1</v>
      </c>
      <c r="Q547" t="s">
        <v>3831</v>
      </c>
      <c r="S547">
        <v>143790</v>
      </c>
      <c r="T547">
        <v>0</v>
      </c>
      <c r="U547" t="s">
        <v>2835</v>
      </c>
      <c r="W547" t="s">
        <v>5203</v>
      </c>
      <c r="X547">
        <v>63000</v>
      </c>
      <c r="Y547">
        <v>57272.727272727199</v>
      </c>
      <c r="Z547" s="26">
        <v>46062</v>
      </c>
    </row>
    <row r="548" spans="1:26" x14ac:dyDescent="0.3">
      <c r="A548" s="50">
        <v>46060.741944444453</v>
      </c>
      <c r="B548">
        <v>2.0260207174407099E+18</v>
      </c>
      <c r="C548" t="s">
        <v>3449</v>
      </c>
      <c r="D548" t="s">
        <v>5204</v>
      </c>
      <c r="E548" t="s">
        <v>5204</v>
      </c>
      <c r="F548" t="s">
        <v>3449</v>
      </c>
      <c r="G548" t="s">
        <v>5204</v>
      </c>
      <c r="H548" t="s">
        <v>5204</v>
      </c>
      <c r="I548">
        <v>6360</v>
      </c>
      <c r="J548" t="s">
        <v>5205</v>
      </c>
      <c r="K548" t="s">
        <v>5205</v>
      </c>
      <c r="L548" t="s">
        <v>3829</v>
      </c>
      <c r="M548" t="s">
        <v>3830</v>
      </c>
      <c r="N548">
        <v>18181</v>
      </c>
      <c r="O548">
        <v>63000</v>
      </c>
      <c r="P548">
        <v>1</v>
      </c>
      <c r="Q548" t="s">
        <v>3831</v>
      </c>
      <c r="R548" t="s">
        <v>5206</v>
      </c>
      <c r="S548">
        <v>143790</v>
      </c>
      <c r="T548">
        <v>0</v>
      </c>
      <c r="U548" t="s">
        <v>2835</v>
      </c>
      <c r="W548" t="s">
        <v>5207</v>
      </c>
      <c r="X548">
        <v>63000</v>
      </c>
      <c r="Y548">
        <v>57272.727272727199</v>
      </c>
      <c r="Z548" s="26">
        <v>46062</v>
      </c>
    </row>
    <row r="549" spans="1:26" x14ac:dyDescent="0.3">
      <c r="A549" s="50">
        <v>46060.70003472222</v>
      </c>
      <c r="B549">
        <v>2.0260207164154099E+18</v>
      </c>
      <c r="C549" t="s">
        <v>5208</v>
      </c>
      <c r="D549" t="s">
        <v>5209</v>
      </c>
      <c r="E549" t="s">
        <v>5209</v>
      </c>
      <c r="F549" t="s">
        <v>5210</v>
      </c>
      <c r="G549" t="s">
        <v>5211</v>
      </c>
      <c r="H549" t="s">
        <v>5211</v>
      </c>
      <c r="I549">
        <v>16930</v>
      </c>
      <c r="J549" t="s">
        <v>5212</v>
      </c>
      <c r="K549" t="s">
        <v>5212</v>
      </c>
      <c r="L549" t="s">
        <v>3829</v>
      </c>
      <c r="M549" t="s">
        <v>3830</v>
      </c>
      <c r="N549">
        <v>18181</v>
      </c>
      <c r="O549">
        <v>63000</v>
      </c>
      <c r="P549">
        <v>1</v>
      </c>
      <c r="Q549" t="s">
        <v>3831</v>
      </c>
      <c r="S549">
        <v>143790</v>
      </c>
      <c r="T549">
        <v>0</v>
      </c>
      <c r="U549" t="s">
        <v>2835</v>
      </c>
      <c r="W549" t="s">
        <v>5213</v>
      </c>
      <c r="X549">
        <v>63000</v>
      </c>
      <c r="Y549">
        <v>57272.727272727199</v>
      </c>
      <c r="Z549" s="26">
        <v>46062</v>
      </c>
    </row>
    <row r="550" spans="1:26" x14ac:dyDescent="0.3">
      <c r="A550" s="50">
        <v>46060.612546296303</v>
      </c>
      <c r="B550">
        <v>2.02602071441133E+18</v>
      </c>
      <c r="C550" t="s">
        <v>5214</v>
      </c>
      <c r="D550" t="s">
        <v>5215</v>
      </c>
      <c r="E550" t="s">
        <v>5215</v>
      </c>
      <c r="F550" t="s">
        <v>5214</v>
      </c>
      <c r="G550" t="s">
        <v>5215</v>
      </c>
      <c r="H550" t="s">
        <v>5215</v>
      </c>
      <c r="I550">
        <v>10378</v>
      </c>
      <c r="J550" t="s">
        <v>5216</v>
      </c>
      <c r="K550" t="s">
        <v>5216</v>
      </c>
      <c r="L550" t="s">
        <v>3829</v>
      </c>
      <c r="M550" t="s">
        <v>3830</v>
      </c>
      <c r="N550">
        <v>18181</v>
      </c>
      <c r="O550">
        <v>63000</v>
      </c>
      <c r="P550">
        <v>1</v>
      </c>
      <c r="Q550" t="s">
        <v>3831</v>
      </c>
      <c r="S550">
        <v>143790</v>
      </c>
      <c r="T550">
        <v>0</v>
      </c>
      <c r="U550" t="s">
        <v>2835</v>
      </c>
      <c r="W550" t="s">
        <v>5217</v>
      </c>
      <c r="X550">
        <v>63000</v>
      </c>
      <c r="Y550">
        <v>57272.727272727199</v>
      </c>
      <c r="Z550" s="26">
        <v>46062</v>
      </c>
    </row>
    <row r="551" spans="1:26" x14ac:dyDescent="0.3">
      <c r="A551" s="50">
        <v>46060.544618055559</v>
      </c>
      <c r="B551">
        <v>2.0260207130103301E+18</v>
      </c>
      <c r="C551" t="s">
        <v>5218</v>
      </c>
      <c r="D551" t="s">
        <v>5219</v>
      </c>
      <c r="E551" t="s">
        <v>5219</v>
      </c>
      <c r="F551" t="s">
        <v>5218</v>
      </c>
      <c r="G551" t="s">
        <v>5220</v>
      </c>
      <c r="H551" t="s">
        <v>5220</v>
      </c>
      <c r="I551">
        <v>2639</v>
      </c>
      <c r="J551" t="s">
        <v>5221</v>
      </c>
      <c r="K551" t="s">
        <v>5221</v>
      </c>
      <c r="L551" t="s">
        <v>3829</v>
      </c>
      <c r="M551" t="s">
        <v>3830</v>
      </c>
      <c r="N551">
        <v>18181</v>
      </c>
      <c r="O551">
        <v>63000</v>
      </c>
      <c r="P551">
        <v>1</v>
      </c>
      <c r="Q551" t="s">
        <v>3831</v>
      </c>
      <c r="S551">
        <v>143790</v>
      </c>
      <c r="T551">
        <v>0</v>
      </c>
      <c r="U551" t="s">
        <v>2835</v>
      </c>
      <c r="W551" t="s">
        <v>5222</v>
      </c>
      <c r="X551">
        <v>63000</v>
      </c>
      <c r="Y551">
        <v>57272.727272727199</v>
      </c>
      <c r="Z551" s="26">
        <v>46062</v>
      </c>
    </row>
    <row r="552" spans="1:26" x14ac:dyDescent="0.3">
      <c r="A552" s="50">
        <v>46060.324699074074</v>
      </c>
      <c r="B552">
        <v>2.02602070744561E+18</v>
      </c>
      <c r="C552" t="s">
        <v>3579</v>
      </c>
      <c r="D552" t="s">
        <v>3580</v>
      </c>
      <c r="E552" t="s">
        <v>3580</v>
      </c>
      <c r="F552" t="s">
        <v>3579</v>
      </c>
      <c r="G552" t="s">
        <v>3580</v>
      </c>
      <c r="H552" t="s">
        <v>3580</v>
      </c>
      <c r="I552">
        <v>7336</v>
      </c>
      <c r="J552" t="s">
        <v>3581</v>
      </c>
      <c r="K552" t="s">
        <v>3581</v>
      </c>
      <c r="L552" t="s">
        <v>3829</v>
      </c>
      <c r="M552" t="s">
        <v>3830</v>
      </c>
      <c r="N552">
        <v>18181</v>
      </c>
      <c r="O552">
        <v>63000</v>
      </c>
      <c r="P552">
        <v>1</v>
      </c>
      <c r="Q552" t="s">
        <v>3831</v>
      </c>
      <c r="S552">
        <v>143790</v>
      </c>
      <c r="T552">
        <v>0</v>
      </c>
      <c r="U552" t="s">
        <v>2835</v>
      </c>
      <c r="W552" t="s">
        <v>5223</v>
      </c>
      <c r="X552">
        <v>63000</v>
      </c>
      <c r="Y552">
        <v>57272.727272727199</v>
      </c>
      <c r="Z552" s="26">
        <v>46062</v>
      </c>
    </row>
    <row r="553" spans="1:26" x14ac:dyDescent="0.3">
      <c r="A553" s="50">
        <v>46059.935173611113</v>
      </c>
      <c r="B553">
        <v>2.02602062224431E+18</v>
      </c>
      <c r="C553" t="s">
        <v>5224</v>
      </c>
      <c r="D553" t="s">
        <v>5225</v>
      </c>
      <c r="E553" t="s">
        <v>5225</v>
      </c>
      <c r="F553" t="s">
        <v>5224</v>
      </c>
      <c r="G553" t="s">
        <v>5225</v>
      </c>
      <c r="H553" t="s">
        <v>5225</v>
      </c>
      <c r="I553">
        <v>14103</v>
      </c>
      <c r="J553" t="s">
        <v>5226</v>
      </c>
      <c r="K553" t="s">
        <v>5226</v>
      </c>
      <c r="L553" t="s">
        <v>3829</v>
      </c>
      <c r="M553" t="s">
        <v>3830</v>
      </c>
      <c r="N553">
        <v>18181</v>
      </c>
      <c r="O553">
        <v>63000</v>
      </c>
      <c r="P553">
        <v>1</v>
      </c>
      <c r="Q553" t="s">
        <v>3831</v>
      </c>
      <c r="S553">
        <v>143790</v>
      </c>
      <c r="T553">
        <v>0</v>
      </c>
      <c r="U553" t="s">
        <v>2835</v>
      </c>
      <c r="W553" t="s">
        <v>5227</v>
      </c>
      <c r="X553">
        <v>63000</v>
      </c>
      <c r="Y553">
        <v>57272.727272727199</v>
      </c>
      <c r="Z553" s="26">
        <v>46062</v>
      </c>
    </row>
    <row r="554" spans="1:26" x14ac:dyDescent="0.3">
      <c r="A554" s="50">
        <v>46059.899733796286</v>
      </c>
      <c r="B554">
        <v>2.02602062134259E+18</v>
      </c>
      <c r="C554" t="s">
        <v>5228</v>
      </c>
      <c r="D554" t="s">
        <v>5229</v>
      </c>
      <c r="E554" t="s">
        <v>5229</v>
      </c>
      <c r="F554" t="s">
        <v>5228</v>
      </c>
      <c r="G554" t="s">
        <v>5229</v>
      </c>
      <c r="H554" t="s">
        <v>5229</v>
      </c>
      <c r="I554">
        <v>26472</v>
      </c>
      <c r="J554" t="s">
        <v>5230</v>
      </c>
      <c r="K554" t="s">
        <v>5230</v>
      </c>
      <c r="L554" t="s">
        <v>3829</v>
      </c>
      <c r="M554" t="s">
        <v>3830</v>
      </c>
      <c r="N554">
        <v>18181</v>
      </c>
      <c r="O554">
        <v>63000</v>
      </c>
      <c r="P554">
        <v>1</v>
      </c>
      <c r="Q554" t="s">
        <v>3831</v>
      </c>
      <c r="S554">
        <v>143790</v>
      </c>
      <c r="T554">
        <v>0</v>
      </c>
      <c r="U554" t="s">
        <v>2835</v>
      </c>
      <c r="W554" t="s">
        <v>5231</v>
      </c>
      <c r="X554">
        <v>63000</v>
      </c>
      <c r="Y554">
        <v>57272.727272727199</v>
      </c>
      <c r="Z554" s="26">
        <v>46062</v>
      </c>
    </row>
    <row r="555" spans="1:26" x14ac:dyDescent="0.3">
      <c r="A555" s="50">
        <v>46059.875555555547</v>
      </c>
      <c r="B555">
        <v>2.0260206205947799E+18</v>
      </c>
      <c r="C555" t="s">
        <v>5232</v>
      </c>
      <c r="D555" t="s">
        <v>5233</v>
      </c>
      <c r="E555" t="s">
        <v>5233</v>
      </c>
      <c r="F555" t="s">
        <v>5232</v>
      </c>
      <c r="G555" t="s">
        <v>5233</v>
      </c>
      <c r="H555" t="s">
        <v>5233</v>
      </c>
      <c r="I555">
        <v>6279</v>
      </c>
      <c r="J555" t="s">
        <v>5234</v>
      </c>
      <c r="K555" t="s">
        <v>5234</v>
      </c>
      <c r="L555" t="s">
        <v>3829</v>
      </c>
      <c r="M555" t="s">
        <v>3830</v>
      </c>
      <c r="N555">
        <v>18181</v>
      </c>
      <c r="O555">
        <v>63000</v>
      </c>
      <c r="P555">
        <v>1</v>
      </c>
      <c r="Q555" t="s">
        <v>3831</v>
      </c>
      <c r="S555">
        <v>143790</v>
      </c>
      <c r="T555">
        <v>0</v>
      </c>
      <c r="U555" t="s">
        <v>2835</v>
      </c>
      <c r="W555" t="s">
        <v>5235</v>
      </c>
      <c r="X555">
        <v>63000</v>
      </c>
      <c r="Y555">
        <v>57272.727272727199</v>
      </c>
      <c r="Z555" s="26">
        <v>46062</v>
      </c>
    </row>
    <row r="556" spans="1:26" x14ac:dyDescent="0.3">
      <c r="A556" s="50">
        <v>46059.858136574083</v>
      </c>
      <c r="B556">
        <v>2.02602062034176E+18</v>
      </c>
      <c r="C556" t="s">
        <v>5236</v>
      </c>
      <c r="D556" t="s">
        <v>5237</v>
      </c>
      <c r="E556" t="s">
        <v>5237</v>
      </c>
      <c r="F556" t="s">
        <v>5236</v>
      </c>
      <c r="G556" t="s">
        <v>5237</v>
      </c>
      <c r="H556" t="s">
        <v>5237</v>
      </c>
      <c r="I556">
        <v>13372</v>
      </c>
      <c r="J556" t="s">
        <v>5238</v>
      </c>
      <c r="K556" t="s">
        <v>5238</v>
      </c>
      <c r="L556" t="s">
        <v>3829</v>
      </c>
      <c r="M556" t="s">
        <v>3830</v>
      </c>
      <c r="N556">
        <v>18181</v>
      </c>
      <c r="O556">
        <v>63000</v>
      </c>
      <c r="P556">
        <v>1</v>
      </c>
      <c r="Q556" t="s">
        <v>3831</v>
      </c>
      <c r="S556">
        <v>143790</v>
      </c>
      <c r="T556">
        <v>0</v>
      </c>
      <c r="U556" t="s">
        <v>2835</v>
      </c>
      <c r="W556" t="s">
        <v>5239</v>
      </c>
      <c r="X556">
        <v>63000</v>
      </c>
      <c r="Y556">
        <v>57272.727272727199</v>
      </c>
      <c r="Z556" s="26">
        <v>46062</v>
      </c>
    </row>
    <row r="557" spans="1:26" x14ac:dyDescent="0.3">
      <c r="A557" s="50">
        <v>46059.855763888889</v>
      </c>
      <c r="B557">
        <v>2.0260206202935401E+18</v>
      </c>
      <c r="C557" t="s">
        <v>5240</v>
      </c>
      <c r="D557" t="s">
        <v>5241</v>
      </c>
      <c r="E557" t="s">
        <v>5241</v>
      </c>
      <c r="F557" t="s">
        <v>5240</v>
      </c>
      <c r="G557" t="s">
        <v>5241</v>
      </c>
      <c r="H557" t="s">
        <v>5241</v>
      </c>
      <c r="I557">
        <v>13367</v>
      </c>
      <c r="J557" t="s">
        <v>5242</v>
      </c>
      <c r="K557" t="s">
        <v>5242</v>
      </c>
      <c r="L557" t="s">
        <v>3829</v>
      </c>
      <c r="M557" t="s">
        <v>3830</v>
      </c>
      <c r="N557">
        <v>18181</v>
      </c>
      <c r="O557">
        <v>63000</v>
      </c>
      <c r="P557">
        <v>1</v>
      </c>
      <c r="Q557" t="s">
        <v>3831</v>
      </c>
      <c r="R557" t="s">
        <v>5243</v>
      </c>
      <c r="S557">
        <v>143790</v>
      </c>
      <c r="T557">
        <v>0</v>
      </c>
      <c r="U557" t="s">
        <v>2835</v>
      </c>
      <c r="W557" t="s">
        <v>5244</v>
      </c>
      <c r="X557">
        <v>63000</v>
      </c>
      <c r="Y557">
        <v>57272.727272727199</v>
      </c>
      <c r="Z557" s="26">
        <v>46062</v>
      </c>
    </row>
    <row r="558" spans="1:26" x14ac:dyDescent="0.3">
      <c r="A558" s="50">
        <v>46059.840775462973</v>
      </c>
      <c r="B558">
        <v>2.0260206200755E+18</v>
      </c>
      <c r="C558" t="s">
        <v>5245</v>
      </c>
      <c r="D558" t="s">
        <v>2977</v>
      </c>
      <c r="E558" t="s">
        <v>2977</v>
      </c>
      <c r="F558" t="s">
        <v>5245</v>
      </c>
      <c r="G558" t="s">
        <v>2977</v>
      </c>
      <c r="H558" t="s">
        <v>2977</v>
      </c>
      <c r="I558">
        <v>16517</v>
      </c>
      <c r="J558" t="s">
        <v>2978</v>
      </c>
      <c r="K558" t="s">
        <v>2978</v>
      </c>
      <c r="L558" t="s">
        <v>3829</v>
      </c>
      <c r="M558" t="s">
        <v>3830</v>
      </c>
      <c r="N558">
        <v>18181</v>
      </c>
      <c r="O558">
        <v>63000</v>
      </c>
      <c r="P558">
        <v>1</v>
      </c>
      <c r="Q558" t="s">
        <v>3831</v>
      </c>
      <c r="S558">
        <v>143790</v>
      </c>
      <c r="T558">
        <v>0</v>
      </c>
      <c r="U558" t="s">
        <v>2835</v>
      </c>
      <c r="W558" t="s">
        <v>5246</v>
      </c>
      <c r="X558">
        <v>63000</v>
      </c>
      <c r="Y558">
        <v>57272.727272727199</v>
      </c>
      <c r="Z558" s="26">
        <v>46062</v>
      </c>
    </row>
    <row r="559" spans="1:26" x14ac:dyDescent="0.3">
      <c r="A559" s="50">
        <v>46059.834560185183</v>
      </c>
      <c r="B559">
        <v>2.0260206195919201E+18</v>
      </c>
      <c r="C559" t="s">
        <v>5247</v>
      </c>
      <c r="D559" t="s">
        <v>5248</v>
      </c>
      <c r="E559" t="s">
        <v>5248</v>
      </c>
      <c r="F559" t="s">
        <v>5249</v>
      </c>
      <c r="G559" t="s">
        <v>5250</v>
      </c>
      <c r="H559" t="s">
        <v>5250</v>
      </c>
      <c r="I559">
        <v>13825</v>
      </c>
      <c r="J559" t="s">
        <v>5251</v>
      </c>
      <c r="K559" t="s">
        <v>5251</v>
      </c>
      <c r="L559" t="s">
        <v>3829</v>
      </c>
      <c r="M559" t="s">
        <v>3830</v>
      </c>
      <c r="N559">
        <v>18181</v>
      </c>
      <c r="O559">
        <v>63000</v>
      </c>
      <c r="P559">
        <v>1</v>
      </c>
      <c r="Q559" t="s">
        <v>3831</v>
      </c>
      <c r="R559" t="s">
        <v>2865</v>
      </c>
      <c r="S559">
        <v>143790</v>
      </c>
      <c r="T559">
        <v>0</v>
      </c>
      <c r="U559" t="s">
        <v>2835</v>
      </c>
      <c r="W559" t="s">
        <v>5252</v>
      </c>
      <c r="X559">
        <v>63000</v>
      </c>
      <c r="Y559">
        <v>57272.727272727199</v>
      </c>
      <c r="Z559" s="26">
        <v>46062</v>
      </c>
    </row>
    <row r="560" spans="1:26" x14ac:dyDescent="0.3">
      <c r="A560" s="50">
        <v>46059.797349537039</v>
      </c>
      <c r="B560">
        <v>2.026020619064E+18</v>
      </c>
      <c r="C560" t="s">
        <v>5253</v>
      </c>
      <c r="D560" t="s">
        <v>5254</v>
      </c>
      <c r="E560" t="s">
        <v>5254</v>
      </c>
      <c r="F560" t="s">
        <v>5253</v>
      </c>
      <c r="G560" t="s">
        <v>5254</v>
      </c>
      <c r="H560" t="s">
        <v>5254</v>
      </c>
      <c r="I560">
        <v>13613</v>
      </c>
      <c r="J560" t="s">
        <v>5255</v>
      </c>
      <c r="K560" t="s">
        <v>5255</v>
      </c>
      <c r="L560" t="s">
        <v>3829</v>
      </c>
      <c r="M560" t="s">
        <v>3830</v>
      </c>
      <c r="N560">
        <v>18181</v>
      </c>
      <c r="O560">
        <v>63000</v>
      </c>
      <c r="P560">
        <v>1</v>
      </c>
      <c r="Q560" t="s">
        <v>3831</v>
      </c>
      <c r="S560">
        <v>143790</v>
      </c>
      <c r="T560">
        <v>0</v>
      </c>
      <c r="U560" t="s">
        <v>2835</v>
      </c>
      <c r="W560" t="s">
        <v>5256</v>
      </c>
      <c r="X560">
        <v>63000</v>
      </c>
      <c r="Y560">
        <v>57272.727272727199</v>
      </c>
      <c r="Z560" s="26">
        <v>46062</v>
      </c>
    </row>
    <row r="561" spans="1:26" x14ac:dyDescent="0.3">
      <c r="A561" s="50">
        <v>46059.706597222219</v>
      </c>
      <c r="B561">
        <v>2.02602061656211E+18</v>
      </c>
      <c r="C561" t="s">
        <v>4152</v>
      </c>
      <c r="D561" t="s">
        <v>5257</v>
      </c>
      <c r="E561" t="s">
        <v>5257</v>
      </c>
      <c r="F561" t="s">
        <v>4152</v>
      </c>
      <c r="G561" t="s">
        <v>5257</v>
      </c>
      <c r="H561" t="s">
        <v>5257</v>
      </c>
      <c r="I561">
        <v>22124</v>
      </c>
      <c r="J561" t="s">
        <v>5258</v>
      </c>
      <c r="K561" t="s">
        <v>5258</v>
      </c>
      <c r="L561" t="s">
        <v>3829</v>
      </c>
      <c r="M561" t="s">
        <v>3830</v>
      </c>
      <c r="N561">
        <v>18181</v>
      </c>
      <c r="O561">
        <v>63000</v>
      </c>
      <c r="P561">
        <v>1</v>
      </c>
      <c r="Q561" t="s">
        <v>3831</v>
      </c>
      <c r="S561">
        <v>143790</v>
      </c>
      <c r="T561">
        <v>0</v>
      </c>
      <c r="U561" t="s">
        <v>2835</v>
      </c>
      <c r="W561" t="s">
        <v>5259</v>
      </c>
      <c r="X561">
        <v>63000</v>
      </c>
      <c r="Y561">
        <v>57272.727272727199</v>
      </c>
      <c r="Z561" s="26">
        <v>46062</v>
      </c>
    </row>
    <row r="562" spans="1:26" x14ac:dyDescent="0.3">
      <c r="A562" s="50">
        <v>46059.613703703697</v>
      </c>
      <c r="B562">
        <v>2.02602061440257E+18</v>
      </c>
      <c r="C562" t="s">
        <v>5260</v>
      </c>
      <c r="D562" t="s">
        <v>5261</v>
      </c>
      <c r="E562" t="s">
        <v>5261</v>
      </c>
      <c r="F562" t="s">
        <v>5262</v>
      </c>
      <c r="G562" t="s">
        <v>5261</v>
      </c>
      <c r="H562" t="s">
        <v>5261</v>
      </c>
      <c r="I562">
        <v>5716</v>
      </c>
      <c r="J562" t="s">
        <v>5263</v>
      </c>
      <c r="K562" t="s">
        <v>5263</v>
      </c>
      <c r="L562" t="s">
        <v>3829</v>
      </c>
      <c r="M562" t="s">
        <v>3830</v>
      </c>
      <c r="N562">
        <v>36362</v>
      </c>
      <c r="O562">
        <v>63000</v>
      </c>
      <c r="P562">
        <v>2</v>
      </c>
      <c r="Q562" t="s">
        <v>3831</v>
      </c>
      <c r="R562" t="s">
        <v>5264</v>
      </c>
      <c r="S562">
        <v>143790</v>
      </c>
      <c r="T562">
        <v>0</v>
      </c>
      <c r="U562" t="s">
        <v>2835</v>
      </c>
      <c r="W562" t="s">
        <v>5265</v>
      </c>
      <c r="X562">
        <v>126000</v>
      </c>
      <c r="Y562">
        <v>114545.45454545401</v>
      </c>
      <c r="Z562" s="26">
        <v>46062</v>
      </c>
    </row>
    <row r="563" spans="1:26" x14ac:dyDescent="0.3">
      <c r="A563" s="50">
        <v>46059.609849537039</v>
      </c>
      <c r="B563">
        <v>2.0260206143700401E+18</v>
      </c>
      <c r="C563" t="s">
        <v>5260</v>
      </c>
      <c r="D563" t="s">
        <v>5261</v>
      </c>
      <c r="E563" t="s">
        <v>5261</v>
      </c>
      <c r="F563" t="s">
        <v>5266</v>
      </c>
      <c r="G563" t="s">
        <v>5267</v>
      </c>
      <c r="H563" t="s">
        <v>5267</v>
      </c>
      <c r="I563">
        <v>31184</v>
      </c>
      <c r="J563" t="s">
        <v>5268</v>
      </c>
      <c r="K563" t="s">
        <v>5268</v>
      </c>
      <c r="L563" t="s">
        <v>3829</v>
      </c>
      <c r="M563" t="s">
        <v>3830</v>
      </c>
      <c r="N563">
        <v>36362</v>
      </c>
      <c r="O563">
        <v>63000</v>
      </c>
      <c r="P563">
        <v>2</v>
      </c>
      <c r="Q563" t="s">
        <v>3831</v>
      </c>
      <c r="S563">
        <v>143790</v>
      </c>
      <c r="T563">
        <v>0</v>
      </c>
      <c r="U563" t="s">
        <v>2835</v>
      </c>
      <c r="W563" t="s">
        <v>5269</v>
      </c>
      <c r="X563">
        <v>126000</v>
      </c>
      <c r="Y563">
        <v>114545.45454545401</v>
      </c>
      <c r="Z563" s="26">
        <v>46062</v>
      </c>
    </row>
    <row r="564" spans="1:26" x14ac:dyDescent="0.3">
      <c r="A564" s="50">
        <v>46059.581053240741</v>
      </c>
      <c r="B564">
        <v>2.02602061354271E+18</v>
      </c>
      <c r="C564" t="s">
        <v>5270</v>
      </c>
      <c r="D564" t="s">
        <v>5271</v>
      </c>
      <c r="E564" t="s">
        <v>5271</v>
      </c>
      <c r="F564" t="s">
        <v>5270</v>
      </c>
      <c r="G564" t="s">
        <v>5271</v>
      </c>
      <c r="H564" t="s">
        <v>5271</v>
      </c>
      <c r="I564">
        <v>22527</v>
      </c>
      <c r="J564" t="s">
        <v>5272</v>
      </c>
      <c r="K564" t="s">
        <v>5272</v>
      </c>
      <c r="L564" t="s">
        <v>3829</v>
      </c>
      <c r="M564" t="s">
        <v>3830</v>
      </c>
      <c r="N564">
        <v>18181</v>
      </c>
      <c r="O564">
        <v>63000</v>
      </c>
      <c r="P564">
        <v>1</v>
      </c>
      <c r="Q564" t="s">
        <v>3831</v>
      </c>
      <c r="R564" t="s">
        <v>5273</v>
      </c>
      <c r="S564">
        <v>143790</v>
      </c>
      <c r="T564">
        <v>0</v>
      </c>
      <c r="U564" t="s">
        <v>2835</v>
      </c>
      <c r="W564" t="s">
        <v>5274</v>
      </c>
      <c r="X564">
        <v>63000</v>
      </c>
      <c r="Y564">
        <v>57272.727272727199</v>
      </c>
      <c r="Z564" s="26">
        <v>46062</v>
      </c>
    </row>
    <row r="565" spans="1:26" x14ac:dyDescent="0.3">
      <c r="A565" s="50">
        <v>46063.334305555552</v>
      </c>
      <c r="B565">
        <v>2.02602100800559E+18</v>
      </c>
      <c r="C565" t="s">
        <v>5275</v>
      </c>
      <c r="D565" t="s">
        <v>5276</v>
      </c>
      <c r="E565" t="s">
        <v>5276</v>
      </c>
      <c r="F565" t="s">
        <v>5275</v>
      </c>
      <c r="G565" t="s">
        <v>5276</v>
      </c>
      <c r="H565" t="s">
        <v>5276</v>
      </c>
      <c r="I565">
        <v>4080</v>
      </c>
      <c r="J565" t="s">
        <v>5277</v>
      </c>
      <c r="K565" t="s">
        <v>5277</v>
      </c>
      <c r="L565" t="s">
        <v>2832</v>
      </c>
      <c r="M565" t="s">
        <v>2833</v>
      </c>
      <c r="N565">
        <v>54363</v>
      </c>
      <c r="O565">
        <v>45500</v>
      </c>
      <c r="P565">
        <v>1</v>
      </c>
      <c r="Q565">
        <v>0</v>
      </c>
      <c r="S565">
        <v>143790</v>
      </c>
      <c r="T565">
        <v>0</v>
      </c>
      <c r="U565" t="s">
        <v>2835</v>
      </c>
      <c r="W565" t="s">
        <v>5278</v>
      </c>
      <c r="X565">
        <v>45500</v>
      </c>
      <c r="Y565">
        <v>41363.636363636302</v>
      </c>
      <c r="Z565" s="26">
        <v>46063</v>
      </c>
    </row>
    <row r="566" spans="1:26" x14ac:dyDescent="0.3">
      <c r="A566" s="50">
        <v>46063.304131944453</v>
      </c>
      <c r="B566">
        <v>2.02602100717117E+18</v>
      </c>
      <c r="C566" t="s">
        <v>5279</v>
      </c>
      <c r="D566" t="s">
        <v>5280</v>
      </c>
      <c r="E566" t="s">
        <v>5280</v>
      </c>
      <c r="F566" t="s">
        <v>5279</v>
      </c>
      <c r="G566" t="s">
        <v>5280</v>
      </c>
      <c r="H566" t="s">
        <v>5280</v>
      </c>
      <c r="I566">
        <v>14600</v>
      </c>
      <c r="J566" t="s">
        <v>5281</v>
      </c>
      <c r="K566" t="s">
        <v>5281</v>
      </c>
      <c r="L566" t="s">
        <v>2832</v>
      </c>
      <c r="M566" t="s">
        <v>2833</v>
      </c>
      <c r="N566">
        <v>54363</v>
      </c>
      <c r="O566">
        <v>45500</v>
      </c>
      <c r="P566">
        <v>1</v>
      </c>
      <c r="Q566">
        <v>0</v>
      </c>
      <c r="R566" t="s">
        <v>4210</v>
      </c>
      <c r="S566">
        <v>143790</v>
      </c>
      <c r="T566">
        <v>0</v>
      </c>
      <c r="U566" t="s">
        <v>2835</v>
      </c>
      <c r="W566" t="s">
        <v>5282</v>
      </c>
      <c r="X566">
        <v>45500</v>
      </c>
      <c r="Y566">
        <v>41363.636363636302</v>
      </c>
      <c r="Z566" s="26">
        <v>46063</v>
      </c>
    </row>
    <row r="567" spans="1:26" x14ac:dyDescent="0.3">
      <c r="A567" s="50">
        <v>46063.296064814807</v>
      </c>
      <c r="B567">
        <v>2.0260210070557E+18</v>
      </c>
      <c r="C567" t="s">
        <v>5283</v>
      </c>
      <c r="D567" t="s">
        <v>5284</v>
      </c>
      <c r="E567" t="s">
        <v>5284</v>
      </c>
      <c r="F567" t="s">
        <v>5283</v>
      </c>
      <c r="G567" t="s">
        <v>5284</v>
      </c>
      <c r="H567" t="s">
        <v>5284</v>
      </c>
      <c r="I567">
        <v>10494</v>
      </c>
      <c r="J567" t="s">
        <v>5285</v>
      </c>
      <c r="K567" t="s">
        <v>5285</v>
      </c>
      <c r="L567" t="s">
        <v>2832</v>
      </c>
      <c r="M567" t="s">
        <v>2833</v>
      </c>
      <c r="N567">
        <v>54363</v>
      </c>
      <c r="O567">
        <v>45500</v>
      </c>
      <c r="P567">
        <v>1</v>
      </c>
      <c r="Q567">
        <v>0</v>
      </c>
      <c r="S567">
        <v>143790</v>
      </c>
      <c r="T567">
        <v>0</v>
      </c>
      <c r="U567" t="s">
        <v>2835</v>
      </c>
      <c r="W567" t="s">
        <v>5286</v>
      </c>
      <c r="X567">
        <v>45500</v>
      </c>
      <c r="Y567">
        <v>41363.636363636302</v>
      </c>
      <c r="Z567" s="26">
        <v>46063</v>
      </c>
    </row>
    <row r="568" spans="1:26" x14ac:dyDescent="0.3">
      <c r="A568" s="50">
        <v>46063.014965277784</v>
      </c>
      <c r="B568">
        <v>2.02602100020302E+18</v>
      </c>
      <c r="C568" t="s">
        <v>5287</v>
      </c>
      <c r="D568" t="s">
        <v>5288</v>
      </c>
      <c r="E568" t="s">
        <v>5288</v>
      </c>
      <c r="F568" t="s">
        <v>5287</v>
      </c>
      <c r="G568" t="s">
        <v>5288</v>
      </c>
      <c r="H568" t="s">
        <v>5288</v>
      </c>
      <c r="I568">
        <v>21097</v>
      </c>
      <c r="J568" t="s">
        <v>5289</v>
      </c>
      <c r="K568" t="s">
        <v>5289</v>
      </c>
      <c r="L568" t="s">
        <v>2832</v>
      </c>
      <c r="M568" t="s">
        <v>2833</v>
      </c>
      <c r="N568">
        <v>54363</v>
      </c>
      <c r="O568">
        <v>45500</v>
      </c>
      <c r="P568">
        <v>1</v>
      </c>
      <c r="Q568">
        <v>0</v>
      </c>
      <c r="R568" t="s">
        <v>5290</v>
      </c>
      <c r="S568">
        <v>143790</v>
      </c>
      <c r="T568">
        <v>0</v>
      </c>
      <c r="U568" t="s">
        <v>2835</v>
      </c>
      <c r="W568" t="s">
        <v>5291</v>
      </c>
      <c r="X568">
        <v>45500</v>
      </c>
      <c r="Y568">
        <v>41363.636363636302</v>
      </c>
      <c r="Z568" s="26">
        <v>46063</v>
      </c>
    </row>
    <row r="569" spans="1:26" x14ac:dyDescent="0.3">
      <c r="A569" s="50">
        <v>46062.868692129632</v>
      </c>
      <c r="B569">
        <v>2.0260209204757601E+18</v>
      </c>
      <c r="C569" t="s">
        <v>5292</v>
      </c>
      <c r="D569" t="s">
        <v>5293</v>
      </c>
      <c r="E569" t="s">
        <v>5293</v>
      </c>
      <c r="F569" t="s">
        <v>5294</v>
      </c>
      <c r="G569" t="s">
        <v>5295</v>
      </c>
      <c r="H569" t="s">
        <v>5295</v>
      </c>
      <c r="I569">
        <v>59423</v>
      </c>
      <c r="J569" t="s">
        <v>5296</v>
      </c>
      <c r="K569" t="s">
        <v>5296</v>
      </c>
      <c r="L569" t="s">
        <v>2832</v>
      </c>
      <c r="M569" t="s">
        <v>2833</v>
      </c>
      <c r="N569">
        <v>108726</v>
      </c>
      <c r="O569">
        <v>45500</v>
      </c>
      <c r="P569">
        <v>2</v>
      </c>
      <c r="Q569">
        <v>0</v>
      </c>
      <c r="R569" t="s">
        <v>5297</v>
      </c>
      <c r="S569">
        <v>143790</v>
      </c>
      <c r="T569">
        <v>0</v>
      </c>
      <c r="U569" t="s">
        <v>2835</v>
      </c>
      <c r="W569" t="s">
        <v>5298</v>
      </c>
      <c r="X569">
        <v>91000</v>
      </c>
      <c r="Y569">
        <v>82727.272727272706</v>
      </c>
      <c r="Z569" s="26">
        <v>46063</v>
      </c>
    </row>
    <row r="570" spans="1:26" x14ac:dyDescent="0.3">
      <c r="A570" s="50">
        <v>46062.804849537039</v>
      </c>
      <c r="B570">
        <v>2.0260209191840901E+18</v>
      </c>
      <c r="C570" t="s">
        <v>5299</v>
      </c>
      <c r="D570" t="s">
        <v>5300</v>
      </c>
      <c r="E570" t="s">
        <v>5300</v>
      </c>
      <c r="F570" t="s">
        <v>5299</v>
      </c>
      <c r="G570" t="s">
        <v>5300</v>
      </c>
      <c r="H570" t="s">
        <v>5300</v>
      </c>
      <c r="I570">
        <v>21976</v>
      </c>
      <c r="J570" t="s">
        <v>5301</v>
      </c>
      <c r="K570" t="s">
        <v>5301</v>
      </c>
      <c r="L570" t="s">
        <v>2832</v>
      </c>
      <c r="M570" t="s">
        <v>2833</v>
      </c>
      <c r="N570">
        <v>108726</v>
      </c>
      <c r="O570">
        <v>45500</v>
      </c>
      <c r="P570">
        <v>2</v>
      </c>
      <c r="Q570">
        <v>0</v>
      </c>
      <c r="S570">
        <v>143790</v>
      </c>
      <c r="T570">
        <v>0</v>
      </c>
      <c r="U570" t="s">
        <v>2835</v>
      </c>
      <c r="W570" t="s">
        <v>5302</v>
      </c>
      <c r="X570">
        <v>91000</v>
      </c>
      <c r="Y570">
        <v>82727.272727272706</v>
      </c>
      <c r="Z570" s="26">
        <v>46063</v>
      </c>
    </row>
    <row r="571" spans="1:26" x14ac:dyDescent="0.3">
      <c r="A571" s="50">
        <v>46062.804305555554</v>
      </c>
      <c r="B571">
        <v>2.0260209191610199E+18</v>
      </c>
      <c r="C571" t="s">
        <v>5303</v>
      </c>
      <c r="D571" t="s">
        <v>5304</v>
      </c>
      <c r="E571" t="s">
        <v>5304</v>
      </c>
      <c r="F571" t="s">
        <v>5303</v>
      </c>
      <c r="G571" t="s">
        <v>5304</v>
      </c>
      <c r="H571" t="s">
        <v>5304</v>
      </c>
      <c r="I571">
        <v>54944</v>
      </c>
      <c r="J571" t="s">
        <v>5305</v>
      </c>
      <c r="K571" t="s">
        <v>5305</v>
      </c>
      <c r="L571" t="s">
        <v>2832</v>
      </c>
      <c r="M571" t="s">
        <v>2833</v>
      </c>
      <c r="N571">
        <v>54363</v>
      </c>
      <c r="O571">
        <v>45500</v>
      </c>
      <c r="P571">
        <v>1</v>
      </c>
      <c r="Q571">
        <v>0</v>
      </c>
      <c r="R571" t="s">
        <v>5306</v>
      </c>
      <c r="S571">
        <v>143790</v>
      </c>
      <c r="T571">
        <v>0</v>
      </c>
      <c r="U571" t="s">
        <v>2835</v>
      </c>
      <c r="W571" t="s">
        <v>5307</v>
      </c>
      <c r="X571">
        <v>45500</v>
      </c>
      <c r="Y571">
        <v>41363.636363636302</v>
      </c>
      <c r="Z571" s="26">
        <v>46063</v>
      </c>
    </row>
    <row r="572" spans="1:26" x14ac:dyDescent="0.3">
      <c r="A572" s="50">
        <v>46062.802349537043</v>
      </c>
      <c r="B572">
        <v>2.0260209191336699E+18</v>
      </c>
      <c r="C572" t="s">
        <v>5308</v>
      </c>
      <c r="D572" t="s">
        <v>5309</v>
      </c>
      <c r="E572" t="s">
        <v>5309</v>
      </c>
      <c r="F572" t="s">
        <v>5308</v>
      </c>
      <c r="G572" t="s">
        <v>5309</v>
      </c>
      <c r="H572" t="s">
        <v>5309</v>
      </c>
      <c r="I572">
        <v>16543</v>
      </c>
      <c r="J572" t="s">
        <v>5310</v>
      </c>
      <c r="K572" t="s">
        <v>5310</v>
      </c>
      <c r="L572" t="s">
        <v>2832</v>
      </c>
      <c r="M572" t="s">
        <v>2833</v>
      </c>
      <c r="N572">
        <v>54363</v>
      </c>
      <c r="O572">
        <v>45500</v>
      </c>
      <c r="P572">
        <v>1</v>
      </c>
      <c r="Q572">
        <v>0</v>
      </c>
      <c r="S572">
        <v>143790</v>
      </c>
      <c r="T572">
        <v>0</v>
      </c>
      <c r="U572" t="s">
        <v>2835</v>
      </c>
      <c r="W572" t="s">
        <v>5311</v>
      </c>
      <c r="X572">
        <v>45500</v>
      </c>
      <c r="Y572">
        <v>41363.636363636302</v>
      </c>
      <c r="Z572" s="26">
        <v>46063</v>
      </c>
    </row>
    <row r="573" spans="1:26" x14ac:dyDescent="0.3">
      <c r="A573" s="50">
        <v>46062.794212962966</v>
      </c>
      <c r="B573">
        <v>2.0260209190055401E+18</v>
      </c>
      <c r="C573" t="s">
        <v>5312</v>
      </c>
      <c r="D573" t="s">
        <v>5313</v>
      </c>
      <c r="E573" t="s">
        <v>5313</v>
      </c>
      <c r="F573" t="s">
        <v>5312</v>
      </c>
      <c r="G573" t="s">
        <v>5313</v>
      </c>
      <c r="H573" t="s">
        <v>5313</v>
      </c>
      <c r="I573">
        <v>11764</v>
      </c>
      <c r="J573" t="s">
        <v>5314</v>
      </c>
      <c r="K573" t="s">
        <v>5314</v>
      </c>
      <c r="L573" t="s">
        <v>2832</v>
      </c>
      <c r="M573" t="s">
        <v>2833</v>
      </c>
      <c r="N573">
        <v>54363</v>
      </c>
      <c r="O573">
        <v>45500</v>
      </c>
      <c r="P573">
        <v>1</v>
      </c>
      <c r="Q573">
        <v>0</v>
      </c>
      <c r="R573" t="s">
        <v>3398</v>
      </c>
      <c r="S573">
        <v>143790</v>
      </c>
      <c r="T573">
        <v>0</v>
      </c>
      <c r="U573" t="s">
        <v>2835</v>
      </c>
      <c r="W573" t="s">
        <v>5315</v>
      </c>
      <c r="X573">
        <v>45500</v>
      </c>
      <c r="Y573">
        <v>41363.636363636302</v>
      </c>
      <c r="Z573" s="26">
        <v>46063</v>
      </c>
    </row>
    <row r="574" spans="1:26" x14ac:dyDescent="0.3">
      <c r="A574" s="50">
        <v>46062.7890625</v>
      </c>
      <c r="B574">
        <v>2.02602091852097E+18</v>
      </c>
      <c r="C574" t="s">
        <v>5316</v>
      </c>
      <c r="D574" t="s">
        <v>5317</v>
      </c>
      <c r="E574" t="s">
        <v>5317</v>
      </c>
      <c r="F574" t="s">
        <v>5316</v>
      </c>
      <c r="G574" t="s">
        <v>5317</v>
      </c>
      <c r="H574" t="s">
        <v>5317</v>
      </c>
      <c r="I574">
        <v>4743</v>
      </c>
      <c r="J574" t="s">
        <v>5318</v>
      </c>
      <c r="K574" t="s">
        <v>5318</v>
      </c>
      <c r="L574" t="s">
        <v>2832</v>
      </c>
      <c r="M574" t="s">
        <v>2833</v>
      </c>
      <c r="N574">
        <v>108726</v>
      </c>
      <c r="O574">
        <v>45500</v>
      </c>
      <c r="P574">
        <v>2</v>
      </c>
      <c r="Q574">
        <v>0</v>
      </c>
      <c r="S574">
        <v>143790</v>
      </c>
      <c r="T574">
        <v>0</v>
      </c>
      <c r="U574" t="s">
        <v>2835</v>
      </c>
      <c r="W574" t="s">
        <v>5319</v>
      </c>
      <c r="X574">
        <v>91000</v>
      </c>
      <c r="Y574">
        <v>82727.272727272706</v>
      </c>
      <c r="Z574" s="26">
        <v>46063</v>
      </c>
    </row>
    <row r="575" spans="1:26" x14ac:dyDescent="0.3">
      <c r="A575" s="50">
        <v>46062.785937499997</v>
      </c>
      <c r="B575">
        <v>2.02602091849039E+18</v>
      </c>
      <c r="C575" t="s">
        <v>5320</v>
      </c>
      <c r="D575" t="s">
        <v>5321</v>
      </c>
      <c r="E575" t="s">
        <v>5321</v>
      </c>
      <c r="F575" t="s">
        <v>5320</v>
      </c>
      <c r="G575" t="s">
        <v>5321</v>
      </c>
      <c r="H575" t="s">
        <v>5321</v>
      </c>
      <c r="I575">
        <v>4162</v>
      </c>
      <c r="J575" t="s">
        <v>5322</v>
      </c>
      <c r="K575" t="s">
        <v>5322</v>
      </c>
      <c r="L575" t="s">
        <v>2832</v>
      </c>
      <c r="M575" t="s">
        <v>2833</v>
      </c>
      <c r="N575">
        <v>54363</v>
      </c>
      <c r="O575">
        <v>45500</v>
      </c>
      <c r="P575">
        <v>1</v>
      </c>
      <c r="Q575">
        <v>0</v>
      </c>
      <c r="S575">
        <v>143790</v>
      </c>
      <c r="T575">
        <v>0</v>
      </c>
      <c r="U575" t="s">
        <v>2835</v>
      </c>
      <c r="W575" t="s">
        <v>5323</v>
      </c>
      <c r="X575">
        <v>45500</v>
      </c>
      <c r="Y575">
        <v>41363.636363636302</v>
      </c>
      <c r="Z575" s="26">
        <v>46063</v>
      </c>
    </row>
    <row r="576" spans="1:26" x14ac:dyDescent="0.3">
      <c r="A576" s="50">
        <v>46062.779085648152</v>
      </c>
      <c r="B576">
        <v>2.0260209183941E+18</v>
      </c>
      <c r="C576" t="s">
        <v>5324</v>
      </c>
      <c r="D576" t="s">
        <v>5325</v>
      </c>
      <c r="E576" t="s">
        <v>5325</v>
      </c>
      <c r="F576" t="s">
        <v>5324</v>
      </c>
      <c r="G576" t="s">
        <v>5325</v>
      </c>
      <c r="H576" t="s">
        <v>5325</v>
      </c>
      <c r="I576">
        <v>50959</v>
      </c>
      <c r="J576" t="s">
        <v>5326</v>
      </c>
      <c r="K576" t="s">
        <v>5326</v>
      </c>
      <c r="L576" t="s">
        <v>2832</v>
      </c>
      <c r="M576" t="s">
        <v>2833</v>
      </c>
      <c r="N576">
        <v>54363</v>
      </c>
      <c r="O576">
        <v>45500</v>
      </c>
      <c r="P576">
        <v>1</v>
      </c>
      <c r="Q576">
        <v>0</v>
      </c>
      <c r="R576" t="s">
        <v>5327</v>
      </c>
      <c r="S576">
        <v>143790</v>
      </c>
      <c r="T576">
        <v>0</v>
      </c>
      <c r="U576" t="s">
        <v>2835</v>
      </c>
      <c r="W576" t="s">
        <v>5328</v>
      </c>
      <c r="X576">
        <v>45500</v>
      </c>
      <c r="Y576">
        <v>41363.636363636302</v>
      </c>
      <c r="Z576" s="26">
        <v>46063</v>
      </c>
    </row>
    <row r="577" spans="1:26" x14ac:dyDescent="0.3">
      <c r="A577" s="50">
        <v>46062.763738425929</v>
      </c>
      <c r="B577">
        <v>2.02602091813166E+18</v>
      </c>
      <c r="C577" t="s">
        <v>5329</v>
      </c>
      <c r="D577" t="s">
        <v>5330</v>
      </c>
      <c r="E577" t="s">
        <v>5330</v>
      </c>
      <c r="F577" t="s">
        <v>5331</v>
      </c>
      <c r="G577" t="s">
        <v>5332</v>
      </c>
      <c r="H577" t="s">
        <v>5332</v>
      </c>
      <c r="I577">
        <v>30130</v>
      </c>
      <c r="J577" t="s">
        <v>5333</v>
      </c>
      <c r="K577" t="s">
        <v>5333</v>
      </c>
      <c r="L577" t="s">
        <v>2832</v>
      </c>
      <c r="M577" t="s">
        <v>2833</v>
      </c>
      <c r="N577">
        <v>54363</v>
      </c>
      <c r="O577">
        <v>45500</v>
      </c>
      <c r="P577">
        <v>1</v>
      </c>
      <c r="Q577">
        <v>0</v>
      </c>
      <c r="S577">
        <v>143790</v>
      </c>
      <c r="T577">
        <v>0</v>
      </c>
      <c r="U577" t="s">
        <v>2835</v>
      </c>
      <c r="W577" t="s">
        <v>5334</v>
      </c>
      <c r="X577">
        <v>45500</v>
      </c>
      <c r="Y577">
        <v>41363.636363636302</v>
      </c>
      <c r="Z577" s="26">
        <v>46063</v>
      </c>
    </row>
    <row r="578" spans="1:26" x14ac:dyDescent="0.3">
      <c r="A578" s="50">
        <v>46062.758379629631</v>
      </c>
      <c r="B578">
        <v>2.0260209180852201E+18</v>
      </c>
      <c r="C578" t="s">
        <v>5335</v>
      </c>
      <c r="D578" t="s">
        <v>5336</v>
      </c>
      <c r="E578" t="s">
        <v>5336</v>
      </c>
      <c r="F578" t="s">
        <v>5335</v>
      </c>
      <c r="G578" t="s">
        <v>5336</v>
      </c>
      <c r="H578" t="s">
        <v>5336</v>
      </c>
      <c r="I578">
        <v>14102</v>
      </c>
      <c r="J578" t="s">
        <v>5337</v>
      </c>
      <c r="K578" t="s">
        <v>5337</v>
      </c>
      <c r="L578" t="s">
        <v>2832</v>
      </c>
      <c r="M578" t="s">
        <v>2833</v>
      </c>
      <c r="N578">
        <v>54363</v>
      </c>
      <c r="O578">
        <v>45500</v>
      </c>
      <c r="P578">
        <v>1</v>
      </c>
      <c r="Q578">
        <v>0</v>
      </c>
      <c r="S578">
        <v>143790</v>
      </c>
      <c r="T578">
        <v>0</v>
      </c>
      <c r="U578" t="s">
        <v>2835</v>
      </c>
      <c r="W578" t="s">
        <v>5338</v>
      </c>
      <c r="X578">
        <v>45500</v>
      </c>
      <c r="Y578">
        <v>41363.636363636302</v>
      </c>
      <c r="Z578" s="26">
        <v>46063</v>
      </c>
    </row>
    <row r="579" spans="1:26" x14ac:dyDescent="0.3">
      <c r="A579" s="50">
        <v>46062.753113425933</v>
      </c>
      <c r="B579">
        <v>2.0260209180133801E+18</v>
      </c>
      <c r="C579" t="s">
        <v>5339</v>
      </c>
      <c r="D579" t="s">
        <v>5340</v>
      </c>
      <c r="E579" t="s">
        <v>5340</v>
      </c>
      <c r="F579" t="s">
        <v>5339</v>
      </c>
      <c r="G579" t="s">
        <v>5340</v>
      </c>
      <c r="H579" t="s">
        <v>5340</v>
      </c>
      <c r="I579">
        <v>10311</v>
      </c>
      <c r="J579" t="s">
        <v>5341</v>
      </c>
      <c r="K579" t="s">
        <v>5341</v>
      </c>
      <c r="L579" t="s">
        <v>2832</v>
      </c>
      <c r="M579" t="s">
        <v>2833</v>
      </c>
      <c r="N579">
        <v>54363</v>
      </c>
      <c r="O579">
        <v>45500</v>
      </c>
      <c r="P579">
        <v>1</v>
      </c>
      <c r="Q579">
        <v>0</v>
      </c>
      <c r="S579">
        <v>143790</v>
      </c>
      <c r="T579">
        <v>0</v>
      </c>
      <c r="U579" t="s">
        <v>2835</v>
      </c>
      <c r="W579" t="s">
        <v>5342</v>
      </c>
      <c r="X579">
        <v>45500</v>
      </c>
      <c r="Y579">
        <v>41363.636363636302</v>
      </c>
      <c r="Z579" s="26">
        <v>46063</v>
      </c>
    </row>
    <row r="580" spans="1:26" x14ac:dyDescent="0.3">
      <c r="A580" s="50">
        <v>46062.511516203696</v>
      </c>
      <c r="B580">
        <v>2.02602091214286E+18</v>
      </c>
      <c r="C580" t="s">
        <v>5343</v>
      </c>
      <c r="D580" t="s">
        <v>5344</v>
      </c>
      <c r="E580" t="s">
        <v>5344</v>
      </c>
      <c r="F580" t="s">
        <v>5345</v>
      </c>
      <c r="G580" t="s">
        <v>5346</v>
      </c>
      <c r="H580" t="s">
        <v>5346</v>
      </c>
      <c r="I580">
        <v>7439</v>
      </c>
      <c r="J580" t="s">
        <v>5347</v>
      </c>
      <c r="K580" t="s">
        <v>5347</v>
      </c>
      <c r="L580" t="s">
        <v>2832</v>
      </c>
      <c r="M580" t="s">
        <v>2833</v>
      </c>
      <c r="N580">
        <v>54363</v>
      </c>
      <c r="O580">
        <v>45500</v>
      </c>
      <c r="P580">
        <v>1</v>
      </c>
      <c r="Q580">
        <v>0</v>
      </c>
      <c r="S580">
        <v>143790</v>
      </c>
      <c r="T580">
        <v>0</v>
      </c>
      <c r="U580" t="s">
        <v>2835</v>
      </c>
      <c r="W580" t="s">
        <v>5348</v>
      </c>
      <c r="X580">
        <v>45500</v>
      </c>
      <c r="Y580">
        <v>41363.636363636302</v>
      </c>
      <c r="Z580" s="26">
        <v>46063</v>
      </c>
    </row>
    <row r="581" spans="1:26" x14ac:dyDescent="0.3">
      <c r="A581" s="50">
        <v>46062.505891203713</v>
      </c>
      <c r="B581">
        <v>2.02602091204319E+18</v>
      </c>
      <c r="C581" t="s">
        <v>5343</v>
      </c>
      <c r="D581" t="s">
        <v>5344</v>
      </c>
      <c r="E581" t="s">
        <v>5344</v>
      </c>
      <c r="F581" t="s">
        <v>5349</v>
      </c>
      <c r="G581" t="s">
        <v>5344</v>
      </c>
      <c r="H581" t="s">
        <v>5344</v>
      </c>
      <c r="I581">
        <v>4148</v>
      </c>
      <c r="J581" t="s">
        <v>5350</v>
      </c>
      <c r="K581" t="s">
        <v>5350</v>
      </c>
      <c r="L581" t="s">
        <v>2832</v>
      </c>
      <c r="M581" t="s">
        <v>2833</v>
      </c>
      <c r="N581">
        <v>54363</v>
      </c>
      <c r="O581">
        <v>45500</v>
      </c>
      <c r="P581">
        <v>1</v>
      </c>
      <c r="Q581">
        <v>0</v>
      </c>
      <c r="S581">
        <v>143790</v>
      </c>
      <c r="T581">
        <v>0</v>
      </c>
      <c r="U581" t="s">
        <v>2835</v>
      </c>
      <c r="W581" t="s">
        <v>5351</v>
      </c>
      <c r="X581">
        <v>45500</v>
      </c>
      <c r="Y581">
        <v>41363.636363636302</v>
      </c>
      <c r="Z581" s="26">
        <v>46063</v>
      </c>
    </row>
    <row r="582" spans="1:26" x14ac:dyDescent="0.3">
      <c r="A582" s="50">
        <v>46062.482592592591</v>
      </c>
      <c r="B582">
        <v>2.0260209113237499E+18</v>
      </c>
      <c r="C582" t="s">
        <v>5352</v>
      </c>
      <c r="D582" t="s">
        <v>5353</v>
      </c>
      <c r="E582" t="s">
        <v>5353</v>
      </c>
      <c r="F582" t="s">
        <v>5352</v>
      </c>
      <c r="G582" t="s">
        <v>5353</v>
      </c>
      <c r="H582" t="s">
        <v>5353</v>
      </c>
      <c r="I582">
        <v>53283</v>
      </c>
      <c r="J582" t="s">
        <v>5354</v>
      </c>
      <c r="K582" t="s">
        <v>5354</v>
      </c>
      <c r="L582" t="s">
        <v>2832</v>
      </c>
      <c r="M582" t="s">
        <v>2833</v>
      </c>
      <c r="N582">
        <v>108726</v>
      </c>
      <c r="O582">
        <v>45500</v>
      </c>
      <c r="P582">
        <v>2</v>
      </c>
      <c r="Q582">
        <v>0</v>
      </c>
      <c r="S582">
        <v>143790</v>
      </c>
      <c r="T582">
        <v>0</v>
      </c>
      <c r="U582" t="s">
        <v>2835</v>
      </c>
      <c r="W582" t="s">
        <v>5355</v>
      </c>
      <c r="X582">
        <v>91000</v>
      </c>
      <c r="Y582">
        <v>82727.272727272706</v>
      </c>
      <c r="Z582" s="26">
        <v>46063</v>
      </c>
    </row>
    <row r="583" spans="1:26" x14ac:dyDescent="0.3">
      <c r="A583" s="50">
        <v>46062.472939814812</v>
      </c>
      <c r="B583">
        <v>2.0260209112015601E+18</v>
      </c>
      <c r="C583" t="s">
        <v>5356</v>
      </c>
      <c r="D583" t="s">
        <v>5357</v>
      </c>
      <c r="E583" t="s">
        <v>5357</v>
      </c>
      <c r="F583" t="s">
        <v>5356</v>
      </c>
      <c r="G583" t="s">
        <v>5357</v>
      </c>
      <c r="H583" t="s">
        <v>5357</v>
      </c>
      <c r="I583">
        <v>4164</v>
      </c>
      <c r="J583" t="s">
        <v>5358</v>
      </c>
      <c r="K583" t="s">
        <v>5358</v>
      </c>
      <c r="L583" t="s">
        <v>2832</v>
      </c>
      <c r="M583" t="s">
        <v>2833</v>
      </c>
      <c r="N583">
        <v>54363</v>
      </c>
      <c r="O583">
        <v>45500</v>
      </c>
      <c r="P583">
        <v>1</v>
      </c>
      <c r="Q583">
        <v>0</v>
      </c>
      <c r="S583">
        <v>143790</v>
      </c>
      <c r="T583">
        <v>0</v>
      </c>
      <c r="U583" t="s">
        <v>2835</v>
      </c>
      <c r="W583" t="s">
        <v>5359</v>
      </c>
      <c r="X583">
        <v>45500</v>
      </c>
      <c r="Y583">
        <v>41363.636363636302</v>
      </c>
      <c r="Z583" s="26">
        <v>46063</v>
      </c>
    </row>
    <row r="584" spans="1:26" x14ac:dyDescent="0.3">
      <c r="A584" s="50">
        <v>46062.465995370367</v>
      </c>
      <c r="B584">
        <v>2.0260209110911201E+18</v>
      </c>
      <c r="C584" t="s">
        <v>5360</v>
      </c>
      <c r="D584" t="s">
        <v>5361</v>
      </c>
      <c r="E584" t="s">
        <v>5361</v>
      </c>
      <c r="F584" t="s">
        <v>5360</v>
      </c>
      <c r="G584" t="s">
        <v>5361</v>
      </c>
      <c r="H584" t="s">
        <v>5361</v>
      </c>
      <c r="I584">
        <v>25257</v>
      </c>
      <c r="J584" t="s">
        <v>5362</v>
      </c>
      <c r="K584" t="s">
        <v>5362</v>
      </c>
      <c r="L584" t="s">
        <v>2832</v>
      </c>
      <c r="M584" t="s">
        <v>2833</v>
      </c>
      <c r="N584">
        <v>54363</v>
      </c>
      <c r="O584">
        <v>45500</v>
      </c>
      <c r="P584">
        <v>1</v>
      </c>
      <c r="Q584">
        <v>0</v>
      </c>
      <c r="R584" t="s">
        <v>5363</v>
      </c>
      <c r="S584">
        <v>143790</v>
      </c>
      <c r="T584">
        <v>0</v>
      </c>
      <c r="U584" t="s">
        <v>2835</v>
      </c>
      <c r="W584" t="s">
        <v>5364</v>
      </c>
      <c r="X584">
        <v>45500</v>
      </c>
      <c r="Y584">
        <v>41363.636363636302</v>
      </c>
      <c r="Z584" s="26">
        <v>46063</v>
      </c>
    </row>
    <row r="585" spans="1:26" x14ac:dyDescent="0.3">
      <c r="A585" s="50">
        <v>46062.455034722218</v>
      </c>
      <c r="B585">
        <v>2.02602091054205E+18</v>
      </c>
      <c r="C585" t="s">
        <v>5365</v>
      </c>
      <c r="D585" t="s">
        <v>5366</v>
      </c>
      <c r="E585" t="s">
        <v>5366</v>
      </c>
      <c r="F585" t="s">
        <v>5367</v>
      </c>
      <c r="G585" t="s">
        <v>5366</v>
      </c>
      <c r="H585" t="s">
        <v>5366</v>
      </c>
      <c r="I585">
        <v>46317</v>
      </c>
      <c r="J585" t="s">
        <v>5368</v>
      </c>
      <c r="K585" t="s">
        <v>5368</v>
      </c>
      <c r="L585" t="s">
        <v>2832</v>
      </c>
      <c r="M585" t="s">
        <v>2833</v>
      </c>
      <c r="N585">
        <v>54363</v>
      </c>
      <c r="O585">
        <v>45500</v>
      </c>
      <c r="P585">
        <v>1</v>
      </c>
      <c r="Q585">
        <v>0</v>
      </c>
      <c r="R585" t="s">
        <v>5369</v>
      </c>
      <c r="S585">
        <v>143790</v>
      </c>
      <c r="T585">
        <v>0</v>
      </c>
      <c r="U585" t="s">
        <v>2835</v>
      </c>
      <c r="W585" t="s">
        <v>5370</v>
      </c>
      <c r="X585">
        <v>45500</v>
      </c>
      <c r="Y585">
        <v>41363.636363636302</v>
      </c>
      <c r="Z585" s="26">
        <v>46063</v>
      </c>
    </row>
    <row r="586" spans="1:26" x14ac:dyDescent="0.3">
      <c r="A586" s="50">
        <v>46062.436296296299</v>
      </c>
      <c r="B586">
        <v>2.02602091027362E+18</v>
      </c>
      <c r="C586" t="s">
        <v>5371</v>
      </c>
      <c r="D586" t="s">
        <v>5372</v>
      </c>
      <c r="E586" t="s">
        <v>5372</v>
      </c>
      <c r="F586" t="s">
        <v>5371</v>
      </c>
      <c r="G586" t="s">
        <v>5372</v>
      </c>
      <c r="H586" t="s">
        <v>5372</v>
      </c>
      <c r="I586">
        <v>15823</v>
      </c>
      <c r="J586" t="s">
        <v>5373</v>
      </c>
      <c r="K586" t="s">
        <v>5373</v>
      </c>
      <c r="L586" t="s">
        <v>2832</v>
      </c>
      <c r="M586" t="s">
        <v>2833</v>
      </c>
      <c r="N586">
        <v>54363</v>
      </c>
      <c r="O586">
        <v>45500</v>
      </c>
      <c r="P586">
        <v>1</v>
      </c>
      <c r="Q586">
        <v>0</v>
      </c>
      <c r="S586">
        <v>143790</v>
      </c>
      <c r="T586">
        <v>0</v>
      </c>
      <c r="U586" t="s">
        <v>2835</v>
      </c>
      <c r="W586" t="s">
        <v>5374</v>
      </c>
      <c r="X586">
        <v>45500</v>
      </c>
      <c r="Y586">
        <v>41363.636363636302</v>
      </c>
      <c r="Z586" s="26">
        <v>46063</v>
      </c>
    </row>
    <row r="587" spans="1:26" x14ac:dyDescent="0.3">
      <c r="A587" s="50">
        <v>46061.604745370372</v>
      </c>
      <c r="B587">
        <v>2.02602081428446E+18</v>
      </c>
      <c r="C587" t="s">
        <v>4605</v>
      </c>
      <c r="D587" t="s">
        <v>4606</v>
      </c>
      <c r="E587" t="s">
        <v>4606</v>
      </c>
      <c r="F587" t="s">
        <v>5375</v>
      </c>
      <c r="G587" t="s">
        <v>5376</v>
      </c>
      <c r="H587" t="s">
        <v>5376</v>
      </c>
      <c r="I587">
        <v>41001</v>
      </c>
      <c r="J587" t="s">
        <v>5377</v>
      </c>
      <c r="K587" t="s">
        <v>5377</v>
      </c>
      <c r="L587" t="s">
        <v>2832</v>
      </c>
      <c r="M587" t="s">
        <v>2833</v>
      </c>
      <c r="N587">
        <v>54363</v>
      </c>
      <c r="O587">
        <v>45500</v>
      </c>
      <c r="P587">
        <v>1</v>
      </c>
      <c r="Q587">
        <v>0</v>
      </c>
      <c r="S587">
        <v>143790</v>
      </c>
      <c r="T587">
        <v>0</v>
      </c>
      <c r="U587" t="s">
        <v>2835</v>
      </c>
      <c r="W587" t="s">
        <v>5378</v>
      </c>
      <c r="X587">
        <v>45500</v>
      </c>
      <c r="Y587">
        <v>41363.636363636302</v>
      </c>
      <c r="Z587" s="26">
        <v>46063</v>
      </c>
    </row>
    <row r="588" spans="1:26" x14ac:dyDescent="0.3">
      <c r="A588" s="50">
        <v>46061.567719907413</v>
      </c>
      <c r="B588">
        <v>2.0260208133629E+18</v>
      </c>
      <c r="C588" t="s">
        <v>4605</v>
      </c>
      <c r="D588" t="s">
        <v>4606</v>
      </c>
      <c r="E588" t="s">
        <v>4606</v>
      </c>
      <c r="F588" t="s">
        <v>5379</v>
      </c>
      <c r="G588" t="s">
        <v>5380</v>
      </c>
      <c r="H588" t="s">
        <v>5380</v>
      </c>
      <c r="I588">
        <v>6002</v>
      </c>
      <c r="J588" t="s">
        <v>5381</v>
      </c>
      <c r="K588" t="s">
        <v>5381</v>
      </c>
      <c r="L588" t="s">
        <v>2832</v>
      </c>
      <c r="M588" t="s">
        <v>2833</v>
      </c>
      <c r="N588">
        <v>54363</v>
      </c>
      <c r="O588">
        <v>45500</v>
      </c>
      <c r="P588">
        <v>1</v>
      </c>
      <c r="Q588">
        <v>0</v>
      </c>
      <c r="S588">
        <v>143790</v>
      </c>
      <c r="T588">
        <v>0</v>
      </c>
      <c r="U588" t="s">
        <v>2835</v>
      </c>
      <c r="W588" t="s">
        <v>5382</v>
      </c>
      <c r="X588">
        <v>45500</v>
      </c>
      <c r="Y588">
        <v>41363.636363636302</v>
      </c>
      <c r="Z588" s="26">
        <v>46063</v>
      </c>
    </row>
    <row r="589" spans="1:26" x14ac:dyDescent="0.3">
      <c r="A589" s="50">
        <v>46060.621157407397</v>
      </c>
      <c r="B589">
        <v>2.02602071452271E+18</v>
      </c>
      <c r="C589" t="s">
        <v>5383</v>
      </c>
      <c r="D589" t="s">
        <v>5384</v>
      </c>
      <c r="E589" t="s">
        <v>5384</v>
      </c>
      <c r="F589" t="s">
        <v>5385</v>
      </c>
      <c r="G589" t="s">
        <v>5386</v>
      </c>
      <c r="H589" t="s">
        <v>5386</v>
      </c>
      <c r="I589">
        <v>17917</v>
      </c>
      <c r="J589" t="s">
        <v>5387</v>
      </c>
      <c r="K589" t="s">
        <v>5387</v>
      </c>
      <c r="L589" t="s">
        <v>2832</v>
      </c>
      <c r="M589" t="s">
        <v>2833</v>
      </c>
      <c r="N589">
        <v>54363</v>
      </c>
      <c r="O589">
        <v>45500</v>
      </c>
      <c r="P589">
        <v>1</v>
      </c>
      <c r="Q589">
        <v>0</v>
      </c>
      <c r="S589">
        <v>143790</v>
      </c>
      <c r="T589">
        <v>0</v>
      </c>
      <c r="U589" t="s">
        <v>2835</v>
      </c>
      <c r="W589" t="s">
        <v>5388</v>
      </c>
      <c r="X589">
        <v>45500</v>
      </c>
      <c r="Y589">
        <v>41363.636363636302</v>
      </c>
      <c r="Z589" s="26">
        <v>46063</v>
      </c>
    </row>
    <row r="590" spans="1:26" x14ac:dyDescent="0.3">
      <c r="A590" s="50">
        <v>46060.568865740737</v>
      </c>
      <c r="B590">
        <v>2.0260207133730601E+18</v>
      </c>
      <c r="C590" t="s">
        <v>4745</v>
      </c>
      <c r="D590" t="s">
        <v>4746</v>
      </c>
      <c r="E590" t="s">
        <v>4746</v>
      </c>
      <c r="F590" t="s">
        <v>5389</v>
      </c>
      <c r="G590" t="s">
        <v>5390</v>
      </c>
      <c r="H590" t="s">
        <v>5390</v>
      </c>
      <c r="I590">
        <v>51320</v>
      </c>
      <c r="J590" t="s">
        <v>5391</v>
      </c>
      <c r="K590" t="s">
        <v>5391</v>
      </c>
      <c r="L590" t="s">
        <v>2832</v>
      </c>
      <c r="M590" t="s">
        <v>2833</v>
      </c>
      <c r="N590">
        <v>108726</v>
      </c>
      <c r="O590">
        <v>45500</v>
      </c>
      <c r="P590">
        <v>2</v>
      </c>
      <c r="Q590">
        <v>0</v>
      </c>
      <c r="S590">
        <v>143790</v>
      </c>
      <c r="T590">
        <v>0</v>
      </c>
      <c r="U590" t="s">
        <v>2835</v>
      </c>
      <c r="W590" t="s">
        <v>5392</v>
      </c>
      <c r="X590">
        <v>91000</v>
      </c>
      <c r="Y590">
        <v>82727.272727272706</v>
      </c>
      <c r="Z590" s="26">
        <v>46063</v>
      </c>
    </row>
    <row r="591" spans="1:26" x14ac:dyDescent="0.3">
      <c r="A591" s="50">
        <v>46060.390960648147</v>
      </c>
      <c r="B591">
        <v>2.02602070922176E+18</v>
      </c>
      <c r="C591" t="s">
        <v>5393</v>
      </c>
      <c r="D591" t="s">
        <v>5394</v>
      </c>
      <c r="E591" t="s">
        <v>5394</v>
      </c>
      <c r="F591" t="s">
        <v>5395</v>
      </c>
      <c r="G591" t="s">
        <v>5396</v>
      </c>
      <c r="H591" t="s">
        <v>5396</v>
      </c>
      <c r="I591">
        <v>15011</v>
      </c>
      <c r="J591" t="s">
        <v>5397</v>
      </c>
      <c r="K591" t="s">
        <v>5397</v>
      </c>
      <c r="L591" t="s">
        <v>2832</v>
      </c>
      <c r="M591" t="s">
        <v>2833</v>
      </c>
      <c r="N591">
        <v>54363</v>
      </c>
      <c r="O591">
        <v>45500</v>
      </c>
      <c r="P591">
        <v>1</v>
      </c>
      <c r="Q591">
        <v>0</v>
      </c>
      <c r="S591">
        <v>143790</v>
      </c>
      <c r="T591">
        <v>0</v>
      </c>
      <c r="U591" t="s">
        <v>2835</v>
      </c>
      <c r="W591" t="s">
        <v>5398</v>
      </c>
      <c r="X591">
        <v>45500</v>
      </c>
      <c r="Y591">
        <v>41363.636363636302</v>
      </c>
      <c r="Z591" s="26">
        <v>46063</v>
      </c>
    </row>
    <row r="592" spans="1:26" x14ac:dyDescent="0.3">
      <c r="A592" s="50">
        <v>46059.168541666673</v>
      </c>
      <c r="B592">
        <v>2.02602060402002E+18</v>
      </c>
      <c r="C592" t="s">
        <v>5137</v>
      </c>
      <c r="D592" t="s">
        <v>5138</v>
      </c>
      <c r="E592" t="s">
        <v>5138</v>
      </c>
      <c r="F592" t="s">
        <v>5399</v>
      </c>
      <c r="H592" t="s">
        <v>5400</v>
      </c>
      <c r="I592">
        <v>31963</v>
      </c>
      <c r="J592" t="s">
        <v>5401</v>
      </c>
      <c r="K592" t="s">
        <v>5402</v>
      </c>
      <c r="L592" t="s">
        <v>2832</v>
      </c>
      <c r="M592" t="s">
        <v>2833</v>
      </c>
      <c r="N592">
        <v>54363</v>
      </c>
      <c r="O592">
        <v>45500</v>
      </c>
      <c r="P592">
        <v>1</v>
      </c>
      <c r="Q592">
        <v>0</v>
      </c>
      <c r="S592">
        <v>143790</v>
      </c>
      <c r="T592">
        <v>0</v>
      </c>
      <c r="U592" t="s">
        <v>2835</v>
      </c>
      <c r="W592" t="s">
        <v>5403</v>
      </c>
      <c r="X592">
        <v>45500</v>
      </c>
      <c r="Y592">
        <v>41363.636363636302</v>
      </c>
      <c r="Z592" s="26">
        <v>46063</v>
      </c>
    </row>
    <row r="593" spans="1:26" x14ac:dyDescent="0.3">
      <c r="A593" s="50">
        <v>46059.165752314817</v>
      </c>
      <c r="B593">
        <v>2.02602060328353E+18</v>
      </c>
      <c r="C593" t="s">
        <v>5137</v>
      </c>
      <c r="D593" t="s">
        <v>5138</v>
      </c>
      <c r="E593" t="s">
        <v>5138</v>
      </c>
      <c r="F593" t="s">
        <v>5143</v>
      </c>
      <c r="H593" t="s">
        <v>5404</v>
      </c>
      <c r="I593">
        <v>14019</v>
      </c>
      <c r="J593" t="s">
        <v>5405</v>
      </c>
      <c r="K593" t="s">
        <v>5406</v>
      </c>
      <c r="L593" t="s">
        <v>2832</v>
      </c>
      <c r="M593" t="s">
        <v>2833</v>
      </c>
      <c r="N593">
        <v>54363</v>
      </c>
      <c r="O593">
        <v>45500</v>
      </c>
      <c r="P593">
        <v>1</v>
      </c>
      <c r="Q593">
        <v>0</v>
      </c>
      <c r="S593">
        <v>143790</v>
      </c>
      <c r="T593">
        <v>0</v>
      </c>
      <c r="U593" t="s">
        <v>2835</v>
      </c>
      <c r="W593" t="s">
        <v>5407</v>
      </c>
      <c r="X593">
        <v>45500</v>
      </c>
      <c r="Y593">
        <v>41363.636363636302</v>
      </c>
      <c r="Z593" s="26">
        <v>46063</v>
      </c>
    </row>
    <row r="594" spans="1:26" x14ac:dyDescent="0.3">
      <c r="A594" s="50">
        <v>46058.405613425923</v>
      </c>
      <c r="B594">
        <v>2.02602050941566E+18</v>
      </c>
      <c r="C594" t="s">
        <v>5408</v>
      </c>
      <c r="D594" t="s">
        <v>5409</v>
      </c>
      <c r="E594" t="s">
        <v>5409</v>
      </c>
      <c r="F594" t="s">
        <v>5410</v>
      </c>
      <c r="H594" t="s">
        <v>5411</v>
      </c>
      <c r="I594">
        <v>48113</v>
      </c>
      <c r="J594" t="s">
        <v>5412</v>
      </c>
      <c r="L594" t="s">
        <v>2832</v>
      </c>
      <c r="M594" t="s">
        <v>2833</v>
      </c>
      <c r="N594">
        <v>54363</v>
      </c>
      <c r="O594">
        <v>45500</v>
      </c>
      <c r="P594">
        <v>1</v>
      </c>
      <c r="Q594">
        <v>0</v>
      </c>
      <c r="S594">
        <v>143790</v>
      </c>
      <c r="T594">
        <v>0</v>
      </c>
      <c r="U594" t="s">
        <v>2835</v>
      </c>
      <c r="W594" t="s">
        <v>5413</v>
      </c>
      <c r="X594">
        <v>45500</v>
      </c>
      <c r="Y594">
        <v>41363.636363636302</v>
      </c>
      <c r="Z594" s="26">
        <v>46063</v>
      </c>
    </row>
    <row r="595" spans="1:26" x14ac:dyDescent="0.3">
      <c r="A595" s="50">
        <v>46063.458425925928</v>
      </c>
      <c r="B595">
        <v>2.02602101100081E+18</v>
      </c>
      <c r="C595" t="s">
        <v>5414</v>
      </c>
      <c r="E595" t="s">
        <v>5415</v>
      </c>
      <c r="F595" t="s">
        <v>5414</v>
      </c>
      <c r="H595" t="s">
        <v>5416</v>
      </c>
      <c r="I595">
        <v>5767</v>
      </c>
      <c r="J595" t="s">
        <v>5417</v>
      </c>
      <c r="K595" t="s">
        <v>5418</v>
      </c>
      <c r="L595" t="s">
        <v>2832</v>
      </c>
      <c r="M595" t="s">
        <v>2833</v>
      </c>
      <c r="N595">
        <v>6454</v>
      </c>
      <c r="O595">
        <v>45500</v>
      </c>
      <c r="P595">
        <v>1</v>
      </c>
      <c r="Q595">
        <v>0</v>
      </c>
      <c r="S595">
        <v>143812</v>
      </c>
      <c r="T595">
        <v>0</v>
      </c>
      <c r="U595" t="s">
        <v>5156</v>
      </c>
      <c r="W595" t="s">
        <v>5419</v>
      </c>
      <c r="X595">
        <v>45500</v>
      </c>
      <c r="Y595">
        <v>41363.636363636302</v>
      </c>
      <c r="Z595" s="26">
        <v>46063</v>
      </c>
    </row>
    <row r="596" spans="1:26" x14ac:dyDescent="0.3">
      <c r="A596" s="50">
        <v>46063.451793981483</v>
      </c>
      <c r="B596">
        <v>2.02602101050351E+18</v>
      </c>
      <c r="C596" t="s">
        <v>5414</v>
      </c>
      <c r="E596" t="s">
        <v>5415</v>
      </c>
      <c r="F596" t="s">
        <v>5414</v>
      </c>
      <c r="H596" t="s">
        <v>5416</v>
      </c>
      <c r="I596">
        <v>5767</v>
      </c>
      <c r="J596" t="s">
        <v>5417</v>
      </c>
      <c r="K596" t="s">
        <v>5418</v>
      </c>
      <c r="L596" t="s">
        <v>2832</v>
      </c>
      <c r="M596" t="s">
        <v>2833</v>
      </c>
      <c r="N596">
        <v>6454</v>
      </c>
      <c r="O596">
        <v>45500</v>
      </c>
      <c r="P596">
        <v>1</v>
      </c>
      <c r="Q596">
        <v>0</v>
      </c>
      <c r="S596">
        <v>143812</v>
      </c>
      <c r="T596">
        <v>0</v>
      </c>
      <c r="U596" t="s">
        <v>5156</v>
      </c>
      <c r="W596" t="s">
        <v>5420</v>
      </c>
      <c r="X596">
        <v>45500</v>
      </c>
      <c r="Y596">
        <v>41363.636363636302</v>
      </c>
      <c r="Z596" s="26">
        <v>46063</v>
      </c>
    </row>
    <row r="597" spans="1:26" x14ac:dyDescent="0.3">
      <c r="A597" s="50">
        <v>46063.445613425924</v>
      </c>
      <c r="B597">
        <v>2.0260210104103501E+18</v>
      </c>
      <c r="C597" t="s">
        <v>5421</v>
      </c>
      <c r="D597" t="s">
        <v>5422</v>
      </c>
      <c r="E597" t="s">
        <v>5422</v>
      </c>
      <c r="F597" t="s">
        <v>5421</v>
      </c>
      <c r="G597" t="s">
        <v>5422</v>
      </c>
      <c r="H597" t="s">
        <v>5422</v>
      </c>
      <c r="I597">
        <v>38026</v>
      </c>
      <c r="J597" t="s">
        <v>5423</v>
      </c>
      <c r="K597" t="s">
        <v>5423</v>
      </c>
      <c r="L597" t="s">
        <v>2832</v>
      </c>
      <c r="M597" t="s">
        <v>2833</v>
      </c>
      <c r="N597">
        <v>12908</v>
      </c>
      <c r="O597">
        <v>45500</v>
      </c>
      <c r="P597">
        <v>2</v>
      </c>
      <c r="Q597">
        <v>0</v>
      </c>
      <c r="S597">
        <v>143812</v>
      </c>
      <c r="T597">
        <v>0</v>
      </c>
      <c r="U597" t="s">
        <v>5156</v>
      </c>
      <c r="W597" t="s">
        <v>5424</v>
      </c>
      <c r="X597">
        <v>91000</v>
      </c>
      <c r="Y597">
        <v>82727.272727272706</v>
      </c>
      <c r="Z597" s="26">
        <v>46063</v>
      </c>
    </row>
    <row r="598" spans="1:26" x14ac:dyDescent="0.3">
      <c r="A598" s="50">
        <v>46063.435324074067</v>
      </c>
      <c r="B598">
        <v>2.02602101024515E+18</v>
      </c>
      <c r="C598" t="s">
        <v>5425</v>
      </c>
      <c r="D598" t="s">
        <v>5426</v>
      </c>
      <c r="E598" t="s">
        <v>5426</v>
      </c>
      <c r="F598" t="s">
        <v>5425</v>
      </c>
      <c r="G598" t="s">
        <v>5427</v>
      </c>
      <c r="H598" t="s">
        <v>5427</v>
      </c>
      <c r="I598">
        <v>16865</v>
      </c>
      <c r="J598" t="s">
        <v>5428</v>
      </c>
      <c r="K598" t="s">
        <v>5428</v>
      </c>
      <c r="L598" t="s">
        <v>2832</v>
      </c>
      <c r="M598" t="s">
        <v>2833</v>
      </c>
      <c r="N598">
        <v>12908</v>
      </c>
      <c r="O598">
        <v>45500</v>
      </c>
      <c r="P598">
        <v>2</v>
      </c>
      <c r="Q598">
        <v>0</v>
      </c>
      <c r="S598">
        <v>143812</v>
      </c>
      <c r="T598">
        <v>0</v>
      </c>
      <c r="U598" t="s">
        <v>5156</v>
      </c>
      <c r="W598" t="s">
        <v>5429</v>
      </c>
      <c r="X598">
        <v>91000</v>
      </c>
      <c r="Y598">
        <v>82727.272727272706</v>
      </c>
      <c r="Z598" s="26">
        <v>46063</v>
      </c>
    </row>
    <row r="599" spans="1:26" x14ac:dyDescent="0.3">
      <c r="A599" s="50">
        <v>46063.342407407406</v>
      </c>
      <c r="B599">
        <v>2.02602100812031E+18</v>
      </c>
      <c r="C599" t="s">
        <v>5430</v>
      </c>
      <c r="D599" t="s">
        <v>5431</v>
      </c>
      <c r="E599" t="s">
        <v>5431</v>
      </c>
      <c r="F599" t="s">
        <v>5430</v>
      </c>
      <c r="G599" t="s">
        <v>5431</v>
      </c>
      <c r="H599" t="s">
        <v>5431</v>
      </c>
      <c r="I599">
        <v>5649</v>
      </c>
      <c r="J599" t="s">
        <v>5432</v>
      </c>
      <c r="K599" t="s">
        <v>5432</v>
      </c>
      <c r="L599" t="s">
        <v>2832</v>
      </c>
      <c r="M599" t="s">
        <v>2833</v>
      </c>
      <c r="N599">
        <v>6454</v>
      </c>
      <c r="O599">
        <v>45500</v>
      </c>
      <c r="P599">
        <v>1</v>
      </c>
      <c r="Q599">
        <v>0</v>
      </c>
      <c r="S599">
        <v>143812</v>
      </c>
      <c r="T599">
        <v>0</v>
      </c>
      <c r="U599" t="s">
        <v>5156</v>
      </c>
      <c r="W599" t="s">
        <v>5433</v>
      </c>
      <c r="X599">
        <v>45500</v>
      </c>
      <c r="Y599">
        <v>41363.636363636302</v>
      </c>
      <c r="Z599" s="26">
        <v>46063</v>
      </c>
    </row>
    <row r="600" spans="1:26" x14ac:dyDescent="0.3">
      <c r="A600" s="50">
        <v>46062.796666666669</v>
      </c>
      <c r="B600">
        <v>2.02602091905057E+18</v>
      </c>
      <c r="C600" t="s">
        <v>5434</v>
      </c>
      <c r="D600" t="s">
        <v>5435</v>
      </c>
      <c r="E600" t="s">
        <v>5435</v>
      </c>
      <c r="F600" t="s">
        <v>5434</v>
      </c>
      <c r="G600" t="s">
        <v>5435</v>
      </c>
      <c r="H600" t="s">
        <v>5435</v>
      </c>
      <c r="I600">
        <v>8338</v>
      </c>
      <c r="J600" t="s">
        <v>5436</v>
      </c>
      <c r="K600" t="s">
        <v>5436</v>
      </c>
      <c r="L600" t="s">
        <v>2832</v>
      </c>
      <c r="M600" t="s">
        <v>2833</v>
      </c>
      <c r="N600">
        <v>6454</v>
      </c>
      <c r="O600">
        <v>45500</v>
      </c>
      <c r="P600">
        <v>1</v>
      </c>
      <c r="Q600">
        <v>0</v>
      </c>
      <c r="S600">
        <v>143812</v>
      </c>
      <c r="T600">
        <v>0</v>
      </c>
      <c r="U600" t="s">
        <v>5156</v>
      </c>
      <c r="W600" t="s">
        <v>5437</v>
      </c>
      <c r="X600">
        <v>45500</v>
      </c>
      <c r="Y600">
        <v>41363.636363636302</v>
      </c>
      <c r="Z600" s="26">
        <v>46063</v>
      </c>
    </row>
    <row r="601" spans="1:26" x14ac:dyDescent="0.3">
      <c r="A601" s="50">
        <v>46062.756076388891</v>
      </c>
      <c r="B601">
        <v>2.0260209180623601E+18</v>
      </c>
      <c r="C601" t="s">
        <v>5438</v>
      </c>
      <c r="D601" t="s">
        <v>5439</v>
      </c>
      <c r="E601" t="s">
        <v>5439</v>
      </c>
      <c r="F601" t="s">
        <v>5440</v>
      </c>
      <c r="G601" t="s">
        <v>5441</v>
      </c>
      <c r="H601" t="s">
        <v>5441</v>
      </c>
      <c r="I601">
        <v>54637</v>
      </c>
      <c r="J601" t="s">
        <v>5442</v>
      </c>
      <c r="K601" t="s">
        <v>5442</v>
      </c>
      <c r="L601" t="s">
        <v>2832</v>
      </c>
      <c r="M601" t="s">
        <v>2833</v>
      </c>
      <c r="N601">
        <v>6454</v>
      </c>
      <c r="O601">
        <v>45500</v>
      </c>
      <c r="P601">
        <v>1</v>
      </c>
      <c r="Q601">
        <v>0</v>
      </c>
      <c r="S601">
        <v>143812</v>
      </c>
      <c r="T601">
        <v>0</v>
      </c>
      <c r="U601" t="s">
        <v>5156</v>
      </c>
      <c r="W601" t="s">
        <v>5443</v>
      </c>
      <c r="X601">
        <v>45500</v>
      </c>
      <c r="Y601">
        <v>41363.636363636302</v>
      </c>
      <c r="Z601" s="26">
        <v>46063</v>
      </c>
    </row>
    <row r="602" spans="1:26" x14ac:dyDescent="0.3">
      <c r="A602" s="50">
        <v>46062.750925925917</v>
      </c>
      <c r="B602">
        <v>2.0260209175346701E+18</v>
      </c>
      <c r="C602" t="s">
        <v>5438</v>
      </c>
      <c r="D602" t="s">
        <v>5439</v>
      </c>
      <c r="E602" t="s">
        <v>5439</v>
      </c>
      <c r="F602" t="s">
        <v>5444</v>
      </c>
      <c r="G602" t="s">
        <v>5445</v>
      </c>
      <c r="H602" t="s">
        <v>5445</v>
      </c>
      <c r="I602">
        <v>7436</v>
      </c>
      <c r="J602" t="s">
        <v>5446</v>
      </c>
      <c r="K602" t="s">
        <v>5446</v>
      </c>
      <c r="L602" t="s">
        <v>2832</v>
      </c>
      <c r="M602" t="s">
        <v>2833</v>
      </c>
      <c r="N602">
        <v>6454</v>
      </c>
      <c r="O602">
        <v>45500</v>
      </c>
      <c r="P602">
        <v>1</v>
      </c>
      <c r="Q602">
        <v>0</v>
      </c>
      <c r="S602">
        <v>143812</v>
      </c>
      <c r="T602">
        <v>0</v>
      </c>
      <c r="U602" t="s">
        <v>5156</v>
      </c>
      <c r="W602" t="s">
        <v>5447</v>
      </c>
      <c r="X602">
        <v>45500</v>
      </c>
      <c r="Y602">
        <v>41363.636363636302</v>
      </c>
      <c r="Z602" s="26">
        <v>46063</v>
      </c>
    </row>
    <row r="603" spans="1:26" x14ac:dyDescent="0.3">
      <c r="A603" s="50">
        <v>46062.70579861111</v>
      </c>
      <c r="B603">
        <v>2.02602091655022E+18</v>
      </c>
      <c r="C603" t="s">
        <v>5448</v>
      </c>
      <c r="D603" t="s">
        <v>5449</v>
      </c>
      <c r="E603" t="s">
        <v>5449</v>
      </c>
      <c r="F603" t="s">
        <v>5448</v>
      </c>
      <c r="G603" t="s">
        <v>5449</v>
      </c>
      <c r="H603" t="s">
        <v>5449</v>
      </c>
      <c r="I603">
        <v>27161</v>
      </c>
      <c r="J603" t="s">
        <v>5450</v>
      </c>
      <c r="K603" t="s">
        <v>5450</v>
      </c>
      <c r="L603" t="s">
        <v>2832</v>
      </c>
      <c r="M603" t="s">
        <v>2833</v>
      </c>
      <c r="N603">
        <v>6454</v>
      </c>
      <c r="O603">
        <v>45500</v>
      </c>
      <c r="P603">
        <v>1</v>
      </c>
      <c r="Q603">
        <v>0</v>
      </c>
      <c r="S603">
        <v>143812</v>
      </c>
      <c r="T603">
        <v>0</v>
      </c>
      <c r="U603" t="s">
        <v>5156</v>
      </c>
      <c r="W603" t="s">
        <v>5451</v>
      </c>
      <c r="X603">
        <v>45500</v>
      </c>
      <c r="Y603">
        <v>41363.636363636302</v>
      </c>
      <c r="Z603" s="26">
        <v>46063</v>
      </c>
    </row>
    <row r="604" spans="1:26" x14ac:dyDescent="0.3">
      <c r="A604" s="50">
        <v>46062.5155787037</v>
      </c>
      <c r="B604">
        <v>2.02602091221472E+18</v>
      </c>
      <c r="C604" t="s">
        <v>5452</v>
      </c>
      <c r="D604" t="s">
        <v>5453</v>
      </c>
      <c r="E604" t="s">
        <v>5453</v>
      </c>
      <c r="F604" t="s">
        <v>5454</v>
      </c>
      <c r="G604" t="s">
        <v>5453</v>
      </c>
      <c r="H604" t="s">
        <v>5453</v>
      </c>
      <c r="I604">
        <v>3648</v>
      </c>
      <c r="J604" t="s">
        <v>5455</v>
      </c>
      <c r="K604" t="s">
        <v>5455</v>
      </c>
      <c r="L604" t="s">
        <v>2832</v>
      </c>
      <c r="M604" t="s">
        <v>2833</v>
      </c>
      <c r="N604">
        <v>6454</v>
      </c>
      <c r="O604">
        <v>45500</v>
      </c>
      <c r="P604">
        <v>1</v>
      </c>
      <c r="Q604">
        <v>0</v>
      </c>
      <c r="S604">
        <v>143812</v>
      </c>
      <c r="T604">
        <v>0</v>
      </c>
      <c r="U604" t="s">
        <v>5156</v>
      </c>
      <c r="W604" t="s">
        <v>5456</v>
      </c>
      <c r="X604">
        <v>45500</v>
      </c>
      <c r="Y604">
        <v>41363.636363636302</v>
      </c>
      <c r="Z604" s="26">
        <v>46063</v>
      </c>
    </row>
    <row r="605" spans="1:26" x14ac:dyDescent="0.3">
      <c r="A605" s="50">
        <v>46062.951805555553</v>
      </c>
      <c r="B605">
        <v>2.02602092250146E+18</v>
      </c>
      <c r="C605" t="s">
        <v>5457</v>
      </c>
      <c r="D605" t="s">
        <v>5458</v>
      </c>
      <c r="E605" t="s">
        <v>5458</v>
      </c>
      <c r="F605" t="s">
        <v>5457</v>
      </c>
      <c r="G605" t="s">
        <v>5458</v>
      </c>
      <c r="H605" t="s">
        <v>5458</v>
      </c>
      <c r="I605">
        <v>14106</v>
      </c>
      <c r="J605" t="s">
        <v>5459</v>
      </c>
      <c r="K605" t="s">
        <v>5459</v>
      </c>
      <c r="L605" t="s">
        <v>3829</v>
      </c>
      <c r="M605" t="s">
        <v>3830</v>
      </c>
      <c r="N605">
        <v>18181</v>
      </c>
      <c r="O605">
        <v>63000</v>
      </c>
      <c r="P605">
        <v>1</v>
      </c>
      <c r="Q605" t="s">
        <v>3831</v>
      </c>
      <c r="S605">
        <v>143790</v>
      </c>
      <c r="T605">
        <v>0</v>
      </c>
      <c r="U605" t="s">
        <v>2835</v>
      </c>
      <c r="W605" t="s">
        <v>5460</v>
      </c>
      <c r="X605">
        <v>63000</v>
      </c>
      <c r="Y605">
        <v>57272.727272727199</v>
      </c>
      <c r="Z605" s="26">
        <v>46063</v>
      </c>
    </row>
    <row r="606" spans="1:26" x14ac:dyDescent="0.3">
      <c r="A606" s="50">
        <v>46062.805</v>
      </c>
      <c r="B606">
        <v>2.0260209191557199E+18</v>
      </c>
      <c r="C606" t="s">
        <v>5461</v>
      </c>
      <c r="D606" t="s">
        <v>5462</v>
      </c>
      <c r="E606" t="s">
        <v>5462</v>
      </c>
      <c r="F606" t="s">
        <v>5461</v>
      </c>
      <c r="G606" t="s">
        <v>5462</v>
      </c>
      <c r="H606" t="s">
        <v>5462</v>
      </c>
      <c r="I606">
        <v>5367</v>
      </c>
      <c r="J606" t="s">
        <v>5463</v>
      </c>
      <c r="K606" t="s">
        <v>5463</v>
      </c>
      <c r="L606" t="s">
        <v>3829</v>
      </c>
      <c r="M606" t="s">
        <v>3830</v>
      </c>
      <c r="N606">
        <v>18181</v>
      </c>
      <c r="O606">
        <v>63000</v>
      </c>
      <c r="P606">
        <v>1</v>
      </c>
      <c r="Q606" t="s">
        <v>3831</v>
      </c>
      <c r="S606">
        <v>143790</v>
      </c>
      <c r="T606">
        <v>0</v>
      </c>
      <c r="U606" t="s">
        <v>2835</v>
      </c>
      <c r="W606" t="s">
        <v>5464</v>
      </c>
      <c r="X606">
        <v>63000</v>
      </c>
      <c r="Y606">
        <v>57272.727272727199</v>
      </c>
      <c r="Z606" s="26">
        <v>46063</v>
      </c>
    </row>
    <row r="607" spans="1:26" x14ac:dyDescent="0.3">
      <c r="A607" s="50">
        <v>46062.734039351853</v>
      </c>
      <c r="B607">
        <v>2.0260209173520599E+18</v>
      </c>
      <c r="C607" t="s">
        <v>5465</v>
      </c>
      <c r="D607" t="s">
        <v>5466</v>
      </c>
      <c r="E607" t="s">
        <v>5466</v>
      </c>
      <c r="F607" t="s">
        <v>5465</v>
      </c>
      <c r="G607" t="s">
        <v>5466</v>
      </c>
      <c r="H607" t="s">
        <v>5466</v>
      </c>
      <c r="I607">
        <v>5248</v>
      </c>
      <c r="J607" t="s">
        <v>5467</v>
      </c>
      <c r="K607" t="s">
        <v>5467</v>
      </c>
      <c r="L607" t="s">
        <v>3829</v>
      </c>
      <c r="M607" t="s">
        <v>3830</v>
      </c>
      <c r="N607">
        <v>18181</v>
      </c>
      <c r="O607">
        <v>63000</v>
      </c>
      <c r="P607">
        <v>1</v>
      </c>
      <c r="Q607" t="s">
        <v>3831</v>
      </c>
      <c r="R607" t="s">
        <v>4105</v>
      </c>
      <c r="S607">
        <v>143790</v>
      </c>
      <c r="T607">
        <v>0</v>
      </c>
      <c r="U607" t="s">
        <v>2835</v>
      </c>
      <c r="W607" t="s">
        <v>5468</v>
      </c>
      <c r="X607">
        <v>63000</v>
      </c>
      <c r="Y607">
        <v>57272.727272727199</v>
      </c>
      <c r="Z607" s="26">
        <v>46063</v>
      </c>
    </row>
    <row r="608" spans="1:26" x14ac:dyDescent="0.3">
      <c r="A608" s="50">
        <v>46062.541435185187</v>
      </c>
      <c r="B608">
        <v>2.02602091257277E+18</v>
      </c>
      <c r="C608" t="s">
        <v>5469</v>
      </c>
      <c r="D608" t="s">
        <v>3147</v>
      </c>
      <c r="E608" t="s">
        <v>3147</v>
      </c>
      <c r="F608" t="s">
        <v>5469</v>
      </c>
      <c r="G608" t="s">
        <v>3147</v>
      </c>
      <c r="H608" t="s">
        <v>3147</v>
      </c>
      <c r="I608">
        <v>16704</v>
      </c>
      <c r="J608" t="s">
        <v>3148</v>
      </c>
      <c r="K608" t="s">
        <v>3148</v>
      </c>
      <c r="L608" t="s">
        <v>3829</v>
      </c>
      <c r="M608" t="s">
        <v>3830</v>
      </c>
      <c r="N608">
        <v>18181</v>
      </c>
      <c r="O608">
        <v>63000</v>
      </c>
      <c r="P608">
        <v>1</v>
      </c>
      <c r="Q608" t="s">
        <v>3831</v>
      </c>
      <c r="S608">
        <v>143790</v>
      </c>
      <c r="T608">
        <v>0</v>
      </c>
      <c r="U608" t="s">
        <v>2835</v>
      </c>
      <c r="W608" t="s">
        <v>5470</v>
      </c>
      <c r="X608">
        <v>63000</v>
      </c>
      <c r="Y608">
        <v>57272.727272727199</v>
      </c>
      <c r="Z608" s="26">
        <v>46063</v>
      </c>
    </row>
    <row r="609" spans="1:26" x14ac:dyDescent="0.3">
      <c r="A609" s="50">
        <v>46059.607997685183</v>
      </c>
      <c r="B609">
        <v>2.0260206143417201E+18</v>
      </c>
      <c r="C609" t="s">
        <v>5262</v>
      </c>
      <c r="D609" t="s">
        <v>5261</v>
      </c>
      <c r="E609" t="s">
        <v>5261</v>
      </c>
      <c r="F609" t="s">
        <v>5471</v>
      </c>
      <c r="H609" t="s">
        <v>5472</v>
      </c>
      <c r="I609">
        <v>1057</v>
      </c>
      <c r="J609" t="s">
        <v>5473</v>
      </c>
      <c r="K609" t="s">
        <v>5474</v>
      </c>
      <c r="L609" t="s">
        <v>3829</v>
      </c>
      <c r="M609" t="s">
        <v>3830</v>
      </c>
      <c r="N609">
        <v>36362</v>
      </c>
      <c r="O609">
        <v>63000</v>
      </c>
      <c r="P609">
        <v>2</v>
      </c>
      <c r="Q609" t="s">
        <v>3831</v>
      </c>
      <c r="S609">
        <v>143790</v>
      </c>
      <c r="T609">
        <v>0</v>
      </c>
      <c r="U609" t="s">
        <v>2835</v>
      </c>
      <c r="W609" t="s">
        <v>5475</v>
      </c>
      <c r="X609">
        <v>126000</v>
      </c>
      <c r="Y609">
        <v>114545.45454545401</v>
      </c>
      <c r="Z609" s="26">
        <v>46063</v>
      </c>
    </row>
    <row r="610" spans="1:26" x14ac:dyDescent="0.3">
      <c r="A610" s="50">
        <v>46064.408310185187</v>
      </c>
      <c r="B610">
        <v>2.0260211094551401E+18</v>
      </c>
      <c r="C610" t="s">
        <v>4720</v>
      </c>
      <c r="D610" t="s">
        <v>4721</v>
      </c>
      <c r="E610" t="s">
        <v>4721</v>
      </c>
      <c r="F610" t="s">
        <v>5476</v>
      </c>
      <c r="G610" t="s">
        <v>5477</v>
      </c>
      <c r="H610" t="s">
        <v>5477</v>
      </c>
      <c r="I610">
        <v>3025</v>
      </c>
      <c r="J610" t="s">
        <v>5478</v>
      </c>
      <c r="K610" t="s">
        <v>5478</v>
      </c>
      <c r="L610" t="s">
        <v>2832</v>
      </c>
      <c r="M610" t="s">
        <v>2833</v>
      </c>
      <c r="N610">
        <v>54363</v>
      </c>
      <c r="O610">
        <v>45500</v>
      </c>
      <c r="P610">
        <v>1</v>
      </c>
      <c r="Q610">
        <v>0</v>
      </c>
      <c r="R610" t="s">
        <v>5479</v>
      </c>
      <c r="S610">
        <v>143790</v>
      </c>
      <c r="T610">
        <v>0</v>
      </c>
      <c r="U610" t="s">
        <v>2835</v>
      </c>
      <c r="W610" t="s">
        <v>5480</v>
      </c>
      <c r="X610">
        <v>45500</v>
      </c>
      <c r="Y610">
        <v>41363.636363636302</v>
      </c>
      <c r="Z610" s="26">
        <v>46064</v>
      </c>
    </row>
    <row r="611" spans="1:26" x14ac:dyDescent="0.3">
      <c r="A611" s="50">
        <v>46064.407372685193</v>
      </c>
      <c r="B611">
        <v>2.02602110945587E+18</v>
      </c>
      <c r="C611" t="s">
        <v>5481</v>
      </c>
      <c r="D611" t="s">
        <v>5482</v>
      </c>
      <c r="E611" t="s">
        <v>5482</v>
      </c>
      <c r="F611" t="s">
        <v>5481</v>
      </c>
      <c r="G611" t="s">
        <v>5482</v>
      </c>
      <c r="H611" t="s">
        <v>5482</v>
      </c>
      <c r="I611">
        <v>12108</v>
      </c>
      <c r="J611" t="s">
        <v>5483</v>
      </c>
      <c r="K611" t="s">
        <v>5483</v>
      </c>
      <c r="L611" t="s">
        <v>2832</v>
      </c>
      <c r="M611" t="s">
        <v>2833</v>
      </c>
      <c r="N611">
        <v>54363</v>
      </c>
      <c r="O611">
        <v>45500</v>
      </c>
      <c r="P611">
        <v>1</v>
      </c>
      <c r="Q611">
        <v>0</v>
      </c>
      <c r="S611">
        <v>143790</v>
      </c>
      <c r="T611">
        <v>0</v>
      </c>
      <c r="U611" t="s">
        <v>2835</v>
      </c>
      <c r="W611" t="s">
        <v>5484</v>
      </c>
      <c r="X611">
        <v>45500</v>
      </c>
      <c r="Y611">
        <v>41363.636363636302</v>
      </c>
      <c r="Z611" s="26">
        <v>46064</v>
      </c>
    </row>
    <row r="612" spans="1:26" x14ac:dyDescent="0.3">
      <c r="A612" s="50">
        <v>46064.341504629629</v>
      </c>
      <c r="B612">
        <v>2.0260211081100401E+18</v>
      </c>
      <c r="C612" t="s">
        <v>5485</v>
      </c>
      <c r="D612" t="s">
        <v>5486</v>
      </c>
      <c r="E612" t="s">
        <v>5486</v>
      </c>
      <c r="F612" t="s">
        <v>5485</v>
      </c>
      <c r="G612" t="s">
        <v>5486</v>
      </c>
      <c r="H612" t="s">
        <v>5486</v>
      </c>
      <c r="I612">
        <v>38136</v>
      </c>
      <c r="J612" t="s">
        <v>5487</v>
      </c>
      <c r="K612" t="s">
        <v>5487</v>
      </c>
      <c r="L612" t="s">
        <v>2832</v>
      </c>
      <c r="M612" t="s">
        <v>2833</v>
      </c>
      <c r="N612">
        <v>54363</v>
      </c>
      <c r="O612">
        <v>45500</v>
      </c>
      <c r="P612">
        <v>1</v>
      </c>
      <c r="Q612">
        <v>0</v>
      </c>
      <c r="S612">
        <v>143790</v>
      </c>
      <c r="T612" t="s">
        <v>5488</v>
      </c>
      <c r="U612" t="s">
        <v>2835</v>
      </c>
      <c r="W612" t="s">
        <v>5489</v>
      </c>
      <c r="X612">
        <v>45500</v>
      </c>
      <c r="Y612">
        <v>41363.636363636302</v>
      </c>
      <c r="Z612" s="26">
        <v>46064</v>
      </c>
    </row>
    <row r="613" spans="1:26" x14ac:dyDescent="0.3">
      <c r="A613" s="50">
        <v>46064.114814814813</v>
      </c>
      <c r="B613">
        <v>2.0260211024110799E+18</v>
      </c>
      <c r="C613" t="s">
        <v>5490</v>
      </c>
      <c r="D613" t="s">
        <v>5491</v>
      </c>
      <c r="E613" t="s">
        <v>5491</v>
      </c>
      <c r="F613" t="s">
        <v>5492</v>
      </c>
      <c r="G613" t="s">
        <v>5493</v>
      </c>
      <c r="H613" t="s">
        <v>5493</v>
      </c>
      <c r="I613">
        <v>1169</v>
      </c>
      <c r="J613" t="s">
        <v>5494</v>
      </c>
      <c r="K613" t="s">
        <v>5494</v>
      </c>
      <c r="L613" t="s">
        <v>2832</v>
      </c>
      <c r="M613" t="s">
        <v>2833</v>
      </c>
      <c r="N613">
        <v>54363</v>
      </c>
      <c r="O613">
        <v>45500</v>
      </c>
      <c r="P613">
        <v>1</v>
      </c>
      <c r="Q613">
        <v>0</v>
      </c>
      <c r="S613">
        <v>143790</v>
      </c>
      <c r="T613">
        <v>0</v>
      </c>
      <c r="U613" t="s">
        <v>2835</v>
      </c>
      <c r="W613" t="s">
        <v>5495</v>
      </c>
      <c r="X613">
        <v>45500</v>
      </c>
      <c r="Y613">
        <v>41363.636363636302</v>
      </c>
      <c r="Z613" s="26">
        <v>46064</v>
      </c>
    </row>
    <row r="614" spans="1:26" x14ac:dyDescent="0.3">
      <c r="A614" s="50">
        <v>46064.111747685187</v>
      </c>
      <c r="B614">
        <v>2.02602110238321E+18</v>
      </c>
      <c r="C614" t="s">
        <v>5490</v>
      </c>
      <c r="D614" t="s">
        <v>5491</v>
      </c>
      <c r="E614" t="s">
        <v>5491</v>
      </c>
      <c r="F614" t="s">
        <v>5496</v>
      </c>
      <c r="G614" t="s">
        <v>5497</v>
      </c>
      <c r="H614" t="s">
        <v>5497</v>
      </c>
      <c r="I614">
        <v>4153</v>
      </c>
      <c r="J614" t="s">
        <v>5498</v>
      </c>
      <c r="K614" t="s">
        <v>5498</v>
      </c>
      <c r="L614" t="s">
        <v>2832</v>
      </c>
      <c r="M614" t="s">
        <v>2833</v>
      </c>
      <c r="N614">
        <v>54363</v>
      </c>
      <c r="O614">
        <v>45500</v>
      </c>
      <c r="P614">
        <v>1</v>
      </c>
      <c r="Q614">
        <v>0</v>
      </c>
      <c r="S614">
        <v>143790</v>
      </c>
      <c r="T614">
        <v>0</v>
      </c>
      <c r="U614" t="s">
        <v>2835</v>
      </c>
      <c r="W614" t="s">
        <v>5499</v>
      </c>
      <c r="X614">
        <v>45500</v>
      </c>
      <c r="Y614">
        <v>41363.636363636302</v>
      </c>
      <c r="Z614" s="26">
        <v>46064</v>
      </c>
    </row>
    <row r="615" spans="1:26" x14ac:dyDescent="0.3">
      <c r="A615" s="50">
        <v>46064.109837962962</v>
      </c>
      <c r="B615">
        <v>2.0260211023513201E+18</v>
      </c>
      <c r="C615" t="s">
        <v>5500</v>
      </c>
      <c r="D615" t="s">
        <v>5491</v>
      </c>
      <c r="E615" t="s">
        <v>5491</v>
      </c>
      <c r="F615" t="s">
        <v>5501</v>
      </c>
      <c r="G615" t="s">
        <v>5502</v>
      </c>
      <c r="H615" t="s">
        <v>5502</v>
      </c>
      <c r="I615">
        <v>12917</v>
      </c>
      <c r="J615" t="s">
        <v>5503</v>
      </c>
      <c r="K615" t="s">
        <v>5503</v>
      </c>
      <c r="L615" t="s">
        <v>2832</v>
      </c>
      <c r="M615" t="s">
        <v>2833</v>
      </c>
      <c r="N615">
        <v>54363</v>
      </c>
      <c r="O615">
        <v>45500</v>
      </c>
      <c r="P615">
        <v>1</v>
      </c>
      <c r="Q615">
        <v>0</v>
      </c>
      <c r="S615">
        <v>143790</v>
      </c>
      <c r="T615">
        <v>0</v>
      </c>
      <c r="U615" t="s">
        <v>2835</v>
      </c>
      <c r="W615" t="s">
        <v>5504</v>
      </c>
      <c r="X615">
        <v>45500</v>
      </c>
      <c r="Y615">
        <v>41363.636363636302</v>
      </c>
      <c r="Z615" s="26">
        <v>46064</v>
      </c>
    </row>
    <row r="616" spans="1:26" x14ac:dyDescent="0.3">
      <c r="A616" s="50">
        <v>46064.10596064815</v>
      </c>
      <c r="B616">
        <v>2.0260211022456801E+18</v>
      </c>
      <c r="C616" t="s">
        <v>5500</v>
      </c>
      <c r="D616" t="s">
        <v>5491</v>
      </c>
      <c r="E616" t="s">
        <v>5491</v>
      </c>
      <c r="F616" t="s">
        <v>5505</v>
      </c>
      <c r="G616" t="s">
        <v>5506</v>
      </c>
      <c r="H616" t="s">
        <v>5506</v>
      </c>
      <c r="I616">
        <v>10388</v>
      </c>
      <c r="J616" t="s">
        <v>5507</v>
      </c>
      <c r="K616" t="s">
        <v>5507</v>
      </c>
      <c r="L616" t="s">
        <v>2832</v>
      </c>
      <c r="M616" t="s">
        <v>2833</v>
      </c>
      <c r="N616">
        <v>54363</v>
      </c>
      <c r="O616">
        <v>45500</v>
      </c>
      <c r="P616">
        <v>1</v>
      </c>
      <c r="Q616">
        <v>0</v>
      </c>
      <c r="S616">
        <v>143790</v>
      </c>
      <c r="T616">
        <v>0</v>
      </c>
      <c r="U616" t="s">
        <v>2835</v>
      </c>
      <c r="W616" t="s">
        <v>5508</v>
      </c>
      <c r="X616">
        <v>45500</v>
      </c>
      <c r="Y616">
        <v>41363.636363636302</v>
      </c>
      <c r="Z616" s="26">
        <v>46064</v>
      </c>
    </row>
    <row r="617" spans="1:26" x14ac:dyDescent="0.3">
      <c r="A617" s="50">
        <v>46063.848657407398</v>
      </c>
      <c r="B617">
        <v>2.02602102021279E+18</v>
      </c>
      <c r="C617" t="s">
        <v>5509</v>
      </c>
      <c r="D617" t="s">
        <v>5510</v>
      </c>
      <c r="E617" t="s">
        <v>5510</v>
      </c>
      <c r="F617" t="s">
        <v>5509</v>
      </c>
      <c r="G617" t="s">
        <v>5510</v>
      </c>
      <c r="H617" t="s">
        <v>5510</v>
      </c>
      <c r="I617">
        <v>52201</v>
      </c>
      <c r="J617" t="s">
        <v>5511</v>
      </c>
      <c r="K617" t="s">
        <v>5511</v>
      </c>
      <c r="L617" t="s">
        <v>2832</v>
      </c>
      <c r="M617" t="s">
        <v>2833</v>
      </c>
      <c r="N617">
        <v>54363</v>
      </c>
      <c r="O617">
        <v>45500</v>
      </c>
      <c r="P617">
        <v>1</v>
      </c>
      <c r="Q617">
        <v>0</v>
      </c>
      <c r="S617">
        <v>143790</v>
      </c>
      <c r="T617">
        <v>0</v>
      </c>
      <c r="U617" t="s">
        <v>2835</v>
      </c>
      <c r="W617" t="s">
        <v>5512</v>
      </c>
      <c r="X617">
        <v>45500</v>
      </c>
      <c r="Y617">
        <v>41363.636363636302</v>
      </c>
      <c r="Z617" s="26">
        <v>46064</v>
      </c>
    </row>
    <row r="618" spans="1:26" x14ac:dyDescent="0.3">
      <c r="A618" s="50">
        <v>46063.747245370367</v>
      </c>
      <c r="B618">
        <v>2.0260210175539999E+18</v>
      </c>
      <c r="C618" t="s">
        <v>5513</v>
      </c>
      <c r="D618" t="s">
        <v>5514</v>
      </c>
      <c r="E618" t="s">
        <v>5514</v>
      </c>
      <c r="F618" t="s">
        <v>5513</v>
      </c>
      <c r="G618" t="s">
        <v>5514</v>
      </c>
      <c r="H618" t="s">
        <v>5514</v>
      </c>
      <c r="I618">
        <v>44640</v>
      </c>
      <c r="J618" t="s">
        <v>5515</v>
      </c>
      <c r="K618" t="s">
        <v>5515</v>
      </c>
      <c r="L618" t="s">
        <v>2832</v>
      </c>
      <c r="M618" t="s">
        <v>2833</v>
      </c>
      <c r="N618">
        <v>54363</v>
      </c>
      <c r="O618">
        <v>45500</v>
      </c>
      <c r="P618">
        <v>1</v>
      </c>
      <c r="Q618">
        <v>0</v>
      </c>
      <c r="S618">
        <v>143790</v>
      </c>
      <c r="T618">
        <v>0</v>
      </c>
      <c r="U618" t="s">
        <v>2835</v>
      </c>
      <c r="W618" t="s">
        <v>5516</v>
      </c>
      <c r="X618">
        <v>45500</v>
      </c>
      <c r="Y618">
        <v>41363.636363636302</v>
      </c>
      <c r="Z618" s="26">
        <v>46064</v>
      </c>
    </row>
    <row r="619" spans="1:26" x14ac:dyDescent="0.3">
      <c r="A619" s="50">
        <v>46063.599976851852</v>
      </c>
      <c r="B619">
        <v>2.0260210141758999E+18</v>
      </c>
      <c r="C619" t="s">
        <v>5517</v>
      </c>
      <c r="D619" t="s">
        <v>5518</v>
      </c>
      <c r="E619" t="s">
        <v>5518</v>
      </c>
      <c r="F619" t="s">
        <v>5519</v>
      </c>
      <c r="G619" t="s">
        <v>5520</v>
      </c>
      <c r="H619" t="s">
        <v>5520</v>
      </c>
      <c r="I619">
        <v>58671</v>
      </c>
      <c r="J619" t="s">
        <v>5521</v>
      </c>
      <c r="K619" t="s">
        <v>5521</v>
      </c>
      <c r="L619" t="s">
        <v>2832</v>
      </c>
      <c r="M619" t="s">
        <v>2833</v>
      </c>
      <c r="N619">
        <v>54363</v>
      </c>
      <c r="O619">
        <v>45500</v>
      </c>
      <c r="P619">
        <v>1</v>
      </c>
      <c r="Q619">
        <v>0</v>
      </c>
      <c r="S619">
        <v>143790</v>
      </c>
      <c r="T619">
        <v>0</v>
      </c>
      <c r="U619" t="s">
        <v>2835</v>
      </c>
      <c r="W619" t="s">
        <v>5522</v>
      </c>
      <c r="X619">
        <v>45500</v>
      </c>
      <c r="Y619">
        <v>41363.636363636302</v>
      </c>
      <c r="Z619" s="26">
        <v>46064</v>
      </c>
    </row>
    <row r="620" spans="1:26" x14ac:dyDescent="0.3">
      <c r="A620" s="50">
        <v>46063.51703703704</v>
      </c>
      <c r="B620">
        <v>2.0260210122407401E+18</v>
      </c>
      <c r="C620" t="s">
        <v>5523</v>
      </c>
      <c r="D620" t="s">
        <v>5524</v>
      </c>
      <c r="E620" t="s">
        <v>5524</v>
      </c>
      <c r="F620" t="s">
        <v>5523</v>
      </c>
      <c r="G620" t="s">
        <v>5524</v>
      </c>
      <c r="H620" t="s">
        <v>5524</v>
      </c>
      <c r="I620">
        <v>12104</v>
      </c>
      <c r="J620" t="s">
        <v>5525</v>
      </c>
      <c r="K620" t="s">
        <v>5525</v>
      </c>
      <c r="L620" t="s">
        <v>2832</v>
      </c>
      <c r="M620" t="s">
        <v>2833</v>
      </c>
      <c r="N620">
        <v>54363</v>
      </c>
      <c r="O620">
        <v>45500</v>
      </c>
      <c r="P620">
        <v>1</v>
      </c>
      <c r="Q620">
        <v>0</v>
      </c>
      <c r="S620">
        <v>143790</v>
      </c>
      <c r="T620">
        <v>0</v>
      </c>
      <c r="U620" t="s">
        <v>2835</v>
      </c>
      <c r="W620" t="s">
        <v>5526</v>
      </c>
      <c r="X620">
        <v>45500</v>
      </c>
      <c r="Y620">
        <v>41363.636363636302</v>
      </c>
      <c r="Z620" s="26">
        <v>46064</v>
      </c>
    </row>
    <row r="621" spans="1:26" x14ac:dyDescent="0.3">
      <c r="A621" s="50">
        <v>46063.478032407409</v>
      </c>
      <c r="B621">
        <v>2.0260210111835699E+18</v>
      </c>
      <c r="C621" t="s">
        <v>2985</v>
      </c>
      <c r="D621" t="s">
        <v>5527</v>
      </c>
      <c r="E621" t="s">
        <v>5527</v>
      </c>
      <c r="F621" t="s">
        <v>2985</v>
      </c>
      <c r="G621" t="s">
        <v>5527</v>
      </c>
      <c r="H621" t="s">
        <v>5527</v>
      </c>
      <c r="I621">
        <v>11615</v>
      </c>
      <c r="J621" t="s">
        <v>5528</v>
      </c>
      <c r="K621" t="s">
        <v>5528</v>
      </c>
      <c r="L621" t="s">
        <v>2832</v>
      </c>
      <c r="M621" t="s">
        <v>2833</v>
      </c>
      <c r="N621">
        <v>108726</v>
      </c>
      <c r="O621">
        <v>45500</v>
      </c>
      <c r="P621">
        <v>2</v>
      </c>
      <c r="Q621">
        <v>0</v>
      </c>
      <c r="R621" t="s">
        <v>5529</v>
      </c>
      <c r="S621">
        <v>143790</v>
      </c>
      <c r="T621">
        <v>0</v>
      </c>
      <c r="U621" t="s">
        <v>2835</v>
      </c>
      <c r="W621" t="s">
        <v>5530</v>
      </c>
      <c r="X621">
        <v>91000</v>
      </c>
      <c r="Y621">
        <v>82727.272727272706</v>
      </c>
      <c r="Z621" s="26">
        <v>46064</v>
      </c>
    </row>
    <row r="622" spans="1:26" x14ac:dyDescent="0.3">
      <c r="A622" s="50">
        <v>46063.469583333332</v>
      </c>
      <c r="B622">
        <v>2.0260210111528801E+18</v>
      </c>
      <c r="C622" t="s">
        <v>5531</v>
      </c>
      <c r="D622" t="s">
        <v>5532</v>
      </c>
      <c r="E622" t="s">
        <v>5532</v>
      </c>
      <c r="F622" t="s">
        <v>5531</v>
      </c>
      <c r="G622" t="s">
        <v>5532</v>
      </c>
      <c r="H622" t="s">
        <v>5532</v>
      </c>
      <c r="I622">
        <v>5501</v>
      </c>
      <c r="J622" t="s">
        <v>5533</v>
      </c>
      <c r="K622" t="s">
        <v>5533</v>
      </c>
      <c r="L622" t="s">
        <v>2832</v>
      </c>
      <c r="M622" t="s">
        <v>2833</v>
      </c>
      <c r="N622">
        <v>54363</v>
      </c>
      <c r="O622">
        <v>45500</v>
      </c>
      <c r="P622">
        <v>1</v>
      </c>
      <c r="Q622">
        <v>0</v>
      </c>
      <c r="S622">
        <v>143790</v>
      </c>
      <c r="T622">
        <v>0</v>
      </c>
      <c r="U622" t="s">
        <v>2835</v>
      </c>
      <c r="W622" t="s">
        <v>5534</v>
      </c>
      <c r="X622">
        <v>45500</v>
      </c>
      <c r="Y622">
        <v>41363.636363636302</v>
      </c>
      <c r="Z622" s="26">
        <v>46064</v>
      </c>
    </row>
    <row r="623" spans="1:26" x14ac:dyDescent="0.3">
      <c r="A623" s="50">
        <v>46064.401516203703</v>
      </c>
      <c r="B623">
        <v>2.0260211093647301E+18</v>
      </c>
      <c r="C623" t="s">
        <v>5535</v>
      </c>
      <c r="D623" t="s">
        <v>5536</v>
      </c>
      <c r="E623" t="s">
        <v>5536</v>
      </c>
      <c r="F623" t="s">
        <v>5535</v>
      </c>
      <c r="G623" t="s">
        <v>5536</v>
      </c>
      <c r="H623" t="s">
        <v>5536</v>
      </c>
      <c r="I623">
        <v>2437</v>
      </c>
      <c r="J623" t="s">
        <v>5537</v>
      </c>
      <c r="K623" t="s">
        <v>5537</v>
      </c>
      <c r="L623" t="s">
        <v>2832</v>
      </c>
      <c r="M623" t="s">
        <v>2833</v>
      </c>
      <c r="N623">
        <v>6454</v>
      </c>
      <c r="O623">
        <v>45500</v>
      </c>
      <c r="P623">
        <v>1</v>
      </c>
      <c r="Q623">
        <v>0</v>
      </c>
      <c r="S623">
        <v>143812</v>
      </c>
      <c r="T623">
        <v>0</v>
      </c>
      <c r="U623" t="s">
        <v>5156</v>
      </c>
      <c r="W623" t="s">
        <v>5538</v>
      </c>
      <c r="X623">
        <v>45500</v>
      </c>
      <c r="Y623">
        <v>41363.636363636302</v>
      </c>
      <c r="Z623" s="26">
        <v>46064</v>
      </c>
    </row>
    <row r="624" spans="1:26" x14ac:dyDescent="0.3">
      <c r="A624" s="50">
        <v>46064.349074074067</v>
      </c>
      <c r="B624">
        <v>2.02602110819517E+18</v>
      </c>
      <c r="C624" t="s">
        <v>5539</v>
      </c>
      <c r="D624" t="s">
        <v>5540</v>
      </c>
      <c r="E624" t="s">
        <v>5540</v>
      </c>
      <c r="F624" t="s">
        <v>5539</v>
      </c>
      <c r="G624" t="s">
        <v>5541</v>
      </c>
      <c r="H624" t="s">
        <v>5541</v>
      </c>
      <c r="I624">
        <v>8752</v>
      </c>
      <c r="J624" t="s">
        <v>5542</v>
      </c>
      <c r="K624" t="s">
        <v>5542</v>
      </c>
      <c r="L624" t="s">
        <v>2832</v>
      </c>
      <c r="M624" t="s">
        <v>2833</v>
      </c>
      <c r="N624">
        <v>12908</v>
      </c>
      <c r="O624">
        <v>45500</v>
      </c>
      <c r="P624">
        <v>2</v>
      </c>
      <c r="Q624">
        <v>0</v>
      </c>
      <c r="R624" t="s">
        <v>5543</v>
      </c>
      <c r="S624">
        <v>143812</v>
      </c>
      <c r="T624">
        <v>0</v>
      </c>
      <c r="U624" t="s">
        <v>5156</v>
      </c>
      <c r="W624" t="s">
        <v>5544</v>
      </c>
      <c r="X624">
        <v>91000</v>
      </c>
      <c r="Y624">
        <v>82727.272727272706</v>
      </c>
      <c r="Z624" s="26">
        <v>46064</v>
      </c>
    </row>
    <row r="625" spans="1:26" x14ac:dyDescent="0.3">
      <c r="A625" s="50">
        <v>46064.346145833333</v>
      </c>
      <c r="B625">
        <v>2.02602110815502E+18</v>
      </c>
      <c r="C625" t="s">
        <v>5545</v>
      </c>
      <c r="D625" t="s">
        <v>5546</v>
      </c>
      <c r="E625" t="s">
        <v>5546</v>
      </c>
      <c r="F625" t="s">
        <v>5547</v>
      </c>
      <c r="G625" t="s">
        <v>5546</v>
      </c>
      <c r="H625" t="s">
        <v>5546</v>
      </c>
      <c r="I625">
        <v>27192</v>
      </c>
      <c r="J625" t="s">
        <v>5548</v>
      </c>
      <c r="K625" t="s">
        <v>5548</v>
      </c>
      <c r="L625" t="s">
        <v>2832</v>
      </c>
      <c r="M625" t="s">
        <v>2833</v>
      </c>
      <c r="N625">
        <v>6454</v>
      </c>
      <c r="O625">
        <v>45500</v>
      </c>
      <c r="P625">
        <v>1</v>
      </c>
      <c r="Q625">
        <v>0</v>
      </c>
      <c r="S625">
        <v>143812</v>
      </c>
      <c r="T625">
        <v>0</v>
      </c>
      <c r="U625" t="s">
        <v>5156</v>
      </c>
      <c r="W625" t="s">
        <v>5549</v>
      </c>
      <c r="X625">
        <v>45500</v>
      </c>
      <c r="Y625">
        <v>41363.636363636302</v>
      </c>
      <c r="Z625" s="26">
        <v>46064</v>
      </c>
    </row>
    <row r="626" spans="1:26" x14ac:dyDescent="0.3">
      <c r="A626" s="50">
        <v>46064.32408564815</v>
      </c>
      <c r="B626">
        <v>2.02602110746018E+18</v>
      </c>
      <c r="C626" t="s">
        <v>5550</v>
      </c>
      <c r="D626" t="s">
        <v>5551</v>
      </c>
      <c r="E626" t="s">
        <v>5551</v>
      </c>
      <c r="F626" t="s">
        <v>5550</v>
      </c>
      <c r="G626" t="s">
        <v>5551</v>
      </c>
      <c r="H626" t="s">
        <v>5551</v>
      </c>
      <c r="I626">
        <v>16919</v>
      </c>
      <c r="J626" t="s">
        <v>5552</v>
      </c>
      <c r="K626" t="s">
        <v>5552</v>
      </c>
      <c r="L626" t="s">
        <v>2832</v>
      </c>
      <c r="M626" t="s">
        <v>2833</v>
      </c>
      <c r="N626">
        <v>6454</v>
      </c>
      <c r="O626">
        <v>45500</v>
      </c>
      <c r="P626">
        <v>1</v>
      </c>
      <c r="Q626">
        <v>0</v>
      </c>
      <c r="S626">
        <v>143812</v>
      </c>
      <c r="T626">
        <v>0</v>
      </c>
      <c r="U626" t="s">
        <v>5156</v>
      </c>
      <c r="W626" t="s">
        <v>5553</v>
      </c>
      <c r="X626">
        <v>45500</v>
      </c>
      <c r="Y626">
        <v>41363.636363636302</v>
      </c>
      <c r="Z626" s="26">
        <v>46064</v>
      </c>
    </row>
    <row r="627" spans="1:26" x14ac:dyDescent="0.3">
      <c r="A627" s="50">
        <v>46063.964699074073</v>
      </c>
      <c r="B627">
        <v>2.02602102307346E+18</v>
      </c>
      <c r="C627" t="s">
        <v>5554</v>
      </c>
      <c r="D627" t="s">
        <v>5555</v>
      </c>
      <c r="E627" t="s">
        <v>5555</v>
      </c>
      <c r="F627" t="s">
        <v>5554</v>
      </c>
      <c r="G627" t="s">
        <v>5555</v>
      </c>
      <c r="H627" t="s">
        <v>5555</v>
      </c>
      <c r="I627">
        <v>14211</v>
      </c>
      <c r="J627" t="s">
        <v>5556</v>
      </c>
      <c r="K627" t="s">
        <v>5556</v>
      </c>
      <c r="L627" t="s">
        <v>2832</v>
      </c>
      <c r="M627" t="s">
        <v>2833</v>
      </c>
      <c r="N627">
        <v>6454</v>
      </c>
      <c r="O627">
        <v>45500</v>
      </c>
      <c r="P627">
        <v>1</v>
      </c>
      <c r="Q627">
        <v>0</v>
      </c>
      <c r="S627">
        <v>143812</v>
      </c>
      <c r="T627">
        <v>0</v>
      </c>
      <c r="U627" t="s">
        <v>5156</v>
      </c>
      <c r="W627" t="s">
        <v>5557</v>
      </c>
      <c r="X627">
        <v>45500</v>
      </c>
      <c r="Y627">
        <v>41363.636363636302</v>
      </c>
      <c r="Z627" s="26">
        <v>46064</v>
      </c>
    </row>
    <row r="628" spans="1:26" x14ac:dyDescent="0.3">
      <c r="A628" s="50">
        <v>46063.924884259257</v>
      </c>
      <c r="B628">
        <v>2.02602102207504E+18</v>
      </c>
      <c r="C628" t="s">
        <v>5558</v>
      </c>
      <c r="D628" t="s">
        <v>5559</v>
      </c>
      <c r="E628" t="s">
        <v>5559</v>
      </c>
      <c r="F628" t="s">
        <v>5558</v>
      </c>
      <c r="G628" t="s">
        <v>5560</v>
      </c>
      <c r="H628" t="s">
        <v>5560</v>
      </c>
      <c r="I628">
        <v>33213</v>
      </c>
      <c r="J628" t="s">
        <v>5561</v>
      </c>
      <c r="K628" t="s">
        <v>5561</v>
      </c>
      <c r="L628" t="s">
        <v>2832</v>
      </c>
      <c r="M628" t="s">
        <v>2833</v>
      </c>
      <c r="N628">
        <v>19362</v>
      </c>
      <c r="O628">
        <v>45500</v>
      </c>
      <c r="P628">
        <v>3</v>
      </c>
      <c r="Q628">
        <v>0</v>
      </c>
      <c r="S628">
        <v>143812</v>
      </c>
      <c r="T628">
        <v>0</v>
      </c>
      <c r="U628" t="s">
        <v>5156</v>
      </c>
      <c r="W628" t="s">
        <v>5562</v>
      </c>
      <c r="X628">
        <v>136500</v>
      </c>
      <c r="Y628">
        <v>124090.909090909</v>
      </c>
      <c r="Z628" s="26">
        <v>46064</v>
      </c>
    </row>
    <row r="629" spans="1:26" x14ac:dyDescent="0.3">
      <c r="A629" s="50">
        <v>46063.89603009259</v>
      </c>
      <c r="B629">
        <v>2.0260210212955799E+18</v>
      </c>
      <c r="C629" t="s">
        <v>5563</v>
      </c>
      <c r="D629" t="s">
        <v>5564</v>
      </c>
      <c r="E629" t="s">
        <v>5564</v>
      </c>
      <c r="F629" t="s">
        <v>5563</v>
      </c>
      <c r="G629" t="s">
        <v>5564</v>
      </c>
      <c r="H629" t="s">
        <v>5564</v>
      </c>
      <c r="I629">
        <v>1709</v>
      </c>
      <c r="J629" t="s">
        <v>5565</v>
      </c>
      <c r="K629" t="s">
        <v>5565</v>
      </c>
      <c r="L629" t="s">
        <v>2832</v>
      </c>
      <c r="M629" t="s">
        <v>2833</v>
      </c>
      <c r="N629">
        <v>6454</v>
      </c>
      <c r="O629">
        <v>45500</v>
      </c>
      <c r="P629">
        <v>1</v>
      </c>
      <c r="Q629">
        <v>0</v>
      </c>
      <c r="S629">
        <v>143812</v>
      </c>
      <c r="T629">
        <v>0</v>
      </c>
      <c r="U629" t="s">
        <v>5156</v>
      </c>
      <c r="W629" t="s">
        <v>5566</v>
      </c>
      <c r="X629">
        <v>45500</v>
      </c>
      <c r="Y629">
        <v>41363.636363636302</v>
      </c>
      <c r="Z629" s="26">
        <v>46064</v>
      </c>
    </row>
    <row r="630" spans="1:26" x14ac:dyDescent="0.3">
      <c r="A630" s="50">
        <v>46063.888252314813</v>
      </c>
      <c r="B630">
        <v>2.02602102114354E+18</v>
      </c>
      <c r="C630" t="s">
        <v>5567</v>
      </c>
      <c r="D630" t="s">
        <v>5568</v>
      </c>
      <c r="E630" t="s">
        <v>5568</v>
      </c>
      <c r="F630" t="s">
        <v>5569</v>
      </c>
      <c r="G630" t="s">
        <v>5570</v>
      </c>
      <c r="H630" t="s">
        <v>5570</v>
      </c>
      <c r="I630">
        <v>18487</v>
      </c>
      <c r="J630" t="s">
        <v>5571</v>
      </c>
      <c r="K630" t="s">
        <v>5571</v>
      </c>
      <c r="L630" t="s">
        <v>2832</v>
      </c>
      <c r="M630" t="s">
        <v>2833</v>
      </c>
      <c r="N630">
        <v>6454</v>
      </c>
      <c r="O630">
        <v>45500</v>
      </c>
      <c r="P630">
        <v>1</v>
      </c>
      <c r="Q630">
        <v>0</v>
      </c>
      <c r="R630" t="s">
        <v>3283</v>
      </c>
      <c r="S630">
        <v>143812</v>
      </c>
      <c r="T630">
        <v>0</v>
      </c>
      <c r="U630" t="s">
        <v>5156</v>
      </c>
      <c r="W630" t="s">
        <v>5572</v>
      </c>
      <c r="X630">
        <v>45500</v>
      </c>
      <c r="Y630">
        <v>41363.636363636302</v>
      </c>
      <c r="Z630" s="26">
        <v>46064</v>
      </c>
    </row>
    <row r="631" spans="1:26" x14ac:dyDescent="0.3">
      <c r="A631" s="50">
        <v>46063.806493055563</v>
      </c>
      <c r="B631">
        <v>2.0260210191937001E+18</v>
      </c>
      <c r="C631" t="s">
        <v>5573</v>
      </c>
      <c r="D631" t="s">
        <v>5574</v>
      </c>
      <c r="E631" t="s">
        <v>5574</v>
      </c>
      <c r="F631" t="s">
        <v>5575</v>
      </c>
      <c r="G631" t="s">
        <v>5576</v>
      </c>
      <c r="H631" t="s">
        <v>5576</v>
      </c>
      <c r="I631">
        <v>39108</v>
      </c>
      <c r="J631" t="s">
        <v>5577</v>
      </c>
      <c r="K631" t="s">
        <v>5577</v>
      </c>
      <c r="L631" t="s">
        <v>2832</v>
      </c>
      <c r="M631" t="s">
        <v>2833</v>
      </c>
      <c r="N631">
        <v>6454</v>
      </c>
      <c r="O631">
        <v>45500</v>
      </c>
      <c r="P631">
        <v>1</v>
      </c>
      <c r="Q631">
        <v>0</v>
      </c>
      <c r="S631">
        <v>143812</v>
      </c>
      <c r="T631">
        <v>0</v>
      </c>
      <c r="U631" t="s">
        <v>5156</v>
      </c>
      <c r="W631" t="s">
        <v>5578</v>
      </c>
      <c r="X631">
        <v>45500</v>
      </c>
      <c r="Y631">
        <v>41363.636363636302</v>
      </c>
      <c r="Z631" s="26">
        <v>46064</v>
      </c>
    </row>
    <row r="632" spans="1:26" x14ac:dyDescent="0.3">
      <c r="A632" s="50">
        <v>46063.804444444453</v>
      </c>
      <c r="B632">
        <v>2.0260210191627E+18</v>
      </c>
      <c r="C632" t="s">
        <v>5573</v>
      </c>
      <c r="D632" t="s">
        <v>5574</v>
      </c>
      <c r="E632" t="s">
        <v>5574</v>
      </c>
      <c r="F632" t="s">
        <v>5579</v>
      </c>
      <c r="G632" t="s">
        <v>5580</v>
      </c>
      <c r="H632" t="s">
        <v>5580</v>
      </c>
      <c r="I632">
        <v>39102</v>
      </c>
      <c r="J632" t="s">
        <v>5581</v>
      </c>
      <c r="K632" t="s">
        <v>5581</v>
      </c>
      <c r="L632" t="s">
        <v>2832</v>
      </c>
      <c r="M632" t="s">
        <v>2833</v>
      </c>
      <c r="N632">
        <v>6454</v>
      </c>
      <c r="O632">
        <v>45500</v>
      </c>
      <c r="P632">
        <v>1</v>
      </c>
      <c r="Q632">
        <v>0</v>
      </c>
      <c r="S632">
        <v>143812</v>
      </c>
      <c r="T632">
        <v>0</v>
      </c>
      <c r="U632" t="s">
        <v>5156</v>
      </c>
      <c r="W632" t="s">
        <v>5582</v>
      </c>
      <c r="X632">
        <v>45500</v>
      </c>
      <c r="Y632">
        <v>41363.636363636302</v>
      </c>
      <c r="Z632" s="26">
        <v>46064</v>
      </c>
    </row>
    <row r="633" spans="1:26" x14ac:dyDescent="0.3">
      <c r="A633" s="50">
        <v>46063.708379629628</v>
      </c>
      <c r="B633">
        <v>2.0260210165845499E+18</v>
      </c>
      <c r="C633" t="s">
        <v>5583</v>
      </c>
      <c r="D633" t="s">
        <v>5584</v>
      </c>
      <c r="E633" t="s">
        <v>5584</v>
      </c>
      <c r="F633" t="s">
        <v>5583</v>
      </c>
      <c r="G633" t="s">
        <v>5584</v>
      </c>
      <c r="H633" t="s">
        <v>5584</v>
      </c>
      <c r="I633">
        <v>4094</v>
      </c>
      <c r="J633" t="s">
        <v>5585</v>
      </c>
      <c r="K633" t="s">
        <v>5585</v>
      </c>
      <c r="L633" t="s">
        <v>2832</v>
      </c>
      <c r="M633" t="s">
        <v>2833</v>
      </c>
      <c r="N633">
        <v>19362</v>
      </c>
      <c r="O633">
        <v>45500</v>
      </c>
      <c r="P633">
        <v>2</v>
      </c>
      <c r="Q633">
        <v>0</v>
      </c>
      <c r="S633">
        <v>143812</v>
      </c>
      <c r="T633">
        <v>0</v>
      </c>
      <c r="U633" t="s">
        <v>5156</v>
      </c>
      <c r="W633" t="s">
        <v>5586</v>
      </c>
      <c r="X633">
        <v>91000</v>
      </c>
      <c r="Y633">
        <v>82727.272727272706</v>
      </c>
      <c r="Z633" s="26">
        <v>46064</v>
      </c>
    </row>
    <row r="634" spans="1:26" x14ac:dyDescent="0.3">
      <c r="A634" s="50">
        <v>46063.486828703702</v>
      </c>
      <c r="B634">
        <v>2.02602101139282E+18</v>
      </c>
      <c r="C634" t="s">
        <v>5587</v>
      </c>
      <c r="D634" t="s">
        <v>5588</v>
      </c>
      <c r="E634" t="s">
        <v>5588</v>
      </c>
      <c r="F634" t="s">
        <v>5587</v>
      </c>
      <c r="G634" t="s">
        <v>5588</v>
      </c>
      <c r="H634" t="s">
        <v>5588</v>
      </c>
      <c r="I634">
        <v>28686</v>
      </c>
      <c r="J634" t="s">
        <v>5589</v>
      </c>
      <c r="K634" t="s">
        <v>5589</v>
      </c>
      <c r="L634" t="s">
        <v>2832</v>
      </c>
      <c r="M634" t="s">
        <v>2833</v>
      </c>
      <c r="N634">
        <v>6454</v>
      </c>
      <c r="O634">
        <v>45500</v>
      </c>
      <c r="P634">
        <v>1</v>
      </c>
      <c r="Q634">
        <v>0</v>
      </c>
      <c r="S634">
        <v>143812</v>
      </c>
      <c r="T634">
        <v>0</v>
      </c>
      <c r="U634" t="s">
        <v>5156</v>
      </c>
      <c r="W634" t="s">
        <v>5590</v>
      </c>
      <c r="X634">
        <v>45500</v>
      </c>
      <c r="Y634">
        <v>41363.636363636302</v>
      </c>
      <c r="Z634" s="26">
        <v>46064</v>
      </c>
    </row>
    <row r="635" spans="1:26" x14ac:dyDescent="0.3">
      <c r="A635" s="50">
        <v>46064.334004629629</v>
      </c>
      <c r="B635">
        <v>2.0260211080026399E+18</v>
      </c>
      <c r="C635" t="s">
        <v>5591</v>
      </c>
      <c r="D635" t="s">
        <v>5592</v>
      </c>
      <c r="E635" t="s">
        <v>5592</v>
      </c>
      <c r="F635" t="s">
        <v>5591</v>
      </c>
      <c r="G635" t="s">
        <v>5592</v>
      </c>
      <c r="H635" t="s">
        <v>5592</v>
      </c>
      <c r="I635">
        <v>7024</v>
      </c>
      <c r="J635" t="s">
        <v>5593</v>
      </c>
      <c r="K635" t="s">
        <v>5593</v>
      </c>
      <c r="L635" t="s">
        <v>3829</v>
      </c>
      <c r="M635" t="s">
        <v>3830</v>
      </c>
      <c r="N635">
        <v>18181</v>
      </c>
      <c r="O635">
        <v>63000</v>
      </c>
      <c r="P635">
        <v>1</v>
      </c>
      <c r="Q635" t="s">
        <v>3831</v>
      </c>
      <c r="S635">
        <v>143790</v>
      </c>
      <c r="T635">
        <v>0</v>
      </c>
      <c r="U635" t="s">
        <v>2835</v>
      </c>
      <c r="W635" t="s">
        <v>5594</v>
      </c>
      <c r="X635">
        <v>63000</v>
      </c>
      <c r="Y635">
        <v>57272.727272727199</v>
      </c>
      <c r="Z635" s="26">
        <v>46064</v>
      </c>
    </row>
    <row r="636" spans="1:26" x14ac:dyDescent="0.3">
      <c r="A636" s="50">
        <v>46064.020451388889</v>
      </c>
      <c r="B636">
        <v>2.0260211002741399E+18</v>
      </c>
      <c r="C636" t="s">
        <v>5595</v>
      </c>
      <c r="D636" t="s">
        <v>5596</v>
      </c>
      <c r="E636" t="s">
        <v>5596</v>
      </c>
      <c r="F636" t="s">
        <v>5595</v>
      </c>
      <c r="G636" t="s">
        <v>5596</v>
      </c>
      <c r="H636" t="s">
        <v>5596</v>
      </c>
      <c r="I636">
        <v>14321</v>
      </c>
      <c r="J636" t="s">
        <v>5597</v>
      </c>
      <c r="K636" t="s">
        <v>5597</v>
      </c>
      <c r="L636" t="s">
        <v>3829</v>
      </c>
      <c r="M636" t="s">
        <v>3830</v>
      </c>
      <c r="N636">
        <v>18181</v>
      </c>
      <c r="O636">
        <v>63000</v>
      </c>
      <c r="P636">
        <v>1</v>
      </c>
      <c r="Q636" t="s">
        <v>3831</v>
      </c>
      <c r="S636">
        <v>143790</v>
      </c>
      <c r="T636">
        <v>0</v>
      </c>
      <c r="U636" t="s">
        <v>2835</v>
      </c>
      <c r="W636" t="s">
        <v>5598</v>
      </c>
      <c r="X636">
        <v>63000</v>
      </c>
      <c r="Y636">
        <v>57272.727272727199</v>
      </c>
      <c r="Z636" s="26">
        <v>46064</v>
      </c>
    </row>
    <row r="637" spans="1:26" x14ac:dyDescent="0.3">
      <c r="A637" s="50">
        <v>46063.982581018521</v>
      </c>
      <c r="B637">
        <v>2.0260210233352901E+18</v>
      </c>
      <c r="C637" t="s">
        <v>5599</v>
      </c>
      <c r="D637" t="s">
        <v>5600</v>
      </c>
      <c r="E637" t="s">
        <v>5600</v>
      </c>
      <c r="F637" t="s">
        <v>5601</v>
      </c>
      <c r="G637" t="s">
        <v>5600</v>
      </c>
      <c r="H637" t="s">
        <v>5600</v>
      </c>
      <c r="I637">
        <v>37617</v>
      </c>
      <c r="J637" t="s">
        <v>5602</v>
      </c>
      <c r="K637" t="s">
        <v>5602</v>
      </c>
      <c r="L637" t="s">
        <v>3829</v>
      </c>
      <c r="M637" t="s">
        <v>3830</v>
      </c>
      <c r="N637">
        <v>18181</v>
      </c>
      <c r="O637">
        <v>63000</v>
      </c>
      <c r="P637">
        <v>1</v>
      </c>
      <c r="Q637" t="s">
        <v>3831</v>
      </c>
      <c r="S637">
        <v>143790</v>
      </c>
      <c r="T637">
        <v>0</v>
      </c>
      <c r="U637" t="s">
        <v>2835</v>
      </c>
      <c r="W637" t="s">
        <v>5603</v>
      </c>
      <c r="X637">
        <v>63000</v>
      </c>
      <c r="Y637">
        <v>57272.727272727199</v>
      </c>
      <c r="Z637" s="26">
        <v>46064</v>
      </c>
    </row>
    <row r="638" spans="1:26" x14ac:dyDescent="0.3">
      <c r="A638" s="50">
        <v>46063.912442129629</v>
      </c>
      <c r="B638">
        <v>2.02602102153071E+18</v>
      </c>
      <c r="C638" t="s">
        <v>5604</v>
      </c>
      <c r="D638" t="s">
        <v>5605</v>
      </c>
      <c r="E638" t="s">
        <v>5605</v>
      </c>
      <c r="F638" t="s">
        <v>5604</v>
      </c>
      <c r="G638" t="s">
        <v>5605</v>
      </c>
      <c r="H638" t="s">
        <v>5605</v>
      </c>
      <c r="I638">
        <v>10908</v>
      </c>
      <c r="J638" t="s">
        <v>5606</v>
      </c>
      <c r="K638" t="s">
        <v>5606</v>
      </c>
      <c r="L638" t="s">
        <v>3829</v>
      </c>
      <c r="M638" t="s">
        <v>3830</v>
      </c>
      <c r="N638">
        <v>18181</v>
      </c>
      <c r="O638">
        <v>63000</v>
      </c>
      <c r="P638">
        <v>1</v>
      </c>
      <c r="Q638" t="s">
        <v>3831</v>
      </c>
      <c r="S638">
        <v>143790</v>
      </c>
      <c r="T638" t="s">
        <v>5488</v>
      </c>
      <c r="U638" t="s">
        <v>2835</v>
      </c>
      <c r="W638" t="s">
        <v>5607</v>
      </c>
      <c r="X638">
        <v>63000</v>
      </c>
      <c r="Y638">
        <v>57272.727272727199</v>
      </c>
      <c r="Z638" s="26">
        <v>46064</v>
      </c>
    </row>
    <row r="639" spans="1:26" x14ac:dyDescent="0.3">
      <c r="A639" s="50">
        <v>46063.841145833343</v>
      </c>
      <c r="B639">
        <v>2.02602102010162E+18</v>
      </c>
      <c r="C639" t="s">
        <v>5608</v>
      </c>
      <c r="D639" t="s">
        <v>5609</v>
      </c>
      <c r="E639" t="s">
        <v>5609</v>
      </c>
      <c r="F639" t="s">
        <v>5608</v>
      </c>
      <c r="G639" t="s">
        <v>5609</v>
      </c>
      <c r="H639" t="s">
        <v>5609</v>
      </c>
      <c r="I639">
        <v>31141</v>
      </c>
      <c r="J639" t="s">
        <v>5610</v>
      </c>
      <c r="K639" t="s">
        <v>5610</v>
      </c>
      <c r="L639" t="s">
        <v>3829</v>
      </c>
      <c r="M639" t="s">
        <v>3830</v>
      </c>
      <c r="N639">
        <v>36362</v>
      </c>
      <c r="O639">
        <v>63000</v>
      </c>
      <c r="P639">
        <v>2</v>
      </c>
      <c r="Q639" t="s">
        <v>3831</v>
      </c>
      <c r="S639">
        <v>143790</v>
      </c>
      <c r="T639">
        <v>0</v>
      </c>
      <c r="U639" t="s">
        <v>2835</v>
      </c>
      <c r="W639" t="s">
        <v>5611</v>
      </c>
      <c r="X639">
        <v>126000</v>
      </c>
      <c r="Y639">
        <v>114545.45454545401</v>
      </c>
      <c r="Z639" s="26">
        <v>46064</v>
      </c>
    </row>
    <row r="640" spans="1:26" x14ac:dyDescent="0.3">
      <c r="A640" s="50">
        <v>46063.578993055547</v>
      </c>
      <c r="B640">
        <v>2.02602101352161E+18</v>
      </c>
      <c r="C640" t="s">
        <v>5612</v>
      </c>
      <c r="D640" t="s">
        <v>5613</v>
      </c>
      <c r="E640" t="s">
        <v>5613</v>
      </c>
      <c r="F640" t="s">
        <v>5612</v>
      </c>
      <c r="G640" t="s">
        <v>5613</v>
      </c>
      <c r="H640" t="s">
        <v>5613</v>
      </c>
      <c r="I640">
        <v>54997</v>
      </c>
      <c r="J640" t="s">
        <v>5614</v>
      </c>
      <c r="K640" t="s">
        <v>5614</v>
      </c>
      <c r="L640" t="s">
        <v>3829</v>
      </c>
      <c r="M640" t="s">
        <v>3830</v>
      </c>
      <c r="N640">
        <v>18181</v>
      </c>
      <c r="O640">
        <v>63000</v>
      </c>
      <c r="P640">
        <v>1</v>
      </c>
      <c r="Q640" t="s">
        <v>3831</v>
      </c>
      <c r="S640">
        <v>143790</v>
      </c>
      <c r="T640">
        <v>0</v>
      </c>
      <c r="U640" t="s">
        <v>2835</v>
      </c>
      <c r="W640" t="s">
        <v>5615</v>
      </c>
      <c r="X640">
        <v>63000</v>
      </c>
      <c r="Y640">
        <v>57272.727272727199</v>
      </c>
      <c r="Z640" s="26">
        <v>46064</v>
      </c>
    </row>
    <row r="641" spans="1:26" x14ac:dyDescent="0.3">
      <c r="A641" s="50">
        <v>46063.474432870367</v>
      </c>
      <c r="B641">
        <v>2.0260210112219899E+18</v>
      </c>
      <c r="C641" t="s">
        <v>5616</v>
      </c>
      <c r="D641" t="s">
        <v>5617</v>
      </c>
      <c r="E641" t="s">
        <v>5617</v>
      </c>
      <c r="F641" t="s">
        <v>5616</v>
      </c>
      <c r="G641" t="s">
        <v>5617</v>
      </c>
      <c r="H641" t="s">
        <v>5617</v>
      </c>
      <c r="I641">
        <v>8830</v>
      </c>
      <c r="J641" t="s">
        <v>5618</v>
      </c>
      <c r="K641" t="s">
        <v>5618</v>
      </c>
      <c r="L641" t="s">
        <v>3829</v>
      </c>
      <c r="M641" t="s">
        <v>3830</v>
      </c>
      <c r="N641">
        <v>18181</v>
      </c>
      <c r="O641">
        <v>63000</v>
      </c>
      <c r="P641">
        <v>1</v>
      </c>
      <c r="Q641" t="s">
        <v>3831</v>
      </c>
      <c r="R641" t="s">
        <v>5619</v>
      </c>
      <c r="S641">
        <v>143790</v>
      </c>
      <c r="T641">
        <v>0</v>
      </c>
      <c r="U641" t="s">
        <v>2835</v>
      </c>
      <c r="W641" t="s">
        <v>5620</v>
      </c>
      <c r="X641">
        <v>63000</v>
      </c>
      <c r="Y641">
        <v>57272.727272727199</v>
      </c>
      <c r="Z641" s="26">
        <v>46064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8"/>
  <sheetViews>
    <sheetView workbookViewId="0">
      <selection activeCell="K18" sqref="I16:K18"/>
    </sheetView>
  </sheetViews>
  <sheetFormatPr defaultRowHeight="16.5" x14ac:dyDescent="0.3"/>
  <cols>
    <col min="1" max="1" width="34.5" style="64" bestFit="1" customWidth="1"/>
  </cols>
  <sheetData>
    <row r="1" spans="1:3" ht="17.25" customHeight="1" x14ac:dyDescent="0.3">
      <c r="A1" s="54" t="s">
        <v>5621</v>
      </c>
    </row>
    <row r="3" spans="1:3" x14ac:dyDescent="0.3">
      <c r="A3" s="55" t="s">
        <v>5622</v>
      </c>
    </row>
    <row r="5" spans="1:3" x14ac:dyDescent="0.3">
      <c r="A5" t="s">
        <v>5623</v>
      </c>
      <c r="B5" t="s">
        <v>5624</v>
      </c>
      <c r="C5" t="s">
        <v>5625</v>
      </c>
    </row>
    <row r="6" spans="1:3" x14ac:dyDescent="0.3">
      <c r="A6" t="s">
        <v>5626</v>
      </c>
      <c r="B6" t="s">
        <v>5627</v>
      </c>
      <c r="C6" t="s">
        <v>5628</v>
      </c>
    </row>
    <row r="7" spans="1:3" x14ac:dyDescent="0.3">
      <c r="A7" t="s">
        <v>5629</v>
      </c>
      <c r="B7" t="s">
        <v>5630</v>
      </c>
      <c r="C7" t="s">
        <v>5631</v>
      </c>
    </row>
    <row r="8" spans="1:3" x14ac:dyDescent="0.3">
      <c r="A8" t="s">
        <v>5632</v>
      </c>
      <c r="B8" t="s">
        <v>5633</v>
      </c>
      <c r="C8" t="s">
        <v>5634</v>
      </c>
    </row>
    <row r="9" spans="1:3" x14ac:dyDescent="0.3">
      <c r="A9" t="s">
        <v>5635</v>
      </c>
      <c r="B9" t="s">
        <v>5636</v>
      </c>
      <c r="C9" t="s">
        <v>5637</v>
      </c>
    </row>
    <row r="10" spans="1:3" x14ac:dyDescent="0.3">
      <c r="A10" t="s">
        <v>5638</v>
      </c>
      <c r="B10" t="s">
        <v>5639</v>
      </c>
      <c r="C10" t="s">
        <v>5640</v>
      </c>
    </row>
    <row r="11" spans="1:3" x14ac:dyDescent="0.3">
      <c r="A11" t="s">
        <v>5641</v>
      </c>
      <c r="B11" t="s">
        <v>5642</v>
      </c>
      <c r="C11" t="s">
        <v>5643</v>
      </c>
    </row>
    <row r="12" spans="1:3" x14ac:dyDescent="0.3">
      <c r="A12" t="s">
        <v>5644</v>
      </c>
      <c r="B12" t="s">
        <v>5645</v>
      </c>
      <c r="C12" t="s">
        <v>5646</v>
      </c>
    </row>
    <row r="15" spans="1:3" x14ac:dyDescent="0.3">
      <c r="A15" s="55" t="s">
        <v>5647</v>
      </c>
    </row>
    <row r="17" spans="1:3" x14ac:dyDescent="0.3">
      <c r="A17" s="56" t="s">
        <v>5648</v>
      </c>
      <c r="B17" s="56" t="s">
        <v>5649</v>
      </c>
      <c r="C17" s="56" t="s">
        <v>5650</v>
      </c>
    </row>
    <row r="18" spans="1:3" x14ac:dyDescent="0.3">
      <c r="A18" t="s">
        <v>5646</v>
      </c>
      <c r="B18" t="s">
        <v>5651</v>
      </c>
      <c r="C18" t="s">
        <v>5652</v>
      </c>
    </row>
    <row r="19" spans="1:3" x14ac:dyDescent="0.3">
      <c r="A19" t="s">
        <v>5637</v>
      </c>
      <c r="B19" t="s">
        <v>5653</v>
      </c>
      <c r="C19" t="s">
        <v>5654</v>
      </c>
    </row>
    <row r="20" spans="1:3" x14ac:dyDescent="0.3">
      <c r="A20" t="s">
        <v>5634</v>
      </c>
      <c r="B20" t="s">
        <v>5655</v>
      </c>
      <c r="C20" t="s">
        <v>5656</v>
      </c>
    </row>
    <row r="21" spans="1:3" x14ac:dyDescent="0.3">
      <c r="A21" t="s">
        <v>5628</v>
      </c>
      <c r="B21" t="s">
        <v>5657</v>
      </c>
      <c r="C21" t="s">
        <v>5658</v>
      </c>
    </row>
    <row r="22" spans="1:3" x14ac:dyDescent="0.3">
      <c r="A22" s="8" t="s">
        <v>5631</v>
      </c>
      <c r="B22" s="8" t="s">
        <v>5659</v>
      </c>
      <c r="C22" s="8" t="s">
        <v>5660</v>
      </c>
    </row>
    <row r="23" spans="1:3" x14ac:dyDescent="0.3">
      <c r="A23" t="s">
        <v>5643</v>
      </c>
      <c r="B23" t="s">
        <v>5661</v>
      </c>
      <c r="C23" t="s">
        <v>5662</v>
      </c>
    </row>
    <row r="24" spans="1:3" x14ac:dyDescent="0.3">
      <c r="A24" s="8" t="s">
        <v>5640</v>
      </c>
      <c r="B24" s="8" t="s">
        <v>5663</v>
      </c>
      <c r="C24" s="8" t="s">
        <v>5664</v>
      </c>
    </row>
    <row r="25" spans="1:3" x14ac:dyDescent="0.3">
      <c r="A25" t="s">
        <v>5665</v>
      </c>
      <c r="B25" t="s">
        <v>5666</v>
      </c>
      <c r="C25" t="s">
        <v>5667</v>
      </c>
    </row>
    <row r="28" spans="1:3" x14ac:dyDescent="0.3">
      <c r="A28" s="55" t="s">
        <v>5668</v>
      </c>
    </row>
    <row r="30" spans="1:3" x14ac:dyDescent="0.3">
      <c r="A30" s="56" t="s">
        <v>5669</v>
      </c>
      <c r="B30" s="56" t="s">
        <v>5670</v>
      </c>
      <c r="C30" s="56" t="s">
        <v>101</v>
      </c>
    </row>
    <row r="31" spans="1:3" x14ac:dyDescent="0.3">
      <c r="A31" s="7" t="s">
        <v>5671</v>
      </c>
      <c r="B31" t="e">
        <f t="array" ref="B31">VLOOKUP(단품코드, 채널매핑!B:D, 3, 0)</f>
        <v>#NAME?</v>
      </c>
      <c r="C31" t="s">
        <v>5672</v>
      </c>
    </row>
    <row r="32" spans="1:3" x14ac:dyDescent="0.3">
      <c r="A32" s="7" t="s">
        <v>5673</v>
      </c>
      <c r="B32" t="e">
        <f t="array" ref="B32">VLOOKUP(자사SKU, 제품마스터!A:D, 4, 0)</f>
        <v>#NAME?</v>
      </c>
      <c r="C32" t="s">
        <v>5674</v>
      </c>
    </row>
    <row r="33" spans="1:3" x14ac:dyDescent="0.3">
      <c r="A33" s="7" t="s">
        <v>5675</v>
      </c>
      <c r="B33" t="e">
        <f t="array" ref="B33">VAT제외금액 - 총원가</f>
        <v>#NAME?</v>
      </c>
      <c r="C33" t="s">
        <v>32</v>
      </c>
    </row>
    <row r="34" spans="1:3" x14ac:dyDescent="0.3">
      <c r="A34" s="7" t="s">
        <v>5676</v>
      </c>
      <c r="B34" t="e">
        <f t="array" ref="B34">기초재고 - SUMIF(정규화데이터, 자사SKU, SKU수량)</f>
        <v>#NAME?</v>
      </c>
      <c r="C34" t="s">
        <v>5677</v>
      </c>
    </row>
    <row r="35" spans="1:3" x14ac:dyDescent="0.3">
      <c r="A35" s="7" t="s">
        <v>5678</v>
      </c>
      <c r="B35">
        <f>SUMIF(손익분석!A:A, "채널명", 손익분석!J:J)</f>
        <v>0</v>
      </c>
      <c r="C35" t="s">
        <v>5679</v>
      </c>
    </row>
    <row r="36" spans="1:3" x14ac:dyDescent="0.3">
      <c r="A36" s="7" t="s">
        <v>5680</v>
      </c>
      <c r="B36">
        <f>SUMIFS(손익분석!J:J, 손익분석!B:B, "&gt;="&amp;B16, 손익분석!B:B, "&lt;"&amp;B16+1)</f>
        <v>0</v>
      </c>
      <c r="C36" t="s">
        <v>5681</v>
      </c>
    </row>
    <row r="37" spans="1:3" x14ac:dyDescent="0.3">
      <c r="A37" s="7" t="s">
        <v>5682</v>
      </c>
      <c r="B37" s="2" t="s">
        <v>5683</v>
      </c>
      <c r="C37" t="s">
        <v>5684</v>
      </c>
    </row>
    <row r="40" spans="1:3" x14ac:dyDescent="0.3">
      <c r="A40" s="62" t="s">
        <v>5685</v>
      </c>
    </row>
    <row r="42" spans="1:3" x14ac:dyDescent="0.3">
      <c r="A42" s="8" t="s">
        <v>5686</v>
      </c>
      <c r="B42" s="51" t="s">
        <v>5687</v>
      </c>
      <c r="C42" s="51" t="s">
        <v>5688</v>
      </c>
    </row>
    <row r="43" spans="1:3" x14ac:dyDescent="0.3">
      <c r="A43" s="7" t="s">
        <v>5689</v>
      </c>
      <c r="B43" t="s">
        <v>5690</v>
      </c>
      <c r="C43" t="s">
        <v>5691</v>
      </c>
    </row>
    <row r="44" spans="1:3" x14ac:dyDescent="0.3">
      <c r="A44" s="7" t="s">
        <v>5692</v>
      </c>
      <c r="B44" t="s">
        <v>5693</v>
      </c>
      <c r="C44" t="s">
        <v>5694</v>
      </c>
    </row>
    <row r="45" spans="1:3" x14ac:dyDescent="0.3">
      <c r="A45" s="7" t="s">
        <v>5695</v>
      </c>
      <c r="B45" t="e">
        <f t="array" ref="B45">VAT제외금액 - 총원가</f>
        <v>#NAME?</v>
      </c>
      <c r="C45" t="s">
        <v>5696</v>
      </c>
    </row>
    <row r="46" spans="1:3" x14ac:dyDescent="0.3">
      <c r="A46" s="8" t="s">
        <v>5697</v>
      </c>
      <c r="B46" s="51" t="s">
        <v>5698</v>
      </c>
      <c r="C46" s="51" t="s">
        <v>5699</v>
      </c>
    </row>
    <row r="47" spans="1:3" x14ac:dyDescent="0.3">
      <c r="A47" s="7" t="s">
        <v>5700</v>
      </c>
      <c r="B47" t="s">
        <v>5701</v>
      </c>
      <c r="C47" t="s">
        <v>5702</v>
      </c>
    </row>
    <row r="48" spans="1:3" x14ac:dyDescent="0.3">
      <c r="A48" s="7" t="s">
        <v>5703</v>
      </c>
      <c r="B48" t="s">
        <v>5704</v>
      </c>
      <c r="C48" t="s">
        <v>5705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대시보드</vt:lpstr>
      <vt:lpstr>제품마스터</vt:lpstr>
      <vt:lpstr>채널매핑</vt:lpstr>
      <vt:lpstr>원본데이터_SK</vt:lpstr>
      <vt:lpstr>정규화데이터</vt:lpstr>
      <vt:lpstr>재고현황</vt:lpstr>
      <vt:lpstr>손익분석</vt:lpstr>
      <vt:lpstr>물류비용</vt:lpstr>
      <vt:lpstr>원본데이터_쿠팡</vt:lpstr>
      <vt:lpstr>원본데이터_네이버</vt:lpstr>
      <vt:lpstr>원본데이터_카카오</vt:lpstr>
      <vt:lpstr>원본데이터_리씽크</vt:lpstr>
      <vt:lpstr>시스템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진우</dc:creator>
  <cp:lastModifiedBy>이 진우</cp:lastModifiedBy>
  <dcterms:created xsi:type="dcterms:W3CDTF">2026-02-12T06:32:06Z</dcterms:created>
  <dcterms:modified xsi:type="dcterms:W3CDTF">2026-02-24T02:37:27Z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0x01010062030CAB5FAF11438BC3D0C3B6A7CFC5</vt:lpwstr>
  </property>
</Properties>
</file>